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2188" windowHeight="8615" tabRatio="714" firstSheet="0" activeTab="1" autoFilterDateGrouping="1"/>
  </bookViews>
  <sheets>
    <sheet xmlns:r="http://schemas.openxmlformats.org/officeDocument/2006/relationships" name="销售需求表" sheetId="1" state="visible" r:id="rId1"/>
    <sheet xmlns:r="http://schemas.openxmlformats.org/officeDocument/2006/relationships" name="7月排产计划" sheetId="2" state="visible" r:id="rId2"/>
    <sheet xmlns:r="http://schemas.openxmlformats.org/officeDocument/2006/relationships" name="排产对比表对比" sheetId="3" state="visible" r:id="rId3"/>
    <sheet xmlns:r="http://schemas.openxmlformats.org/officeDocument/2006/relationships" name="生产吨位汇总" sheetId="4" state="visible" r:id="rId4"/>
    <sheet xmlns:r="http://schemas.openxmlformats.org/officeDocument/2006/relationships" name="生产问题点说明" sheetId="5" state="hidden" r:id="rId5"/>
    <sheet xmlns:r="http://schemas.openxmlformats.org/officeDocument/2006/relationships" name="成型机分布" sheetId="6" state="visible" r:id="rId6"/>
    <sheet xmlns:r="http://schemas.openxmlformats.org/officeDocument/2006/relationships" name="轮胎重量" sheetId="7" state="hidden" r:id="rId7"/>
    <sheet xmlns:r="http://schemas.openxmlformats.org/officeDocument/2006/relationships" name="硫化工艺" sheetId="8" state="hidden" r:id="rId8"/>
    <sheet xmlns:r="http://schemas.openxmlformats.org/officeDocument/2006/relationships" name="投产规格" sheetId="9" state="hidden" r:id="rId9"/>
    <sheet xmlns:r="http://schemas.openxmlformats.org/officeDocument/2006/relationships" name="集装箱CONTAINER" sheetId="10" state="hidden" r:id="rId10"/>
  </sheets>
  <externalReferences>
    <externalReference xmlns:r="http://schemas.openxmlformats.org/officeDocument/2006/relationships" r:id="rId11"/>
  </externalReferences>
  <definedNames>
    <definedName name="_xlnm._FilterDatabase" localSheetId="0" hidden="1">'销售需求表'!$A$1:$G$431</definedName>
    <definedName name="_xlnm._FilterDatabase" localSheetId="1" hidden="1">'7月排产计划'!$A$2:$CD$600</definedName>
    <definedName name="_xlnm._FilterDatabase" localSheetId="6" hidden="1">'轮胎重量'!$B$3:$H$750</definedName>
    <definedName name="_xlnm._FilterDatabase" localSheetId="7" hidden="1">'硫化工艺'!$B$1:$J$1921</definedName>
    <definedName name="_xlnm._FilterDatabase" localSheetId="8" hidden="1">'投产规格'!$A$2:$AC$832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0.00_ "/>
    <numFmt numFmtId="166" formatCode="0.0_ "/>
    <numFmt numFmtId="167" formatCode="0_ "/>
    <numFmt numFmtId="168" formatCode="#0.0000"/>
  </numFmts>
  <fonts count="78">
    <font>
      <name val="Arial"/>
      <charset val="204"/>
      <color rgb="FF000000"/>
      <sz val="11"/>
    </font>
    <font>
      <name val="宋体"/>
      <charset val="134"/>
      <color theme="1"/>
      <sz val="14"/>
      <scheme val="minor"/>
    </font>
    <font>
      <name val="宋体"/>
      <charset val="134"/>
      <b val="1"/>
      <color theme="1"/>
      <sz val="16"/>
      <scheme val="minor"/>
    </font>
    <font>
      <name val="宋体"/>
      <charset val="134"/>
      <b val="1"/>
      <color theme="1"/>
      <sz val="14"/>
      <scheme val="minor"/>
    </font>
    <font>
      <name val="宋体"/>
      <charset val="134"/>
      <b val="1"/>
      <color theme="1"/>
      <sz val="18"/>
      <scheme val="minor"/>
    </font>
    <font>
      <name val="宋体"/>
      <charset val="134"/>
      <color theme="1"/>
      <sz val="12"/>
      <scheme val="minor"/>
    </font>
    <font>
      <name val="宋体"/>
      <charset val="134"/>
      <color rgb="FF000000"/>
      <sz val="14"/>
    </font>
    <font>
      <name val="宋体"/>
      <charset val="134"/>
      <color theme="1"/>
      <sz val="16"/>
      <scheme val="minor"/>
    </font>
    <font>
      <name val="Arial"/>
      <charset val="0"/>
      <sz val="10"/>
    </font>
    <font>
      <name val="SimSun"/>
      <charset val="134"/>
      <color rgb="FF000000"/>
      <sz val="12"/>
    </font>
    <font>
      <name val="Arial"/>
      <charset val="0"/>
      <sz val="12"/>
    </font>
    <font>
      <name val="宋体"/>
      <charset val="134"/>
      <color rgb="FF000000"/>
      <sz val="12"/>
    </font>
    <font>
      <name val="宋体"/>
      <charset val="134"/>
      <sz val="10"/>
      <scheme val="minor"/>
    </font>
    <font>
      <name val="SimSun"/>
      <charset val="134"/>
      <sz val="12"/>
    </font>
    <font>
      <name val="宋体"/>
      <charset val="134"/>
      <sz val="12"/>
    </font>
    <font>
      <name val="SimSun"/>
      <charset val="134"/>
      <color rgb="FF04B0F1"/>
      <sz val="12"/>
    </font>
    <font>
      <name val="微软雅黑"/>
      <charset val="134"/>
      <color theme="1"/>
      <sz val="9"/>
    </font>
    <font>
      <name val="等线"/>
      <charset val="134"/>
      <color theme="1"/>
      <sz val="11"/>
    </font>
    <font>
      <name val="微软雅黑"/>
      <charset val="134"/>
      <color theme="1"/>
      <sz val="10"/>
    </font>
    <font>
      <name val="等线"/>
      <charset val="204"/>
      <color rgb="FF000000"/>
      <sz val="11"/>
    </font>
    <font>
      <name val="微软雅黑"/>
      <charset val="134"/>
      <sz val="9"/>
    </font>
    <font>
      <name val="等线"/>
      <charset val="134"/>
      <color rgb="FF000000"/>
      <sz val="11"/>
    </font>
    <font>
      <name val="等线"/>
      <charset val="134"/>
      <color rgb="FF000000"/>
      <sz val="14"/>
    </font>
    <font>
      <name val="等线"/>
      <charset val="134"/>
      <color rgb="FF000000"/>
      <sz val="12"/>
    </font>
    <font>
      <name val="等线"/>
      <charset val="134"/>
      <sz val="11"/>
    </font>
    <font>
      <name val="宋体"/>
      <charset val="134"/>
      <sz val="11"/>
      <scheme val="minor"/>
    </font>
    <font>
      <name val="宋体"/>
      <charset val="204"/>
      <color rgb="FF000000"/>
      <sz val="11"/>
    </font>
    <font>
      <name val="宋体"/>
      <charset val="134"/>
      <color theme="1"/>
      <sz val="11"/>
      <scheme val="minor"/>
    </font>
    <font>
      <name val="宋体"/>
      <charset val="204"/>
      <color rgb="FF000000"/>
      <sz val="16"/>
    </font>
    <font>
      <name val="宋体"/>
      <charset val="204"/>
      <color rgb="FF000000"/>
      <sz val="12"/>
    </font>
    <font>
      <name val="Arial"/>
      <charset val="204"/>
      <color rgb="FF000000"/>
      <sz val="12"/>
    </font>
    <font>
      <name val="Arial"/>
      <charset val="204"/>
      <color rgb="FF000000"/>
      <sz val="9"/>
    </font>
    <font>
      <name val="宋体"/>
      <charset val="204"/>
      <color rgb="FF000000"/>
      <sz val="9"/>
    </font>
    <font>
      <name val="宋体"/>
      <charset val="204"/>
      <color rgb="FF000000"/>
      <sz val="10"/>
    </font>
    <font>
      <name val="Arial"/>
      <charset val="204"/>
      <color rgb="FF000000"/>
      <sz val="10"/>
    </font>
    <font>
      <name val="宋体"/>
      <charset val="204"/>
      <sz val="9"/>
    </font>
    <font>
      <name val="宋体"/>
      <charset val="204"/>
      <sz val="11"/>
    </font>
    <font>
      <name val="宋体"/>
      <charset val="204"/>
      <color rgb="FF000000"/>
      <sz val="18"/>
    </font>
    <font>
      <name val="宋体"/>
      <charset val="204"/>
      <color rgb="FF000000"/>
      <sz val="14"/>
    </font>
    <font>
      <name val="Arial"/>
      <charset val="204"/>
      <color rgb="FF000000"/>
      <sz val="14"/>
    </font>
    <font>
      <name val="宋体"/>
      <charset val="204"/>
      <b val="1"/>
      <color rgb="FF000000"/>
      <sz val="14"/>
    </font>
    <font>
      <name val="Arial"/>
      <charset val="204"/>
      <b val="1"/>
      <color rgb="FF000000"/>
      <sz val="14"/>
    </font>
    <font>
      <name val="Arial"/>
      <charset val="0"/>
      <color rgb="FF000000"/>
      <sz val="18"/>
    </font>
    <font>
      <name val="Arial"/>
      <charset val="0"/>
      <color rgb="FF000000"/>
      <sz val="12"/>
    </font>
    <font>
      <name val="Arial"/>
      <charset val="0"/>
      <color rgb="FF000000"/>
      <sz val="11"/>
    </font>
    <font>
      <name val="Arial"/>
      <charset val="0"/>
      <sz val="11"/>
    </font>
    <font>
      <name val="宋体"/>
      <charset val="134"/>
      <b val="1"/>
      <color theme="1"/>
      <sz val="12"/>
      <scheme val="minor"/>
    </font>
    <font>
      <name val="宋体"/>
      <charset val="134"/>
      <b val="1"/>
      <color theme="1"/>
      <sz val="10"/>
      <scheme val="minor"/>
    </font>
    <font>
      <name val="宋体"/>
      <charset val="134"/>
      <b val="1"/>
      <color theme="1"/>
      <sz val="20"/>
      <scheme val="minor"/>
    </font>
    <font>
      <name val="等线"/>
      <charset val="134"/>
      <sz val="12"/>
    </font>
    <font>
      <name val="宋体"/>
      <charset val="134"/>
      <color rgb="FFFF0000"/>
      <sz val="11"/>
      <scheme val="minor"/>
    </font>
    <font>
      <name val="等线"/>
      <charset val="0"/>
      <sz val="12"/>
    </font>
    <font>
      <name val="等线"/>
      <charset val="134"/>
      <b val="1"/>
      <color rgb="FF0000FF"/>
      <sz val="12"/>
    </font>
    <font>
      <name val="等线"/>
      <charset val="134"/>
      <b val="1"/>
      <sz val="12"/>
    </font>
    <font>
      <name val="宋体"/>
      <charset val="0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000000"/>
      <sz val="18"/>
    </font>
    <font>
      <name val="Arial"/>
      <b val="1"/>
      <color rgb="00FFFFFF"/>
    </font>
    <font>
      <name val="Arial"/>
      <sz val="10"/>
    </font>
    <font>
      <name val="Arial"/>
      <b val="1"/>
      <color rgb="009C0006"/>
      <sz val="10"/>
    </font>
  </fonts>
  <fills count="56">
    <fill>
      <patternFill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CC10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4F"/>
        <bgColor indexed="64"/>
      </patternFill>
    </fill>
    <fill>
      <patternFill patternType="solid">
        <fgColor theme="0" tint="-0.149998474074526"/>
        <bgColor theme="0" tint="-0.149998474074526"/>
      </patternFill>
    </fill>
    <fill>
      <patternFill patternType="solid">
        <fgColor theme="0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-0.25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B3A6B"/>
      </patternFill>
    </fill>
    <fill>
      <patternFill patternType="solid">
        <fgColor rgb="00FFC7CE"/>
      </patternFill>
    </fill>
  </fills>
  <borders count="9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/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 style="thin">
        <color indexed="8"/>
      </top>
      <bottom style="thin">
        <color auto="1"/>
      </bottom>
      <diagonal/>
    </border>
    <border>
      <left/>
      <right/>
      <top style="thin">
        <color indexed="8"/>
      </top>
      <bottom style="thin">
        <color auto="1"/>
      </bottom>
      <diagonal/>
    </border>
    <border>
      <left/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 style="thin">
        <color auto="1"/>
      </left>
      <right style="thin">
        <color indexed="8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auto="1"/>
      </right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52">
    <xf numFmtId="0" fontId="0" fillId="0" borderId="0"/>
    <xf numFmtId="43" fontId="27" fillId="0" borderId="0" applyAlignment="1">
      <alignment vertical="center"/>
    </xf>
    <xf numFmtId="44" fontId="27" fillId="0" borderId="0" applyAlignment="1">
      <alignment vertical="center"/>
    </xf>
    <xf numFmtId="9" fontId="27" fillId="0" borderId="0" applyAlignment="1">
      <alignment vertical="center"/>
    </xf>
    <xf numFmtId="41" fontId="27" fillId="0" borderId="0" applyAlignment="1">
      <alignment vertical="center"/>
    </xf>
    <xf numFmtId="42" fontId="27" fillId="0" borderId="0" applyAlignment="1">
      <alignment vertical="center"/>
    </xf>
    <xf numFmtId="0" fontId="55" fillId="0" borderId="0" applyAlignment="1">
      <alignment vertical="center"/>
    </xf>
    <xf numFmtId="0" fontId="56" fillId="0" borderId="0" applyAlignment="1">
      <alignment vertical="center"/>
    </xf>
    <xf numFmtId="0" fontId="27" fillId="26" borderId="77" applyAlignment="1">
      <alignment vertical="center"/>
    </xf>
    <xf numFmtId="0" fontId="57" fillId="0" borderId="0" applyAlignment="1">
      <alignment vertical="center"/>
    </xf>
    <xf numFmtId="0" fontId="58" fillId="0" borderId="0" applyAlignment="1">
      <alignment vertical="center"/>
    </xf>
    <xf numFmtId="0" fontId="59" fillId="0" borderId="0" applyAlignment="1">
      <alignment vertical="center"/>
    </xf>
    <xf numFmtId="0" fontId="60" fillId="0" borderId="78" applyAlignment="1">
      <alignment vertical="center"/>
    </xf>
    <xf numFmtId="0" fontId="61" fillId="0" borderId="78" applyAlignment="1">
      <alignment vertical="center"/>
    </xf>
    <xf numFmtId="0" fontId="62" fillId="0" borderId="79" applyAlignment="1">
      <alignment vertical="center"/>
    </xf>
    <xf numFmtId="0" fontId="62" fillId="0" borderId="0" applyAlignment="1">
      <alignment vertical="center"/>
    </xf>
    <xf numFmtId="0" fontId="63" fillId="27" borderId="80" applyAlignment="1">
      <alignment vertical="center"/>
    </xf>
    <xf numFmtId="0" fontId="64" fillId="28" borderId="81" applyAlignment="1">
      <alignment vertical="center"/>
    </xf>
    <xf numFmtId="0" fontId="65" fillId="28" borderId="80" applyAlignment="1">
      <alignment vertical="center"/>
    </xf>
    <xf numFmtId="0" fontId="66" fillId="29" borderId="82" applyAlignment="1">
      <alignment vertical="center"/>
    </xf>
    <xf numFmtId="0" fontId="67" fillId="0" borderId="83" applyAlignment="1">
      <alignment vertical="center"/>
    </xf>
    <xf numFmtId="0" fontId="68" fillId="0" borderId="84" applyAlignment="1">
      <alignment vertical="center"/>
    </xf>
    <xf numFmtId="0" fontId="69" fillId="30" borderId="0" applyAlignment="1">
      <alignment vertical="center"/>
    </xf>
    <xf numFmtId="0" fontId="70" fillId="31" borderId="0" applyAlignment="1">
      <alignment vertical="center"/>
    </xf>
    <xf numFmtId="0" fontId="71" fillId="32" borderId="0" applyAlignment="1">
      <alignment vertical="center"/>
    </xf>
    <xf numFmtId="0" fontId="72" fillId="33" borderId="0" applyAlignment="1">
      <alignment vertical="center"/>
    </xf>
    <xf numFmtId="0" fontId="73" fillId="34" borderId="0" applyAlignment="1">
      <alignment vertical="center"/>
    </xf>
    <xf numFmtId="0" fontId="73" fillId="35" borderId="0" applyAlignment="1">
      <alignment vertical="center"/>
    </xf>
    <xf numFmtId="0" fontId="72" fillId="36" borderId="0" applyAlignment="1">
      <alignment vertical="center"/>
    </xf>
    <xf numFmtId="0" fontId="72" fillId="37" borderId="0" applyAlignment="1">
      <alignment vertical="center"/>
    </xf>
    <xf numFmtId="0" fontId="73" fillId="38" borderId="0" applyAlignment="1">
      <alignment vertical="center"/>
    </xf>
    <xf numFmtId="0" fontId="73" fillId="39" borderId="0" applyAlignment="1">
      <alignment vertical="center"/>
    </xf>
    <xf numFmtId="0" fontId="72" fillId="40" borderId="0" applyAlignment="1">
      <alignment vertical="center"/>
    </xf>
    <xf numFmtId="0" fontId="72" fillId="41" borderId="0" applyAlignment="1">
      <alignment vertical="center"/>
    </xf>
    <xf numFmtId="0" fontId="73" fillId="42" borderId="0" applyAlignment="1">
      <alignment vertical="center"/>
    </xf>
    <xf numFmtId="0" fontId="73" fillId="43" borderId="0" applyAlignment="1">
      <alignment vertical="center"/>
    </xf>
    <xf numFmtId="0" fontId="72" fillId="44" borderId="0" applyAlignment="1">
      <alignment vertical="center"/>
    </xf>
    <xf numFmtId="0" fontId="72" fillId="45" borderId="0" applyAlignment="1">
      <alignment vertical="center"/>
    </xf>
    <xf numFmtId="0" fontId="73" fillId="46" borderId="0" applyAlignment="1">
      <alignment vertical="center"/>
    </xf>
    <xf numFmtId="0" fontId="73" fillId="47" borderId="0" applyAlignment="1">
      <alignment vertical="center"/>
    </xf>
    <xf numFmtId="0" fontId="72" fillId="48" borderId="0" applyAlignment="1">
      <alignment vertical="center"/>
    </xf>
    <xf numFmtId="0" fontId="72" fillId="49" borderId="0" applyAlignment="1">
      <alignment vertical="center"/>
    </xf>
    <xf numFmtId="0" fontId="73" fillId="24" borderId="0" applyAlignment="1">
      <alignment vertical="center"/>
    </xf>
    <xf numFmtId="0" fontId="73" fillId="2" borderId="0" applyAlignment="1">
      <alignment vertical="center"/>
    </xf>
    <xf numFmtId="0" fontId="72" fillId="50" borderId="0" applyAlignment="1">
      <alignment vertical="center"/>
    </xf>
    <xf numFmtId="0" fontId="72" fillId="14" borderId="0" applyAlignment="1">
      <alignment vertical="center"/>
    </xf>
    <xf numFmtId="0" fontId="73" fillId="51" borderId="0" applyAlignment="1">
      <alignment vertical="center"/>
    </xf>
    <xf numFmtId="0" fontId="73" fillId="52" borderId="0" applyAlignment="1">
      <alignment vertical="center"/>
    </xf>
    <xf numFmtId="0" fontId="72" fillId="53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  <xf numFmtId="0" fontId="27" fillId="0" borderId="0" applyAlignment="1">
      <alignment vertical="center"/>
    </xf>
  </cellStyleXfs>
  <cellXfs count="499">
    <xf numFmtId="0" fontId="0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vertical="center"/>
    </xf>
    <xf numFmtId="0" fontId="7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left" vertical="center"/>
    </xf>
    <xf numFmtId="0" fontId="1" fillId="0" borderId="4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shrinkToFit="1"/>
    </xf>
    <xf numFmtId="0" fontId="9" fillId="0" borderId="0" applyAlignment="1" pivotButton="0" quotePrefix="0" xfId="0">
      <alignment horizontal="left" vertical="center" shrinkToFit="1"/>
    </xf>
    <xf numFmtId="0" fontId="8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9" fillId="0" borderId="5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 shrinkToFit="1"/>
    </xf>
    <xf numFmtId="0" fontId="9" fillId="0" borderId="0" applyAlignment="1" pivotButton="0" quotePrefix="0" xfId="0">
      <alignment horizontal="left" vertical="center" shrinkToFit="1"/>
    </xf>
    <xf numFmtId="0" fontId="9" fillId="0" borderId="7" applyAlignment="1" pivotButton="0" quotePrefix="0" xfId="0">
      <alignment horizontal="center" vertical="center" shrinkToFit="1"/>
    </xf>
    <xf numFmtId="0" fontId="9" fillId="0" borderId="8" applyAlignment="1" pivotButton="0" quotePrefix="0" xfId="0">
      <alignment horizontal="center" vertical="center"/>
    </xf>
    <xf numFmtId="0" fontId="9" fillId="0" borderId="8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/>
    </xf>
    <xf numFmtId="0" fontId="11" fillId="0" borderId="7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2" fillId="0" borderId="7" applyAlignment="1" pivotButton="0" quotePrefix="0" xfId="0">
      <alignment vertical="center"/>
    </xf>
    <xf numFmtId="0" fontId="9" fillId="0" borderId="9" applyAlignment="1" pivotButton="0" quotePrefix="0" xfId="0">
      <alignment horizontal="center" vertical="center"/>
    </xf>
    <xf numFmtId="0" fontId="9" fillId="0" borderId="9" applyAlignment="1" pivotButton="0" quotePrefix="0" xfId="0">
      <alignment horizontal="center" vertical="center" wrapText="1"/>
    </xf>
    <xf numFmtId="0" fontId="12" fillId="0" borderId="9" applyAlignment="1" pivotButton="0" quotePrefix="0" xfId="0">
      <alignment vertical="center"/>
    </xf>
    <xf numFmtId="0" fontId="13" fillId="0" borderId="7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/>
    </xf>
    <xf numFmtId="0" fontId="9" fillId="0" borderId="11" applyAlignment="1" pivotButton="0" quotePrefix="0" xfId="0">
      <alignment horizontal="center" vertical="center"/>
    </xf>
    <xf numFmtId="0" fontId="9" fillId="0" borderId="11" applyAlignment="1" pivotButton="0" quotePrefix="0" xfId="0">
      <alignment horizontal="center" vertical="center" wrapText="1"/>
    </xf>
    <xf numFmtId="0" fontId="9" fillId="0" borderId="12" applyAlignment="1" pivotButton="0" quotePrefix="0" xfId="0">
      <alignment horizontal="center" vertical="center"/>
    </xf>
    <xf numFmtId="0" fontId="11" fillId="0" borderId="9" applyAlignment="1" pivotButton="0" quotePrefix="0" xfId="0">
      <alignment horizontal="center" vertical="center" wrapText="1"/>
    </xf>
    <xf numFmtId="0" fontId="9" fillId="0" borderId="13" applyAlignment="1" pivotButton="0" quotePrefix="0" xfId="0">
      <alignment horizontal="center" vertical="center"/>
    </xf>
    <xf numFmtId="0" fontId="12" fillId="0" borderId="8" applyAlignment="1" pivotButton="0" quotePrefix="0" xfId="0">
      <alignment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shrinkToFit="1"/>
    </xf>
    <xf numFmtId="0" fontId="9" fillId="0" borderId="10" applyAlignment="1" pivotButton="0" quotePrefix="0" xfId="0">
      <alignment horizontal="center" vertical="center" wrapText="1"/>
    </xf>
    <xf numFmtId="0" fontId="13" fillId="0" borderId="14" applyAlignment="1" pivotButton="0" quotePrefix="0" xfId="0">
      <alignment horizontal="center" vertical="center"/>
    </xf>
    <xf numFmtId="0" fontId="13" fillId="0" borderId="5" applyAlignment="1" pivotButton="0" quotePrefix="0" xfId="0">
      <alignment horizontal="center" vertical="center"/>
    </xf>
    <xf numFmtId="0" fontId="9" fillId="0" borderId="15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0" fontId="12" fillId="0" borderId="12" applyAlignment="1" pivotButton="0" quotePrefix="0" xfId="0">
      <alignment vertical="center"/>
    </xf>
    <xf numFmtId="0" fontId="14" fillId="0" borderId="0" applyAlignment="1" pivotButton="0" quotePrefix="0" xfId="0">
      <alignment horizontal="center"/>
    </xf>
    <xf numFmtId="0" fontId="13" fillId="0" borderId="7" applyAlignment="1" pivotButton="0" quotePrefix="0" xfId="0">
      <alignment horizontal="center" vertical="center" wrapText="1"/>
    </xf>
    <xf numFmtId="0" fontId="13" fillId="0" borderId="6" applyAlignment="1" pivotButton="0" quotePrefix="0" xfId="0">
      <alignment horizontal="center" vertical="center"/>
    </xf>
    <xf numFmtId="0" fontId="13" fillId="0" borderId="8" applyAlignment="1" pivotButton="0" quotePrefix="0" xfId="0">
      <alignment horizontal="center" vertical="center" wrapText="1"/>
    </xf>
    <xf numFmtId="0" fontId="13" fillId="0" borderId="16" applyAlignment="1" pivotButton="0" quotePrefix="0" xfId="0">
      <alignment horizontal="center" vertical="center"/>
    </xf>
    <xf numFmtId="0" fontId="13" fillId="0" borderId="8" applyAlignment="1" pivotButton="0" quotePrefix="0" xfId="0">
      <alignment horizontal="center" vertical="center"/>
    </xf>
    <xf numFmtId="0" fontId="15" fillId="0" borderId="7" applyAlignment="1" pivotButton="0" quotePrefix="0" xfId="0">
      <alignment horizontal="center" vertical="center" shrinkToFit="1"/>
    </xf>
    <xf numFmtId="0" fontId="9" fillId="3" borderId="7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shrinkToFit="1"/>
    </xf>
    <xf numFmtId="0" fontId="9" fillId="0" borderId="5" applyAlignment="1" pivotButton="0" quotePrefix="0" xfId="0">
      <alignment horizontal="center" vertical="center" shrinkToFit="1"/>
    </xf>
    <xf numFmtId="0" fontId="13" fillId="0" borderId="0" applyAlignment="1" pivotButton="0" quotePrefix="0" xfId="0">
      <alignment horizontal="left" vertical="center" shrinkToFit="1"/>
    </xf>
    <xf numFmtId="0" fontId="9" fillId="0" borderId="8" applyAlignment="1" pivotButton="0" quotePrefix="0" xfId="0">
      <alignment horizontal="center" vertical="center" shrinkToFit="1"/>
    </xf>
    <xf numFmtId="0" fontId="9" fillId="0" borderId="13" applyAlignment="1" pivotButton="0" quotePrefix="0" xfId="0">
      <alignment horizontal="center" vertical="center" shrinkToFit="1"/>
    </xf>
    <xf numFmtId="0" fontId="13" fillId="0" borderId="9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center" vertical="center"/>
    </xf>
    <xf numFmtId="164" fontId="16" fillId="0" borderId="0" applyAlignment="1" pivotButton="0" quotePrefix="0" xfId="3">
      <alignment horizontal="center" vertical="center"/>
    </xf>
    <xf numFmtId="0" fontId="16" fillId="0" borderId="0" applyAlignment="1" pivotButton="0" quotePrefix="0" xfId="3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18" fillId="0" borderId="17" applyAlignment="1" pivotButton="0" quotePrefix="0" xfId="0">
      <alignment horizontal="center" vertical="center"/>
    </xf>
    <xf numFmtId="0" fontId="18" fillId="0" borderId="18" applyAlignment="1" pivotButton="0" quotePrefix="0" xfId="0">
      <alignment horizontal="center" vertical="center"/>
    </xf>
    <xf numFmtId="164" fontId="18" fillId="0" borderId="19" applyAlignment="1" pivotButton="0" quotePrefix="0" xfId="3">
      <alignment horizontal="center" vertical="center"/>
    </xf>
    <xf numFmtId="0" fontId="18" fillId="0" borderId="19" applyAlignment="1" pivotButton="0" quotePrefix="0" xfId="3">
      <alignment horizontal="center" vertical="center"/>
    </xf>
    <xf numFmtId="0" fontId="18" fillId="0" borderId="19" applyAlignment="1" pivotButton="0" quotePrefix="0" xfId="0">
      <alignment horizontal="center" vertical="center"/>
    </xf>
    <xf numFmtId="0" fontId="18" fillId="0" borderId="20" applyAlignment="1" pivotButton="0" quotePrefix="0" xfId="0">
      <alignment horizontal="center" vertical="center"/>
    </xf>
    <xf numFmtId="0" fontId="17" fillId="0" borderId="21" applyAlignment="1" pivotButton="0" quotePrefix="0" xfId="0">
      <alignment horizontal="left" vertical="center"/>
    </xf>
    <xf numFmtId="165" fontId="17" fillId="0" borderId="1" applyAlignment="1" pivotButton="0" quotePrefix="0" xfId="0">
      <alignment horizontal="center" vertical="center"/>
    </xf>
    <xf numFmtId="0" fontId="16" fillId="4" borderId="22" applyAlignment="1" pivotButton="0" quotePrefix="0" xfId="0">
      <alignment horizontal="left" vertical="center"/>
    </xf>
    <xf numFmtId="0" fontId="16" fillId="0" borderId="23" applyAlignment="1" pivotButton="0" quotePrefix="0" xfId="0">
      <alignment horizontal="center" vertical="center"/>
    </xf>
    <xf numFmtId="164" fontId="16" fillId="0" borderId="24" applyAlignment="1" pivotButton="0" quotePrefix="0" xfId="3">
      <alignment horizontal="center" vertical="center"/>
    </xf>
    <xf numFmtId="0" fontId="16" fillId="0" borderId="24" applyAlignment="1" pivotButton="0" quotePrefix="0" xfId="3">
      <alignment horizontal="center" vertical="center"/>
    </xf>
    <xf numFmtId="0" fontId="16" fillId="0" borderId="24" applyAlignment="1" pivotButton="0" quotePrefix="0" xfId="0">
      <alignment horizontal="center" vertical="center"/>
    </xf>
    <xf numFmtId="0" fontId="16" fillId="0" borderId="25" applyAlignment="1" pivotButton="0" quotePrefix="0" xfId="0">
      <alignment horizontal="center" vertical="center"/>
    </xf>
    <xf numFmtId="0" fontId="16" fillId="4" borderId="26" applyAlignment="1" pivotButton="0" quotePrefix="0" xfId="0">
      <alignment horizontal="left" vertical="center"/>
    </xf>
    <xf numFmtId="0" fontId="16" fillId="0" borderId="27" applyAlignment="1" pivotButton="0" quotePrefix="0" xfId="0">
      <alignment horizontal="center" vertical="center"/>
    </xf>
    <xf numFmtId="164" fontId="16" fillId="0" borderId="28" applyAlignment="1" pivotButton="0" quotePrefix="0" xfId="3">
      <alignment horizontal="center" vertical="center"/>
    </xf>
    <xf numFmtId="0" fontId="16" fillId="0" borderId="28" applyAlignment="1" pivotButton="0" quotePrefix="0" xfId="3">
      <alignment horizontal="center" vertical="center"/>
    </xf>
    <xf numFmtId="0" fontId="16" fillId="0" borderId="28" applyAlignment="1" pivotButton="0" quotePrefix="0" xfId="0">
      <alignment horizontal="center" vertical="center"/>
    </xf>
    <xf numFmtId="0" fontId="16" fillId="0" borderId="29" applyAlignment="1" pivotButton="0" quotePrefix="0" xfId="0">
      <alignment horizontal="center" vertical="center"/>
    </xf>
    <xf numFmtId="0" fontId="17" fillId="0" borderId="1" applyAlignment="1" pivotButton="0" quotePrefix="0" xfId="0">
      <alignment horizontal="left" vertical="center"/>
    </xf>
    <xf numFmtId="0" fontId="17" fillId="0" borderId="1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20" fillId="4" borderId="26" applyAlignment="1" pivotButton="0" quotePrefix="0" xfId="0">
      <alignment horizontal="left" vertical="center"/>
    </xf>
    <xf numFmtId="0" fontId="17" fillId="0" borderId="21" applyAlignment="1" pivotButton="0" quotePrefix="0" xfId="0">
      <alignment horizontal="center" vertical="center"/>
    </xf>
    <xf numFmtId="0" fontId="20" fillId="0" borderId="27" applyAlignment="1" pivotButton="0" quotePrefix="0" xfId="0">
      <alignment horizontal="center" vertical="center"/>
    </xf>
    <xf numFmtId="164" fontId="20" fillId="0" borderId="28" applyAlignment="1" pivotButton="0" quotePrefix="0" xfId="3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16" fillId="4" borderId="30" applyAlignment="1" pivotButton="0" quotePrefix="0" xfId="0">
      <alignment horizontal="left" vertical="center"/>
    </xf>
    <xf numFmtId="0" fontId="16" fillId="0" borderId="31" applyAlignment="1" pivotButton="0" quotePrefix="0" xfId="0">
      <alignment horizontal="center" vertical="center"/>
    </xf>
    <xf numFmtId="164" fontId="16" fillId="0" borderId="32" applyAlignment="1" pivotButton="0" quotePrefix="0" xfId="3">
      <alignment horizontal="center" vertical="center"/>
    </xf>
    <xf numFmtId="0" fontId="16" fillId="0" borderId="32" applyAlignment="1" pivotButton="0" quotePrefix="0" xfId="0">
      <alignment horizontal="center" vertical="center"/>
    </xf>
    <xf numFmtId="0" fontId="16" fillId="0" borderId="33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/>
    </xf>
    <xf numFmtId="0" fontId="22" fillId="0" borderId="34" applyAlignment="1" pivotButton="0" quotePrefix="0" xfId="0">
      <alignment horizontal="center" vertical="center"/>
    </xf>
    <xf numFmtId="0" fontId="12" fillId="0" borderId="35" applyAlignment="1" pivotButton="0" quotePrefix="0" xfId="0">
      <alignment vertical="center"/>
    </xf>
    <xf numFmtId="0" fontId="12" fillId="0" borderId="36" applyAlignment="1" pivotButton="0" quotePrefix="0" xfId="0">
      <alignment vertical="center"/>
    </xf>
    <xf numFmtId="0" fontId="22" fillId="0" borderId="37" applyAlignment="1" pivotButton="0" quotePrefix="0" xfId="0">
      <alignment horizontal="center" vertical="center"/>
    </xf>
    <xf numFmtId="0" fontId="12" fillId="0" borderId="38" applyAlignment="1" pivotButton="0" quotePrefix="0" xfId="0">
      <alignment horizontal="center" vertical="center"/>
    </xf>
    <xf numFmtId="0" fontId="12" fillId="0" borderId="39" applyAlignment="1" pivotButton="0" quotePrefix="0" xfId="0">
      <alignment horizontal="center" vertical="center"/>
    </xf>
    <xf numFmtId="0" fontId="21" fillId="0" borderId="40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21" fillId="0" borderId="9" applyAlignment="1" pivotButton="0" quotePrefix="0" xfId="0">
      <alignment horizontal="center" vertical="center"/>
    </xf>
    <xf numFmtId="0" fontId="21" fillId="0" borderId="5" applyAlignment="1" pivotButton="0" quotePrefix="0" xfId="0">
      <alignment horizontal="center" vertical="center"/>
    </xf>
    <xf numFmtId="0" fontId="21" fillId="0" borderId="41" applyAlignment="1" pivotButton="0" quotePrefix="0" xfId="0">
      <alignment horizontal="center" vertical="center"/>
    </xf>
    <xf numFmtId="2" fontId="21" fillId="0" borderId="12" applyAlignment="1" pivotButton="0" quotePrefix="0" xfId="0">
      <alignment horizontal="center" vertical="center"/>
    </xf>
    <xf numFmtId="2" fontId="21" fillId="0" borderId="5" applyAlignment="1" pivotButton="0" quotePrefix="0" xfId="0">
      <alignment horizontal="center" vertical="center"/>
    </xf>
    <xf numFmtId="2" fontId="21" fillId="0" borderId="41" applyAlignment="1" pivotButton="0" quotePrefix="0" xfId="0">
      <alignment horizontal="center" vertical="center"/>
    </xf>
    <xf numFmtId="2" fontId="21" fillId="0" borderId="7" applyAlignment="1" pivotButton="0" quotePrefix="0" xfId="0">
      <alignment horizontal="center" vertical="center"/>
    </xf>
    <xf numFmtId="0" fontId="21" fillId="5" borderId="40" applyAlignment="1" pivotButton="0" quotePrefix="0" xfId="0">
      <alignment horizontal="center" vertical="center"/>
    </xf>
    <xf numFmtId="0" fontId="21" fillId="5" borderId="7" applyAlignment="1" pivotButton="0" quotePrefix="0" xfId="0">
      <alignment horizontal="center" vertical="center"/>
    </xf>
    <xf numFmtId="0" fontId="21" fillId="5" borderId="41" applyAlignment="1" pivotButton="0" quotePrefix="0" xfId="0">
      <alignment horizontal="center" vertical="center"/>
    </xf>
    <xf numFmtId="2" fontId="21" fillId="5" borderId="7" applyAlignment="1" pivotButton="0" quotePrefix="0" xfId="0">
      <alignment horizontal="center" vertical="center"/>
    </xf>
    <xf numFmtId="2" fontId="21" fillId="5" borderId="41" applyAlignment="1" pivotButton="0" quotePrefix="0" xfId="0">
      <alignment horizontal="center" vertical="center"/>
    </xf>
    <xf numFmtId="0" fontId="21" fillId="5" borderId="11" applyAlignment="1" pivotButton="0" quotePrefix="0" xfId="0">
      <alignment horizontal="center" vertical="center"/>
    </xf>
    <xf numFmtId="2" fontId="21" fillId="5" borderId="5" applyAlignment="1" pivotButton="0" quotePrefix="0" xfId="0">
      <alignment horizontal="center" vertical="center"/>
    </xf>
    <xf numFmtId="0" fontId="23" fillId="0" borderId="7" applyAlignment="1" pivotButton="0" quotePrefix="0" xfId="0">
      <alignment horizontal="center" vertical="center"/>
    </xf>
    <xf numFmtId="0" fontId="21" fillId="0" borderId="42" applyAlignment="1" pivotButton="0" quotePrefix="0" xfId="0">
      <alignment horizontal="center" vertical="center"/>
    </xf>
    <xf numFmtId="0" fontId="21" fillId="0" borderId="8" applyAlignment="1" pivotButton="0" quotePrefix="0" xfId="0">
      <alignment horizontal="center" vertical="center"/>
    </xf>
    <xf numFmtId="0" fontId="21" fillId="0" borderId="43" applyAlignment="1" pivotButton="0" quotePrefix="0" xfId="0">
      <alignment horizontal="center" vertical="center"/>
    </xf>
    <xf numFmtId="0" fontId="21" fillId="0" borderId="44" applyAlignment="1" pivotButton="0" quotePrefix="0" xfId="0">
      <alignment horizontal="center" vertical="center"/>
    </xf>
    <xf numFmtId="0" fontId="21" fillId="0" borderId="45" applyAlignment="1" pivotButton="0" quotePrefix="0" xfId="0">
      <alignment horizontal="center" vertical="center"/>
    </xf>
    <xf numFmtId="0" fontId="12" fillId="5" borderId="4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21" fillId="5" borderId="8" applyAlignment="1" pivotButton="0" quotePrefix="0" xfId="0">
      <alignment horizontal="center" vertical="center"/>
    </xf>
    <xf numFmtId="2" fontId="21" fillId="6" borderId="41" applyAlignment="1" pivotButton="0" quotePrefix="0" xfId="0">
      <alignment horizontal="center" vertical="center"/>
    </xf>
    <xf numFmtId="0" fontId="21" fillId="6" borderId="40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2" fontId="21" fillId="6" borderId="7" applyAlignment="1" pivotButton="0" quotePrefix="0" xfId="0">
      <alignment horizontal="center" vertical="center"/>
    </xf>
    <xf numFmtId="0" fontId="12" fillId="5" borderId="7" applyAlignment="1" pivotButton="0" quotePrefix="0" xfId="0">
      <alignment horizontal="center" vertical="center"/>
    </xf>
    <xf numFmtId="0" fontId="12" fillId="5" borderId="41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 wrapText="1"/>
    </xf>
    <xf numFmtId="0" fontId="24" fillId="0" borderId="7" applyAlignment="1" pivotButton="0" quotePrefix="0" xfId="0">
      <alignment horizontal="center" vertical="center"/>
    </xf>
    <xf numFmtId="0" fontId="24" fillId="0" borderId="8" applyAlignment="1" pivotButton="0" quotePrefix="0" xfId="0">
      <alignment horizontal="center" vertical="center"/>
    </xf>
    <xf numFmtId="2" fontId="21" fillId="0" borderId="13" applyAlignment="1" pivotButton="0" quotePrefix="0" xfId="0">
      <alignment horizontal="center" vertical="center"/>
    </xf>
    <xf numFmtId="0" fontId="24" fillId="0" borderId="11" applyAlignment="1" pivotButton="0" quotePrefix="0" xfId="0">
      <alignment horizontal="center" vertical="center"/>
    </xf>
    <xf numFmtId="0" fontId="21" fillId="0" borderId="14" applyAlignment="1" pivotButton="0" quotePrefix="0" xfId="0">
      <alignment horizontal="center" vertical="center"/>
    </xf>
    <xf numFmtId="0" fontId="24" fillId="0" borderId="9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21" fillId="0" borderId="5" applyAlignment="1" pivotButton="0" quotePrefix="0" xfId="0">
      <alignment horizontal="center" vertical="center" wrapText="1"/>
    </xf>
    <xf numFmtId="0" fontId="24" fillId="0" borderId="15" applyAlignment="1" pivotButton="0" quotePrefix="0" xfId="0">
      <alignment horizontal="center"/>
    </xf>
    <xf numFmtId="2" fontId="21" fillId="0" borderId="9" applyAlignment="1" pivotButton="0" quotePrefix="0" xfId="0">
      <alignment horizontal="center" vertical="center"/>
    </xf>
    <xf numFmtId="2" fontId="21" fillId="0" borderId="45" applyAlignment="1" pivotButton="0" quotePrefix="0" xfId="0">
      <alignment horizontal="center" vertical="center"/>
    </xf>
    <xf numFmtId="2" fontId="21" fillId="5" borderId="8" applyAlignment="1" pivotButton="0" quotePrefix="0" xfId="0">
      <alignment horizontal="center" vertical="center"/>
    </xf>
    <xf numFmtId="0" fontId="21" fillId="5" borderId="14" applyAlignment="1" pivotButton="0" quotePrefix="0" xfId="0">
      <alignment horizontal="center" vertical="center"/>
    </xf>
    <xf numFmtId="0" fontId="21" fillId="0" borderId="12" applyAlignment="1" pivotButton="0" quotePrefix="0" xfId="0">
      <alignment horizontal="center" vertical="center"/>
    </xf>
    <xf numFmtId="0" fontId="12" fillId="5" borderId="8" applyAlignment="1" pivotButton="0" quotePrefix="0" xfId="0">
      <alignment horizontal="center" vertical="center"/>
    </xf>
    <xf numFmtId="0" fontId="21" fillId="0" borderId="11" applyAlignment="1" pivotButton="0" quotePrefix="0" xfId="0">
      <alignment horizontal="center" vertical="center"/>
    </xf>
    <xf numFmtId="2" fontId="21" fillId="0" borderId="8" applyAlignment="1" pivotButton="0" quotePrefix="0" xfId="0">
      <alignment horizontal="center" vertical="center"/>
    </xf>
    <xf numFmtId="2" fontId="21" fillId="0" borderId="43" applyAlignment="1" pivotButton="0" quotePrefix="0" xfId="0">
      <alignment horizontal="center" vertical="center"/>
    </xf>
    <xf numFmtId="0" fontId="21" fillId="5" borderId="5" applyAlignment="1" pivotButton="0" quotePrefix="0" xfId="0">
      <alignment horizontal="center" vertical="center"/>
    </xf>
    <xf numFmtId="0" fontId="25" fillId="0" borderId="7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21" fillId="5" borderId="7" applyAlignment="1" pivotButton="0" quotePrefix="0" xfId="0">
      <alignment horizontal="center" vertical="center"/>
    </xf>
    <xf numFmtId="0" fontId="21" fillId="7" borderId="7" applyAlignment="1" pivotButton="0" quotePrefix="0" xfId="0">
      <alignment horizontal="center" vertical="center"/>
    </xf>
    <xf numFmtId="2" fontId="21" fillId="7" borderId="5" applyAlignment="1" pivotButton="0" quotePrefix="0" xfId="0">
      <alignment horizontal="center" vertical="center"/>
    </xf>
    <xf numFmtId="0" fontId="21" fillId="5" borderId="40" applyAlignment="1" pivotButton="0" quotePrefix="0" xfId="0">
      <alignment vertical="center"/>
    </xf>
    <xf numFmtId="0" fontId="24" fillId="0" borderId="0" applyAlignment="1" pivotButton="0" quotePrefix="0" xfId="0">
      <alignment horizontal="center" vertical="center"/>
    </xf>
    <xf numFmtId="2" fontId="2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0" fontId="21" fillId="5" borderId="9" applyAlignment="1" pivotButton="0" quotePrefix="0" xfId="0">
      <alignment horizontal="center" vertical="center"/>
    </xf>
    <xf numFmtId="0" fontId="21" fillId="0" borderId="13" applyAlignment="1" pivotButton="0" quotePrefix="0" xfId="0">
      <alignment horizontal="center" vertical="center"/>
    </xf>
    <xf numFmtId="2" fontId="21" fillId="0" borderId="10" applyAlignment="1" pivotButton="0" quotePrefix="0" xfId="0">
      <alignment horizontal="center" vertical="center"/>
    </xf>
    <xf numFmtId="0" fontId="21" fillId="0" borderId="46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/>
    </xf>
    <xf numFmtId="2" fontId="21" fillId="7" borderId="9" applyAlignment="1" pivotButton="0" quotePrefix="0" xfId="0">
      <alignment horizontal="center" vertical="center"/>
    </xf>
    <xf numFmtId="2" fontId="21" fillId="0" borderId="6" applyAlignment="1" pivotButton="0" quotePrefix="0" xfId="0">
      <alignment horizontal="center" vertical="center"/>
    </xf>
    <xf numFmtId="0" fontId="21" fillId="0" borderId="47" applyAlignment="1" pivotButton="0" quotePrefix="0" xfId="0">
      <alignment horizontal="center" vertical="center"/>
    </xf>
    <xf numFmtId="0" fontId="21" fillId="0" borderId="48" applyAlignment="1" pivotButton="0" quotePrefix="0" xfId="0">
      <alignment horizontal="center" vertical="center"/>
    </xf>
    <xf numFmtId="2" fontId="12" fillId="0" borderId="7" applyAlignment="1" pivotButton="0" quotePrefix="0" xfId="0">
      <alignment horizontal="center" vertical="center"/>
    </xf>
    <xf numFmtId="0" fontId="12" fillId="0" borderId="11" applyAlignment="1" pivotButton="0" quotePrefix="0" xfId="0">
      <alignment vertical="center"/>
    </xf>
    <xf numFmtId="0" fontId="12" fillId="0" borderId="5" applyAlignment="1" pivotButton="0" quotePrefix="0" xfId="0">
      <alignment horizontal="center" vertical="center"/>
    </xf>
    <xf numFmtId="2" fontId="21" fillId="0" borderId="14" applyAlignment="1" pivotButton="0" quotePrefix="0" xfId="0">
      <alignment horizontal="center" vertical="center"/>
    </xf>
    <xf numFmtId="2" fontId="21" fillId="0" borderId="49" applyAlignment="1" pivotButton="0" quotePrefix="0" xfId="0">
      <alignment horizontal="center" vertical="center"/>
    </xf>
    <xf numFmtId="0" fontId="21" fillId="5" borderId="50" applyAlignment="1" pivotButton="0" quotePrefix="0" xfId="0">
      <alignment vertical="center"/>
    </xf>
    <xf numFmtId="0" fontId="21" fillId="5" borderId="51" applyAlignment="1" pivotButton="0" quotePrefix="0" xfId="0">
      <alignment horizontal="center" vertical="center"/>
    </xf>
    <xf numFmtId="2" fontId="21" fillId="5" borderId="51" applyAlignment="1" pivotButton="0" quotePrefix="0" xfId="0">
      <alignment horizontal="center" vertical="center"/>
    </xf>
    <xf numFmtId="0" fontId="21" fillId="5" borderId="52" applyAlignment="1" pivotButton="0" quotePrefix="0" xfId="0">
      <alignment horizontal="center" vertical="center"/>
    </xf>
    <xf numFmtId="2" fontId="21" fillId="0" borderId="53" applyAlignment="1" pivotButton="0" quotePrefix="0" xfId="0">
      <alignment horizontal="center" vertical="center"/>
    </xf>
    <xf numFmtId="2" fontId="21" fillId="0" borderId="16" applyAlignment="1" pivotButton="0" quotePrefix="0" xfId="0">
      <alignment horizontal="center" vertical="center"/>
    </xf>
    <xf numFmtId="0" fontId="21" fillId="5" borderId="54" applyAlignment="1" pivotButton="0" quotePrefix="0" xfId="0">
      <alignment horizontal="center" vertical="center"/>
    </xf>
    <xf numFmtId="0" fontId="21" fillId="5" borderId="44" applyAlignment="1" pivotButton="0" quotePrefix="0" xfId="0">
      <alignment horizontal="center" vertical="center"/>
    </xf>
    <xf numFmtId="2" fontId="21" fillId="7" borderId="7" applyAlignment="1" pivotButton="0" quotePrefix="0" xfId="0">
      <alignment horizontal="center" vertical="center"/>
    </xf>
    <xf numFmtId="0" fontId="21" fillId="5" borderId="12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21" fillId="7" borderId="13" applyAlignment="1" pivotButton="0" quotePrefix="0" xfId="0">
      <alignment horizontal="center" vertical="center"/>
    </xf>
    <xf numFmtId="2" fontId="21" fillId="5" borderId="9" applyAlignment="1" pivotButton="0" quotePrefix="0" xfId="0">
      <alignment horizontal="center" vertical="center"/>
    </xf>
    <xf numFmtId="0" fontId="21" fillId="5" borderId="45" applyAlignment="1" pivotButton="0" quotePrefix="0" xfId="0">
      <alignment horizontal="center" vertical="center"/>
    </xf>
    <xf numFmtId="0" fontId="21" fillId="5" borderId="42" applyAlignment="1" pivotButton="0" quotePrefix="0" xfId="0">
      <alignment horizontal="center" vertical="center"/>
    </xf>
    <xf numFmtId="2" fontId="21" fillId="5" borderId="11" applyAlignment="1" pivotButton="0" quotePrefix="0" xfId="0">
      <alignment horizontal="center" vertical="center"/>
    </xf>
    <xf numFmtId="0" fontId="21" fillId="5" borderId="43" applyAlignment="1" pivotButton="0" quotePrefix="0" xfId="0">
      <alignment horizontal="center" vertical="center"/>
    </xf>
    <xf numFmtId="2" fontId="21" fillId="0" borderId="11" applyAlignment="1" pivotButton="0" quotePrefix="0" xfId="0">
      <alignment horizontal="center" vertical="center"/>
    </xf>
    <xf numFmtId="0" fontId="21" fillId="5" borderId="47" applyAlignment="1" pivotButton="0" quotePrefix="0" xfId="0">
      <alignment horizontal="center" vertical="center"/>
    </xf>
    <xf numFmtId="0" fontId="21" fillId="5" borderId="48" applyAlignment="1" pivotButton="0" quotePrefix="0" xfId="0">
      <alignment horizontal="center" vertical="center"/>
    </xf>
    <xf numFmtId="2" fontId="21" fillId="5" borderId="45" applyAlignment="1" pivotButton="0" quotePrefix="0" xfId="0">
      <alignment horizontal="center" vertical="center"/>
    </xf>
    <xf numFmtId="2" fontId="21" fillId="5" borderId="55" applyAlignment="1" pivotButton="0" quotePrefix="0" xfId="0">
      <alignment horizontal="center" vertical="center"/>
    </xf>
    <xf numFmtId="0" fontId="21" fillId="0" borderId="10" applyAlignment="1" pivotButton="0" quotePrefix="0" xfId="0">
      <alignment horizontal="center" vertical="center"/>
    </xf>
    <xf numFmtId="2" fontId="21" fillId="7" borderId="13" applyAlignment="1" pivotButton="0" quotePrefix="0" xfId="0">
      <alignment horizontal="center" vertical="center"/>
    </xf>
    <xf numFmtId="0" fontId="21" fillId="0" borderId="40" applyAlignment="1" pivotButton="0" quotePrefix="0" xfId="0">
      <alignment vertical="center"/>
    </xf>
    <xf numFmtId="0" fontId="26" fillId="0" borderId="0" applyAlignment="1" pivotButton="0" quotePrefix="0" xfId="0">
      <alignment horizontal="center" vertical="center" wrapText="1"/>
    </xf>
    <xf numFmtId="0" fontId="0" fillId="0" borderId="56" applyAlignment="1" pivotButton="0" quotePrefix="0" xfId="0">
      <alignment horizontal="center" vertical="center" wrapText="1"/>
    </xf>
    <xf numFmtId="0" fontId="26" fillId="0" borderId="56" applyAlignment="1" pivotButton="0" quotePrefix="0" xfId="0">
      <alignment horizontal="center" vertical="center" wrapText="1"/>
    </xf>
    <xf numFmtId="0" fontId="27" fillId="8" borderId="56" applyAlignment="1" pivotButton="0" quotePrefix="0" xfId="0">
      <alignment horizontal="center" vertical="center"/>
    </xf>
    <xf numFmtId="1" fontId="27" fillId="8" borderId="56" applyAlignment="1" pivotButton="0" quotePrefix="0" xfId="0">
      <alignment horizontal="center" vertical="center"/>
    </xf>
    <xf numFmtId="0" fontId="27" fillId="0" borderId="56" applyAlignment="1" pivotButton="0" quotePrefix="0" xfId="0">
      <alignment horizontal="center" vertical="center"/>
    </xf>
    <xf numFmtId="0" fontId="26" fillId="0" borderId="56" applyAlignment="1" pivotButton="0" quotePrefix="0" xfId="0">
      <alignment horizontal="centerContinuous" vertical="center" wrapText="1"/>
    </xf>
    <xf numFmtId="0" fontId="0" fillId="0" borderId="56" applyAlignment="1" pivotButton="0" quotePrefix="0" xfId="0">
      <alignment horizontal="centerContinuous" vertical="center" wrapText="1"/>
    </xf>
    <xf numFmtId="0" fontId="28" fillId="0" borderId="0" applyAlignment="1" pivotButton="0" quotePrefix="0" xfId="0">
      <alignment horizontal="center" vertical="top" wrapText="1"/>
    </xf>
    <xf numFmtId="0" fontId="29" fillId="0" borderId="2" applyAlignment="1" pivotButton="0" quotePrefix="0" xfId="0">
      <alignment horizontal="center" vertical="center" wrapText="1"/>
    </xf>
    <xf numFmtId="0" fontId="29" fillId="0" borderId="57" applyAlignment="1" pivotButton="0" quotePrefix="0" xfId="0">
      <alignment horizontal="center" vertical="center" wrapText="1"/>
    </xf>
    <xf numFmtId="0" fontId="29" fillId="0" borderId="58" applyAlignment="1" pivotButton="0" quotePrefix="0" xfId="0">
      <alignment horizontal="center" vertical="center" wrapText="1"/>
    </xf>
    <xf numFmtId="0" fontId="29" fillId="0" borderId="21" applyAlignment="1" pivotButton="0" quotePrefix="0" xfId="0">
      <alignment horizontal="center" vertical="center" wrapText="1"/>
    </xf>
    <xf numFmtId="0" fontId="29" fillId="0" borderId="3" applyAlignment="1" pivotButton="0" quotePrefix="0" xfId="0">
      <alignment horizontal="center" vertical="center" wrapText="1"/>
    </xf>
    <xf numFmtId="0" fontId="29" fillId="0" borderId="4" applyAlignment="1" pivotButton="0" quotePrefix="0" xfId="0">
      <alignment horizontal="center" vertical="center" wrapText="1"/>
    </xf>
    <xf numFmtId="0" fontId="29" fillId="0" borderId="1" applyAlignment="1" pivotButton="0" quotePrefix="0" xfId="0">
      <alignment horizontal="center" vertical="center" wrapText="1"/>
    </xf>
    <xf numFmtId="0" fontId="30" fillId="0" borderId="1" applyAlignment="1" pivotButton="0" quotePrefix="0" xfId="0">
      <alignment horizontal="center" vertical="center" wrapText="1"/>
    </xf>
    <xf numFmtId="0" fontId="31" fillId="0" borderId="1" applyAlignment="1" pivotButton="0" quotePrefix="0" xfId="0">
      <alignment horizontal="left" vertical="center" wrapText="1"/>
    </xf>
    <xf numFmtId="0" fontId="32" fillId="0" borderId="1" applyAlignment="1" pivotButton="0" quotePrefix="0" xfId="0">
      <alignment horizontal="left" vertical="center" wrapText="1"/>
    </xf>
    <xf numFmtId="0" fontId="31" fillId="0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left" vertical="top" wrapText="1"/>
    </xf>
    <xf numFmtId="0" fontId="33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left" vertical="center" wrapText="1"/>
    </xf>
    <xf numFmtId="0" fontId="26" fillId="0" borderId="1" applyAlignment="1" pivotButton="0" quotePrefix="0" xfId="0">
      <alignment horizontal="center" vertical="center" wrapText="1"/>
    </xf>
    <xf numFmtId="0" fontId="31" fillId="0" borderId="1" applyAlignment="1" pivotButton="0" quotePrefix="0" xfId="0">
      <alignment horizontal="left" vertical="top" wrapText="1"/>
    </xf>
    <xf numFmtId="0" fontId="34" fillId="0" borderId="1" applyAlignment="1" pivotButton="0" quotePrefix="0" xfId="0">
      <alignment horizontal="left" vertical="top" wrapText="1"/>
    </xf>
    <xf numFmtId="0" fontId="29" fillId="4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35" fillId="0" borderId="1" applyAlignment="1" pivotButton="0" quotePrefix="0" xfId="0">
      <alignment horizontal="left" vertical="top" wrapText="1"/>
    </xf>
    <xf numFmtId="0" fontId="36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  <xf numFmtId="0" fontId="26" fillId="0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center" wrapText="1"/>
    </xf>
    <xf numFmtId="0" fontId="37" fillId="0" borderId="0" applyAlignment="1" pivotButton="0" quotePrefix="0" xfId="0">
      <alignment horizontal="center" vertical="center" wrapText="1"/>
    </xf>
    <xf numFmtId="0" fontId="37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8" fillId="0" borderId="1" applyAlignment="1" pivotButton="0" quotePrefix="0" xfId="0">
      <alignment horizontal="left" vertical="center" wrapText="1"/>
    </xf>
    <xf numFmtId="0" fontId="38" fillId="0" borderId="1" applyAlignment="1" pivotButton="0" quotePrefix="0" xfId="0">
      <alignment horizontal="center" vertical="center" wrapText="1"/>
    </xf>
    <xf numFmtId="166" fontId="39" fillId="0" borderId="1" applyAlignment="1" pivotButton="0" quotePrefix="0" xfId="0">
      <alignment horizontal="center" vertical="center" wrapText="1"/>
    </xf>
    <xf numFmtId="167" fontId="39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center" vertical="center" wrapText="1"/>
    </xf>
    <xf numFmtId="0" fontId="40" fillId="0" borderId="1" applyAlignment="1" pivotButton="0" quotePrefix="0" xfId="0">
      <alignment horizontal="left" vertical="center" wrapText="1"/>
    </xf>
    <xf numFmtId="166" fontId="41" fillId="0" borderId="1" applyAlignment="1" pivotButton="0" quotePrefix="0" xfId="0">
      <alignment horizontal="center" vertical="center" wrapText="1"/>
    </xf>
    <xf numFmtId="167" fontId="41" fillId="0" borderId="1" applyAlignment="1" pivotButton="0" quotePrefix="0" xfId="0">
      <alignment horizontal="center" vertical="center" wrapText="1"/>
    </xf>
    <xf numFmtId="166" fontId="30" fillId="0" borderId="1" applyAlignment="1" pivotButton="0" quotePrefix="0" xfId="0">
      <alignment horizontal="center" vertical="center" wrapText="1"/>
    </xf>
    <xf numFmtId="167" fontId="3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39" fillId="4" borderId="1" applyAlignment="1" pivotButton="0" quotePrefix="0" xfId="0">
      <alignment horizontal="center" vertical="center" wrapText="1"/>
    </xf>
    <xf numFmtId="167" fontId="39" fillId="4" borderId="1" applyAlignment="1" pivotButton="0" quotePrefix="0" xfId="0">
      <alignment horizontal="center" vertical="center" wrapText="1"/>
    </xf>
    <xf numFmtId="167" fontId="39" fillId="4" borderId="21" applyAlignment="1" pivotButton="0" quotePrefix="0" xfId="0">
      <alignment horizontal="center" vertical="center" wrapText="1"/>
    </xf>
    <xf numFmtId="165" fontId="26" fillId="0" borderId="1" applyAlignment="1" pivotButton="0" quotePrefix="0" xfId="0">
      <alignment horizontal="center" vertical="center" wrapText="1"/>
    </xf>
    <xf numFmtId="0" fontId="38" fillId="0" borderId="1" applyAlignment="1" pivotButton="0" quotePrefix="0" xfId="0">
      <alignment vertical="center" wrapText="1"/>
    </xf>
    <xf numFmtId="166" fontId="28" fillId="0" borderId="57" applyAlignment="1" pivotButton="0" quotePrefix="0" xfId="0">
      <alignment horizontal="center" vertical="center" wrapText="1"/>
    </xf>
    <xf numFmtId="166" fontId="28" fillId="0" borderId="58" applyAlignment="1" pivotButton="0" quotePrefix="0" xfId="0">
      <alignment horizontal="center" vertical="center" wrapText="1"/>
    </xf>
    <xf numFmtId="166" fontId="28" fillId="0" borderId="21" applyAlignment="1" pivotButton="0" quotePrefix="0" xfId="0">
      <alignment horizontal="center" vertical="center" wrapText="1"/>
    </xf>
    <xf numFmtId="167" fontId="28" fillId="0" borderId="57" applyAlignment="1" pivotButton="0" quotePrefix="0" xfId="0">
      <alignment horizontal="center" vertical="center" wrapText="1"/>
    </xf>
    <xf numFmtId="167" fontId="28" fillId="0" borderId="58" applyAlignment="1" pivotButton="0" quotePrefix="0" xfId="0">
      <alignment horizontal="center" vertical="center" wrapText="1"/>
    </xf>
    <xf numFmtId="167" fontId="28" fillId="0" borderId="21" applyAlignment="1" pivotButton="0" quotePrefix="0" xfId="0">
      <alignment horizontal="center" vertical="center" wrapText="1"/>
    </xf>
    <xf numFmtId="0" fontId="38" fillId="0" borderId="0" applyAlignment="1" pivotButton="0" quotePrefix="0" xfId="0">
      <alignment vertical="center" wrapText="1"/>
    </xf>
    <xf numFmtId="166" fontId="28" fillId="0" borderId="0" applyAlignment="1" pivotButton="0" quotePrefix="0" xfId="0">
      <alignment horizontal="center" vertical="center" wrapText="1"/>
    </xf>
    <xf numFmtId="167" fontId="28" fillId="0" borderId="0" applyAlignment="1" pivotButton="0" quotePrefix="0" xfId="0">
      <alignment horizontal="center" vertical="center" wrapText="1"/>
    </xf>
    <xf numFmtId="167" fontId="0" fillId="0" borderId="0" applyAlignment="1" pivotButton="0" quotePrefix="0" xfId="0">
      <alignment horizontal="center" vertical="center" wrapText="1"/>
    </xf>
    <xf numFmtId="167" fontId="39" fillId="0" borderId="57" applyAlignment="1" pivotButton="0" quotePrefix="0" xfId="0">
      <alignment horizontal="center" vertical="center" wrapText="1"/>
    </xf>
    <xf numFmtId="167" fontId="39" fillId="0" borderId="58" applyAlignment="1" pivotButton="0" quotePrefix="0" xfId="0">
      <alignment horizontal="center" vertical="center" wrapText="1"/>
    </xf>
    <xf numFmtId="0" fontId="42" fillId="0" borderId="0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0" borderId="57" applyAlignment="1" pivotButton="0" quotePrefix="0" xfId="0">
      <alignment horizontal="center" vertical="center" wrapText="1"/>
    </xf>
    <xf numFmtId="0" fontId="11" fillId="0" borderId="58" applyAlignment="1" pivotButton="0" quotePrefix="0" xfId="0">
      <alignment horizontal="center" vertical="center" wrapText="1"/>
    </xf>
    <xf numFmtId="0" fontId="11" fillId="0" borderId="2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1" fillId="4" borderId="59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43" fillId="0" borderId="1" applyAlignment="1" pivotButton="0" quotePrefix="0" xfId="0">
      <alignment horizontal="center" vertical="center" wrapText="1"/>
    </xf>
    <xf numFmtId="0" fontId="44" fillId="4" borderId="1" applyAlignment="1" pivotButton="0" quotePrefix="0" xfId="0">
      <alignment horizontal="center" vertical="center" wrapText="1"/>
    </xf>
    <xf numFmtId="0" fontId="45" fillId="4" borderId="1" applyAlignment="1" pivotButton="0" quotePrefix="0" xfId="0">
      <alignment horizontal="center" vertical="center"/>
    </xf>
    <xf numFmtId="0" fontId="45" fillId="4" borderId="59" applyAlignment="1" pivotButton="0" quotePrefix="0" xfId="0">
      <alignment horizontal="center" vertical="center"/>
    </xf>
    <xf numFmtId="0" fontId="45" fillId="0" borderId="0" applyAlignment="1" pivotButton="0" quotePrefix="0" xfId="0">
      <alignment horizontal="center" vertical="center"/>
    </xf>
    <xf numFmtId="0" fontId="43" fillId="0" borderId="2" applyAlignment="1" pivotButton="0" quotePrefix="0" xfId="0">
      <alignment horizontal="center" vertical="center" wrapText="1"/>
    </xf>
    <xf numFmtId="0" fontId="11" fillId="4" borderId="2" applyAlignment="1" pivotButton="0" quotePrefix="0" xfId="0">
      <alignment horizontal="center" vertical="center" wrapText="1"/>
    </xf>
    <xf numFmtId="0" fontId="43" fillId="4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1" fillId="0" borderId="60" applyAlignment="1" pivotButton="0" quotePrefix="0" xfId="0">
      <alignment vertical="top" wrapText="1"/>
    </xf>
    <xf numFmtId="0" fontId="11" fillId="0" borderId="61" applyAlignment="1" pivotButton="0" quotePrefix="0" xfId="0">
      <alignment vertical="top" wrapText="1"/>
    </xf>
    <xf numFmtId="0" fontId="11" fillId="0" borderId="62" applyAlignment="1" pivotButton="0" quotePrefix="0" xfId="0">
      <alignment vertical="top" wrapText="1"/>
    </xf>
    <xf numFmtId="0" fontId="11" fillId="0" borderId="0" applyAlignment="1" pivotButton="0" quotePrefix="0" xfId="0">
      <alignment vertical="center" wrapText="1"/>
    </xf>
    <xf numFmtId="0" fontId="42" fillId="0" borderId="0" applyAlignment="1" pivotButton="0" quotePrefix="0" xfId="0">
      <alignment horizontal="center" vertical="center" wrapText="1"/>
    </xf>
    <xf numFmtId="0" fontId="11" fillId="0" borderId="63" applyAlignment="1" pivotButton="0" quotePrefix="0" xfId="0">
      <alignment horizontal="center" vertical="center" wrapText="1"/>
    </xf>
    <xf numFmtId="0" fontId="11" fillId="0" borderId="64" applyAlignment="1" pivotButton="0" quotePrefix="0" xfId="0">
      <alignment horizontal="center" vertical="center" wrapText="1"/>
    </xf>
    <xf numFmtId="0" fontId="11" fillId="0" borderId="65" applyAlignment="1" pivotButton="0" quotePrefix="0" xfId="0">
      <alignment horizontal="center" vertical="center" wrapText="1"/>
    </xf>
    <xf numFmtId="0" fontId="11" fillId="0" borderId="66" applyAlignment="1" pivotButton="0" quotePrefix="0" xfId="0">
      <alignment horizontal="center" vertical="center" wrapText="1"/>
    </xf>
    <xf numFmtId="0" fontId="11" fillId="4" borderId="67" applyAlignment="1" pivotButton="0" quotePrefix="0" xfId="0">
      <alignment horizontal="center" vertical="center" wrapText="1"/>
    </xf>
    <xf numFmtId="0" fontId="11" fillId="4" borderId="68" applyAlignment="1" pivotButton="0" quotePrefix="0" xfId="0">
      <alignment horizontal="center" vertical="center" wrapText="1"/>
    </xf>
    <xf numFmtId="167" fontId="43" fillId="0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center" vertical="center" wrapText="1"/>
    </xf>
    <xf numFmtId="0" fontId="43" fillId="4" borderId="1" applyAlignment="1" pivotButton="0" quotePrefix="0" xfId="0">
      <alignment horizontal="center" vertical="center" wrapText="1"/>
    </xf>
    <xf numFmtId="0" fontId="11" fillId="0" borderId="69" applyAlignment="1" pivotButton="0" quotePrefix="0" xfId="0">
      <alignment vertical="top" wrapText="1"/>
    </xf>
    <xf numFmtId="0" fontId="11" fillId="0" borderId="70" applyAlignment="1" pivotButton="0" quotePrefix="0" xfId="0">
      <alignment vertical="top" wrapText="1"/>
    </xf>
    <xf numFmtId="0" fontId="11" fillId="0" borderId="71" applyAlignment="1" pivotButton="0" quotePrefix="0" xfId="0">
      <alignment vertical="top" wrapText="1"/>
    </xf>
    <xf numFmtId="0" fontId="11" fillId="0" borderId="72" applyAlignment="1" pivotButton="0" quotePrefix="0" xfId="0">
      <alignment vertical="top" wrapText="1"/>
    </xf>
    <xf numFmtId="0" fontId="11" fillId="0" borderId="73" applyAlignment="1" pivotButton="0" quotePrefix="0" xfId="0">
      <alignment vertical="top" wrapText="1"/>
    </xf>
    <xf numFmtId="0" fontId="11" fillId="0" borderId="74" applyAlignment="1" pivotButton="0" quotePrefix="0" xfId="0">
      <alignment vertical="top" wrapText="1"/>
    </xf>
    <xf numFmtId="0" fontId="0" fillId="9" borderId="0" applyAlignment="1" pivotButton="0" quotePrefix="0" xfId="0">
      <alignment horizontal="left" vertical="center" wrapText="1"/>
    </xf>
    <xf numFmtId="0" fontId="27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/>
    </xf>
    <xf numFmtId="9" fontId="27" fillId="0" borderId="0" applyAlignment="1" pivotButton="0" quotePrefix="0" xfId="3">
      <alignment horizontal="center" vertical="center"/>
    </xf>
    <xf numFmtId="0" fontId="46" fillId="10" borderId="1" applyAlignment="1" pivotButton="0" quotePrefix="0" xfId="0">
      <alignment horizontal="center" vertical="center"/>
    </xf>
    <xf numFmtId="0" fontId="46" fillId="10" borderId="1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/>
    </xf>
    <xf numFmtId="0" fontId="47" fillId="10" borderId="1" applyAlignment="1" pivotButton="0" quotePrefix="0" xfId="0">
      <alignment horizontal="center" vertical="center"/>
    </xf>
    <xf numFmtId="0" fontId="46" fillId="10" borderId="1" applyAlignment="1" pivotButton="0" quotePrefix="0" xfId="0">
      <alignment horizontal="center" vertical="center" wrapText="1"/>
    </xf>
    <xf numFmtId="0" fontId="48" fillId="10" borderId="1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 vertical="center"/>
    </xf>
    <xf numFmtId="0" fontId="27" fillId="11" borderId="1" applyAlignment="1" pivotButton="0" quotePrefix="0" xfId="0">
      <alignment horizontal="center" vertical="center"/>
    </xf>
    <xf numFmtId="0" fontId="27" fillId="12" borderId="1" applyAlignment="1" pivotButton="0" quotePrefix="0" xfId="0">
      <alignment horizontal="center" vertical="center"/>
    </xf>
    <xf numFmtId="0" fontId="25" fillId="10" borderId="1" applyAlignment="1" pivotButton="0" quotePrefix="0" xfId="0">
      <alignment horizontal="center" vertical="center"/>
    </xf>
    <xf numFmtId="0" fontId="27" fillId="13" borderId="1" applyAlignment="1" pivotButton="0" quotePrefix="0" xfId="0">
      <alignment horizontal="center" vertical="center"/>
    </xf>
    <xf numFmtId="0" fontId="27" fillId="13" borderId="1" applyAlignment="1" pivotButton="0" quotePrefix="0" xfId="0">
      <alignment horizontal="center" vertical="center" wrapText="1"/>
    </xf>
    <xf numFmtId="0" fontId="27" fillId="13" borderId="1" applyAlignment="1" pivotButton="0" quotePrefix="0" xfId="0">
      <alignment horizontal="left" vertical="center"/>
    </xf>
    <xf numFmtId="0" fontId="49" fillId="0" borderId="1" applyAlignment="1" pivotButton="0" quotePrefix="0" xfId="0">
      <alignment vertical="center"/>
    </xf>
    <xf numFmtId="0" fontId="27" fillId="14" borderId="1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 vertical="center" wrapText="1"/>
    </xf>
    <xf numFmtId="164" fontId="27" fillId="0" borderId="1" applyAlignment="1" pivotButton="0" quotePrefix="0" xfId="3">
      <alignment horizontal="center" vertical="center"/>
    </xf>
    <xf numFmtId="0" fontId="27" fillId="0" borderId="1" applyAlignment="1" pivotButton="0" quotePrefix="0" xfId="0">
      <alignment horizontal="center" vertical="center"/>
    </xf>
    <xf numFmtId="0" fontId="27" fillId="0" borderId="1" applyAlignment="1" pivotButton="0" quotePrefix="0" xfId="0">
      <alignment horizontal="center" vertical="center"/>
    </xf>
    <xf numFmtId="166" fontId="27" fillId="11" borderId="1" applyAlignment="1" pivotButton="0" quotePrefix="0" xfId="0">
      <alignment horizontal="center" vertical="center"/>
    </xf>
    <xf numFmtId="0" fontId="27" fillId="0" borderId="1" applyAlignment="1" pivotButton="0" quotePrefix="0" xfId="0">
      <alignment vertical="center"/>
    </xf>
    <xf numFmtId="0" fontId="27" fillId="0" borderId="0" applyAlignment="1" pivotButton="0" quotePrefix="0" xfId="0">
      <alignment vertical="center"/>
    </xf>
    <xf numFmtId="0" fontId="27" fillId="0" borderId="0" applyAlignment="1" pivotButton="0" quotePrefix="0" xfId="0">
      <alignment horizontal="center" vertical="center" wrapText="1"/>
    </xf>
    <xf numFmtId="0" fontId="26" fillId="0" borderId="0" applyAlignment="1" pivotButton="0" quotePrefix="0" xfId="0">
      <alignment horizontal="left" vertical="center" wrapText="1"/>
    </xf>
    <xf numFmtId="0" fontId="5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27" fillId="15" borderId="1" applyAlignment="1" pivotButton="0" quotePrefix="0" xfId="0">
      <alignment horizontal="center" vertical="center"/>
    </xf>
    <xf numFmtId="0" fontId="27" fillId="16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27" fillId="4" borderId="1" applyAlignment="1" pivotButton="0" quotePrefix="0" xfId="0">
      <alignment horizontal="left" vertical="center"/>
    </xf>
    <xf numFmtId="0" fontId="27" fillId="4" borderId="1" applyAlignment="1" pivotButton="0" quotePrefix="0" xfId="0">
      <alignment horizontal="center" vertical="center"/>
    </xf>
    <xf numFmtId="0" fontId="27" fillId="17" borderId="1" applyAlignment="1" pivotButton="0" quotePrefix="0" xfId="0">
      <alignment horizontal="center" vertical="center"/>
    </xf>
    <xf numFmtId="0" fontId="27" fillId="18" borderId="1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27" fillId="19" borderId="1" applyAlignment="1" pivotButton="0" quotePrefix="0" xfId="0">
      <alignment horizontal="center" vertical="center"/>
    </xf>
    <xf numFmtId="0" fontId="27" fillId="20" borderId="1" applyAlignment="1" pivotButton="0" quotePrefix="0" xfId="0">
      <alignment horizontal="center" vertical="center"/>
    </xf>
    <xf numFmtId="0" fontId="27" fillId="9" borderId="1" applyAlignment="1" pivotButton="0" quotePrefix="0" xfId="0">
      <alignment horizontal="center" vertical="center"/>
    </xf>
    <xf numFmtId="0" fontId="27" fillId="20" borderId="1" applyAlignment="1" pivotButton="0" quotePrefix="0" xfId="0">
      <alignment horizontal="left" vertical="center"/>
    </xf>
    <xf numFmtId="164" fontId="27" fillId="0" borderId="0" applyAlignment="1" pivotButton="0" quotePrefix="0" xfId="3">
      <alignment horizontal="center" vertical="center"/>
    </xf>
    <xf numFmtId="0" fontId="27" fillId="4" borderId="0" applyAlignment="1" pivotButton="0" quotePrefix="0" xfId="0">
      <alignment horizontal="center" vertical="center"/>
    </xf>
    <xf numFmtId="0" fontId="27" fillId="13" borderId="0" applyAlignment="1" pivotButton="0" quotePrefix="0" xfId="0">
      <alignment horizontal="center" vertical="center"/>
    </xf>
    <xf numFmtId="0" fontId="27" fillId="21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/>
    </xf>
    <xf numFmtId="164" fontId="27" fillId="0" borderId="0" applyAlignment="1" pivotButton="0" quotePrefix="0" xfId="3">
      <alignment horizontal="center" vertical="center"/>
    </xf>
    <xf numFmtId="164" fontId="0" fillId="0" borderId="0" applyAlignment="1" pivotButton="0" quotePrefix="0" xfId="3">
      <alignment horizontal="center" vertical="center" wrapText="1"/>
    </xf>
    <xf numFmtId="0" fontId="27" fillId="0" borderId="1" applyAlignment="1" pivotButton="0" quotePrefix="0" xfId="0">
      <alignment horizontal="left" vertical="center"/>
    </xf>
    <xf numFmtId="0" fontId="0" fillId="4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center" wrapText="1"/>
    </xf>
    <xf numFmtId="0" fontId="27" fillId="9" borderId="0" applyAlignment="1" pivotButton="0" quotePrefix="0" xfId="0">
      <alignment horizontal="center" vertical="center"/>
    </xf>
    <xf numFmtId="164" fontId="27" fillId="9" borderId="1" applyAlignment="1" pivotButton="0" quotePrefix="0" xfId="3">
      <alignment horizontal="center" vertical="center"/>
    </xf>
    <xf numFmtId="0" fontId="0" fillId="22" borderId="0" applyAlignment="1" pivotButton="0" quotePrefix="0" xfId="0">
      <alignment horizontal="left" vertical="center" wrapText="1"/>
    </xf>
    <xf numFmtId="0" fontId="26" fillId="0" borderId="0" applyAlignment="1" pivotButton="0" quotePrefix="0" xfId="0">
      <alignment horizontal="center" vertical="center"/>
    </xf>
    <xf numFmtId="0" fontId="27" fillId="9" borderId="0" applyAlignment="1" pivotButton="0" quotePrefix="0" xfId="0">
      <alignment vertical="center"/>
    </xf>
    <xf numFmtId="0" fontId="0" fillId="9" borderId="0" applyAlignment="1" pivotButton="0" quotePrefix="0" xfId="0">
      <alignment horizontal="center" vertical="center" wrapText="1"/>
    </xf>
    <xf numFmtId="0" fontId="0" fillId="23" borderId="0" applyAlignment="1" pivotButton="0" quotePrefix="0" xfId="0">
      <alignment horizontal="left" vertical="center" wrapText="1"/>
    </xf>
    <xf numFmtId="0" fontId="27" fillId="9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 wrapText="1"/>
    </xf>
    <xf numFmtId="164" fontId="27" fillId="4" borderId="1" applyAlignment="1" pivotButton="0" quotePrefix="0" xfId="3">
      <alignment horizontal="center" vertical="center"/>
    </xf>
    <xf numFmtId="164" fontId="27" fillId="0" borderId="0" applyAlignment="1" pivotButton="0" quotePrefix="0" xfId="3">
      <alignment horizontal="center" vertical="center"/>
    </xf>
    <xf numFmtId="165" fontId="27" fillId="0" borderId="0" applyAlignment="1" pivotButton="0" quotePrefix="0" xfId="0">
      <alignment horizontal="center" vertical="center"/>
    </xf>
    <xf numFmtId="166" fontId="27" fillId="0" borderId="0" applyAlignment="1" pivotButton="0" quotePrefix="0" xfId="0">
      <alignment horizontal="center" vertical="center"/>
    </xf>
    <xf numFmtId="165" fontId="27" fillId="0" borderId="0" applyAlignment="1" pivotButton="0" quotePrefix="0" xfId="0">
      <alignment horizontal="center" vertical="center"/>
    </xf>
    <xf numFmtId="168" fontId="8" fillId="0" borderId="1" applyAlignment="1" pivotButton="0" quotePrefix="0" xfId="0">
      <alignment horizontal="center" vertical="center"/>
    </xf>
    <xf numFmtId="0" fontId="51" fillId="0" borderId="0" applyAlignment="1" pivotButton="0" quotePrefix="0" xfId="0">
      <alignment vertical="center"/>
    </xf>
    <xf numFmtId="0" fontId="52" fillId="0" borderId="0" applyAlignment="1" pivotButton="0" quotePrefix="0" xfId="0">
      <alignment horizontal="right" vertical="center"/>
    </xf>
    <xf numFmtId="0" fontId="52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53" fillId="0" borderId="75" applyAlignment="1" pivotButton="0" quotePrefix="0" xfId="0">
      <alignment horizontal="left" vertical="center"/>
    </xf>
    <xf numFmtId="0" fontId="53" fillId="0" borderId="75" applyAlignment="1" pivotButton="0" quotePrefix="0" xfId="0">
      <alignment horizontal="right" vertical="center"/>
    </xf>
    <xf numFmtId="0" fontId="53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49" fillId="0" borderId="59" applyAlignment="1" pivotButton="0" quotePrefix="0" xfId="0">
      <alignment horizontal="center" vertical="center"/>
    </xf>
    <xf numFmtId="0" fontId="52" fillId="24" borderId="1" applyAlignment="1" pivotButton="0" quotePrefix="0" xfId="50">
      <alignment horizontal="right" vertical="center"/>
    </xf>
    <xf numFmtId="0" fontId="52" fillId="0" borderId="0" applyAlignment="1" pivotButton="0" quotePrefix="0" xfId="50">
      <alignment horizontal="center" vertical="center"/>
    </xf>
    <xf numFmtId="0" fontId="54" fillId="0" borderId="0" applyAlignment="1" pivotButton="0" quotePrefix="0" xfId="0">
      <alignment vertical="center"/>
    </xf>
    <xf numFmtId="0" fontId="49" fillId="0" borderId="59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52" fillId="3" borderId="1" applyAlignment="1" pivotButton="0" quotePrefix="0" xfId="50">
      <alignment horizontal="right" vertical="center"/>
    </xf>
    <xf numFmtId="0" fontId="54" fillId="0" borderId="0" applyAlignment="1" pivotButton="0" quotePrefix="0" xfId="0">
      <alignment horizontal="centerContinuous" vertical="center"/>
    </xf>
    <xf numFmtId="0" fontId="8" fillId="0" borderId="0" applyAlignment="1" pivotButton="0" quotePrefix="0" xfId="0">
      <alignment horizontal="centerContinuous" vertical="center"/>
    </xf>
    <xf numFmtId="10" fontId="8" fillId="0" borderId="0" applyAlignment="1" pivotButton="0" quotePrefix="0" xfId="3">
      <alignment horizontal="center" vertical="center"/>
    </xf>
    <xf numFmtId="0" fontId="49" fillId="4" borderId="59" applyAlignment="1" pivotButton="0" quotePrefix="0" xfId="0">
      <alignment horizontal="left" vertical="center"/>
    </xf>
    <xf numFmtId="0" fontId="52" fillId="4" borderId="1" applyAlignment="1" pivotButton="0" quotePrefix="0" xfId="50">
      <alignment horizontal="right" vertical="center"/>
    </xf>
    <xf numFmtId="0" fontId="54" fillId="0" borderId="0" applyAlignment="1" pivotButton="0" quotePrefix="0" xfId="0">
      <alignment horizontal="center" vertical="center"/>
    </xf>
    <xf numFmtId="0" fontId="54" fillId="0" borderId="0" applyAlignment="1" pivotButton="0" quotePrefix="0" xfId="0">
      <alignment horizontal="left" vertical="center"/>
    </xf>
    <xf numFmtId="0" fontId="52" fillId="0" borderId="1" applyAlignment="1" pivotButton="0" quotePrefix="0" xfId="5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49" fillId="0" borderId="1" applyAlignment="1" pivotButton="0" quotePrefix="0" xfId="0">
      <alignment horizontal="left" vertical="center"/>
    </xf>
    <xf numFmtId="0" fontId="51" fillId="0" borderId="1" applyAlignment="1" pivotButton="0" quotePrefix="0" xfId="0">
      <alignment horizontal="left" vertical="center"/>
    </xf>
    <xf numFmtId="0" fontId="49" fillId="3" borderId="1" applyAlignment="1" pivotButton="0" quotePrefix="0" xfId="0">
      <alignment horizontal="left" vertical="center"/>
    </xf>
    <xf numFmtId="0" fontId="49" fillId="4" borderId="1" applyAlignment="1" pivotButton="0" quotePrefix="0" xfId="0">
      <alignment horizontal="left" vertical="center"/>
    </xf>
    <xf numFmtId="0" fontId="49" fillId="25" borderId="1" applyAlignment="1" pivotButton="0" quotePrefix="0" xfId="0">
      <alignment horizontal="left" vertical="center"/>
    </xf>
    <xf numFmtId="0" fontId="51" fillId="0" borderId="1" applyAlignment="1" pivotButton="0" quotePrefix="0" xfId="0">
      <alignment vertical="center"/>
    </xf>
    <xf numFmtId="0" fontId="52" fillId="24" borderId="76" applyAlignment="1" pivotButton="0" quotePrefix="0" xfId="50">
      <alignment horizontal="right" vertical="center"/>
    </xf>
    <xf numFmtId="0" fontId="0" fillId="0" borderId="0" pivotButton="0" quotePrefix="0" xfId="0"/>
    <xf numFmtId="0" fontId="75" fillId="54" borderId="0" applyAlignment="1" pivotButton="0" quotePrefix="0" xfId="0">
      <alignment horizontal="center" vertical="center" wrapText="1"/>
    </xf>
    <xf numFmtId="164" fontId="27" fillId="0" borderId="1" applyAlignment="1" pivotButton="0" quotePrefix="0" xfId="3">
      <alignment horizontal="center" vertical="center"/>
    </xf>
    <xf numFmtId="166" fontId="27" fillId="11" borderId="1" applyAlignment="1" pivotButton="0" quotePrefix="0" xfId="0">
      <alignment horizontal="center" vertical="center"/>
    </xf>
    <xf numFmtId="0" fontId="76" fillId="0" borderId="0" applyAlignment="1" pivotButton="0" quotePrefix="0" xfId="0">
      <alignment horizontal="center"/>
    </xf>
    <xf numFmtId="0" fontId="27" fillId="55" borderId="0" applyAlignment="1" pivotButton="0" quotePrefix="0" xfId="0">
      <alignment horizontal="center" vertical="center"/>
    </xf>
    <xf numFmtId="0" fontId="27" fillId="55" borderId="1" applyAlignment="1" pivotButton="0" quotePrefix="0" xfId="0">
      <alignment horizontal="center" vertical="center"/>
    </xf>
    <xf numFmtId="0" fontId="27" fillId="55" borderId="1" applyAlignment="1" pivotButton="0" quotePrefix="0" xfId="0">
      <alignment horizontal="center" vertical="center" wrapText="1"/>
    </xf>
    <xf numFmtId="0" fontId="27" fillId="55" borderId="1" applyAlignment="1" pivotButton="0" quotePrefix="0" xfId="0">
      <alignment horizontal="left" vertical="center"/>
    </xf>
    <xf numFmtId="0" fontId="49" fillId="55" borderId="1" applyAlignment="1" pivotButton="0" quotePrefix="0" xfId="0">
      <alignment vertical="center"/>
    </xf>
    <xf numFmtId="164" fontId="27" fillId="55" borderId="1" applyAlignment="1" pivotButton="0" quotePrefix="0" xfId="3">
      <alignment horizontal="center" vertical="center"/>
    </xf>
    <xf numFmtId="0" fontId="50" fillId="55" borderId="1" applyAlignment="1" pivotButton="0" quotePrefix="0" xfId="0">
      <alignment horizontal="center" vertical="center"/>
    </xf>
    <xf numFmtId="0" fontId="77" fillId="55" borderId="0" applyAlignment="1" pivotButton="0" quotePrefix="0" xfId="0">
      <alignment horizontal="center"/>
    </xf>
    <xf numFmtId="0" fontId="0" fillId="55" borderId="0" pivotButton="0" quotePrefix="0" xfId="0"/>
    <xf numFmtId="164" fontId="27" fillId="0" borderId="0" applyAlignment="1" pivotButton="0" quotePrefix="0" xfId="3">
      <alignment horizontal="center" vertical="center"/>
    </xf>
    <xf numFmtId="0" fontId="46" fillId="55" borderId="1" applyAlignment="1" pivotButton="0" quotePrefix="0" xfId="0">
      <alignment horizontal="center" vertical="center"/>
    </xf>
    <xf numFmtId="0" fontId="46" fillId="55" borderId="1" applyAlignment="1" pivotButton="0" quotePrefix="0" xfId="0">
      <alignment horizontal="left" vertical="center"/>
    </xf>
    <xf numFmtId="0" fontId="3" fillId="55" borderId="1" applyAlignment="1" pivotButton="0" quotePrefix="0" xfId="0">
      <alignment horizontal="center" vertical="center"/>
    </xf>
    <xf numFmtId="0" fontId="46" fillId="55" borderId="1" applyAlignment="1" pivotButton="0" quotePrefix="0" xfId="0">
      <alignment horizontal="center" vertical="center" wrapText="1"/>
    </xf>
    <xf numFmtId="164" fontId="0" fillId="0" borderId="0" applyAlignment="1" pivotButton="0" quotePrefix="0" xfId="3">
      <alignment horizontal="center" vertical="center" wrapText="1"/>
    </xf>
    <xf numFmtId="164" fontId="27" fillId="9" borderId="1" applyAlignment="1" pivotButton="0" quotePrefix="0" xfId="3">
      <alignment horizontal="center" vertical="center"/>
    </xf>
    <xf numFmtId="0" fontId="76" fillId="9" borderId="0" applyAlignment="1" pivotButton="0" quotePrefix="0" xfId="0">
      <alignment horizontal="center"/>
    </xf>
    <xf numFmtId="164" fontId="27" fillId="4" borderId="1" applyAlignment="1" pivotButton="0" quotePrefix="0" xfId="3">
      <alignment horizontal="center" vertical="center"/>
    </xf>
    <xf numFmtId="165" fontId="27" fillId="0" borderId="0" applyAlignment="1" pivotButton="0" quotePrefix="0" xfId="0">
      <alignment horizontal="center" vertical="center"/>
    </xf>
    <xf numFmtId="166" fontId="27" fillId="0" borderId="0" applyAlignment="1" pivotButton="0" quotePrefix="0" xfId="0">
      <alignment horizontal="center" vertical="center"/>
    </xf>
    <xf numFmtId="0" fontId="47" fillId="55" borderId="1" applyAlignment="1" pivotButton="0" quotePrefix="0" xfId="0">
      <alignment horizontal="center" vertical="center"/>
    </xf>
    <xf numFmtId="0" fontId="0" fillId="55" borderId="1" applyAlignment="1" pivotButton="0" quotePrefix="0" xfId="0">
      <alignment horizontal="center" vertical="center" wrapText="1"/>
    </xf>
    <xf numFmtId="168" fontId="8" fillId="0" borderId="1" applyAlignment="1" pivotButton="0" quotePrefix="0" xfId="0">
      <alignment horizontal="center" vertical="center"/>
    </xf>
    <xf numFmtId="0" fontId="0" fillId="0" borderId="58" pivotButton="0" quotePrefix="0" xfId="0"/>
    <xf numFmtId="0" fontId="0" fillId="0" borderId="21" pivotButton="0" quotePrefix="0" xfId="0"/>
    <xf numFmtId="0" fontId="11" fillId="0" borderId="67" applyAlignment="1" pivotButton="0" quotePrefix="0" xfId="0">
      <alignment horizontal="center" vertical="center" wrapText="1"/>
    </xf>
    <xf numFmtId="0" fontId="0" fillId="0" borderId="65" pivotButton="0" quotePrefix="0" xfId="0"/>
    <xf numFmtId="0" fontId="0" fillId="0" borderId="66" pivotButton="0" quotePrefix="0" xfId="0"/>
    <xf numFmtId="167" fontId="43" fillId="0" borderId="1" applyAlignment="1" pivotButton="0" quotePrefix="0" xfId="0">
      <alignment horizontal="center" vertical="center" wrapText="1"/>
    </xf>
    <xf numFmtId="166" fontId="39" fillId="0" borderId="1" applyAlignment="1" pivotButton="0" quotePrefix="0" xfId="0">
      <alignment horizontal="center" vertical="center" wrapText="1"/>
    </xf>
    <xf numFmtId="167" fontId="39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5" fontId="0" fillId="0" borderId="0" applyAlignment="1" pivotButton="0" quotePrefix="0" xfId="0">
      <alignment horizontal="center" vertical="center" wrapText="1"/>
    </xf>
    <xf numFmtId="166" fontId="41" fillId="0" borderId="1" applyAlignment="1" pivotButton="0" quotePrefix="0" xfId="0">
      <alignment horizontal="center" vertical="center" wrapText="1"/>
    </xf>
    <xf numFmtId="167" fontId="41" fillId="0" borderId="1" applyAlignment="1" pivotButton="0" quotePrefix="0" xfId="0">
      <alignment horizontal="center" vertical="center" wrapText="1"/>
    </xf>
    <xf numFmtId="166" fontId="30" fillId="0" borderId="1" applyAlignment="1" pivotButton="0" quotePrefix="0" xfId="0">
      <alignment horizontal="center" vertical="center" wrapText="1"/>
    </xf>
    <xf numFmtId="167" fontId="30" fillId="0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  <xf numFmtId="166" fontId="39" fillId="4" borderId="1" applyAlignment="1" pivotButton="0" quotePrefix="0" xfId="0">
      <alignment horizontal="center" vertical="center" wrapText="1"/>
    </xf>
    <xf numFmtId="167" fontId="39" fillId="4" borderId="1" applyAlignment="1" pivotButton="0" quotePrefix="0" xfId="0">
      <alignment horizontal="center" vertical="center" wrapText="1"/>
    </xf>
    <xf numFmtId="167" fontId="39" fillId="4" borderId="21" applyAlignment="1" pivotButton="0" quotePrefix="0" xfId="0">
      <alignment horizontal="center" vertical="center" wrapText="1"/>
    </xf>
    <xf numFmtId="165" fontId="26" fillId="0" borderId="1" applyAlignment="1" pivotButton="0" quotePrefix="0" xfId="0">
      <alignment horizontal="center" vertical="center" wrapText="1"/>
    </xf>
    <xf numFmtId="166" fontId="28" fillId="0" borderId="1" applyAlignment="1" pivotButton="0" quotePrefix="0" xfId="0">
      <alignment horizontal="center" vertical="center" wrapText="1"/>
    </xf>
    <xf numFmtId="167" fontId="28" fillId="0" borderId="1" applyAlignment="1" pivotButton="0" quotePrefix="0" xfId="0">
      <alignment horizontal="center" vertical="center" wrapText="1"/>
    </xf>
    <xf numFmtId="166" fontId="28" fillId="0" borderId="0" applyAlignment="1" pivotButton="0" quotePrefix="0" xfId="0">
      <alignment horizontal="center" vertical="center" wrapText="1"/>
    </xf>
    <xf numFmtId="167" fontId="28" fillId="0" borderId="0" applyAlignment="1" pivotButton="0" quotePrefix="0" xfId="0">
      <alignment horizontal="center" vertical="center" wrapText="1"/>
    </xf>
    <xf numFmtId="167" fontId="0" fillId="0" borderId="0" applyAlignment="1" pivotButton="0" quotePrefix="0" xfId="0">
      <alignment horizontal="center" vertical="center" wrapText="1"/>
    </xf>
    <xf numFmtId="167" fontId="39" fillId="0" borderId="57" applyAlignment="1" pivotButton="0" quotePrefix="0" xfId="0">
      <alignment horizontal="center" vertical="center" wrapText="1"/>
    </xf>
    <xf numFmtId="167" fontId="39" fillId="0" borderId="58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22" fillId="0" borderId="88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0" fillId="0" borderId="92" pivotButton="0" quotePrefix="0" xfId="0"/>
    <xf numFmtId="0" fontId="0" fillId="0" borderId="8" pivotButton="0" quotePrefix="0" xfId="0"/>
    <xf numFmtId="0" fontId="0" fillId="0" borderId="11" pivotButton="0" quotePrefix="0" xfId="0"/>
    <xf numFmtId="164" fontId="16" fillId="0" borderId="0" applyAlignment="1" pivotButton="0" quotePrefix="0" xfId="3">
      <alignment horizontal="center" vertical="center"/>
    </xf>
    <xf numFmtId="164" fontId="18" fillId="0" borderId="19" applyAlignment="1" pivotButton="0" quotePrefix="0" xfId="3">
      <alignment horizontal="center" vertical="center"/>
    </xf>
    <xf numFmtId="165" fontId="17" fillId="0" borderId="1" applyAlignment="1" pivotButton="0" quotePrefix="0" xfId="0">
      <alignment horizontal="center" vertical="center"/>
    </xf>
    <xf numFmtId="164" fontId="16" fillId="0" borderId="24" applyAlignment="1" pivotButton="0" quotePrefix="0" xfId="3">
      <alignment horizontal="center" vertical="center"/>
    </xf>
    <xf numFmtId="164" fontId="16" fillId="0" borderId="28" applyAlignment="1" pivotButton="0" quotePrefix="0" xfId="3">
      <alignment horizontal="center" vertical="center"/>
    </xf>
    <xf numFmtId="164" fontId="20" fillId="0" borderId="28" applyAlignment="1" pivotButton="0" quotePrefix="0" xfId="3">
      <alignment horizontal="center" vertical="center"/>
    </xf>
    <xf numFmtId="164" fontId="16" fillId="0" borderId="32" applyAlignment="1" pivotButton="0" quotePrefix="0" xfId="3">
      <alignment horizontal="center" vertical="center"/>
    </xf>
    <xf numFmtId="0" fontId="1" fillId="0" borderId="1" applyAlignment="1" pivotButton="0" quotePrefix="0" xfId="0">
      <alignment horizontal="left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 3" xfId="49"/>
    <cellStyle name="常规 2" xfId="50"/>
    <cellStyle name="常规 2 2" xfId="51"/>
  </cellStyles>
  <dxfs count="4">
    <dxf>
      <fill>
        <patternFill patternType="solid">
          <bgColor rgb="FFFFC000"/>
        </patternFill>
      </fill>
    </dxf>
    <dxf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externalLink" Target="/xl/externalLinks/externalLink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Claude</author>
  </authors>
  <commentList>
    <comment ref="CD2" authorId="0" shapeId="0">
      <text>
        <t>TIDAK ADA = spec ini tidak punya baris label di Master Tracker portal.
Dicek dengan membuang SEMUA spasi dan menyamakan lebar karakter, jadi ini
bukan masalah penulisan. Baris merah = TIDAK ADA.
Cara filter: klik panah di header ini -&gt; pilih TIDAK ADA.
Atau: Data &gt; Filter &gt; Filter by Color &gt; pilih merah muda.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2026&#20135;&#33021;&#35268;&#21010;&#39044;&#25490;&#65288;R11&#65289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2026产能规划预排R1"/>
      <sheetName val="炼胶用量预测表R1"/>
      <sheetName val="2026产能规划预排R2"/>
      <sheetName val="2026年产能规划R11"/>
      <sheetName val="胶料用量预测R11"/>
      <sheetName val="给公司生产部"/>
      <sheetName val="密炼机配置选型说明"/>
      <sheetName val="Sheet1"/>
      <sheetName val="Sheet2"/>
      <sheetName val="Sheet3"/>
    </sheetNames>
    <sheetDataSet>
      <sheetData sheetId="0"/>
      <sheetData sheetId="1"/>
      <sheetData sheetId="2"/>
      <sheetData sheetId="3">
        <row r="35">
          <cell r="K35">
            <v>20859.20694</v>
          </cell>
        </row>
        <row r="65">
          <cell r="K65">
            <v>4655.952</v>
          </cell>
        </row>
        <row r="77">
          <cell r="K77">
            <v>1176.35328</v>
          </cell>
        </row>
        <row r="85">
          <cell r="K85">
            <v>821.268864</v>
          </cell>
        </row>
        <row r="93">
          <cell r="K93">
            <v>499.224</v>
          </cell>
        </row>
        <row r="101">
          <cell r="K101">
            <v>1677.39264</v>
          </cell>
        </row>
        <row r="124">
          <cell r="K124">
            <v>324.2724</v>
          </cell>
        </row>
        <row r="132">
          <cell r="K132">
            <v>630.4284</v>
          </cell>
        </row>
        <row r="140">
          <cell r="K140">
            <v>350.238</v>
          </cell>
        </row>
        <row r="189">
          <cell r="K189">
            <v>582.552</v>
          </cell>
        </row>
        <row r="200">
          <cell r="K200">
            <v>71.0079552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5">
    <outlinePr summaryBelow="1" summaryRight="1"/>
    <pageSetUpPr fitToPage="1"/>
  </sheetPr>
  <dimension ref="A1:O442"/>
  <sheetViews>
    <sheetView zoomScaleSheetLayoutView="60" workbookViewId="0">
      <pane ySplit="1" topLeftCell="A43" activePane="bottomLeft" state="frozen"/>
      <selection activeCell="A1" sqref="A1"/>
      <selection pane="bottomLeft" activeCell="B49" sqref="B49"/>
    </sheetView>
  </sheetViews>
  <sheetFormatPr baseColWidth="8" defaultColWidth="8.15" defaultRowHeight="15.6"/>
  <cols>
    <col width="59.4166666666667" customWidth="1" style="397" min="1" max="1"/>
    <col width="8.1" customWidth="1" style="398" min="2" max="2"/>
    <col width="8.1" customWidth="1" style="399" min="3" max="3"/>
    <col width="8.199999999999999" customWidth="1" style="74" min="4" max="4"/>
    <col width="8.15" customWidth="1" style="69" min="5" max="5"/>
    <col width="9.800000000000001" customWidth="1" style="69" min="6" max="6"/>
    <col width="8.15" customWidth="1" style="69" min="7" max="7"/>
    <col width="8" customWidth="1" style="74" min="8" max="8"/>
    <col width="8.15" customWidth="1" style="69" min="9" max="9"/>
    <col width="8.15" customWidth="1" style="420" min="10" max="10"/>
    <col width="7.3" customWidth="1" style="74" min="11" max="11"/>
    <col width="7.7" customWidth="1" style="74" min="12" max="12"/>
    <col width="8.15" customWidth="1" style="74" min="13" max="14"/>
    <col width="9.800000000000001" customWidth="1" style="74" min="15" max="15"/>
    <col width="8.15" customWidth="1" style="69" min="16" max="16384"/>
  </cols>
  <sheetData>
    <row r="1">
      <c r="A1" s="401" t="inlineStr">
        <is>
          <t>2025年7月外贸印尼计划需求</t>
        </is>
      </c>
      <c r="B1" s="402" t="n"/>
      <c r="C1" s="403" t="n"/>
      <c r="D1" s="404" t="n"/>
    </row>
    <row r="2">
      <c r="A2" s="405" t="inlineStr">
        <is>
          <t>产品名称</t>
        </is>
      </c>
      <c r="B2" s="406" t="n"/>
      <c r="C2" s="407" t="n"/>
      <c r="E2" s="408" t="n"/>
    </row>
    <row r="3">
      <c r="A3" s="409" t="inlineStr">
        <is>
          <t>ID10.00-20-14PR[CR918]威狮</t>
        </is>
      </c>
      <c r="B3" s="406" t="n">
        <v>450</v>
      </c>
      <c r="C3" s="410" t="inlineStr">
        <is>
          <t>北美</t>
        </is>
      </c>
      <c r="D3" s="74">
        <f>MID(A3,FIND("-",A3)+1,2)</f>
        <v/>
      </c>
      <c r="E3" s="408" t="inlineStr">
        <is>
          <t>载重</t>
        </is>
      </c>
      <c r="F3" s="69">
        <f>E3&amp;D3&amp;"寸"</f>
        <v/>
      </c>
    </row>
    <row r="4">
      <c r="A4" s="409" t="inlineStr">
        <is>
          <t>ID10.00-20-16PR[CR952]146/142G 威狮</t>
        </is>
      </c>
      <c r="B4" s="406" t="n">
        <v>280</v>
      </c>
      <c r="C4" s="410" t="inlineStr">
        <is>
          <t>亚</t>
        </is>
      </c>
      <c r="D4" s="74">
        <f>MID(A4,FIND("-",A4)+1,2)</f>
        <v/>
      </c>
      <c r="E4" s="408" t="inlineStr">
        <is>
          <t>载重</t>
        </is>
      </c>
      <c r="F4" s="69">
        <f>E4&amp;D4&amp;"寸"</f>
        <v/>
      </c>
    </row>
    <row r="5">
      <c r="A5" s="409" t="inlineStr">
        <is>
          <t>ID10.00-20-16PR[R9037]146/142G 朝阳</t>
        </is>
      </c>
      <c r="B5" s="406" t="n">
        <v>2000</v>
      </c>
      <c r="C5" s="410" t="inlineStr">
        <is>
          <t>亚</t>
        </is>
      </c>
      <c r="D5" s="74">
        <f>MID(A5,FIND("-",A5)+1,2)</f>
        <v/>
      </c>
      <c r="E5" s="408" t="inlineStr">
        <is>
          <t>载重</t>
        </is>
      </c>
      <c r="F5" s="69">
        <f>E5&amp;D5&amp;"寸"</f>
        <v/>
      </c>
    </row>
    <row r="6">
      <c r="A6" s="409" t="inlineStr">
        <is>
          <t>ID10.00-20-16PR[R9037]146/142G 金冠</t>
        </is>
      </c>
      <c r="B6" s="406" t="n">
        <v>2000</v>
      </c>
      <c r="C6" s="410" t="inlineStr">
        <is>
          <t>亚</t>
        </is>
      </c>
      <c r="D6" s="74">
        <f>MID(A6,FIND("-",A6)+1,2)</f>
        <v/>
      </c>
      <c r="E6" s="408" t="inlineStr">
        <is>
          <t>载重</t>
        </is>
      </c>
      <c r="F6" s="69">
        <f>E6&amp;D6&amp;"寸"</f>
        <v/>
      </c>
    </row>
    <row r="7">
      <c r="A7" s="409" t="inlineStr">
        <is>
          <t>ID10.00-20-18PR[AB111]150/145G ASCENDO</t>
        </is>
      </c>
      <c r="B7" s="406" t="n">
        <v>180</v>
      </c>
      <c r="C7" s="410" t="inlineStr">
        <is>
          <t>亚</t>
        </is>
      </c>
      <c r="D7" s="74">
        <f>MID(A7,FIND("-",A7)+1,2)</f>
        <v/>
      </c>
      <c r="E7" s="408" t="inlineStr">
        <is>
          <t>载重</t>
        </is>
      </c>
      <c r="F7" s="69">
        <f>E7&amp;D7&amp;"寸"</f>
        <v/>
      </c>
    </row>
    <row r="8">
      <c r="A8" s="409" t="inlineStr">
        <is>
          <t>ID10.00-20-18PR[AB316]150/145G ASCENDO</t>
        </is>
      </c>
      <c r="B8" s="406" t="n">
        <v>500</v>
      </c>
      <c r="C8" s="410" t="inlineStr">
        <is>
          <t>亚</t>
        </is>
      </c>
      <c r="D8" s="74">
        <f>MID(A8,FIND("-",A8)+1,2)</f>
        <v/>
      </c>
      <c r="E8" s="408" t="inlineStr">
        <is>
          <t>载重</t>
        </is>
      </c>
      <c r="F8" s="69">
        <f>E8&amp;D8&amp;"寸"</f>
        <v/>
      </c>
    </row>
    <row r="9">
      <c r="A9" s="409" t="inlineStr">
        <is>
          <t>ID10.00-20-18PR[CL956]150/145G 金冠</t>
        </is>
      </c>
      <c r="B9" s="406" t="n">
        <v>1000</v>
      </c>
      <c r="C9" s="410" t="inlineStr">
        <is>
          <t>亚</t>
        </is>
      </c>
      <c r="D9" s="74">
        <f>MID(A9,FIND("-",A9)+1,2)</f>
        <v/>
      </c>
      <c r="E9" s="408" t="inlineStr">
        <is>
          <t>载重</t>
        </is>
      </c>
      <c r="F9" s="69">
        <f>E9&amp;D9&amp;"寸"</f>
        <v/>
      </c>
    </row>
    <row r="10">
      <c r="A10" s="409" t="inlineStr">
        <is>
          <t>ID10.00-20-18PR[CR952]150/145G TRAZANO(全诺)</t>
        </is>
      </c>
      <c r="B10" s="406" t="n">
        <v>2000</v>
      </c>
      <c r="C10" s="410" t="inlineStr">
        <is>
          <t>亚</t>
        </is>
      </c>
      <c r="D10" s="74">
        <f>MID(A10,FIND("-",A10)+1,2)</f>
        <v/>
      </c>
      <c r="E10" s="408" t="inlineStr">
        <is>
          <t>载重</t>
        </is>
      </c>
      <c r="F10" s="69">
        <f>E10&amp;D10&amp;"寸"</f>
        <v/>
      </c>
    </row>
    <row r="11">
      <c r="A11" s="409" t="inlineStr">
        <is>
          <t>ID10.00-20-18PR[CR952]150/145G 金冠</t>
        </is>
      </c>
      <c r="B11" s="406" t="n">
        <v>2000</v>
      </c>
      <c r="C11" s="410" t="inlineStr">
        <is>
          <t>亚</t>
        </is>
      </c>
      <c r="D11" s="74">
        <f>MID(A11,FIND("-",A11)+1,2)</f>
        <v/>
      </c>
      <c r="E11" s="408" t="inlineStr">
        <is>
          <t>载重</t>
        </is>
      </c>
      <c r="F11" s="69">
        <f>E11&amp;D11&amp;"寸"</f>
        <v/>
      </c>
    </row>
    <row r="12">
      <c r="A12" s="409" t="inlineStr">
        <is>
          <t>ID10.00-20-18PR[CR952]150/145G 威狮</t>
        </is>
      </c>
      <c r="B12" s="406" t="n">
        <v>560</v>
      </c>
      <c r="C12" s="410" t="inlineStr">
        <is>
          <t>亚</t>
        </is>
      </c>
      <c r="D12" s="74">
        <f>MID(A12,FIND("-",A12)+1,2)</f>
        <v/>
      </c>
      <c r="E12" s="408" t="inlineStr">
        <is>
          <t>载重</t>
        </is>
      </c>
      <c r="F12" s="69">
        <f>E12&amp;D12&amp;"寸"</f>
        <v/>
      </c>
    </row>
    <row r="13">
      <c r="A13" s="409" t="inlineStr">
        <is>
          <t>ID10.00-20-18PR[M9097]150/145G 朝阳</t>
        </is>
      </c>
      <c r="B13" s="406" t="n">
        <v>2000</v>
      </c>
      <c r="C13" s="410" t="inlineStr">
        <is>
          <t>亚</t>
        </is>
      </c>
      <c r="D13" s="74">
        <f>MID(A13,FIND("-",A13)+1,2)</f>
        <v/>
      </c>
      <c r="E13" s="408" t="inlineStr">
        <is>
          <t>载重</t>
        </is>
      </c>
      <c r="F13" s="69">
        <f>E13&amp;D13&amp;"寸"</f>
        <v/>
      </c>
    </row>
    <row r="14">
      <c r="A14" s="409" t="inlineStr">
        <is>
          <t>ID10.00-20-18PR[M9097]150/145G 金冠</t>
        </is>
      </c>
      <c r="B14" s="406" t="n">
        <v>850</v>
      </c>
      <c r="C14" s="410" t="inlineStr">
        <is>
          <t>亚</t>
        </is>
      </c>
      <c r="D14" s="74">
        <f>MID(A14,FIND("-",A14)+1,2)</f>
        <v/>
      </c>
      <c r="E14" s="408" t="inlineStr">
        <is>
          <t>载重</t>
        </is>
      </c>
      <c r="F14" s="69">
        <f>E14&amp;D14&amp;"寸"</f>
        <v/>
      </c>
    </row>
    <row r="15">
      <c r="A15" s="409" t="inlineStr">
        <is>
          <t>ID10.00-20-18PR[M9097]150/145G 威狮</t>
        </is>
      </c>
      <c r="B15" s="406" t="n">
        <v>1400</v>
      </c>
      <c r="C15" s="410" t="inlineStr">
        <is>
          <t>亚</t>
        </is>
      </c>
      <c r="D15" s="74">
        <f>MID(A15,FIND("-",A15)+1,2)</f>
        <v/>
      </c>
      <c r="E15" s="408" t="inlineStr">
        <is>
          <t>载重</t>
        </is>
      </c>
      <c r="F15" s="69">
        <f>E15&amp;D15&amp;"寸"</f>
        <v/>
      </c>
    </row>
    <row r="16">
      <c r="A16" s="409" t="inlineStr">
        <is>
          <t>ID10.00-20-18PR[R9037]150/145G 朝阳</t>
        </is>
      </c>
      <c r="B16" s="406" t="n">
        <v>150</v>
      </c>
      <c r="C16" s="410" t="inlineStr">
        <is>
          <t>亚</t>
        </is>
      </c>
      <c r="D16" s="74">
        <f>MID(A16,FIND("-",A16)+1,2)</f>
        <v/>
      </c>
      <c r="E16" s="408" t="inlineStr">
        <is>
          <t>载重</t>
        </is>
      </c>
      <c r="F16" s="69">
        <f>E16&amp;D16&amp;"寸"</f>
        <v/>
      </c>
    </row>
    <row r="17">
      <c r="A17" s="409" t="inlineStr">
        <is>
          <t>ID10.00-20-18PR[R9037]150/145G 金冠</t>
        </is>
      </c>
      <c r="B17" s="406" t="n">
        <v>520</v>
      </c>
      <c r="C17" s="410" t="inlineStr">
        <is>
          <t>亚</t>
        </is>
      </c>
      <c r="D17" s="74">
        <f>MID(A17,FIND("-",A17)+1,2)</f>
        <v/>
      </c>
      <c r="E17" s="408" t="inlineStr">
        <is>
          <t>载重</t>
        </is>
      </c>
      <c r="F17" s="69">
        <f>E17&amp;D17&amp;"寸"</f>
        <v/>
      </c>
    </row>
    <row r="18">
      <c r="A18" s="409" t="inlineStr">
        <is>
          <t>ID10.00-20-18PR[R9037]150/145G 威狮</t>
        </is>
      </c>
      <c r="B18" s="406" t="n">
        <v>750</v>
      </c>
      <c r="C18" s="410" t="inlineStr">
        <is>
          <t>亚</t>
        </is>
      </c>
      <c r="D18" s="74">
        <f>MID(A18,FIND("-",A18)+1,2)</f>
        <v/>
      </c>
      <c r="E18" s="408" t="inlineStr">
        <is>
          <t>载重</t>
        </is>
      </c>
      <c r="F18" s="69">
        <f>E18&amp;D18&amp;"寸"</f>
        <v/>
      </c>
    </row>
    <row r="19">
      <c r="A19" s="409" t="inlineStr">
        <is>
          <t>ID10.00-20-18PR[R9038]150/145G GOODRIDE(好运)</t>
        </is>
      </c>
      <c r="B19" s="406" t="n">
        <v>550</v>
      </c>
      <c r="C19" s="410" t="inlineStr">
        <is>
          <t>亚</t>
        </is>
      </c>
      <c r="D19" s="74">
        <f>MID(A19,FIND("-",A19)+1,2)</f>
        <v/>
      </c>
      <c r="E19" s="408" t="inlineStr">
        <is>
          <t>载重</t>
        </is>
      </c>
      <c r="F19" s="69">
        <f>E19&amp;D19&amp;"寸"</f>
        <v/>
      </c>
    </row>
    <row r="20">
      <c r="A20" s="409" t="inlineStr">
        <is>
          <t>ID11.00-20-18PR[CL969]153/148G 朝阳</t>
        </is>
      </c>
      <c r="B20" s="406" t="n">
        <v>100</v>
      </c>
      <c r="C20" s="410" t="inlineStr">
        <is>
          <t>亚</t>
        </is>
      </c>
      <c r="D20" s="74">
        <f>MID(A20,FIND("-",A20)+1,2)</f>
        <v/>
      </c>
      <c r="E20" s="408" t="inlineStr">
        <is>
          <t>载重</t>
        </is>
      </c>
      <c r="F20" s="69">
        <f>E20&amp;D20&amp;"寸"</f>
        <v/>
      </c>
    </row>
    <row r="21">
      <c r="A21" s="409" t="inlineStr">
        <is>
          <t>ID11.00-20-18PR[CL969]153/148G 金冠</t>
        </is>
      </c>
      <c r="B21" s="406" t="n">
        <v>750</v>
      </c>
      <c r="C21" s="410" t="inlineStr">
        <is>
          <t>亚</t>
        </is>
      </c>
      <c r="D21" s="74">
        <f>MID(A21,FIND("-",A21)+1,2)</f>
        <v/>
      </c>
      <c r="E21" s="408" t="inlineStr">
        <is>
          <t>载重</t>
        </is>
      </c>
      <c r="F21" s="69">
        <f>E21&amp;D21&amp;"寸"</f>
        <v/>
      </c>
    </row>
    <row r="22">
      <c r="A22" s="409" t="inlineStr">
        <is>
          <t>ID11.00-20-18PR[CL969]153/148G 威狮</t>
        </is>
      </c>
      <c r="B22" s="406" t="n">
        <v>100</v>
      </c>
      <c r="C22" s="410" t="inlineStr">
        <is>
          <t>亚</t>
        </is>
      </c>
      <c r="D22" s="74">
        <f>MID(A22,FIND("-",A22)+1,2)</f>
        <v/>
      </c>
      <c r="E22" s="408" t="inlineStr">
        <is>
          <t>载重</t>
        </is>
      </c>
      <c r="F22" s="69">
        <f>E22&amp;D22&amp;"寸"</f>
        <v/>
      </c>
    </row>
    <row r="23">
      <c r="A23" s="409" t="inlineStr">
        <is>
          <t>ID11.00-20-18PR[CR952]153/148G TRAZANO(全诺)</t>
        </is>
      </c>
      <c r="B23" s="406" t="n">
        <v>1000</v>
      </c>
      <c r="C23" s="410" t="inlineStr">
        <is>
          <t>亚</t>
        </is>
      </c>
      <c r="D23" s="74">
        <f>MID(A23,FIND("-",A23)+1,2)</f>
        <v/>
      </c>
      <c r="E23" s="408" t="inlineStr">
        <is>
          <t>载重</t>
        </is>
      </c>
      <c r="F23" s="69">
        <f>E23&amp;D23&amp;"寸"</f>
        <v/>
      </c>
    </row>
    <row r="24">
      <c r="A24" s="409" t="inlineStr">
        <is>
          <t>ID11.00-20-18PR[CR952]153/148G 朝阳</t>
        </is>
      </c>
      <c r="B24" s="406" t="n">
        <v>120</v>
      </c>
      <c r="C24" s="410" t="inlineStr">
        <is>
          <t>亚</t>
        </is>
      </c>
      <c r="D24" s="74">
        <f>MID(A24,FIND("-",A24)+1,2)</f>
        <v/>
      </c>
      <c r="E24" s="408" t="inlineStr">
        <is>
          <t>载重</t>
        </is>
      </c>
      <c r="F24" s="69">
        <f>E24&amp;D24&amp;"寸"</f>
        <v/>
      </c>
      <c r="H24" s="408" t="n"/>
    </row>
    <row r="25">
      <c r="A25" s="409" t="inlineStr">
        <is>
          <t>ID11.00-20-18PR[CR952]153/148G 金冠</t>
        </is>
      </c>
      <c r="B25" s="406" t="n">
        <v>250</v>
      </c>
      <c r="C25" s="410" t="inlineStr">
        <is>
          <t>亚</t>
        </is>
      </c>
      <c r="D25" s="74">
        <f>MID(A25,FIND("-",A25)+1,2)</f>
        <v/>
      </c>
      <c r="E25" s="408" t="inlineStr">
        <is>
          <t>载重</t>
        </is>
      </c>
      <c r="F25" s="69">
        <f>E25&amp;D25&amp;"寸"</f>
        <v/>
      </c>
    </row>
    <row r="26">
      <c r="A26" s="409" t="inlineStr">
        <is>
          <t>ID11.00-20-18PR[CR952]153/148G 威狮</t>
        </is>
      </c>
      <c r="B26" s="411" t="n">
        <v>550</v>
      </c>
      <c r="C26" s="410" t="inlineStr">
        <is>
          <t>亚</t>
        </is>
      </c>
      <c r="D26" s="74">
        <f>MID(A26,FIND("-",A26)+1,2)</f>
        <v/>
      </c>
      <c r="E26" s="408" t="inlineStr">
        <is>
          <t>载重</t>
        </is>
      </c>
      <c r="F26" s="69">
        <f>E26&amp;D26&amp;"寸"</f>
        <v/>
      </c>
    </row>
    <row r="27">
      <c r="A27" s="409" t="inlineStr">
        <is>
          <t>ID11.00-20-18PR[CR952]153/148G 雅度</t>
        </is>
      </c>
      <c r="B27" s="406" t="n">
        <v>2000</v>
      </c>
      <c r="C27" s="410" t="inlineStr">
        <is>
          <t>亚</t>
        </is>
      </c>
      <c r="D27" s="74">
        <f>MID(A27,FIND("-",A27)+1,2)</f>
        <v/>
      </c>
      <c r="E27" s="408" t="inlineStr">
        <is>
          <t>载重</t>
        </is>
      </c>
      <c r="F27" s="69">
        <f>E27&amp;D27&amp;"寸"</f>
        <v/>
      </c>
    </row>
    <row r="28">
      <c r="A28" s="409" t="inlineStr">
        <is>
          <t>ID11.00-20-18PR[CR952PRO]153/148G 金冠</t>
        </is>
      </c>
      <c r="B28" s="406" t="n">
        <v>600</v>
      </c>
      <c r="C28" s="410" t="inlineStr">
        <is>
          <t>亚</t>
        </is>
      </c>
      <c r="D28" s="74">
        <f>MID(A28,FIND("-",A28)+1,2)</f>
        <v/>
      </c>
      <c r="E28" s="408" t="inlineStr">
        <is>
          <t>载重</t>
        </is>
      </c>
      <c r="F28" s="69">
        <f>E28&amp;D28&amp;"寸"</f>
        <v/>
      </c>
    </row>
    <row r="29">
      <c r="A29" s="409" t="inlineStr">
        <is>
          <t>ID7.50-15-12PR[R8037]119/115J 金冠</t>
        </is>
      </c>
      <c r="B29" s="406" t="n">
        <v>800</v>
      </c>
      <c r="C29" s="410" t="inlineStr">
        <is>
          <t>亚</t>
        </is>
      </c>
      <c r="D29" s="74">
        <f>MID(A29,FIND("-",A29)+1,2)</f>
        <v/>
      </c>
      <c r="E29" s="408" t="inlineStr">
        <is>
          <t>轻卡</t>
        </is>
      </c>
      <c r="F29" s="69">
        <f>E29&amp;D29&amp;"寸"</f>
        <v/>
      </c>
      <c r="H29" s="408" t="n"/>
    </row>
    <row r="30">
      <c r="A30" s="409" t="inlineStr">
        <is>
          <t>ID7.50-16-14PR[AB111]122/118J ASCENDO</t>
        </is>
      </c>
      <c r="B30" s="406" t="n">
        <v>850</v>
      </c>
      <c r="C30" s="410" t="inlineStr">
        <is>
          <t>亚</t>
        </is>
      </c>
      <c r="D30" s="74">
        <f>MID(A30,FIND("-",A30)+1,2)</f>
        <v/>
      </c>
      <c r="E30" s="408" t="inlineStr">
        <is>
          <t>轻卡</t>
        </is>
      </c>
      <c r="F30" s="69">
        <f>E30&amp;D30&amp;"寸"</f>
        <v/>
      </c>
      <c r="H30" s="408" t="n"/>
    </row>
    <row r="31">
      <c r="A31" s="409" t="inlineStr">
        <is>
          <t>ID7.50-16-14PR[L8056]122/118G 朝阳</t>
        </is>
      </c>
      <c r="B31" s="406" t="n">
        <v>500</v>
      </c>
      <c r="C31" s="410" t="inlineStr">
        <is>
          <t>亚</t>
        </is>
      </c>
      <c r="D31" s="74">
        <f>MID(A31,FIND("-",A31)+1,2)</f>
        <v/>
      </c>
      <c r="E31" s="408" t="inlineStr">
        <is>
          <t>轻卡</t>
        </is>
      </c>
      <c r="F31" s="69">
        <f>E31&amp;D31&amp;"寸"</f>
        <v/>
      </c>
      <c r="H31" s="408" t="n"/>
    </row>
    <row r="32">
      <c r="A32" s="409" t="inlineStr">
        <is>
          <t>ID7.50-16-14PR[M8087]122/118G TRAZANO(全诺)</t>
        </is>
      </c>
      <c r="B32" s="406" t="n">
        <v>3000</v>
      </c>
      <c r="C32" s="410" t="inlineStr">
        <is>
          <t>亚</t>
        </is>
      </c>
      <c r="D32" s="74">
        <f>MID(A32,FIND("-",A32)+1,2)</f>
        <v/>
      </c>
      <c r="E32" s="408" t="inlineStr">
        <is>
          <t>轻卡</t>
        </is>
      </c>
      <c r="F32" s="69">
        <f>E32&amp;D32&amp;"寸"</f>
        <v/>
      </c>
      <c r="H32" s="408" t="n"/>
    </row>
    <row r="33">
      <c r="A33" s="409" t="inlineStr">
        <is>
          <t>ID7.50-16-14PR[M8087]122/118G 朝阳</t>
        </is>
      </c>
      <c r="B33" s="406" t="n">
        <v>3000</v>
      </c>
      <c r="C33" s="410" t="inlineStr">
        <is>
          <t>亚</t>
        </is>
      </c>
      <c r="D33" s="74">
        <f>MID(A33,FIND("-",A33)+1,2)</f>
        <v/>
      </c>
      <c r="E33" s="408" t="inlineStr">
        <is>
          <t>轻卡</t>
        </is>
      </c>
      <c r="F33" s="69">
        <f>E33&amp;D33&amp;"寸"</f>
        <v/>
      </c>
      <c r="H33" s="408" t="n"/>
    </row>
    <row r="34">
      <c r="A34" s="409" t="inlineStr">
        <is>
          <t>ID7.50-16-14PR[M8087]122/118G 金冠</t>
        </is>
      </c>
      <c r="B34" s="406" t="n">
        <v>4000</v>
      </c>
      <c r="C34" s="410" t="inlineStr">
        <is>
          <t>亚</t>
        </is>
      </c>
      <c r="D34" s="74">
        <f>MID(A34,FIND("-",A34)+1,2)</f>
        <v/>
      </c>
      <c r="E34" s="408" t="inlineStr">
        <is>
          <t>轻卡</t>
        </is>
      </c>
      <c r="F34" s="69">
        <f>E34&amp;D34&amp;"寸"</f>
        <v/>
      </c>
      <c r="H34" s="408" t="n"/>
    </row>
    <row r="35">
      <c r="A35" s="409" t="inlineStr">
        <is>
          <t>ID7.50-16-14PR[M8087]122/118G 威狮</t>
        </is>
      </c>
      <c r="B35" s="406" t="n">
        <v>1300</v>
      </c>
      <c r="C35" s="410" t="inlineStr">
        <is>
          <t>亚</t>
        </is>
      </c>
      <c r="D35" s="74">
        <f>MID(A35,FIND("-",A35)+1,2)</f>
        <v/>
      </c>
      <c r="E35" s="408" t="inlineStr">
        <is>
          <t>轻卡</t>
        </is>
      </c>
      <c r="F35" s="69">
        <f>E35&amp;D35&amp;"寸"</f>
        <v/>
      </c>
      <c r="H35" s="408" t="n"/>
    </row>
    <row r="36">
      <c r="A36" s="409" t="inlineStr">
        <is>
          <t>ID7.50-16-14PR[R8037]122/118J TRAZANO(全诺)</t>
        </is>
      </c>
      <c r="B36" s="406" t="n">
        <v>2000</v>
      </c>
      <c r="C36" s="410" t="inlineStr">
        <is>
          <t>亚</t>
        </is>
      </c>
      <c r="D36" s="74">
        <f>MID(A36,FIND("-",A36)+1,2)</f>
        <v/>
      </c>
      <c r="E36" s="408" t="inlineStr">
        <is>
          <t>轻卡</t>
        </is>
      </c>
      <c r="F36" s="69">
        <f>E36&amp;D36&amp;"寸"</f>
        <v/>
      </c>
      <c r="H36" s="408" t="n"/>
    </row>
    <row r="37">
      <c r="A37" s="409" t="inlineStr">
        <is>
          <t>ID7.50-16-14PR[R8037]122/118J 朝阳</t>
        </is>
      </c>
      <c r="B37" s="406" t="n">
        <v>8000</v>
      </c>
      <c r="C37" s="410" t="inlineStr">
        <is>
          <t>亚</t>
        </is>
      </c>
      <c r="D37" s="74">
        <f>MID(A37,FIND("-",A37)+1,2)</f>
        <v/>
      </c>
      <c r="E37" s="408" t="inlineStr">
        <is>
          <t>轻卡</t>
        </is>
      </c>
      <c r="F37" s="69">
        <f>E37&amp;D37&amp;"寸"</f>
        <v/>
      </c>
      <c r="H37" s="408" t="n"/>
    </row>
    <row r="38">
      <c r="A38" s="409" t="inlineStr">
        <is>
          <t>ID7.50-16-14PR[R8038]122/118J GOODRIDE(好运)</t>
        </is>
      </c>
      <c r="B38" s="406" t="n">
        <v>4500</v>
      </c>
      <c r="C38" s="410" t="inlineStr">
        <is>
          <t>亚</t>
        </is>
      </c>
      <c r="D38" s="74">
        <f>MID(A38,FIND("-",A38)+1,2)</f>
        <v/>
      </c>
      <c r="E38" s="408" t="inlineStr">
        <is>
          <t>轻卡</t>
        </is>
      </c>
      <c r="F38" s="69">
        <f>E38&amp;D38&amp;"寸"</f>
        <v/>
      </c>
      <c r="H38" s="408" t="n"/>
    </row>
    <row r="39">
      <c r="A39" s="409" t="inlineStr">
        <is>
          <t>ID7.50-16-14PR[R8038]122/118J 金冠</t>
        </is>
      </c>
      <c r="B39" s="406" t="n">
        <v>5000</v>
      </c>
      <c r="C39" s="410" t="inlineStr">
        <is>
          <t>亚</t>
        </is>
      </c>
      <c r="D39" s="74">
        <f>MID(A39,FIND("-",A39)+1,2)</f>
        <v/>
      </c>
      <c r="E39" s="408" t="inlineStr">
        <is>
          <t>轻卡</t>
        </is>
      </c>
      <c r="F39" s="69">
        <f>E39&amp;D39&amp;"寸"</f>
        <v/>
      </c>
      <c r="H39" s="408" t="n"/>
      <c r="K39" s="412" t="n"/>
      <c r="L39" s="413" t="n"/>
      <c r="M39" s="413" t="n"/>
      <c r="N39" s="413" t="n"/>
    </row>
    <row r="40">
      <c r="A40" s="409" t="inlineStr">
        <is>
          <t>ID7.50-16LT-14PR[CL891]122/118B 威狮</t>
        </is>
      </c>
      <c r="B40" s="406" t="n">
        <v>3000</v>
      </c>
      <c r="C40" s="410" t="inlineStr">
        <is>
          <t>亚</t>
        </is>
      </c>
      <c r="D40" s="74">
        <f>MID(A40,FIND("-",A40)+1,2)</f>
        <v/>
      </c>
      <c r="E40" s="408" t="inlineStr">
        <is>
          <t>轻卡</t>
        </is>
      </c>
      <c r="F40" s="69">
        <f>E40&amp;D40&amp;"寸"</f>
        <v/>
      </c>
      <c r="H40" s="408" t="n"/>
    </row>
    <row r="41">
      <c r="A41" s="409" t="inlineStr">
        <is>
          <t>ID7.50-16LT-14PR[MX882]122/118K 威狮</t>
        </is>
      </c>
      <c r="B41" s="406" t="n">
        <v>1300</v>
      </c>
      <c r="C41" s="410" t="inlineStr">
        <is>
          <t>亚</t>
        </is>
      </c>
      <c r="D41" s="74">
        <f>MID(A41,FIND("-",A41)+1,2)</f>
        <v/>
      </c>
      <c r="E41" s="408" t="inlineStr">
        <is>
          <t>轻卡</t>
        </is>
      </c>
      <c r="F41" s="69">
        <f>E41&amp;D41&amp;"寸"</f>
        <v/>
      </c>
      <c r="H41" s="408" t="n"/>
      <c r="O41" s="414" t="n"/>
    </row>
    <row r="42">
      <c r="A42" s="409" t="inlineStr">
        <is>
          <t>IDST205/75D15-6PR[TE898]101/97L TRANSEAGLE无内</t>
        </is>
      </c>
      <c r="B42" s="406" t="n">
        <v>500</v>
      </c>
      <c r="C42" s="410" t="inlineStr">
        <is>
          <t>北美</t>
        </is>
      </c>
      <c r="D42" s="74">
        <f>MID(A42,FIND("-",A42)-2,2)</f>
        <v/>
      </c>
      <c r="E42" s="408" t="inlineStr">
        <is>
          <t>ST</t>
        </is>
      </c>
      <c r="F42" s="69">
        <f>E42&amp;D42&amp;"寸"</f>
        <v/>
      </c>
      <c r="H42" s="408" t="n"/>
      <c r="O42" s="414" t="n"/>
    </row>
    <row r="43">
      <c r="A43" s="409" t="inlineStr">
        <is>
          <t>IDST205/75R14-8PR[ST Radial]105/101M Tamarack无内 NR</t>
        </is>
      </c>
      <c r="B43" s="406" t="n">
        <v>12000</v>
      </c>
      <c r="C43" s="410" t="inlineStr">
        <is>
          <t>北美</t>
        </is>
      </c>
      <c r="D43" s="74">
        <f>MID(A43,FIND("-",A43)-2,2)</f>
        <v/>
      </c>
      <c r="E43" s="408" t="inlineStr">
        <is>
          <t>半钢ST</t>
        </is>
      </c>
      <c r="F43" s="69">
        <f>E43&amp;D43&amp;"寸"</f>
        <v/>
      </c>
      <c r="H43" s="408" t="n"/>
      <c r="O43" s="414" t="n"/>
    </row>
    <row r="44">
      <c r="A44" s="409" t="inlineStr">
        <is>
          <t>IDST205/75R15-8PR[ST226]107/102L CASTLE ROCK无内 NR</t>
        </is>
      </c>
      <c r="B44" s="406" t="n">
        <v>5900</v>
      </c>
      <c r="C44" s="410" t="inlineStr">
        <is>
          <t>北美</t>
        </is>
      </c>
      <c r="D44" s="74">
        <f>MID(A44,FIND("-",A44)-2,2)</f>
        <v/>
      </c>
      <c r="E44" s="408" t="inlineStr">
        <is>
          <t>半钢ST</t>
        </is>
      </c>
      <c r="F44" s="69">
        <f>E44&amp;D44&amp;"寸"</f>
        <v/>
      </c>
      <c r="H44" s="408" t="n"/>
      <c r="O44" s="414" t="n"/>
    </row>
    <row r="45">
      <c r="A45" s="409" t="inlineStr">
        <is>
          <t>IDST225/75R15-10PR[ST Radial]117/112M Tamarack无内 NR</t>
        </is>
      </c>
      <c r="B45" s="406" t="n">
        <v>1000</v>
      </c>
      <c r="C45" s="410" t="inlineStr">
        <is>
          <t>北美</t>
        </is>
      </c>
      <c r="D45" s="74">
        <f>MID(A45,FIND("-",A45)-2,2)</f>
        <v/>
      </c>
      <c r="E45" s="408" t="inlineStr">
        <is>
          <t>半钢ST</t>
        </is>
      </c>
      <c r="F45" s="69">
        <f>E45&amp;D45&amp;"寸"</f>
        <v/>
      </c>
      <c r="H45" s="408" t="n"/>
      <c r="O45" s="414" t="n"/>
    </row>
    <row r="46">
      <c r="A46" s="409" t="inlineStr">
        <is>
          <t>IDST225/75R15-8PR[ST Radial]113/108M Tamarack无内 NR</t>
        </is>
      </c>
      <c r="B46" s="406" t="n">
        <v>1300</v>
      </c>
      <c r="C46" s="410" t="inlineStr">
        <is>
          <t>北美</t>
        </is>
      </c>
      <c r="D46" s="74">
        <f>MID(A46,FIND("-",A46)-2,2)</f>
        <v/>
      </c>
      <c r="E46" s="408" t="inlineStr">
        <is>
          <t>半钢ST</t>
        </is>
      </c>
      <c r="F46" s="69">
        <f>E46&amp;D46&amp;"寸"</f>
        <v/>
      </c>
      <c r="H46" s="408" t="n"/>
    </row>
    <row r="47">
      <c r="A47" s="409" t="inlineStr">
        <is>
          <t>IDST235/80R16-10PR[ST226]124/120L CASTLE ROCK无内 NR</t>
        </is>
      </c>
      <c r="B47" s="406" t="n">
        <v>5300</v>
      </c>
      <c r="C47" s="410" t="inlineStr">
        <is>
          <t>北美</t>
        </is>
      </c>
      <c r="D47" s="74">
        <f>MID(A47,FIND("-",A47)-2,2)</f>
        <v/>
      </c>
      <c r="E47" s="408" t="inlineStr">
        <is>
          <t>半钢ST</t>
        </is>
      </c>
      <c r="F47" s="69">
        <f>E47&amp;D47&amp;"寸"</f>
        <v/>
      </c>
      <c r="H47" s="408" t="n"/>
    </row>
    <row r="48">
      <c r="A48" s="409" t="inlineStr">
        <is>
          <t>IDST235/85R16-12PR[ST Radial]128/124M Tamarack无内 NR</t>
        </is>
      </c>
      <c r="B48" s="406" t="n">
        <v>350</v>
      </c>
      <c r="C48" s="410" t="inlineStr">
        <is>
          <t>北美</t>
        </is>
      </c>
      <c r="D48" s="74">
        <f>MID(A48,FIND("-",A48)-2,2)</f>
        <v/>
      </c>
      <c r="E48" s="408" t="inlineStr">
        <is>
          <t>半钢ST</t>
        </is>
      </c>
      <c r="F48" s="69">
        <f>E48&amp;D48&amp;"寸"</f>
        <v/>
      </c>
      <c r="H48" s="408" t="n"/>
      <c r="K48" s="412" t="n"/>
      <c r="L48" s="413" t="n"/>
      <c r="M48" s="413" t="n"/>
      <c r="N48" s="413" t="n"/>
    </row>
    <row r="49">
      <c r="A49" s="409" t="inlineStr">
        <is>
          <t>ID14.5/75-16.1SL-10PR[STRONG GUARD F-3]121A8 HERCULES无内</t>
        </is>
      </c>
      <c r="B49" s="406" t="n">
        <v>140</v>
      </c>
      <c r="C49" s="410" t="inlineStr">
        <is>
          <t>天津</t>
        </is>
      </c>
      <c r="D49" s="74">
        <f>MID(A49,FIND("-",A49)+1,4)</f>
        <v/>
      </c>
      <c r="E49" s="408" t="inlineStr">
        <is>
          <t>ATD</t>
        </is>
      </c>
      <c r="F49" s="69">
        <f>E49&amp;D49&amp;"寸"</f>
        <v/>
      </c>
      <c r="H49" s="408" t="n"/>
      <c r="K49" s="412" t="n"/>
      <c r="L49" s="413" t="n"/>
      <c r="M49" s="413" t="n"/>
      <c r="N49" s="413" t="n"/>
    </row>
    <row r="50">
      <c r="A50" s="409" t="inlineStr">
        <is>
          <t>ID23.5-25-20PR[T318]天力</t>
        </is>
      </c>
      <c r="B50" s="406" t="n">
        <v>40</v>
      </c>
      <c r="C50" s="410" t="inlineStr">
        <is>
          <t>OTR</t>
        </is>
      </c>
      <c r="D50" s="74">
        <f>MID(A50,FIND("-",A50)+1,2)</f>
        <v/>
      </c>
      <c r="E50" s="408" t="inlineStr">
        <is>
          <t>工程胎</t>
        </is>
      </c>
      <c r="F50" s="69">
        <f>E50&amp;D50&amp;"寸"</f>
        <v/>
      </c>
      <c r="H50" s="408" t="n"/>
      <c r="O50" s="414" t="n"/>
    </row>
    <row r="51">
      <c r="A51" s="409" t="inlineStr">
        <is>
          <t>ID23.5-25-24PR[CL728]威狮 东南亚</t>
        </is>
      </c>
      <c r="B51" s="406" t="n">
        <v>240</v>
      </c>
      <c r="C51" s="410" t="inlineStr">
        <is>
          <t>亚</t>
        </is>
      </c>
      <c r="D51" s="74">
        <f>MID(A51,FIND("-",A51)+1,2)</f>
        <v/>
      </c>
      <c r="E51" s="408" t="inlineStr">
        <is>
          <t>工程胎</t>
        </is>
      </c>
      <c r="F51" s="69">
        <f>E51&amp;D51&amp;"寸"</f>
        <v/>
      </c>
      <c r="H51" s="408" t="n"/>
      <c r="O51" s="414" t="n"/>
    </row>
    <row r="52">
      <c r="A52" s="415" t="inlineStr">
        <is>
          <t>ID23×8.50-12-6PR[STRONG GUARD SS]101A2 HERCULES无内</t>
        </is>
      </c>
      <c r="B52" s="416" t="n">
        <v>160</v>
      </c>
      <c r="C52" s="410" t="inlineStr">
        <is>
          <t>天津</t>
        </is>
      </c>
      <c r="D52" s="74">
        <f>MID(A52,FIND("-",A52)+1,2)</f>
        <v/>
      </c>
      <c r="E52" s="408" t="inlineStr">
        <is>
          <t>ATD</t>
        </is>
      </c>
      <c r="F52" s="69">
        <f>E52&amp;D52&amp;"寸"</f>
        <v/>
      </c>
      <c r="O52" s="414" t="n"/>
    </row>
    <row r="53">
      <c r="A53" s="415" t="inlineStr">
        <is>
          <t>ID26×12-12-8PR[STRONG GUARD R1]119A2 HERCULES无内</t>
        </is>
      </c>
      <c r="B53" s="416" t="n">
        <v>250</v>
      </c>
      <c r="C53" s="410" t="inlineStr">
        <is>
          <t>天津</t>
        </is>
      </c>
      <c r="D53" s="74">
        <f>MID(A53,FIND("-",A53)+1,2)</f>
        <v/>
      </c>
      <c r="E53" s="408" t="inlineStr">
        <is>
          <t>ATD</t>
        </is>
      </c>
      <c r="F53" s="69">
        <f>E53&amp;D53&amp;"寸"</f>
        <v/>
      </c>
      <c r="O53" s="414" t="n"/>
    </row>
    <row r="54">
      <c r="A54" s="415" t="inlineStr">
        <is>
          <t>ID27×8.5-15-8PR[STRONG GUARD SS]HERCULES无内</t>
        </is>
      </c>
      <c r="B54" s="416" t="n">
        <v>420</v>
      </c>
      <c r="C54" s="410" t="inlineStr">
        <is>
          <t>天津</t>
        </is>
      </c>
      <c r="D54" s="74">
        <f>MID(A54,FIND("-",A54)+1,2)</f>
        <v/>
      </c>
      <c r="E54" s="408" t="inlineStr">
        <is>
          <t>ATD</t>
        </is>
      </c>
      <c r="F54" s="69">
        <f>E54&amp;D54&amp;"寸"</f>
        <v/>
      </c>
      <c r="L54" s="417" t="n"/>
      <c r="O54" s="414" t="n"/>
    </row>
    <row r="55">
      <c r="A55" s="415" t="inlineStr">
        <is>
          <t>ID29×12.5-15-8PR[STRONG GUARD R1]123A2 HERCULES无内</t>
        </is>
      </c>
      <c r="B55" s="416" t="n">
        <v>100</v>
      </c>
      <c r="C55" s="410" t="inlineStr">
        <is>
          <t>天津</t>
        </is>
      </c>
      <c r="D55" s="74">
        <f>MID(A55,FIND("-",A55)+1,2)</f>
        <v/>
      </c>
      <c r="E55" s="408" t="inlineStr">
        <is>
          <t>ATD</t>
        </is>
      </c>
      <c r="F55" s="69">
        <f>E55&amp;D55&amp;"寸"</f>
        <v/>
      </c>
      <c r="O55" s="414" t="n"/>
    </row>
    <row r="56">
      <c r="A56" s="415" t="inlineStr">
        <is>
          <t>ID5.70-12-6PR[STRONG GUARD SS]97A2 HERCULES无内</t>
        </is>
      </c>
      <c r="B56" s="416" t="n">
        <v>180</v>
      </c>
      <c r="C56" s="410" t="inlineStr">
        <is>
          <t>天津</t>
        </is>
      </c>
      <c r="D56" s="74">
        <f>MID(A56,FIND("-",A56)+1,2)</f>
        <v/>
      </c>
      <c r="E56" s="408" t="inlineStr">
        <is>
          <t>ATD</t>
        </is>
      </c>
      <c r="F56" s="69">
        <f>E56&amp;D56&amp;"寸"</f>
        <v/>
      </c>
      <c r="J56" s="418" t="n"/>
      <c r="O56" s="414" t="n"/>
    </row>
    <row r="57">
      <c r="A57" s="415" t="n"/>
      <c r="B57" s="416" t="n"/>
      <c r="C57" s="419" t="n"/>
      <c r="E57" s="408" t="n"/>
      <c r="O57" s="414" t="n"/>
    </row>
    <row r="58">
      <c r="A58" s="415" t="n"/>
      <c r="B58" s="416">
        <f>SUM(B3:B57)</f>
        <v/>
      </c>
      <c r="C58" s="419" t="n"/>
      <c r="E58" s="408" t="n"/>
      <c r="O58" s="414" t="n"/>
    </row>
    <row r="59">
      <c r="A59" s="415" t="n"/>
      <c r="B59" s="416" t="n"/>
      <c r="C59" s="419" t="n"/>
      <c r="E59" s="408" t="n"/>
    </row>
    <row r="60">
      <c r="A60" s="415" t="n"/>
      <c r="B60" s="416" t="n"/>
      <c r="C60" s="419" t="n"/>
      <c r="E60" s="408" t="n"/>
      <c r="J60" s="420" t="n"/>
    </row>
    <row r="61">
      <c r="A61" s="415" t="n"/>
      <c r="B61" s="416" t="n"/>
      <c r="C61" s="419" t="n"/>
      <c r="E61" s="408" t="n"/>
    </row>
    <row r="62">
      <c r="A62" s="409" t="n"/>
      <c r="B62" s="406" t="n"/>
      <c r="C62" s="419" t="n"/>
      <c r="E62" s="408" t="n"/>
      <c r="J62" s="420" t="n"/>
    </row>
    <row r="63">
      <c r="A63" s="421" t="inlineStr">
        <is>
          <t>ID11R22.5-14PR(144/142M)[AT552]ARISUN无内</t>
        </is>
      </c>
      <c r="B63" s="406" t="n">
        <v>700</v>
      </c>
      <c r="C63" s="410" t="inlineStr">
        <is>
          <t>亚</t>
        </is>
      </c>
      <c r="D63" s="74">
        <f>MID(A63,FIND("R",A63)+1,4)</f>
        <v/>
      </c>
      <c r="E63" s="408">
        <f>_xlfn.XLOOKUP(A63,'7月排产计划'!G:G,'7月排产计划'!B:B)</f>
        <v/>
      </c>
      <c r="F63" s="69">
        <f>E63&amp;D63&amp;"寸"</f>
        <v/>
      </c>
      <c r="G63" s="408" t="inlineStr">
        <is>
          <t>全钢</t>
        </is>
      </c>
      <c r="H63" s="74">
        <f>D63&amp;G63</f>
        <v/>
      </c>
    </row>
    <row r="64">
      <c r="A64" s="421" t="inlineStr">
        <is>
          <t>ID11R22.5-14PR(144/142M)[AT563]ARISUN无内</t>
        </is>
      </c>
      <c r="B64" s="406" t="n">
        <v>300</v>
      </c>
      <c r="C64" s="410" t="inlineStr">
        <is>
          <t>北美</t>
        </is>
      </c>
      <c r="D64" s="74">
        <f>MID(A64,FIND("R",A64)+1,4)</f>
        <v/>
      </c>
      <c r="E64" s="408">
        <f>_xlfn.XLOOKUP(A64,'7月排产计划'!G:G,'7月排产计划'!B:B)</f>
        <v/>
      </c>
      <c r="F64" s="69">
        <f>E64&amp;D64&amp;"寸"</f>
        <v/>
      </c>
      <c r="G64" s="408" t="inlineStr">
        <is>
          <t>全钢</t>
        </is>
      </c>
      <c r="H64" s="74">
        <f>D64&amp;G64</f>
        <v/>
      </c>
    </row>
    <row r="65">
      <c r="A65" s="421" t="inlineStr">
        <is>
          <t>ID11R22.5-14PR(144/142M)[CR915]威狮无内</t>
        </is>
      </c>
      <c r="B65" s="406" t="n">
        <v>500</v>
      </c>
      <c r="C65" s="410" t="inlineStr">
        <is>
          <t>北美</t>
        </is>
      </c>
      <c r="D65" s="74">
        <f>MID(A65,FIND("R",A65)+1,4)</f>
        <v/>
      </c>
      <c r="E65" s="408">
        <f>_xlfn.XLOOKUP(A65,'7月排产计划'!G:G,'7月排产计划'!B:B)</f>
        <v/>
      </c>
      <c r="F65" s="69">
        <f>E65&amp;D65&amp;"寸"</f>
        <v/>
      </c>
      <c r="G65" s="408" t="inlineStr">
        <is>
          <t>全钢</t>
        </is>
      </c>
      <c r="H65" s="74">
        <f>D65&amp;G65</f>
        <v/>
      </c>
    </row>
    <row r="66">
      <c r="A66" s="421" t="inlineStr">
        <is>
          <t>ID11R22.5-14PR(144/142M)[HT1 Plus]SUPERMAX无内</t>
        </is>
      </c>
      <c r="B66" s="406" t="n">
        <v>580</v>
      </c>
      <c r="C66" s="410" t="inlineStr">
        <is>
          <t>北美</t>
        </is>
      </c>
      <c r="D66" s="74">
        <f>MID(A66,FIND("R",A66)+1,4)</f>
        <v/>
      </c>
      <c r="E66" s="408">
        <f>_xlfn.XLOOKUP(A66,'7月排产计划'!G:G,'7月排产计划'!B:B)</f>
        <v/>
      </c>
      <c r="F66" s="69">
        <f>E66&amp;D66&amp;"寸"</f>
        <v/>
      </c>
      <c r="G66" s="408" t="inlineStr">
        <is>
          <t>全钢</t>
        </is>
      </c>
      <c r="H66" s="74">
        <f>D66&amp;G66</f>
        <v/>
      </c>
      <c r="J66" s="418" t="n"/>
    </row>
    <row r="67">
      <c r="A67" s="421" t="inlineStr">
        <is>
          <t>ID11R22.5-14PR(144/142M)[I-48T]IRONMAN无内 SMARTWAY</t>
        </is>
      </c>
      <c r="B67" s="406" t="n">
        <v>800</v>
      </c>
      <c r="C67" s="410" t="inlineStr">
        <is>
          <t>北美</t>
        </is>
      </c>
      <c r="D67" s="74">
        <f>MID(A67,FIND("R",A67)+1,4)</f>
        <v/>
      </c>
      <c r="E67" s="408">
        <f>_xlfn.XLOOKUP(A67,'7月排产计划'!G:G,'7月排产计划'!B:B)</f>
        <v/>
      </c>
      <c r="F67" s="69">
        <f>E67&amp;D67&amp;"寸"</f>
        <v/>
      </c>
      <c r="G67" s="408" t="inlineStr">
        <is>
          <t>全钢</t>
        </is>
      </c>
      <c r="H67" s="74">
        <f>D67&amp;G67</f>
        <v/>
      </c>
    </row>
    <row r="68">
      <c r="A68" s="421" t="inlineStr">
        <is>
          <t>ID11R22.5-14PR(144/142M)[M-TRAC TR]MASTERTRACK无内</t>
        </is>
      </c>
      <c r="B68" s="406" t="n">
        <v>620</v>
      </c>
      <c r="C68" s="410" t="inlineStr">
        <is>
          <t>北美</t>
        </is>
      </c>
      <c r="D68" s="74">
        <f>MID(A68,FIND("R",A68)+1,4)</f>
        <v/>
      </c>
      <c r="E68" s="408">
        <f>_xlfn.XLOOKUP(A68,'7月排产计划'!G:G,'7月排产计划'!B:B)</f>
        <v/>
      </c>
      <c r="F68" s="69">
        <f>E68&amp;D68&amp;"寸"</f>
        <v/>
      </c>
      <c r="G68" s="408" t="inlineStr">
        <is>
          <t>全钢</t>
        </is>
      </c>
      <c r="H68" s="74">
        <f>D68&amp;G68</f>
        <v/>
      </c>
    </row>
    <row r="69">
      <c r="A69" s="421" t="inlineStr">
        <is>
          <t>ID11R22.5-14PR(144/142M)[Strong Guard H-TL]HERCULES无内</t>
        </is>
      </c>
      <c r="B69" s="406" t="n">
        <v>280</v>
      </c>
      <c r="C69" s="410" t="inlineStr">
        <is>
          <t>北美</t>
        </is>
      </c>
      <c r="D69" s="74">
        <f>MID(A69,FIND("R",A69)+1,4)</f>
        <v/>
      </c>
      <c r="E69" s="408">
        <f>_xlfn.XLOOKUP(A69,'7月排产计划'!G:G,'7月排产计划'!B:B)</f>
        <v/>
      </c>
      <c r="F69" s="69">
        <f>E69&amp;D69&amp;"寸"</f>
        <v/>
      </c>
      <c r="G69" s="408" t="inlineStr">
        <is>
          <t>全钢</t>
        </is>
      </c>
      <c r="H69" s="74">
        <f>D69&amp;G69</f>
        <v/>
      </c>
    </row>
    <row r="70">
      <c r="A70" s="421" t="inlineStr">
        <is>
          <t>ID11R22.5-16PR(146/143L)[DOMINATE D01]BLACKARROW无内</t>
        </is>
      </c>
      <c r="B70" s="406" t="n">
        <v>280</v>
      </c>
      <c r="C70" s="410" t="inlineStr">
        <is>
          <t>北美</t>
        </is>
      </c>
      <c r="D70" s="74">
        <f>MID(A70,FIND("R",A70)+1,4)</f>
        <v/>
      </c>
      <c r="E70" s="408">
        <f>_xlfn.XLOOKUP(A70,'7月排产计划'!G:G,'7月排产计划'!B:B)</f>
        <v/>
      </c>
      <c r="F70" s="69">
        <f>E70&amp;D70&amp;"寸"</f>
        <v/>
      </c>
      <c r="G70" s="408" t="inlineStr">
        <is>
          <t>全钢</t>
        </is>
      </c>
      <c r="H70" s="74">
        <f>D70&amp;G70</f>
        <v/>
      </c>
    </row>
    <row r="71">
      <c r="A71" s="421" t="inlineStr">
        <is>
          <t>ID11R22.5-16PR(146/143L)[HD1 PlusX]SUPERMAX ECO无内</t>
        </is>
      </c>
      <c r="B71" s="406" t="n">
        <v>750</v>
      </c>
      <c r="C71" s="410" t="inlineStr">
        <is>
          <t>北美</t>
        </is>
      </c>
      <c r="D71" s="74">
        <f>MID(A71,FIND("R",A71)+1,4)</f>
        <v/>
      </c>
      <c r="E71" s="408">
        <f>_xlfn.XLOOKUP(A71,'7月排产计划'!G:G,'7月排产计划'!B:B)</f>
        <v/>
      </c>
      <c r="F71" s="69">
        <f>E71&amp;D71&amp;"寸"</f>
        <v/>
      </c>
      <c r="G71" s="408" t="inlineStr">
        <is>
          <t>全钢</t>
        </is>
      </c>
      <c r="H71" s="74">
        <f>D71&amp;G71</f>
        <v/>
      </c>
    </row>
    <row r="72">
      <c r="A72" s="421" t="inlineStr">
        <is>
          <t>ID11R22.5-16PR(146/143L)[KOBE DPM]ITARO无内</t>
        </is>
      </c>
      <c r="B72" s="406" t="n">
        <v>1700</v>
      </c>
      <c r="C72" s="410" t="inlineStr">
        <is>
          <t>北美</t>
        </is>
      </c>
      <c r="D72" s="74">
        <f>MID(A72,FIND("R",A72)+1,4)</f>
        <v/>
      </c>
      <c r="E72" s="408">
        <f>_xlfn.XLOOKUP(A72,'7月排产计划'!G:G,'7月排产计划'!B:B)</f>
        <v/>
      </c>
      <c r="F72" s="69">
        <f>E72&amp;D72&amp;"寸"</f>
        <v/>
      </c>
      <c r="G72" s="408" t="inlineStr">
        <is>
          <t>全钢</t>
        </is>
      </c>
      <c r="H72" s="74">
        <f>D72&amp;G72</f>
        <v/>
      </c>
    </row>
    <row r="73">
      <c r="A73" s="421" t="inlineStr">
        <is>
          <t>ID11R22.5-16PR(146/143L)[M-TRAC CSD+]MASTERTRACK无内</t>
        </is>
      </c>
      <c r="B73" s="406" t="n">
        <v>280</v>
      </c>
      <c r="C73" s="410" t="inlineStr">
        <is>
          <t>北美</t>
        </is>
      </c>
      <c r="D73" s="74">
        <f>MID(A73,FIND("R",A73)+1,4)</f>
        <v/>
      </c>
      <c r="E73" s="408">
        <f>_xlfn.XLOOKUP(A73,'7月排产计划'!G:G,'7月排产计划'!B:B)</f>
        <v/>
      </c>
      <c r="F73" s="69">
        <f>E73&amp;D73&amp;"寸"</f>
        <v/>
      </c>
      <c r="G73" s="408" t="inlineStr">
        <is>
          <t>全钢</t>
        </is>
      </c>
      <c r="H73" s="74">
        <f>D73&amp;G73</f>
        <v/>
      </c>
    </row>
    <row r="74">
      <c r="A74" s="421" t="inlineStr">
        <is>
          <t>ID11R22.5-16PR(146/143L)[M-TRAC HS+]MASTERTRACK无内</t>
        </is>
      </c>
      <c r="B74" s="406" t="n">
        <v>280</v>
      </c>
      <c r="C74" s="410" t="inlineStr">
        <is>
          <t>北美</t>
        </is>
      </c>
      <c r="D74" s="74">
        <f>MID(A74,FIND("R",A74)+1,4)</f>
        <v/>
      </c>
      <c r="E74" s="408">
        <f>_xlfn.XLOOKUP(A74,'7月排产计划'!G:G,'7月排产计划'!B:B)</f>
        <v/>
      </c>
      <c r="F74" s="69">
        <f>E74&amp;D74&amp;"寸"</f>
        <v/>
      </c>
      <c r="G74" s="408" t="inlineStr">
        <is>
          <t>全钢</t>
        </is>
      </c>
      <c r="H74" s="74">
        <f>D74&amp;G74</f>
        <v/>
      </c>
    </row>
    <row r="75">
      <c r="A75" s="421" t="inlineStr">
        <is>
          <t>ID11R22.5-16PR(146/143L)[M-TRAC MS]MASTERTRACK无内</t>
        </is>
      </c>
      <c r="B75" s="406" t="n">
        <v>600</v>
      </c>
      <c r="C75" s="410" t="inlineStr">
        <is>
          <t>北美</t>
        </is>
      </c>
      <c r="D75" s="74">
        <f>MID(A75,FIND("R",A75)+1,4)</f>
        <v/>
      </c>
      <c r="E75" s="408">
        <f>_xlfn.XLOOKUP(A75,'7月排产计划'!G:G,'7月排产计划'!B:B)</f>
        <v/>
      </c>
      <c r="F75" s="69">
        <f>E75&amp;D75&amp;"寸"</f>
        <v/>
      </c>
      <c r="G75" s="408" t="inlineStr">
        <is>
          <t>全钢</t>
        </is>
      </c>
      <c r="H75" s="74">
        <f>D75&amp;G75</f>
        <v/>
      </c>
    </row>
    <row r="76">
      <c r="A76" s="421" t="inlineStr">
        <is>
          <t>ID11R22.5-16PR(146/143L)[M-TRAC OSD]MASTERTRACK无内</t>
        </is>
      </c>
      <c r="B76" s="406" t="n">
        <v>2000</v>
      </c>
      <c r="C76" s="410" t="inlineStr">
        <is>
          <t>北美</t>
        </is>
      </c>
      <c r="D76" s="74">
        <f>MID(A76,FIND("R",A76)+1,4)</f>
        <v/>
      </c>
      <c r="E76" s="408">
        <f>_xlfn.XLOOKUP(A76,'7月排产计划'!G:G,'7月排产计划'!B:B)</f>
        <v/>
      </c>
      <c r="F76" s="69">
        <f>E76&amp;D76&amp;"寸"</f>
        <v/>
      </c>
      <c r="G76" s="408" t="inlineStr">
        <is>
          <t>全钢</t>
        </is>
      </c>
      <c r="H76" s="74">
        <f>D76&amp;G76</f>
        <v/>
      </c>
    </row>
    <row r="77">
      <c r="A77" s="421" t="inlineStr">
        <is>
          <t>ID11R22.5-16PR(146/143L)[RLINE-S1]REDCLIFF无内</t>
        </is>
      </c>
      <c r="B77" s="406" t="n">
        <v>280</v>
      </c>
      <c r="C77" s="410" t="inlineStr">
        <is>
          <t>北美</t>
        </is>
      </c>
      <c r="D77" s="74">
        <f>MID(A77,FIND("R",A77)+1,4)</f>
        <v/>
      </c>
      <c r="E77" s="408">
        <f>_xlfn.XLOOKUP(A77,'7月排产计划'!G:G,'7月排产计划'!B:B)</f>
        <v/>
      </c>
      <c r="F77" s="69">
        <f>E77&amp;D77&amp;"寸"</f>
        <v/>
      </c>
      <c r="G77" s="408" t="inlineStr">
        <is>
          <t>全钢</t>
        </is>
      </c>
      <c r="H77" s="74">
        <f>D77&amp;G77</f>
        <v/>
      </c>
    </row>
    <row r="78">
      <c r="A78" s="421" t="inlineStr">
        <is>
          <t>ID11R22.5-16PR(146/143L)[Strong Guard H-RD]HERCULES无内</t>
        </is>
      </c>
      <c r="B78" s="406" t="n">
        <v>750</v>
      </c>
      <c r="C78" s="410" t="inlineStr">
        <is>
          <t>北美</t>
        </is>
      </c>
      <c r="D78" s="74">
        <f>MID(A78,FIND("R",A78)+1,4)</f>
        <v/>
      </c>
      <c r="E78" s="408">
        <f>_xlfn.XLOOKUP(A78,'7月排产计划'!G:G,'7月排产计划'!B:B)</f>
        <v/>
      </c>
      <c r="F78" s="69">
        <f>E78&amp;D78&amp;"寸"</f>
        <v/>
      </c>
      <c r="G78" s="408" t="inlineStr">
        <is>
          <t>全钢</t>
        </is>
      </c>
      <c r="H78" s="74">
        <f>D78&amp;G78</f>
        <v/>
      </c>
    </row>
    <row r="79">
      <c r="A79" s="421" t="inlineStr">
        <is>
          <t>ID11R22.5-16PR(146/143M)[HF1 PlusX]SUPERMAX ECO无内</t>
        </is>
      </c>
      <c r="B79" s="406" t="n">
        <v>400</v>
      </c>
      <c r="C79" s="410" t="inlineStr">
        <is>
          <t>北美</t>
        </is>
      </c>
      <c r="D79" s="74">
        <f>MID(A79,FIND("R",A79)+1,4)</f>
        <v/>
      </c>
      <c r="E79" s="408">
        <f>_xlfn.XLOOKUP(A79,'7月排产计划'!G:G,'7月排产计划'!B:B)</f>
        <v/>
      </c>
      <c r="F79" s="69">
        <f>E79&amp;D79&amp;"寸"</f>
        <v/>
      </c>
      <c r="G79" s="408" t="inlineStr">
        <is>
          <t>全钢</t>
        </is>
      </c>
      <c r="H79" s="74">
        <f>D79&amp;G79</f>
        <v/>
      </c>
    </row>
    <row r="80">
      <c r="A80" s="421" t="inlineStr">
        <is>
          <t>ID11R22.5-16PR(146/143M)[KOBE APM]ITARO无内</t>
        </is>
      </c>
      <c r="B80" s="406" t="n">
        <v>750</v>
      </c>
      <c r="C80" s="410" t="inlineStr">
        <is>
          <t>北美</t>
        </is>
      </c>
      <c r="D80" s="74">
        <f>MID(A80,FIND("R",A80)+1,4)</f>
        <v/>
      </c>
      <c r="E80" s="408">
        <f>_xlfn.XLOOKUP(A80,'7月排产计划'!G:G,'7月排产计划'!B:B)</f>
        <v/>
      </c>
      <c r="F80" s="69">
        <f>E80&amp;D80&amp;"寸"</f>
        <v/>
      </c>
      <c r="G80" s="408" t="inlineStr">
        <is>
          <t>全钢</t>
        </is>
      </c>
      <c r="H80" s="74">
        <f>D80&amp;G80</f>
        <v/>
      </c>
    </row>
    <row r="81">
      <c r="A81" s="421" t="inlineStr">
        <is>
          <t>ID11R22.5-16PR(148/145K)[Strong Guard H-MD]HERCULES无内</t>
        </is>
      </c>
      <c r="B81" s="406" t="n">
        <v>1100</v>
      </c>
      <c r="C81" s="410" t="inlineStr">
        <is>
          <t>北美</t>
        </is>
      </c>
      <c r="D81" s="74">
        <f>MID(A81,FIND("R",A81)+1,4)</f>
        <v/>
      </c>
      <c r="E81" s="408">
        <f>_xlfn.XLOOKUP(A81,'7月排产计划'!G:G,'7月排产计划'!B:B)</f>
        <v/>
      </c>
      <c r="F81" s="69">
        <f>E81&amp;D81&amp;"寸"</f>
        <v/>
      </c>
      <c r="G81" s="408" t="inlineStr">
        <is>
          <t>全钢</t>
        </is>
      </c>
      <c r="H81" s="74">
        <f>D81&amp;G81</f>
        <v/>
      </c>
    </row>
    <row r="82">
      <c r="A82" s="422" t="inlineStr">
        <is>
          <t>ID11R22.5-16PR(148/145L)[AD716]GOODRIDE(好运)无内</t>
        </is>
      </c>
      <c r="B82" s="406" t="n">
        <v>280</v>
      </c>
      <c r="C82" s="410" t="inlineStr">
        <is>
          <t>北美</t>
        </is>
      </c>
      <c r="D82" s="74">
        <f>MID(A82,FIND("R",A82)+1,4)</f>
        <v/>
      </c>
      <c r="E82" s="408">
        <f>_xlfn.XLOOKUP(A82,'7月排产计划'!G:G,'7月排产计划'!B:B)</f>
        <v/>
      </c>
      <c r="F82" s="69">
        <f>E82&amp;D82&amp;"寸"</f>
        <v/>
      </c>
      <c r="G82" s="408" t="inlineStr">
        <is>
          <t>全钢</t>
        </is>
      </c>
      <c r="H82" s="74">
        <f>D82&amp;G82</f>
        <v/>
      </c>
    </row>
    <row r="83">
      <c r="A83" s="421" t="inlineStr">
        <is>
          <t>ID11R22.5-16PR(148/145L)[AS858]GOODRIDE(好运)无内</t>
        </is>
      </c>
      <c r="B83" s="406" t="n">
        <v>480</v>
      </c>
      <c r="C83" s="410" t="inlineStr">
        <is>
          <t>亚</t>
        </is>
      </c>
      <c r="D83" s="74">
        <f>MID(A83,FIND("R",A83)+1,4)</f>
        <v/>
      </c>
      <c r="E83" s="408">
        <f>_xlfn.XLOOKUP(A83,'7月排产计划'!G:G,'7月排产计划'!B:B)</f>
        <v/>
      </c>
      <c r="F83" s="69">
        <f>E83&amp;D83&amp;"寸"</f>
        <v/>
      </c>
      <c r="G83" s="408" t="inlineStr">
        <is>
          <t>全钢</t>
        </is>
      </c>
      <c r="H83" s="74">
        <f>D83&amp;G83</f>
        <v/>
      </c>
    </row>
    <row r="84">
      <c r="A84" s="421" t="inlineStr">
        <is>
          <t>ID11R22.5-16PR(148/145L)[AS868]金冠无内</t>
        </is>
      </c>
      <c r="B84" s="406" t="n">
        <v>2600</v>
      </c>
      <c r="C84" s="410" t="inlineStr">
        <is>
          <t>亚</t>
        </is>
      </c>
      <c r="D84" s="74">
        <f>MID(A84,FIND("R",A84)+1,4)</f>
        <v/>
      </c>
      <c r="E84" s="408">
        <f>_xlfn.XLOOKUP(A84,'7月排产计划'!G:G,'7月排产计划'!B:B)</f>
        <v/>
      </c>
      <c r="F84" s="69">
        <f>E84&amp;D84&amp;"寸"</f>
        <v/>
      </c>
      <c r="G84" s="408" t="inlineStr">
        <is>
          <t>全钢</t>
        </is>
      </c>
      <c r="H84" s="74">
        <f>D84&amp;G84</f>
        <v/>
      </c>
    </row>
    <row r="85">
      <c r="A85" s="421" t="inlineStr">
        <is>
          <t>ID11R22.5-16PR(148/145L)[AZ599]威狮无内</t>
        </is>
      </c>
      <c r="B85" s="406" t="n">
        <v>400</v>
      </c>
      <c r="C85" s="410" t="inlineStr">
        <is>
          <t>北美</t>
        </is>
      </c>
      <c r="D85" s="74">
        <f>MID(A85,FIND("R",A85)+1,4)</f>
        <v/>
      </c>
      <c r="E85" s="408">
        <f>_xlfn.XLOOKUP(A85,'7月排产计划'!G:G,'7月排产计划'!B:B)</f>
        <v/>
      </c>
      <c r="F85" s="69">
        <f>E85&amp;D85&amp;"寸"</f>
        <v/>
      </c>
      <c r="G85" s="408" t="inlineStr">
        <is>
          <t>全钢</t>
        </is>
      </c>
      <c r="H85" s="74">
        <f>D85&amp;G85</f>
        <v/>
      </c>
    </row>
    <row r="86">
      <c r="A86" s="421" t="inlineStr">
        <is>
          <t>ID11R22.5-16PR(148/145L)[ECO-MILE CSD]TRAVELSTAR无内</t>
        </is>
      </c>
      <c r="B86" s="406" t="n">
        <v>400</v>
      </c>
      <c r="C86" s="410" t="inlineStr">
        <is>
          <t>北美</t>
        </is>
      </c>
      <c r="D86" s="74">
        <f>MID(A86,FIND("R",A86)+1,4)</f>
        <v/>
      </c>
      <c r="E86" s="408">
        <f>_xlfn.XLOOKUP(A86,'7月排产计划'!G:G,'7月排产计划'!B:B)</f>
        <v/>
      </c>
      <c r="F86" s="69">
        <f>E86&amp;D86&amp;"寸"</f>
        <v/>
      </c>
      <c r="G86" s="408" t="inlineStr">
        <is>
          <t>全钢</t>
        </is>
      </c>
      <c r="H86" s="74">
        <f>D86&amp;G86</f>
        <v/>
      </c>
    </row>
    <row r="87">
      <c r="A87" s="421" t="inlineStr">
        <is>
          <t>ID11R22.5-16PR(148/145L)[HD1 Plus]SUPERMAX无内</t>
        </is>
      </c>
      <c r="B87" s="406" t="n">
        <v>300</v>
      </c>
      <c r="C87" s="410" t="inlineStr">
        <is>
          <t>北美</t>
        </is>
      </c>
      <c r="D87" s="74">
        <f>MID(A87,FIND("R",A87)+1,4)</f>
        <v/>
      </c>
      <c r="E87" s="408">
        <f>_xlfn.XLOOKUP(A87,'7月排产计划'!G:G,'7月排产计划'!B:B)</f>
        <v/>
      </c>
      <c r="F87" s="69">
        <f>E87&amp;D87&amp;"寸"</f>
        <v/>
      </c>
      <c r="G87" s="408" t="inlineStr">
        <is>
          <t>全钢</t>
        </is>
      </c>
      <c r="H87" s="74">
        <f>D87&amp;G87</f>
        <v/>
      </c>
    </row>
    <row r="88">
      <c r="A88" s="421" t="inlineStr">
        <is>
          <t>ID11R22.5-16PR(148/145L)[HF1 Plus]SUPERMAX无内</t>
        </is>
      </c>
      <c r="B88" s="406" t="n">
        <v>500</v>
      </c>
      <c r="C88" s="410" t="inlineStr">
        <is>
          <t>北美</t>
        </is>
      </c>
      <c r="D88" s="74">
        <f>MID(A88,FIND("R",A88)+1,4)</f>
        <v/>
      </c>
      <c r="E88" s="408">
        <f>_xlfn.XLOOKUP(A88,'7月排产计划'!G:G,'7月排产计划'!B:B)</f>
        <v/>
      </c>
      <c r="F88" s="69">
        <f>E88&amp;D88&amp;"寸"</f>
        <v/>
      </c>
      <c r="G88" s="408" t="inlineStr">
        <is>
          <t>全钢</t>
        </is>
      </c>
      <c r="H88" s="74">
        <f>D88&amp;G88</f>
        <v/>
      </c>
    </row>
    <row r="89">
      <c r="A89" s="421" t="inlineStr">
        <is>
          <t>ID11R22.5-16PR(148/145L)[I-28D]IRONMAN无内 SMARTWAY</t>
        </is>
      </c>
      <c r="B89" s="406" t="n">
        <v>1900</v>
      </c>
      <c r="C89" s="410" t="inlineStr">
        <is>
          <t>北美</t>
        </is>
      </c>
      <c r="D89" s="74">
        <f>MID(A89,FIND("R",A89)+1,4)</f>
        <v/>
      </c>
      <c r="E89" s="408">
        <f>_xlfn.XLOOKUP(A89,'7月排产计划'!G:G,'7月排产计划'!B:B)</f>
        <v/>
      </c>
      <c r="F89" s="69">
        <f>E89&amp;D89&amp;"寸"</f>
        <v/>
      </c>
      <c r="G89" s="408" t="inlineStr">
        <is>
          <t>全钢</t>
        </is>
      </c>
      <c r="H89" s="74">
        <f>D89&amp;G89</f>
        <v/>
      </c>
    </row>
    <row r="90">
      <c r="A90" s="421" t="inlineStr">
        <is>
          <t>ID11R22.5-16PR(148/145L)[I-31M]IRONMAN无内</t>
        </is>
      </c>
      <c r="B90" s="406" t="n">
        <v>1000</v>
      </c>
      <c r="C90" s="410" t="inlineStr">
        <is>
          <t>北美</t>
        </is>
      </c>
      <c r="D90" s="74">
        <f>MID(A90,FIND("R",A90)+1,4)</f>
        <v/>
      </c>
      <c r="E90" s="408">
        <f>_xlfn.XLOOKUP(A90,'7月排产计划'!G:G,'7月排产计划'!B:B)</f>
        <v/>
      </c>
      <c r="F90" s="69">
        <f>E90&amp;D90&amp;"寸"</f>
        <v/>
      </c>
      <c r="G90" s="408" t="inlineStr">
        <is>
          <t>全钢</t>
        </is>
      </c>
      <c r="H90" s="74">
        <f>D90&amp;G90</f>
        <v/>
      </c>
    </row>
    <row r="91">
      <c r="A91" s="421" t="inlineStr">
        <is>
          <t>ID11R22.5-16PR(148/145L)[I-37D]IRONMAN无内</t>
        </is>
      </c>
      <c r="B91" s="406" t="n">
        <v>1500</v>
      </c>
      <c r="C91" s="410" t="inlineStr">
        <is>
          <t>北美</t>
        </is>
      </c>
      <c r="D91" s="74">
        <f>MID(A91,FIND("R",A91)+1,4)</f>
        <v/>
      </c>
      <c r="E91" s="408">
        <f>_xlfn.XLOOKUP(A91,'7月排产计划'!G:G,'7月排产计划'!B:B)</f>
        <v/>
      </c>
      <c r="F91" s="69">
        <f>E91&amp;D91&amp;"寸"</f>
        <v/>
      </c>
      <c r="G91" s="408" t="inlineStr">
        <is>
          <t>全钢</t>
        </is>
      </c>
      <c r="H91" s="74">
        <f>D91&amp;G91</f>
        <v/>
      </c>
    </row>
    <row r="92">
      <c r="A92" s="421" t="inlineStr">
        <is>
          <t>ID11R22.5-16PR(148/145L)[I-52A]IRONMAN无内 SMARTWAY</t>
        </is>
      </c>
      <c r="B92" s="406" t="n">
        <v>450</v>
      </c>
      <c r="C92" s="410" t="inlineStr">
        <is>
          <t>北美</t>
        </is>
      </c>
      <c r="D92" s="74">
        <f>MID(A92,FIND("R",A92)+1,4)</f>
        <v/>
      </c>
      <c r="E92" s="408">
        <f>_xlfn.XLOOKUP(A92,'7月排产计划'!G:G,'7月排产计划'!B:B)</f>
        <v/>
      </c>
      <c r="F92" s="69">
        <f>E92&amp;D92&amp;"寸"</f>
        <v/>
      </c>
      <c r="G92" s="408" t="inlineStr">
        <is>
          <t>全钢</t>
        </is>
      </c>
      <c r="H92" s="74">
        <f>D92&amp;G92</f>
        <v/>
      </c>
    </row>
    <row r="93">
      <c r="A93" s="421" t="inlineStr">
        <is>
          <t>ID11R22.5-16PR(148/145L)[M-TRAC AP]MASTERTRACK无内</t>
        </is>
      </c>
      <c r="B93" s="406" t="n">
        <v>2000</v>
      </c>
      <c r="C93" s="410" t="inlineStr">
        <is>
          <t>北美</t>
        </is>
      </c>
      <c r="D93" s="74">
        <f>MID(A93,FIND("R",A93)+1,4)</f>
        <v/>
      </c>
      <c r="E93" s="408">
        <f>_xlfn.XLOOKUP(A93,'7月排产计划'!G:G,'7月排产计划'!B:B)</f>
        <v/>
      </c>
      <c r="F93" s="69">
        <f>E93&amp;D93&amp;"寸"</f>
        <v/>
      </c>
      <c r="G93" s="408" t="inlineStr">
        <is>
          <t>全钢</t>
        </is>
      </c>
      <c r="H93" s="74">
        <f>D93&amp;G93</f>
        <v/>
      </c>
    </row>
    <row r="94">
      <c r="A94" s="421" t="inlineStr">
        <is>
          <t>ID11R22.5-16PR(148/145L)[M-TRAC CSD]MASTERTRACK无内</t>
        </is>
      </c>
      <c r="B94" s="406" t="n">
        <v>1200</v>
      </c>
      <c r="C94" s="410" t="inlineStr">
        <is>
          <t>北美</t>
        </is>
      </c>
      <c r="D94" s="74">
        <f>MID(A94,FIND("R",A94)+1,4)</f>
        <v/>
      </c>
      <c r="E94" s="408">
        <f>_xlfn.XLOOKUP(A94,'7月排产计划'!G:G,'7月排产计划'!B:B)</f>
        <v/>
      </c>
      <c r="F94" s="69">
        <f>E94&amp;D94&amp;"寸"</f>
        <v/>
      </c>
      <c r="G94" s="408" t="inlineStr">
        <is>
          <t>全钢</t>
        </is>
      </c>
      <c r="H94" s="74">
        <f>D94&amp;G94</f>
        <v/>
      </c>
    </row>
    <row r="95">
      <c r="A95" s="421" t="inlineStr">
        <is>
          <t>ID11R22.5-16PR(148/145L)[ZM41]威狮无内</t>
        </is>
      </c>
      <c r="B95" s="406" t="n">
        <v>300</v>
      </c>
      <c r="C95" s="410" t="inlineStr">
        <is>
          <t>北美</t>
        </is>
      </c>
      <c r="D95" s="74">
        <f>MID(A95,FIND("R",A95)+1,4)</f>
        <v/>
      </c>
      <c r="E95" s="408">
        <f>_xlfn.XLOOKUP(A95,'7月排产计划'!G:G,'7月排产计划'!B:B)</f>
        <v/>
      </c>
      <c r="F95" s="69">
        <f>E95&amp;D95&amp;"寸"</f>
        <v/>
      </c>
      <c r="G95" s="408" t="inlineStr">
        <is>
          <t>全钢</t>
        </is>
      </c>
      <c r="H95" s="74">
        <f>D95&amp;G95</f>
        <v/>
      </c>
    </row>
    <row r="96">
      <c r="A96" s="421" t="inlineStr">
        <is>
          <t>ID11R22.5-16PR(148/145M)[I-19A]IRONMAN无内 SMARTWAY</t>
        </is>
      </c>
      <c r="B96" s="406" t="n">
        <v>2500</v>
      </c>
      <c r="C96" s="410" t="inlineStr">
        <is>
          <t>北美</t>
        </is>
      </c>
      <c r="D96" s="74">
        <f>MID(A96,FIND("R",A96)+1,4)</f>
        <v/>
      </c>
      <c r="E96" s="408">
        <f>_xlfn.XLOOKUP(A96,'7月排产计划'!G:G,'7月排产计划'!B:B)</f>
        <v/>
      </c>
      <c r="F96" s="69">
        <f>E96&amp;D96&amp;"寸"</f>
        <v/>
      </c>
      <c r="G96" s="408" t="inlineStr">
        <is>
          <t>全钢</t>
        </is>
      </c>
      <c r="H96" s="74">
        <f>D96&amp;G96</f>
        <v/>
      </c>
    </row>
    <row r="97">
      <c r="A97" s="421" t="inlineStr">
        <is>
          <t>ID11R22.5-16PR(148/145M)[I-61S]IRONMAN无内 SMARTWAY</t>
        </is>
      </c>
      <c r="B97" s="406" t="n">
        <v>150</v>
      </c>
      <c r="C97" s="410" t="inlineStr">
        <is>
          <t>北美</t>
        </is>
      </c>
      <c r="D97" s="74">
        <f>MID(A97,FIND("R",A97)+1,4)</f>
        <v/>
      </c>
      <c r="E97" s="408">
        <f>_xlfn.XLOOKUP(A97,'7月排产计划'!G:G,'7月排产计划'!B:B)</f>
        <v/>
      </c>
      <c r="F97" s="69">
        <f>E97&amp;D97&amp;"寸"</f>
        <v/>
      </c>
      <c r="G97" s="408" t="inlineStr">
        <is>
          <t>全钢</t>
        </is>
      </c>
      <c r="H97" s="74">
        <f>D97&amp;G97</f>
        <v/>
      </c>
    </row>
    <row r="98">
      <c r="A98" s="421" t="inlineStr">
        <is>
          <t>ID11R22.5-16PR(148/145M)[M-TRAC MST]MASTERTRACK无内</t>
        </is>
      </c>
      <c r="B98" s="406" t="n">
        <v>200</v>
      </c>
      <c r="C98" s="410" t="inlineStr">
        <is>
          <t>北美</t>
        </is>
      </c>
      <c r="D98" s="74">
        <f>MID(A98,FIND("R",A98)+1,4)</f>
        <v/>
      </c>
      <c r="E98" s="408">
        <f>_xlfn.XLOOKUP(A98,'7月排产计划'!G:G,'7月排产计划'!B:B)</f>
        <v/>
      </c>
      <c r="F98" s="69">
        <f>E98&amp;D98&amp;"寸"</f>
        <v/>
      </c>
      <c r="G98" s="408" t="inlineStr">
        <is>
          <t>全钢</t>
        </is>
      </c>
      <c r="H98" s="74">
        <f>D98&amp;G98</f>
        <v/>
      </c>
    </row>
    <row r="99">
      <c r="A99" s="421" t="inlineStr">
        <is>
          <t>ID11R22.5-18PR(149/146L)[AS858]雅度无内</t>
        </is>
      </c>
      <c r="B99" s="406" t="n">
        <v>780</v>
      </c>
      <c r="C99" s="410" t="inlineStr">
        <is>
          <t>亚</t>
        </is>
      </c>
      <c r="D99" s="74">
        <f>MID(A99,FIND("R",A99)+1,4)</f>
        <v/>
      </c>
      <c r="E99" s="408">
        <f>_xlfn.XLOOKUP(A99,'7月排产计划'!G:G,'7月排产计划'!B:B)</f>
        <v/>
      </c>
      <c r="F99" s="69">
        <f>E99&amp;D99&amp;"寸"</f>
        <v/>
      </c>
      <c r="G99" s="408" t="inlineStr">
        <is>
          <t>全钢</t>
        </is>
      </c>
      <c r="H99" s="74">
        <f>D99&amp;G99</f>
        <v/>
      </c>
    </row>
    <row r="100">
      <c r="A100" s="421" t="inlineStr">
        <is>
          <t>ID11R22.5-18PR(149/146L)[AZ850]雅度无内</t>
        </is>
      </c>
      <c r="B100" s="406" t="n">
        <v>600</v>
      </c>
      <c r="C100" s="410" t="inlineStr">
        <is>
          <t>亚</t>
        </is>
      </c>
      <c r="D100" s="74">
        <f>MID(A100,FIND("R",A100)+1,4)</f>
        <v/>
      </c>
      <c r="E100" s="408">
        <f>_xlfn.XLOOKUP(A100,'7月排产计划'!G:G,'7月排产计划'!B:B)</f>
        <v/>
      </c>
      <c r="F100" s="69">
        <f>E100&amp;D100&amp;"寸"</f>
        <v/>
      </c>
      <c r="G100" s="408" t="inlineStr">
        <is>
          <t>全钢</t>
        </is>
      </c>
      <c r="H100" s="74">
        <f>D100&amp;G100</f>
        <v/>
      </c>
    </row>
    <row r="101">
      <c r="A101" s="421" t="inlineStr">
        <is>
          <t>ID11R22.5-18PR(149/146L)[YTB-50]雅度无内</t>
        </is>
      </c>
      <c r="B101" s="406" t="n">
        <v>100</v>
      </c>
      <c r="C101" s="410" t="inlineStr">
        <is>
          <t>亚</t>
        </is>
      </c>
      <c r="D101" s="74">
        <f>MID(A101,FIND("R",A101)+1,4)</f>
        <v/>
      </c>
      <c r="E101" s="408">
        <f>_xlfn.XLOOKUP(A101,'7月排产计划'!G:G,'7月排产计划'!B:B)</f>
        <v/>
      </c>
      <c r="F101" s="69">
        <f>E101&amp;D101&amp;"寸"</f>
        <v/>
      </c>
      <c r="G101" s="408" t="inlineStr">
        <is>
          <t>全钢</t>
        </is>
      </c>
      <c r="H101" s="74">
        <f>D101&amp;G101</f>
        <v/>
      </c>
    </row>
    <row r="102">
      <c r="A102" s="421" t="inlineStr">
        <is>
          <t>ID11R22.5-16PR(146/143L)[VD998]VITOUR无内</t>
        </is>
      </c>
      <c r="B102" s="406" t="n">
        <v>1000</v>
      </c>
      <c r="C102" s="410" t="inlineStr">
        <is>
          <t>亚</t>
        </is>
      </c>
      <c r="D102" s="74">
        <f>MID(A102,FIND("R",A102)+1,4)</f>
        <v/>
      </c>
      <c r="E102" s="408">
        <f>_xlfn.XLOOKUP(A102,'7月排产计划'!G:G,'7月排产计划'!B:B)</f>
        <v/>
      </c>
      <c r="F102" s="69">
        <f>E102&amp;D102&amp;"寸"</f>
        <v/>
      </c>
      <c r="G102" s="408" t="inlineStr">
        <is>
          <t>全钢</t>
        </is>
      </c>
      <c r="H102" s="74">
        <f>D102&amp;G102</f>
        <v/>
      </c>
    </row>
    <row r="103">
      <c r="A103" s="421" t="inlineStr">
        <is>
          <t>ID11R22.5-16PR(146/143M)[VA996]VITOUR无内</t>
        </is>
      </c>
      <c r="B103" s="406" t="n">
        <v>1500</v>
      </c>
      <c r="C103" s="410" t="inlineStr">
        <is>
          <t>亚</t>
        </is>
      </c>
      <c r="D103" s="74">
        <f>MID(A103,FIND("R",A103)+1,4)</f>
        <v/>
      </c>
      <c r="E103" s="408">
        <f>_xlfn.XLOOKUP(A103,'7月排产计划'!G:G,'7月排产计划'!B:B)</f>
        <v/>
      </c>
      <c r="F103" s="69">
        <f>E103&amp;D103&amp;"寸"</f>
        <v/>
      </c>
      <c r="G103" s="408" t="inlineStr">
        <is>
          <t>全钢</t>
        </is>
      </c>
      <c r="H103" s="74">
        <f>D103&amp;G103</f>
        <v/>
      </c>
    </row>
    <row r="104">
      <c r="A104" s="421" t="inlineStr">
        <is>
          <t>ID11R22.5-16PR(146/143L)[VA991]VITOUR无内</t>
        </is>
      </c>
      <c r="B104" s="406" t="n">
        <v>300</v>
      </c>
      <c r="C104" s="410" t="inlineStr">
        <is>
          <t>亚</t>
        </is>
      </c>
      <c r="D104" s="74">
        <f>MID(A104,FIND("R",A104)+1,4)</f>
        <v/>
      </c>
      <c r="E104" s="408">
        <f>_xlfn.XLOOKUP(A104,'7月排产计划'!G:G,'7月排产计划'!B:B)</f>
        <v/>
      </c>
      <c r="F104" s="69">
        <f>E104&amp;D104&amp;"寸"</f>
        <v/>
      </c>
      <c r="G104" s="408" t="inlineStr">
        <is>
          <t>全钢</t>
        </is>
      </c>
      <c r="H104" s="74">
        <f>D104&amp;G104</f>
        <v/>
      </c>
    </row>
    <row r="105">
      <c r="A105" s="421" t="inlineStr">
        <is>
          <t>ID11R22.5-16PR(146/143L)[VD908]VITOUR无内</t>
        </is>
      </c>
      <c r="B105" s="406" t="n">
        <v>500</v>
      </c>
      <c r="C105" s="410" t="inlineStr">
        <is>
          <t>亚</t>
        </is>
      </c>
      <c r="D105" s="74">
        <f>MID(A105,FIND("R",A105)+1,4)</f>
        <v/>
      </c>
      <c r="E105" s="408">
        <f>_xlfn.XLOOKUP(A105,'7月排产计划'!G:G,'7月排产计划'!B:B)</f>
        <v/>
      </c>
      <c r="F105" s="69">
        <f>E105&amp;D105&amp;"寸"</f>
        <v/>
      </c>
      <c r="G105" s="408" t="inlineStr">
        <is>
          <t>全钢</t>
        </is>
      </c>
      <c r="H105" s="74">
        <f>D105&amp;G105</f>
        <v/>
      </c>
    </row>
    <row r="106">
      <c r="A106" s="421" t="inlineStr">
        <is>
          <t>ID11R22.5-16PR(146/143L)[VXD932]VITOUR无内</t>
        </is>
      </c>
      <c r="B106" s="406" t="n">
        <v>800</v>
      </c>
      <c r="C106" s="410" t="inlineStr">
        <is>
          <t>亚</t>
        </is>
      </c>
      <c r="D106" s="74">
        <f>MID(A106,FIND("R",A106)+1,4)</f>
        <v/>
      </c>
      <c r="E106" s="408">
        <f>_xlfn.XLOOKUP(A106,'7月排产计划'!G:G,'7月排产计划'!B:B)</f>
        <v/>
      </c>
      <c r="F106" s="69">
        <f>E106&amp;D106&amp;"寸"</f>
        <v/>
      </c>
      <c r="G106" s="408" t="inlineStr">
        <is>
          <t>全钢</t>
        </is>
      </c>
      <c r="H106" s="74">
        <f>D106&amp;G106</f>
        <v/>
      </c>
    </row>
    <row r="107">
      <c r="A107" s="421" t="inlineStr">
        <is>
          <t>ID11R24.5-14PR(146/143M)[I-48T]IRONMAN无内 SMARTWAY</t>
        </is>
      </c>
      <c r="B107" s="406" t="n">
        <v>680</v>
      </c>
      <c r="C107" s="410" t="inlineStr">
        <is>
          <t>北美</t>
        </is>
      </c>
      <c r="D107" s="74">
        <f>MID(A107,FIND("R",A107)+1,4)</f>
        <v/>
      </c>
      <c r="E107" s="408">
        <f>_xlfn.XLOOKUP(A107,'7月排产计划'!G:G,'7月排产计划'!B:B)</f>
        <v/>
      </c>
      <c r="F107" s="69">
        <f>E107&amp;D107&amp;"寸"</f>
        <v/>
      </c>
      <c r="G107" s="408" t="inlineStr">
        <is>
          <t>全钢</t>
        </is>
      </c>
      <c r="H107" s="74">
        <f>D107&amp;G107</f>
        <v/>
      </c>
    </row>
    <row r="108">
      <c r="A108" s="421" t="inlineStr">
        <is>
          <t>ID11R24.5-14PR(146/143M)[Strong Guard H-TL]HERCULES无内</t>
        </is>
      </c>
      <c r="B108" s="406" t="n">
        <v>200</v>
      </c>
      <c r="C108" s="410" t="inlineStr">
        <is>
          <t>北美</t>
        </is>
      </c>
      <c r="D108" s="74">
        <f>MID(A108,FIND("R",A108)+1,4)</f>
        <v/>
      </c>
      <c r="E108" s="408">
        <f>_xlfn.XLOOKUP(A108,'7月排产计划'!G:G,'7月排产计划'!B:B)</f>
        <v/>
      </c>
      <c r="F108" s="69">
        <f>E108&amp;D108&amp;"寸"</f>
        <v/>
      </c>
      <c r="G108" s="408" t="inlineStr">
        <is>
          <t>全钢</t>
        </is>
      </c>
      <c r="H108" s="74">
        <f>D108&amp;G108</f>
        <v/>
      </c>
    </row>
    <row r="109">
      <c r="A109" s="421" t="inlineStr">
        <is>
          <t>ID11R24.5-16PR(149/146K)[Strong Guard H-MD]HERCULES无内</t>
        </is>
      </c>
      <c r="B109" s="406" t="n">
        <v>350</v>
      </c>
      <c r="C109" s="410" t="inlineStr">
        <is>
          <t>北美</t>
        </is>
      </c>
      <c r="D109" s="74">
        <f>MID(A109,FIND("R",A109)+1,4)</f>
        <v/>
      </c>
      <c r="E109" s="408">
        <f>_xlfn.XLOOKUP(A109,'7月排产计划'!G:G,'7月排产计划'!B:B)</f>
        <v/>
      </c>
      <c r="F109" s="69">
        <f>E109&amp;D109&amp;"寸"</f>
        <v/>
      </c>
      <c r="G109" s="408" t="inlineStr">
        <is>
          <t>全钢</t>
        </is>
      </c>
      <c r="H109" s="74">
        <f>D109&amp;G109</f>
        <v/>
      </c>
    </row>
    <row r="110">
      <c r="A110" s="421" t="inlineStr">
        <is>
          <t>ID11R24.5-16PR(149/146L)[DOMINATE D01]BLACKARROW无内</t>
        </is>
      </c>
      <c r="B110" s="406" t="n">
        <v>250</v>
      </c>
      <c r="C110" s="410" t="inlineStr">
        <is>
          <t>北美</t>
        </is>
      </c>
      <c r="D110" s="74">
        <f>MID(A110,FIND("R",A110)+1,4)</f>
        <v/>
      </c>
      <c r="E110" s="408">
        <f>_xlfn.XLOOKUP(A110,'7月排产计划'!G:G,'7月排产计划'!B:B)</f>
        <v/>
      </c>
      <c r="F110" s="69">
        <f>E110&amp;D110&amp;"寸"</f>
        <v/>
      </c>
      <c r="G110" s="408" t="inlineStr">
        <is>
          <t>全钢</t>
        </is>
      </c>
      <c r="H110" s="74">
        <f>D110&amp;G110</f>
        <v/>
      </c>
    </row>
    <row r="111">
      <c r="A111" s="421" t="inlineStr">
        <is>
          <t>ID11R24.5-16PR(149/146L)[HF1 Plus]SUPERMAX无内</t>
        </is>
      </c>
      <c r="B111" s="406" t="n">
        <v>700</v>
      </c>
      <c r="C111" s="410" t="inlineStr">
        <is>
          <t>北美</t>
        </is>
      </c>
      <c r="D111" s="74">
        <f>MID(A111,FIND("R",A111)+1,4)</f>
        <v/>
      </c>
      <c r="E111" s="408">
        <f>_xlfn.XLOOKUP(A111,'7月排产计划'!G:G,'7月排产计划'!B:B)</f>
        <v/>
      </c>
      <c r="F111" s="69">
        <f>E111&amp;D111&amp;"寸"</f>
        <v/>
      </c>
      <c r="G111" s="408" t="inlineStr">
        <is>
          <t>全钢</t>
        </is>
      </c>
      <c r="H111" s="74">
        <f>D111&amp;G111</f>
        <v/>
      </c>
    </row>
    <row r="112">
      <c r="A112" s="421" t="inlineStr">
        <is>
          <t>ID11R24.5-16PR(149/146L)[HF1 PlusX]SUPERMAX ECO无内</t>
        </is>
      </c>
      <c r="B112" s="406" t="n">
        <v>300</v>
      </c>
      <c r="C112" s="410" t="inlineStr">
        <is>
          <t>北美</t>
        </is>
      </c>
      <c r="D112" s="74">
        <f>MID(A112,FIND("R",A112)+1,4)</f>
        <v/>
      </c>
      <c r="E112" s="408">
        <f>_xlfn.XLOOKUP(A112,'7月排产计划'!G:G,'7月排产计划'!B:B)</f>
        <v/>
      </c>
      <c r="F112" s="69">
        <f>E112&amp;D112&amp;"寸"</f>
        <v/>
      </c>
      <c r="G112" s="408" t="inlineStr">
        <is>
          <t>全钢</t>
        </is>
      </c>
      <c r="H112" s="74">
        <f>D112&amp;G112</f>
        <v/>
      </c>
    </row>
    <row r="113">
      <c r="A113" s="421" t="inlineStr">
        <is>
          <t>ID11R24.5-16PR(149/146L)[I-37D]IRONMAN无内</t>
        </is>
      </c>
      <c r="B113" s="406" t="n">
        <v>280</v>
      </c>
      <c r="C113" s="410" t="inlineStr">
        <is>
          <t>北美</t>
        </is>
      </c>
      <c r="D113" s="74">
        <f>MID(A113,FIND("R",A113)+1,4)</f>
        <v/>
      </c>
      <c r="E113" s="408">
        <f>_xlfn.XLOOKUP(A113,'7月排产计划'!G:G,'7月排产计划'!B:B)</f>
        <v/>
      </c>
      <c r="F113" s="69">
        <f>E113&amp;D113&amp;"寸"</f>
        <v/>
      </c>
      <c r="G113" s="408" t="inlineStr">
        <is>
          <t>全钢</t>
        </is>
      </c>
      <c r="H113" s="74">
        <f>D113&amp;G113</f>
        <v/>
      </c>
    </row>
    <row r="114">
      <c r="A114" s="421" t="inlineStr">
        <is>
          <t>ID11R24.5-16PR(149/146L)[KOBE DPM]ITARO无内</t>
        </is>
      </c>
      <c r="B114" s="406" t="n">
        <v>1900</v>
      </c>
      <c r="C114" s="410" t="inlineStr">
        <is>
          <t>北美</t>
        </is>
      </c>
      <c r="D114" s="74">
        <f>MID(A114,FIND("R",A114)+1,4)</f>
        <v/>
      </c>
      <c r="E114" s="408">
        <f>_xlfn.XLOOKUP(A114,'7月排产计划'!G:G,'7月排产计划'!B:B)</f>
        <v/>
      </c>
      <c r="F114" s="69">
        <f>E114&amp;D114&amp;"寸"</f>
        <v/>
      </c>
      <c r="G114" s="408" t="inlineStr">
        <is>
          <t>全钢</t>
        </is>
      </c>
      <c r="H114" s="74">
        <f>D114&amp;G114</f>
        <v/>
      </c>
    </row>
    <row r="115">
      <c r="A115" s="421" t="inlineStr">
        <is>
          <t>ID11R24.5-16PR(149/146L)[M-TRAC AP]MASTERTRACK无内</t>
        </is>
      </c>
      <c r="B115" s="406" t="n">
        <v>2300</v>
      </c>
      <c r="C115" s="410" t="inlineStr">
        <is>
          <t>北美</t>
        </is>
      </c>
      <c r="D115" s="74">
        <f>MID(A115,FIND("R",A115)+1,4)</f>
        <v/>
      </c>
      <c r="E115" s="408">
        <f>_xlfn.XLOOKUP(A115,'7月排产计划'!G:G,'7月排产计划'!B:B)</f>
        <v/>
      </c>
      <c r="F115" s="69">
        <f>E115&amp;D115&amp;"寸"</f>
        <v/>
      </c>
      <c r="G115" s="408" t="inlineStr">
        <is>
          <t>全钢</t>
        </is>
      </c>
      <c r="H115" s="74">
        <f>D115&amp;G115</f>
        <v/>
      </c>
    </row>
    <row r="116">
      <c r="A116" s="423" t="inlineStr">
        <is>
          <t>ID11R24.5-16PR(149/146L)[M-TRAC CSD]MASTERTRACK无内</t>
        </is>
      </c>
      <c r="B116" s="406" t="n">
        <v>2200</v>
      </c>
      <c r="C116" s="410" t="inlineStr">
        <is>
          <t>北美</t>
        </is>
      </c>
      <c r="D116" s="74">
        <f>MID(A116,FIND("R",A116)+1,4)</f>
        <v/>
      </c>
      <c r="E116" s="408">
        <f>_xlfn.XLOOKUP(A116,'7月排产计划'!G:G,'7月排产计划'!B:B)</f>
        <v/>
      </c>
      <c r="F116" s="69">
        <f>E116&amp;D116&amp;"寸"</f>
        <v/>
      </c>
      <c r="G116" s="408" t="inlineStr">
        <is>
          <t>全钢</t>
        </is>
      </c>
      <c r="H116" s="74">
        <f>D116&amp;G116</f>
        <v/>
      </c>
    </row>
    <row r="117">
      <c r="A117" s="423" t="inlineStr">
        <is>
          <t>ID11R24.5-16PR(149/146L)[M-TRAC MS]MASTERTRACK无内</t>
        </is>
      </c>
      <c r="B117" s="406" t="n">
        <v>350</v>
      </c>
      <c r="C117" s="410" t="inlineStr">
        <is>
          <t>北美</t>
        </is>
      </c>
      <c r="D117" s="74">
        <f>MID(A117,FIND("R",A117)+1,4)</f>
        <v/>
      </c>
      <c r="E117" s="408">
        <f>_xlfn.XLOOKUP(A117,'7月排产计划'!G:G,'7月排产计划'!B:B)</f>
        <v/>
      </c>
      <c r="F117" s="69">
        <f>E117&amp;D117&amp;"寸"</f>
        <v/>
      </c>
      <c r="G117" s="408" t="inlineStr">
        <is>
          <t>全钢</t>
        </is>
      </c>
      <c r="H117" s="74">
        <f>D117&amp;G117</f>
        <v/>
      </c>
    </row>
    <row r="118">
      <c r="A118" s="423" t="inlineStr">
        <is>
          <t>ID11R24.5-16PR(149/146L)[M-TRAC MST]MASTERTRACK无内</t>
        </is>
      </c>
      <c r="B118" s="406" t="n">
        <v>150</v>
      </c>
      <c r="C118" s="410" t="inlineStr">
        <is>
          <t>北美</t>
        </is>
      </c>
      <c r="D118" s="74">
        <f>MID(A118,FIND("R",A118)+1,4)</f>
        <v/>
      </c>
      <c r="E118" s="408">
        <f>_xlfn.XLOOKUP(A118,'7月排产计划'!G:G,'7月排产计划'!B:B)</f>
        <v/>
      </c>
      <c r="F118" s="69">
        <f>E118&amp;D118&amp;"寸"</f>
        <v/>
      </c>
      <c r="G118" s="408" t="inlineStr">
        <is>
          <t>全钢</t>
        </is>
      </c>
      <c r="H118" s="74">
        <f>D118&amp;G118</f>
        <v/>
      </c>
    </row>
    <row r="119">
      <c r="A119" s="423" t="inlineStr">
        <is>
          <t>ID11R24.5-16PR(149/146L)[M-TRAC OSD]MASTERTRACK无内</t>
        </is>
      </c>
      <c r="B119" s="406" t="n">
        <v>1200</v>
      </c>
      <c r="C119" s="410" t="inlineStr">
        <is>
          <t>北美</t>
        </is>
      </c>
      <c r="D119" s="74">
        <f>MID(A119,FIND("R",A119)+1,4)</f>
        <v/>
      </c>
      <c r="E119" s="408">
        <f>_xlfn.XLOOKUP(A119,'7月排产计划'!G:G,'7月排产计划'!B:B)</f>
        <v/>
      </c>
      <c r="F119" s="69">
        <f>E119&amp;D119&amp;"寸"</f>
        <v/>
      </c>
      <c r="G119" s="408" t="inlineStr">
        <is>
          <t>全钢</t>
        </is>
      </c>
      <c r="H119" s="74">
        <f>D119&amp;G119</f>
        <v/>
      </c>
    </row>
    <row r="120">
      <c r="A120" s="421" t="inlineStr">
        <is>
          <t>ID11R24.5-16PR(149/146M)[I-19A]IRONMAN无内 SMARTWAY</t>
        </is>
      </c>
      <c r="B120" s="406" t="n">
        <v>680</v>
      </c>
      <c r="C120" s="410" t="inlineStr">
        <is>
          <t>北美</t>
        </is>
      </c>
      <c r="D120" s="74">
        <f>MID(A120,FIND("R",A120)+1,4)</f>
        <v/>
      </c>
      <c r="E120" s="408">
        <f>_xlfn.XLOOKUP(A120,'7月排产计划'!G:G,'7月排产计划'!B:B)</f>
        <v/>
      </c>
      <c r="F120" s="69">
        <f>E120&amp;D120&amp;"寸"</f>
        <v/>
      </c>
      <c r="G120" s="408" t="inlineStr">
        <is>
          <t>全钢</t>
        </is>
      </c>
      <c r="H120" s="74">
        <f>D120&amp;G120</f>
        <v/>
      </c>
    </row>
    <row r="121">
      <c r="A121" s="421" t="inlineStr">
        <is>
          <t>ID11R24.5-16PR(149/146L)[VD998]VITOUR无内</t>
        </is>
      </c>
      <c r="B121" s="406" t="n">
        <v>500</v>
      </c>
      <c r="C121" s="410" t="inlineStr">
        <is>
          <t>亚</t>
        </is>
      </c>
      <c r="D121" s="74">
        <f>MID(A121,FIND("R",A121)+1,4)</f>
        <v/>
      </c>
      <c r="E121" s="408">
        <f>_xlfn.XLOOKUP(A121,'7月排产计划'!G:G,'7月排产计划'!B:B)</f>
        <v/>
      </c>
      <c r="F121" s="69">
        <f>E121&amp;D121&amp;"寸"</f>
        <v/>
      </c>
      <c r="G121" s="408" t="inlineStr">
        <is>
          <t>全钢</t>
        </is>
      </c>
      <c r="H121" s="74">
        <f>D121&amp;G121</f>
        <v/>
      </c>
    </row>
    <row r="122">
      <c r="A122" s="421" t="inlineStr">
        <is>
          <t>ID11R24.5-16PR(149/146M)[VA996]VITOUR无内</t>
        </is>
      </c>
      <c r="B122" s="406" t="n">
        <v>800</v>
      </c>
      <c r="C122" s="410" t="inlineStr">
        <is>
          <t>亚</t>
        </is>
      </c>
      <c r="D122" s="74">
        <f>MID(A122,FIND("R",A122)+1,4)</f>
        <v/>
      </c>
      <c r="E122" s="408">
        <f>_xlfn.XLOOKUP(A122,'7月排产计划'!G:G,'7月排产计划'!B:B)</f>
        <v/>
      </c>
      <c r="F122" s="69">
        <f>E122&amp;D122&amp;"寸"</f>
        <v/>
      </c>
      <c r="G122" s="408" t="inlineStr">
        <is>
          <t>全钢</t>
        </is>
      </c>
      <c r="H122" s="74">
        <f>D122&amp;G122</f>
        <v/>
      </c>
    </row>
    <row r="123">
      <c r="A123" s="421" t="inlineStr">
        <is>
          <t>ID11R24.5-16PR(149/146L)[VA991]VITOUR无内</t>
        </is>
      </c>
      <c r="B123" s="406" t="n">
        <v>300</v>
      </c>
      <c r="C123" s="410" t="inlineStr">
        <is>
          <t>亚</t>
        </is>
      </c>
      <c r="D123" s="74">
        <f>MID(A123,FIND("R",A123)+1,4)</f>
        <v/>
      </c>
      <c r="E123" s="408">
        <f>_xlfn.XLOOKUP(A123,'7月排产计划'!G:G,'7月排产计划'!B:B)</f>
        <v/>
      </c>
      <c r="F123" s="69">
        <f>E123&amp;D123&amp;"寸"</f>
        <v/>
      </c>
      <c r="G123" s="408" t="inlineStr">
        <is>
          <t>全钢</t>
        </is>
      </c>
      <c r="H123" s="74">
        <f>D123&amp;G123</f>
        <v/>
      </c>
    </row>
    <row r="124">
      <c r="A124" s="421" t="inlineStr">
        <is>
          <t>ID12R22.5-18PR(152/149F)[EZ870]雅度无内</t>
        </is>
      </c>
      <c r="B124" s="406" t="n">
        <v>450</v>
      </c>
      <c r="C124" s="410" t="inlineStr">
        <is>
          <t>亚</t>
        </is>
      </c>
      <c r="D124" s="74">
        <f>MID(A124,FIND("R",A124)+1,4)</f>
        <v/>
      </c>
      <c r="E124" s="408">
        <f>_xlfn.XLOOKUP(A124,'7月排产计划'!G:G,'7月排产计划'!B:B)</f>
        <v/>
      </c>
      <c r="F124" s="69">
        <f>E124&amp;D124&amp;"寸"</f>
        <v/>
      </c>
      <c r="G124" s="408" t="inlineStr">
        <is>
          <t>全钢</t>
        </is>
      </c>
      <c r="H124" s="74">
        <f>D124&amp;G124</f>
        <v/>
      </c>
    </row>
    <row r="125">
      <c r="A125" s="421" t="inlineStr">
        <is>
          <t>ID12R22.5-18PR(152/149K)[EZ867]雅度无内</t>
        </is>
      </c>
      <c r="B125" s="406" t="n">
        <v>200</v>
      </c>
      <c r="C125" s="410" t="inlineStr">
        <is>
          <t>亚</t>
        </is>
      </c>
      <c r="D125" s="74">
        <f>MID(A125,FIND("R",A125)+1,4)</f>
        <v/>
      </c>
      <c r="E125" s="408">
        <f>_xlfn.XLOOKUP(A125,'7月排产计划'!G:G,'7月排产计划'!B:B)</f>
        <v/>
      </c>
      <c r="F125" s="69">
        <f>E125&amp;D125&amp;"寸"</f>
        <v/>
      </c>
      <c r="G125" s="408" t="inlineStr">
        <is>
          <t>全钢</t>
        </is>
      </c>
      <c r="H125" s="74">
        <f>D125&amp;G125</f>
        <v/>
      </c>
    </row>
    <row r="126">
      <c r="A126" s="421" t="inlineStr">
        <is>
          <t>ID12R22.5-18PR(152/149L)[I-181]IRONMAN无内</t>
        </is>
      </c>
      <c r="B126" s="406" t="n">
        <v>280</v>
      </c>
      <c r="C126" s="410" t="inlineStr">
        <is>
          <t>北美</t>
        </is>
      </c>
      <c r="D126" s="74">
        <f>MID(A126,FIND("R",A126)+1,4)</f>
        <v/>
      </c>
      <c r="E126" s="408">
        <f>_xlfn.XLOOKUP(A126,'7月排产计划'!G:G,'7月排产计划'!B:B)</f>
        <v/>
      </c>
      <c r="F126" s="69">
        <f>E126&amp;D126&amp;"寸"</f>
        <v/>
      </c>
      <c r="G126" s="408" t="inlineStr">
        <is>
          <t>全钢</t>
        </is>
      </c>
      <c r="H126" s="74">
        <f>D126&amp;G126</f>
        <v/>
      </c>
    </row>
    <row r="127">
      <c r="A127" s="421" t="inlineStr">
        <is>
          <t>ID12R22.5-20PR(154/151K)[EZ867]雅度无内</t>
        </is>
      </c>
      <c r="B127" s="406" t="n">
        <v>300</v>
      </c>
      <c r="C127" s="410" t="inlineStr">
        <is>
          <t>亚</t>
        </is>
      </c>
      <c r="D127" s="74">
        <f>MID(A127,FIND("R",A127)+1,4)</f>
        <v/>
      </c>
      <c r="E127" s="408">
        <f>_xlfn.XLOOKUP(A127,'7月排产计划'!G:G,'7月排产计划'!B:B)</f>
        <v/>
      </c>
      <c r="F127" s="69">
        <f>E127&amp;D127&amp;"寸"</f>
        <v/>
      </c>
      <c r="G127" s="408" t="inlineStr">
        <is>
          <t>全钢</t>
        </is>
      </c>
      <c r="H127" s="74">
        <f>D127&amp;G127</f>
        <v/>
      </c>
    </row>
    <row r="128">
      <c r="A128" s="421" t="inlineStr">
        <is>
          <t>ID12R22.5-20PR(154/151L)[AS898H]雅度无内</t>
        </is>
      </c>
      <c r="B128" s="406" t="n">
        <v>760</v>
      </c>
      <c r="C128" s="410" t="inlineStr">
        <is>
          <t>亚</t>
        </is>
      </c>
      <c r="D128" s="74">
        <f>MID(A128,FIND("R",A128)+1,4)</f>
        <v/>
      </c>
      <c r="E128" s="408">
        <f>_xlfn.XLOOKUP(A128,'7月排产计划'!G:G,'7月排产计划'!B:B)</f>
        <v/>
      </c>
      <c r="F128" s="69">
        <f>E128&amp;D128&amp;"寸"</f>
        <v/>
      </c>
      <c r="G128" s="408" t="inlineStr">
        <is>
          <t>全钢</t>
        </is>
      </c>
      <c r="H128" s="74">
        <f>D128&amp;G128</f>
        <v/>
      </c>
    </row>
    <row r="129">
      <c r="A129" s="421" t="inlineStr">
        <is>
          <t>ID215/75R17.5-16PR(135/133J)[AP-7318]VANTAGE无内</t>
        </is>
      </c>
      <c r="B129" s="406" t="n">
        <v>280</v>
      </c>
      <c r="C129" s="410" t="inlineStr">
        <is>
          <t>北美</t>
        </is>
      </c>
      <c r="D129" s="74">
        <f>MID(A129,FIND("R",A129)+1,4)</f>
        <v/>
      </c>
      <c r="E129" s="408">
        <f>_xlfn.XLOOKUP(A129,'7月排产计划'!G:G,'7月排产计划'!B:B)</f>
        <v/>
      </c>
      <c r="F129" s="69">
        <f>E129&amp;D129&amp;"寸"</f>
        <v/>
      </c>
      <c r="G129" s="408" t="inlineStr">
        <is>
          <t>全钢</t>
        </is>
      </c>
      <c r="H129" s="74">
        <f>D129&amp;G129</f>
        <v/>
      </c>
    </row>
    <row r="130">
      <c r="A130" s="421" t="inlineStr">
        <is>
          <t>ID215/75R17.5-16PR(135/133L)[I-19A]IRONMAN无内</t>
        </is>
      </c>
      <c r="B130" s="406" t="n">
        <v>3500</v>
      </c>
      <c r="C130" s="410" t="inlineStr">
        <is>
          <t>北美</t>
        </is>
      </c>
      <c r="D130" s="74">
        <f>MID(A130,FIND("R",A130)+1,4)</f>
        <v/>
      </c>
      <c r="E130" s="408">
        <f>_xlfn.XLOOKUP(A130,'7月排产计划'!G:G,'7月排产计划'!B:B)</f>
        <v/>
      </c>
      <c r="F130" s="69">
        <f>E130&amp;D130&amp;"寸"</f>
        <v/>
      </c>
      <c r="G130" s="408" t="inlineStr">
        <is>
          <t>全钢</t>
        </is>
      </c>
      <c r="H130" s="74">
        <f>D130&amp;G130</f>
        <v/>
      </c>
    </row>
    <row r="131">
      <c r="A131" s="421" t="inlineStr">
        <is>
          <t>ID215/75R17.5-16PR(135/133L)[Strong Guard H-RA]HERCULES无内</t>
        </is>
      </c>
      <c r="B131" s="406" t="n">
        <v>1600</v>
      </c>
      <c r="C131" s="410" t="inlineStr">
        <is>
          <t>北美</t>
        </is>
      </c>
      <c r="D131" s="74">
        <f>MID(A131,FIND("R",A131)+1,4)</f>
        <v/>
      </c>
      <c r="E131" s="408">
        <f>_xlfn.XLOOKUP(A131,'7月排产计划'!G:G,'7月排产计划'!B:B)</f>
        <v/>
      </c>
      <c r="F131" s="69">
        <f>E131&amp;D131&amp;"寸"</f>
        <v/>
      </c>
      <c r="G131" s="408" t="inlineStr">
        <is>
          <t>全钢</t>
        </is>
      </c>
      <c r="H131" s="74">
        <f>D131&amp;G131</f>
        <v/>
      </c>
    </row>
    <row r="132">
      <c r="A132" s="421" t="inlineStr">
        <is>
          <t>ID215/75R17.5-18PR(135/133L)[AZ599]威狮无内</t>
        </is>
      </c>
      <c r="B132" s="406" t="n">
        <v>400</v>
      </c>
      <c r="C132" s="410" t="inlineStr">
        <is>
          <t>北美</t>
        </is>
      </c>
      <c r="D132" s="74">
        <f>MID(A132,FIND("R",A132)+1,4)</f>
        <v/>
      </c>
      <c r="E132" s="408">
        <f>_xlfn.XLOOKUP(A132,'7月排产计划'!G:G,'7月排产计划'!B:B)</f>
        <v/>
      </c>
      <c r="F132" s="69">
        <f>E132&amp;D132&amp;"寸"</f>
        <v/>
      </c>
      <c r="G132" s="408" t="inlineStr">
        <is>
          <t>全钢</t>
        </is>
      </c>
      <c r="H132" s="74">
        <f>D132&amp;G132</f>
        <v/>
      </c>
    </row>
    <row r="133">
      <c r="A133" s="421" t="inlineStr">
        <is>
          <t>ID215/75R17.5-18PR(135/133L)[M-TRAC AP]MASTERTRACK无内</t>
        </is>
      </c>
      <c r="B133" s="406" t="n">
        <v>1800</v>
      </c>
      <c r="C133" s="410" t="inlineStr">
        <is>
          <t>北美</t>
        </is>
      </c>
      <c r="D133" s="74">
        <f>MID(A133,FIND("R",A133)+1,4)</f>
        <v/>
      </c>
      <c r="E133" s="408">
        <f>_xlfn.XLOOKUP(A133,'7月排产计划'!G:G,'7月排产计划'!B:B)</f>
        <v/>
      </c>
      <c r="F133" s="69">
        <f>E133&amp;D133&amp;"寸"</f>
        <v/>
      </c>
      <c r="G133" s="408" t="inlineStr">
        <is>
          <t>全钢</t>
        </is>
      </c>
      <c r="H133" s="74">
        <f>D133&amp;G133</f>
        <v/>
      </c>
    </row>
    <row r="134">
      <c r="A134" s="421" t="inlineStr">
        <is>
          <t>ID225/70R19.5-14PR(128/126L)[CM983]威狮无内</t>
        </is>
      </c>
      <c r="B134" s="406" t="n">
        <v>220</v>
      </c>
      <c r="C134" s="410" t="inlineStr">
        <is>
          <t>北美</t>
        </is>
      </c>
      <c r="D134" s="74">
        <f>MID(A134,FIND("R",A134)+1,4)</f>
        <v/>
      </c>
      <c r="E134" s="408">
        <f>_xlfn.XLOOKUP(A134,'7月排产计划'!G:G,'7月排产计划'!B:B)</f>
        <v/>
      </c>
      <c r="F134" s="69">
        <f>E134&amp;D134&amp;"寸"</f>
        <v/>
      </c>
      <c r="G134" s="408" t="inlineStr">
        <is>
          <t>全钢</t>
        </is>
      </c>
      <c r="H134" s="74">
        <f>D134&amp;G134</f>
        <v/>
      </c>
    </row>
    <row r="135">
      <c r="A135" s="423" t="inlineStr">
        <is>
          <t>ID225/70R19.5-14PR(128/126L)[I-208]IRONMAN无内</t>
        </is>
      </c>
      <c r="B135" s="406" t="n">
        <v>2900</v>
      </c>
      <c r="C135" s="410" t="inlineStr">
        <is>
          <t>北美</t>
        </is>
      </c>
      <c r="D135" s="74">
        <f>MID(A135,FIND("R",A135)+1,4)</f>
        <v/>
      </c>
      <c r="E135" s="408">
        <f>_xlfn.XLOOKUP(A135,'7月排产计划'!G:G,'7月排产计划'!B:B)</f>
        <v/>
      </c>
      <c r="F135" s="69">
        <f>E135&amp;D135&amp;"寸"</f>
        <v/>
      </c>
      <c r="G135" s="408" t="inlineStr">
        <is>
          <t>全钢</t>
        </is>
      </c>
      <c r="H135" s="74">
        <f>D135&amp;G135</f>
        <v/>
      </c>
    </row>
    <row r="136">
      <c r="A136" s="423" t="inlineStr">
        <is>
          <t>ID225/70R19.5-14PR(128/126L)[Strong Guard H-RA]HERCULES无内</t>
        </is>
      </c>
      <c r="B136" s="406" t="n">
        <v>3200</v>
      </c>
      <c r="C136" s="410" t="inlineStr">
        <is>
          <t>北美</t>
        </is>
      </c>
      <c r="D136" s="74">
        <f>MID(A136,FIND("R",A136)+1,4)</f>
        <v/>
      </c>
      <c r="E136" s="408">
        <f>_xlfn.XLOOKUP(A136,'7月排产计划'!G:G,'7月排产计划'!B:B)</f>
        <v/>
      </c>
      <c r="F136" s="69">
        <f>E136&amp;D136&amp;"寸"</f>
        <v/>
      </c>
      <c r="G136" s="408" t="inlineStr">
        <is>
          <t>全钢</t>
        </is>
      </c>
      <c r="H136" s="74">
        <f>D136&amp;G136</f>
        <v/>
      </c>
    </row>
    <row r="137">
      <c r="A137" s="423" t="inlineStr">
        <is>
          <t>ID225/70R19.5-14PR(128/126M)[ECO-MILE RDW]TRAVELSTAR无内</t>
        </is>
      </c>
      <c r="B137" s="406" t="n">
        <v>280</v>
      </c>
      <c r="C137" s="410" t="inlineStr">
        <is>
          <t>北美</t>
        </is>
      </c>
      <c r="D137" s="74">
        <f>MID(A137,FIND("R",A137)+1,4)</f>
        <v/>
      </c>
      <c r="E137" s="408">
        <f>_xlfn.XLOOKUP(A137,'7月排产计划'!G:G,'7月排产计划'!B:B)</f>
        <v/>
      </c>
      <c r="F137" s="69">
        <f>E137&amp;D137&amp;"寸"</f>
        <v/>
      </c>
      <c r="G137" s="408" t="inlineStr">
        <is>
          <t>全钢</t>
        </is>
      </c>
      <c r="H137" s="74">
        <f>D137&amp;G137</f>
        <v/>
      </c>
    </row>
    <row r="138">
      <c r="A138" s="423" t="inlineStr">
        <is>
          <t>ID225/70R19.5-14PR(128/126M)[M-TRAC RDW]MASTERTRACK无内</t>
        </is>
      </c>
      <c r="B138" s="406" t="n">
        <v>400</v>
      </c>
      <c r="C138" s="410" t="inlineStr">
        <is>
          <t>北美</t>
        </is>
      </c>
      <c r="D138" s="74">
        <f>MID(A138,FIND("R",A138)+1,4)</f>
        <v/>
      </c>
      <c r="E138" s="408">
        <f>_xlfn.XLOOKUP(A138,'7月排产计划'!G:G,'7月排产计划'!B:B)</f>
        <v/>
      </c>
      <c r="F138" s="69">
        <f>E138&amp;D138&amp;"寸"</f>
        <v/>
      </c>
      <c r="G138" s="408" t="inlineStr">
        <is>
          <t>全钢</t>
        </is>
      </c>
      <c r="H138" s="74">
        <f>D138&amp;G138</f>
        <v/>
      </c>
    </row>
    <row r="139">
      <c r="A139" s="423" t="inlineStr">
        <is>
          <t>ID225/70R19.5-14PR(128/126N)[AP-7318]VANTAGE无内</t>
        </is>
      </c>
      <c r="B139" s="406" t="n">
        <v>1400</v>
      </c>
      <c r="C139" s="410" t="inlineStr">
        <is>
          <t>北美</t>
        </is>
      </c>
      <c r="D139" s="74">
        <f>MID(A139,FIND("R",A139)+1,4)</f>
        <v/>
      </c>
      <c r="E139" s="408">
        <f>_xlfn.XLOOKUP(A139,'7月排产计划'!G:G,'7月排产计划'!B:B)</f>
        <v/>
      </c>
      <c r="F139" s="69">
        <f>E139&amp;D139&amp;"寸"</f>
        <v/>
      </c>
      <c r="G139" s="408" t="inlineStr">
        <is>
          <t>全钢</t>
        </is>
      </c>
      <c r="H139" s="74">
        <f>D139&amp;G139</f>
        <v/>
      </c>
    </row>
    <row r="140">
      <c r="A140" s="421" t="inlineStr">
        <is>
          <t>ID225/70R19.5-14PR(128/126N)[DR-7318]VANTAGE无内</t>
        </is>
      </c>
      <c r="B140" s="406" t="n">
        <v>600</v>
      </c>
      <c r="C140" s="410" t="inlineStr">
        <is>
          <t>北美</t>
        </is>
      </c>
      <c r="D140" s="74">
        <f>MID(A140,FIND("R",A140)+1,4)</f>
        <v/>
      </c>
      <c r="E140" s="408">
        <f>_xlfn.XLOOKUP(A140,'7月排产计划'!G:G,'7月排产计划'!B:B)</f>
        <v/>
      </c>
      <c r="F140" s="69">
        <f>E140&amp;D140&amp;"寸"</f>
        <v/>
      </c>
      <c r="G140" s="408" t="inlineStr">
        <is>
          <t>全钢</t>
        </is>
      </c>
      <c r="H140" s="74">
        <f>D140&amp;G140</f>
        <v/>
      </c>
    </row>
    <row r="141">
      <c r="A141" s="421" t="inlineStr">
        <is>
          <t>ID225/70R19.5-14PR(128/126N)[ECO-MILE AP]TRAVELSTAR无内</t>
        </is>
      </c>
      <c r="B141" s="406" t="n">
        <v>1200</v>
      </c>
      <c r="C141" s="410" t="inlineStr">
        <is>
          <t>北美</t>
        </is>
      </c>
      <c r="D141" s="74">
        <f>MID(A141,FIND("R",A141)+1,4)</f>
        <v/>
      </c>
      <c r="E141" s="408">
        <f>_xlfn.XLOOKUP(A141,'7月排产计划'!G:G,'7月排产计划'!B:B)</f>
        <v/>
      </c>
      <c r="F141" s="69">
        <f>E141&amp;D141&amp;"寸"</f>
        <v/>
      </c>
      <c r="G141" s="408" t="inlineStr">
        <is>
          <t>全钢</t>
        </is>
      </c>
      <c r="H141" s="74">
        <f>D141&amp;G141</f>
        <v/>
      </c>
    </row>
    <row r="142">
      <c r="A142" s="421" t="inlineStr">
        <is>
          <t>ID225/70R19.5-14PR(128/126N)[ECO-MILE HTD]TRAVELSTAR无内</t>
        </is>
      </c>
      <c r="B142" s="406" t="n">
        <v>800</v>
      </c>
      <c r="C142" s="410" t="inlineStr">
        <is>
          <t>北美</t>
        </is>
      </c>
      <c r="D142" s="74">
        <f>MID(A142,FIND("R",A142)+1,4)</f>
        <v/>
      </c>
      <c r="E142" s="408">
        <f>_xlfn.XLOOKUP(A142,'7月排产计划'!G:G,'7月排产计划'!B:B)</f>
        <v/>
      </c>
      <c r="F142" s="69">
        <f>E142&amp;D142&amp;"寸"</f>
        <v/>
      </c>
      <c r="G142" s="408" t="inlineStr">
        <is>
          <t>全钢</t>
        </is>
      </c>
      <c r="H142" s="74">
        <f>D142&amp;G142</f>
        <v/>
      </c>
    </row>
    <row r="143">
      <c r="A143" s="421" t="inlineStr">
        <is>
          <t>ID225/70R19.5-14PR(128/126N)[I-19A]IRONMAN无内</t>
        </is>
      </c>
      <c r="B143" s="406" t="n">
        <v>8000</v>
      </c>
      <c r="C143" s="410" t="inlineStr">
        <is>
          <t>北美</t>
        </is>
      </c>
      <c r="D143" s="74">
        <f>MID(A143,FIND("R",A143)+1,4)</f>
        <v/>
      </c>
      <c r="E143" s="408">
        <f>_xlfn.XLOOKUP(A143,'7月排产计划'!G:G,'7月排产计划'!B:B)</f>
        <v/>
      </c>
      <c r="F143" s="69">
        <f>E143&amp;D143&amp;"寸"</f>
        <v/>
      </c>
      <c r="G143" s="408" t="inlineStr">
        <is>
          <t>全钢</t>
        </is>
      </c>
      <c r="H143" s="74">
        <f>D143&amp;G143</f>
        <v/>
      </c>
    </row>
    <row r="144">
      <c r="A144" s="421" t="inlineStr">
        <is>
          <t>ID225/70R19.5-14PR(128/126N)[I-37D]IRONMAN无内</t>
        </is>
      </c>
      <c r="B144" s="406" t="n">
        <v>600</v>
      </c>
      <c r="C144" s="410" t="inlineStr">
        <is>
          <t>北美</t>
        </is>
      </c>
      <c r="D144" s="74">
        <f>MID(A144,FIND("R",A144)+1,4)</f>
        <v/>
      </c>
      <c r="E144" s="408">
        <f>_xlfn.XLOOKUP(A144,'7月排产计划'!G:G,'7月排产计划'!B:B)</f>
        <v/>
      </c>
      <c r="F144" s="69">
        <f>E144&amp;D144&amp;"寸"</f>
        <v/>
      </c>
      <c r="G144" s="408" t="inlineStr">
        <is>
          <t>全钢</t>
        </is>
      </c>
      <c r="H144" s="74">
        <f>D144&amp;G144</f>
        <v/>
      </c>
    </row>
    <row r="145">
      <c r="A145" s="424" t="inlineStr">
        <is>
          <t>ID225/70R19.5-14PR(128/126N)[M-TRAC AP]MASTERTRACK无内</t>
        </is>
      </c>
      <c r="B145" s="406" t="n">
        <v>3300</v>
      </c>
      <c r="C145" s="410" t="inlineStr">
        <is>
          <t>北美</t>
        </is>
      </c>
      <c r="D145" s="74">
        <f>MID(A145,FIND("R",A145)+1,4)</f>
        <v/>
      </c>
      <c r="E145" s="408">
        <f>_xlfn.XLOOKUP(A145,'7月排产计划'!G:G,'7月排产计划'!B:B)</f>
        <v/>
      </c>
      <c r="F145" s="69">
        <f>E145&amp;D145&amp;"寸"</f>
        <v/>
      </c>
      <c r="G145" s="408" t="inlineStr">
        <is>
          <t>全钢</t>
        </is>
      </c>
      <c r="H145" s="74">
        <f>D145&amp;G145</f>
        <v/>
      </c>
    </row>
    <row r="146">
      <c r="A146" s="424" t="inlineStr">
        <is>
          <t>ID225/70R19.5-14PR(128/126N)[M-TRAC HTD]MASTERTRACK无内</t>
        </is>
      </c>
      <c r="B146" s="406" t="n">
        <v>1100</v>
      </c>
      <c r="C146" s="410" t="inlineStr">
        <is>
          <t>北美</t>
        </is>
      </c>
      <c r="D146" s="74">
        <f>MID(A146,FIND("R",A146)+1,4)</f>
        <v/>
      </c>
      <c r="E146" s="408">
        <f>_xlfn.XLOOKUP(A146,'7月排产计划'!G:G,'7月排产计划'!B:B)</f>
        <v/>
      </c>
      <c r="F146" s="69">
        <f>E146&amp;D146&amp;"寸"</f>
        <v/>
      </c>
      <c r="G146" s="408" t="inlineStr">
        <is>
          <t>全钢</t>
        </is>
      </c>
      <c r="H146" s="74">
        <f>D146&amp;G146</f>
        <v/>
      </c>
    </row>
    <row r="147">
      <c r="A147" s="424" t="inlineStr">
        <is>
          <t>ID225/70R19.5-14PR(128/126M)[VD935]VITOUR无内</t>
        </is>
      </c>
      <c r="B147" s="406" t="n">
        <v>1000</v>
      </c>
      <c r="C147" s="410" t="inlineStr">
        <is>
          <t>亚</t>
        </is>
      </c>
      <c r="D147" s="74">
        <f>MID(A147,FIND("R",A147)+1,4)</f>
        <v/>
      </c>
      <c r="E147" s="408">
        <f>_xlfn.XLOOKUP(A147,'7月排产计划'!G:G,'7月排产计划'!B:B)</f>
        <v/>
      </c>
      <c r="F147" s="69">
        <f>E147&amp;D147&amp;"寸"</f>
        <v/>
      </c>
      <c r="G147" s="408" t="inlineStr">
        <is>
          <t>全钢</t>
        </is>
      </c>
      <c r="H147" s="74">
        <f>D147&amp;G147</f>
        <v/>
      </c>
    </row>
    <row r="148">
      <c r="A148" s="424" t="inlineStr">
        <is>
          <t>ID235/75R17.5-18PR(143/141L)[AP-7318]VANTAGE无内</t>
        </is>
      </c>
      <c r="B148" s="406" t="n">
        <v>300</v>
      </c>
      <c r="C148" s="410" t="inlineStr">
        <is>
          <t>北美</t>
        </is>
      </c>
      <c r="D148" s="74">
        <f>MID(A148,FIND("R",A148)+1,4)</f>
        <v/>
      </c>
      <c r="E148" s="408">
        <f>_xlfn.XLOOKUP(A148,'7月排产计划'!G:G,'7月排产计划'!B:B)</f>
        <v/>
      </c>
      <c r="F148" s="69">
        <f>E148&amp;D148&amp;"寸"</f>
        <v/>
      </c>
      <c r="G148" s="408" t="inlineStr">
        <is>
          <t>全钢</t>
        </is>
      </c>
      <c r="H148" s="74">
        <f>D148&amp;G148</f>
        <v/>
      </c>
    </row>
    <row r="149">
      <c r="A149" s="424" t="inlineStr">
        <is>
          <t>ID235/75R17.5-18PR(143/141L)[I-19A]IRONMAN无内</t>
        </is>
      </c>
      <c r="B149" s="406" t="n">
        <v>2500</v>
      </c>
      <c r="C149" s="410" t="inlineStr">
        <is>
          <t>北美</t>
        </is>
      </c>
      <c r="D149" s="74">
        <f>MID(A149,FIND("R",A149)+1,4)</f>
        <v/>
      </c>
      <c r="E149" s="408">
        <f>_xlfn.XLOOKUP(A149,'7月排产计划'!G:G,'7月排产计划'!B:B)</f>
        <v/>
      </c>
      <c r="F149" s="69">
        <f>E149&amp;D149&amp;"寸"</f>
        <v/>
      </c>
      <c r="G149" s="408" t="inlineStr">
        <is>
          <t>全钢</t>
        </is>
      </c>
      <c r="H149" s="74">
        <f>D149&amp;G149</f>
        <v/>
      </c>
    </row>
    <row r="150">
      <c r="A150" s="424" t="inlineStr">
        <is>
          <t>ID235/75R17.5-18PR(143/141L)[M-TRAC AP]MASTERTRACK无内</t>
        </is>
      </c>
      <c r="B150" s="406" t="n">
        <v>2300</v>
      </c>
      <c r="C150" s="410" t="inlineStr">
        <is>
          <t>北美</t>
        </is>
      </c>
      <c r="D150" s="74">
        <f>MID(A150,FIND("R",A150)+1,4)</f>
        <v/>
      </c>
      <c r="E150" s="408">
        <f>_xlfn.XLOOKUP(A150,'7月排产计划'!G:G,'7月排产计划'!B:B)</f>
        <v/>
      </c>
      <c r="F150" s="69">
        <f>E150&amp;D150&amp;"寸"</f>
        <v/>
      </c>
      <c r="G150" s="408" t="inlineStr">
        <is>
          <t>全钢</t>
        </is>
      </c>
      <c r="H150" s="74">
        <f>D150&amp;G150</f>
        <v/>
      </c>
    </row>
    <row r="151">
      <c r="A151" s="424" t="inlineStr">
        <is>
          <t>ID235/75R17.5-18PR(143/141L)[Strong Guard H-RA]HERCULES无内</t>
        </is>
      </c>
      <c r="B151" s="406" t="n">
        <v>750</v>
      </c>
      <c r="C151" s="410" t="inlineStr">
        <is>
          <t>北美</t>
        </is>
      </c>
      <c r="D151" s="74">
        <f>MID(A151,FIND("R",A151)+1,4)</f>
        <v/>
      </c>
      <c r="E151" s="408">
        <f>_xlfn.XLOOKUP(A151,'7月排产计划'!G:G,'7月排产计划'!B:B)</f>
        <v/>
      </c>
      <c r="F151" s="69">
        <f>E151&amp;D151&amp;"寸"</f>
        <v/>
      </c>
      <c r="G151" s="408" t="inlineStr">
        <is>
          <t>全钢</t>
        </is>
      </c>
      <c r="H151" s="74">
        <f>D151&amp;G151</f>
        <v/>
      </c>
    </row>
    <row r="152">
      <c r="A152" s="424" t="inlineStr">
        <is>
          <t>ID235/75R17.5-18PR(143/141L)[VA933]VITOUR无内</t>
        </is>
      </c>
      <c r="B152" s="406" t="n">
        <v>500</v>
      </c>
      <c r="C152" s="410" t="inlineStr">
        <is>
          <t>亚</t>
        </is>
      </c>
      <c r="D152" s="74">
        <f>MID(A152,FIND("R",A152)+1,4)</f>
        <v/>
      </c>
      <c r="E152" s="408">
        <f>_xlfn.XLOOKUP(A152,'7月排产计划'!G:G,'7月排产计划'!B:B)</f>
        <v/>
      </c>
      <c r="F152" s="69">
        <f>E152&amp;D152&amp;"寸"</f>
        <v/>
      </c>
      <c r="G152" s="408" t="inlineStr">
        <is>
          <t>全钢</t>
        </is>
      </c>
      <c r="H152" s="74">
        <f>D152&amp;G152</f>
        <v/>
      </c>
    </row>
    <row r="153">
      <c r="A153" s="424" t="inlineStr">
        <is>
          <t>ID245/70R17.5-18PR(143/141J)[AP-7318]VANTAGE无内</t>
        </is>
      </c>
      <c r="B153" s="406" t="n">
        <v>1000</v>
      </c>
      <c r="C153" s="410" t="inlineStr">
        <is>
          <t>北美</t>
        </is>
      </c>
      <c r="D153" s="74">
        <f>MID(A153,FIND("R",A153)+1,4)</f>
        <v/>
      </c>
      <c r="E153" s="408">
        <f>_xlfn.XLOOKUP(A153,'7月排产计划'!G:G,'7月排产计划'!B:B)</f>
        <v/>
      </c>
      <c r="F153" s="69">
        <f>E153&amp;D153&amp;"寸"</f>
        <v/>
      </c>
      <c r="G153" s="408" t="inlineStr">
        <is>
          <t>全钢</t>
        </is>
      </c>
      <c r="H153" s="74">
        <f>D153&amp;G153</f>
        <v/>
      </c>
    </row>
    <row r="154">
      <c r="A154" s="424" t="inlineStr">
        <is>
          <t>ID245/70R17.5-18PR(143/141J)[I-19A]IRONMAN无内</t>
        </is>
      </c>
      <c r="B154" s="406" t="n">
        <v>500</v>
      </c>
      <c r="C154" s="410" t="inlineStr">
        <is>
          <t>北美</t>
        </is>
      </c>
      <c r="D154" s="74">
        <f>MID(A154,FIND("R",A154)+1,4)</f>
        <v/>
      </c>
      <c r="E154" s="408">
        <f>_xlfn.XLOOKUP(A154,'7月排产计划'!G:G,'7月排产计划'!B:B)</f>
        <v/>
      </c>
      <c r="F154" s="69">
        <f>E154&amp;D154&amp;"寸"</f>
        <v/>
      </c>
      <c r="G154" s="408" t="inlineStr">
        <is>
          <t>全钢</t>
        </is>
      </c>
      <c r="H154" s="74">
        <f>D154&amp;G154</f>
        <v/>
      </c>
    </row>
    <row r="155">
      <c r="A155" s="424" t="inlineStr">
        <is>
          <t>ID245/70R19.5-16PR(136/134J)[ECO-MILE RDW]TRAVELSTAR无内</t>
        </is>
      </c>
      <c r="B155" s="406" t="n">
        <v>120</v>
      </c>
      <c r="C155" s="410" t="inlineStr">
        <is>
          <t>北美</t>
        </is>
      </c>
      <c r="D155" s="74">
        <f>MID(A155,FIND("R",A155)+1,4)</f>
        <v/>
      </c>
      <c r="E155" s="408">
        <f>_xlfn.XLOOKUP(A155,'7月排产计划'!G:G,'7月排产计划'!B:B)</f>
        <v/>
      </c>
      <c r="F155" s="69">
        <f>E155&amp;D155&amp;"寸"</f>
        <v/>
      </c>
      <c r="G155" s="408" t="inlineStr">
        <is>
          <t>全钢</t>
        </is>
      </c>
      <c r="H155" s="74">
        <f>D155&amp;G155</f>
        <v/>
      </c>
    </row>
    <row r="156">
      <c r="A156" s="424" t="inlineStr">
        <is>
          <t>ID245/70R19.5-16PR(136/134M)[AP-7318]VANTAGE无内</t>
        </is>
      </c>
      <c r="B156" s="406" t="n">
        <v>500</v>
      </c>
      <c r="C156" s="410" t="inlineStr">
        <is>
          <t>北美</t>
        </is>
      </c>
      <c r="D156" s="74">
        <f>MID(A156,FIND("R",A156)+1,4)</f>
        <v/>
      </c>
      <c r="E156" s="408">
        <f>_xlfn.XLOOKUP(A156,'7月排产计划'!G:G,'7月排产计划'!B:B)</f>
        <v/>
      </c>
      <c r="F156" s="69">
        <f>E156&amp;D156&amp;"寸"</f>
        <v/>
      </c>
      <c r="G156" s="408" t="inlineStr">
        <is>
          <t>全钢</t>
        </is>
      </c>
      <c r="H156" s="74">
        <f>D156&amp;G156</f>
        <v/>
      </c>
    </row>
    <row r="157">
      <c r="A157" s="424" t="inlineStr">
        <is>
          <t>ID245/70R19.5-16PR(136/134M)[DR-7318]VANTAGE无内</t>
        </is>
      </c>
      <c r="B157" s="406" t="n">
        <v>220</v>
      </c>
      <c r="C157" s="410" t="inlineStr">
        <is>
          <t>北美</t>
        </is>
      </c>
      <c r="D157" s="74">
        <f>MID(A157,FIND("R",A157)+1,4)</f>
        <v/>
      </c>
      <c r="E157" s="408">
        <f>_xlfn.XLOOKUP(A157,'7月排产计划'!G:G,'7月排产计划'!B:B)</f>
        <v/>
      </c>
      <c r="F157" s="69">
        <f>E157&amp;D157&amp;"寸"</f>
        <v/>
      </c>
      <c r="G157" s="408" t="inlineStr">
        <is>
          <t>全钢</t>
        </is>
      </c>
      <c r="H157" s="74">
        <f>D157&amp;G157</f>
        <v/>
      </c>
      <c r="J157" s="418" t="n"/>
    </row>
    <row r="158">
      <c r="A158" s="424" t="inlineStr">
        <is>
          <t>ID245/70R19.5-16PR(136/134M)[ECO-MILE AP]TRAVELSTAR无内</t>
        </is>
      </c>
      <c r="B158" s="406" t="n">
        <v>320</v>
      </c>
      <c r="C158" s="410" t="inlineStr">
        <is>
          <t>北美</t>
        </is>
      </c>
      <c r="D158" s="74">
        <f>MID(A158,FIND("R",A158)+1,4)</f>
        <v/>
      </c>
      <c r="E158" s="408">
        <f>_xlfn.XLOOKUP(A158,'7月排产计划'!G:G,'7月排产计划'!B:B)</f>
        <v/>
      </c>
      <c r="F158" s="69">
        <f>E158&amp;D158&amp;"寸"</f>
        <v/>
      </c>
      <c r="G158" s="408" t="inlineStr">
        <is>
          <t>全钢</t>
        </is>
      </c>
      <c r="H158" s="74">
        <f>D158&amp;G158</f>
        <v/>
      </c>
    </row>
    <row r="159">
      <c r="A159" s="424" t="inlineStr">
        <is>
          <t>ID245/70R19.5-16PR(136/134M)[M-TRAC AP]MASTERTRACK无内</t>
        </is>
      </c>
      <c r="B159" s="406" t="n">
        <v>1500</v>
      </c>
      <c r="C159" s="410" t="inlineStr">
        <is>
          <t>北美</t>
        </is>
      </c>
      <c r="D159" s="74">
        <f>MID(A159,FIND("R",A159)+1,4)</f>
        <v/>
      </c>
      <c r="E159" s="408">
        <f>_xlfn.XLOOKUP(A159,'7月排产计划'!G:G,'7月排产计划'!B:B)</f>
        <v/>
      </c>
      <c r="F159" s="69">
        <f>E159&amp;D159&amp;"寸"</f>
        <v/>
      </c>
      <c r="G159" s="408" t="inlineStr">
        <is>
          <t>全钢</t>
        </is>
      </c>
      <c r="H159" s="74">
        <f>D159&amp;G159</f>
        <v/>
      </c>
    </row>
    <row r="160">
      <c r="A160" s="424" t="inlineStr">
        <is>
          <t>ID245/70R19.5-16PR(136/134M)[M-TRAC HTD]MASTERTRACK无内</t>
        </is>
      </c>
      <c r="B160" s="406" t="n">
        <v>1000</v>
      </c>
      <c r="C160" s="410" t="inlineStr">
        <is>
          <t>北美</t>
        </is>
      </c>
      <c r="D160" s="74">
        <f>MID(A160,FIND("R",A160)+1,4)</f>
        <v/>
      </c>
      <c r="E160" s="408">
        <f>_xlfn.XLOOKUP(A160,'7月排产计划'!G:G,'7月排产计划'!B:B)</f>
        <v/>
      </c>
      <c r="F160" s="69">
        <f>E160&amp;D160&amp;"寸"</f>
        <v/>
      </c>
      <c r="G160" s="408" t="inlineStr">
        <is>
          <t>全钢</t>
        </is>
      </c>
      <c r="H160" s="74">
        <f>D160&amp;G160</f>
        <v/>
      </c>
    </row>
    <row r="161">
      <c r="A161" s="424" t="inlineStr">
        <is>
          <t>ID245/70R19.5-16PR(136/134N)[I-19A]IRONMAN无内</t>
        </is>
      </c>
      <c r="B161" s="406" t="n">
        <v>1400</v>
      </c>
      <c r="C161" s="410" t="inlineStr">
        <is>
          <t>北美</t>
        </is>
      </c>
      <c r="D161" s="74">
        <f>MID(A161,FIND("R",A161)+1,4)</f>
        <v/>
      </c>
      <c r="E161" s="408">
        <f>_xlfn.XLOOKUP(A161,'7月排产计划'!G:G,'7月排产计划'!B:B)</f>
        <v/>
      </c>
      <c r="F161" s="69">
        <f>E161&amp;D161&amp;"寸"</f>
        <v/>
      </c>
      <c r="G161" s="408" t="inlineStr">
        <is>
          <t>全钢</t>
        </is>
      </c>
      <c r="H161" s="74">
        <f>D161&amp;G161</f>
        <v/>
      </c>
    </row>
    <row r="162">
      <c r="A162" s="421" t="inlineStr">
        <is>
          <t>ID245/70R19.5-16PR(136/134N)[I-37D]IRONMAN无内</t>
        </is>
      </c>
      <c r="B162" s="406" t="n">
        <v>220</v>
      </c>
      <c r="C162" s="410" t="inlineStr">
        <is>
          <t>北美</t>
        </is>
      </c>
      <c r="D162" s="74">
        <f>MID(A162,FIND("R",A162)+1,4)</f>
        <v/>
      </c>
      <c r="E162" s="408">
        <f>_xlfn.XLOOKUP(A162,'7月排产计划'!G:G,'7月排产计划'!B:B)</f>
        <v/>
      </c>
      <c r="F162" s="69">
        <f>E162&amp;D162&amp;"寸"</f>
        <v/>
      </c>
      <c r="G162" s="408" t="inlineStr">
        <is>
          <t>全钢</t>
        </is>
      </c>
      <c r="H162" s="74">
        <f>D162&amp;G162</f>
        <v/>
      </c>
    </row>
    <row r="163">
      <c r="A163" s="421" t="inlineStr">
        <is>
          <t>ID245/75R22.5-14PR(134/131L)[Strong Guard H-RA]HERCULES无内</t>
        </is>
      </c>
      <c r="B163" s="406" t="n">
        <v>1700</v>
      </c>
      <c r="C163" s="410" t="inlineStr">
        <is>
          <t>北美</t>
        </is>
      </c>
      <c r="D163" s="74">
        <f>MID(A163,FIND("R",A163)+1,4)</f>
        <v/>
      </c>
      <c r="E163" s="408">
        <f>_xlfn.XLOOKUP(A163,'7月排产计划'!G:G,'7月排产计划'!B:B)</f>
        <v/>
      </c>
      <c r="F163" s="69">
        <f>E163&amp;D163&amp;"寸"</f>
        <v/>
      </c>
      <c r="G163" s="408" t="inlineStr">
        <is>
          <t>全钢</t>
        </is>
      </c>
      <c r="H163" s="74">
        <f>D163&amp;G163</f>
        <v/>
      </c>
    </row>
    <row r="164">
      <c r="A164" s="421" t="inlineStr">
        <is>
          <t>ID255/70R22.5-16PR(140/137L)[Strong Guard H-RA]HERCULES无内</t>
        </is>
      </c>
      <c r="B164" s="406" t="n">
        <v>3600</v>
      </c>
      <c r="C164" s="410" t="inlineStr">
        <is>
          <t>北美</t>
        </is>
      </c>
      <c r="D164" s="74">
        <f>MID(A164,FIND("R",A164)+1,4)</f>
        <v/>
      </c>
      <c r="E164" s="408">
        <f>_xlfn.XLOOKUP(A164,'7月排产计划'!G:G,'7月排产计划'!B:B)</f>
        <v/>
      </c>
      <c r="F164" s="69">
        <f>E164&amp;D164&amp;"寸"</f>
        <v/>
      </c>
      <c r="G164" s="408" t="inlineStr">
        <is>
          <t>全钢</t>
        </is>
      </c>
      <c r="H164" s="74">
        <f>D164&amp;G164</f>
        <v/>
      </c>
    </row>
    <row r="165">
      <c r="A165" s="421" t="inlineStr">
        <is>
          <t>ID255/70R22.5-16PR(140/137M)[AZ599]威狮无内</t>
        </is>
      </c>
      <c r="B165" s="406" t="n">
        <v>120</v>
      </c>
      <c r="C165" s="410" t="inlineStr">
        <is>
          <t>北美</t>
        </is>
      </c>
      <c r="D165" s="74">
        <f>MID(A165,FIND("R",A165)+1,4)</f>
        <v/>
      </c>
      <c r="E165" s="408">
        <f>_xlfn.XLOOKUP(A165,'7月排产计划'!G:G,'7月排产计划'!B:B)</f>
        <v/>
      </c>
      <c r="F165" s="69">
        <f>E165&amp;D165&amp;"寸"</f>
        <v/>
      </c>
      <c r="G165" s="408" t="inlineStr">
        <is>
          <t>全钢</t>
        </is>
      </c>
      <c r="H165" s="74">
        <f>D165&amp;G165</f>
        <v/>
      </c>
    </row>
    <row r="166">
      <c r="A166" s="421" t="inlineStr">
        <is>
          <t>ID255/70R22.5-16PR(140/137M)[ECO-MILE AP]TRAVELSTAR无内</t>
        </is>
      </c>
      <c r="B166" s="406" t="n">
        <v>650</v>
      </c>
      <c r="C166" s="410" t="inlineStr">
        <is>
          <t>北美</t>
        </is>
      </c>
      <c r="D166" s="74">
        <f>MID(A166,FIND("R",A166)+1,4)</f>
        <v/>
      </c>
      <c r="E166" s="408">
        <f>_xlfn.XLOOKUP(A166,'7月排产计划'!G:G,'7月排产计划'!B:B)</f>
        <v/>
      </c>
      <c r="F166" s="69">
        <f>E166&amp;D166&amp;"寸"</f>
        <v/>
      </c>
      <c r="G166" s="408" t="inlineStr">
        <is>
          <t>全钢</t>
        </is>
      </c>
      <c r="H166" s="74">
        <f>D166&amp;G166</f>
        <v/>
      </c>
    </row>
    <row r="167">
      <c r="A167" s="421" t="inlineStr">
        <is>
          <t>ID255/70R22.5-16PR(140/137M)[I-19A]IRONMAN无内</t>
        </is>
      </c>
      <c r="B167" s="406" t="n">
        <v>8000</v>
      </c>
      <c r="C167" s="410" t="inlineStr">
        <is>
          <t>北美</t>
        </is>
      </c>
      <c r="D167" s="74">
        <f>MID(A167,FIND("R",A167)+1,4)</f>
        <v/>
      </c>
      <c r="E167" s="408">
        <f>_xlfn.XLOOKUP(A167,'7月排产计划'!G:G,'7月排产计划'!B:B)</f>
        <v/>
      </c>
      <c r="F167" s="69">
        <f>E167&amp;D167&amp;"寸"</f>
        <v/>
      </c>
      <c r="G167" s="408" t="inlineStr">
        <is>
          <t>全钢</t>
        </is>
      </c>
      <c r="H167" s="74">
        <f>D167&amp;G167</f>
        <v/>
      </c>
    </row>
    <row r="168">
      <c r="A168" s="421" t="inlineStr">
        <is>
          <t>ID255/70R22.5-16PR(140/137M)[M-TRAC AP]MASTERTRACK无内</t>
        </is>
      </c>
      <c r="B168" s="406" t="n">
        <v>2700</v>
      </c>
      <c r="C168" s="410" t="inlineStr">
        <is>
          <t>北美</t>
        </is>
      </c>
      <c r="D168" s="74">
        <f>MID(A168,FIND("R",A168)+1,4)</f>
        <v/>
      </c>
      <c r="E168" s="408">
        <f>_xlfn.XLOOKUP(A168,'7月排产计划'!G:G,'7月排产计划'!B:B)</f>
        <v/>
      </c>
      <c r="F168" s="69">
        <f>E168&amp;D168&amp;"寸"</f>
        <v/>
      </c>
      <c r="G168" s="408" t="inlineStr">
        <is>
          <t>全钢</t>
        </is>
      </c>
      <c r="H168" s="74">
        <f>D168&amp;G168</f>
        <v/>
      </c>
    </row>
    <row r="169">
      <c r="A169" s="421" t="inlineStr">
        <is>
          <t>ID265/70R19.5-18PR(143/141K)[I-19A]IRONMAN无内</t>
        </is>
      </c>
      <c r="B169" s="406" t="n">
        <v>900</v>
      </c>
      <c r="C169" s="410" t="inlineStr">
        <is>
          <t>北美</t>
        </is>
      </c>
      <c r="D169" s="74">
        <f>MID(A169,FIND("R",A169)+1,4)</f>
        <v/>
      </c>
      <c r="E169" s="408">
        <f>_xlfn.XLOOKUP(A169,'7月排产计划'!G:G,'7月排产计划'!B:B)</f>
        <v/>
      </c>
      <c r="F169" s="69">
        <f>E169&amp;D169&amp;"寸"</f>
        <v/>
      </c>
      <c r="G169" s="408" t="inlineStr">
        <is>
          <t>全钢</t>
        </is>
      </c>
      <c r="H169" s="74">
        <f>D169&amp;G169</f>
        <v/>
      </c>
    </row>
    <row r="170">
      <c r="A170" s="421" t="inlineStr">
        <is>
          <t>ID275/70R22.5-16PR(148/145L)[M-TRAC AP]MASTERTRACK无内</t>
        </is>
      </c>
      <c r="B170" s="406" t="n">
        <v>1000</v>
      </c>
      <c r="C170" s="410" t="inlineStr">
        <is>
          <t>北美</t>
        </is>
      </c>
      <c r="D170" s="74">
        <f>MID(A170,FIND("R",A170)+1,4)</f>
        <v/>
      </c>
      <c r="E170" s="408">
        <f>_xlfn.XLOOKUP(A170,'7月排产计划'!G:G,'7月排产计划'!B:B)</f>
        <v/>
      </c>
      <c r="F170" s="69">
        <f>E170&amp;D170&amp;"寸"</f>
        <v/>
      </c>
      <c r="G170" s="408" t="inlineStr">
        <is>
          <t>全钢</t>
        </is>
      </c>
      <c r="H170" s="74">
        <f>D170&amp;G170</f>
        <v/>
      </c>
    </row>
    <row r="171">
      <c r="A171" s="421" t="inlineStr">
        <is>
          <t>ID275/70R22.5-16PR(148/145M)[Strong Guard H-RA]HERCULES无内</t>
        </is>
      </c>
      <c r="B171" s="406" t="n">
        <v>900</v>
      </c>
      <c r="C171" s="410" t="inlineStr">
        <is>
          <t>北美</t>
        </is>
      </c>
      <c r="D171" s="74">
        <f>MID(A171,FIND("R",A171)+1,4)</f>
        <v/>
      </c>
      <c r="E171" s="408">
        <f>_xlfn.XLOOKUP(A171,'7月排产计划'!G:G,'7月排产计划'!B:B)</f>
        <v/>
      </c>
      <c r="F171" s="69">
        <f>E171&amp;D171&amp;"寸"</f>
        <v/>
      </c>
      <c r="G171" s="408" t="inlineStr">
        <is>
          <t>全钢</t>
        </is>
      </c>
      <c r="H171" s="74">
        <f>D171&amp;G171</f>
        <v/>
      </c>
    </row>
    <row r="172">
      <c r="A172" s="421" t="inlineStr">
        <is>
          <t>ID275/70R22.5-18PR(152/148L)[I-19A]IRONMAN无内 美国</t>
        </is>
      </c>
      <c r="B172" s="406" t="n">
        <v>1200</v>
      </c>
      <c r="C172" s="410" t="inlineStr">
        <is>
          <t>北美</t>
        </is>
      </c>
      <c r="D172" s="74">
        <f>MID(A172,FIND("R",A172)+1,4)</f>
        <v/>
      </c>
      <c r="E172" s="408">
        <f>_xlfn.XLOOKUP(A172,'7月排产计划'!G:G,'7月排产计划'!B:B)</f>
        <v/>
      </c>
      <c r="F172" s="69">
        <f>E172&amp;D172&amp;"寸"</f>
        <v/>
      </c>
      <c r="G172" s="408" t="inlineStr">
        <is>
          <t>全钢</t>
        </is>
      </c>
      <c r="H172" s="74">
        <f>D172&amp;G172</f>
        <v/>
      </c>
    </row>
    <row r="173">
      <c r="A173" s="421" t="inlineStr">
        <is>
          <t>ID275/80R22.5-16PR(149/146L)[AD153]威狮无内</t>
        </is>
      </c>
      <c r="B173" s="406" t="n">
        <v>400</v>
      </c>
      <c r="C173" s="410" t="inlineStr">
        <is>
          <t>南美</t>
        </is>
      </c>
      <c r="D173" s="74">
        <f>MID(A173,FIND("R",A173)+1,4)</f>
        <v/>
      </c>
      <c r="E173" s="408">
        <f>_xlfn.XLOOKUP(A173,'7月排产计划'!G:G,'7月排产计划'!B:B)</f>
        <v/>
      </c>
      <c r="F173" s="69">
        <f>E173&amp;D173&amp;"寸"</f>
        <v/>
      </c>
      <c r="G173" s="408" t="inlineStr">
        <is>
          <t>全钢</t>
        </is>
      </c>
      <c r="H173" s="74">
        <f>D173&amp;G173</f>
        <v/>
      </c>
    </row>
    <row r="174">
      <c r="A174" s="421" t="inlineStr">
        <is>
          <t>ID275/80R22.5-16PR(149/146L)[EZ573A]金冠无内</t>
        </is>
      </c>
      <c r="B174" s="406" t="n">
        <v>650</v>
      </c>
      <c r="C174" s="410" t="inlineStr">
        <is>
          <t>南美</t>
        </is>
      </c>
      <c r="D174" s="74">
        <f>MID(A174,FIND("R",A174)+1,4)</f>
        <v/>
      </c>
      <c r="E174" s="408">
        <f>_xlfn.XLOOKUP(A174,'7月排产计划'!G:G,'7月排产计划'!B:B)</f>
        <v/>
      </c>
      <c r="F174" s="69">
        <f>E174&amp;D174&amp;"寸"</f>
        <v/>
      </c>
      <c r="G174" s="408" t="inlineStr">
        <is>
          <t>全钢</t>
        </is>
      </c>
      <c r="H174" s="74">
        <f>D174&amp;G174</f>
        <v/>
      </c>
    </row>
    <row r="175">
      <c r="A175" s="421" t="inlineStr">
        <is>
          <t>ID275/80R22.5-16PR(149/146L)[EZ573A]力奔无内</t>
        </is>
      </c>
      <c r="B175" s="406" t="n">
        <v>280</v>
      </c>
      <c r="C175" s="410" t="inlineStr">
        <is>
          <t>南美</t>
        </is>
      </c>
      <c r="D175" s="74">
        <f>MID(A175,FIND("R",A175)+1,4)</f>
        <v/>
      </c>
      <c r="E175" s="408">
        <f>_xlfn.XLOOKUP(A175,'7月排产计划'!G:G,'7月排产计划'!B:B)</f>
        <v/>
      </c>
      <c r="F175" s="69">
        <f>E175&amp;D175&amp;"寸"</f>
        <v/>
      </c>
      <c r="G175" s="408" t="inlineStr">
        <is>
          <t>全钢</t>
        </is>
      </c>
      <c r="H175" s="74">
        <f>D175&amp;G175</f>
        <v/>
      </c>
    </row>
    <row r="176">
      <c r="A176" s="421" t="inlineStr">
        <is>
          <t>ID275/80R22.5-16PR(149/146L)[G-PERFORM D]GRIPMASTER无内</t>
        </is>
      </c>
      <c r="B176" s="406" t="n">
        <v>1800</v>
      </c>
      <c r="C176" s="410" t="inlineStr">
        <is>
          <t>南美</t>
        </is>
      </c>
      <c r="D176" s="74">
        <f>MID(A176,FIND("R",A176)+1,4)</f>
        <v/>
      </c>
      <c r="E176" s="408">
        <f>_xlfn.XLOOKUP(A176,'7月排产计划'!G:G,'7月排产计划'!B:B)</f>
        <v/>
      </c>
      <c r="F176" s="69">
        <f>E176&amp;D176&amp;"寸"</f>
        <v/>
      </c>
      <c r="G176" s="408" t="inlineStr">
        <is>
          <t>全钢</t>
        </is>
      </c>
      <c r="H176" s="74">
        <f>D176&amp;G176</f>
        <v/>
      </c>
    </row>
    <row r="177">
      <c r="A177" s="421" t="inlineStr">
        <is>
          <t>ID275/80R22.5-16PR(149/146L)[G-PRO MSA]GRIPMASTER无内</t>
        </is>
      </c>
      <c r="B177" s="406" t="n">
        <v>700</v>
      </c>
      <c r="C177" s="410" t="inlineStr">
        <is>
          <t>南美</t>
        </is>
      </c>
      <c r="D177" s="74">
        <f>MID(A177,FIND("R",A177)+1,4)</f>
        <v/>
      </c>
      <c r="E177" s="408">
        <f>_xlfn.XLOOKUP(A177,'7月排产计划'!G:G,'7月排产计划'!B:B)</f>
        <v/>
      </c>
      <c r="F177" s="69">
        <f>E177&amp;D177&amp;"寸"</f>
        <v/>
      </c>
      <c r="G177" s="408" t="inlineStr">
        <is>
          <t>全钢</t>
        </is>
      </c>
      <c r="H177" s="74">
        <f>D177&amp;G177</f>
        <v/>
      </c>
    </row>
    <row r="178">
      <c r="A178" s="421" t="inlineStr">
        <is>
          <t>ID275/80R22.5-16PR(149/146M)[AD528]TRAZANO(全诺)无内</t>
        </is>
      </c>
      <c r="B178" s="406" t="n">
        <v>120</v>
      </c>
      <c r="C178" s="410" t="inlineStr">
        <is>
          <t>南美</t>
        </is>
      </c>
      <c r="D178" s="74">
        <f>MID(A178,FIND("R",A178)+1,4)</f>
        <v/>
      </c>
      <c r="E178" s="408">
        <f>_xlfn.XLOOKUP(A178,'7月排产计划'!G:G,'7月排产计划'!B:B)</f>
        <v/>
      </c>
      <c r="F178" s="69">
        <f>E178&amp;D178&amp;"寸"</f>
        <v/>
      </c>
      <c r="G178" s="408" t="inlineStr">
        <is>
          <t>全钢</t>
        </is>
      </c>
      <c r="H178" s="74">
        <f>D178&amp;G178</f>
        <v/>
      </c>
    </row>
    <row r="179">
      <c r="A179" s="421" t="inlineStr">
        <is>
          <t>ID275/80R22.5-16PR(149/146M)[AD528]威狮无内</t>
        </is>
      </c>
      <c r="B179" s="406" t="n">
        <v>120</v>
      </c>
      <c r="C179" s="410" t="inlineStr">
        <is>
          <t>南美</t>
        </is>
      </c>
      <c r="D179" s="74">
        <f>MID(A179,FIND("R",A179)+1,4)</f>
        <v/>
      </c>
      <c r="E179" s="408">
        <f>_xlfn.XLOOKUP(A179,'7月排产计划'!G:G,'7月排产计划'!B:B)</f>
        <v/>
      </c>
      <c r="F179" s="69">
        <f>E179&amp;D179&amp;"寸"</f>
        <v/>
      </c>
      <c r="G179" s="408" t="inlineStr">
        <is>
          <t>全钢</t>
        </is>
      </c>
      <c r="H179" s="74">
        <f>D179&amp;G179</f>
        <v/>
      </c>
    </row>
    <row r="180">
      <c r="A180" s="421" t="inlineStr">
        <is>
          <t>ID275/80R22.5-16PR(149/146M)[AD528]雅度无内</t>
        </is>
      </c>
      <c r="B180" s="406" t="n">
        <v>120</v>
      </c>
      <c r="C180" s="410" t="inlineStr">
        <is>
          <t>南美</t>
        </is>
      </c>
      <c r="D180" s="74">
        <f>MID(A180,FIND("R",A180)+1,4)</f>
        <v/>
      </c>
      <c r="E180" s="408">
        <f>_xlfn.XLOOKUP(A180,'7月排产计划'!G:G,'7月排产计划'!B:B)</f>
        <v/>
      </c>
      <c r="F180" s="69">
        <f>E180&amp;D180&amp;"寸"</f>
        <v/>
      </c>
      <c r="G180" s="408" t="inlineStr">
        <is>
          <t>全钢</t>
        </is>
      </c>
      <c r="H180" s="74">
        <f>D180&amp;G180</f>
        <v/>
      </c>
    </row>
    <row r="181">
      <c r="A181" s="421" t="inlineStr">
        <is>
          <t>ID275/80R22.5-16PR(149/146M)[AS678]朝阳无内</t>
        </is>
      </c>
      <c r="B181" s="406" t="n">
        <v>1600</v>
      </c>
      <c r="C181" s="410" t="inlineStr">
        <is>
          <t>南美</t>
        </is>
      </c>
      <c r="D181" s="74">
        <f>MID(A181,FIND("R",A181)+1,4)</f>
        <v/>
      </c>
      <c r="E181" s="408">
        <f>_xlfn.XLOOKUP(A181,'7月排产计划'!G:G,'7月排产计划'!B:B)</f>
        <v/>
      </c>
      <c r="F181" s="69">
        <f>E181&amp;D181&amp;"寸"</f>
        <v/>
      </c>
      <c r="G181" s="408" t="inlineStr">
        <is>
          <t>全钢</t>
        </is>
      </c>
      <c r="H181" s="74">
        <f>D181&amp;G181</f>
        <v/>
      </c>
    </row>
    <row r="182">
      <c r="A182" s="421" t="inlineStr">
        <is>
          <t>ID275/80R22.5-16PR(149/146M)[AS678]威狮无内</t>
        </is>
      </c>
      <c r="B182" s="406" t="n">
        <v>1100</v>
      </c>
      <c r="C182" s="410" t="inlineStr">
        <is>
          <t>南美</t>
        </is>
      </c>
      <c r="D182" s="74">
        <f>MID(A182,FIND("R",A182)+1,4)</f>
        <v/>
      </c>
      <c r="E182" s="408">
        <f>_xlfn.XLOOKUP(A182,'7月排产计划'!G:G,'7月排产计划'!B:B)</f>
        <v/>
      </c>
      <c r="F182" s="69">
        <f>E182&amp;D182&amp;"寸"</f>
        <v/>
      </c>
      <c r="G182" s="408" t="inlineStr">
        <is>
          <t>全钢</t>
        </is>
      </c>
      <c r="H182" s="74">
        <f>D182&amp;G182</f>
        <v/>
      </c>
    </row>
    <row r="183">
      <c r="A183" s="421" t="inlineStr">
        <is>
          <t>ID275/80R22.5-16PR(149/146M)[AZ179]金冠无内</t>
        </is>
      </c>
      <c r="B183" s="406" t="n">
        <v>3200</v>
      </c>
      <c r="C183" s="410" t="inlineStr">
        <is>
          <t>南美</t>
        </is>
      </c>
      <c r="D183" s="74">
        <f>MID(A183,FIND("R",A183)+1,4)</f>
        <v/>
      </c>
      <c r="E183" s="408">
        <f>_xlfn.XLOOKUP(A183,'7月排产计划'!G:G,'7月排产计划'!B:B)</f>
        <v/>
      </c>
      <c r="F183" s="69">
        <f>E183&amp;D183&amp;"寸"</f>
        <v/>
      </c>
      <c r="G183" s="408" t="inlineStr">
        <is>
          <t>全钢</t>
        </is>
      </c>
      <c r="H183" s="74">
        <f>D183&amp;G183</f>
        <v/>
      </c>
    </row>
    <row r="184">
      <c r="A184" s="421" t="inlineStr">
        <is>
          <t>ID275/80R22.5-16PR(149/146M)[BMD06 PRO]BRANSALES无内</t>
        </is>
      </c>
      <c r="B184" s="406" t="n">
        <v>400</v>
      </c>
      <c r="C184" s="410" t="inlineStr">
        <is>
          <t>南美</t>
        </is>
      </c>
      <c r="D184" s="74">
        <f>MID(A184,FIND("R",A184)+1,4)</f>
        <v/>
      </c>
      <c r="E184" s="408">
        <f>_xlfn.XLOOKUP(A184,'7月排产计划'!G:G,'7月排产计划'!B:B)</f>
        <v/>
      </c>
      <c r="F184" s="69">
        <f>E184&amp;D184&amp;"寸"</f>
        <v/>
      </c>
      <c r="G184" s="408" t="inlineStr">
        <is>
          <t>全钢</t>
        </is>
      </c>
      <c r="H184" s="74">
        <f>D184&amp;G184</f>
        <v/>
      </c>
    </row>
    <row r="185">
      <c r="A185" s="421" t="inlineStr">
        <is>
          <t>ID275/80R22.5-16PR(149/146M)[BRA04]BRANSALES无内</t>
        </is>
      </c>
      <c r="B185" s="406" t="n">
        <v>350</v>
      </c>
      <c r="C185" s="410" t="inlineStr">
        <is>
          <t>南美</t>
        </is>
      </c>
      <c r="D185" s="74">
        <f>MID(A185,FIND("R",A185)+1,4)</f>
        <v/>
      </c>
      <c r="E185" s="408">
        <f>_xlfn.XLOOKUP(A185,'7月排产计划'!G:G,'7月排产计划'!B:B)</f>
        <v/>
      </c>
      <c r="F185" s="69">
        <f>E185&amp;D185&amp;"寸"</f>
        <v/>
      </c>
      <c r="G185" s="408" t="inlineStr">
        <is>
          <t>全钢</t>
        </is>
      </c>
      <c r="H185" s="74">
        <f>D185&amp;G185</f>
        <v/>
      </c>
    </row>
    <row r="186">
      <c r="A186" s="421" t="inlineStr">
        <is>
          <t>ID275/80R22.5-16PR(149/146M)[CR976A]威狮无内</t>
        </is>
      </c>
      <c r="B186" s="406" t="n">
        <v>850</v>
      </c>
      <c r="C186" s="410" t="inlineStr">
        <is>
          <t>南美</t>
        </is>
      </c>
      <c r="D186" s="74">
        <f>MID(A186,FIND("R",A186)+1,4)</f>
        <v/>
      </c>
      <c r="E186" s="408">
        <f>_xlfn.XLOOKUP(A186,'7月排产计划'!G:G,'7月排产计划'!B:B)</f>
        <v/>
      </c>
      <c r="F186" s="69">
        <f>E186&amp;D186&amp;"寸"</f>
        <v/>
      </c>
      <c r="G186" s="408" t="inlineStr">
        <is>
          <t>全钢</t>
        </is>
      </c>
      <c r="H186" s="74">
        <f>D186&amp;G186</f>
        <v/>
      </c>
    </row>
    <row r="187">
      <c r="A187" s="421" t="inlineStr">
        <is>
          <t>ID275/80R22.5-16PR(149/146M)[G-PRO MSD]GRIPMASTER无内</t>
        </is>
      </c>
      <c r="B187" s="406" t="n">
        <v>1500</v>
      </c>
      <c r="C187" s="410" t="inlineStr">
        <is>
          <t>南美</t>
        </is>
      </c>
      <c r="D187" s="74">
        <f>MID(A187,FIND("R",A187)+1,4)</f>
        <v/>
      </c>
      <c r="E187" s="408">
        <f>_xlfn.XLOOKUP(A187,'7月排产计划'!G:G,'7月排产计划'!B:B)</f>
        <v/>
      </c>
      <c r="F187" s="69">
        <f>E187&amp;D187&amp;"寸"</f>
        <v/>
      </c>
      <c r="G187" s="408" t="inlineStr">
        <is>
          <t>全钢</t>
        </is>
      </c>
      <c r="H187" s="74">
        <f>D187&amp;G187</f>
        <v/>
      </c>
    </row>
    <row r="188">
      <c r="A188" s="421" t="inlineStr">
        <is>
          <t>ID275/80R22.5-18PR(149/146L)[AZ179]金冠无内</t>
        </is>
      </c>
      <c r="B188" s="406" t="n">
        <v>600</v>
      </c>
      <c r="C188" s="410" t="inlineStr">
        <is>
          <t>南美</t>
        </is>
      </c>
      <c r="D188" s="74">
        <f>MID(A188,FIND("R",A188)+1,4)</f>
        <v/>
      </c>
      <c r="E188" s="408">
        <f>_xlfn.XLOOKUP(A188,'7月排产计划'!G:G,'7月排产计划'!B:B)</f>
        <v/>
      </c>
      <c r="F188" s="69">
        <f>E188&amp;D188&amp;"寸"</f>
        <v/>
      </c>
      <c r="G188" s="408" t="inlineStr">
        <is>
          <t>全钢</t>
        </is>
      </c>
      <c r="H188" s="74">
        <f>D188&amp;G188</f>
        <v/>
      </c>
    </row>
    <row r="189">
      <c r="A189" s="421" t="inlineStr">
        <is>
          <t>ID275/80R22.5-18PR(149/146L)[AZ179]力奔无内</t>
        </is>
      </c>
      <c r="B189" s="406" t="n">
        <v>1000</v>
      </c>
      <c r="C189" s="410" t="inlineStr">
        <is>
          <t>南美</t>
        </is>
      </c>
      <c r="D189" s="74">
        <f>MID(A189,FIND("R",A189)+1,4)</f>
        <v/>
      </c>
      <c r="E189" s="408">
        <f>_xlfn.XLOOKUP(A189,'7月排产计划'!G:G,'7月排产计划'!B:B)</f>
        <v/>
      </c>
      <c r="F189" s="69">
        <f>E189&amp;D189&amp;"寸"</f>
        <v/>
      </c>
      <c r="G189" s="408" t="inlineStr">
        <is>
          <t>全钢</t>
        </is>
      </c>
      <c r="H189" s="74">
        <f>D189&amp;G189</f>
        <v/>
      </c>
    </row>
    <row r="190">
      <c r="A190" s="421" t="inlineStr">
        <is>
          <t>ID275/80R22.5-18PR(149/146L)[AZ179]欧耐特无内</t>
        </is>
      </c>
      <c r="B190" s="406" t="n">
        <v>1000</v>
      </c>
      <c r="C190" s="410" t="inlineStr">
        <is>
          <t>南美</t>
        </is>
      </c>
      <c r="D190" s="74">
        <f>MID(A190,FIND("R",A190)+1,4)</f>
        <v/>
      </c>
      <c r="E190" s="408">
        <f>_xlfn.XLOOKUP(A190,'7月排产计划'!G:G,'7月排产计划'!B:B)</f>
        <v/>
      </c>
      <c r="F190" s="69">
        <f>E190&amp;D190&amp;"寸"</f>
        <v/>
      </c>
      <c r="G190" s="408" t="inlineStr">
        <is>
          <t>全钢</t>
        </is>
      </c>
      <c r="H190" s="74">
        <f>D190&amp;G190</f>
        <v/>
      </c>
    </row>
    <row r="191">
      <c r="A191" s="421" t="inlineStr">
        <is>
          <t>ID285/75R24.5-14PR(144/141L)[HD1 Plus]SUPERMAX无内</t>
        </is>
      </c>
      <c r="B191" s="406" t="n">
        <v>200</v>
      </c>
      <c r="C191" s="410" t="inlineStr">
        <is>
          <t>北美</t>
        </is>
      </c>
      <c r="D191" s="74">
        <f>MID(A191,FIND("R",A191)+1,4)</f>
        <v/>
      </c>
      <c r="E191" s="408">
        <f>_xlfn.XLOOKUP(A191,'7月排产计划'!G:G,'7月排产计划'!B:B)</f>
        <v/>
      </c>
      <c r="F191" s="69">
        <f>E191&amp;D191&amp;"寸"</f>
        <v/>
      </c>
      <c r="G191" s="408" t="inlineStr">
        <is>
          <t>全钢</t>
        </is>
      </c>
      <c r="H191" s="74">
        <f>D191&amp;G191</f>
        <v/>
      </c>
    </row>
    <row r="192">
      <c r="A192" s="421" t="inlineStr">
        <is>
          <t>ID285/75R24.5-14PR(144/141L)[HF1 Plus]SUPERMAX无内</t>
        </is>
      </c>
      <c r="B192" s="406" t="n">
        <v>300</v>
      </c>
      <c r="C192" s="410" t="inlineStr">
        <is>
          <t>北美</t>
        </is>
      </c>
      <c r="D192" s="74">
        <f>MID(A192,FIND("R",A192)+1,4)</f>
        <v/>
      </c>
      <c r="E192" s="408">
        <f>_xlfn.XLOOKUP(A192,'7月排产计划'!G:G,'7月排产计划'!B:B)</f>
        <v/>
      </c>
      <c r="F192" s="69">
        <f>E192&amp;D192&amp;"寸"</f>
        <v/>
      </c>
      <c r="G192" s="408" t="inlineStr">
        <is>
          <t>全钢</t>
        </is>
      </c>
      <c r="H192" s="74">
        <f>D192&amp;G192</f>
        <v/>
      </c>
    </row>
    <row r="193">
      <c r="A193" s="421" t="inlineStr">
        <is>
          <t>ID285/75R24.5-14PR(144/141L)[I-28D]IRONMAN无内 SMARTWAY</t>
        </is>
      </c>
      <c r="B193" s="406" t="n">
        <v>1000</v>
      </c>
      <c r="C193" s="410" t="inlineStr">
        <is>
          <t>北美</t>
        </is>
      </c>
      <c r="D193" s="74">
        <f>MID(A193,FIND("R",A193)+1,4)</f>
        <v/>
      </c>
      <c r="E193" s="408">
        <f>_xlfn.XLOOKUP(A193,'7月排产计划'!G:G,'7月排产计划'!B:B)</f>
        <v/>
      </c>
      <c r="F193" s="69">
        <f>E193&amp;D193&amp;"寸"</f>
        <v/>
      </c>
      <c r="G193" s="408" t="inlineStr">
        <is>
          <t>全钢</t>
        </is>
      </c>
      <c r="H193" s="74">
        <f>D193&amp;G193</f>
        <v/>
      </c>
    </row>
    <row r="194">
      <c r="A194" s="421" t="inlineStr">
        <is>
          <t>ID285/75R24.5-14PR(144/141L)[I-37D]IRONMAN无内</t>
        </is>
      </c>
      <c r="B194" s="406" t="n">
        <v>250</v>
      </c>
      <c r="C194" s="410" t="inlineStr">
        <is>
          <t>北美</t>
        </is>
      </c>
      <c r="D194" s="74">
        <f>MID(A194,FIND("R",A194)+1,4)</f>
        <v/>
      </c>
      <c r="E194" s="408">
        <f>_xlfn.XLOOKUP(A194,'7月排产计划'!G:G,'7月排产计划'!B:B)</f>
        <v/>
      </c>
      <c r="F194" s="69">
        <f>E194&amp;D194&amp;"寸"</f>
        <v/>
      </c>
      <c r="G194" s="408" t="inlineStr">
        <is>
          <t>全钢</t>
        </is>
      </c>
      <c r="H194" s="74">
        <f>D194&amp;G194</f>
        <v/>
      </c>
    </row>
    <row r="195">
      <c r="A195" s="425" t="inlineStr">
        <is>
          <t>ID285/75R24.5-14PR(144/141L)[Strong Guard H-TL]HERCULES无内</t>
        </is>
      </c>
      <c r="B195" s="406" t="n">
        <v>180</v>
      </c>
      <c r="C195" s="410" t="inlineStr">
        <is>
          <t>北美</t>
        </is>
      </c>
      <c r="D195" s="74">
        <f>MID(A195,FIND("R",A195)+1,4)</f>
        <v/>
      </c>
      <c r="E195" s="408">
        <f>_xlfn.XLOOKUP(A195,'7月排产计划'!G:G,'7月排产计划'!B:B)</f>
        <v/>
      </c>
      <c r="F195" s="69">
        <f>E195&amp;D195&amp;"寸"</f>
        <v/>
      </c>
      <c r="G195" s="408" t="inlineStr">
        <is>
          <t>全钢</t>
        </is>
      </c>
      <c r="H195" s="74">
        <f>D195&amp;G195</f>
        <v/>
      </c>
    </row>
    <row r="196">
      <c r="A196" s="421" t="inlineStr">
        <is>
          <t>ID285/75R24.5-14PR(144/141M)[I-19A]IRONMAN无内 SMARTWAY</t>
        </is>
      </c>
      <c r="B196" s="406" t="n">
        <v>1100</v>
      </c>
      <c r="C196" s="410" t="inlineStr">
        <is>
          <t>北美</t>
        </is>
      </c>
      <c r="D196" s="74">
        <f>MID(A196,FIND("R",A196)+1,4)</f>
        <v/>
      </c>
      <c r="E196" s="408">
        <f>_xlfn.XLOOKUP(A196,'7月排产计划'!G:G,'7月排产计划'!B:B)</f>
        <v/>
      </c>
      <c r="F196" s="69">
        <f>E196&amp;D196&amp;"寸"</f>
        <v/>
      </c>
      <c r="G196" s="408" t="inlineStr">
        <is>
          <t>全钢</t>
        </is>
      </c>
      <c r="H196" s="74">
        <f>D196&amp;G196</f>
        <v/>
      </c>
    </row>
    <row r="197">
      <c r="A197" s="421" t="inlineStr">
        <is>
          <t>ID285/75R24.5-14PR(144/141M)[I-48T]IRONMAN无内 SMARTWAY</t>
        </is>
      </c>
      <c r="B197" s="406" t="n">
        <v>560</v>
      </c>
      <c r="C197" s="410" t="inlineStr">
        <is>
          <t>北美</t>
        </is>
      </c>
      <c r="D197" s="74">
        <f>MID(A197,FIND("R",A197)+1,4)</f>
        <v/>
      </c>
      <c r="E197" s="408">
        <f>_xlfn.XLOOKUP(A197,'7月排产计划'!G:G,'7月排产计划'!B:B)</f>
        <v/>
      </c>
      <c r="F197" s="69">
        <f>E197&amp;D197&amp;"寸"</f>
        <v/>
      </c>
      <c r="G197" s="408" t="inlineStr">
        <is>
          <t>全钢</t>
        </is>
      </c>
      <c r="H197" s="74">
        <f>D197&amp;G197</f>
        <v/>
      </c>
    </row>
    <row r="198">
      <c r="A198" s="421" t="inlineStr">
        <is>
          <t>ID285/75R24.5-16PR(147/144L)[M-TRAC AP]MASTERTRACK无内</t>
        </is>
      </c>
      <c r="B198" s="406" t="n">
        <v>980</v>
      </c>
      <c r="C198" s="410" t="inlineStr">
        <is>
          <t>北美</t>
        </is>
      </c>
      <c r="D198" s="74">
        <f>MID(A198,FIND("R",A198)+1,4)</f>
        <v/>
      </c>
      <c r="E198" s="408">
        <f>_xlfn.XLOOKUP(A198,'7月排产计划'!G:G,'7月排产计划'!B:B)</f>
        <v/>
      </c>
      <c r="F198" s="69">
        <f>E198&amp;D198&amp;"寸"</f>
        <v/>
      </c>
      <c r="G198" s="408" t="inlineStr">
        <is>
          <t>全钢</t>
        </is>
      </c>
      <c r="H198" s="74">
        <f>D198&amp;G198</f>
        <v/>
      </c>
    </row>
    <row r="199">
      <c r="A199" s="421" t="inlineStr">
        <is>
          <t>ID285/75R24.5-16PR(147/144L)[M-TRAC CSD]MASTERTRACK无内</t>
        </is>
      </c>
      <c r="B199" s="406" t="n">
        <v>600</v>
      </c>
      <c r="C199" s="410" t="inlineStr">
        <is>
          <t>北美</t>
        </is>
      </c>
      <c r="D199" s="74">
        <f>MID(A199,FIND("R",A199)+1,4)</f>
        <v/>
      </c>
      <c r="E199" s="408">
        <f>_xlfn.XLOOKUP(A199,'7月排产计划'!G:G,'7月排产计划'!B:B)</f>
        <v/>
      </c>
      <c r="F199" s="69">
        <f>E199&amp;D199&amp;"寸"</f>
        <v/>
      </c>
      <c r="G199" s="408" t="inlineStr">
        <is>
          <t>全钢</t>
        </is>
      </c>
      <c r="H199" s="74">
        <f>D199&amp;G199</f>
        <v/>
      </c>
    </row>
    <row r="200">
      <c r="A200" s="421" t="inlineStr">
        <is>
          <t>ID285/75R24.5-16PR(147/144M)[I-61S]IRONMAN无内 SMARTWAY</t>
        </is>
      </c>
      <c r="B200" s="406" t="n">
        <v>150</v>
      </c>
      <c r="C200" s="410" t="inlineStr">
        <is>
          <t>北美</t>
        </is>
      </c>
      <c r="D200" s="74">
        <f>MID(A200,FIND("R",A200)+1,4)</f>
        <v/>
      </c>
      <c r="E200" s="408">
        <f>_xlfn.XLOOKUP(A200,'7月排产计划'!G:G,'7月排产计划'!B:B)</f>
        <v/>
      </c>
      <c r="F200" s="69">
        <f>E200&amp;D200&amp;"寸"</f>
        <v/>
      </c>
      <c r="G200" s="408" t="inlineStr">
        <is>
          <t>全钢</t>
        </is>
      </c>
      <c r="H200" s="74">
        <f>D200&amp;G200</f>
        <v/>
      </c>
    </row>
    <row r="201">
      <c r="A201" s="421" t="inlineStr">
        <is>
          <t>ID285/75R24.5-16PR(147/144L)[VA996]VITOUR无内</t>
        </is>
      </c>
      <c r="B201" s="406" t="n">
        <v>500</v>
      </c>
      <c r="C201" s="410" t="inlineStr">
        <is>
          <t>亚</t>
        </is>
      </c>
      <c r="D201" s="74">
        <f>MID(A201,FIND("R",A201)+1,4)</f>
        <v/>
      </c>
      <c r="E201" s="408">
        <f>_xlfn.XLOOKUP(A201,'7月排产计划'!G:G,'7月排产计划'!B:B)</f>
        <v/>
      </c>
      <c r="F201" s="69">
        <f>E201&amp;D201&amp;"寸"</f>
        <v/>
      </c>
      <c r="G201" s="408" t="inlineStr">
        <is>
          <t>全钢</t>
        </is>
      </c>
      <c r="H201" s="74">
        <f>D201&amp;G201</f>
        <v/>
      </c>
    </row>
    <row r="202">
      <c r="A202" s="421" t="inlineStr">
        <is>
          <t>ID295/75R22.5-14PR(144/141L)[AS600]ARISUN无内</t>
        </is>
      </c>
      <c r="B202" s="406" t="n">
        <v>280</v>
      </c>
      <c r="C202" s="410" t="inlineStr">
        <is>
          <t>北美</t>
        </is>
      </c>
      <c r="D202" s="74">
        <f>MID(A202,FIND("R",A202)+1,4)</f>
        <v/>
      </c>
      <c r="E202" s="408">
        <f>_xlfn.XLOOKUP(A202,'7月排产计划'!G:G,'7月排产计划'!B:B)</f>
        <v/>
      </c>
      <c r="F202" s="69">
        <f>E202&amp;D202&amp;"寸"</f>
        <v/>
      </c>
      <c r="G202" s="408" t="inlineStr">
        <is>
          <t>全钢</t>
        </is>
      </c>
      <c r="H202" s="74">
        <f>D202&amp;G202</f>
        <v/>
      </c>
    </row>
    <row r="203">
      <c r="A203" s="421" t="inlineStr">
        <is>
          <t>ID295/75R22.5-14PR(144/141L)[HD1 Plus]SUPERMAX无内</t>
        </is>
      </c>
      <c r="B203" s="406" t="n">
        <v>250</v>
      </c>
      <c r="C203" s="410" t="inlineStr">
        <is>
          <t>北美</t>
        </is>
      </c>
      <c r="D203" s="74">
        <f>MID(A203,FIND("R",A203)+1,4)</f>
        <v/>
      </c>
      <c r="E203" s="408">
        <f>_xlfn.XLOOKUP(A203,'7月排产计划'!G:G,'7月排产计划'!B:B)</f>
        <v/>
      </c>
      <c r="F203" s="69">
        <f>E203&amp;D203&amp;"寸"</f>
        <v/>
      </c>
      <c r="G203" s="408" t="inlineStr">
        <is>
          <t>全钢</t>
        </is>
      </c>
      <c r="H203" s="74">
        <f>D203&amp;G203</f>
        <v/>
      </c>
    </row>
    <row r="204">
      <c r="A204" s="421" t="inlineStr">
        <is>
          <t>ID295/75R22.5-14PR(144/141L)[HT1 Plus]SUPERMAX无内</t>
        </is>
      </c>
      <c r="B204" s="406" t="n">
        <v>900</v>
      </c>
      <c r="C204" s="410" t="inlineStr">
        <is>
          <t>北美</t>
        </is>
      </c>
      <c r="D204" s="74">
        <f>MID(A204,FIND("R",A204)+1,4)</f>
        <v/>
      </c>
      <c r="E204" s="408">
        <f>_xlfn.XLOOKUP(A204,'7月排产计划'!G:G,'7月排产计划'!B:B)</f>
        <v/>
      </c>
      <c r="F204" s="69">
        <f>E204&amp;D204&amp;"寸"</f>
        <v/>
      </c>
      <c r="G204" s="408" t="inlineStr">
        <is>
          <t>全钢</t>
        </is>
      </c>
      <c r="H204" s="74">
        <f>D204&amp;G204</f>
        <v/>
      </c>
    </row>
    <row r="205">
      <c r="A205" s="421" t="inlineStr">
        <is>
          <t>ID295/75R22.5-14PR(144/141L)[I-28D]IRONMAN无内 SMARTWAY</t>
        </is>
      </c>
      <c r="B205" s="406" t="n">
        <v>2600</v>
      </c>
      <c r="C205" s="410" t="inlineStr">
        <is>
          <t>北美</t>
        </is>
      </c>
      <c r="D205" s="74">
        <f>MID(A205,FIND("R",A205)+1,4)</f>
        <v/>
      </c>
      <c r="E205" s="408">
        <f>_xlfn.XLOOKUP(A205,'7月排产计划'!G:G,'7月排产计划'!B:B)</f>
        <v/>
      </c>
      <c r="F205" s="69">
        <f>E205&amp;D205&amp;"寸"</f>
        <v/>
      </c>
      <c r="G205" s="408" t="inlineStr">
        <is>
          <t>全钢</t>
        </is>
      </c>
      <c r="H205" s="74">
        <f>D205&amp;G205</f>
        <v/>
      </c>
    </row>
    <row r="206">
      <c r="A206" s="421" t="inlineStr">
        <is>
          <t>ID295/75R22.5-14PR(144/141L)[M-TRAC AP]MASTERTRACK无内</t>
        </is>
      </c>
      <c r="B206" s="406" t="n">
        <v>450</v>
      </c>
      <c r="C206" s="410" t="inlineStr">
        <is>
          <t>北美</t>
        </is>
      </c>
      <c r="D206" s="74">
        <f>MID(A206,FIND("R",A206)+1,4)</f>
        <v/>
      </c>
      <c r="E206" s="408">
        <f>_xlfn.XLOOKUP(A206,'7月排产计划'!G:G,'7月排产计划'!B:B)</f>
        <v/>
      </c>
      <c r="F206" s="69">
        <f>E206&amp;D206&amp;"寸"</f>
        <v/>
      </c>
      <c r="G206" s="408" t="inlineStr">
        <is>
          <t>全钢</t>
        </is>
      </c>
      <c r="H206" s="74">
        <f>D206&amp;G206</f>
        <v/>
      </c>
    </row>
    <row r="207">
      <c r="A207" s="421" t="inlineStr">
        <is>
          <t>ID295/75R22.5-14PR(144/141L)[M-TRAC CSD]MASTERTRACK无内</t>
        </is>
      </c>
      <c r="B207" s="406" t="n">
        <v>900</v>
      </c>
      <c r="C207" s="410" t="inlineStr">
        <is>
          <t>北美</t>
        </is>
      </c>
      <c r="D207" s="74">
        <f>MID(A207,FIND("R",A207)+1,4)</f>
        <v/>
      </c>
      <c r="E207" s="408">
        <f>_xlfn.XLOOKUP(A207,'7月排产计划'!G:G,'7月排产计划'!B:B)</f>
        <v/>
      </c>
      <c r="F207" s="69">
        <f>E207&amp;D207&amp;"寸"</f>
        <v/>
      </c>
      <c r="G207" s="408" t="inlineStr">
        <is>
          <t>全钢</t>
        </is>
      </c>
      <c r="H207" s="74">
        <f>D207&amp;G207</f>
        <v/>
      </c>
    </row>
    <row r="208">
      <c r="A208" s="421" t="inlineStr">
        <is>
          <t>ID295/75R22.5-14PR(144/141L)[M-TRAC OSD]MASTERTRACK无内</t>
        </is>
      </c>
      <c r="B208" s="406" t="n">
        <v>850</v>
      </c>
      <c r="C208" s="410" t="inlineStr">
        <is>
          <t>北美</t>
        </is>
      </c>
      <c r="D208" s="74">
        <f>MID(A208,FIND("R",A208)+1,4)</f>
        <v/>
      </c>
      <c r="E208" s="408">
        <f>_xlfn.XLOOKUP(A208,'7月排产计划'!G:G,'7月排产计划'!B:B)</f>
        <v/>
      </c>
      <c r="F208" s="69">
        <f>E208&amp;D208&amp;"寸"</f>
        <v/>
      </c>
      <c r="G208" s="408" t="inlineStr">
        <is>
          <t>全钢</t>
        </is>
      </c>
      <c r="H208" s="74">
        <f>D208&amp;G208</f>
        <v/>
      </c>
    </row>
    <row r="209">
      <c r="A209" s="421" t="inlineStr">
        <is>
          <t>ID295/75R22.5-14PR(144/141L)[M-TRAC TR]MASTERTRACK无内</t>
        </is>
      </c>
      <c r="B209" s="406" t="n">
        <v>2000</v>
      </c>
      <c r="C209" s="410" t="inlineStr">
        <is>
          <t>北美</t>
        </is>
      </c>
      <c r="D209" s="74">
        <f>MID(A209,FIND("R",A209)+1,4)</f>
        <v/>
      </c>
      <c r="E209" s="408">
        <f>_xlfn.XLOOKUP(A209,'7月排产计划'!G:G,'7月排产计划'!B:B)</f>
        <v/>
      </c>
      <c r="F209" s="69">
        <f>E209&amp;D209&amp;"寸"</f>
        <v/>
      </c>
      <c r="G209" s="408" t="inlineStr">
        <is>
          <t>全钢</t>
        </is>
      </c>
      <c r="H209" s="74">
        <f>D209&amp;G209</f>
        <v/>
      </c>
    </row>
    <row r="210">
      <c r="A210" s="421" t="inlineStr">
        <is>
          <t>ID295/75R22.5-14PR(144/141L)[Strong Guard H-RD]HERCULES无内</t>
        </is>
      </c>
      <c r="B210" s="406" t="n">
        <v>250</v>
      </c>
      <c r="C210" s="410" t="inlineStr">
        <is>
          <t>北美</t>
        </is>
      </c>
      <c r="D210" s="74">
        <f>MID(A210,FIND("R",A210)+1,4)</f>
        <v/>
      </c>
      <c r="E210" s="408">
        <f>_xlfn.XLOOKUP(A210,'7月排产计划'!G:G,'7月排产计划'!B:B)</f>
        <v/>
      </c>
      <c r="F210" s="69">
        <f>E210&amp;D210&amp;"寸"</f>
        <v/>
      </c>
      <c r="G210" s="408" t="inlineStr">
        <is>
          <t>全钢</t>
        </is>
      </c>
      <c r="H210" s="74">
        <f>D210&amp;G210</f>
        <v/>
      </c>
    </row>
    <row r="211">
      <c r="A211" s="421" t="inlineStr">
        <is>
          <t>ID295/75R22.5-14PR(144/141M)[AT552]ARISUN无内</t>
        </is>
      </c>
      <c r="B211" s="406" t="n">
        <v>420</v>
      </c>
      <c r="C211" s="410" t="inlineStr">
        <is>
          <t>北美</t>
        </is>
      </c>
      <c r="D211" s="74">
        <f>MID(A211,FIND("R",A211)+1,4)</f>
        <v/>
      </c>
      <c r="E211" s="408">
        <f>_xlfn.XLOOKUP(A211,'7月排产计划'!G:G,'7月排产计划'!B:B)</f>
        <v/>
      </c>
      <c r="F211" s="69">
        <f>E211&amp;D211&amp;"寸"</f>
        <v/>
      </c>
      <c r="G211" s="408" t="inlineStr">
        <is>
          <t>全钢</t>
        </is>
      </c>
      <c r="H211" s="74">
        <f>D211&amp;G211</f>
        <v/>
      </c>
    </row>
    <row r="212">
      <c r="A212" s="421" t="inlineStr">
        <is>
          <t>ID295/75R22.5-14PR(144/141M)[CR915]TRAZANO(全诺)无内</t>
        </is>
      </c>
      <c r="B212" s="406" t="n">
        <v>950</v>
      </c>
      <c r="C212" s="410" t="inlineStr">
        <is>
          <t>北美</t>
        </is>
      </c>
      <c r="D212" s="74">
        <f>MID(A212,FIND("R",A212)+1,4)</f>
        <v/>
      </c>
      <c r="E212" s="408">
        <f>_xlfn.XLOOKUP(A212,'7月排产计划'!G:G,'7月排产计划'!B:B)</f>
        <v/>
      </c>
      <c r="F212" s="69">
        <f>E212&amp;D212&amp;"寸"</f>
        <v/>
      </c>
      <c r="G212" s="408" t="inlineStr">
        <is>
          <t>全钢</t>
        </is>
      </c>
      <c r="H212" s="74">
        <f>D212&amp;G212</f>
        <v/>
      </c>
    </row>
    <row r="213">
      <c r="A213" s="421" t="inlineStr">
        <is>
          <t>ID295/75R22.5-14PR(144/141M)[I-19A]IRONMAN无内 SMARTWAY</t>
        </is>
      </c>
      <c r="B213" s="406" t="n">
        <v>1500</v>
      </c>
      <c r="C213" s="410" t="inlineStr">
        <is>
          <t>北美</t>
        </is>
      </c>
      <c r="D213" s="74">
        <f>MID(A213,FIND("R",A213)+1,4)</f>
        <v/>
      </c>
      <c r="E213" s="408">
        <f>_xlfn.XLOOKUP(A213,'7月排产计划'!G:G,'7月排产计划'!B:B)</f>
        <v/>
      </c>
      <c r="F213" s="69">
        <f>E213&amp;D213&amp;"寸"</f>
        <v/>
      </c>
      <c r="G213" s="408" t="inlineStr">
        <is>
          <t>全钢</t>
        </is>
      </c>
      <c r="H213" s="74">
        <f>D213&amp;G213</f>
        <v/>
      </c>
    </row>
    <row r="214">
      <c r="A214" s="421" t="inlineStr">
        <is>
          <t>ID295/75R22.5-14PR(144/141M)[I-48T]IRONMAN无内 SMARTWAY</t>
        </is>
      </c>
      <c r="B214" s="406" t="n">
        <v>6000</v>
      </c>
      <c r="C214" s="410" t="inlineStr">
        <is>
          <t>北美</t>
        </is>
      </c>
      <c r="D214" s="74">
        <f>MID(A214,FIND("R",A214)+1,4)</f>
        <v/>
      </c>
      <c r="E214" s="408">
        <f>_xlfn.XLOOKUP(A214,'7月排产计划'!G:G,'7月排产计划'!B:B)</f>
        <v/>
      </c>
      <c r="F214" s="69">
        <f>E214&amp;D214&amp;"寸"</f>
        <v/>
      </c>
      <c r="G214" s="408" t="inlineStr">
        <is>
          <t>全钢</t>
        </is>
      </c>
      <c r="H214" s="74">
        <f>D214&amp;G214</f>
        <v/>
      </c>
    </row>
    <row r="215">
      <c r="A215" s="421" t="inlineStr">
        <is>
          <t>ID295/75R22.5-16PR(146/143L)[DOMINATE D01]BLACKARROW无内</t>
        </is>
      </c>
      <c r="B215" s="406" t="n">
        <v>800</v>
      </c>
      <c r="C215" s="410" t="inlineStr">
        <is>
          <t>北美</t>
        </is>
      </c>
      <c r="D215" s="74">
        <f>MID(A215,FIND("R",A215)+1,4)</f>
        <v/>
      </c>
      <c r="E215" s="408">
        <f>_xlfn.XLOOKUP(A215,'7月排产计划'!G:G,'7月排产计划'!B:B)</f>
        <v/>
      </c>
      <c r="F215" s="69">
        <f>E215&amp;D215&amp;"寸"</f>
        <v/>
      </c>
      <c r="G215" s="408" t="inlineStr">
        <is>
          <t>全钢</t>
        </is>
      </c>
      <c r="H215" s="74">
        <f>D215&amp;G215</f>
        <v/>
      </c>
    </row>
    <row r="216">
      <c r="A216" s="421" t="inlineStr">
        <is>
          <t>ID295/75R22.5-16PR(146/143L)[ECO-MILE CSD]TRAVELSTAR无内</t>
        </is>
      </c>
      <c r="B216" s="406" t="n">
        <v>360</v>
      </c>
      <c r="C216" s="410" t="inlineStr">
        <is>
          <t>北美</t>
        </is>
      </c>
      <c r="D216" s="74">
        <f>MID(A216,FIND("R",A216)+1,4)</f>
        <v/>
      </c>
      <c r="E216" s="408">
        <f>_xlfn.XLOOKUP(A216,'7月排产计划'!G:G,'7月排产计划'!B:B)</f>
        <v/>
      </c>
      <c r="F216" s="69">
        <f>E216&amp;D216&amp;"寸"</f>
        <v/>
      </c>
      <c r="G216" s="408" t="inlineStr">
        <is>
          <t>全钢</t>
        </is>
      </c>
      <c r="H216" s="74">
        <f>D216&amp;G216</f>
        <v/>
      </c>
    </row>
    <row r="217">
      <c r="A217" s="421" t="inlineStr">
        <is>
          <t>ID295/75R22.5-16PR(146/143L)[HD1 PlusX]SUPERMAX ECO无内</t>
        </is>
      </c>
      <c r="B217" s="406" t="n">
        <v>800</v>
      </c>
      <c r="C217" s="410" t="inlineStr">
        <is>
          <t>北美</t>
        </is>
      </c>
      <c r="D217" s="74">
        <f>MID(A217,FIND("R",A217)+1,4)</f>
        <v/>
      </c>
      <c r="E217" s="408">
        <f>_xlfn.XLOOKUP(A217,'7月排产计划'!G:G,'7月排产计划'!B:B)</f>
        <v/>
      </c>
      <c r="F217" s="69">
        <f>E217&amp;D217&amp;"寸"</f>
        <v/>
      </c>
      <c r="G217" s="408" t="inlineStr">
        <is>
          <t>全钢</t>
        </is>
      </c>
      <c r="H217" s="74">
        <f>D217&amp;G217</f>
        <v/>
      </c>
    </row>
    <row r="218">
      <c r="A218" s="421" t="inlineStr">
        <is>
          <t>ID295/75R22.5-16PR(146/143L)[HF1 PlusX]SUPERMAX ECO无内</t>
        </is>
      </c>
      <c r="B218" s="406" t="n">
        <v>180</v>
      </c>
      <c r="C218" s="410" t="inlineStr">
        <is>
          <t>北美</t>
        </is>
      </c>
      <c r="D218" s="74">
        <f>MID(A218,FIND("R",A218)+1,4)</f>
        <v/>
      </c>
      <c r="E218" s="408">
        <f>_xlfn.XLOOKUP(A218,'7月排产计划'!G:G,'7月排产计划'!B:B)</f>
        <v/>
      </c>
      <c r="F218" s="69">
        <f>E218&amp;D218&amp;"寸"</f>
        <v/>
      </c>
      <c r="G218" s="408" t="inlineStr">
        <is>
          <t>全钢</t>
        </is>
      </c>
      <c r="H218" s="74">
        <f>D218&amp;G218</f>
        <v/>
      </c>
    </row>
    <row r="219">
      <c r="A219" s="421" t="inlineStr">
        <is>
          <t>ID295/75R22.5-16PR(146/143L)[I-52A]IRONMAN无内 SMARTWAY</t>
        </is>
      </c>
      <c r="B219" s="406" t="n">
        <v>300</v>
      </c>
      <c r="C219" s="410" t="inlineStr">
        <is>
          <t>北美</t>
        </is>
      </c>
      <c r="D219" s="74">
        <f>MID(A219,FIND("R",A219)+1,4)</f>
        <v/>
      </c>
      <c r="E219" s="408">
        <f>_xlfn.XLOOKUP(A219,'7月排产计划'!G:G,'7月排产计划'!B:B)</f>
        <v/>
      </c>
      <c r="F219" s="69">
        <f>E219&amp;D219&amp;"寸"</f>
        <v/>
      </c>
      <c r="G219" s="408" t="inlineStr">
        <is>
          <t>全钢</t>
        </is>
      </c>
      <c r="H219" s="74">
        <f>D219&amp;G219</f>
        <v/>
      </c>
    </row>
    <row r="220">
      <c r="A220" s="421" t="inlineStr">
        <is>
          <t>ID295/75R22.5-16PR(146/143L)[KOBE APM]ITARO无内</t>
        </is>
      </c>
      <c r="B220" s="406" t="n">
        <v>2000</v>
      </c>
      <c r="C220" s="410" t="inlineStr">
        <is>
          <t>北美</t>
        </is>
      </c>
      <c r="D220" s="74">
        <f>MID(A220,FIND("R",A220)+1,4)</f>
        <v/>
      </c>
      <c r="E220" s="408">
        <f>_xlfn.XLOOKUP(A220,'7月排产计划'!G:G,'7月排产计划'!B:B)</f>
        <v/>
      </c>
      <c r="F220" s="69">
        <f>E220&amp;D220&amp;"寸"</f>
        <v/>
      </c>
      <c r="G220" s="408" t="inlineStr">
        <is>
          <t>全钢</t>
        </is>
      </c>
      <c r="H220" s="74">
        <f>D220&amp;G220</f>
        <v/>
      </c>
    </row>
    <row r="221">
      <c r="A221" s="421" t="inlineStr">
        <is>
          <t>ID295/75R22.5-16PR(146/143L)[KOBE DPM]ITARO无内</t>
        </is>
      </c>
      <c r="B221" s="406" t="n">
        <v>2400</v>
      </c>
      <c r="C221" s="410" t="inlineStr">
        <is>
          <t>北美</t>
        </is>
      </c>
      <c r="D221" s="74">
        <f>MID(A221,FIND("R",A221)+1,4)</f>
        <v/>
      </c>
      <c r="E221" s="408">
        <f>_xlfn.XLOOKUP(A221,'7月排产计划'!G:G,'7月排产计划'!B:B)</f>
        <v/>
      </c>
      <c r="F221" s="69">
        <f>E221&amp;D221&amp;"寸"</f>
        <v/>
      </c>
      <c r="G221" s="408" t="inlineStr">
        <is>
          <t>全钢</t>
        </is>
      </c>
      <c r="H221" s="74">
        <f>D221&amp;G221</f>
        <v/>
      </c>
    </row>
    <row r="222">
      <c r="A222" s="421" t="inlineStr">
        <is>
          <t>ID295/75R22.5-16PR(146/143L)[M-TRAC AP]MASTERTRACK无内</t>
        </is>
      </c>
      <c r="B222" s="406" t="n">
        <v>750</v>
      </c>
      <c r="C222" s="410" t="inlineStr">
        <is>
          <t>北美</t>
        </is>
      </c>
      <c r="D222" s="74">
        <f>MID(A222,FIND("R",A222)+1,4)</f>
        <v/>
      </c>
      <c r="E222" s="408">
        <f>_xlfn.XLOOKUP(A222,'7月排产计划'!G:G,'7月排产计划'!B:B)</f>
        <v/>
      </c>
      <c r="F222" s="69">
        <f>E222&amp;D222&amp;"寸"</f>
        <v/>
      </c>
      <c r="G222" s="408" t="inlineStr">
        <is>
          <t>全钢</t>
        </is>
      </c>
      <c r="H222" s="74">
        <f>D222&amp;G222</f>
        <v/>
      </c>
    </row>
    <row r="223">
      <c r="A223" s="421" t="inlineStr">
        <is>
          <t>ID295/75R22.5-16PR(146/143L)[M-TRAC CSD]MASTERTRACK无内</t>
        </is>
      </c>
      <c r="B223" s="406" t="n">
        <v>2000</v>
      </c>
      <c r="C223" s="410" t="inlineStr">
        <is>
          <t>北美</t>
        </is>
      </c>
      <c r="D223" s="74">
        <f>MID(A223,FIND("R",A223)+1,4)</f>
        <v/>
      </c>
      <c r="E223" s="408">
        <f>_xlfn.XLOOKUP(A223,'7月排产计划'!G:G,'7月排产计划'!B:B)</f>
        <v/>
      </c>
      <c r="F223" s="69">
        <f>E223&amp;D223&amp;"寸"</f>
        <v/>
      </c>
      <c r="G223" s="408" t="inlineStr">
        <is>
          <t>全钢</t>
        </is>
      </c>
      <c r="H223" s="74">
        <f>D223&amp;G223</f>
        <v/>
      </c>
    </row>
    <row r="224">
      <c r="A224" s="421" t="inlineStr">
        <is>
          <t>ID295/75R22.5-16PR(146/143L)[M-TRAC CSD+]MASTERTRACK无内</t>
        </is>
      </c>
      <c r="B224" s="406" t="n">
        <v>250</v>
      </c>
      <c r="C224" s="410" t="inlineStr">
        <is>
          <t>北美</t>
        </is>
      </c>
      <c r="D224" s="74">
        <f>MID(A224,FIND("R",A224)+1,4)</f>
        <v/>
      </c>
      <c r="E224" s="408">
        <f>_xlfn.XLOOKUP(A224,'7月排产计划'!G:G,'7月排产计划'!B:B)</f>
        <v/>
      </c>
      <c r="F224" s="69">
        <f>E224&amp;D224&amp;"寸"</f>
        <v/>
      </c>
      <c r="G224" s="408" t="inlineStr">
        <is>
          <t>全钢</t>
        </is>
      </c>
      <c r="H224" s="74">
        <f>D224&amp;G224</f>
        <v/>
      </c>
    </row>
    <row r="225">
      <c r="A225" s="421" t="inlineStr">
        <is>
          <t>ID295/75R22.5-16PR(146/143L)[M-TRAC HS+]MASTERTRACK无内</t>
        </is>
      </c>
      <c r="B225" s="406" t="n">
        <v>280</v>
      </c>
      <c r="C225" s="410" t="inlineStr">
        <is>
          <t>北美</t>
        </is>
      </c>
      <c r="D225" s="74">
        <f>MID(A225,FIND("R",A225)+1,4)</f>
        <v/>
      </c>
      <c r="E225" s="408">
        <f>_xlfn.XLOOKUP(A225,'7月排产计划'!G:G,'7月排产计划'!B:B)</f>
        <v/>
      </c>
      <c r="F225" s="69">
        <f>E225&amp;D225&amp;"寸"</f>
        <v/>
      </c>
      <c r="G225" s="408" t="inlineStr">
        <is>
          <t>全钢</t>
        </is>
      </c>
      <c r="H225" s="74">
        <f>D225&amp;G225</f>
        <v/>
      </c>
    </row>
    <row r="226">
      <c r="A226" s="421" t="inlineStr">
        <is>
          <t>ID295/75R22.5-16PR(146/143L)[RLINE-S1]REDCLIFF无内</t>
        </is>
      </c>
      <c r="B226" s="406" t="n">
        <v>280</v>
      </c>
      <c r="C226" s="410" t="inlineStr">
        <is>
          <t>北美</t>
        </is>
      </c>
      <c r="D226" s="74">
        <f>MID(A226,FIND("R",A226)+1,4)</f>
        <v/>
      </c>
      <c r="E226" s="408">
        <f>_xlfn.XLOOKUP(A226,'7月排产计划'!G:G,'7月排产计划'!B:B)</f>
        <v/>
      </c>
      <c r="F226" s="69">
        <f>E226&amp;D226&amp;"寸"</f>
        <v/>
      </c>
      <c r="G226" s="408" t="inlineStr">
        <is>
          <t>全钢</t>
        </is>
      </c>
      <c r="H226" s="74">
        <f>D226&amp;G226</f>
        <v/>
      </c>
    </row>
    <row r="227">
      <c r="A227" s="421" t="inlineStr">
        <is>
          <t>ID295/75R22.5-16PR(146/143M)[CR915]威狮无内 SMARTWAY</t>
        </is>
      </c>
      <c r="B227" s="406" t="n">
        <v>1500</v>
      </c>
      <c r="C227" s="410" t="inlineStr">
        <is>
          <t>北美</t>
        </is>
      </c>
      <c r="D227" s="74">
        <f>MID(A227,FIND("R",A227)+1,4)</f>
        <v/>
      </c>
      <c r="E227" s="408">
        <f>_xlfn.XLOOKUP(A227,'7月排产计划'!G:G,'7月排产计划'!B:B)</f>
        <v/>
      </c>
      <c r="F227" s="69">
        <f>E227&amp;D227&amp;"寸"</f>
        <v/>
      </c>
      <c r="G227" s="408" t="inlineStr">
        <is>
          <t>全钢</t>
        </is>
      </c>
      <c r="H227" s="74">
        <f>D227&amp;G227</f>
        <v/>
      </c>
    </row>
    <row r="228">
      <c r="A228" s="421" t="inlineStr">
        <is>
          <t>ID295/75R22.5-16PR(146/143M)[I-19A]IRONMAN无内 SMARTWAY</t>
        </is>
      </c>
      <c r="B228" s="406" t="n">
        <v>550</v>
      </c>
      <c r="C228" s="410" t="inlineStr">
        <is>
          <t>北美</t>
        </is>
      </c>
      <c r="D228" s="74">
        <f>MID(A228,FIND("R",A228)+1,4)</f>
        <v/>
      </c>
      <c r="E228" s="408">
        <f>_xlfn.XLOOKUP(A228,'7月排产计划'!G:G,'7月排产计划'!B:B)</f>
        <v/>
      </c>
      <c r="F228" s="69">
        <f>E228&amp;D228&amp;"寸"</f>
        <v/>
      </c>
      <c r="G228" s="408" t="inlineStr">
        <is>
          <t>全钢</t>
        </is>
      </c>
      <c r="H228" s="74">
        <f>D228&amp;G228</f>
        <v/>
      </c>
    </row>
    <row r="229">
      <c r="A229" s="421" t="inlineStr">
        <is>
          <t>ID295/75R22.5-16PR(146/143M)[KOBE TPM]ITARO无内</t>
        </is>
      </c>
      <c r="B229" s="406" t="n">
        <v>2300</v>
      </c>
      <c r="C229" s="410" t="inlineStr">
        <is>
          <t>北美</t>
        </is>
      </c>
      <c r="D229" s="74">
        <f>MID(A229,FIND("R",A229)+1,4)</f>
        <v/>
      </c>
      <c r="E229" s="408">
        <f>_xlfn.XLOOKUP(A229,'7月排产计划'!G:G,'7月排产计划'!B:B)</f>
        <v/>
      </c>
      <c r="F229" s="69">
        <f>E229&amp;D229&amp;"寸"</f>
        <v/>
      </c>
      <c r="G229" s="408" t="inlineStr">
        <is>
          <t>全钢</t>
        </is>
      </c>
      <c r="H229" s="74">
        <f>D229&amp;G229</f>
        <v/>
      </c>
    </row>
    <row r="230">
      <c r="A230" s="421" t="inlineStr">
        <is>
          <t>ID295/75R22.5-16PR(146/143M)[RLINE-TⅡ]REDCLIFF无内</t>
        </is>
      </c>
      <c r="B230" s="406" t="n">
        <v>500</v>
      </c>
      <c r="C230" s="410" t="inlineStr">
        <is>
          <t>北美</t>
        </is>
      </c>
      <c r="D230" s="74">
        <f>MID(A230,FIND("R",A230)+1,4)</f>
        <v/>
      </c>
      <c r="E230" s="408">
        <f>_xlfn.XLOOKUP(A230,'7月排产计划'!G:G,'7月排产计划'!B:B)</f>
        <v/>
      </c>
      <c r="F230" s="69">
        <f>E230&amp;D230&amp;"寸"</f>
        <v/>
      </c>
      <c r="G230" s="408" t="inlineStr">
        <is>
          <t>全钢</t>
        </is>
      </c>
      <c r="H230" s="74">
        <f>D230&amp;G230</f>
        <v/>
      </c>
    </row>
    <row r="231">
      <c r="A231" s="421" t="inlineStr">
        <is>
          <t>ID295/75R22.5-16PR(146/143M)[Strong Guard H-RA]HERCULES无内</t>
        </is>
      </c>
      <c r="B231" s="406" t="n">
        <v>360</v>
      </c>
      <c r="C231" s="410" t="inlineStr">
        <is>
          <t>北美</t>
        </is>
      </c>
      <c r="D231" s="74">
        <f>MID(A231,FIND("R",A231)+1,4)</f>
        <v/>
      </c>
      <c r="E231" s="408">
        <f>_xlfn.XLOOKUP(A231,'7月排产计划'!G:G,'7月排产计划'!B:B)</f>
        <v/>
      </c>
      <c r="F231" s="69">
        <f>E231&amp;D231&amp;"寸"</f>
        <v/>
      </c>
      <c r="G231" s="408" t="inlineStr">
        <is>
          <t>全钢</t>
        </is>
      </c>
      <c r="H231" s="74">
        <f>D231&amp;G231</f>
        <v/>
      </c>
    </row>
    <row r="232">
      <c r="A232" s="421" t="inlineStr">
        <is>
          <t>ID295/75R22.5-16PR(146/143M)[STEALTH S01]BLACKARROW无内</t>
        </is>
      </c>
      <c r="B232" s="406" t="n">
        <v>300</v>
      </c>
      <c r="C232" s="410" t="inlineStr">
        <is>
          <t>北美</t>
        </is>
      </c>
      <c r="D232" s="74">
        <f>MID(A232,FIND("R",A232)+1,4)</f>
        <v/>
      </c>
      <c r="E232" s="408">
        <f>_xlfn.XLOOKUP(A232,'7月排产计划'!G:G,'7月排产计划'!B:B)</f>
        <v/>
      </c>
      <c r="F232" s="69">
        <f>E232&amp;D232&amp;"寸"</f>
        <v/>
      </c>
      <c r="G232" s="408" t="inlineStr">
        <is>
          <t>全钢</t>
        </is>
      </c>
      <c r="H232" s="74">
        <f>D232&amp;G232</f>
        <v/>
      </c>
    </row>
    <row r="233">
      <c r="A233" s="421" t="inlineStr">
        <is>
          <t>ID295/75R22.5-16PR(146/143L)[VXD932]VITOUR无内</t>
        </is>
      </c>
      <c r="B233" s="406" t="n">
        <v>800</v>
      </c>
      <c r="C233" s="410" t="inlineStr">
        <is>
          <t>亚</t>
        </is>
      </c>
      <c r="D233" s="74">
        <f>MID(A233,FIND("R",A233)+1,4)</f>
        <v/>
      </c>
      <c r="E233" s="408">
        <f>_xlfn.XLOOKUP(A233,'7月排产计划'!G:G,'7月排产计划'!B:B)</f>
        <v/>
      </c>
      <c r="F233" s="69">
        <f>E233&amp;D233&amp;"寸"</f>
        <v/>
      </c>
      <c r="G233" s="408" t="inlineStr">
        <is>
          <t>全钢</t>
        </is>
      </c>
      <c r="H233" s="74">
        <f>D233&amp;G233</f>
        <v/>
      </c>
    </row>
    <row r="234">
      <c r="A234" s="421" t="inlineStr">
        <is>
          <t>ID295/75R22.5-16PR(146/143M)[VA996]VITOUR无内</t>
        </is>
      </c>
      <c r="B234" s="406" t="n">
        <v>800</v>
      </c>
      <c r="C234" s="410" t="inlineStr">
        <is>
          <t>亚</t>
        </is>
      </c>
      <c r="D234" s="74">
        <f>MID(A234,FIND("R",A234)+1,4)</f>
        <v/>
      </c>
      <c r="E234" s="408">
        <f>_xlfn.XLOOKUP(A234,'7月排产计划'!G:G,'7月排产计划'!B:B)</f>
        <v/>
      </c>
      <c r="F234" s="69">
        <f>E234&amp;D234&amp;"寸"</f>
        <v/>
      </c>
      <c r="G234" s="408" t="inlineStr">
        <is>
          <t>全钢</t>
        </is>
      </c>
      <c r="H234" s="74">
        <f>D234&amp;G234</f>
        <v/>
      </c>
    </row>
    <row r="235">
      <c r="A235" s="421" t="inlineStr">
        <is>
          <t>ID295/75R22.5-16PR(146/143M)[VT993]VITOUR无内</t>
        </is>
      </c>
      <c r="B235" s="406" t="n">
        <v>1500</v>
      </c>
      <c r="C235" s="410" t="inlineStr">
        <is>
          <t>亚</t>
        </is>
      </c>
      <c r="D235" s="74">
        <f>MID(A235,FIND("R",A235)+1,4)</f>
        <v/>
      </c>
      <c r="E235" s="408">
        <f>_xlfn.XLOOKUP(A235,'7月排产计划'!G:G,'7月排产计划'!B:B)</f>
        <v/>
      </c>
      <c r="F235" s="69">
        <f>E235&amp;D235&amp;"寸"</f>
        <v/>
      </c>
      <c r="G235" s="408" t="inlineStr">
        <is>
          <t>全钢</t>
        </is>
      </c>
      <c r="H235" s="74">
        <f>D235&amp;G235</f>
        <v/>
      </c>
    </row>
    <row r="236">
      <c r="A236" s="421" t="inlineStr">
        <is>
          <t>ID295/80R22.5-18PR(150/147M)[ECOPLUS]XBRI无内 巴拉圭</t>
        </is>
      </c>
      <c r="B236" s="406" t="n">
        <v>8000</v>
      </c>
      <c r="C236" s="410" t="inlineStr">
        <is>
          <t>南美</t>
        </is>
      </c>
      <c r="D236" s="74">
        <f>MID(A236,FIND("R",A236)+1,4)</f>
        <v/>
      </c>
      <c r="E236" s="408">
        <f>_xlfn.XLOOKUP(A236,'7月排产计划'!G:G,'7月排产计划'!B:B)</f>
        <v/>
      </c>
      <c r="F236" s="69">
        <f>E236&amp;D236&amp;"寸"</f>
        <v/>
      </c>
      <c r="G236" s="408" t="inlineStr">
        <is>
          <t>全钢</t>
        </is>
      </c>
      <c r="H236" s="74">
        <f>D236&amp;G236</f>
        <v/>
      </c>
    </row>
    <row r="237">
      <c r="A237" s="421" t="inlineStr">
        <is>
          <t>ID295/80R22.5-18PR(152/149J)[EZ177]金冠无内</t>
        </is>
      </c>
      <c r="B237" s="406" t="n">
        <v>500</v>
      </c>
      <c r="C237" s="410" t="inlineStr">
        <is>
          <t>南美</t>
        </is>
      </c>
      <c r="D237" s="74">
        <f>MID(A237,FIND("R",A237)+1,4)</f>
        <v/>
      </c>
      <c r="E237" s="408">
        <f>_xlfn.XLOOKUP(A237,'7月排产计划'!G:G,'7月排产计划'!B:B)</f>
        <v/>
      </c>
      <c r="F237" s="69">
        <f>E237&amp;D237&amp;"寸"</f>
        <v/>
      </c>
      <c r="G237" s="408" t="inlineStr">
        <is>
          <t>全钢</t>
        </is>
      </c>
      <c r="H237" s="74">
        <f>D237&amp;G237</f>
        <v/>
      </c>
    </row>
    <row r="238">
      <c r="A238" s="421" t="inlineStr">
        <is>
          <t>ID295/80R22.5-18PR(152/149K)[G-PRO MSD]GRIPMASTER无内</t>
        </is>
      </c>
      <c r="B238" s="406" t="n">
        <v>4000</v>
      </c>
      <c r="C238" s="410" t="inlineStr">
        <is>
          <t>南美</t>
        </is>
      </c>
      <c r="D238" s="74">
        <f>MID(A238,FIND("R",A238)+1,4)</f>
        <v/>
      </c>
      <c r="E238" s="408">
        <f>_xlfn.XLOOKUP(A238,'7月排产计划'!G:G,'7月排产计划'!B:B)</f>
        <v/>
      </c>
      <c r="F238" s="69">
        <f>E238&amp;D238&amp;"寸"</f>
        <v/>
      </c>
      <c r="G238" s="408" t="inlineStr">
        <is>
          <t>全钢</t>
        </is>
      </c>
      <c r="H238" s="74">
        <f>D238&amp;G238</f>
        <v/>
      </c>
    </row>
    <row r="239">
      <c r="A239" s="421" t="inlineStr">
        <is>
          <t>ID295/80R22.5-18PR(152/149K)[MD777]朝阳无内</t>
        </is>
      </c>
      <c r="B239" s="406" t="n">
        <v>1800</v>
      </c>
      <c r="C239" s="410" t="inlineStr">
        <is>
          <t>南美</t>
        </is>
      </c>
      <c r="D239" s="74">
        <f>MID(A239,FIND("R",A239)+1,4)</f>
        <v/>
      </c>
      <c r="E239" s="408">
        <f>_xlfn.XLOOKUP(A239,'7月排产计划'!G:G,'7月排产计划'!B:B)</f>
        <v/>
      </c>
      <c r="F239" s="69">
        <f>E239&amp;D239&amp;"寸"</f>
        <v/>
      </c>
      <c r="G239" s="408" t="inlineStr">
        <is>
          <t>全钢</t>
        </is>
      </c>
      <c r="H239" s="74">
        <f>D239&amp;G239</f>
        <v/>
      </c>
    </row>
    <row r="240">
      <c r="A240" s="421" t="inlineStr">
        <is>
          <t>ID295/80R22.5-18PR(152/149K)[MD777]威狮无内</t>
        </is>
      </c>
      <c r="B240" s="406" t="n">
        <v>320</v>
      </c>
      <c r="C240" s="410" t="inlineStr">
        <is>
          <t>南美</t>
        </is>
      </c>
      <c r="D240" s="74">
        <f>MID(A240,FIND("R",A240)+1,4)</f>
        <v/>
      </c>
      <c r="E240" s="408">
        <f>_xlfn.XLOOKUP(A240,'7月排产计划'!G:G,'7月排产计划'!B:B)</f>
        <v/>
      </c>
      <c r="F240" s="69">
        <f>E240&amp;D240&amp;"寸"</f>
        <v/>
      </c>
      <c r="G240" s="408" t="inlineStr">
        <is>
          <t>全钢</t>
        </is>
      </c>
      <c r="H240" s="74">
        <f>D240&amp;G240</f>
        <v/>
      </c>
    </row>
    <row r="241">
      <c r="A241" s="421" t="inlineStr">
        <is>
          <t>ID295/80R22.5-18PR(152/149L)[AZ183]金冠无内</t>
        </is>
      </c>
      <c r="B241" s="406" t="n">
        <v>620</v>
      </c>
      <c r="C241" s="410" t="inlineStr">
        <is>
          <t>南美</t>
        </is>
      </c>
      <c r="D241" s="74">
        <f>MID(A241,FIND("R",A241)+1,4)</f>
        <v/>
      </c>
      <c r="E241" s="408">
        <f>_xlfn.XLOOKUP(A241,'7月排产计划'!G:G,'7月排产计划'!B:B)</f>
        <v/>
      </c>
      <c r="F241" s="69">
        <f>E241&amp;D241&amp;"寸"</f>
        <v/>
      </c>
      <c r="G241" s="408" t="inlineStr">
        <is>
          <t>全钢</t>
        </is>
      </c>
      <c r="H241" s="74">
        <f>D241&amp;G241</f>
        <v/>
      </c>
    </row>
    <row r="242">
      <c r="A242" s="421" t="inlineStr">
        <is>
          <t>ID295/80R22.5-18PR(152/149L)[AZ183]欧耐特无内</t>
        </is>
      </c>
      <c r="B242" s="406" t="n">
        <v>250</v>
      </c>
      <c r="C242" s="410" t="inlineStr">
        <is>
          <t>南美</t>
        </is>
      </c>
      <c r="D242" s="74">
        <f>MID(A242,FIND("R",A242)+1,4)</f>
        <v/>
      </c>
      <c r="E242" s="408">
        <f>_xlfn.XLOOKUP(A242,'7月排产计划'!G:G,'7月排产计划'!B:B)</f>
        <v/>
      </c>
      <c r="F242" s="69">
        <f>E242&amp;D242&amp;"寸"</f>
        <v/>
      </c>
      <c r="G242" s="408" t="inlineStr">
        <is>
          <t>全钢</t>
        </is>
      </c>
      <c r="H242" s="74">
        <f>D242&amp;G242</f>
        <v/>
      </c>
    </row>
    <row r="243">
      <c r="A243" s="421" t="inlineStr">
        <is>
          <t>ID295/80R22.5-18PR(152/149L)[BMA07 ECO]BRANSALES无内</t>
        </is>
      </c>
      <c r="B243" s="406" t="n">
        <v>1200</v>
      </c>
      <c r="C243" s="410" t="inlineStr">
        <is>
          <t>南美</t>
        </is>
      </c>
      <c r="D243" s="74">
        <f>MID(A243,FIND("R",A243)+1,4)</f>
        <v/>
      </c>
      <c r="E243" s="408">
        <f>_xlfn.XLOOKUP(A243,'7月排产计划'!G:G,'7月排产计划'!B:B)</f>
        <v/>
      </c>
      <c r="F243" s="69">
        <f>E243&amp;D243&amp;"寸"</f>
        <v/>
      </c>
      <c r="G243" s="408" t="inlineStr">
        <is>
          <t>全钢</t>
        </is>
      </c>
      <c r="H243" s="74">
        <f>D243&amp;G243</f>
        <v/>
      </c>
    </row>
    <row r="244">
      <c r="A244" s="421" t="inlineStr">
        <is>
          <t>ID295/80R22.5-18PR(152/149L)[EZ573]威狮无内</t>
        </is>
      </c>
      <c r="B244" s="406" t="n">
        <v>1700</v>
      </c>
      <c r="C244" s="410" t="inlineStr">
        <is>
          <t>南美</t>
        </is>
      </c>
      <c r="D244" s="74">
        <f>MID(A244,FIND("R",A244)+1,4)</f>
        <v/>
      </c>
      <c r="E244" s="408">
        <f>_xlfn.XLOOKUP(A244,'7月排产计划'!G:G,'7月排产计划'!B:B)</f>
        <v/>
      </c>
      <c r="F244" s="69">
        <f>E244&amp;D244&amp;"寸"</f>
        <v/>
      </c>
      <c r="G244" s="408" t="inlineStr">
        <is>
          <t>全钢</t>
        </is>
      </c>
      <c r="H244" s="74">
        <f>D244&amp;G244</f>
        <v/>
      </c>
    </row>
    <row r="245">
      <c r="A245" s="421" t="inlineStr">
        <is>
          <t>ID295/80R22.5-18PR(152/149L)[G-PRO U]GRIPMASTER无内</t>
        </is>
      </c>
      <c r="B245" s="406" t="n">
        <v>350</v>
      </c>
      <c r="C245" s="410" t="inlineStr">
        <is>
          <t>南美</t>
        </is>
      </c>
      <c r="D245" s="74">
        <f>MID(A245,FIND("R",A245)+1,4)</f>
        <v/>
      </c>
      <c r="E245" s="408">
        <f>_xlfn.XLOOKUP(A245,'7月排产计划'!G:G,'7月排产计划'!B:B)</f>
        <v/>
      </c>
      <c r="F245" s="69">
        <f>E245&amp;D245&amp;"寸"</f>
        <v/>
      </c>
      <c r="G245" s="408" t="inlineStr">
        <is>
          <t>全钢</t>
        </is>
      </c>
      <c r="H245" s="74">
        <f>D245&amp;G245</f>
        <v/>
      </c>
    </row>
    <row r="246">
      <c r="A246" s="421" t="inlineStr">
        <is>
          <t>ID295/80R22.5-18PR(152/149M)[AD156A]金冠无内</t>
        </is>
      </c>
      <c r="B246" s="406" t="n">
        <v>3000</v>
      </c>
      <c r="C246" s="410" t="inlineStr">
        <is>
          <t>南美</t>
        </is>
      </c>
      <c r="D246" s="74">
        <f>MID(A246,FIND("R",A246)+1,4)</f>
        <v/>
      </c>
      <c r="E246" s="408">
        <f>_xlfn.XLOOKUP(A246,'7月排产计划'!G:G,'7月排产计划'!B:B)</f>
        <v/>
      </c>
      <c r="F246" s="69">
        <f>E246&amp;D246&amp;"寸"</f>
        <v/>
      </c>
      <c r="G246" s="408" t="inlineStr">
        <is>
          <t>全钢</t>
        </is>
      </c>
      <c r="H246" s="74">
        <f>D246&amp;G246</f>
        <v/>
      </c>
    </row>
    <row r="247">
      <c r="A247" s="421" t="inlineStr">
        <is>
          <t>ID295/80R22.5-18PR(152/149M)[AD528]威狮无内</t>
        </is>
      </c>
      <c r="B247" s="406" t="n">
        <v>750</v>
      </c>
      <c r="C247" s="410" t="inlineStr">
        <is>
          <t>南美</t>
        </is>
      </c>
      <c r="D247" s="74">
        <f>MID(A247,FIND("R",A247)+1,4)</f>
        <v/>
      </c>
      <c r="E247" s="408">
        <f>_xlfn.XLOOKUP(A247,'7月排产计划'!G:G,'7月排产计划'!B:B)</f>
        <v/>
      </c>
      <c r="F247" s="69">
        <f>E247&amp;D247&amp;"寸"</f>
        <v/>
      </c>
      <c r="G247" s="408" t="inlineStr">
        <is>
          <t>全钢</t>
        </is>
      </c>
      <c r="H247" s="74">
        <f>D247&amp;G247</f>
        <v/>
      </c>
    </row>
    <row r="248">
      <c r="A248" s="421" t="inlineStr">
        <is>
          <t>ID295/80R22.5-18PR(152/149M)[AD733pro]威狮无内</t>
        </is>
      </c>
      <c r="B248" s="406" t="n">
        <v>220</v>
      </c>
      <c r="C248" s="410" t="inlineStr">
        <is>
          <t>南美</t>
        </is>
      </c>
      <c r="D248" s="74">
        <f>MID(A248,FIND("R",A248)+1,4)</f>
        <v/>
      </c>
      <c r="E248" s="408">
        <f>_xlfn.XLOOKUP(A248,'7月排产计划'!G:G,'7月排产计划'!B:B)</f>
        <v/>
      </c>
      <c r="F248" s="69">
        <f>E248&amp;D248&amp;"寸"</f>
        <v/>
      </c>
      <c r="G248" s="408" t="inlineStr">
        <is>
          <t>全钢</t>
        </is>
      </c>
      <c r="H248" s="74">
        <f>D248&amp;G248</f>
        <v/>
      </c>
    </row>
    <row r="249">
      <c r="A249" s="421" t="inlineStr">
        <is>
          <t>ID295/80R22.5-18PR(152/149M)[AS589]威狮无内</t>
        </is>
      </c>
      <c r="B249" s="406" t="n">
        <v>300</v>
      </c>
      <c r="C249" s="410" t="inlineStr">
        <is>
          <t>南美</t>
        </is>
      </c>
      <c r="D249" s="74">
        <f>MID(A249,FIND("R",A249)+1,4)</f>
        <v/>
      </c>
      <c r="E249" s="408">
        <f>_xlfn.XLOOKUP(A249,'7月排产计划'!G:G,'7月排产计划'!B:B)</f>
        <v/>
      </c>
      <c r="F249" s="69">
        <f>E249&amp;D249&amp;"寸"</f>
        <v/>
      </c>
      <c r="G249" s="408" t="inlineStr">
        <is>
          <t>全钢</t>
        </is>
      </c>
      <c r="H249" s="74">
        <f>D249&amp;G249</f>
        <v/>
      </c>
    </row>
    <row r="250">
      <c r="A250" s="421" t="inlineStr">
        <is>
          <t>ID295/80R22.5-18PR(152/149M)[AS678]朝阳无内</t>
        </is>
      </c>
      <c r="B250" s="406" t="n">
        <v>700</v>
      </c>
      <c r="C250" s="410" t="inlineStr">
        <is>
          <t>南美</t>
        </is>
      </c>
      <c r="D250" s="74">
        <f>MID(A250,FIND("R",A250)+1,4)</f>
        <v/>
      </c>
      <c r="E250" s="408">
        <f>_xlfn.XLOOKUP(A250,'7月排产计划'!G:G,'7月排产计划'!B:B)</f>
        <v/>
      </c>
      <c r="F250" s="69">
        <f>E250&amp;D250&amp;"寸"</f>
        <v/>
      </c>
      <c r="G250" s="408" t="inlineStr">
        <is>
          <t>全钢</t>
        </is>
      </c>
      <c r="H250" s="74">
        <f>D250&amp;G250</f>
        <v/>
      </c>
    </row>
    <row r="251">
      <c r="A251" s="421" t="inlineStr">
        <is>
          <t>ID295/80R22.5-18PR(152/149M)[AS678]威狮无内</t>
        </is>
      </c>
      <c r="B251" s="406" t="n">
        <v>400</v>
      </c>
      <c r="C251" s="410" t="inlineStr">
        <is>
          <t>南美</t>
        </is>
      </c>
      <c r="D251" s="74">
        <f>MID(A251,FIND("R",A251)+1,4)</f>
        <v/>
      </c>
      <c r="E251" s="408">
        <f>_xlfn.XLOOKUP(A251,'7月排产计划'!G:G,'7月排产计划'!B:B)</f>
        <v/>
      </c>
      <c r="F251" s="69">
        <f>E251&amp;D251&amp;"寸"</f>
        <v/>
      </c>
      <c r="G251" s="408" t="inlineStr">
        <is>
          <t>全钢</t>
        </is>
      </c>
      <c r="H251" s="74">
        <f>D251&amp;G251</f>
        <v/>
      </c>
    </row>
    <row r="252">
      <c r="A252" s="421" t="inlineStr">
        <is>
          <t>ID295/80R22.5-18PR(152/149M)[AS858Pro]威狮无内</t>
        </is>
      </c>
      <c r="B252" s="406" t="n">
        <v>300</v>
      </c>
      <c r="C252" s="410" t="inlineStr">
        <is>
          <t>亚</t>
        </is>
      </c>
      <c r="D252" s="74">
        <f>MID(A252,FIND("R",A252)+1,4)</f>
        <v/>
      </c>
      <c r="E252" s="408">
        <f>_xlfn.XLOOKUP(A252,'7月排产计划'!G:G,'7月排产计划'!B:B)</f>
        <v/>
      </c>
      <c r="F252" s="69">
        <f>E252&amp;D252&amp;"寸"</f>
        <v/>
      </c>
      <c r="G252" s="408" t="inlineStr">
        <is>
          <t>全钢</t>
        </is>
      </c>
      <c r="H252" s="74">
        <f>D252&amp;G252</f>
        <v/>
      </c>
    </row>
    <row r="253">
      <c r="A253" s="421" t="inlineStr">
        <is>
          <t>ID295/80R22.5-18PR(152/149M)[AS858Pro]雅度无内</t>
        </is>
      </c>
      <c r="B253" s="406" t="n">
        <v>350</v>
      </c>
      <c r="C253" s="410" t="inlineStr">
        <is>
          <t>亚</t>
        </is>
      </c>
      <c r="D253" s="74">
        <f>MID(A253,FIND("R",A253)+1,4)</f>
        <v/>
      </c>
      <c r="E253" s="408">
        <f>_xlfn.XLOOKUP(A253,'7月排产计划'!G:G,'7月排产计划'!B:B)</f>
        <v/>
      </c>
      <c r="F253" s="69">
        <f>E253&amp;D253&amp;"寸"</f>
        <v/>
      </c>
      <c r="G253" s="408" t="inlineStr">
        <is>
          <t>全钢</t>
        </is>
      </c>
      <c r="H253" s="74">
        <f>D253&amp;G253</f>
        <v/>
      </c>
    </row>
    <row r="254">
      <c r="A254" s="421" t="inlineStr">
        <is>
          <t>ID295/80R22.5-18PR(152/149M)[AS868Pro]TRAZANO(全诺)无内</t>
        </is>
      </c>
      <c r="B254" s="406" t="n">
        <v>250</v>
      </c>
      <c r="C254" s="410" t="inlineStr">
        <is>
          <t>亚</t>
        </is>
      </c>
      <c r="D254" s="74">
        <f>MID(A254,FIND("R",A254)+1,4)</f>
        <v/>
      </c>
      <c r="E254" s="408">
        <f>_xlfn.XLOOKUP(A254,'7月排产计划'!G:G,'7月排产计划'!B:B)</f>
        <v/>
      </c>
      <c r="F254" s="69">
        <f>E254&amp;D254&amp;"寸"</f>
        <v/>
      </c>
      <c r="G254" s="408" t="inlineStr">
        <is>
          <t>全钢</t>
        </is>
      </c>
      <c r="H254" s="74">
        <f>D254&amp;G254</f>
        <v/>
      </c>
    </row>
    <row r="255">
      <c r="A255" s="421" t="inlineStr">
        <is>
          <t>ID295/80R22.5-18PR(152/149M)[AS868Pro]朝阳无内</t>
        </is>
      </c>
      <c r="B255" s="406" t="n">
        <v>160</v>
      </c>
      <c r="C255" s="410" t="inlineStr">
        <is>
          <t>亚</t>
        </is>
      </c>
      <c r="D255" s="74">
        <f>MID(A255,FIND("R",A255)+1,4)</f>
        <v/>
      </c>
      <c r="E255" s="408">
        <f>_xlfn.XLOOKUP(A255,'7月排产计划'!G:G,'7月排产计划'!B:B)</f>
        <v/>
      </c>
      <c r="F255" s="69">
        <f>E255&amp;D255&amp;"寸"</f>
        <v/>
      </c>
      <c r="G255" s="408" t="inlineStr">
        <is>
          <t>全钢</t>
        </is>
      </c>
      <c r="H255" s="74">
        <f>D255&amp;G255</f>
        <v/>
      </c>
    </row>
    <row r="256">
      <c r="A256" s="421" t="inlineStr">
        <is>
          <t>ID295/80R22.5-18PR(152/149M)[AS898]雅度无内</t>
        </is>
      </c>
      <c r="B256" s="406" t="n">
        <v>1000</v>
      </c>
      <c r="C256" s="410" t="inlineStr">
        <is>
          <t>南美</t>
        </is>
      </c>
      <c r="D256" s="74">
        <f>MID(A256,FIND("R",A256)+1,4)</f>
        <v/>
      </c>
      <c r="E256" s="408">
        <f>_xlfn.XLOOKUP(A256,'7月排产计划'!G:G,'7月排产计划'!B:B)</f>
        <v/>
      </c>
      <c r="F256" s="69">
        <f>E256&amp;D256&amp;"寸"</f>
        <v/>
      </c>
      <c r="G256" s="408" t="inlineStr">
        <is>
          <t>全钢</t>
        </is>
      </c>
      <c r="H256" s="74">
        <f>D256&amp;G256</f>
        <v/>
      </c>
    </row>
    <row r="257">
      <c r="A257" s="421" t="inlineStr">
        <is>
          <t>ID295/80R22.5-18PR(152/149M)[AT161]SUDESTE无内</t>
        </is>
      </c>
      <c r="B257" s="406" t="n">
        <v>7500</v>
      </c>
      <c r="C257" s="410" t="inlineStr">
        <is>
          <t>南美</t>
        </is>
      </c>
      <c r="D257" s="74">
        <f>MID(A257,FIND("R",A257)+1,4)</f>
        <v/>
      </c>
      <c r="E257" s="408">
        <f>_xlfn.XLOOKUP(A257,'7月排产计划'!G:G,'7月排产计划'!B:B)</f>
        <v/>
      </c>
      <c r="F257" s="69">
        <f>E257&amp;D257&amp;"寸"</f>
        <v/>
      </c>
      <c r="G257" s="408" t="inlineStr">
        <is>
          <t>全钢</t>
        </is>
      </c>
      <c r="H257" s="74">
        <f>D257&amp;G257</f>
        <v/>
      </c>
    </row>
    <row r="258">
      <c r="A258" s="421" t="inlineStr">
        <is>
          <t>ID295/80R22.5-18PR(152/149M)[AT161]威狮无内</t>
        </is>
      </c>
      <c r="B258" s="406" t="n">
        <v>8000</v>
      </c>
      <c r="C258" s="410" t="inlineStr">
        <is>
          <t>南美</t>
        </is>
      </c>
      <c r="D258" s="74">
        <f>MID(A258,FIND("R",A258)+1,4)</f>
        <v/>
      </c>
      <c r="E258" s="408">
        <f>_xlfn.XLOOKUP(A258,'7月排产计划'!G:G,'7月排产计划'!B:B)</f>
        <v/>
      </c>
      <c r="F258" s="69">
        <f>E258&amp;D258&amp;"寸"</f>
        <v/>
      </c>
      <c r="G258" s="408" t="inlineStr">
        <is>
          <t>全钢</t>
        </is>
      </c>
      <c r="H258" s="74">
        <f>D258&amp;G258</f>
        <v/>
      </c>
    </row>
    <row r="259">
      <c r="A259" s="421" t="inlineStr">
        <is>
          <t>ID295/80R22.5-18PR(152/149M)[AT186]金冠无内</t>
        </is>
      </c>
      <c r="B259" s="406" t="n">
        <v>4000</v>
      </c>
      <c r="C259" s="410" t="inlineStr">
        <is>
          <t>南美</t>
        </is>
      </c>
      <c r="D259" s="74">
        <f>MID(A259,FIND("R",A259)+1,4)</f>
        <v/>
      </c>
      <c r="E259" s="408">
        <f>_xlfn.XLOOKUP(A259,'7月排产计划'!G:G,'7月排产计划'!B:B)</f>
        <v/>
      </c>
      <c r="F259" s="69">
        <f>E259&amp;D259&amp;"寸"</f>
        <v/>
      </c>
      <c r="G259" s="408" t="inlineStr">
        <is>
          <t>全钢</t>
        </is>
      </c>
      <c r="H259" s="74">
        <f>D259&amp;G259</f>
        <v/>
      </c>
    </row>
    <row r="260">
      <c r="A260" s="421" t="inlineStr">
        <is>
          <t>ID295/80R22.5-18PR(152/149M)[AT186]力奔无内</t>
        </is>
      </c>
      <c r="B260" s="406" t="n">
        <v>1800</v>
      </c>
      <c r="C260" s="410" t="inlineStr">
        <is>
          <t>南美</t>
        </is>
      </c>
      <c r="D260" s="74">
        <f>MID(A260,FIND("R",A260)+1,4)</f>
        <v/>
      </c>
      <c r="E260" s="408">
        <f>_xlfn.XLOOKUP(A260,'7月排产计划'!G:G,'7月排产计划'!B:B)</f>
        <v/>
      </c>
      <c r="F260" s="69">
        <f>E260&amp;D260&amp;"寸"</f>
        <v/>
      </c>
      <c r="G260" s="408" t="inlineStr">
        <is>
          <t>全钢</t>
        </is>
      </c>
      <c r="H260" s="74">
        <f>D260&amp;G260</f>
        <v/>
      </c>
    </row>
    <row r="261">
      <c r="A261" s="421" t="inlineStr">
        <is>
          <t>ID295/80R22.5-18PR(152/149M)[AT186]欧耐特无内</t>
        </is>
      </c>
      <c r="B261" s="406" t="n">
        <v>4000</v>
      </c>
      <c r="C261" s="410" t="inlineStr">
        <is>
          <t>南美</t>
        </is>
      </c>
      <c r="D261" s="74">
        <f>MID(A261,FIND("R",A261)+1,4)</f>
        <v/>
      </c>
      <c r="E261" s="408">
        <f>_xlfn.XLOOKUP(A261,'7月排产计划'!G:G,'7月排产计划'!B:B)</f>
        <v/>
      </c>
      <c r="F261" s="69">
        <f>E261&amp;D261&amp;"寸"</f>
        <v/>
      </c>
      <c r="G261" s="408" t="inlineStr">
        <is>
          <t>全钢</t>
        </is>
      </c>
      <c r="H261" s="74">
        <f>D261&amp;G261</f>
        <v/>
      </c>
    </row>
    <row r="262">
      <c r="A262" s="421" t="inlineStr">
        <is>
          <t>ID295/80R22.5-18PR(152/149M)[AT196]力奔无内</t>
        </is>
      </c>
      <c r="B262" s="406" t="n">
        <v>2000</v>
      </c>
      <c r="C262" s="410" t="inlineStr">
        <is>
          <t>南美</t>
        </is>
      </c>
      <c r="D262" s="74">
        <f>MID(A262,FIND("R",A262)+1,4)</f>
        <v/>
      </c>
      <c r="E262" s="408">
        <f>_xlfn.XLOOKUP(A262,'7月排产计划'!G:G,'7月排产计划'!B:B)</f>
        <v/>
      </c>
      <c r="F262" s="69">
        <f>E262&amp;D262&amp;"寸"</f>
        <v/>
      </c>
      <c r="G262" s="408" t="inlineStr">
        <is>
          <t>全钢</t>
        </is>
      </c>
      <c r="H262" s="74">
        <f>D262&amp;G262</f>
        <v/>
      </c>
    </row>
    <row r="263">
      <c r="A263" s="421" t="inlineStr">
        <is>
          <t>ID295/80R22.5-18PR(152/149M)[AT196]雅度无内</t>
        </is>
      </c>
      <c r="B263" s="406" t="n">
        <v>3000</v>
      </c>
      <c r="C263" s="410" t="inlineStr">
        <is>
          <t>南美</t>
        </is>
      </c>
      <c r="D263" s="74">
        <f>MID(A263,FIND("R",A263)+1,4)</f>
        <v/>
      </c>
      <c r="E263" s="408">
        <f>_xlfn.XLOOKUP(A263,'7月排产计划'!G:G,'7月排产计划'!B:B)</f>
        <v/>
      </c>
      <c r="F263" s="69">
        <f>E263&amp;D263&amp;"寸"</f>
        <v/>
      </c>
      <c r="G263" s="408" t="inlineStr">
        <is>
          <t>全钢</t>
        </is>
      </c>
      <c r="H263" s="74">
        <f>D263&amp;G263</f>
        <v/>
      </c>
    </row>
    <row r="264">
      <c r="A264" s="421" t="inlineStr">
        <is>
          <t>ID295/80R22.5-18PR(152/149M)[BRA07 ECO]BRANSALES无内</t>
        </is>
      </c>
      <c r="B264" s="406" t="n">
        <v>720</v>
      </c>
      <c r="C264" s="410" t="inlineStr">
        <is>
          <t>南美</t>
        </is>
      </c>
      <c r="D264" s="74">
        <f>MID(A264,FIND("R",A264)+1,4)</f>
        <v/>
      </c>
      <c r="E264" s="408">
        <f>_xlfn.XLOOKUP(A264,'7月排产计划'!G:G,'7月排产计划'!B:B)</f>
        <v/>
      </c>
      <c r="F264" s="69">
        <f>E264&amp;D264&amp;"寸"</f>
        <v/>
      </c>
      <c r="G264" s="408" t="inlineStr">
        <is>
          <t>全钢</t>
        </is>
      </c>
      <c r="H264" s="74">
        <f>D264&amp;G264</f>
        <v/>
      </c>
    </row>
    <row r="265">
      <c r="A265" s="421" t="inlineStr">
        <is>
          <t>ID295/80R22.5-18PR(152/149M)[BRD06 PRO]BRANSALES无内</t>
        </is>
      </c>
      <c r="B265" s="406" t="n">
        <v>700</v>
      </c>
      <c r="C265" s="410" t="inlineStr">
        <is>
          <t>南美</t>
        </is>
      </c>
      <c r="D265" s="74">
        <f>MID(A265,FIND("R",A265)+1,4)</f>
        <v/>
      </c>
      <c r="E265" s="408">
        <f>_xlfn.XLOOKUP(A265,'7月排产计划'!G:G,'7月排产计划'!B:B)</f>
        <v/>
      </c>
      <c r="F265" s="69">
        <f>E265&amp;D265&amp;"寸"</f>
        <v/>
      </c>
      <c r="G265" s="408" t="inlineStr">
        <is>
          <t>全钢</t>
        </is>
      </c>
      <c r="H265" s="74">
        <f>D265&amp;G265</f>
        <v/>
      </c>
    </row>
    <row r="266">
      <c r="A266" s="421" t="inlineStr">
        <is>
          <t>ID295/80R22.5-18PR(152/149M)[CR976A]ARISUN无内</t>
        </is>
      </c>
      <c r="B266" s="406" t="n">
        <v>250</v>
      </c>
      <c r="C266" s="410" t="inlineStr">
        <is>
          <t>南美</t>
        </is>
      </c>
      <c r="D266" s="74">
        <f>MID(A266,FIND("R",A266)+1,4)</f>
        <v/>
      </c>
      <c r="E266" s="408">
        <f>_xlfn.XLOOKUP(A266,'7月排产计划'!G:G,'7月排产计划'!B:B)</f>
        <v/>
      </c>
      <c r="F266" s="69">
        <f>E266&amp;D266&amp;"寸"</f>
        <v/>
      </c>
      <c r="G266" s="408" t="inlineStr">
        <is>
          <t>全钢</t>
        </is>
      </c>
      <c r="H266" s="74">
        <f>D266&amp;G266</f>
        <v/>
      </c>
    </row>
    <row r="267">
      <c r="A267" s="421" t="inlineStr">
        <is>
          <t>ID295/80R22.5-18PR(152/149M)[G-PRO D]GRIPMASTER无内</t>
        </is>
      </c>
      <c r="B267" s="406" t="n">
        <v>3000</v>
      </c>
      <c r="C267" s="410" t="inlineStr">
        <is>
          <t>南美</t>
        </is>
      </c>
      <c r="D267" s="74">
        <f>MID(A267,FIND("R",A267)+1,4)</f>
        <v/>
      </c>
      <c r="E267" s="408">
        <f>_xlfn.XLOOKUP(A267,'7月排产计划'!G:G,'7月排产计划'!B:B)</f>
        <v/>
      </c>
      <c r="F267" s="69">
        <f>E267&amp;D267&amp;"寸"</f>
        <v/>
      </c>
      <c r="G267" s="408" t="inlineStr">
        <is>
          <t>全钢</t>
        </is>
      </c>
      <c r="H267" s="74">
        <f>D267&amp;G267</f>
        <v/>
      </c>
    </row>
    <row r="268">
      <c r="A268" s="421" t="inlineStr">
        <is>
          <t>ID295/80R22.5-18PR(152/149M)[G-PRO S]GRIPMASTER无内</t>
        </is>
      </c>
      <c r="B268" s="406" t="n">
        <v>4000</v>
      </c>
      <c r="C268" s="410" t="inlineStr">
        <is>
          <t>南美</t>
        </is>
      </c>
      <c r="D268" s="74">
        <f>MID(A268,FIND("R",A268)+1,4)</f>
        <v/>
      </c>
      <c r="E268" s="408">
        <f>_xlfn.XLOOKUP(A268,'7月排产计划'!G:G,'7月排产计划'!B:B)</f>
        <v/>
      </c>
      <c r="F268" s="69">
        <f>E268&amp;D268&amp;"寸"</f>
        <v/>
      </c>
      <c r="G268" s="408" t="inlineStr">
        <is>
          <t>全钢</t>
        </is>
      </c>
      <c r="H268" s="74">
        <f>D268&amp;G268</f>
        <v/>
      </c>
    </row>
    <row r="269">
      <c r="A269" s="421" t="inlineStr">
        <is>
          <t>ID295/80R22.5-18PR(152/149M)[RF45]RODOFORT无内</t>
        </is>
      </c>
      <c r="B269" s="406" t="n">
        <v>150</v>
      </c>
      <c r="C269" s="410" t="inlineStr">
        <is>
          <t>南美</t>
        </is>
      </c>
      <c r="D269" s="74">
        <f>MID(A269,FIND("R",A269)+1,4)</f>
        <v/>
      </c>
      <c r="E269" s="408">
        <f>_xlfn.XLOOKUP(A269,'7月排产计划'!G:G,'7月排产计划'!B:B)</f>
        <v/>
      </c>
      <c r="F269" s="69">
        <f>E269&amp;D269&amp;"寸"</f>
        <v/>
      </c>
      <c r="G269" s="408" t="inlineStr">
        <is>
          <t>全钢</t>
        </is>
      </c>
      <c r="H269" s="74">
        <f>D269&amp;G269</f>
        <v/>
      </c>
    </row>
    <row r="270">
      <c r="A270" s="421" t="inlineStr">
        <is>
          <t>ID295/80R22.5-18PR(152/149M)[TUCSON A]STRYKER无内</t>
        </is>
      </c>
      <c r="B270" s="406" t="n">
        <v>8000</v>
      </c>
      <c r="C270" s="410" t="inlineStr">
        <is>
          <t>南美</t>
        </is>
      </c>
      <c r="D270" s="74">
        <f>MID(A270,FIND("R",A270)+1,4)</f>
        <v/>
      </c>
      <c r="E270" s="408">
        <f>_xlfn.XLOOKUP(A270,'7月排产计划'!G:G,'7月排产计划'!B:B)</f>
        <v/>
      </c>
      <c r="F270" s="69">
        <f>E270&amp;D270&amp;"寸"</f>
        <v/>
      </c>
      <c r="G270" s="408" t="inlineStr">
        <is>
          <t>全钢</t>
        </is>
      </c>
      <c r="H270" s="74">
        <f>D270&amp;G270</f>
        <v/>
      </c>
    </row>
    <row r="271">
      <c r="A271" s="421" t="inlineStr">
        <is>
          <t>ID295/80R22.5-18PR(152/149M)[TUCSON D]STRYKER无内</t>
        </is>
      </c>
      <c r="B271" s="406" t="n">
        <v>120</v>
      </c>
      <c r="C271" s="410" t="inlineStr">
        <is>
          <t>南美</t>
        </is>
      </c>
      <c r="D271" s="74">
        <f>MID(A271,FIND("R",A271)+1,4)</f>
        <v/>
      </c>
      <c r="E271" s="408">
        <f>_xlfn.XLOOKUP(A271,'7月排产计划'!G:G,'7月排产计划'!B:B)</f>
        <v/>
      </c>
      <c r="F271" s="69">
        <f>E271&amp;D271&amp;"寸"</f>
        <v/>
      </c>
      <c r="G271" s="408" t="inlineStr">
        <is>
          <t>全钢</t>
        </is>
      </c>
      <c r="H271" s="74">
        <f>D271&amp;G271</f>
        <v/>
      </c>
    </row>
    <row r="272">
      <c r="A272" s="421" t="inlineStr">
        <is>
          <t>ID295/80R22.5-18PR(152/149M)[WDR1]威狮无内</t>
        </is>
      </c>
      <c r="B272" s="406" t="n">
        <v>420</v>
      </c>
      <c r="C272" s="410" t="inlineStr">
        <is>
          <t>南美</t>
        </is>
      </c>
      <c r="D272" s="74">
        <f>MID(A272,FIND("R",A272)+1,4)</f>
        <v/>
      </c>
      <c r="E272" s="408">
        <f>_xlfn.XLOOKUP(A272,'7月排产计划'!G:G,'7月排产计划'!B:B)</f>
        <v/>
      </c>
      <c r="F272" s="69">
        <f>E272&amp;D272&amp;"寸"</f>
        <v/>
      </c>
      <c r="G272" s="408" t="inlineStr">
        <is>
          <t>全钢</t>
        </is>
      </c>
      <c r="H272" s="74">
        <f>D272&amp;G272</f>
        <v/>
      </c>
    </row>
    <row r="273">
      <c r="A273" s="421" t="inlineStr">
        <is>
          <t>ID295/80R22.5-18PR(154/149M)[BRA06 PRO]BRANSALES无内</t>
        </is>
      </c>
      <c r="B273" s="406" t="n">
        <v>360</v>
      </c>
      <c r="C273" s="410" t="inlineStr">
        <is>
          <t>南美</t>
        </is>
      </c>
      <c r="D273" s="74">
        <f>MID(A273,FIND("R",A273)+1,4)</f>
        <v/>
      </c>
      <c r="E273" s="408">
        <f>_xlfn.XLOOKUP(A273,'7月排产计划'!G:G,'7月排产计划'!B:B)</f>
        <v/>
      </c>
      <c r="F273" s="69">
        <f>E273&amp;D273&amp;"寸"</f>
        <v/>
      </c>
      <c r="G273" s="408" t="inlineStr">
        <is>
          <t>全钢</t>
        </is>
      </c>
      <c r="H273" s="74">
        <f>D273&amp;G273</f>
        <v/>
      </c>
    </row>
    <row r="274">
      <c r="A274" s="421" t="inlineStr">
        <is>
          <t>ID315/80R22.5-20PR(157/154K)[CM958]雅度无内</t>
        </is>
      </c>
      <c r="B274" s="406" t="n">
        <v>5000</v>
      </c>
      <c r="C274" s="410" t="inlineStr">
        <is>
          <t>亚</t>
        </is>
      </c>
      <c r="D274" s="74">
        <f>MID(A274,FIND("R",A274)+1,4)</f>
        <v/>
      </c>
      <c r="E274" s="408">
        <f>_xlfn.XLOOKUP(A274,'7月排产计划'!G:G,'7月排产计划'!B:B)</f>
        <v/>
      </c>
      <c r="F274" s="69">
        <f>E274&amp;D274&amp;"寸"</f>
        <v/>
      </c>
      <c r="G274" s="408" t="inlineStr">
        <is>
          <t>全钢</t>
        </is>
      </c>
      <c r="H274" s="74">
        <f>D274&amp;G274</f>
        <v/>
      </c>
    </row>
    <row r="275">
      <c r="A275" s="421" t="inlineStr">
        <is>
          <t>ID315/80R22.5-20PR(157/154K)[CR926B]威狮无内</t>
        </is>
      </c>
      <c r="B275" s="406" t="n">
        <v>120</v>
      </c>
      <c r="C275" s="410" t="inlineStr">
        <is>
          <t>非</t>
        </is>
      </c>
      <c r="D275" s="74">
        <f>MID(A275,FIND("R",A275)+1,4)</f>
        <v/>
      </c>
      <c r="E275" s="408">
        <f>_xlfn.XLOOKUP(A275,'7月排产计划'!G:G,'7月排产计划'!B:B)</f>
        <v/>
      </c>
      <c r="F275" s="69">
        <f>E275&amp;D275&amp;"寸"</f>
        <v/>
      </c>
      <c r="G275" s="408" t="inlineStr">
        <is>
          <t>全钢</t>
        </is>
      </c>
      <c r="H275" s="74">
        <f>D275&amp;G275</f>
        <v/>
      </c>
    </row>
    <row r="276">
      <c r="A276" s="421" t="inlineStr">
        <is>
          <t>ID315/80R22.5-20PR(157/154K)[HCC1 PlusX]SUPERMAX ECO无内</t>
        </is>
      </c>
      <c r="B276" s="406" t="n">
        <v>300</v>
      </c>
      <c r="C276" s="410" t="inlineStr">
        <is>
          <t>北美</t>
        </is>
      </c>
      <c r="D276" s="74">
        <f>MID(A276,FIND("R",A276)+1,4)</f>
        <v/>
      </c>
      <c r="E276" s="408">
        <f>_xlfn.XLOOKUP(A276,'7月排产计划'!G:G,'7月排产计划'!B:B)</f>
        <v/>
      </c>
      <c r="F276" s="69">
        <f>E276&amp;D276&amp;"寸"</f>
        <v/>
      </c>
      <c r="G276" s="408" t="inlineStr">
        <is>
          <t>全钢</t>
        </is>
      </c>
      <c r="H276" s="74">
        <f>D276&amp;G276</f>
        <v/>
      </c>
    </row>
    <row r="277">
      <c r="A277" s="421" t="inlineStr">
        <is>
          <t>ID315/80R22.5-20PR(161/157K)[I-31M]IRONMAN无内</t>
        </is>
      </c>
      <c r="B277" s="406" t="n">
        <v>900</v>
      </c>
      <c r="C277" s="410" t="inlineStr">
        <is>
          <t>北美</t>
        </is>
      </c>
      <c r="D277" s="74">
        <f>MID(A277,FIND("R",A277)+1,4)</f>
        <v/>
      </c>
      <c r="E277" s="408">
        <f>_xlfn.XLOOKUP(A277,'7月排产计划'!G:G,'7月排产计划'!B:B)</f>
        <v/>
      </c>
      <c r="F277" s="69">
        <f>E277&amp;D277&amp;"寸"</f>
        <v/>
      </c>
      <c r="G277" s="408" t="inlineStr">
        <is>
          <t>全钢</t>
        </is>
      </c>
      <c r="H277" s="74">
        <f>D277&amp;G277</f>
        <v/>
      </c>
    </row>
    <row r="278">
      <c r="A278" s="421" t="inlineStr">
        <is>
          <t>ID315/80R22.5-20PR(161/157K)[I-52A]IRONMAN无内</t>
        </is>
      </c>
      <c r="B278" s="406" t="n">
        <v>1400</v>
      </c>
      <c r="C278" s="410" t="inlineStr">
        <is>
          <t>北美</t>
        </is>
      </c>
      <c r="D278" s="74">
        <f>MID(A278,FIND("R",A278)+1,4)</f>
        <v/>
      </c>
      <c r="E278" s="408">
        <f>_xlfn.XLOOKUP(A278,'7月排产计划'!G:G,'7月排产计划'!B:B)</f>
        <v/>
      </c>
      <c r="F278" s="69">
        <f>E278&amp;D278&amp;"寸"</f>
        <v/>
      </c>
      <c r="G278" s="408" t="inlineStr">
        <is>
          <t>全钢</t>
        </is>
      </c>
      <c r="H278" s="74">
        <f>D278&amp;G278</f>
        <v/>
      </c>
    </row>
    <row r="279">
      <c r="A279" s="421" t="inlineStr">
        <is>
          <t>ID315/80R22.5-20PR(161/157K)[M-TRAC MS]MASTERTRACK无内</t>
        </is>
      </c>
      <c r="B279" s="406" t="n">
        <v>750</v>
      </c>
      <c r="C279" s="410" t="inlineStr">
        <is>
          <t>北美</t>
        </is>
      </c>
      <c r="D279" s="74">
        <f>MID(A279,FIND("R",A279)+1,4)</f>
        <v/>
      </c>
      <c r="E279" s="408">
        <f>_xlfn.XLOOKUP(A279,'7月排产计划'!G:G,'7月排产计划'!B:B)</f>
        <v/>
      </c>
      <c r="F279" s="69">
        <f>E279&amp;D279&amp;"寸"</f>
        <v/>
      </c>
      <c r="G279" s="408" t="inlineStr">
        <is>
          <t>全钢</t>
        </is>
      </c>
      <c r="H279" s="74">
        <f>D279&amp;G279</f>
        <v/>
      </c>
    </row>
    <row r="280">
      <c r="A280" s="426" t="inlineStr">
        <is>
          <t>ID315/80R22.5-20PR(161/157L)[Strong Guard H-RD]HERCULES无内</t>
        </is>
      </c>
      <c r="B280" s="406" t="n">
        <v>180</v>
      </c>
      <c r="C280" s="410" t="inlineStr">
        <is>
          <t>北美</t>
        </is>
      </c>
      <c r="D280" s="74">
        <f>MID(A280,FIND("R",A280)+1,4)</f>
        <v/>
      </c>
      <c r="E280" s="408">
        <f>_xlfn.XLOOKUP(A280,'7月排产计划'!G:G,'7月排产计划'!B:B)</f>
        <v/>
      </c>
      <c r="F280" s="69">
        <f>E280&amp;D280&amp;"寸"</f>
        <v/>
      </c>
      <c r="G280" s="408" t="inlineStr">
        <is>
          <t>全钢</t>
        </is>
      </c>
      <c r="H280" s="74">
        <f>D280&amp;G280</f>
        <v/>
      </c>
    </row>
    <row r="281">
      <c r="A281" s="426" t="inlineStr">
        <is>
          <t>ID315/80R22.5-20PR(161/157K)[VA996]VITOUR无内</t>
        </is>
      </c>
      <c r="B281" s="406" t="n">
        <v>300</v>
      </c>
      <c r="C281" s="410" t="inlineStr">
        <is>
          <t>亚</t>
        </is>
      </c>
      <c r="D281" s="74">
        <f>MID(A281,FIND("R",A281)+1,4)</f>
        <v/>
      </c>
      <c r="E281" s="408">
        <f>_xlfn.XLOOKUP(A281,'7月排产计划'!G:G,'7月排产计划'!B:B)</f>
        <v/>
      </c>
      <c r="F281" s="69">
        <f>E281&amp;D281&amp;"寸"</f>
        <v/>
      </c>
      <c r="G281" s="408" t="inlineStr">
        <is>
          <t>全钢</t>
        </is>
      </c>
      <c r="H281" s="74">
        <f>D281&amp;G281</f>
        <v/>
      </c>
    </row>
    <row r="282">
      <c r="A282" s="426" t="inlineStr">
        <is>
          <t>ID325/95R24-22PR(162/160F)[CB972]威狮无内</t>
        </is>
      </c>
      <c r="B282" s="406" t="n">
        <v>600</v>
      </c>
      <c r="C282" s="410" t="inlineStr">
        <is>
          <t>亚</t>
        </is>
      </c>
      <c r="D282" s="74">
        <f>MID(A282,FIND("R",A282)+1,2)</f>
        <v/>
      </c>
      <c r="E282" s="408">
        <f>_xlfn.XLOOKUP(A282,'7月排产计划'!G:G,'7月排产计划'!B:B)</f>
        <v/>
      </c>
      <c r="F282" s="69">
        <f>E282&amp;D282&amp;"寸"</f>
        <v/>
      </c>
      <c r="G282" s="408" t="inlineStr">
        <is>
          <t>全钢</t>
        </is>
      </c>
      <c r="H282" s="74">
        <f>D282&amp;G282</f>
        <v/>
      </c>
    </row>
    <row r="283">
      <c r="A283" s="426" t="inlineStr">
        <is>
          <t>ID325/95R24-22PR(162/160K)[AZ828]威狮无内</t>
        </is>
      </c>
      <c r="B283" s="406" t="n">
        <v>250</v>
      </c>
      <c r="C283" s="410" t="inlineStr">
        <is>
          <t>非</t>
        </is>
      </c>
      <c r="D283" s="74">
        <f>MID(A283,FIND("R",A283)+1,2)</f>
        <v/>
      </c>
      <c r="E283" s="408">
        <f>_xlfn.XLOOKUP(A283,'7月排产计划'!G:G,'7月排产计划'!B:B)</f>
        <v/>
      </c>
      <c r="F283" s="69">
        <f>E283&amp;D283&amp;"寸"</f>
        <v/>
      </c>
      <c r="G283" s="408" t="inlineStr">
        <is>
          <t>全钢</t>
        </is>
      </c>
      <c r="H283" s="74">
        <f>D283&amp;G283</f>
        <v/>
      </c>
    </row>
    <row r="284">
      <c r="A284" s="426" t="inlineStr">
        <is>
          <t>ID325/95R24-22PR(162/160K)[MD752]TRAZANO(全诺)无内</t>
        </is>
      </c>
      <c r="B284" s="406" t="n">
        <v>100</v>
      </c>
      <c r="C284" s="410" t="inlineStr">
        <is>
          <t>非</t>
        </is>
      </c>
      <c r="D284" s="74">
        <f>MID(A284,FIND("R",A284)+1,2)</f>
        <v/>
      </c>
      <c r="E284" s="408">
        <f>_xlfn.XLOOKUP(A284,'7月排产计划'!G:G,'7月排产计划'!B:B)</f>
        <v/>
      </c>
      <c r="F284" s="69">
        <f>E284&amp;D284&amp;"寸"</f>
        <v/>
      </c>
      <c r="G284" s="408" t="inlineStr">
        <is>
          <t>全钢</t>
        </is>
      </c>
      <c r="H284" s="74">
        <f>D284&amp;G284</f>
        <v/>
      </c>
    </row>
    <row r="285">
      <c r="A285" s="426" t="inlineStr">
        <is>
          <t>ID325/95R24-22PR(162/160K)[MD752]威狮无内</t>
        </is>
      </c>
      <c r="B285" s="406" t="n">
        <v>480</v>
      </c>
      <c r="C285" s="410" t="inlineStr">
        <is>
          <t>非</t>
        </is>
      </c>
      <c r="D285" s="74">
        <f>MID(A285,FIND("R",A285)+1,2)</f>
        <v/>
      </c>
      <c r="E285" s="408">
        <f>_xlfn.XLOOKUP(A285,'7月排产计划'!G:G,'7月排产计划'!B:B)</f>
        <v/>
      </c>
      <c r="F285" s="69">
        <f>E285&amp;D285&amp;"寸"</f>
        <v/>
      </c>
      <c r="G285" s="408" t="inlineStr">
        <is>
          <t>全钢</t>
        </is>
      </c>
      <c r="H285" s="74">
        <f>D285&amp;G285</f>
        <v/>
      </c>
    </row>
    <row r="286">
      <c r="A286" s="426" t="inlineStr">
        <is>
          <t>ID385/65R22.5-20PR(160K)[HA4 Plus]SUPERMAX无内</t>
        </is>
      </c>
      <c r="B286" s="406" t="n">
        <v>320</v>
      </c>
      <c r="C286" s="410" t="inlineStr">
        <is>
          <t>北美</t>
        </is>
      </c>
      <c r="D286" s="74">
        <f>MID(A286,FIND("R",A286)+1,4)</f>
        <v/>
      </c>
      <c r="E286" s="408">
        <f>_xlfn.XLOOKUP(A286,'7月排产计划'!G:G,'7月排产计划'!B:B)</f>
        <v/>
      </c>
      <c r="F286" s="69">
        <f>E286&amp;D286&amp;"寸"</f>
        <v/>
      </c>
      <c r="G286" s="408" t="inlineStr">
        <is>
          <t>全钢</t>
        </is>
      </c>
      <c r="H286" s="74">
        <f>D286&amp;G286</f>
        <v/>
      </c>
    </row>
    <row r="287">
      <c r="A287" s="426" t="inlineStr">
        <is>
          <t>ID385/65R22.5-20PR(160K)[I-42W]IRONMAN无内</t>
        </is>
      </c>
      <c r="B287" s="406" t="n">
        <v>320</v>
      </c>
      <c r="C287" s="410" t="inlineStr">
        <is>
          <t>北美</t>
        </is>
      </c>
      <c r="D287" s="74">
        <f>MID(A287,FIND("R",A287)+1,4)</f>
        <v/>
      </c>
      <c r="E287" s="408">
        <f>_xlfn.XLOOKUP(A287,'7月排产计划'!G:G,'7月排产计划'!B:B)</f>
        <v/>
      </c>
      <c r="F287" s="69">
        <f>E287&amp;D287&amp;"寸"</f>
        <v/>
      </c>
      <c r="G287" s="408" t="inlineStr">
        <is>
          <t>全钢</t>
        </is>
      </c>
      <c r="H287" s="74">
        <f>D287&amp;G287</f>
        <v/>
      </c>
    </row>
    <row r="288">
      <c r="A288" s="426" t="inlineStr">
        <is>
          <t>ID385/65R22.5-20PR(160K)[M-TRAC MSF]MASTERTRACK无内</t>
        </is>
      </c>
      <c r="B288" s="406" t="n">
        <v>800</v>
      </c>
      <c r="C288" s="410" t="inlineStr">
        <is>
          <t>北美</t>
        </is>
      </c>
      <c r="D288" s="74">
        <f>MID(A288,FIND("R",A288)+1,4)</f>
        <v/>
      </c>
      <c r="E288" s="408">
        <f>_xlfn.XLOOKUP(A288,'7月排产计划'!G:G,'7月排产计划'!B:B)</f>
        <v/>
      </c>
      <c r="F288" s="69">
        <f>E288&amp;D288&amp;"寸"</f>
        <v/>
      </c>
      <c r="G288" s="408" t="inlineStr">
        <is>
          <t>全钢</t>
        </is>
      </c>
      <c r="H288" s="74">
        <f>D288&amp;G288</f>
        <v/>
      </c>
    </row>
    <row r="289">
      <c r="A289" s="426" t="inlineStr">
        <is>
          <t>ID385/65R22.5-20PR(160K)[Strong Guard H-MW]HERCULES无内</t>
        </is>
      </c>
      <c r="B289" s="406" t="n">
        <v>820</v>
      </c>
      <c r="C289" s="410" t="inlineStr">
        <is>
          <t>北美</t>
        </is>
      </c>
      <c r="D289" s="74">
        <f>MID(A289,FIND("R",A289)+1,4)</f>
        <v/>
      </c>
      <c r="E289" s="408">
        <f>_xlfn.XLOOKUP(A289,'7月排产计划'!G:G,'7月排产计划'!B:B)</f>
        <v/>
      </c>
      <c r="F289" s="69">
        <f>E289&amp;D289&amp;"寸"</f>
        <v/>
      </c>
      <c r="G289" s="408" t="inlineStr">
        <is>
          <t>全钢</t>
        </is>
      </c>
      <c r="H289" s="74">
        <f>D289&amp;G289</f>
        <v/>
      </c>
    </row>
    <row r="290">
      <c r="A290" s="426" t="inlineStr">
        <is>
          <t>ID385/65R22.5-20PR(160K)[VA916]VITOUR无内</t>
        </is>
      </c>
      <c r="B290" s="406" t="n">
        <v>500</v>
      </c>
      <c r="C290" s="410" t="inlineStr">
        <is>
          <t>亚</t>
        </is>
      </c>
      <c r="D290" s="74">
        <f>MID(A290,FIND("R",A290)+1,4)</f>
        <v/>
      </c>
      <c r="E290" s="408">
        <f>_xlfn.XLOOKUP(A290,'7月排产计划'!G:G,'7月排产计划'!B:B)</f>
        <v/>
      </c>
      <c r="F290" s="69">
        <f>E290&amp;D290&amp;"寸"</f>
        <v/>
      </c>
      <c r="G290" s="408" t="inlineStr">
        <is>
          <t>全钢</t>
        </is>
      </c>
      <c r="H290" s="74">
        <f>D290&amp;G290</f>
        <v/>
      </c>
    </row>
    <row r="291">
      <c r="A291" s="426" t="inlineStr">
        <is>
          <t>ID425/65R22.5-20PR(165K)[HA4 Plus]SUPERMAX无内</t>
        </is>
      </c>
      <c r="B291" s="406" t="n">
        <v>280</v>
      </c>
      <c r="C291" s="410" t="inlineStr">
        <is>
          <t>北美</t>
        </is>
      </c>
      <c r="D291" s="74">
        <f>MID(A291,FIND("R",A291)+1,4)</f>
        <v/>
      </c>
      <c r="E291" s="408">
        <f>_xlfn.XLOOKUP(A291,'7月排产计划'!G:G,'7月排产计划'!B:B)</f>
        <v/>
      </c>
      <c r="F291" s="69">
        <f>E291&amp;D291&amp;"寸"</f>
        <v/>
      </c>
      <c r="G291" s="408" t="inlineStr">
        <is>
          <t>全钢</t>
        </is>
      </c>
      <c r="H291" s="74">
        <f>D291&amp;G291</f>
        <v/>
      </c>
    </row>
    <row r="292">
      <c r="A292" s="426" t="inlineStr">
        <is>
          <t>ID425/65R22.5-20PR(165K)[I-42W]IRONMAN无内</t>
        </is>
      </c>
      <c r="B292" s="406" t="n">
        <v>500</v>
      </c>
      <c r="C292" s="410" t="inlineStr">
        <is>
          <t>北美</t>
        </is>
      </c>
      <c r="D292" s="74">
        <f>MID(A292,FIND("R",A292)+1,4)</f>
        <v/>
      </c>
      <c r="E292" s="408">
        <f>_xlfn.XLOOKUP(A292,'7月排产计划'!G:G,'7月排产计划'!B:B)</f>
        <v/>
      </c>
      <c r="F292" s="69">
        <f>E292&amp;D292&amp;"寸"</f>
        <v/>
      </c>
      <c r="G292" s="408" t="inlineStr">
        <is>
          <t>全钢</t>
        </is>
      </c>
      <c r="H292" s="74">
        <f>D292&amp;G292</f>
        <v/>
      </c>
    </row>
    <row r="293">
      <c r="A293" s="426" t="inlineStr">
        <is>
          <t>ID425/65R22.5-20PR(165K)[M-TRAC MSF]MASTERTRACK无内</t>
        </is>
      </c>
      <c r="B293" s="406" t="n">
        <v>500</v>
      </c>
      <c r="C293" s="410" t="inlineStr">
        <is>
          <t>北美</t>
        </is>
      </c>
      <c r="D293" s="74">
        <f>MID(A293,FIND("R",A293)+1,4)</f>
        <v/>
      </c>
      <c r="E293" s="408">
        <f>_xlfn.XLOOKUP(A293,'7月排产计划'!G:G,'7月排产计划'!B:B)</f>
        <v/>
      </c>
      <c r="F293" s="69">
        <f>E293&amp;D293&amp;"寸"</f>
        <v/>
      </c>
      <c r="G293" s="408" t="inlineStr">
        <is>
          <t>全钢</t>
        </is>
      </c>
      <c r="H293" s="74">
        <f>D293&amp;G293</f>
        <v/>
      </c>
    </row>
    <row r="294">
      <c r="A294" s="426" t="inlineStr">
        <is>
          <t>ID425/65R22.5-20PR(165K)[Strong Guard H-MW]HERCULES无内</t>
        </is>
      </c>
      <c r="B294" s="406" t="n">
        <v>920</v>
      </c>
      <c r="C294" s="410" t="inlineStr">
        <is>
          <t>北美</t>
        </is>
      </c>
      <c r="D294" s="74">
        <f>MID(A294,FIND("R",A294)+1,4)</f>
        <v/>
      </c>
      <c r="E294" s="408">
        <f>_xlfn.XLOOKUP(A294,'7月排产计划'!G:G,'7月排产计划'!B:B)</f>
        <v/>
      </c>
      <c r="F294" s="69">
        <f>E294&amp;D294&amp;"寸"</f>
        <v/>
      </c>
      <c r="G294" s="408" t="inlineStr">
        <is>
          <t>全钢</t>
        </is>
      </c>
      <c r="H294" s="74">
        <f>D294&amp;G294</f>
        <v/>
      </c>
    </row>
    <row r="295">
      <c r="A295" s="426" t="inlineStr">
        <is>
          <t>ID425/65R22.5-20PR(165K)[VA916]VITOUR无内</t>
        </is>
      </c>
      <c r="B295" s="406" t="n">
        <v>500</v>
      </c>
      <c r="C295" s="410" t="inlineStr">
        <is>
          <t>亚</t>
        </is>
      </c>
      <c r="D295" s="74">
        <f>MID(A295,FIND("R",A295)+1,4)</f>
        <v/>
      </c>
      <c r="E295" s="408">
        <f>_xlfn.XLOOKUP(A295,'7月排产计划'!G:G,'7月排产计划'!B:B)</f>
        <v/>
      </c>
      <c r="F295" s="69">
        <f>E295&amp;D295&amp;"寸"</f>
        <v/>
      </c>
      <c r="G295" s="408" t="inlineStr">
        <is>
          <t>全钢</t>
        </is>
      </c>
      <c r="H295" s="74">
        <f>D295&amp;G295</f>
        <v/>
      </c>
    </row>
    <row r="296">
      <c r="A296" s="426" t="inlineStr">
        <is>
          <t>ID445/50R22.5-20PR(161L)[AD755]ARISUN无内</t>
        </is>
      </c>
      <c r="B296" s="406" t="n">
        <v>160</v>
      </c>
      <c r="C296" s="410" t="inlineStr">
        <is>
          <t>北美</t>
        </is>
      </c>
      <c r="D296" s="74">
        <f>MID(A296,FIND("R",A296)+1,4)</f>
        <v/>
      </c>
      <c r="E296" s="408">
        <f>_xlfn.XLOOKUP(A296,'7月排产计划'!G:G,'7月排产计划'!B:B)</f>
        <v/>
      </c>
      <c r="F296" s="69">
        <f>E296&amp;D296&amp;"寸"</f>
        <v/>
      </c>
      <c r="G296" s="408" t="inlineStr">
        <is>
          <t>全钢</t>
        </is>
      </c>
      <c r="H296" s="74">
        <f>D296&amp;G296</f>
        <v/>
      </c>
    </row>
    <row r="297">
      <c r="A297" s="426" t="inlineStr">
        <is>
          <t>ID445/50R22.5-20PR(161L)[AD781]GOODRIDE(好运)无内</t>
        </is>
      </c>
      <c r="B297" s="406" t="n">
        <v>270</v>
      </c>
      <c r="C297" s="410" t="inlineStr">
        <is>
          <t>北美</t>
        </is>
      </c>
      <c r="D297" s="74">
        <f>MID(A297,FIND("R",A297)+1,4)</f>
        <v/>
      </c>
      <c r="E297" s="408">
        <f>_xlfn.XLOOKUP(A297,'7月排产计划'!G:G,'7月排产计划'!B:B)</f>
        <v/>
      </c>
      <c r="F297" s="69">
        <f>E297&amp;D297&amp;"寸"</f>
        <v/>
      </c>
      <c r="G297" s="408" t="inlineStr">
        <is>
          <t>全钢</t>
        </is>
      </c>
      <c r="H297" s="74">
        <f>D297&amp;G297</f>
        <v/>
      </c>
    </row>
    <row r="298">
      <c r="A298" s="426" t="inlineStr">
        <is>
          <t>ID445/50R22.5-20PR(161L)[AT566]GOODRIDE(好运)无内</t>
        </is>
      </c>
      <c r="B298" s="406" t="n">
        <v>460</v>
      </c>
      <c r="C298" s="410" t="inlineStr">
        <is>
          <t>北美</t>
        </is>
      </c>
      <c r="D298" s="74">
        <f>MID(A298,FIND("R",A298)+1,4)</f>
        <v/>
      </c>
      <c r="E298" s="408">
        <f>_xlfn.XLOOKUP(A298,'7月排产计划'!G:G,'7月排产计划'!B:B)</f>
        <v/>
      </c>
      <c r="F298" s="69">
        <f>E298&amp;D298&amp;"寸"</f>
        <v/>
      </c>
      <c r="G298" s="408" t="inlineStr">
        <is>
          <t>全钢</t>
        </is>
      </c>
      <c r="H298" s="74">
        <f>D298&amp;G298</f>
        <v/>
      </c>
    </row>
    <row r="299">
      <c r="A299" s="426" t="inlineStr">
        <is>
          <t>ID445/50R22.5-20PR(161L)[AT566]TRAZANO(全诺)无内</t>
        </is>
      </c>
      <c r="B299" s="406" t="n">
        <v>550</v>
      </c>
      <c r="C299" s="410" t="inlineStr">
        <is>
          <t>北美</t>
        </is>
      </c>
      <c r="D299" s="74">
        <f>MID(A299,FIND("R",A299)+1,4)</f>
        <v/>
      </c>
      <c r="E299" s="408">
        <f>_xlfn.XLOOKUP(A299,'7月排产计划'!G:G,'7月排产计划'!B:B)</f>
        <v/>
      </c>
      <c r="F299" s="69">
        <f>E299&amp;D299&amp;"寸"</f>
        <v/>
      </c>
      <c r="G299" s="408" t="inlineStr">
        <is>
          <t>全钢</t>
        </is>
      </c>
      <c r="H299" s="74">
        <f>D299&amp;G299</f>
        <v/>
      </c>
    </row>
    <row r="300">
      <c r="A300" s="426" t="inlineStr">
        <is>
          <t>ID445/50R22.5-20PR(161L)[AT570]ARISUN无内</t>
        </is>
      </c>
      <c r="B300" s="406" t="n">
        <v>180</v>
      </c>
      <c r="C300" s="410" t="inlineStr">
        <is>
          <t>北美</t>
        </is>
      </c>
      <c r="D300" s="74">
        <f>MID(A300,FIND("R",A300)+1,4)</f>
        <v/>
      </c>
      <c r="E300" s="408">
        <f>_xlfn.XLOOKUP(A300,'7月排产计划'!G:G,'7月排产计划'!B:B)</f>
        <v/>
      </c>
      <c r="F300" s="69">
        <f>E300&amp;D300&amp;"寸"</f>
        <v/>
      </c>
      <c r="G300" s="408" t="inlineStr">
        <is>
          <t>全钢</t>
        </is>
      </c>
      <c r="H300" s="74">
        <f>D300&amp;G300</f>
        <v/>
      </c>
    </row>
    <row r="301">
      <c r="A301" s="426" t="inlineStr">
        <is>
          <t>ID445/50R22.5-20PR(161L)[HT2 Plus]SUPERMAX无内</t>
        </is>
      </c>
      <c r="B301" s="406" t="n">
        <v>200</v>
      </c>
      <c r="C301" s="410" t="inlineStr">
        <is>
          <t>北美</t>
        </is>
      </c>
      <c r="D301" s="74">
        <f>MID(A301,FIND("R",A301)+1,4)</f>
        <v/>
      </c>
      <c r="E301" s="408">
        <f>_xlfn.XLOOKUP(A301,'7月排产计划'!G:G,'7月排产计划'!B:B)</f>
        <v/>
      </c>
      <c r="F301" s="69">
        <f>E301&amp;D301&amp;"寸"</f>
        <v/>
      </c>
      <c r="G301" s="408" t="inlineStr">
        <is>
          <t>全钢</t>
        </is>
      </c>
      <c r="H301" s="74">
        <f>D301&amp;G301</f>
        <v/>
      </c>
    </row>
    <row r="302">
      <c r="A302" s="426" t="inlineStr">
        <is>
          <t>ID445/65R22.5-20PR(169K)[I-42W]IRONMAN无内</t>
        </is>
      </c>
      <c r="B302" s="406" t="n">
        <v>360</v>
      </c>
      <c r="C302" s="410" t="inlineStr">
        <is>
          <t>北美</t>
        </is>
      </c>
      <c r="D302" s="74">
        <f>MID(A302,FIND("R",A302)+1,4)</f>
        <v/>
      </c>
      <c r="E302" s="408">
        <f>_xlfn.XLOOKUP(A302,'7月排产计划'!G:G,'7月排产计划'!B:B)</f>
        <v/>
      </c>
      <c r="F302" s="69">
        <f>E302&amp;D302&amp;"寸"</f>
        <v/>
      </c>
      <c r="G302" s="408" t="inlineStr">
        <is>
          <t>全钢</t>
        </is>
      </c>
      <c r="H302" s="74">
        <f>D302&amp;G302</f>
        <v/>
      </c>
    </row>
    <row r="303">
      <c r="A303" s="426" t="inlineStr">
        <is>
          <t>ID10.00R20-18PR(149/146F)[CB332]威狮</t>
        </is>
      </c>
      <c r="B303" s="406" t="n">
        <v>680</v>
      </c>
      <c r="C303" s="410" t="inlineStr">
        <is>
          <t>亚</t>
        </is>
      </c>
      <c r="D303" s="74">
        <f>MID(A303,FIND("R",A303)+1,2)</f>
        <v/>
      </c>
      <c r="E303" s="408">
        <f>_xlfn.XLOOKUP(A303,'7月排产计划'!G:G,'7月排产计划'!B:B)</f>
        <v/>
      </c>
      <c r="F303" s="69">
        <f>E303&amp;D303&amp;"寸"</f>
        <v/>
      </c>
      <c r="G303" s="408" t="inlineStr">
        <is>
          <t>全钢</t>
        </is>
      </c>
      <c r="H303" s="74">
        <f>D303&amp;G303</f>
        <v/>
      </c>
    </row>
    <row r="304">
      <c r="A304" s="426" t="inlineStr">
        <is>
          <t>ID10.00R20-18PR(149/146F)[CB972]威狮</t>
        </is>
      </c>
      <c r="B304" s="406" t="n">
        <v>280</v>
      </c>
      <c r="C304" s="410" t="inlineStr">
        <is>
          <t>亚</t>
        </is>
      </c>
      <c r="D304" s="74">
        <f>MID(A304,FIND("R",A304)+1,2)</f>
        <v/>
      </c>
      <c r="E304" s="408">
        <f>_xlfn.XLOOKUP(A304,'7月排产计划'!G:G,'7月排产计划'!B:B)</f>
        <v/>
      </c>
      <c r="F304" s="69">
        <f>E304&amp;D304&amp;"寸"</f>
        <v/>
      </c>
      <c r="G304" s="408" t="inlineStr">
        <is>
          <t>全钢</t>
        </is>
      </c>
      <c r="H304" s="74">
        <f>D304&amp;G304</f>
        <v/>
      </c>
    </row>
    <row r="305">
      <c r="A305" s="426" t="inlineStr">
        <is>
          <t>ID10.00R20-18PR(149/146F)[MT100]UNITED</t>
        </is>
      </c>
      <c r="B305" s="406" t="n">
        <v>200</v>
      </c>
      <c r="C305" s="410" t="inlineStr">
        <is>
          <t>亚</t>
        </is>
      </c>
      <c r="D305" s="74">
        <f>MID(A305,FIND("R",A305)+1,2)</f>
        <v/>
      </c>
      <c r="E305" s="408">
        <f>_xlfn.XLOOKUP(A305,'7月排产计划'!G:G,'7月排产计划'!B:B)</f>
        <v/>
      </c>
      <c r="F305" s="69">
        <f>E305&amp;D305&amp;"寸"</f>
        <v/>
      </c>
      <c r="G305" s="408" t="inlineStr">
        <is>
          <t>全钢</t>
        </is>
      </c>
      <c r="H305" s="74">
        <f>D305&amp;G305</f>
        <v/>
      </c>
    </row>
    <row r="306">
      <c r="A306" s="426" t="inlineStr">
        <is>
          <t>ID10.00R20-18PR(149/146J)[AZ601]威狮</t>
        </is>
      </c>
      <c r="B306" s="406" t="n">
        <v>1600</v>
      </c>
      <c r="C306" s="410" t="inlineStr">
        <is>
          <t>亚</t>
        </is>
      </c>
      <c r="D306" s="74">
        <f>MID(A306,FIND("R",A306)+1,2)</f>
        <v/>
      </c>
      <c r="E306" s="408">
        <f>_xlfn.XLOOKUP(A306,'7月排产计划'!G:G,'7月排产计划'!B:B)</f>
        <v/>
      </c>
      <c r="F306" s="69">
        <f>E306&amp;D306&amp;"寸"</f>
        <v/>
      </c>
      <c r="G306" s="408" t="inlineStr">
        <is>
          <t>全钢</t>
        </is>
      </c>
      <c r="H306" s="74">
        <f>D306&amp;G306</f>
        <v/>
      </c>
    </row>
    <row r="307">
      <c r="A307" s="426" t="inlineStr">
        <is>
          <t>ID10.00R20-18PR(149/146J)[AZ676]TRAZANO(全诺)</t>
        </is>
      </c>
      <c r="B307" s="406" t="n">
        <v>3800</v>
      </c>
      <c r="C307" s="410" t="inlineStr">
        <is>
          <t>亚</t>
        </is>
      </c>
      <c r="D307" s="74">
        <f>MID(A307,FIND("R",A307)+1,2)</f>
        <v/>
      </c>
      <c r="E307" s="408">
        <f>_xlfn.XLOOKUP(A307,'7月排产计划'!G:G,'7月排产计划'!B:B)</f>
        <v/>
      </c>
      <c r="F307" s="69">
        <f>E307&amp;D307&amp;"寸"</f>
        <v/>
      </c>
      <c r="G307" s="408" t="inlineStr">
        <is>
          <t>全钢</t>
        </is>
      </c>
      <c r="H307" s="74">
        <f>D307&amp;G307</f>
        <v/>
      </c>
    </row>
    <row r="308">
      <c r="A308" s="426" t="inlineStr">
        <is>
          <t>ID10.00R20-18PR(149/146J)[AZ686]GOODRIDE(好运)</t>
        </is>
      </c>
      <c r="B308" s="406" t="n">
        <v>200</v>
      </c>
      <c r="C308" s="410" t="inlineStr">
        <is>
          <t>亚</t>
        </is>
      </c>
      <c r="D308" s="74">
        <f>MID(A308,FIND("R",A308)+1,2)</f>
        <v/>
      </c>
      <c r="E308" s="408">
        <f>_xlfn.XLOOKUP(A308,'7月排产计划'!G:G,'7月排产计划'!B:B)</f>
        <v/>
      </c>
      <c r="F308" s="69">
        <f>E308&amp;D308&amp;"寸"</f>
        <v/>
      </c>
      <c r="G308" s="408" t="inlineStr">
        <is>
          <t>全钢</t>
        </is>
      </c>
      <c r="H308" s="74">
        <f>D308&amp;G308</f>
        <v/>
      </c>
    </row>
    <row r="309">
      <c r="A309" s="426" t="inlineStr">
        <is>
          <t>ID10.00R20-18PR(149/146J)[AZ686]雅度</t>
        </is>
      </c>
      <c r="B309" s="406" t="n">
        <v>220</v>
      </c>
      <c r="C309" s="410" t="inlineStr">
        <is>
          <t>亚</t>
        </is>
      </c>
      <c r="D309" s="74">
        <f>MID(A309,FIND("R",A309)+1,2)</f>
        <v/>
      </c>
      <c r="E309" s="408">
        <f>_xlfn.XLOOKUP(A309,'7月排产计划'!G:G,'7月排产计划'!B:B)</f>
        <v/>
      </c>
      <c r="F309" s="69">
        <f>E309&amp;D309&amp;"寸"</f>
        <v/>
      </c>
      <c r="G309" s="408" t="inlineStr">
        <is>
          <t>全钢</t>
        </is>
      </c>
      <c r="H309" s="74">
        <f>D309&amp;G309</f>
        <v/>
      </c>
    </row>
    <row r="310">
      <c r="A310" s="426" t="inlineStr">
        <is>
          <t>ID10.00R20-18PR(149/146J)[AZ850]朝阳</t>
        </is>
      </c>
      <c r="B310" s="406" t="n">
        <v>380</v>
      </c>
      <c r="C310" s="410" t="inlineStr">
        <is>
          <t>亚</t>
        </is>
      </c>
      <c r="D310" s="74">
        <f>MID(A310,FIND("R",A310)+1,2)</f>
        <v/>
      </c>
      <c r="E310" s="408">
        <f>_xlfn.XLOOKUP(A310,'7月排产计划'!G:G,'7月排产计划'!B:B)</f>
        <v/>
      </c>
      <c r="F310" s="69">
        <f>E310&amp;D310&amp;"寸"</f>
        <v/>
      </c>
      <c r="G310" s="408" t="inlineStr">
        <is>
          <t>全钢</t>
        </is>
      </c>
      <c r="H310" s="74">
        <f>D310&amp;G310</f>
        <v/>
      </c>
    </row>
    <row r="311">
      <c r="A311" s="426" t="inlineStr">
        <is>
          <t>ID10.00R20-18PR(149/146J)[AZ850]雅度</t>
        </is>
      </c>
      <c r="B311" s="406" t="n">
        <v>220</v>
      </c>
      <c r="C311" s="410" t="inlineStr">
        <is>
          <t>亚</t>
        </is>
      </c>
      <c r="D311" s="74">
        <f>MID(A311,FIND("R",A311)+1,2)</f>
        <v/>
      </c>
      <c r="E311" s="408">
        <f>_xlfn.XLOOKUP(A311,'7月排产计划'!G:G,'7月排产计划'!B:B)</f>
        <v/>
      </c>
      <c r="F311" s="69">
        <f>E311&amp;D311&amp;"寸"</f>
        <v/>
      </c>
      <c r="G311" s="408" t="inlineStr">
        <is>
          <t>全钢</t>
        </is>
      </c>
      <c r="H311" s="74">
        <f>D311&amp;G311</f>
        <v/>
      </c>
    </row>
    <row r="312">
      <c r="A312" s="426" t="inlineStr">
        <is>
          <t>ID10.00R20-18PR(149/146J)[BMA08]BRANSALES</t>
        </is>
      </c>
      <c r="B312" s="406" t="n">
        <v>120</v>
      </c>
      <c r="C312" s="410" t="inlineStr">
        <is>
          <t>南美</t>
        </is>
      </c>
      <c r="D312" s="74">
        <f>MID(A312,FIND("R",A312)+1,2)</f>
        <v/>
      </c>
      <c r="E312" s="408">
        <f>_xlfn.XLOOKUP(A312,'7月排产计划'!G:G,'7月排产计划'!B:B)</f>
        <v/>
      </c>
      <c r="F312" s="69">
        <f>E312&amp;D312&amp;"寸"</f>
        <v/>
      </c>
      <c r="G312" s="408" t="inlineStr">
        <is>
          <t>全钢</t>
        </is>
      </c>
      <c r="H312" s="74">
        <f>D312&amp;G312</f>
        <v/>
      </c>
    </row>
    <row r="313">
      <c r="A313" s="426" t="inlineStr">
        <is>
          <t>ID10.00R20-18PR(149/146J)[CM988]威狮</t>
        </is>
      </c>
      <c r="B313" s="406" t="n">
        <v>820</v>
      </c>
      <c r="C313" s="410" t="inlineStr">
        <is>
          <t>亚</t>
        </is>
      </c>
      <c r="D313" s="74">
        <f>MID(A313,FIND("R",A313)+1,2)</f>
        <v/>
      </c>
      <c r="E313" s="408">
        <f>_xlfn.XLOOKUP(A313,'7月排产计划'!G:G,'7月排产计划'!B:B)</f>
        <v/>
      </c>
      <c r="F313" s="69">
        <f>E313&amp;D313&amp;"寸"</f>
        <v/>
      </c>
      <c r="G313" s="408" t="inlineStr">
        <is>
          <t>全钢</t>
        </is>
      </c>
      <c r="H313" s="74">
        <f>D313&amp;G313</f>
        <v/>
      </c>
    </row>
    <row r="314">
      <c r="A314" s="426" t="inlineStr">
        <is>
          <t>ID10.00R20-18PR(149/146J)[CR926]GOODRIDE(好运)</t>
        </is>
      </c>
      <c r="B314" s="406" t="n">
        <v>3800</v>
      </c>
      <c r="C314" s="410" t="inlineStr">
        <is>
          <t>亚</t>
        </is>
      </c>
      <c r="D314" s="74">
        <f>MID(A314,FIND("R",A314)+1,2)</f>
        <v/>
      </c>
      <c r="E314" s="408">
        <f>_xlfn.XLOOKUP(A314,'7月排产计划'!G:G,'7月排产计划'!B:B)</f>
        <v/>
      </c>
      <c r="F314" s="69">
        <f>E314&amp;D314&amp;"寸"</f>
        <v/>
      </c>
      <c r="G314" s="408" t="inlineStr">
        <is>
          <t>全钢</t>
        </is>
      </c>
      <c r="H314" s="74">
        <f>D314&amp;G314</f>
        <v/>
      </c>
    </row>
    <row r="315">
      <c r="A315" s="426" t="inlineStr">
        <is>
          <t>ID10.00R20-18PR(149/146J)[CR926]朝阳</t>
        </is>
      </c>
      <c r="B315" s="406" t="n">
        <v>350</v>
      </c>
      <c r="C315" s="410" t="inlineStr">
        <is>
          <t>亚</t>
        </is>
      </c>
      <c r="D315" s="74">
        <f>MID(A315,FIND("R",A315)+1,2)</f>
        <v/>
      </c>
      <c r="E315" s="408">
        <f>_xlfn.XLOOKUP(A315,'7月排产计划'!G:G,'7月排产计划'!B:B)</f>
        <v/>
      </c>
      <c r="F315" s="69">
        <f>E315&amp;D315&amp;"寸"</f>
        <v/>
      </c>
      <c r="G315" s="408" t="inlineStr">
        <is>
          <t>全钢</t>
        </is>
      </c>
      <c r="H315" s="74">
        <f>D315&amp;G315</f>
        <v/>
      </c>
    </row>
    <row r="316">
      <c r="A316" s="426" t="inlineStr">
        <is>
          <t>ID10.00R20-18PR(149/146J)[CR926]金冠</t>
        </is>
      </c>
      <c r="B316" s="406" t="n">
        <v>1800</v>
      </c>
      <c r="C316" s="410" t="inlineStr">
        <is>
          <t>亚</t>
        </is>
      </c>
      <c r="D316" s="74">
        <f>MID(A316,FIND("R",A316)+1,2)</f>
        <v/>
      </c>
      <c r="E316" s="408">
        <f>_xlfn.XLOOKUP(A316,'7月排产计划'!G:G,'7月排产计划'!B:B)</f>
        <v/>
      </c>
      <c r="F316" s="69">
        <f>E316&amp;D316&amp;"寸"</f>
        <v/>
      </c>
      <c r="G316" s="408" t="inlineStr">
        <is>
          <t>全钢</t>
        </is>
      </c>
      <c r="H316" s="74">
        <f>D316&amp;G316</f>
        <v/>
      </c>
    </row>
    <row r="317">
      <c r="A317" s="426" t="inlineStr">
        <is>
          <t>ID10.00R20-18PR(149/146J)[CR926]威狮</t>
        </is>
      </c>
      <c r="B317" s="406" t="n">
        <v>1700</v>
      </c>
      <c r="C317" s="410" t="inlineStr">
        <is>
          <t>亚</t>
        </is>
      </c>
      <c r="D317" s="74">
        <f>MID(A317,FIND("R",A317)+1,2)</f>
        <v/>
      </c>
      <c r="E317" s="408">
        <f>_xlfn.XLOOKUP(A317,'7月排产计划'!G:G,'7月排产计划'!B:B)</f>
        <v/>
      </c>
      <c r="F317" s="69">
        <f>E317&amp;D317&amp;"寸"</f>
        <v/>
      </c>
      <c r="G317" s="408" t="inlineStr">
        <is>
          <t>全钢</t>
        </is>
      </c>
      <c r="H317" s="74">
        <f>D317&amp;G317</f>
        <v/>
      </c>
    </row>
    <row r="318">
      <c r="A318" s="426" t="inlineStr">
        <is>
          <t>ID10.00R20-18PR(149/146J)[EZ369]雅度</t>
        </is>
      </c>
      <c r="B318" s="406" t="n">
        <v>300</v>
      </c>
      <c r="C318" s="410" t="inlineStr">
        <is>
          <t>亚</t>
        </is>
      </c>
      <c r="D318" s="74">
        <f>MID(A318,FIND("R",A318)+1,2)</f>
        <v/>
      </c>
      <c r="E318" s="408">
        <f>_xlfn.XLOOKUP(A318,'7月排产计划'!G:G,'7月排产计划'!B:B)</f>
        <v/>
      </c>
      <c r="F318" s="69">
        <f>E318&amp;D318&amp;"寸"</f>
        <v/>
      </c>
      <c r="G318" s="408" t="inlineStr">
        <is>
          <t>全钢</t>
        </is>
      </c>
      <c r="H318" s="74">
        <f>D318&amp;G318</f>
        <v/>
      </c>
    </row>
    <row r="319">
      <c r="A319" s="426" t="inlineStr">
        <is>
          <t>ID10.00R20-18PR(149/146J)[MT200]UNITED</t>
        </is>
      </c>
      <c r="B319" s="406" t="n">
        <v>820</v>
      </c>
      <c r="C319" s="410" t="inlineStr">
        <is>
          <t>亚</t>
        </is>
      </c>
      <c r="D319" s="74">
        <f>MID(A319,FIND("R",A319)+1,2)</f>
        <v/>
      </c>
      <c r="E319" s="408">
        <f>_xlfn.XLOOKUP(A319,'7月排产计划'!G:G,'7月排产计划'!B:B)</f>
        <v/>
      </c>
      <c r="F319" s="69">
        <f>E319&amp;D319&amp;"寸"</f>
        <v/>
      </c>
      <c r="G319" s="408" t="inlineStr">
        <is>
          <t>全钢</t>
        </is>
      </c>
      <c r="H319" s="74">
        <f>D319&amp;G319</f>
        <v/>
      </c>
    </row>
    <row r="320">
      <c r="A320" s="426" t="inlineStr">
        <is>
          <t>ID10.00R20-18PR(149/146J)[TZ202]TIANLI</t>
        </is>
      </c>
      <c r="B320" s="406" t="n">
        <v>2700</v>
      </c>
      <c r="C320" s="410" t="inlineStr">
        <is>
          <t>亚</t>
        </is>
      </c>
      <c r="D320" s="74">
        <f>MID(A320,FIND("R",A320)+1,2)</f>
        <v/>
      </c>
      <c r="E320" s="408">
        <f>_xlfn.XLOOKUP(A320,'7月排产计划'!G:G,'7月排产计划'!B:B)</f>
        <v/>
      </c>
      <c r="F320" s="69">
        <f>E320&amp;D320&amp;"寸"</f>
        <v/>
      </c>
      <c r="G320" s="408" t="inlineStr">
        <is>
          <t>全钢</t>
        </is>
      </c>
      <c r="H320" s="74">
        <f>D320&amp;G320</f>
        <v/>
      </c>
    </row>
    <row r="321">
      <c r="A321" s="426" t="inlineStr">
        <is>
          <t>ID10.00R20-18PR(149/146J)[TZ303]TIANLI</t>
        </is>
      </c>
      <c r="B321" s="406" t="n">
        <v>680</v>
      </c>
      <c r="C321" s="410" t="inlineStr">
        <is>
          <t>亚</t>
        </is>
      </c>
      <c r="D321" s="74">
        <f>MID(A321,FIND("R",A321)+1,2)</f>
        <v/>
      </c>
      <c r="E321" s="408">
        <f>_xlfn.XLOOKUP(A321,'7月排产计划'!G:G,'7月排产计划'!B:B)</f>
        <v/>
      </c>
      <c r="F321" s="69">
        <f>E321&amp;D321&amp;"寸"</f>
        <v/>
      </c>
      <c r="G321" s="408" t="inlineStr">
        <is>
          <t>全钢</t>
        </is>
      </c>
      <c r="H321" s="74">
        <f>D321&amp;G321</f>
        <v/>
      </c>
    </row>
    <row r="322">
      <c r="A322" s="426" t="inlineStr">
        <is>
          <t>ID10.00R20-18PR(149/146K)[FOLO.R109]EFFIPLUS</t>
        </is>
      </c>
      <c r="B322" s="406" t="n">
        <v>400</v>
      </c>
      <c r="C322" s="410" t="inlineStr">
        <is>
          <t>亚</t>
        </is>
      </c>
      <c r="D322" s="74">
        <f>MID(A322,FIND("R",A322)+1,2)</f>
        <v/>
      </c>
      <c r="E322" s="408">
        <f>_xlfn.XLOOKUP(A322,'7月排产计划'!G:G,'7月排产计划'!B:B)</f>
        <v/>
      </c>
      <c r="F322" s="69">
        <f>E322&amp;D322&amp;"寸"</f>
        <v/>
      </c>
      <c r="G322" s="408" t="inlineStr">
        <is>
          <t>全钢</t>
        </is>
      </c>
      <c r="H322" s="74">
        <f>D322&amp;G322</f>
        <v/>
      </c>
    </row>
    <row r="323">
      <c r="A323" s="426" t="inlineStr">
        <is>
          <t>ID10.00R20-18PR(149/146K)[MOBY.R856X]EFFIPLUS</t>
        </is>
      </c>
      <c r="B323" s="406" t="n">
        <v>120</v>
      </c>
      <c r="C323" s="410" t="inlineStr">
        <is>
          <t>亚</t>
        </is>
      </c>
      <c r="D323" s="74">
        <f>MID(A323,FIND("R",A323)+1,2)</f>
        <v/>
      </c>
      <c r="E323" s="408">
        <f>_xlfn.XLOOKUP(A323,'7月排产计划'!G:G,'7月排产计划'!B:B)</f>
        <v/>
      </c>
      <c r="F323" s="69">
        <f>E323&amp;D323&amp;"寸"</f>
        <v/>
      </c>
      <c r="G323" s="408" t="inlineStr">
        <is>
          <t>全钢</t>
        </is>
      </c>
      <c r="H323" s="74">
        <f>D323&amp;G323</f>
        <v/>
      </c>
    </row>
    <row r="324">
      <c r="A324" s="426" t="inlineStr">
        <is>
          <t>ID11.00R20-18PR(152/149F)[CB332A]威狮</t>
        </is>
      </c>
      <c r="B324" s="406" t="n">
        <v>700</v>
      </c>
      <c r="C324" s="410" t="inlineStr">
        <is>
          <t>亚</t>
        </is>
      </c>
      <c r="D324" s="74">
        <f>MID(A324,FIND("R",A324)+1,2)</f>
        <v/>
      </c>
      <c r="E324" s="408">
        <f>_xlfn.XLOOKUP(A324,'7月排产计划'!G:G,'7月排产计划'!B:B)</f>
        <v/>
      </c>
      <c r="F324" s="69">
        <f>E324&amp;D324&amp;"寸"</f>
        <v/>
      </c>
      <c r="G324" s="408" t="inlineStr">
        <is>
          <t>全钢</t>
        </is>
      </c>
      <c r="H324" s="74">
        <f>D324&amp;G324</f>
        <v/>
      </c>
    </row>
    <row r="325">
      <c r="A325" s="426" t="inlineStr">
        <is>
          <t>ID11.00R20-18PR(152/149F)[CB972]朝阳</t>
        </is>
      </c>
      <c r="B325" s="406" t="n">
        <v>220</v>
      </c>
      <c r="C325" s="410" t="inlineStr">
        <is>
          <t>亚</t>
        </is>
      </c>
      <c r="D325" s="74">
        <f>MID(A325,FIND("R",A325)+1,2)</f>
        <v/>
      </c>
      <c r="E325" s="408">
        <f>_xlfn.XLOOKUP(A325,'7月排产计划'!G:G,'7月排产计划'!B:B)</f>
        <v/>
      </c>
      <c r="F325" s="69">
        <f>E325&amp;D325&amp;"寸"</f>
        <v/>
      </c>
      <c r="G325" s="408" t="inlineStr">
        <is>
          <t>全钢</t>
        </is>
      </c>
      <c r="H325" s="74">
        <f>D325&amp;G325</f>
        <v/>
      </c>
    </row>
    <row r="326">
      <c r="A326" s="426" t="inlineStr">
        <is>
          <t>ID11.00R20-18PR(152/149F)[CB972]威狮</t>
        </is>
      </c>
      <c r="B326" s="406" t="n">
        <v>900</v>
      </c>
      <c r="C326" s="410" t="inlineStr">
        <is>
          <t>亚</t>
        </is>
      </c>
      <c r="D326" s="74">
        <f>MID(A326,FIND("R",A326)+1,2)</f>
        <v/>
      </c>
      <c r="E326" s="408">
        <f>_xlfn.XLOOKUP(A326,'7月排产计划'!G:G,'7月排产计划'!B:B)</f>
        <v/>
      </c>
      <c r="F326" s="69">
        <f>E326&amp;D326&amp;"寸"</f>
        <v/>
      </c>
      <c r="G326" s="408" t="inlineStr">
        <is>
          <t>全钢</t>
        </is>
      </c>
      <c r="H326" s="74">
        <f>D326&amp;G326</f>
        <v/>
      </c>
    </row>
    <row r="327">
      <c r="A327" s="426" t="inlineStr">
        <is>
          <t>ID11.00R20-18PR(152/149F)[CB972]雅度</t>
        </is>
      </c>
      <c r="B327" s="406" t="n">
        <v>1900</v>
      </c>
      <c r="C327" s="410" t="inlineStr">
        <is>
          <t>亚</t>
        </is>
      </c>
      <c r="D327" s="74">
        <f>MID(A327,FIND("R",A327)+1,2)</f>
        <v/>
      </c>
      <c r="E327" s="408">
        <f>_xlfn.XLOOKUP(A327,'7月排产计划'!G:G,'7月排产计划'!B:B)</f>
        <v/>
      </c>
      <c r="F327" s="69">
        <f>E327&amp;D327&amp;"寸"</f>
        <v/>
      </c>
      <c r="G327" s="408" t="inlineStr">
        <is>
          <t>全钢</t>
        </is>
      </c>
      <c r="H327" s="74">
        <f>D327&amp;G327</f>
        <v/>
      </c>
    </row>
    <row r="328">
      <c r="A328" s="426" t="inlineStr">
        <is>
          <t>ID11.00R20-18PR(152/149F)[EZ330A]雅度</t>
        </is>
      </c>
      <c r="B328" s="406" t="n">
        <v>160</v>
      </c>
      <c r="C328" s="410" t="inlineStr">
        <is>
          <t>亚</t>
        </is>
      </c>
      <c r="D328" s="74">
        <f>MID(A328,FIND("R",A328)+1,2)</f>
        <v/>
      </c>
      <c r="E328" s="408">
        <f>_xlfn.XLOOKUP(A328,'7月排产计划'!G:G,'7月排产计划'!B:B)</f>
        <v/>
      </c>
      <c r="F328" s="69">
        <f>E328&amp;D328&amp;"寸"</f>
        <v/>
      </c>
      <c r="G328" s="408" t="inlineStr">
        <is>
          <t>全钢</t>
        </is>
      </c>
      <c r="H328" s="74">
        <f>D328&amp;G328</f>
        <v/>
      </c>
    </row>
    <row r="329">
      <c r="A329" s="426" t="inlineStr">
        <is>
          <t>ID11.00R20-18PR(152/149F)[TZ101]TIANLI</t>
        </is>
      </c>
      <c r="B329" s="406" t="n">
        <v>880</v>
      </c>
      <c r="C329" s="410" t="inlineStr">
        <is>
          <t>亚</t>
        </is>
      </c>
      <c r="D329" s="74">
        <f>MID(A329,FIND("R",A329)+1,2)</f>
        <v/>
      </c>
      <c r="E329" s="408">
        <f>_xlfn.XLOOKUP(A329,'7月排产计划'!G:G,'7月排产计划'!B:B)</f>
        <v/>
      </c>
      <c r="F329" s="69">
        <f>E329&amp;D329&amp;"寸"</f>
        <v/>
      </c>
      <c r="G329" s="408" t="inlineStr">
        <is>
          <t>全钢</t>
        </is>
      </c>
      <c r="H329" s="74">
        <f>D329&amp;G329</f>
        <v/>
      </c>
    </row>
    <row r="330">
      <c r="A330" s="426" t="inlineStr">
        <is>
          <t>ID11.00R20-18PR(152/149K)[AM4S.Q679]EFFIPLUS</t>
        </is>
      </c>
      <c r="B330" s="406" t="n">
        <v>280</v>
      </c>
      <c r="C330" s="410" t="inlineStr">
        <is>
          <t>亚</t>
        </is>
      </c>
      <c r="D330" s="74">
        <f>MID(A330,FIND("R",A330)+1,2)</f>
        <v/>
      </c>
      <c r="E330" s="408">
        <f>_xlfn.XLOOKUP(A330,'7月排产计划'!G:G,'7月排产计划'!B:B)</f>
        <v/>
      </c>
      <c r="F330" s="69">
        <f>E330&amp;D330&amp;"寸"</f>
        <v/>
      </c>
      <c r="G330" s="408" t="inlineStr">
        <is>
          <t>全钢</t>
        </is>
      </c>
      <c r="H330" s="74">
        <f>D330&amp;G330</f>
        <v/>
      </c>
    </row>
    <row r="331">
      <c r="A331" s="426" t="inlineStr">
        <is>
          <t>ID11.00R20-18PR(152/149K)[AS578]雅度</t>
        </is>
      </c>
      <c r="B331" s="406" t="n">
        <v>500</v>
      </c>
      <c r="C331" s="410" t="inlineStr">
        <is>
          <t>亚</t>
        </is>
      </c>
      <c r="D331" s="74">
        <f>MID(A331,FIND("R",A331)+1,2)</f>
        <v/>
      </c>
      <c r="E331" s="408">
        <f>_xlfn.XLOOKUP(A331,'7月排产计划'!G:G,'7月排产计划'!B:B)</f>
        <v/>
      </c>
      <c r="F331" s="69">
        <f>E331&amp;D331&amp;"寸"</f>
        <v/>
      </c>
      <c r="G331" s="408" t="inlineStr">
        <is>
          <t>全钢</t>
        </is>
      </c>
      <c r="H331" s="74">
        <f>D331&amp;G331</f>
        <v/>
      </c>
    </row>
    <row r="332">
      <c r="A332" s="426" t="inlineStr">
        <is>
          <t>ID11.00R20-18PR(152/149K)[AZ676]TRAZANO(全诺)</t>
        </is>
      </c>
      <c r="B332" s="406" t="n">
        <v>660</v>
      </c>
      <c r="C332" s="410" t="inlineStr">
        <is>
          <t>亚</t>
        </is>
      </c>
      <c r="D332" s="74">
        <f>MID(A332,FIND("R",A332)+1,2)</f>
        <v/>
      </c>
      <c r="E332" s="408">
        <f>_xlfn.XLOOKUP(A332,'7月排产计划'!G:G,'7月排产计划'!B:B)</f>
        <v/>
      </c>
      <c r="F332" s="69">
        <f>E332&amp;D332&amp;"寸"</f>
        <v/>
      </c>
      <c r="G332" s="408" t="inlineStr">
        <is>
          <t>全钢</t>
        </is>
      </c>
      <c r="H332" s="74">
        <f>D332&amp;G332</f>
        <v/>
      </c>
    </row>
    <row r="333">
      <c r="A333" s="426" t="inlineStr">
        <is>
          <t>ID11.00R20-18PR(152/149K)[AZ850]朝阳</t>
        </is>
      </c>
      <c r="B333" s="406" t="n">
        <v>200</v>
      </c>
      <c r="C333" s="410" t="inlineStr">
        <is>
          <t>亚</t>
        </is>
      </c>
      <c r="D333" s="74">
        <f>MID(A333,FIND("R",A333)+1,2)</f>
        <v/>
      </c>
      <c r="E333" s="408">
        <f>_xlfn.XLOOKUP(A333,'7月排产计划'!G:G,'7月排产计划'!B:B)</f>
        <v/>
      </c>
      <c r="F333" s="69">
        <f>E333&amp;D333&amp;"寸"</f>
        <v/>
      </c>
      <c r="G333" s="408" t="inlineStr">
        <is>
          <t>全钢</t>
        </is>
      </c>
      <c r="H333" s="74">
        <f>D333&amp;G333</f>
        <v/>
      </c>
    </row>
    <row r="334">
      <c r="A334" s="426" t="inlineStr">
        <is>
          <t>ID11.00R20-18PR(152/149K)[CM988]金冠</t>
        </is>
      </c>
      <c r="B334" s="406" t="n">
        <v>300</v>
      </c>
      <c r="C334" s="410" t="inlineStr">
        <is>
          <t>亚</t>
        </is>
      </c>
      <c r="D334" s="74">
        <f>MID(A334,FIND("R",A334)+1,2)</f>
        <v/>
      </c>
      <c r="E334" s="408">
        <f>_xlfn.XLOOKUP(A334,'7月排产计划'!G:G,'7月排产计划'!B:B)</f>
        <v/>
      </c>
      <c r="F334" s="69">
        <f>E334&amp;D334&amp;"寸"</f>
        <v/>
      </c>
      <c r="G334" s="408" t="inlineStr">
        <is>
          <t>全钢</t>
        </is>
      </c>
      <c r="H334" s="74">
        <f>D334&amp;G334</f>
        <v/>
      </c>
    </row>
    <row r="335">
      <c r="A335" s="426" t="inlineStr">
        <is>
          <t>ID11.00R20-18PR(152/149K)[CR926+]GOODRIDE(好运)</t>
        </is>
      </c>
      <c r="B335" s="406" t="n">
        <v>1700</v>
      </c>
      <c r="C335" s="410" t="inlineStr">
        <is>
          <t>亚</t>
        </is>
      </c>
      <c r="D335" s="74">
        <f>MID(A335,FIND("R",A335)+1,2)</f>
        <v/>
      </c>
      <c r="E335" s="408">
        <f>_xlfn.XLOOKUP(A335,'7月排产计划'!G:G,'7月排产计划'!B:B)</f>
        <v/>
      </c>
      <c r="F335" s="69">
        <f>E335&amp;D335&amp;"寸"</f>
        <v/>
      </c>
      <c r="G335" s="408" t="inlineStr">
        <is>
          <t>全钢</t>
        </is>
      </c>
      <c r="H335" s="74">
        <f>D335&amp;G335</f>
        <v/>
      </c>
    </row>
    <row r="336">
      <c r="A336" s="426" t="inlineStr">
        <is>
          <t>ID11.00R20-18PR(152/149K)[CR926+]金冠</t>
        </is>
      </c>
      <c r="B336" s="406" t="n">
        <v>2200</v>
      </c>
      <c r="C336" s="410" t="inlineStr">
        <is>
          <t>亚</t>
        </is>
      </c>
      <c r="D336" s="74">
        <f>MID(A336,FIND("R",A336)+1,2)</f>
        <v/>
      </c>
      <c r="E336" s="408">
        <f>_xlfn.XLOOKUP(A336,'7月排产计划'!G:G,'7月排产计划'!B:B)</f>
        <v/>
      </c>
      <c r="F336" s="69">
        <f>E336&amp;D336&amp;"寸"</f>
        <v/>
      </c>
      <c r="G336" s="408" t="inlineStr">
        <is>
          <t>全钢</t>
        </is>
      </c>
      <c r="H336" s="74">
        <f>D336&amp;G336</f>
        <v/>
      </c>
    </row>
    <row r="337">
      <c r="A337" s="426" t="inlineStr">
        <is>
          <t>ID11.00R20-18PR(152/149K)[CR926+]威狮</t>
        </is>
      </c>
      <c r="B337" s="406" t="n">
        <v>950</v>
      </c>
      <c r="C337" s="410" t="inlineStr">
        <is>
          <t>亚</t>
        </is>
      </c>
      <c r="D337" s="74">
        <f>MID(A337,FIND("R",A337)+1,2)</f>
        <v/>
      </c>
      <c r="E337" s="408">
        <f>_xlfn.XLOOKUP(A337,'7月排产计划'!G:G,'7月排产计划'!B:B)</f>
        <v/>
      </c>
      <c r="F337" s="69">
        <f>E337&amp;D337&amp;"寸"</f>
        <v/>
      </c>
      <c r="G337" s="408" t="inlineStr">
        <is>
          <t>全钢</t>
        </is>
      </c>
      <c r="H337" s="74">
        <f>D337&amp;G337</f>
        <v/>
      </c>
    </row>
    <row r="338">
      <c r="A338" s="426" t="inlineStr">
        <is>
          <t>ID11.00R20-18PR(152/149K)[EZ369]朝阳</t>
        </is>
      </c>
      <c r="B338" s="406" t="n">
        <v>230</v>
      </c>
      <c r="C338" s="410" t="inlineStr">
        <is>
          <t>亚</t>
        </is>
      </c>
      <c r="D338" s="74">
        <f>MID(A338,FIND("R",A338)+1,2)</f>
        <v/>
      </c>
      <c r="E338" s="408">
        <f>_xlfn.XLOOKUP(A338,'7月排产计划'!G:G,'7月排产计划'!B:B)</f>
        <v/>
      </c>
      <c r="F338" s="69">
        <f>E338&amp;D338&amp;"寸"</f>
        <v/>
      </c>
      <c r="G338" s="408" t="inlineStr">
        <is>
          <t>全钢</t>
        </is>
      </c>
      <c r="H338" s="74">
        <f>D338&amp;G338</f>
        <v/>
      </c>
    </row>
    <row r="339">
      <c r="A339" s="426" t="inlineStr">
        <is>
          <t>ID11.00R20-18PR(152/149K)[EZ867]金冠</t>
        </is>
      </c>
      <c r="B339" s="406" t="n">
        <v>1000</v>
      </c>
      <c r="C339" s="410" t="inlineStr">
        <is>
          <t>亚</t>
        </is>
      </c>
      <c r="D339" s="74">
        <f>MID(A339,FIND("R",A339)+1,2)</f>
        <v/>
      </c>
      <c r="E339" s="408">
        <f>_xlfn.XLOOKUP(A339,'7月排产计划'!G:G,'7月排产计划'!B:B)</f>
        <v/>
      </c>
      <c r="F339" s="69">
        <f>E339&amp;D339&amp;"寸"</f>
        <v/>
      </c>
      <c r="G339" s="408" t="inlineStr">
        <is>
          <t>全钢</t>
        </is>
      </c>
      <c r="H339" s="74">
        <f>D339&amp;G339</f>
        <v/>
      </c>
    </row>
    <row r="340">
      <c r="A340" s="426" t="inlineStr">
        <is>
          <t>ID11.00R20-18PR(152/149K)[MT200]UNITED</t>
        </is>
      </c>
      <c r="B340" s="406" t="n">
        <v>720</v>
      </c>
      <c r="C340" s="410" t="inlineStr">
        <is>
          <t>亚</t>
        </is>
      </c>
      <c r="D340" s="74">
        <f>MID(A340,FIND("R",A340)+1,2)</f>
        <v/>
      </c>
      <c r="E340" s="408">
        <f>_xlfn.XLOOKUP(A340,'7月排产计划'!G:G,'7月排产计划'!B:B)</f>
        <v/>
      </c>
      <c r="F340" s="69">
        <f>E340&amp;D340&amp;"寸"</f>
        <v/>
      </c>
      <c r="G340" s="408" t="inlineStr">
        <is>
          <t>全钢</t>
        </is>
      </c>
      <c r="H340" s="74">
        <f>D340&amp;G340</f>
        <v/>
      </c>
    </row>
    <row r="341">
      <c r="A341" s="426" t="inlineStr">
        <is>
          <t>ID11.00R20-18PR(152/149K)[TZ202]TIANLI</t>
        </is>
      </c>
      <c r="B341" s="406" t="n">
        <v>1200</v>
      </c>
      <c r="C341" s="410" t="inlineStr">
        <is>
          <t>亚</t>
        </is>
      </c>
      <c r="D341" s="74">
        <f>MID(A341,FIND("R",A341)+1,2)</f>
        <v/>
      </c>
      <c r="E341" s="408">
        <f>_xlfn.XLOOKUP(A341,'7月排产计划'!G:G,'7月排产计划'!B:B)</f>
        <v/>
      </c>
      <c r="F341" s="69">
        <f>E341&amp;D341&amp;"寸"</f>
        <v/>
      </c>
      <c r="G341" s="408" t="inlineStr">
        <is>
          <t>全钢</t>
        </is>
      </c>
      <c r="H341" s="74">
        <f>D341&amp;G341</f>
        <v/>
      </c>
    </row>
    <row r="342">
      <c r="A342" s="426" t="inlineStr">
        <is>
          <t>ID11.00R20-18PR(152/149L)[FOLO.R109]EFFIPLUS</t>
        </is>
      </c>
      <c r="B342" s="406" t="n">
        <v>150</v>
      </c>
      <c r="C342" s="410" t="inlineStr">
        <is>
          <t>亚</t>
        </is>
      </c>
      <c r="D342" s="74">
        <f>MID(A342,FIND("R",A342)+1,2)</f>
        <v/>
      </c>
      <c r="E342" s="408">
        <f>_xlfn.XLOOKUP(A342,'7月排产计划'!G:G,'7月排产计划'!B:B)</f>
        <v/>
      </c>
      <c r="F342" s="69">
        <f>E342&amp;D342&amp;"寸"</f>
        <v/>
      </c>
      <c r="G342" s="408" t="inlineStr">
        <is>
          <t>全钢</t>
        </is>
      </c>
      <c r="H342" s="74">
        <f>D342&amp;G342</f>
        <v/>
      </c>
    </row>
    <row r="343">
      <c r="A343" s="426" t="inlineStr">
        <is>
          <t>ID11.00R20-20PR(154/151D)[AZ850]雅度 东南亚</t>
        </is>
      </c>
      <c r="B343" s="406" t="n">
        <v>350</v>
      </c>
      <c r="C343" s="410" t="inlineStr">
        <is>
          <t>亚</t>
        </is>
      </c>
      <c r="D343" s="74">
        <f>MID(A343,FIND("R",A343)+1,2)</f>
        <v/>
      </c>
      <c r="E343" s="408">
        <f>_xlfn.XLOOKUP(A343,'7月排产计划'!G:G,'7月排产计划'!B:B)</f>
        <v/>
      </c>
      <c r="F343" s="69">
        <f>E343&amp;D343&amp;"寸"</f>
        <v/>
      </c>
      <c r="G343" s="408" t="inlineStr">
        <is>
          <t>全钢</t>
        </is>
      </c>
      <c r="H343" s="74">
        <f>D343&amp;G343</f>
        <v/>
      </c>
    </row>
    <row r="344">
      <c r="A344" s="426" t="inlineStr">
        <is>
          <t>ID11.00R20-20PR(154/151D)[CB905A]雅度 东南亚</t>
        </is>
      </c>
      <c r="B344" s="406" t="n">
        <v>150</v>
      </c>
      <c r="C344" s="410" t="inlineStr">
        <is>
          <t>亚</t>
        </is>
      </c>
      <c r="D344" s="74">
        <f>MID(A344,FIND("R",A344)+1,2)</f>
        <v/>
      </c>
      <c r="E344" s="408">
        <f>_xlfn.XLOOKUP(A344,'7月排产计划'!G:G,'7月排产计划'!B:B)</f>
        <v/>
      </c>
      <c r="F344" s="69">
        <f>E344&amp;D344&amp;"寸"</f>
        <v/>
      </c>
      <c r="G344" s="408" t="inlineStr">
        <is>
          <t>全钢</t>
        </is>
      </c>
      <c r="H344" s="74">
        <f>D344&amp;G344</f>
        <v/>
      </c>
    </row>
    <row r="345">
      <c r="A345" s="347" t="inlineStr">
        <is>
          <t>ID12.00R20-18PR(154/151F)[CB919]ARISUN</t>
        </is>
      </c>
      <c r="B345" s="427" t="n">
        <v>200</v>
      </c>
      <c r="C345" s="410" t="inlineStr">
        <is>
          <t>亚</t>
        </is>
      </c>
      <c r="D345" s="74">
        <f>MID(A345,FIND("R",A345)+1,2)</f>
        <v/>
      </c>
      <c r="E345" s="408">
        <f>_xlfn.XLOOKUP(A345,'7月排产计划'!G:G,'7月排产计划'!B:B)</f>
        <v/>
      </c>
      <c r="F345" s="69">
        <f>E345&amp;D345&amp;"寸"</f>
        <v/>
      </c>
      <c r="G345" s="408" t="inlineStr">
        <is>
          <t>全钢</t>
        </is>
      </c>
      <c r="H345" s="74">
        <f>D345&amp;G345</f>
        <v/>
      </c>
    </row>
    <row r="346">
      <c r="A346" s="347" t="inlineStr">
        <is>
          <t>ID12.00R20-18PR(154/151F)[EZ336]雅度</t>
        </is>
      </c>
      <c r="B346" s="406" t="n">
        <v>150</v>
      </c>
      <c r="C346" s="410" t="inlineStr">
        <is>
          <t>亚</t>
        </is>
      </c>
      <c r="D346" s="74">
        <f>MID(A346,FIND("R",A346)+1,2)</f>
        <v/>
      </c>
      <c r="E346" s="408">
        <f>_xlfn.XLOOKUP(A346,'7月排产计划'!G:G,'7月排产计划'!B:B)</f>
        <v/>
      </c>
      <c r="F346" s="69">
        <f>E346&amp;D346&amp;"寸"</f>
        <v/>
      </c>
      <c r="G346" s="408" t="inlineStr">
        <is>
          <t>全钢</t>
        </is>
      </c>
      <c r="H346" s="74">
        <f>D346&amp;G346</f>
        <v/>
      </c>
    </row>
    <row r="347">
      <c r="A347" s="347" t="inlineStr">
        <is>
          <t>ID12.00R20-18PR(154/151F)[MT100]UNITED</t>
        </is>
      </c>
      <c r="B347" s="406" t="n">
        <v>200</v>
      </c>
      <c r="C347" s="410" t="inlineStr">
        <is>
          <t>亚</t>
        </is>
      </c>
      <c r="D347" s="74">
        <f>MID(A347,FIND("R",A347)+1,2)</f>
        <v/>
      </c>
      <c r="E347" s="408">
        <f>_xlfn.XLOOKUP(A347,'7月排产计划'!G:G,'7月排产计划'!B:B)</f>
        <v/>
      </c>
      <c r="F347" s="69">
        <f>E347&amp;D347&amp;"寸"</f>
        <v/>
      </c>
      <c r="G347" s="408" t="inlineStr">
        <is>
          <t>全钢</t>
        </is>
      </c>
      <c r="H347" s="74">
        <f>D347&amp;G347</f>
        <v/>
      </c>
    </row>
    <row r="348">
      <c r="A348" s="347" t="inlineStr">
        <is>
          <t>ID12.00R20-20PR(156/153F)[CB332]威狮</t>
        </is>
      </c>
      <c r="B348" s="406" t="n">
        <v>2800</v>
      </c>
      <c r="C348" s="410" t="inlineStr">
        <is>
          <t>亚</t>
        </is>
      </c>
      <c r="D348" s="74">
        <f>MID(A348,FIND("R",A348)+1,2)</f>
        <v/>
      </c>
      <c r="E348" s="408">
        <f>_xlfn.XLOOKUP(A348,'7月排产计划'!G:G,'7月排产计划'!B:B)</f>
        <v/>
      </c>
      <c r="F348" s="69">
        <f>E348&amp;D348&amp;"寸"</f>
        <v/>
      </c>
      <c r="G348" s="408" t="inlineStr">
        <is>
          <t>全钢</t>
        </is>
      </c>
      <c r="H348" s="74">
        <f>D348&amp;G348</f>
        <v/>
      </c>
    </row>
    <row r="349">
      <c r="A349" s="347" t="inlineStr">
        <is>
          <t>ID12.00R20-20PR(156/153F)[CB972]朝阳</t>
        </is>
      </c>
      <c r="B349" s="406" t="n">
        <v>500</v>
      </c>
      <c r="C349" s="410" t="inlineStr">
        <is>
          <t>亚</t>
        </is>
      </c>
      <c r="D349" s="74">
        <f>MID(A349,FIND("R",A349)+1,2)</f>
        <v/>
      </c>
      <c r="E349" s="408">
        <f>_xlfn.XLOOKUP(A349,'7月排产计划'!G:G,'7月排产计划'!B:B)</f>
        <v/>
      </c>
      <c r="F349" s="69">
        <f>E349&amp;D349&amp;"寸"</f>
        <v/>
      </c>
      <c r="G349" s="408" t="inlineStr">
        <is>
          <t>全钢</t>
        </is>
      </c>
      <c r="H349" s="74">
        <f>D349&amp;G349</f>
        <v/>
      </c>
    </row>
    <row r="350">
      <c r="A350" s="347" t="inlineStr">
        <is>
          <t>ID12.00R20-20PR(156/153F)[CB972]威狮</t>
        </is>
      </c>
      <c r="B350" s="406" t="n">
        <v>2000</v>
      </c>
      <c r="C350" s="410" t="inlineStr">
        <is>
          <t>亚</t>
        </is>
      </c>
      <c r="D350" s="74">
        <f>MID(A350,FIND("R",A350)+1,2)</f>
        <v/>
      </c>
      <c r="E350" s="408">
        <f>_xlfn.XLOOKUP(A350,'7月排产计划'!G:G,'7月排产计划'!B:B)</f>
        <v/>
      </c>
      <c r="F350" s="69">
        <f>E350&amp;D350&amp;"寸"</f>
        <v/>
      </c>
      <c r="G350" s="408" t="inlineStr">
        <is>
          <t>全钢</t>
        </is>
      </c>
      <c r="H350" s="74">
        <f>D350&amp;G350</f>
        <v/>
      </c>
    </row>
    <row r="351">
      <c r="A351" s="347" t="inlineStr">
        <is>
          <t>ID12.00R20-20PR(156/153F)[EZ336]雅度</t>
        </is>
      </c>
      <c r="B351" s="406" t="n">
        <v>4000</v>
      </c>
      <c r="C351" s="410" t="inlineStr">
        <is>
          <t>亚</t>
        </is>
      </c>
      <c r="D351" s="74">
        <f>MID(A351,FIND("R",A351)+1,2)</f>
        <v/>
      </c>
      <c r="E351" s="408">
        <f>_xlfn.XLOOKUP(A351,'7月排产计划'!G:G,'7月排产计划'!B:B)</f>
        <v/>
      </c>
      <c r="F351" s="69">
        <f>E351&amp;D351&amp;"寸"</f>
        <v/>
      </c>
      <c r="G351" s="408" t="inlineStr">
        <is>
          <t>全钢</t>
        </is>
      </c>
      <c r="H351" s="74">
        <f>D351&amp;G351</f>
        <v/>
      </c>
    </row>
    <row r="352">
      <c r="A352" s="347" t="inlineStr">
        <is>
          <t>ID12.00R20-20PR(156/153F)[EZ345]雅度</t>
        </is>
      </c>
      <c r="B352" s="406" t="n">
        <v>2400</v>
      </c>
      <c r="C352" s="410" t="inlineStr">
        <is>
          <t>亚</t>
        </is>
      </c>
      <c r="D352" s="74">
        <f>MID(A352,FIND("R",A352)+1,2)</f>
        <v/>
      </c>
      <c r="E352" s="408">
        <f>_xlfn.XLOOKUP(A352,'7月排产计划'!G:G,'7月排产计划'!B:B)</f>
        <v/>
      </c>
      <c r="F352" s="69">
        <f>E352&amp;D352&amp;"寸"</f>
        <v/>
      </c>
      <c r="G352" s="408" t="inlineStr">
        <is>
          <t>全钢</t>
        </is>
      </c>
      <c r="H352" s="74">
        <f>D352&amp;G352</f>
        <v/>
      </c>
    </row>
    <row r="353">
      <c r="A353" s="347" t="inlineStr">
        <is>
          <t>ID12.00R20-20PR(156/153F)[TZ101]天力</t>
        </is>
      </c>
      <c r="B353" s="406" t="n">
        <v>400</v>
      </c>
      <c r="C353" s="410" t="inlineStr">
        <is>
          <t>亚</t>
        </is>
      </c>
      <c r="D353" s="74">
        <f>MID(A353,FIND("R",A353)+1,2)</f>
        <v/>
      </c>
      <c r="E353" s="408">
        <f>_xlfn.XLOOKUP(A353,'7月排产计划'!G:G,'7月排产计划'!B:B)</f>
        <v/>
      </c>
      <c r="F353" s="69">
        <f>E353&amp;D353&amp;"寸"</f>
        <v/>
      </c>
      <c r="G353" s="408" t="inlineStr">
        <is>
          <t>全钢</t>
        </is>
      </c>
      <c r="H353" s="74">
        <f>D353&amp;G353</f>
        <v/>
      </c>
    </row>
    <row r="354">
      <c r="A354" s="347" t="inlineStr">
        <is>
          <t>ID12.00R20-22PR(158/155F)[CB919]雅度</t>
        </is>
      </c>
      <c r="B354" s="406" t="n">
        <v>420</v>
      </c>
      <c r="C354" s="410" t="inlineStr">
        <is>
          <t>亚</t>
        </is>
      </c>
      <c r="D354" s="74">
        <f>MID(A354,FIND("R",A354)+1,2)</f>
        <v/>
      </c>
      <c r="E354" s="408">
        <f>_xlfn.XLOOKUP(A354,'7月排产计划'!G:G,'7月排产计划'!B:B)</f>
        <v/>
      </c>
      <c r="F354" s="69">
        <f>E354&amp;D354&amp;"寸"</f>
        <v/>
      </c>
      <c r="G354" s="408" t="inlineStr">
        <is>
          <t>全钢</t>
        </is>
      </c>
      <c r="H354" s="74">
        <f>D354&amp;G354</f>
        <v/>
      </c>
    </row>
    <row r="355">
      <c r="A355" s="347" t="inlineStr">
        <is>
          <t>ID12.00R20-22PR(158/155F)[CB972]雅度 东南亚</t>
        </is>
      </c>
      <c r="B355" s="406" t="n">
        <v>3500</v>
      </c>
      <c r="C355" s="410" t="inlineStr">
        <is>
          <t>亚</t>
        </is>
      </c>
      <c r="D355" s="74">
        <f>MID(A355,FIND("R",A355)+1,2)</f>
        <v/>
      </c>
      <c r="E355" s="408">
        <f>_xlfn.XLOOKUP(A355,'7月排产计划'!G:G,'7月排产计划'!B:B)</f>
        <v/>
      </c>
      <c r="F355" s="69">
        <f>E355&amp;D355&amp;"寸"</f>
        <v/>
      </c>
      <c r="G355" s="408" t="inlineStr">
        <is>
          <t>全钢</t>
        </is>
      </c>
      <c r="H355" s="74">
        <f>D355&amp;G355</f>
        <v/>
      </c>
    </row>
    <row r="356">
      <c r="A356" s="347" t="inlineStr">
        <is>
          <t>ID12.00R20-22PR(158/155F)[EZ310 pro]雅度</t>
        </is>
      </c>
      <c r="B356" s="406" t="n">
        <v>8000</v>
      </c>
      <c r="C356" s="410" t="inlineStr">
        <is>
          <t>亚</t>
        </is>
      </c>
      <c r="D356" s="74">
        <f>MID(A356,FIND("R",A356)+1,2)</f>
        <v/>
      </c>
      <c r="E356" s="408">
        <f>_xlfn.XLOOKUP(A356,'7月排产计划'!G:G,'7月排产计划'!B:B)</f>
        <v/>
      </c>
      <c r="F356" s="69">
        <f>E356&amp;D356&amp;"寸"</f>
        <v/>
      </c>
      <c r="G356" s="408" t="inlineStr">
        <is>
          <t>全钢</t>
        </is>
      </c>
      <c r="H356" s="74">
        <f>D356&amp;G356</f>
        <v/>
      </c>
    </row>
    <row r="357">
      <c r="A357" s="347" t="inlineStr">
        <is>
          <t>ID12.00R20-22PR(158/155J)[AZ850]雅度 东南亚</t>
        </is>
      </c>
      <c r="B357" s="406" t="n">
        <v>400</v>
      </c>
      <c r="C357" s="410" t="inlineStr">
        <is>
          <t>亚</t>
        </is>
      </c>
      <c r="D357" s="74">
        <f>MID(A357,FIND("R",A357)+1,2)</f>
        <v/>
      </c>
      <c r="E357" s="408">
        <f>_xlfn.XLOOKUP(A357,'7月排产计划'!G:G,'7月排产计划'!B:B)</f>
        <v/>
      </c>
      <c r="F357" s="69">
        <f>E357&amp;D357&amp;"寸"</f>
        <v/>
      </c>
      <c r="G357" s="408" t="inlineStr">
        <is>
          <t>全钢</t>
        </is>
      </c>
      <c r="H357" s="74">
        <f>D357&amp;G357</f>
        <v/>
      </c>
    </row>
    <row r="358">
      <c r="A358" s="347" t="inlineStr">
        <is>
          <t>ID12.00R20-22PR(158/155J)[EZ867]雅度 东南亚</t>
        </is>
      </c>
      <c r="B358" s="406" t="n">
        <v>200</v>
      </c>
      <c r="C358" s="410" t="inlineStr">
        <is>
          <t>亚</t>
        </is>
      </c>
      <c r="D358" s="74">
        <f>MID(A358,FIND("R",A358)+1,2)</f>
        <v/>
      </c>
      <c r="E358" s="408">
        <f>_xlfn.XLOOKUP(A358,'7月排产计划'!G:G,'7月排产计划'!B:B)</f>
        <v/>
      </c>
      <c r="F358" s="69">
        <f>E358&amp;D358&amp;"寸"</f>
        <v/>
      </c>
      <c r="G358" s="408" t="inlineStr">
        <is>
          <t>全钢</t>
        </is>
      </c>
      <c r="H358" s="74">
        <f>D358&amp;G358</f>
        <v/>
      </c>
    </row>
    <row r="359">
      <c r="A359" s="347" t="inlineStr">
        <is>
          <t>ID12.00R20-☆☆(158/155C)PR[XC809]路诚 综合型</t>
        </is>
      </c>
      <c r="B359" s="406" t="n">
        <v>5000</v>
      </c>
      <c r="C359" s="410" t="inlineStr">
        <is>
          <t>亚</t>
        </is>
      </c>
      <c r="D359" s="74">
        <f>MID(A359,FIND("R",A359)+1,2)</f>
        <v/>
      </c>
      <c r="E359" s="408">
        <f>_xlfn.XLOOKUP(A359,'7月排产计划'!G:G,'7月排产计划'!B:B)</f>
        <v/>
      </c>
      <c r="F359" s="69">
        <f>E359&amp;D359&amp;"寸"</f>
        <v/>
      </c>
      <c r="G359" s="408" t="inlineStr">
        <is>
          <t>全钢</t>
        </is>
      </c>
      <c r="H359" s="74">
        <f>D359&amp;G359</f>
        <v/>
      </c>
    </row>
    <row r="360">
      <c r="A360" s="347" t="inlineStr">
        <is>
          <t>ID12.00R24-20PR(160/156F)[ETOT]TECHKING</t>
        </is>
      </c>
      <c r="B360" s="406" t="n">
        <v>1400</v>
      </c>
      <c r="C360" s="410" t="inlineStr">
        <is>
          <t>亚</t>
        </is>
      </c>
      <c r="D360" s="74">
        <f>MID(A360,FIND("R",A360)+1,2)</f>
        <v/>
      </c>
      <c r="E360" s="408">
        <f>_xlfn.XLOOKUP(A360,'7月排产计划'!G:G,'7月排产计划'!B:B)</f>
        <v/>
      </c>
      <c r="F360" s="69">
        <f>E360&amp;D360&amp;"寸"</f>
        <v/>
      </c>
      <c r="G360" s="408" t="inlineStr">
        <is>
          <t>全钢</t>
        </is>
      </c>
      <c r="H360" s="74">
        <f>D360&amp;G360</f>
        <v/>
      </c>
    </row>
    <row r="361">
      <c r="A361" s="347" t="inlineStr">
        <is>
          <t>ID12.00R24-20PR(160/157F)[CB332]威狮</t>
        </is>
      </c>
      <c r="B361" s="406" t="n">
        <v>450</v>
      </c>
      <c r="C361" s="410" t="inlineStr">
        <is>
          <t>亚</t>
        </is>
      </c>
      <c r="D361" s="74">
        <f>MID(A361,FIND("R",A361)+1,2)</f>
        <v/>
      </c>
      <c r="E361" s="408">
        <f>_xlfn.XLOOKUP(A361,'7月排产计划'!G:G,'7月排产计划'!B:B)</f>
        <v/>
      </c>
      <c r="F361" s="69">
        <f>E361&amp;D361&amp;"寸"</f>
        <v/>
      </c>
      <c r="G361" s="408" t="inlineStr">
        <is>
          <t>全钢</t>
        </is>
      </c>
      <c r="H361" s="74">
        <f>D361&amp;G361</f>
        <v/>
      </c>
    </row>
    <row r="362">
      <c r="A362" s="347" t="inlineStr">
        <is>
          <t>ID12.00R24-20PR(160/157F)[CB972]雅度</t>
        </is>
      </c>
      <c r="B362" s="406" t="n">
        <v>3400</v>
      </c>
      <c r="C362" s="410" t="inlineStr">
        <is>
          <t>亚</t>
        </is>
      </c>
      <c r="D362" s="74">
        <f>MID(A362,FIND("R",A362)+1,2)</f>
        <v/>
      </c>
      <c r="E362" s="408">
        <f>_xlfn.XLOOKUP(A362,'7月排产计划'!G:G,'7月排产计划'!B:B)</f>
        <v/>
      </c>
      <c r="F362" s="69">
        <f>E362&amp;D362&amp;"寸"</f>
        <v/>
      </c>
      <c r="G362" s="408" t="inlineStr">
        <is>
          <t>全钢</t>
        </is>
      </c>
      <c r="H362" s="74">
        <f>D362&amp;G362</f>
        <v/>
      </c>
    </row>
    <row r="363">
      <c r="A363" s="347" t="inlineStr">
        <is>
          <t>ID12.00R24-20PR(160/157F)[CB972E]GOODRIDE(好运)</t>
        </is>
      </c>
      <c r="B363" s="406" t="n">
        <v>380</v>
      </c>
      <c r="C363" s="410" t="inlineStr">
        <is>
          <t>亚</t>
        </is>
      </c>
      <c r="D363" s="74">
        <f>MID(A363,FIND("R",A363)+1,2)</f>
        <v/>
      </c>
      <c r="E363" s="408">
        <f>_xlfn.XLOOKUP(A363,'7月排产计划'!G:G,'7月排产计划'!B:B)</f>
        <v/>
      </c>
      <c r="F363" s="69">
        <f>E363&amp;D363&amp;"寸"</f>
        <v/>
      </c>
      <c r="G363" s="408" t="inlineStr">
        <is>
          <t>全钢</t>
        </is>
      </c>
      <c r="H363" s="74">
        <f>D363&amp;G363</f>
        <v/>
      </c>
    </row>
    <row r="364">
      <c r="A364" s="347" t="inlineStr">
        <is>
          <t>ID12.00R24-20PR(160/157F)[CB972E]威狮</t>
        </is>
      </c>
      <c r="B364" s="406" t="n">
        <v>1000</v>
      </c>
      <c r="C364" s="410" t="inlineStr">
        <is>
          <t>亚</t>
        </is>
      </c>
      <c r="D364" s="74">
        <f>MID(A364,FIND("R",A364)+1,2)</f>
        <v/>
      </c>
      <c r="E364" s="408">
        <f>_xlfn.XLOOKUP(A364,'7月排产计划'!G:G,'7月排产计划'!B:B)</f>
        <v/>
      </c>
      <c r="F364" s="69">
        <f>E364&amp;D364&amp;"寸"</f>
        <v/>
      </c>
      <c r="G364" s="408" t="inlineStr">
        <is>
          <t>全钢</t>
        </is>
      </c>
      <c r="H364" s="74">
        <f>D364&amp;G364</f>
        <v/>
      </c>
    </row>
    <row r="365">
      <c r="A365" s="347" t="inlineStr">
        <is>
          <t>ID12.00R24-20PR(160/157F)[CB972E]雅度</t>
        </is>
      </c>
      <c r="B365" s="406" t="n">
        <v>1700</v>
      </c>
      <c r="C365" s="410" t="inlineStr">
        <is>
          <t>亚</t>
        </is>
      </c>
      <c r="D365" s="74">
        <f>MID(A365,FIND("R",A365)+1,2)</f>
        <v/>
      </c>
      <c r="E365" s="408">
        <f>_xlfn.XLOOKUP(A365,'7月排产计划'!G:G,'7月排产计划'!B:B)</f>
        <v/>
      </c>
      <c r="F365" s="69">
        <f>E365&amp;D365&amp;"寸"</f>
        <v/>
      </c>
      <c r="G365" s="408" t="inlineStr">
        <is>
          <t>全钢</t>
        </is>
      </c>
      <c r="H365" s="74">
        <f>D365&amp;G365</f>
        <v/>
      </c>
    </row>
    <row r="366">
      <c r="A366" s="347" t="inlineStr">
        <is>
          <t>ID12.00R24-20PR(160/157F)[TZ101 PRO]天力</t>
        </is>
      </c>
      <c r="B366" s="406" t="n">
        <v>2000</v>
      </c>
      <c r="C366" s="410" t="inlineStr">
        <is>
          <t>亚</t>
        </is>
      </c>
      <c r="D366" s="74">
        <f>MID(A366,FIND("R",A366)+1,2)</f>
        <v/>
      </c>
      <c r="E366" s="408">
        <f>_xlfn.XLOOKUP(A366,'7月排产计划'!G:G,'7月排产计划'!B:B)</f>
        <v/>
      </c>
      <c r="F366" s="69">
        <f>E366&amp;D366&amp;"寸"</f>
        <v/>
      </c>
      <c r="G366" s="408" t="inlineStr">
        <is>
          <t>全钢</t>
        </is>
      </c>
      <c r="H366" s="74">
        <f>D366&amp;G366</f>
        <v/>
      </c>
    </row>
    <row r="367">
      <c r="A367" s="347" t="inlineStr">
        <is>
          <t>ID12.00R24-20PR(160/157F)[TZ101]TIANLI</t>
        </is>
      </c>
      <c r="B367" s="406" t="n">
        <v>1400</v>
      </c>
      <c r="C367" s="410" t="inlineStr">
        <is>
          <t>亚</t>
        </is>
      </c>
      <c r="D367" s="74">
        <f>MID(A367,FIND("R",A367)+1,2)</f>
        <v/>
      </c>
      <c r="E367" s="408">
        <f>_xlfn.XLOOKUP(A367,'7月排产计划'!G:G,'7月排产计划'!B:B)</f>
        <v/>
      </c>
      <c r="F367" s="69">
        <f>E367&amp;D367&amp;"寸"</f>
        <v/>
      </c>
      <c r="G367" s="408" t="inlineStr">
        <is>
          <t>全钢</t>
        </is>
      </c>
      <c r="H367" s="74">
        <f>D367&amp;G367</f>
        <v/>
      </c>
    </row>
    <row r="368">
      <c r="A368" s="347" t="inlineStr">
        <is>
          <t>ID12.00R24-20PR(160/157F)[TZ304]天力</t>
        </is>
      </c>
      <c r="B368" s="406" t="n">
        <v>150</v>
      </c>
      <c r="C368" s="410" t="inlineStr">
        <is>
          <t>亚</t>
        </is>
      </c>
      <c r="D368" s="74">
        <f>MID(A368,FIND("R",A368)+1,2)</f>
        <v/>
      </c>
      <c r="E368" s="408">
        <f>_xlfn.XLOOKUP(A368,'7月排产计划'!G:G,'7月排产计划'!B:B)</f>
        <v/>
      </c>
      <c r="F368" s="69">
        <f>E368&amp;D368&amp;"寸"</f>
        <v/>
      </c>
      <c r="G368" s="408" t="inlineStr">
        <is>
          <t>全钢</t>
        </is>
      </c>
      <c r="H368" s="74">
        <f>D368&amp;G368</f>
        <v/>
      </c>
    </row>
    <row r="369">
      <c r="A369" s="347" t="inlineStr">
        <is>
          <t>ID12.00R24-20PR(160/157K)[I-301]IRONMAN</t>
        </is>
      </c>
      <c r="B369" s="406" t="n">
        <v>600</v>
      </c>
      <c r="C369" s="410" t="inlineStr">
        <is>
          <t>北美</t>
        </is>
      </c>
      <c r="D369" s="74">
        <f>MID(A369,FIND("R",A369)+1,2)</f>
        <v/>
      </c>
      <c r="E369" s="408">
        <f>_xlfn.XLOOKUP(A369,'7月排产计划'!G:G,'7月排产计划'!B:B)</f>
        <v/>
      </c>
      <c r="F369" s="69">
        <f>E369&amp;D369&amp;"寸"</f>
        <v/>
      </c>
      <c r="G369" s="408" t="inlineStr">
        <is>
          <t>全钢</t>
        </is>
      </c>
      <c r="H369" s="74">
        <f>D369&amp;G369</f>
        <v/>
      </c>
    </row>
    <row r="370">
      <c r="A370" s="347" t="inlineStr">
        <is>
          <t>ID12.00R24-☆☆(162/160C)PR[XC819]路诚 综合型</t>
        </is>
      </c>
      <c r="B370" s="406" t="n">
        <v>120</v>
      </c>
      <c r="C370" s="410" t="inlineStr">
        <is>
          <t>亚</t>
        </is>
      </c>
      <c r="D370" s="74">
        <f>MID(A370,FIND("R",A370)+1,2)</f>
        <v/>
      </c>
      <c r="E370" s="408">
        <f>_xlfn.XLOOKUP(A370,'7月排产计划'!G:G,'7月排产计划'!B:B)</f>
        <v/>
      </c>
      <c r="F370" s="69">
        <f>E370&amp;D370&amp;"寸"</f>
        <v/>
      </c>
      <c r="G370" s="408" t="inlineStr">
        <is>
          <t>全钢</t>
        </is>
      </c>
      <c r="H370" s="74">
        <f>D370&amp;G370</f>
        <v/>
      </c>
    </row>
    <row r="371">
      <c r="A371" s="347" t="inlineStr">
        <is>
          <t>ID7.50R16-14PR(122/118F)[CB972pro]雅度</t>
        </is>
      </c>
      <c r="B371" s="406" t="n">
        <v>100</v>
      </c>
      <c r="C371" s="410" t="inlineStr">
        <is>
          <t>亚</t>
        </is>
      </c>
      <c r="D371" s="74">
        <f>MID(A371,FIND("R",A371)+1,2)</f>
        <v/>
      </c>
      <c r="E371" s="408">
        <f>_xlfn.XLOOKUP(A371,'7月排产计划'!G:G,'7月排产计划'!B:B)</f>
        <v/>
      </c>
      <c r="F371" s="69">
        <f>E371&amp;D371&amp;"寸"</f>
        <v/>
      </c>
      <c r="G371" s="408" t="inlineStr">
        <is>
          <t>全钢</t>
        </is>
      </c>
      <c r="H371" s="74">
        <f>D371&amp;G371</f>
        <v/>
      </c>
    </row>
    <row r="372">
      <c r="A372" s="347" t="inlineStr">
        <is>
          <t>ID7.50R16-14PR(122/118F)[EZ377]威狮</t>
        </is>
      </c>
      <c r="B372" s="406" t="n">
        <v>1300</v>
      </c>
      <c r="C372" s="410" t="inlineStr">
        <is>
          <t>亚</t>
        </is>
      </c>
      <c r="D372" s="74">
        <f>MID(A372,FIND("R",A372)+1,2)</f>
        <v/>
      </c>
      <c r="E372" s="408">
        <f>_xlfn.XLOOKUP(A372,'7月排产计划'!G:G,'7月排产计划'!B:B)</f>
        <v/>
      </c>
      <c r="F372" s="69">
        <f>E372&amp;D372&amp;"寸"</f>
        <v/>
      </c>
      <c r="G372" s="408" t="inlineStr">
        <is>
          <t>全钢</t>
        </is>
      </c>
      <c r="H372" s="74">
        <f>D372&amp;G372</f>
        <v/>
      </c>
    </row>
    <row r="373">
      <c r="A373" s="347" t="inlineStr">
        <is>
          <t>ID7.50R16-14PR(122/118L)[AZ601+]威狮</t>
        </is>
      </c>
      <c r="B373" s="406" t="n">
        <v>650</v>
      </c>
      <c r="C373" s="410" t="inlineStr">
        <is>
          <t>亚</t>
        </is>
      </c>
      <c r="D373" s="74">
        <f>MID(A373,FIND("R",A373)+1,2)</f>
        <v/>
      </c>
      <c r="E373" s="408">
        <f>_xlfn.XLOOKUP(A373,'7月排产计划'!G:G,'7月排产计划'!B:B)</f>
        <v/>
      </c>
      <c r="F373" s="69">
        <f>E373&amp;D373&amp;"寸"</f>
        <v/>
      </c>
      <c r="G373" s="408" t="inlineStr">
        <is>
          <t>全钢</t>
        </is>
      </c>
      <c r="H373" s="74">
        <f>D373&amp;G373</f>
        <v/>
      </c>
    </row>
    <row r="374">
      <c r="A374" s="347" t="inlineStr">
        <is>
          <t>ID7.50R16-14PR(122/118L)[CB981]ARISUN</t>
        </is>
      </c>
      <c r="B374" s="406" t="n">
        <v>300</v>
      </c>
      <c r="C374" s="410" t="inlineStr">
        <is>
          <t>亚</t>
        </is>
      </c>
      <c r="D374" s="74">
        <f>MID(A374,FIND("R",A374)+1,2)</f>
        <v/>
      </c>
      <c r="E374" s="408">
        <f>_xlfn.XLOOKUP(A374,'7月排产计划'!G:G,'7月排产计划'!B:B)</f>
        <v/>
      </c>
      <c r="F374" s="69">
        <f>E374&amp;D374&amp;"寸"</f>
        <v/>
      </c>
      <c r="G374" s="408" t="inlineStr">
        <is>
          <t>全钢</t>
        </is>
      </c>
      <c r="H374" s="74">
        <f>D374&amp;G374</f>
        <v/>
      </c>
    </row>
    <row r="375">
      <c r="A375" s="347" t="inlineStr">
        <is>
          <t>ID7.50R16-14PR(122/118L)[CM988]GOODRIDE(好运)</t>
        </is>
      </c>
      <c r="B375" s="406" t="n">
        <v>320</v>
      </c>
      <c r="C375" s="410" t="inlineStr">
        <is>
          <t>亚</t>
        </is>
      </c>
      <c r="D375" s="74">
        <f>MID(A375,FIND("R",A375)+1,2)</f>
        <v/>
      </c>
      <c r="E375" s="408">
        <f>_xlfn.XLOOKUP(A375,'7月排产计划'!G:G,'7月排产计划'!B:B)</f>
        <v/>
      </c>
      <c r="F375" s="69">
        <f>E375&amp;D375&amp;"寸"</f>
        <v/>
      </c>
      <c r="G375" s="408" t="inlineStr">
        <is>
          <t>全钢</t>
        </is>
      </c>
      <c r="H375" s="74">
        <f>D375&amp;G375</f>
        <v/>
      </c>
    </row>
    <row r="376">
      <c r="A376" s="347" t="inlineStr">
        <is>
          <t>ID7.50R16-14PR(122/118L)[CM988]威狮</t>
        </is>
      </c>
      <c r="B376" s="406" t="n">
        <v>1300</v>
      </c>
      <c r="C376" s="410" t="inlineStr">
        <is>
          <t>亚</t>
        </is>
      </c>
      <c r="D376" s="74">
        <f>MID(A376,FIND("R",A376)+1,2)</f>
        <v/>
      </c>
      <c r="E376" s="408">
        <f>_xlfn.XLOOKUP(A376,'7月排产计划'!G:G,'7月排产计划'!B:B)</f>
        <v/>
      </c>
      <c r="F376" s="69">
        <f>E376&amp;D376&amp;"寸"</f>
        <v/>
      </c>
      <c r="G376" s="408" t="inlineStr">
        <is>
          <t>全钢</t>
        </is>
      </c>
      <c r="H376" s="74">
        <f>D376&amp;G376</f>
        <v/>
      </c>
    </row>
    <row r="377">
      <c r="A377" s="347" t="inlineStr">
        <is>
          <t>ID7.50R16-14PR(122/118L)[CR926]GOODRIDE(好运)</t>
        </is>
      </c>
      <c r="B377" s="406" t="n">
        <v>1600</v>
      </c>
      <c r="C377" s="410" t="inlineStr">
        <is>
          <t>亚</t>
        </is>
      </c>
      <c r="D377" s="74">
        <f>MID(A377,FIND("R",A377)+1,2)</f>
        <v/>
      </c>
      <c r="E377" s="408">
        <f>_xlfn.XLOOKUP(A377,'7月排产计划'!G:G,'7月排产计划'!B:B)</f>
        <v/>
      </c>
      <c r="F377" s="69">
        <f>E377&amp;D377&amp;"寸"</f>
        <v/>
      </c>
      <c r="G377" s="408" t="inlineStr">
        <is>
          <t>全钢</t>
        </is>
      </c>
      <c r="H377" s="74">
        <f>D377&amp;G377</f>
        <v/>
      </c>
    </row>
    <row r="378">
      <c r="A378" s="347" t="inlineStr">
        <is>
          <t>ID7.50R16-14PR(122/118L)[CR926]朝阳</t>
        </is>
      </c>
      <c r="B378" s="406" t="n">
        <v>250</v>
      </c>
      <c r="C378" s="410" t="inlineStr">
        <is>
          <t>亚</t>
        </is>
      </c>
      <c r="D378" s="74">
        <f>MID(A378,FIND("R",A378)+1,2)</f>
        <v/>
      </c>
      <c r="E378" s="408">
        <f>_xlfn.XLOOKUP(A378,'7月排产计划'!G:G,'7月排产计划'!B:B)</f>
        <v/>
      </c>
      <c r="F378" s="69">
        <f>E378&amp;D378&amp;"寸"</f>
        <v/>
      </c>
      <c r="G378" s="408" t="inlineStr">
        <is>
          <t>全钢</t>
        </is>
      </c>
      <c r="H378" s="74">
        <f>D378&amp;G378</f>
        <v/>
      </c>
    </row>
    <row r="379">
      <c r="A379" s="347" t="inlineStr">
        <is>
          <t>ID7.50R16-14PR(122/118L)[CR926]威狮</t>
        </is>
      </c>
      <c r="B379" s="406" t="n">
        <v>1300</v>
      </c>
      <c r="C379" s="410" t="inlineStr">
        <is>
          <t>亚</t>
        </is>
      </c>
      <c r="D379" s="74">
        <f>MID(A379,FIND("R",A379)+1,2)</f>
        <v/>
      </c>
      <c r="E379" s="408">
        <f>_xlfn.XLOOKUP(A379,'7月排产计划'!G:G,'7月排产计划'!B:B)</f>
        <v/>
      </c>
      <c r="F379" s="69">
        <f>E379&amp;D379&amp;"寸"</f>
        <v/>
      </c>
      <c r="G379" s="408" t="inlineStr">
        <is>
          <t>全钢</t>
        </is>
      </c>
      <c r="H379" s="74">
        <f>D379&amp;G379</f>
        <v/>
      </c>
    </row>
    <row r="380">
      <c r="A380" s="347" t="inlineStr">
        <is>
          <t>ID7.50R16-14PR(122/118L)[EZ369]朝阳</t>
        </is>
      </c>
      <c r="B380" s="406" t="n">
        <v>800</v>
      </c>
      <c r="C380" s="410" t="inlineStr">
        <is>
          <t>亚</t>
        </is>
      </c>
      <c r="D380" s="74">
        <f>MID(A380,FIND("R",A380)+1,2)</f>
        <v/>
      </c>
      <c r="E380" s="408">
        <f>_xlfn.XLOOKUP(A380,'7月排产计划'!G:G,'7月排产计划'!B:B)</f>
        <v/>
      </c>
      <c r="F380" s="69">
        <f>E380&amp;D380&amp;"寸"</f>
        <v/>
      </c>
      <c r="G380" s="408" t="inlineStr">
        <is>
          <t>全钢</t>
        </is>
      </c>
      <c r="H380" s="74">
        <f>D380&amp;G380</f>
        <v/>
      </c>
    </row>
    <row r="381">
      <c r="A381" s="347" t="inlineStr">
        <is>
          <t>ID7.50R16-14PR(122/118L)[EZ369]金冠</t>
        </is>
      </c>
      <c r="B381" s="406" t="n">
        <v>1100</v>
      </c>
      <c r="C381" s="410" t="inlineStr">
        <is>
          <t>亚</t>
        </is>
      </c>
      <c r="D381" s="74">
        <f>MID(A381,FIND("R",A381)+1,2)</f>
        <v/>
      </c>
      <c r="E381" s="408">
        <f>_xlfn.XLOOKUP(A381,'7月排产计划'!G:G,'7月排产计划'!B:B)</f>
        <v/>
      </c>
      <c r="F381" s="69">
        <f>E381&amp;D381&amp;"寸"</f>
        <v/>
      </c>
      <c r="G381" s="408" t="inlineStr">
        <is>
          <t>全钢</t>
        </is>
      </c>
      <c r="H381" s="74">
        <f>D381&amp;G381</f>
        <v/>
      </c>
    </row>
    <row r="382">
      <c r="A382" s="347" t="inlineStr">
        <is>
          <t>ID7.50R16-14PR(122/118L)[FOLO.R109]EFFIPLUS</t>
        </is>
      </c>
      <c r="B382" s="406" t="n">
        <v>650</v>
      </c>
      <c r="C382" s="410" t="inlineStr">
        <is>
          <t>亚</t>
        </is>
      </c>
      <c r="D382" s="74">
        <f>MID(A382,FIND("R",A382)+1,2)</f>
        <v/>
      </c>
      <c r="E382" s="408">
        <f>_xlfn.XLOOKUP(A382,'7月排产计划'!G:G,'7月排产计划'!B:B)</f>
        <v/>
      </c>
      <c r="F382" s="69">
        <f>E382&amp;D382&amp;"寸"</f>
        <v/>
      </c>
      <c r="G382" s="408" t="inlineStr">
        <is>
          <t>全钢</t>
        </is>
      </c>
      <c r="H382" s="74">
        <f>D382&amp;G382</f>
        <v/>
      </c>
    </row>
    <row r="383">
      <c r="A383" s="347" t="inlineStr">
        <is>
          <t>ID7.50R16-14PR(122/118L)[MOBY.R856X]EFFIPLUS</t>
        </is>
      </c>
      <c r="B383" s="406" t="n">
        <v>1400</v>
      </c>
      <c r="C383" s="410" t="inlineStr">
        <is>
          <t>亚</t>
        </is>
      </c>
      <c r="D383" s="74">
        <f>MID(A383,FIND("R",A383)+1,2)</f>
        <v/>
      </c>
      <c r="E383" s="408">
        <f>_xlfn.XLOOKUP(A383,'7月排产计划'!G:G,'7月排产计划'!B:B)</f>
        <v/>
      </c>
      <c r="F383" s="69">
        <f>E383&amp;D383&amp;"寸"</f>
        <v/>
      </c>
      <c r="G383" s="408" t="inlineStr">
        <is>
          <t>全钢</t>
        </is>
      </c>
      <c r="H383" s="74">
        <f>D383&amp;G383</f>
        <v/>
      </c>
    </row>
    <row r="384">
      <c r="A384" s="347" t="inlineStr">
        <is>
          <t>ID7.50R16-14PR(122/118L)[MT200]UNITED</t>
        </is>
      </c>
      <c r="B384" s="406" t="n">
        <v>400</v>
      </c>
      <c r="C384" s="410" t="inlineStr">
        <is>
          <t>亚</t>
        </is>
      </c>
      <c r="D384" s="74">
        <f>MID(A384,FIND("R",A384)+1,2)</f>
        <v/>
      </c>
      <c r="E384" s="408">
        <f>_xlfn.XLOOKUP(A384,'7月排产计划'!G:G,'7月排产计划'!B:B)</f>
        <v/>
      </c>
      <c r="F384" s="69">
        <f>E384&amp;D384&amp;"寸"</f>
        <v/>
      </c>
      <c r="G384" s="408" t="inlineStr">
        <is>
          <t>全钢</t>
        </is>
      </c>
      <c r="H384" s="74">
        <f>D384&amp;G384</f>
        <v/>
      </c>
    </row>
    <row r="385">
      <c r="A385" s="347" t="inlineStr">
        <is>
          <t>ID7.50R16-14PR(122/118L)[TZ202]TIANLI</t>
        </is>
      </c>
      <c r="B385" s="406" t="n">
        <v>650</v>
      </c>
      <c r="C385" s="410" t="inlineStr">
        <is>
          <t>亚</t>
        </is>
      </c>
      <c r="D385" s="74">
        <f>MID(A385,FIND("R",A385)+1,2)</f>
        <v/>
      </c>
      <c r="E385" s="408">
        <f>_xlfn.XLOOKUP(A385,'7月排产计划'!G:G,'7月排产计划'!B:B)</f>
        <v/>
      </c>
      <c r="F385" s="69">
        <f>E385&amp;D385&amp;"寸"</f>
        <v/>
      </c>
      <c r="G385" s="408" t="inlineStr">
        <is>
          <t>全钢</t>
        </is>
      </c>
      <c r="H385" s="74">
        <f>D385&amp;G385</f>
        <v/>
      </c>
    </row>
    <row r="386">
      <c r="A386" s="347" t="inlineStr">
        <is>
          <t>ID7.50R16-14PR(122/118L)[TZ303]TIANLI</t>
        </is>
      </c>
      <c r="B386" s="406" t="n">
        <v>750</v>
      </c>
      <c r="C386" s="410" t="inlineStr">
        <is>
          <t>亚</t>
        </is>
      </c>
      <c r="D386" s="74">
        <f>MID(A386,FIND("R",A386)+1,2)</f>
        <v/>
      </c>
      <c r="E386" s="408">
        <f>_xlfn.XLOOKUP(A386,'7月排产计划'!G:G,'7月排产计划'!B:B)</f>
        <v/>
      </c>
      <c r="F386" s="69">
        <f>E386&amp;D386&amp;"寸"</f>
        <v/>
      </c>
      <c r="G386" s="408" t="inlineStr">
        <is>
          <t>全钢</t>
        </is>
      </c>
      <c r="H386" s="74">
        <f>D386&amp;G386</f>
        <v/>
      </c>
    </row>
    <row r="387">
      <c r="A387" s="347" t="inlineStr">
        <is>
          <t>ID8.25R16-16PR(128/124L)[CR926]威狮</t>
        </is>
      </c>
      <c r="B387" s="406" t="n">
        <v>300</v>
      </c>
      <c r="C387" s="410" t="inlineStr">
        <is>
          <t>亚</t>
        </is>
      </c>
      <c r="D387" s="74">
        <f>MID(A387,FIND("R",A387)+1,2)</f>
        <v/>
      </c>
      <c r="E387" s="408">
        <f>_xlfn.XLOOKUP(A387,'7月排产计划'!G:G,'7月排产计划'!B:B)</f>
        <v/>
      </c>
      <c r="F387" s="69">
        <f>E387&amp;D387&amp;"寸"</f>
        <v/>
      </c>
      <c r="G387" s="408" t="inlineStr">
        <is>
          <t>全钢</t>
        </is>
      </c>
      <c r="H387" s="74">
        <f>D387&amp;G387</f>
        <v/>
      </c>
    </row>
    <row r="388">
      <c r="A388" s="347" t="n"/>
      <c r="B388" s="406">
        <f>SUM(B63:B387)</f>
        <v/>
      </c>
      <c r="C388" s="410" t="inlineStr">
        <is>
          <t>亚</t>
        </is>
      </c>
      <c r="E388" s="408" t="n"/>
      <c r="G388" s="408" t="n"/>
    </row>
    <row r="389">
      <c r="A389" s="347" t="inlineStr">
        <is>
          <t>IDST205/75R14-8PR[STZC]105/101L 西湖无内</t>
        </is>
      </c>
      <c r="B389" s="406" t="n">
        <v>1300</v>
      </c>
      <c r="C389" s="410" t="inlineStr">
        <is>
          <t xml:space="preserve"> 北美</t>
        </is>
      </c>
      <c r="D389" s="74">
        <f>MID(A389,FIND("R",A389)+1,2)</f>
        <v/>
      </c>
      <c r="E389" s="408" t="inlineStr">
        <is>
          <t>半钢ST</t>
        </is>
      </c>
      <c r="F389" s="69">
        <f>E389&amp;D389&amp;"寸"</f>
        <v/>
      </c>
      <c r="G389" s="408" t="n"/>
    </row>
    <row r="390">
      <c r="A390" s="347" t="inlineStr">
        <is>
          <t>IDST205/75R15-8PR[ST100]107/102M ARISUN无内</t>
        </is>
      </c>
      <c r="B390" s="406" t="n">
        <v>300</v>
      </c>
      <c r="C390" s="410" t="inlineStr">
        <is>
          <t xml:space="preserve"> 北美</t>
        </is>
      </c>
      <c r="D390" s="74">
        <f>MID(A390,FIND("R",A390)+1,2)</f>
        <v/>
      </c>
      <c r="E390" s="408" t="inlineStr">
        <is>
          <t>半钢ST</t>
        </is>
      </c>
      <c r="F390" s="69">
        <f>E390&amp;D390&amp;"寸"</f>
        <v/>
      </c>
      <c r="G390" s="408" t="n"/>
    </row>
    <row r="391">
      <c r="A391" s="347" t="inlineStr">
        <is>
          <t>IDST205/75R15-8PR[STZC]107/102L 西湖无内</t>
        </is>
      </c>
      <c r="B391" s="406" t="n">
        <v>1700</v>
      </c>
      <c r="C391" s="410" t="inlineStr">
        <is>
          <t xml:space="preserve"> 北美</t>
        </is>
      </c>
      <c r="D391" s="74">
        <f>MID(A391,FIND("R",A391)+1,2)</f>
        <v/>
      </c>
      <c r="E391" s="408" t="inlineStr">
        <is>
          <t>半钢ST</t>
        </is>
      </c>
      <c r="F391" s="69">
        <f>E391&amp;D391&amp;"寸"</f>
        <v/>
      </c>
      <c r="G391" s="408" t="n"/>
    </row>
    <row r="392">
      <c r="A392" s="347" t="inlineStr">
        <is>
          <t>IDST225/75R15-10PR[ST100]117/112M ARISUN无内</t>
        </is>
      </c>
      <c r="B392" s="406" t="n">
        <v>400</v>
      </c>
      <c r="C392" s="410" t="inlineStr">
        <is>
          <t xml:space="preserve"> 北美</t>
        </is>
      </c>
      <c r="D392" s="74">
        <f>MID(A392,FIND("R",A392)+1,2)</f>
        <v/>
      </c>
      <c r="E392" s="408" t="inlineStr">
        <is>
          <t>半钢ST</t>
        </is>
      </c>
      <c r="F392" s="69">
        <f>E392&amp;D392&amp;"寸"</f>
        <v/>
      </c>
      <c r="G392" s="408" t="n"/>
    </row>
    <row r="393">
      <c r="A393" s="347" t="inlineStr">
        <is>
          <t>ID165/70R13PR[T-118]79T TRAZANO(全诺)无内</t>
        </is>
      </c>
      <c r="B393" s="406" t="n">
        <v>5000</v>
      </c>
      <c r="C393" s="410" t="inlineStr">
        <is>
          <t>南美</t>
        </is>
      </c>
      <c r="D393" s="74">
        <f>MID(A393,FIND("R",A393)+1,2)</f>
        <v/>
      </c>
      <c r="E393" s="408" t="inlineStr">
        <is>
          <t>半钢ST</t>
        </is>
      </c>
      <c r="F393" s="69">
        <f>E393&amp;D393&amp;"寸"</f>
        <v/>
      </c>
      <c r="G393" s="408" t="n"/>
    </row>
    <row r="394">
      <c r="A394" s="347" t="inlineStr">
        <is>
          <t>ID165/70R14PR[T-118]81T TRAZANO(全诺)无内</t>
        </is>
      </c>
      <c r="B394" s="406" t="n">
        <v>2000</v>
      </c>
      <c r="C394" s="410" t="inlineStr">
        <is>
          <t>南美</t>
        </is>
      </c>
      <c r="D394" s="74">
        <f>MID(A394,FIND("R",A394)+1,2)</f>
        <v/>
      </c>
      <c r="E394" s="408" t="inlineStr">
        <is>
          <t>半钢ST</t>
        </is>
      </c>
      <c r="F394" s="69">
        <f>E394&amp;D394&amp;"寸"</f>
        <v/>
      </c>
      <c r="G394" s="408" t="n"/>
    </row>
    <row r="395">
      <c r="A395" s="347" t="inlineStr">
        <is>
          <t>ID165/70R14PR[Z-108]81T 西湖无内</t>
        </is>
      </c>
      <c r="B395" s="406" t="n">
        <v>3800</v>
      </c>
      <c r="C395" s="410" t="inlineStr">
        <is>
          <t>南美</t>
        </is>
      </c>
      <c r="D395" s="74">
        <f>MID(A395,FIND("R",A395)+1,2)</f>
        <v/>
      </c>
      <c r="E395" s="408" t="inlineStr">
        <is>
          <t>半钢ST</t>
        </is>
      </c>
      <c r="F395" s="69">
        <f>E395&amp;D395&amp;"寸"</f>
        <v/>
      </c>
      <c r="G395" s="408" t="n"/>
    </row>
    <row r="396">
      <c r="A396" s="347" t="inlineStr">
        <is>
          <t>ID175/65R14PR[T-118]82H TRAZANO(全诺)无内</t>
        </is>
      </c>
      <c r="B396" s="406" t="n">
        <v>25000</v>
      </c>
      <c r="C396" s="410" t="inlineStr">
        <is>
          <t>南美</t>
        </is>
      </c>
      <c r="D396" s="74">
        <f>MID(A396,FIND("R",A396)+1,2)</f>
        <v/>
      </c>
      <c r="E396" s="408" t="inlineStr">
        <is>
          <t>半钢ST</t>
        </is>
      </c>
      <c r="F396" s="69">
        <f>E396&amp;D396&amp;"寸"</f>
        <v/>
      </c>
      <c r="G396" s="408" t="n"/>
    </row>
    <row r="397">
      <c r="A397" s="347" t="inlineStr">
        <is>
          <t>ID175/65R14PR[Z-108]82H 西湖无内</t>
        </is>
      </c>
      <c r="B397" s="406" t="n">
        <v>17000</v>
      </c>
      <c r="C397" s="410" t="inlineStr">
        <is>
          <t>南美</t>
        </is>
      </c>
      <c r="D397" s="74">
        <f>MID(A397,FIND("R",A397)+1,2)</f>
        <v/>
      </c>
      <c r="E397" s="408" t="inlineStr">
        <is>
          <t>半钢ST</t>
        </is>
      </c>
      <c r="F397" s="69">
        <f>E397&amp;D397&amp;"寸"</f>
        <v/>
      </c>
      <c r="G397" s="408" t="n"/>
    </row>
    <row r="398">
      <c r="A398" s="347" t="inlineStr">
        <is>
          <t>ID175/70R13PR[T-118]82T TRAZANO(全诺)无内</t>
        </is>
      </c>
      <c r="B398" s="406" t="n">
        <v>10000</v>
      </c>
      <c r="C398" s="410" t="inlineStr">
        <is>
          <t>南美</t>
        </is>
      </c>
      <c r="D398" s="74">
        <f>MID(A398,FIND("R",A398)+1,2)</f>
        <v/>
      </c>
      <c r="E398" s="408" t="inlineStr">
        <is>
          <t>半钢ST</t>
        </is>
      </c>
      <c r="F398" s="69">
        <f>E398&amp;D398&amp;"寸"</f>
        <v/>
      </c>
      <c r="G398" s="408" t="n"/>
    </row>
    <row r="399">
      <c r="A399" s="347" t="inlineStr">
        <is>
          <t>ID175/70R13PR[Z-108]82T 西湖无内</t>
        </is>
      </c>
      <c r="B399" s="406" t="n">
        <v>6700</v>
      </c>
      <c r="C399" s="410" t="inlineStr">
        <is>
          <t>南美</t>
        </is>
      </c>
      <c r="D399" s="74">
        <f>MID(A399,FIND("R",A399)+1,2)</f>
        <v/>
      </c>
      <c r="E399" s="408" t="inlineStr">
        <is>
          <t>半钢ST</t>
        </is>
      </c>
      <c r="F399" s="69">
        <f>E399&amp;D399&amp;"寸"</f>
        <v/>
      </c>
      <c r="G399" s="408" t="n"/>
    </row>
    <row r="400">
      <c r="A400" s="347" t="inlineStr">
        <is>
          <t>ID175/70R14PR[T-118]84T TRAZANO(全诺)无内</t>
        </is>
      </c>
      <c r="B400" s="406" t="n">
        <v>25000</v>
      </c>
      <c r="C400" s="410" t="inlineStr">
        <is>
          <t>南美</t>
        </is>
      </c>
      <c r="D400" s="74">
        <f>MID(A400,FIND("R",A400)+1,2)</f>
        <v/>
      </c>
      <c r="E400" s="408" t="inlineStr">
        <is>
          <t>半钢ST</t>
        </is>
      </c>
      <c r="F400" s="69">
        <f>E400&amp;D400&amp;"寸"</f>
        <v/>
      </c>
      <c r="G400" s="408" t="n"/>
    </row>
    <row r="401">
      <c r="A401" s="347" t="inlineStr">
        <is>
          <t>ID175/70R14PR[Z-108]84T 西湖无内</t>
        </is>
      </c>
      <c r="B401" s="406" t="n">
        <v>27000</v>
      </c>
      <c r="C401" s="410" t="inlineStr">
        <is>
          <t>南美</t>
        </is>
      </c>
      <c r="D401" s="74">
        <f>MID(A401,FIND("R",A401)+1,2)</f>
        <v/>
      </c>
      <c r="E401" s="408" t="inlineStr">
        <is>
          <t>半钢ST</t>
        </is>
      </c>
      <c r="F401" s="69">
        <f>E401&amp;D401&amp;"寸"</f>
        <v/>
      </c>
      <c r="G401" s="408" t="n"/>
    </row>
    <row r="402">
      <c r="A402" s="347" t="inlineStr">
        <is>
          <t>ID185/65R14PR[T-118]86H TRAZANO(全诺)无内</t>
        </is>
      </c>
      <c r="B402" s="406" t="n">
        <v>2000</v>
      </c>
      <c r="C402" s="410" t="inlineStr">
        <is>
          <t>南美</t>
        </is>
      </c>
      <c r="D402" s="74">
        <f>MID(A402,FIND("R",A402)+1,2)</f>
        <v/>
      </c>
      <c r="E402" s="408" t="inlineStr">
        <is>
          <t>半钢ST</t>
        </is>
      </c>
      <c r="F402" s="69">
        <f>E402&amp;D402&amp;"寸"</f>
        <v/>
      </c>
      <c r="G402" s="408" t="n"/>
    </row>
    <row r="403">
      <c r="A403" s="347" t="inlineStr">
        <is>
          <t>ID185/65R14PR[Z-108]86H 西湖无内</t>
        </is>
      </c>
      <c r="B403" s="406" t="n">
        <v>1700</v>
      </c>
      <c r="C403" s="410" t="inlineStr">
        <is>
          <t>南美</t>
        </is>
      </c>
      <c r="D403" s="74">
        <f>MID(A403,FIND("R",A403)+1,2)</f>
        <v/>
      </c>
      <c r="E403" s="408" t="inlineStr">
        <is>
          <t>半钢ST</t>
        </is>
      </c>
      <c r="F403" s="69">
        <f>E403&amp;D403&amp;"寸"</f>
        <v/>
      </c>
      <c r="G403" s="408" t="n"/>
    </row>
    <row r="404">
      <c r="A404" s="347" t="inlineStr">
        <is>
          <t>ID185/70R14PR[T-118]88T TRAZANO(全诺)无内</t>
        </is>
      </c>
      <c r="B404" s="406" t="n">
        <v>10000</v>
      </c>
      <c r="C404" s="410" t="inlineStr">
        <is>
          <t>南美</t>
        </is>
      </c>
      <c r="D404" s="74">
        <f>MID(A404,FIND("R",A404)+1,2)</f>
        <v/>
      </c>
      <c r="E404" s="408" t="inlineStr">
        <is>
          <t>半钢ST</t>
        </is>
      </c>
      <c r="F404" s="69">
        <f>E404&amp;D404&amp;"寸"</f>
        <v/>
      </c>
      <c r="G404" s="408" t="n"/>
    </row>
    <row r="405">
      <c r="A405" s="347" t="inlineStr">
        <is>
          <t>ID185/70R14PR[Z-108]88T 西湖无内</t>
        </is>
      </c>
      <c r="B405" s="406" t="n">
        <v>8000</v>
      </c>
      <c r="C405" s="410" t="inlineStr">
        <is>
          <t>南美</t>
        </is>
      </c>
      <c r="D405" s="74">
        <f>MID(A405,FIND("R",A405)+1,2)</f>
        <v/>
      </c>
      <c r="E405" s="408" t="inlineStr">
        <is>
          <t>半钢ST</t>
        </is>
      </c>
      <c r="F405" s="69">
        <f>E405&amp;D405&amp;"寸"</f>
        <v/>
      </c>
      <c r="G405" s="408" t="n"/>
    </row>
    <row r="406">
      <c r="A406" s="347" t="n"/>
      <c r="B406" s="406">
        <f>SUM(B389:B405)</f>
        <v/>
      </c>
      <c r="C406" s="410" t="n"/>
      <c r="E406" s="408" t="n"/>
      <c r="G406" s="408" t="n"/>
    </row>
    <row r="407">
      <c r="A407" s="347" t="n"/>
      <c r="B407" s="406" t="n"/>
      <c r="C407" s="410" t="n"/>
      <c r="E407" s="408" t="n"/>
      <c r="G407" s="408" t="n"/>
    </row>
    <row r="408">
      <c r="A408" s="347" t="n"/>
      <c r="B408" s="406" t="n"/>
      <c r="C408" s="410" t="n"/>
      <c r="E408" s="408" t="n"/>
      <c r="G408" s="408" t="n"/>
    </row>
    <row r="409">
      <c r="A409" s="347" t="n"/>
      <c r="B409" s="406" t="n"/>
      <c r="C409" s="410" t="n"/>
      <c r="E409" s="408" t="n"/>
      <c r="G409" s="408" t="n"/>
    </row>
    <row r="410">
      <c r="A410" s="347" t="n"/>
      <c r="B410" s="406" t="n"/>
      <c r="C410" s="410" t="n"/>
      <c r="E410" s="408" t="n"/>
      <c r="G410" s="408" t="n"/>
    </row>
    <row r="411">
      <c r="A411" s="347" t="n"/>
      <c r="B411" s="406" t="n"/>
      <c r="C411" s="410" t="n"/>
      <c r="E411" s="408" t="n"/>
      <c r="G411" s="408" t="n"/>
    </row>
    <row r="412">
      <c r="A412" s="347" t="n"/>
      <c r="B412" s="406" t="n"/>
      <c r="C412" s="410" t="n"/>
      <c r="E412" s="408" t="n"/>
      <c r="G412" s="408" t="n"/>
    </row>
    <row r="413">
      <c r="A413" s="347" t="n"/>
      <c r="B413" s="406" t="n"/>
      <c r="C413" s="410" t="n"/>
      <c r="E413" s="408" t="n"/>
      <c r="G413" s="408" t="n"/>
    </row>
    <row r="414">
      <c r="A414" s="347" t="n"/>
      <c r="B414" s="406" t="n"/>
      <c r="C414" s="410" t="n"/>
      <c r="E414" s="408" t="n"/>
      <c r="G414" s="408" t="n"/>
    </row>
    <row r="415">
      <c r="A415" s="347" t="n"/>
      <c r="B415" s="406" t="n"/>
      <c r="C415" s="410" t="n"/>
      <c r="E415" s="408" t="n"/>
      <c r="G415" s="408" t="n"/>
    </row>
    <row r="416">
      <c r="A416" s="347" t="n"/>
      <c r="B416" s="406" t="n"/>
      <c r="C416" s="410" t="n"/>
      <c r="E416" s="408" t="n"/>
      <c r="G416" s="408" t="n"/>
    </row>
    <row r="417">
      <c r="A417" s="347" t="n"/>
      <c r="B417" s="406" t="n"/>
      <c r="C417" s="410" t="n"/>
      <c r="E417" s="408" t="n"/>
      <c r="G417" s="408" t="n"/>
    </row>
    <row r="418">
      <c r="A418" s="347" t="n"/>
      <c r="B418" s="406" t="n"/>
      <c r="C418" s="410" t="n"/>
      <c r="E418" s="408" t="n"/>
      <c r="G418" s="408" t="n"/>
    </row>
    <row r="419">
      <c r="A419" s="347" t="n"/>
      <c r="B419" s="406" t="n"/>
      <c r="C419" s="410" t="n"/>
      <c r="E419" s="408" t="n"/>
      <c r="G419" s="408" t="n"/>
    </row>
    <row r="420">
      <c r="A420" s="347" t="n"/>
      <c r="B420" s="406" t="n"/>
      <c r="C420" s="410" t="n"/>
      <c r="E420" s="408" t="n"/>
      <c r="G420" s="408" t="n"/>
    </row>
    <row r="421">
      <c r="A421" s="347" t="n"/>
      <c r="B421" s="406" t="n"/>
      <c r="C421" s="410" t="n"/>
      <c r="E421" s="408" t="n"/>
      <c r="G421" s="408" t="n"/>
    </row>
    <row r="422">
      <c r="A422" s="347" t="n"/>
      <c r="B422" s="406" t="n"/>
      <c r="C422" s="410" t="n"/>
      <c r="E422" s="408" t="n"/>
      <c r="G422" s="408" t="n"/>
    </row>
    <row r="423">
      <c r="A423" s="347" t="n"/>
      <c r="B423" s="406" t="n"/>
      <c r="C423" s="410" t="n"/>
      <c r="E423" s="408" t="n"/>
      <c r="G423" s="408" t="n"/>
    </row>
    <row r="424">
      <c r="A424" s="347" t="n"/>
      <c r="B424" s="406" t="n"/>
      <c r="C424" s="410" t="n"/>
      <c r="E424" s="408" t="n"/>
      <c r="G424" s="408" t="n"/>
    </row>
    <row r="425">
      <c r="A425" s="347" t="n"/>
      <c r="B425" s="406" t="n"/>
      <c r="C425" s="410" t="n"/>
      <c r="E425" s="408" t="n"/>
      <c r="G425" s="408" t="n"/>
    </row>
    <row r="426">
      <c r="A426" s="347" t="n"/>
      <c r="B426" s="406" t="n"/>
      <c r="C426" s="410" t="n"/>
      <c r="E426" s="408" t="n"/>
      <c r="G426" s="408" t="n"/>
    </row>
    <row r="427">
      <c r="A427" s="347" t="n"/>
      <c r="B427" s="406" t="n"/>
      <c r="C427" s="410" t="n"/>
      <c r="E427" s="408" t="n"/>
      <c r="G427" s="408" t="n"/>
    </row>
    <row r="428">
      <c r="A428" s="347" t="n"/>
      <c r="B428" s="406" t="n"/>
      <c r="C428" s="410" t="n"/>
      <c r="E428" s="408" t="n"/>
      <c r="G428" s="408" t="n"/>
    </row>
    <row r="429">
      <c r="A429" s="347" t="n"/>
      <c r="B429" s="406" t="n"/>
      <c r="C429" s="410" t="n"/>
      <c r="E429" s="408" t="n"/>
      <c r="G429" s="408" t="n"/>
    </row>
    <row r="430">
      <c r="A430" s="347" t="n"/>
      <c r="B430" s="406" t="n"/>
      <c r="C430" s="410" t="n"/>
      <c r="E430" s="408" t="n"/>
      <c r="G430" s="408" t="n"/>
    </row>
    <row r="431">
      <c r="A431" s="347" t="n"/>
      <c r="B431" s="406" t="n"/>
      <c r="C431" s="410" t="n"/>
      <c r="E431" s="408" t="n"/>
      <c r="G431" s="408" t="n"/>
    </row>
    <row r="433">
      <c r="A433" s="397" t="inlineStr">
        <is>
          <t>ID12.00R20-20PR(156/153F)[CB332]威狮</t>
        </is>
      </c>
      <c r="C433" s="399" t="inlineStr">
        <is>
          <t>亚</t>
        </is>
      </c>
    </row>
    <row r="434">
      <c r="A434" s="397" t="inlineStr">
        <is>
          <t>ID12.00R24-20PR(160/157F)[CB972E]威狮</t>
        </is>
      </c>
      <c r="C434" s="399" t="inlineStr">
        <is>
          <t>亚</t>
        </is>
      </c>
    </row>
    <row r="435">
      <c r="A435" s="397" t="inlineStr">
        <is>
          <t>ID7.50R16-14PR(122/118L)[CM988]威狮</t>
        </is>
      </c>
      <c r="C435" s="399" t="inlineStr">
        <is>
          <t>亚</t>
        </is>
      </c>
    </row>
    <row r="436">
      <c r="A436" s="397" t="inlineStr">
        <is>
          <t>ID11.00R20-18PR(152/149F)[CB972]威狮</t>
        </is>
      </c>
      <c r="C436" s="399" t="inlineStr">
        <is>
          <t>亚</t>
        </is>
      </c>
    </row>
    <row r="437">
      <c r="A437" s="397" t="inlineStr">
        <is>
          <t>ID11.00R20-18PR(152/149K)[CR926+]威狮</t>
        </is>
      </c>
      <c r="C437" s="399" t="inlineStr">
        <is>
          <t>亚</t>
        </is>
      </c>
    </row>
    <row r="438">
      <c r="A438" s="397" t="inlineStr">
        <is>
          <t>ID11R24.5-16PR(149/146L)[KOBE APM]ITARO无内</t>
        </is>
      </c>
      <c r="C438" s="399" t="inlineStr">
        <is>
          <t>北美</t>
        </is>
      </c>
    </row>
    <row r="439">
      <c r="A439" s="397" t="inlineStr">
        <is>
          <t>ID12.00R24-20PR(160/157F)[TRD-79]TRAZANO(全诺)</t>
        </is>
      </c>
      <c r="C439" s="399" t="inlineStr">
        <is>
          <t>亚</t>
        </is>
      </c>
    </row>
    <row r="440">
      <c r="A440" s="397" t="inlineStr">
        <is>
          <t>ID12.00R20-22PR(158/155F)[TRD-79]TRAZANO(全诺) 东南亚</t>
        </is>
      </c>
      <c r="C440" s="399" t="inlineStr">
        <is>
          <t>亚</t>
        </is>
      </c>
    </row>
    <row r="441">
      <c r="A441" s="397" t="inlineStr">
        <is>
          <t>ID7.50R16-14PR(122/118F)[CB972pro]好运</t>
        </is>
      </c>
      <c r="C441" s="399" t="inlineStr">
        <is>
          <t>亚</t>
        </is>
      </c>
    </row>
    <row r="442">
      <c r="A442" s="397" t="inlineStr">
        <is>
          <t>ID7.50R16-14PR(122/118F)[CB972pro]威狮</t>
        </is>
      </c>
      <c r="C442" s="399" t="inlineStr">
        <is>
          <t>亚</t>
        </is>
      </c>
    </row>
  </sheetData>
  <autoFilter ref="A1:G431"/>
  <mergeCells count="2">
    <mergeCell ref="J60:J61"/>
    <mergeCell ref="J62:J63"/>
  </mergeCells>
  <conditionalFormatting sqref="A347">
    <cfRule type="duplicateValues" priority="87" dxfId="0"/>
  </conditionalFormatting>
  <conditionalFormatting sqref="A348">
    <cfRule type="duplicateValues" priority="86" dxfId="0"/>
  </conditionalFormatting>
  <conditionalFormatting sqref="A349">
    <cfRule type="duplicateValues" priority="85" dxfId="0"/>
  </conditionalFormatting>
  <conditionalFormatting sqref="A350">
    <cfRule type="duplicateValues" priority="84" dxfId="0"/>
  </conditionalFormatting>
  <conditionalFormatting sqref="A351">
    <cfRule type="duplicateValues" priority="83" dxfId="0"/>
  </conditionalFormatting>
  <conditionalFormatting sqref="A352">
    <cfRule type="duplicateValues" priority="82" dxfId="0"/>
  </conditionalFormatting>
  <conditionalFormatting sqref="A353">
    <cfRule type="duplicateValues" priority="81" dxfId="0"/>
  </conditionalFormatting>
  <conditionalFormatting sqref="A354">
    <cfRule type="duplicateValues" priority="80" dxfId="0"/>
  </conditionalFormatting>
  <conditionalFormatting sqref="A355">
    <cfRule type="duplicateValues" priority="79" dxfId="0"/>
  </conditionalFormatting>
  <conditionalFormatting sqref="A356">
    <cfRule type="duplicateValues" priority="78" dxfId="0"/>
  </conditionalFormatting>
  <conditionalFormatting sqref="A357">
    <cfRule type="duplicateValues" priority="77" dxfId="0"/>
  </conditionalFormatting>
  <conditionalFormatting sqref="A358">
    <cfRule type="duplicateValues" priority="76" dxfId="0"/>
  </conditionalFormatting>
  <conditionalFormatting sqref="A359">
    <cfRule type="duplicateValues" priority="75" dxfId="0"/>
  </conditionalFormatting>
  <conditionalFormatting sqref="A360">
    <cfRule type="duplicateValues" priority="74" dxfId="0"/>
  </conditionalFormatting>
  <conditionalFormatting sqref="A361">
    <cfRule type="duplicateValues" priority="73" dxfId="0"/>
  </conditionalFormatting>
  <conditionalFormatting sqref="A362">
    <cfRule type="duplicateValues" priority="72" dxfId="0"/>
  </conditionalFormatting>
  <conditionalFormatting sqref="A363">
    <cfRule type="duplicateValues" priority="71" dxfId="0"/>
  </conditionalFormatting>
  <conditionalFormatting sqref="A364">
    <cfRule type="duplicateValues" priority="70" dxfId="0"/>
  </conditionalFormatting>
  <conditionalFormatting sqref="A365">
    <cfRule type="duplicateValues" priority="69" dxfId="0"/>
  </conditionalFormatting>
  <conditionalFormatting sqref="A366">
    <cfRule type="duplicateValues" priority="68" dxfId="0"/>
  </conditionalFormatting>
  <conditionalFormatting sqref="A367">
    <cfRule type="duplicateValues" priority="67" dxfId="0"/>
  </conditionalFormatting>
  <conditionalFormatting sqref="A368">
    <cfRule type="duplicateValues" priority="66" dxfId="0"/>
  </conditionalFormatting>
  <conditionalFormatting sqref="A369">
    <cfRule type="duplicateValues" priority="65" dxfId="0"/>
  </conditionalFormatting>
  <conditionalFormatting sqref="A370">
    <cfRule type="duplicateValues" priority="64" dxfId="0"/>
  </conditionalFormatting>
  <conditionalFormatting sqref="A371">
    <cfRule type="duplicateValues" priority="63" dxfId="0"/>
  </conditionalFormatting>
  <conditionalFormatting sqref="A372">
    <cfRule type="duplicateValues" priority="62" dxfId="0"/>
  </conditionalFormatting>
  <conditionalFormatting sqref="A373">
    <cfRule type="duplicateValues" priority="61" dxfId="0"/>
  </conditionalFormatting>
  <conditionalFormatting sqref="A374">
    <cfRule type="duplicateValues" priority="60" dxfId="0"/>
  </conditionalFormatting>
  <conditionalFormatting sqref="A375">
    <cfRule type="duplicateValues" priority="59" dxfId="0"/>
  </conditionalFormatting>
  <conditionalFormatting sqref="A376">
    <cfRule type="duplicateValues" priority="58" dxfId="0"/>
  </conditionalFormatting>
  <conditionalFormatting sqref="A377">
    <cfRule type="duplicateValues" priority="57" dxfId="0"/>
  </conditionalFormatting>
  <conditionalFormatting sqref="A378">
    <cfRule type="duplicateValues" priority="56" dxfId="0"/>
  </conditionalFormatting>
  <conditionalFormatting sqref="A379">
    <cfRule type="duplicateValues" priority="55" dxfId="0"/>
  </conditionalFormatting>
  <conditionalFormatting sqref="A380">
    <cfRule type="duplicateValues" priority="54" dxfId="0"/>
  </conditionalFormatting>
  <conditionalFormatting sqref="A381">
    <cfRule type="duplicateValues" priority="53" dxfId="0"/>
  </conditionalFormatting>
  <conditionalFormatting sqref="A382">
    <cfRule type="duplicateValues" priority="52" dxfId="0"/>
  </conditionalFormatting>
  <conditionalFormatting sqref="A383">
    <cfRule type="duplicateValues" priority="51" dxfId="0"/>
  </conditionalFormatting>
  <conditionalFormatting sqref="A384">
    <cfRule type="duplicateValues" priority="50" dxfId="0"/>
  </conditionalFormatting>
  <conditionalFormatting sqref="A385">
    <cfRule type="duplicateValues" priority="49" dxfId="0"/>
  </conditionalFormatting>
  <conditionalFormatting sqref="A386">
    <cfRule type="duplicateValues" priority="48" dxfId="0"/>
  </conditionalFormatting>
  <conditionalFormatting sqref="A387">
    <cfRule type="duplicateValues" priority="47" dxfId="0"/>
  </conditionalFormatting>
  <conditionalFormatting sqref="A388">
    <cfRule type="duplicateValues" priority="46" dxfId="0"/>
  </conditionalFormatting>
  <conditionalFormatting sqref="A389">
    <cfRule type="duplicateValues" priority="45" dxfId="0"/>
  </conditionalFormatting>
  <conditionalFormatting sqref="A390">
    <cfRule type="duplicateValues" priority="44" dxfId="0"/>
  </conditionalFormatting>
  <conditionalFormatting sqref="A391">
    <cfRule type="duplicateValues" priority="43" dxfId="0"/>
  </conditionalFormatting>
  <conditionalFormatting sqref="A392">
    <cfRule type="duplicateValues" priority="42" dxfId="0"/>
  </conditionalFormatting>
  <conditionalFormatting sqref="A393">
    <cfRule type="duplicateValues" priority="41" dxfId="0"/>
  </conditionalFormatting>
  <conditionalFormatting sqref="A394">
    <cfRule type="duplicateValues" priority="40" dxfId="0"/>
  </conditionalFormatting>
  <conditionalFormatting sqref="A395">
    <cfRule type="duplicateValues" priority="39" dxfId="0"/>
  </conditionalFormatting>
  <conditionalFormatting sqref="A396">
    <cfRule type="duplicateValues" priority="38" dxfId="0"/>
  </conditionalFormatting>
  <conditionalFormatting sqref="A397">
    <cfRule type="duplicateValues" priority="37" dxfId="0"/>
  </conditionalFormatting>
  <conditionalFormatting sqref="A398">
    <cfRule type="duplicateValues" priority="34" dxfId="0"/>
  </conditionalFormatting>
  <conditionalFormatting sqref="A399">
    <cfRule type="duplicateValues" priority="33" dxfId="0"/>
  </conditionalFormatting>
  <conditionalFormatting sqref="A400">
    <cfRule type="duplicateValues" priority="32" dxfId="0"/>
  </conditionalFormatting>
  <conditionalFormatting sqref="A401">
    <cfRule type="duplicateValues" priority="31" dxfId="0"/>
  </conditionalFormatting>
  <conditionalFormatting sqref="A402">
    <cfRule type="duplicateValues" priority="30" dxfId="0"/>
  </conditionalFormatting>
  <conditionalFormatting sqref="A403">
    <cfRule type="duplicateValues" priority="29" dxfId="0"/>
  </conditionalFormatting>
  <conditionalFormatting sqref="A404">
    <cfRule type="duplicateValues" priority="28" dxfId="0"/>
  </conditionalFormatting>
  <conditionalFormatting sqref="A405">
    <cfRule type="duplicateValues" priority="27" dxfId="0"/>
  </conditionalFormatting>
  <conditionalFormatting sqref="A406">
    <cfRule type="duplicateValues" priority="26" dxfId="0"/>
  </conditionalFormatting>
  <conditionalFormatting sqref="A407">
    <cfRule type="duplicateValues" priority="25" dxfId="0"/>
  </conditionalFormatting>
  <conditionalFormatting sqref="A408">
    <cfRule type="duplicateValues" priority="24" dxfId="0"/>
  </conditionalFormatting>
  <conditionalFormatting sqref="A409">
    <cfRule type="duplicateValues" priority="23" dxfId="0"/>
  </conditionalFormatting>
  <conditionalFormatting sqref="A410">
    <cfRule type="duplicateValues" priority="22" dxfId="0"/>
  </conditionalFormatting>
  <conditionalFormatting sqref="A411">
    <cfRule type="duplicateValues" priority="21" dxfId="0"/>
  </conditionalFormatting>
  <conditionalFormatting sqref="A412">
    <cfRule type="duplicateValues" priority="20" dxfId="0"/>
  </conditionalFormatting>
  <conditionalFormatting sqref="A413">
    <cfRule type="duplicateValues" priority="19" dxfId="0"/>
  </conditionalFormatting>
  <conditionalFormatting sqref="A414">
    <cfRule type="duplicateValues" priority="18" dxfId="0"/>
  </conditionalFormatting>
  <conditionalFormatting sqref="A415">
    <cfRule type="duplicateValues" priority="17" dxfId="0"/>
  </conditionalFormatting>
  <conditionalFormatting sqref="A416">
    <cfRule type="duplicateValues" priority="16" dxfId="0"/>
  </conditionalFormatting>
  <conditionalFormatting sqref="A417">
    <cfRule type="duplicateValues" priority="15" dxfId="0"/>
  </conditionalFormatting>
  <conditionalFormatting sqref="A418">
    <cfRule type="duplicateValues" priority="14" dxfId="0"/>
  </conditionalFormatting>
  <conditionalFormatting sqref="A419">
    <cfRule type="duplicateValues" priority="13" dxfId="0"/>
  </conditionalFormatting>
  <conditionalFormatting sqref="A420">
    <cfRule type="duplicateValues" priority="12" dxfId="0"/>
  </conditionalFormatting>
  <conditionalFormatting sqref="A421">
    <cfRule type="duplicateValues" priority="11" dxfId="0"/>
  </conditionalFormatting>
  <conditionalFormatting sqref="A422">
    <cfRule type="duplicateValues" priority="10" dxfId="0"/>
  </conditionalFormatting>
  <conditionalFormatting sqref="A423">
    <cfRule type="duplicateValues" priority="9" dxfId="0"/>
  </conditionalFormatting>
  <conditionalFormatting sqref="A424">
    <cfRule type="duplicateValues" priority="8" dxfId="0"/>
  </conditionalFormatting>
  <conditionalFormatting sqref="A425">
    <cfRule type="duplicateValues" priority="7" dxfId="0"/>
  </conditionalFormatting>
  <conditionalFormatting sqref="A426">
    <cfRule type="duplicateValues" priority="6" dxfId="0"/>
  </conditionalFormatting>
  <conditionalFormatting sqref="A427">
    <cfRule type="duplicateValues" priority="5" dxfId="0"/>
  </conditionalFormatting>
  <conditionalFormatting sqref="A428">
    <cfRule type="duplicateValues" priority="4" dxfId="0"/>
  </conditionalFormatting>
  <conditionalFormatting sqref="A429">
    <cfRule type="duplicateValues" priority="3" dxfId="0"/>
  </conditionalFormatting>
  <conditionalFormatting sqref="A430">
    <cfRule type="duplicateValues" priority="2" dxfId="0"/>
  </conditionalFormatting>
  <conditionalFormatting sqref="A431">
    <cfRule type="duplicateValues" priority="1" dxfId="0"/>
  </conditionalFormatting>
  <conditionalFormatting sqref="A345:A346">
    <cfRule type="duplicateValues" priority="88" dxfId="0"/>
  </conditionalFormatting>
  <pageMargins left="0.75" right="0.75" top="1" bottom="1" header="0.5" footer="0.5"/>
  <pageSetup orientation="portrait" paperSize="9" scale="11" horizontalDpi="300" verticalDpi="300"/>
</worksheet>
</file>

<file path=xl/worksheets/sheet2.xml><?xml version="1.0" encoding="utf-8"?>
<worksheet xmlns="http://schemas.openxmlformats.org/spreadsheetml/2006/main">
  <sheetPr codeName="Sheet9" filterMode="1">
    <outlinePr summaryBelow="1" summaryRight="1"/>
    <pageSetUpPr fitToPage="1"/>
  </sheetPr>
  <dimension ref="A1:DO600"/>
  <sheetViews>
    <sheetView tabSelected="1" zoomScale="71" zoomScaleNormal="71" workbookViewId="0">
      <pane xSplit="17" ySplit="2" topLeftCell="R201" activePane="bottomRight" state="frozen"/>
      <selection activeCell="A1" sqref="A1"/>
      <selection pane="topRight" activeCell="A1" sqref="A1"/>
      <selection pane="bottomLeft" activeCell="A1" sqref="A1"/>
      <selection pane="bottomRight" activeCell="R6" sqref="R6"/>
    </sheetView>
  </sheetViews>
  <sheetFormatPr baseColWidth="8" defaultColWidth="8.800000000000001" defaultRowHeight="14.4"/>
  <cols>
    <col width="1.625" customWidth="1" style="331" min="1" max="1"/>
    <col hidden="1" width="10.6" customWidth="1" style="331" min="2" max="2"/>
    <col hidden="1" width="5.7" customWidth="1" style="331" min="3" max="3"/>
    <col hidden="1" width="11.7583333333333" customWidth="1" style="331" min="4" max="4"/>
    <col hidden="1" width="28.6" customWidth="1" style="376" min="5" max="5"/>
    <col hidden="1" width="53.9333333333333" customWidth="1" style="376" min="6" max="6"/>
    <col width="56.775" customWidth="1" style="376" min="7" max="7"/>
    <col hidden="1" width="8.699999999999999" customWidth="1" style="331" min="8" max="9"/>
    <col hidden="1" width="36.5833333333333" customWidth="1" style="331" min="10" max="10"/>
    <col hidden="1" width="9.9" customWidth="1" style="331" min="11" max="11"/>
    <col hidden="1" width="8.116666666666671" customWidth="1" style="331" min="12" max="13"/>
    <col hidden="1" width="9.9" customWidth="1" style="331" min="14" max="14"/>
    <col hidden="1" width="7.76666666666667" customWidth="1" style="331" min="15" max="15"/>
    <col hidden="1" width="7.875" customWidth="1" style="331" min="16" max="17"/>
    <col width="6.575" customWidth="1" style="331" min="18" max="18"/>
    <col width="6.5" customWidth="1" style="331" min="19" max="28"/>
    <col width="6.93333333333333" customWidth="1" style="331" min="29" max="29"/>
    <col width="6.5" customWidth="1" style="331" min="30" max="48"/>
    <col width="11.525" customWidth="1" style="331" min="49" max="49"/>
    <col width="11.6666666666667" customWidth="1" style="331" min="50" max="50"/>
    <col width="10.6" customWidth="1" style="331" min="51" max="51"/>
    <col hidden="1" width="9.6" customWidth="1" style="362" min="52" max="52"/>
    <col hidden="1" width="8.699999999999999" customWidth="1" style="362" min="53" max="53"/>
    <col hidden="1" width="8.1" customWidth="1" style="362" min="54" max="54"/>
    <col hidden="1" width="8.699999999999999" customWidth="1" style="331" min="55" max="55"/>
    <col hidden="1" width="8.1" customWidth="1" style="331" min="56" max="56"/>
    <col hidden="1" width="11.5" customWidth="1" style="331" min="57" max="58"/>
    <col hidden="1" width="10.5" customWidth="1" style="331" min="59" max="59"/>
    <col hidden="1" width="11.5" customWidth="1" style="331" min="60" max="60"/>
    <col hidden="1" width="3.4" customWidth="1" style="331" min="61" max="61"/>
    <col hidden="1" width="10.5" customWidth="1" style="331" min="62" max="63"/>
    <col hidden="1" width="11.5" customWidth="1" style="331" min="64" max="64"/>
    <col hidden="1" width="8.1" customWidth="1" style="331" min="65" max="65"/>
    <col hidden="1" width="8.800000000000001" customWidth="1" style="362" min="66" max="70"/>
    <col hidden="1" width="8.800000000000001" customWidth="1" style="115" min="71" max="71"/>
    <col hidden="1" width="8.800000000000001" customWidth="1" style="362" min="72" max="81"/>
    <col hidden="1" width="16" customWidth="1" style="390" min="82" max="82"/>
    <col hidden="1" width="10.5" customWidth="1" style="362" min="83" max="83"/>
    <col hidden="1" width="8.800000000000001" customWidth="1" style="362" min="84" max="87"/>
    <col hidden="1" width="8.56666666666667" customWidth="1" style="390" min="88" max="88"/>
    <col hidden="1" width="11.6" customWidth="1" style="362" min="89" max="89"/>
    <col hidden="1" width="12.8" customWidth="1" style="362" min="90" max="93"/>
    <col width="8.800000000000001" customWidth="1" style="362" min="94" max="94"/>
    <col width="12.8" customWidth="1" style="362" min="95" max="95"/>
    <col width="8.800000000000001" customWidth="1" style="362" min="96" max="16384"/>
  </cols>
  <sheetData>
    <row r="1">
      <c r="G1" s="376" t="inlineStr">
        <is>
          <t>,</t>
        </is>
      </c>
      <c r="I1" s="331">
        <f t="array" ref="I1">SUM((I3:I376)/2)</f>
        <v/>
      </c>
      <c r="L1" s="331" t="n">
        <v>350</v>
      </c>
      <c r="M1" s="333" t="n"/>
      <c r="Q1" s="331">
        <f>SUM(Q3:Q375)</f>
        <v/>
      </c>
      <c r="AZ1" s="225" t="inlineStr">
        <is>
          <t>定额</t>
        </is>
      </c>
      <c r="BE1" s="331" t="inlineStr">
        <is>
          <t>计划产生</t>
        </is>
      </c>
    </row>
    <row r="2" ht="31.2" customHeight="1" s="428">
      <c r="B2" s="334" t="inlineStr">
        <is>
          <t>市场</t>
        </is>
      </c>
      <c r="C2" s="334" t="inlineStr">
        <is>
          <t>尺寸</t>
        </is>
      </c>
      <c r="D2" s="334" t="n"/>
      <c r="E2" s="335" t="inlineStr">
        <is>
          <t>规格花纹</t>
        </is>
      </c>
      <c r="F2" s="335" t="n"/>
      <c r="G2" s="336" t="inlineStr">
        <is>
          <t>全钢规格</t>
        </is>
      </c>
      <c r="H2" s="337" t="inlineStr">
        <is>
          <t>订单数</t>
        </is>
      </c>
      <c r="I2" s="334" t="inlineStr">
        <is>
          <t>模具</t>
        </is>
      </c>
      <c r="J2" s="338" t="inlineStr">
        <is>
          <t>发出模具</t>
        </is>
      </c>
      <c r="K2" s="338" t="inlineStr">
        <is>
          <t>优先级别</t>
        </is>
      </c>
      <c r="L2" s="338" t="inlineStr">
        <is>
          <t>硫化时间</t>
        </is>
      </c>
      <c r="M2" s="334" t="inlineStr">
        <is>
          <t>运转率</t>
        </is>
      </c>
      <c r="N2" s="334" t="inlineStr">
        <is>
          <t>轮胎库存</t>
        </is>
      </c>
      <c r="O2" s="338" t="inlineStr">
        <is>
          <t>单胎重量</t>
        </is>
      </c>
      <c r="P2" s="338" t="inlineStr">
        <is>
          <t>中策价</t>
        </is>
      </c>
      <c r="Q2" s="338" t="inlineStr">
        <is>
          <t>硫化机                          条/天</t>
        </is>
      </c>
      <c r="R2" s="339" t="n">
        <v>1</v>
      </c>
      <c r="S2" s="339" t="n">
        <v>2</v>
      </c>
      <c r="T2" s="339" t="n">
        <v>3</v>
      </c>
      <c r="U2" s="339" t="n">
        <v>4</v>
      </c>
      <c r="V2" s="339" t="n">
        <v>5</v>
      </c>
      <c r="W2" s="339" t="n">
        <v>6</v>
      </c>
      <c r="X2" s="339" t="n">
        <v>7</v>
      </c>
      <c r="Y2" s="339" t="n">
        <v>8</v>
      </c>
      <c r="Z2" s="339" t="n">
        <v>9</v>
      </c>
      <c r="AA2" s="339" t="n">
        <v>10</v>
      </c>
      <c r="AB2" s="339" t="n">
        <v>11</v>
      </c>
      <c r="AC2" s="339" t="n">
        <v>12</v>
      </c>
      <c r="AD2" s="339" t="n">
        <v>13</v>
      </c>
      <c r="AE2" s="339" t="n">
        <v>14</v>
      </c>
      <c r="AF2" s="339" t="n">
        <v>15</v>
      </c>
      <c r="AG2" s="339" t="n">
        <v>16</v>
      </c>
      <c r="AH2" s="339" t="n">
        <v>17</v>
      </c>
      <c r="AI2" s="339" t="n">
        <v>18</v>
      </c>
      <c r="AJ2" s="339" t="n">
        <v>19</v>
      </c>
      <c r="AK2" s="339" t="n">
        <v>20</v>
      </c>
      <c r="AL2" s="339" t="n">
        <v>21</v>
      </c>
      <c r="AM2" s="339" t="n">
        <v>22</v>
      </c>
      <c r="AN2" s="339" t="n">
        <v>23</v>
      </c>
      <c r="AO2" s="339" t="n">
        <v>24</v>
      </c>
      <c r="AP2" s="339" t="n">
        <v>25</v>
      </c>
      <c r="AQ2" s="339" t="n">
        <v>26</v>
      </c>
      <c r="AR2" s="339" t="n">
        <v>27</v>
      </c>
      <c r="AS2" s="339" t="n">
        <v>28</v>
      </c>
      <c r="AT2" s="339" t="n">
        <v>29</v>
      </c>
      <c r="AU2" s="339" t="n">
        <v>30</v>
      </c>
      <c r="AV2" s="339" t="n">
        <v>31</v>
      </c>
      <c r="AW2" s="352" t="inlineStr">
        <is>
          <t>合计</t>
        </is>
      </c>
      <c r="AX2" s="341" t="inlineStr">
        <is>
          <t>吨位</t>
        </is>
      </c>
      <c r="AY2" s="341" t="inlineStr">
        <is>
          <t>产值(万元)</t>
        </is>
      </c>
      <c r="AZ2" s="342" t="inlineStr">
        <is>
          <t>原材料</t>
        </is>
      </c>
      <c r="BA2" s="342" t="inlineStr">
        <is>
          <t>动力</t>
        </is>
      </c>
      <c r="BB2" s="342" t="inlineStr">
        <is>
          <t>工资</t>
        </is>
      </c>
      <c r="BC2" s="342" t="inlineStr">
        <is>
          <t>车间经费</t>
        </is>
      </c>
      <c r="BE2" s="343" t="inlineStr">
        <is>
          <t>原材料</t>
        </is>
      </c>
      <c r="BF2" s="343" t="inlineStr">
        <is>
          <t>动力</t>
        </is>
      </c>
      <c r="BG2" s="343" t="inlineStr">
        <is>
          <t>工资</t>
        </is>
      </c>
      <c r="BH2" s="343" t="inlineStr">
        <is>
          <t>车间经费</t>
        </is>
      </c>
      <c r="BY2" s="390">
        <f>SUM(BY3:BY376)</f>
        <v/>
      </c>
      <c r="BZ2" s="390">
        <f>SUM(BZ3:BZ376)</f>
        <v/>
      </c>
      <c r="CA2" s="390">
        <f>SUM(CA3:CA376)</f>
        <v/>
      </c>
      <c r="CB2" s="390">
        <f>SUM(CB3:CB376)</f>
        <v/>
      </c>
      <c r="CC2" s="390" t="n"/>
      <c r="CD2" s="429" t="inlineStr">
        <is>
          <t>Label di Portal</t>
        </is>
      </c>
    </row>
    <row r="3" ht="15.6" customHeight="1" s="428">
      <c r="B3" s="344">
        <f>_xlfn.XLOOKUP(G3,销售需求表!A:A,销售需求表!C:C)</f>
        <v/>
      </c>
      <c r="C3" s="345">
        <f>IFERROR(MID(F3,FIND("R",F3)+1,4),"")</f>
        <v/>
      </c>
      <c r="D3" s="344">
        <f>B3&amp;C3&amp;"寸"</f>
        <v/>
      </c>
      <c r="E3" s="346">
        <f>LEFT(REPLACE(G3,1,2,""),FIND("[",REPLACE(G3,1,2,""))-1)&amp;"-"&amp;MID(REPLACE(G3,1,2,""),FIND("[",REPLACE(G3,1,2,""))+1,FIND("]",REPLACE(G3,1,2,""))-FIND("[",REPLACE(G3,1,2,""))-1)</f>
        <v/>
      </c>
      <c r="F3" s="347">
        <f>IFERROR(MID(G3,3,FIND("(",G3)-3)&amp;"-"&amp;SUBSTITUTE(MID(G3,FIND("[",G3)+1,FIND("]",G3)-FIND("[",G3)-1),"Strong Guard ",""),"")</f>
        <v/>
      </c>
      <c r="G3" s="346" t="inlineStr">
        <is>
          <t>ID11R22.5-14PR(144/142M)[AT552]ARISUN无内</t>
        </is>
      </c>
      <c r="H3" s="344" t="n">
        <v>700</v>
      </c>
      <c r="I3" s="348" t="n"/>
      <c r="J3" s="349">
        <f>IFERROR(LEFT(F3,FIND("-",F3))&amp;MID(F3,FIND("PR",F3,FIND("-",F3))+3,LEN(F3)),F3)</f>
        <v/>
      </c>
      <c r="K3" s="352">
        <f>_xlfn.XLOOKUP(F3,投产规格!E:E,投产规格!D:D,"未投产")</f>
        <v/>
      </c>
      <c r="L3" s="352">
        <f>IFERROR(_xlfn.XLOOKUP(F3,硫化工艺!B:B,硫化工艺!C:C),"")</f>
        <v/>
      </c>
      <c r="M3" s="430">
        <f>IF(L3="","",L3/(L3+$L$1/60))</f>
        <v/>
      </c>
      <c r="N3" s="352">
        <f>C3&amp;"全钢"</f>
        <v/>
      </c>
      <c r="O3" s="352">
        <f>IFERROR(_xlfn.XLOOKUP(F3,轮胎重量!J:J,轮胎重量!G:G),"")</f>
        <v/>
      </c>
      <c r="P3" s="352">
        <f>IFERROR(_xlfn.XLOOKUP(G3,硫化工艺!I:I,硫化工艺!J:J),"")</f>
        <v/>
      </c>
      <c r="Q3" s="352">
        <f>IFERROR(ROUND(1440/L3*(I3)*M3,0),"")</f>
        <v/>
      </c>
      <c r="R3" s="352" t="n"/>
      <c r="S3" s="352" t="n"/>
      <c r="T3" s="352" t="n"/>
      <c r="U3" s="352" t="n"/>
      <c r="V3" s="352" t="n"/>
      <c r="W3" s="352" t="n"/>
      <c r="X3" s="352" t="n"/>
      <c r="Y3" s="352" t="n"/>
      <c r="Z3" s="352" t="n"/>
      <c r="AA3" s="352" t="n"/>
      <c r="AB3" s="352" t="n"/>
      <c r="AC3" s="352" t="n"/>
      <c r="AD3" s="352" t="n"/>
      <c r="AE3" s="352" t="n"/>
      <c r="AF3" s="352" t="n"/>
      <c r="AG3" s="352" t="n"/>
      <c r="AH3" s="352" t="n"/>
      <c r="AI3" s="352" t="n"/>
      <c r="AJ3" s="352" t="n"/>
      <c r="AK3" s="352" t="n"/>
      <c r="AL3" s="352" t="n"/>
      <c r="AM3" s="352" t="n"/>
      <c r="AN3" s="352" t="n"/>
      <c r="AO3" s="352" t="n"/>
      <c r="AP3" s="352" t="n"/>
      <c r="AQ3" s="352" t="n"/>
      <c r="AR3" s="352" t="n">
        <v>130</v>
      </c>
      <c r="AS3" s="352" t="n">
        <v>130</v>
      </c>
      <c r="AT3" s="352" t="n">
        <v>130</v>
      </c>
      <c r="AU3" s="352" t="n">
        <v>130</v>
      </c>
      <c r="AV3" s="352" t="n">
        <v>130</v>
      </c>
      <c r="AW3" s="352">
        <f>IF(SUM(R3:AV3)=0,"",SUM(R3:AV3))</f>
        <v/>
      </c>
      <c r="AX3" s="431">
        <f>IFERROR(AW3*O3/1000,"")</f>
        <v/>
      </c>
      <c r="AY3" s="431">
        <f>IFERROR(ROUND(AW3*P3/10000,3),"")</f>
        <v/>
      </c>
      <c r="AZ3" s="354" t="n">
        <v>464.56</v>
      </c>
      <c r="BA3" s="355" t="n">
        <v>29.9</v>
      </c>
      <c r="BB3" s="355" t="n">
        <v>49.85</v>
      </c>
      <c r="BC3" s="355" t="n">
        <v>52.38</v>
      </c>
      <c r="BE3" s="331">
        <f>AZ3*AW3</f>
        <v/>
      </c>
      <c r="BF3" s="331">
        <f>BA3*AW3</f>
        <v/>
      </c>
      <c r="BG3" s="331">
        <f>BB3*AW3</f>
        <v/>
      </c>
      <c r="BH3" s="331">
        <f>BC3*AW3</f>
        <v/>
      </c>
      <c r="BJ3" s="356">
        <f t="array" ref="BJ3:BM3">_xlfn.LET(_xlpm.data,$R3:$AV3,_xlpm.starts,{1,8,16,23},_xlpm.lengths,{7,7,8,9},_xlpm.arr,_xlfn.MAP(_xlpm.starts,_xlpm.lengths,_xlfn.LAMBDA(_xlpm.s,_xlpm.l,SUM(INDEX(_xlpm.data,,_xlfn.SEQUENCE(,_xlpm.l,_xlpm.s))))),ROUND(_xlpm.arr*$O3/1000,2))</f>
        <v/>
      </c>
      <c r="BK3" s="356" t="n">
        <v>0</v>
      </c>
      <c r="BL3" s="356" t="n">
        <v>0</v>
      </c>
      <c r="BM3" s="331" t="n">
        <v>31.3</v>
      </c>
      <c r="BN3" s="362">
        <f>SUM(BJ3:BM3)</f>
        <v/>
      </c>
      <c r="BO3" s="362" t="n">
        <v>0</v>
      </c>
      <c r="BP3" s="362" t="n">
        <v>0</v>
      </c>
      <c r="BQ3" s="362" t="n">
        <v>0</v>
      </c>
      <c r="BR3" s="362" t="n">
        <v>0</v>
      </c>
      <c r="BT3" s="362">
        <f t="array" ref="BT3:BW3">_xlfn.HSTACK(SUM(INDEX($R3:$AV3,1,1):INDEX($R3:$AV3,1,7)),SUM(INDEX($R3:$AV3,1,7):INDEX($R3:$AV3,1,13)),SUM(INDEX($R3:$AV3,1,16):INDEX($R3:$AV3,1,23)),SUM(INDEX($R3:$AV3,1,23):INDEX($R3:$AV3,1,31)))</f>
        <v/>
      </c>
      <c r="BU3" s="362" t="n">
        <v>0</v>
      </c>
      <c r="BV3" s="362" t="n">
        <v>0</v>
      </c>
      <c r="BW3" s="362" t="n">
        <v>650</v>
      </c>
      <c r="BX3" s="357" t="inlineStr">
        <is>
          <t>全钢</t>
        </is>
      </c>
      <c r="BY3" s="362">
        <f>SUM(R3:X3)</f>
        <v/>
      </c>
      <c r="BZ3" s="362">
        <f>SUM(Y3:AE3)</f>
        <v/>
      </c>
      <c r="CA3" s="362">
        <f>SUM(AF3:AM3)</f>
        <v/>
      </c>
      <c r="CB3" s="362">
        <f>SUM(AN3:AV3)</f>
        <v/>
      </c>
      <c r="CD3" s="432" t="inlineStr">
        <is>
          <t>ADA</t>
        </is>
      </c>
      <c r="CE3" s="362">
        <f>ROUND(BY3*$O3/1000,2)</f>
        <v/>
      </c>
      <c r="CF3" s="362">
        <f>ROUND(BZ3*$O3/1000,2)</f>
        <v/>
      </c>
      <c r="CG3" s="362">
        <f>ROUND(CA3*$O3/1000,2)</f>
        <v/>
      </c>
      <c r="CH3" s="362">
        <f>ROUND(CB3*$O3/1000,2)</f>
        <v/>
      </c>
      <c r="CI3" s="362">
        <f>SUM(CE3:CH3)</f>
        <v/>
      </c>
      <c r="CK3" s="362">
        <f>IFERROR(ROUND(BY3*$P3,2),"")</f>
        <v/>
      </c>
      <c r="CL3" s="362">
        <f>IFERROR(ROUND(BZ3*$P3,2),"")</f>
        <v/>
      </c>
      <c r="CM3" s="362">
        <f>IFERROR(ROUND(CA3*$P3,2),"")</f>
        <v/>
      </c>
      <c r="CN3" s="362">
        <f>IFERROR(ROUND(CB3*$P3,2),"")</f>
        <v/>
      </c>
      <c r="CO3" s="362">
        <f>SUM(CK3:CN3)</f>
        <v/>
      </c>
    </row>
    <row r="4" ht="15.6" customFormat="1" customHeight="1" s="362">
      <c r="A4" s="331" t="n"/>
      <c r="B4" s="344">
        <f>_xlfn.XLOOKUP(G4,销售需求表!A:A,销售需求表!C:C)</f>
        <v/>
      </c>
      <c r="C4" s="345">
        <f>IFERROR(MID(F4,FIND("R",F4)+1,4),"")</f>
        <v/>
      </c>
      <c r="D4" s="344">
        <f>B4&amp;C4&amp;"寸"</f>
        <v/>
      </c>
      <c r="E4" s="346">
        <f>LEFT(REPLACE(G4,1,2,""),FIND("[",REPLACE(G4,1,2,""))-1)&amp;"-"&amp;MID(REPLACE(G4,1,2,""),FIND("[",REPLACE(G4,1,2,""))+1,FIND("]",REPLACE(G4,1,2,""))-FIND("[",REPLACE(G4,1,2,""))-1)</f>
        <v/>
      </c>
      <c r="F4" s="347">
        <f>IFERROR(MID(G4,3,FIND("(",G4)-3)&amp;"-"&amp;SUBSTITUTE(MID(G4,FIND("[",G4)+1,FIND("]",G4)-FIND("[",G4)-1),"Strong Guard ",""),"")</f>
        <v/>
      </c>
      <c r="G4" s="346" t="inlineStr">
        <is>
          <t>ID11R22.5-14PR(144/142M)[AT563]ARISUN无内</t>
        </is>
      </c>
      <c r="H4" s="344" t="n">
        <v>300</v>
      </c>
      <c r="I4" s="348" t="n"/>
      <c r="J4" s="349">
        <f>IFERROR(LEFT(F4,FIND("-",F4))&amp;MID(F4,FIND("PR",F4,FIND("-",F4))+3,LEN(F4)),F4)</f>
        <v/>
      </c>
      <c r="K4" s="352">
        <f>_xlfn.XLOOKUP(F4,投产规格!E:E,投产规格!D:D,"未投产")</f>
        <v/>
      </c>
      <c r="L4" s="352">
        <f>IFERROR(_xlfn.XLOOKUP(F4,硫化工艺!B:B,硫化工艺!C:C),"")</f>
        <v/>
      </c>
      <c r="M4" s="430">
        <f>IF(L4="","",L4/(L4+$L$1/60))</f>
        <v/>
      </c>
      <c r="N4" s="352">
        <f>C4&amp;"全钢"</f>
        <v/>
      </c>
      <c r="O4" s="352">
        <f>IFERROR(_xlfn.XLOOKUP(F4,轮胎重量!J:J,轮胎重量!G:G),"")</f>
        <v/>
      </c>
      <c r="P4" s="352">
        <f>IFERROR(_xlfn.XLOOKUP(G4,硫化工艺!I:I,硫化工艺!J:J),"")</f>
        <v/>
      </c>
      <c r="Q4" s="352">
        <f>IFERROR(ROUND(1440/L4*(I4)*M4,0),"")</f>
        <v/>
      </c>
      <c r="R4" s="352" t="n"/>
      <c r="S4" s="352" t="n"/>
      <c r="T4" s="352" t="n"/>
      <c r="U4" s="352" t="n"/>
      <c r="V4" s="352" t="n"/>
      <c r="W4" s="352" t="n"/>
      <c r="X4" s="352" t="n"/>
      <c r="Y4" s="352" t="n"/>
      <c r="Z4" s="352" t="n"/>
      <c r="AA4" s="352" t="n"/>
      <c r="AB4" s="352" t="n"/>
      <c r="AC4" s="352" t="n"/>
      <c r="AD4" s="352" t="n"/>
      <c r="AE4" s="352" t="n"/>
      <c r="AF4" s="352" t="n"/>
      <c r="AG4" s="352" t="n"/>
      <c r="AH4" s="352" t="n"/>
      <c r="AI4" s="352" t="n"/>
      <c r="AJ4" s="352" t="n"/>
      <c r="AK4" s="352" t="n"/>
      <c r="AL4" s="352" t="n"/>
      <c r="AM4" s="352" t="n"/>
      <c r="AN4" s="352" t="n">
        <v>60</v>
      </c>
      <c r="AO4" s="352" t="n">
        <v>60</v>
      </c>
      <c r="AP4" s="352" t="n">
        <v>60</v>
      </c>
      <c r="AQ4" s="352" t="n">
        <v>60</v>
      </c>
      <c r="AR4" s="352" t="n">
        <v>60</v>
      </c>
      <c r="AS4" s="352" t="n">
        <v>60</v>
      </c>
      <c r="AT4" s="352" t="n">
        <v>60</v>
      </c>
      <c r="AU4" s="352" t="n">
        <v>60</v>
      </c>
      <c r="AV4" s="352" t="n">
        <v>60</v>
      </c>
      <c r="AW4" s="352">
        <f>IF(SUM(R4:AV4)=0,"",SUM(R4:AV4))</f>
        <v/>
      </c>
      <c r="AX4" s="431">
        <f>IFERROR(AW4*O4/1000,"")</f>
        <v/>
      </c>
      <c r="AY4" s="431">
        <f>IFERROR(ROUND(AW4*P4/10000,3),"")</f>
        <v/>
      </c>
      <c r="AZ4" s="354" t="n">
        <v>464.56</v>
      </c>
      <c r="BA4" s="355" t="n">
        <v>29.9</v>
      </c>
      <c r="BB4" s="355" t="n">
        <v>49.85</v>
      </c>
      <c r="BC4" s="355" t="n">
        <v>52.38</v>
      </c>
      <c r="BD4" s="331" t="n"/>
      <c r="BE4" s="331">
        <f>AZ4*AW4</f>
        <v/>
      </c>
      <c r="BF4" s="331">
        <f>BA4*AW4</f>
        <v/>
      </c>
      <c r="BG4" s="331">
        <f>BB4*AW4</f>
        <v/>
      </c>
      <c r="BH4" s="331">
        <f>BC4*AW4</f>
        <v/>
      </c>
      <c r="BI4" s="331" t="n"/>
      <c r="BJ4" s="356">
        <f t="array" ref="BJ4:BM4">_xlfn.LET(_xlpm.data,$R4:$AV4,_xlpm.starts,{1,8,16,23},_xlpm.lengths,{7,7,8,9},_xlpm.arr,_xlfn.MAP(_xlpm.starts,_xlpm.lengths,_xlfn.LAMBDA(_xlpm.s,_xlpm.l,SUM(INDEX(_xlpm.data,,_xlfn.SEQUENCE(,_xlpm.l,_xlpm.s))))),ROUND(_xlpm.arr*$O4/1000,2))</f>
        <v/>
      </c>
      <c r="BK4" s="356" t="n">
        <v>0</v>
      </c>
      <c r="BL4" s="356" t="n">
        <v>3.06</v>
      </c>
      <c r="BM4" s="331" t="n">
        <v>27.53</v>
      </c>
      <c r="BN4" s="362">
        <f>SUM(BJ4:BM4)</f>
        <v/>
      </c>
      <c r="BO4" s="362" t="n">
        <v>0</v>
      </c>
      <c r="BP4" s="362" t="n">
        <v>0</v>
      </c>
      <c r="BQ4" s="362" t="n">
        <v>0</v>
      </c>
      <c r="BR4" s="362" t="n">
        <v>0</v>
      </c>
      <c r="BS4" s="115" t="n"/>
      <c r="BT4" s="362">
        <f t="array" ref="BT4:BW4">_xlfn.HSTACK(SUM(INDEX($R4:$AV4,1,1):INDEX($R4:$AV4,1,7)),SUM(INDEX($R4:$AV4,1,7):INDEX($R4:$AV4,1,13)),SUM(INDEX($R4:$AV4,1,16):INDEX($R4:$AV4,1,23)),SUM(INDEX($R4:$AV4,1,23):INDEX($R4:$AV4,1,31)))</f>
        <v/>
      </c>
      <c r="BU4" s="362" t="n">
        <v>0</v>
      </c>
      <c r="BV4" s="362" t="n">
        <v>60</v>
      </c>
      <c r="BW4" s="362" t="n">
        <v>540</v>
      </c>
      <c r="BY4" s="362">
        <f>SUM(R4:X4)</f>
        <v/>
      </c>
      <c r="BZ4" s="362">
        <f>SUM(Y4:AE4)</f>
        <v/>
      </c>
      <c r="CA4" s="362">
        <f>SUM(AF4:AM4)</f>
        <v/>
      </c>
      <c r="CB4" s="362">
        <f>SUM(AN4:AV4)</f>
        <v/>
      </c>
      <c r="CD4" s="432" t="inlineStr">
        <is>
          <t>ADA</t>
        </is>
      </c>
      <c r="CE4" s="362">
        <f>ROUND(BY4*$O4/1000,2)</f>
        <v/>
      </c>
      <c r="CF4" s="362">
        <f>ROUND(BZ4*$O4/1000,2)</f>
        <v/>
      </c>
      <c r="CG4" s="362">
        <f>ROUND(CA4*$O4/1000,2)</f>
        <v/>
      </c>
      <c r="CH4" s="362">
        <f>ROUND(CB4*$O4/1000,2)</f>
        <v/>
      </c>
      <c r="CI4" s="362">
        <f>SUM(CE4:CH4)</f>
        <v/>
      </c>
      <c r="CJ4" s="390" t="n"/>
      <c r="CK4" s="362">
        <f>IFERROR(ROUND(BY4*$P4,2),"")</f>
        <v/>
      </c>
      <c r="CL4" s="362">
        <f>IFERROR(ROUND(BZ4*$P4,2),"")</f>
        <v/>
      </c>
      <c r="CM4" s="362">
        <f>IFERROR(ROUND(CA4*$P4,2),"")</f>
        <v/>
      </c>
      <c r="CN4" s="362">
        <f>IFERROR(ROUND(CB4*$P4,2),"")</f>
        <v/>
      </c>
      <c r="CO4" s="362">
        <f>SUM(CK4:CN4)</f>
        <v/>
      </c>
    </row>
    <row r="5" ht="15.6" customHeight="1" s="428">
      <c r="B5" s="344">
        <f>_xlfn.XLOOKUP(G5,销售需求表!A:A,销售需求表!C:C)</f>
        <v/>
      </c>
      <c r="C5" s="345">
        <f>IFERROR(MID(F5,FIND("R",F5)+1,4),"")</f>
        <v/>
      </c>
      <c r="D5" s="344">
        <f>B5&amp;C5&amp;"寸"</f>
        <v/>
      </c>
      <c r="E5" s="346">
        <f>LEFT(REPLACE(G5,1,2,""),FIND("[",REPLACE(G5,1,2,""))-1)&amp;"-"&amp;MID(REPLACE(G5,1,2,""),FIND("[",REPLACE(G5,1,2,""))+1,FIND("]",REPLACE(G5,1,2,""))-FIND("[",REPLACE(G5,1,2,""))-1)</f>
        <v/>
      </c>
      <c r="F5" s="347">
        <f>IFERROR(MID(G5,3,FIND("(",G5)-3)&amp;"-"&amp;SUBSTITUTE(MID(G5,FIND("[",G5)+1,FIND("]",G5)-FIND("[",G5)-1),"Strong Guard ",""),"")</f>
        <v/>
      </c>
      <c r="G5" s="346" t="inlineStr">
        <is>
          <t>ID11R22.5-14PR(144/142M)[CR915]威狮无内</t>
        </is>
      </c>
      <c r="H5" s="344" t="n">
        <v>500</v>
      </c>
      <c r="I5" s="348" t="n"/>
      <c r="J5" s="349">
        <f>IFERROR(LEFT(F5,FIND("-",F5))&amp;MID(F5,FIND("PR",F5,FIND("-",F5))+3,LEN(F5)),F5)</f>
        <v/>
      </c>
      <c r="K5" s="352">
        <f>_xlfn.XLOOKUP(F5,投产规格!E:E,投产规格!D:D,"未投产")</f>
        <v/>
      </c>
      <c r="L5" s="352">
        <f>IFERROR(_xlfn.XLOOKUP(F5,硫化工艺!B:B,硫化工艺!C:C),"")</f>
        <v/>
      </c>
      <c r="M5" s="430">
        <f>IF(L5="","",L5/(L5+$L$1/60))</f>
        <v/>
      </c>
      <c r="N5" s="352">
        <f>C5&amp;"全钢"</f>
        <v/>
      </c>
      <c r="O5" s="352">
        <f>IFERROR(_xlfn.XLOOKUP(F5,轮胎重量!J:J,轮胎重量!G:G),"")</f>
        <v/>
      </c>
      <c r="P5" s="352">
        <f>IFERROR(_xlfn.XLOOKUP(G5,硫化工艺!I:I,硫化工艺!J:J),"")</f>
        <v/>
      </c>
      <c r="Q5" s="352">
        <f>IFERROR(ROUND(1440/L5*(I5)*M5,0),"")</f>
        <v/>
      </c>
      <c r="R5" s="352" t="n"/>
      <c r="S5" s="352" t="n"/>
      <c r="T5" s="352" t="n"/>
      <c r="U5" s="352" t="n"/>
      <c r="V5" s="352" t="n"/>
      <c r="W5" s="352" t="n"/>
      <c r="X5" s="352" t="n"/>
      <c r="Y5" s="352" t="n"/>
      <c r="Z5" s="352" t="n"/>
      <c r="AA5" s="352" t="n"/>
      <c r="AB5" s="352" t="n"/>
      <c r="AC5" s="352" t="n"/>
      <c r="AD5" s="352" t="n"/>
      <c r="AE5" s="352" t="n"/>
      <c r="AF5" s="352" t="n"/>
      <c r="AG5" s="352" t="n"/>
      <c r="AH5" s="352" t="n"/>
      <c r="AI5" s="352" t="n"/>
      <c r="AJ5" s="352" t="n"/>
      <c r="AK5" s="352" t="n">
        <v>60</v>
      </c>
      <c r="AL5" s="352" t="n">
        <v>60</v>
      </c>
      <c r="AM5" s="352" t="n">
        <v>60</v>
      </c>
      <c r="AN5" s="352" t="n">
        <v>60</v>
      </c>
      <c r="AO5" s="352" t="n">
        <v>60</v>
      </c>
      <c r="AP5" s="352" t="n">
        <v>60</v>
      </c>
      <c r="AQ5" s="352" t="n">
        <v>60</v>
      </c>
      <c r="AR5" s="352" t="n">
        <v>60</v>
      </c>
      <c r="AS5" s="352" t="n">
        <v>60</v>
      </c>
      <c r="AT5" s="352" t="n">
        <v>60</v>
      </c>
      <c r="AU5" s="352" t="n">
        <v>60</v>
      </c>
      <c r="AV5" s="352" t="n">
        <v>60</v>
      </c>
      <c r="AW5" s="352">
        <f>IF(SUM(R5:AV5)=0,"",SUM(R5:AV5))</f>
        <v/>
      </c>
      <c r="AX5" s="431">
        <f>IFERROR(AW5*O5/1000,"")</f>
        <v/>
      </c>
      <c r="AY5" s="431">
        <f>IFERROR(ROUND(AW5*P5/10000,3),"")</f>
        <v/>
      </c>
      <c r="AZ5" s="354" t="n">
        <v>461.01</v>
      </c>
      <c r="BA5" s="355" t="n">
        <v>30.13</v>
      </c>
      <c r="BB5" s="355" t="n">
        <v>49.93</v>
      </c>
      <c r="BC5" s="355" t="n">
        <v>53.65</v>
      </c>
      <c r="BE5" s="331">
        <f>AZ5*AW5</f>
        <v/>
      </c>
      <c r="BF5" s="331">
        <f>BA5*AW5</f>
        <v/>
      </c>
      <c r="BG5" s="331">
        <f>BB5*AW5</f>
        <v/>
      </c>
      <c r="BH5" s="331">
        <f>BC5*AW5</f>
        <v/>
      </c>
      <c r="BJ5" s="356">
        <f t="array" ref="BJ5:BM5">_xlfn.LET(_xlpm.data,$R5:$AV5,_xlpm.starts,{1,8,16,23},_xlpm.lengths,{7,7,8,9},_xlpm.arr,_xlfn.MAP(_xlpm.starts,_xlpm.lengths,_xlfn.LAMBDA(_xlpm.s,_xlpm.l,SUM(INDEX(_xlpm.data,,_xlfn.SEQUENCE(,_xlpm.l,_xlpm.s))))),ROUND(_xlpm.arr*$O5/1000,2))</f>
        <v/>
      </c>
      <c r="BK5" s="331" t="n">
        <v>0</v>
      </c>
      <c r="BL5" s="331" t="n">
        <v>11.64</v>
      </c>
      <c r="BM5" s="331" t="n">
        <v>26.2</v>
      </c>
      <c r="BN5" s="362">
        <f>SUM(BJ5:BM5)</f>
        <v/>
      </c>
      <c r="BO5" s="362" t="n">
        <v>111.71</v>
      </c>
      <c r="BP5" s="362" t="n">
        <v>91.40000000000001</v>
      </c>
      <c r="BQ5" s="362" t="n">
        <v>46.43</v>
      </c>
      <c r="BR5" s="362" t="n">
        <v>52.23</v>
      </c>
      <c r="BT5" s="362">
        <f t="array" ref="BT5:BW5">_xlfn.HSTACK(SUM(INDEX($R5:$AV5,1,1):INDEX($R5:$AV5,1,7)),SUM(INDEX($R5:$AV5,1,7):INDEX($R5:$AV5,1,13)),SUM(INDEX($R5:$AV5,1,16):INDEX($R5:$AV5,1,23)),SUM(INDEX($R5:$AV5,1,23):INDEX($R5:$AV5,1,31)))</f>
        <v/>
      </c>
      <c r="BU5" s="362" t="n">
        <v>0</v>
      </c>
      <c r="BV5" s="362" t="n">
        <v>240</v>
      </c>
      <c r="BW5" s="362" t="n">
        <v>540</v>
      </c>
      <c r="BY5" s="362">
        <f>SUM(R5:X5)</f>
        <v/>
      </c>
      <c r="BZ5" s="362">
        <f>SUM(Y5:AE5)</f>
        <v/>
      </c>
      <c r="CA5" s="362">
        <f>SUM(AF5:AM5)</f>
        <v/>
      </c>
      <c r="CB5" s="362">
        <f>SUM(AN5:AV5)</f>
        <v/>
      </c>
      <c r="CD5" s="432" t="inlineStr">
        <is>
          <t>ADA</t>
        </is>
      </c>
      <c r="CE5" s="362">
        <f>ROUND(BY5*$O5/1000,2)</f>
        <v/>
      </c>
      <c r="CF5" s="362">
        <f>ROUND(BZ5*$O5/1000,2)</f>
        <v/>
      </c>
      <c r="CG5" s="362">
        <f>ROUND(CA5*$O5/1000,2)</f>
        <v/>
      </c>
      <c r="CH5" s="362">
        <f>ROUND(CB5*$O5/1000,2)</f>
        <v/>
      </c>
      <c r="CI5" s="362">
        <f>SUM(CE5:CH5)</f>
        <v/>
      </c>
      <c r="CK5" s="362">
        <f>IFERROR(ROUND(BY5*$P5,2),"")</f>
        <v/>
      </c>
      <c r="CL5" s="362">
        <f>IFERROR(ROUND(BZ5*$P5,2),"")</f>
        <v/>
      </c>
      <c r="CM5" s="362">
        <f>IFERROR(ROUND(CA5*$P5,2),"")</f>
        <v/>
      </c>
      <c r="CN5" s="362">
        <f>IFERROR(ROUND(CB5*$P5,2),"")</f>
        <v/>
      </c>
      <c r="CO5" s="362">
        <f>SUM(CK5:CN5)</f>
        <v/>
      </c>
    </row>
    <row r="6" ht="15.6" customHeight="1" s="428">
      <c r="B6" s="344">
        <f>_xlfn.XLOOKUP(G6,销售需求表!A:A,销售需求表!C:C)</f>
        <v/>
      </c>
      <c r="C6" s="345">
        <f>IFERROR(MID(F6,FIND("R",F6)+1,4),"")</f>
        <v/>
      </c>
      <c r="D6" s="344">
        <f>B6&amp;C6&amp;"寸"</f>
        <v/>
      </c>
      <c r="E6" s="346">
        <f>LEFT(REPLACE(G6,1,2,""),FIND("[",REPLACE(G6,1,2,""))-1)&amp;"-"&amp;MID(REPLACE(G6,1,2,""),FIND("[",REPLACE(G6,1,2,""))+1,FIND("]",REPLACE(G6,1,2,""))-FIND("[",REPLACE(G6,1,2,""))-1)</f>
        <v/>
      </c>
      <c r="F6" s="347">
        <f>IFERROR(MID(G6,3,FIND("(",G6)-3)&amp;"-"&amp;SUBSTITUTE(MID(G6,FIND("[",G6)+1,FIND("]",G6)-FIND("[",G6)-1),"Strong Guard ",""),"")</f>
        <v/>
      </c>
      <c r="G6" s="346" t="inlineStr">
        <is>
          <t>ID11R22.5-14PR(144/142M)[HT1 Plus]SUPERMAX无内</t>
        </is>
      </c>
      <c r="H6" s="344" t="n">
        <v>580</v>
      </c>
      <c r="I6" s="348" t="n">
        <v>2</v>
      </c>
      <c r="J6" s="349">
        <f>IFERROR(LEFT(F6,FIND("-",F6))&amp;MID(F6,FIND("PR",F6,FIND("-",F6))+3,LEN(F6)),F6)</f>
        <v/>
      </c>
      <c r="K6" s="352">
        <f>_xlfn.XLOOKUP(F6,投产规格!E:E,投产规格!D:D,"未投产")</f>
        <v/>
      </c>
      <c r="L6" s="352">
        <f>IFERROR(_xlfn.XLOOKUP(F6,硫化工艺!B:B,硫化工艺!C:C),"")</f>
        <v/>
      </c>
      <c r="M6" s="430">
        <f>IF(L6="","",L6/(L6+$L$1/60))</f>
        <v/>
      </c>
      <c r="N6" s="352">
        <f>C6&amp;"全钢"</f>
        <v/>
      </c>
      <c r="O6" s="352">
        <f>IFERROR(_xlfn.XLOOKUP(F6,轮胎重量!J:J,轮胎重量!G:G),"")</f>
        <v/>
      </c>
      <c r="P6" s="358">
        <f>O6*13.9</f>
        <v/>
      </c>
      <c r="Q6" s="352">
        <f>IFERROR(ROUND(1440/L6*(I6)*M6,0),"")</f>
        <v/>
      </c>
      <c r="R6" s="352" t="n">
        <v>66</v>
      </c>
      <c r="S6" s="352" t="n">
        <v>66</v>
      </c>
      <c r="T6" s="352" t="n">
        <v>66</v>
      </c>
      <c r="U6" s="352" t="n">
        <v>66</v>
      </c>
      <c r="V6" s="352" t="n">
        <v>66</v>
      </c>
      <c r="W6" s="352" t="n"/>
      <c r="X6" s="352" t="n"/>
      <c r="Y6" s="352" t="n"/>
      <c r="Z6" s="352" t="n"/>
      <c r="AA6" s="352" t="n"/>
      <c r="AB6" s="352" t="n"/>
      <c r="AC6" s="352" t="n"/>
      <c r="AD6" s="352" t="n"/>
      <c r="AE6" s="352" t="n"/>
      <c r="AF6" s="352" t="n"/>
      <c r="AG6" s="352" t="n"/>
      <c r="AH6" s="352" t="n"/>
      <c r="AI6" s="352" t="n"/>
      <c r="AJ6" s="352" t="n"/>
      <c r="AK6" s="352" t="n"/>
      <c r="AL6" s="352" t="n"/>
      <c r="AM6" s="352" t="n"/>
      <c r="AN6" s="352" t="n"/>
      <c r="AO6" s="352" t="n"/>
      <c r="AP6" s="352" t="n"/>
      <c r="AQ6" s="352" t="n"/>
      <c r="AR6" s="352" t="n"/>
      <c r="AS6" s="352" t="n"/>
      <c r="AT6" s="352" t="n"/>
      <c r="AU6" s="352" t="n"/>
      <c r="AV6" s="352" t="n"/>
      <c r="AW6" s="352">
        <f>IF(SUM(R6:AV6)=0,"",SUM(R6:AV6))</f>
        <v/>
      </c>
      <c r="AX6" s="431">
        <f>IFERROR(AW6*O6/1000,"")</f>
        <v/>
      </c>
      <c r="AY6" s="431">
        <f>IFERROR(ROUND(AW6*P6/10000,3),"")</f>
        <v/>
      </c>
      <c r="AZ6" s="359" t="n"/>
      <c r="BE6" s="331">
        <f>AZ6*AW6</f>
        <v/>
      </c>
      <c r="BF6" s="331">
        <f>BA6*AW6</f>
        <v/>
      </c>
      <c r="BG6" s="331">
        <f>BB6*AW6</f>
        <v/>
      </c>
      <c r="BH6" s="331">
        <f>BC6*AW6</f>
        <v/>
      </c>
      <c r="BJ6" s="356">
        <f t="array" ref="BJ6:BM6">_xlfn.LET(_xlpm.data,$R6:$AV6,_xlpm.starts,{1,8,16,23},_xlpm.lengths,{7,7,8,9},_xlpm.arr,_xlfn.MAP(_xlpm.starts,_xlpm.lengths,_xlfn.LAMBDA(_xlpm.s,_xlpm.l,SUM(INDEX(_xlpm.data,,_xlfn.SEQUENCE(,_xlpm.l,_xlpm.s))))),ROUND(_xlpm.arr*$O6/1000,2))</f>
        <v/>
      </c>
      <c r="BK6" s="331" t="n">
        <v>0</v>
      </c>
      <c r="BL6" s="331" t="n">
        <v>0</v>
      </c>
      <c r="BM6" s="331" t="n">
        <v>0</v>
      </c>
      <c r="BN6" s="362">
        <f>SUM(BJ6:BM6)</f>
        <v/>
      </c>
      <c r="BO6" s="362" t="n">
        <v>15.39</v>
      </c>
      <c r="BP6" s="362" t="n">
        <v>0</v>
      </c>
      <c r="BQ6" s="362" t="n">
        <v>0</v>
      </c>
      <c r="BR6" s="362" t="n">
        <v>0</v>
      </c>
      <c r="BT6" s="362">
        <f t="array" ref="BT6:BW6">_xlfn.HSTACK(SUM(INDEX($R6:$AV6,1,1):INDEX($R6:$AV6,1,7)),SUM(INDEX($R6:$AV6,1,7):INDEX($R6:$AV6,1,13)),SUM(INDEX($R6:$AV6,1,16):INDEX($R6:$AV6,1,23)),SUM(INDEX($R6:$AV6,1,23):INDEX($R6:$AV6,1,31)))</f>
        <v/>
      </c>
      <c r="BU6" s="362" t="n">
        <v>0</v>
      </c>
      <c r="BV6" s="362" t="n">
        <v>0</v>
      </c>
      <c r="BW6" s="362" t="n">
        <v>0</v>
      </c>
      <c r="BY6" s="362">
        <f>SUM(R6:X6)</f>
        <v/>
      </c>
      <c r="BZ6" s="362">
        <f>SUM(Y6:AE6)</f>
        <v/>
      </c>
      <c r="CA6" s="362">
        <f>SUM(AF6:AM6)</f>
        <v/>
      </c>
      <c r="CB6" s="362">
        <f>SUM(AN6:AV6)</f>
        <v/>
      </c>
      <c r="CD6" s="432" t="inlineStr">
        <is>
          <t>ADA</t>
        </is>
      </c>
      <c r="CE6" s="362">
        <f>ROUND(BY6*$O6/1000,2)</f>
        <v/>
      </c>
      <c r="CF6" s="362">
        <f>ROUND(BZ6*$O6/1000,2)</f>
        <v/>
      </c>
      <c r="CG6" s="362">
        <f>ROUND(CA6*$O6/1000,2)</f>
        <v/>
      </c>
      <c r="CH6" s="362">
        <f>ROUND(CB6*$O6/1000,2)</f>
        <v/>
      </c>
      <c r="CI6" s="362">
        <f>SUM(CE6:CH6)</f>
        <v/>
      </c>
      <c r="CK6" s="362">
        <f>IFERROR(ROUND(BY6*$P6,2),"")</f>
        <v/>
      </c>
      <c r="CL6" s="362">
        <f>IFERROR(ROUND(BZ6*$P6,2),"")</f>
        <v/>
      </c>
      <c r="CM6" s="362">
        <f>IFERROR(ROUND(CA6*$P6,2),"")</f>
        <v/>
      </c>
      <c r="CN6" s="362">
        <f>IFERROR(ROUND(CB6*$P6,2),"")</f>
        <v/>
      </c>
      <c r="CO6" s="362">
        <f>SUM(CK6:CN6)</f>
        <v/>
      </c>
    </row>
    <row r="7" ht="15.6" customHeight="1" s="428">
      <c r="B7" s="344">
        <f>_xlfn.XLOOKUP(G7,销售需求表!A:A,销售需求表!C:C)</f>
        <v/>
      </c>
      <c r="C7" s="345">
        <f>IFERROR(MID(F7,FIND("R",F7)+1,4),"")</f>
        <v/>
      </c>
      <c r="D7" s="344">
        <f>B7&amp;C7&amp;"寸"</f>
        <v/>
      </c>
      <c r="E7" s="346">
        <f>LEFT(REPLACE(G7,1,2,""),FIND("[",REPLACE(G7,1,2,""))-1)&amp;"-"&amp;MID(REPLACE(G7,1,2,""),FIND("[",REPLACE(G7,1,2,""))+1,FIND("]",REPLACE(G7,1,2,""))-FIND("[",REPLACE(G7,1,2,""))-1)</f>
        <v/>
      </c>
      <c r="F7" s="347">
        <f>IFERROR(MID(G7,3,FIND("(",G7)-3)&amp;"-"&amp;SUBSTITUTE(MID(G7,FIND("[",G7)+1,FIND("]",G7)-FIND("[",G7)-1),"Strong Guard ",""),"")</f>
        <v/>
      </c>
      <c r="G7" s="346" t="inlineStr">
        <is>
          <t>ID11R22.5-14PR(144/142M)[I-48T]IRONMAN无内 SMARTWAY</t>
        </is>
      </c>
      <c r="H7" s="344" t="n">
        <v>800</v>
      </c>
      <c r="I7" s="348" t="n"/>
      <c r="J7" s="349">
        <f>IFERROR(LEFT(F7,FIND("-",F7))&amp;MID(F7,FIND("PR",F7,FIND("-",F7))+3,LEN(F7)),F7)</f>
        <v/>
      </c>
      <c r="K7" s="352">
        <f>_xlfn.XLOOKUP(F7,投产规格!E:E,投产规格!D:D,"未投产")</f>
        <v/>
      </c>
      <c r="L7" s="352">
        <f>IFERROR(_xlfn.XLOOKUP(F7,硫化工艺!B:B,硫化工艺!C:C),"")</f>
        <v/>
      </c>
      <c r="M7" s="430">
        <f>IF(L7="","",L7/(L7+$L$1/60))</f>
        <v/>
      </c>
      <c r="N7" s="352">
        <f>C7&amp;"全钢"</f>
        <v/>
      </c>
      <c r="O7" s="352">
        <f>IFERROR(_xlfn.XLOOKUP(F7,轮胎重量!J:J,轮胎重量!G:G),"")</f>
        <v/>
      </c>
      <c r="P7" s="352">
        <f>IFERROR(_xlfn.XLOOKUP(G7,硫化工艺!I:I,硫化工艺!J:J),"")</f>
        <v/>
      </c>
      <c r="Q7" s="352">
        <f>IFERROR(ROUND(1440/L7*(I7)*M7,0),"")</f>
        <v/>
      </c>
      <c r="R7" s="352" t="n"/>
      <c r="S7" s="352" t="n"/>
      <c r="T7" s="352" t="n"/>
      <c r="U7" s="352" t="n"/>
      <c r="V7" s="352" t="n"/>
      <c r="W7" s="352" t="n"/>
      <c r="X7" s="352" t="n"/>
      <c r="Y7" s="352" t="n"/>
      <c r="Z7" s="352" t="n"/>
      <c r="AA7" s="352" t="n"/>
      <c r="AB7" s="352" t="n"/>
      <c r="AC7" s="352" t="n"/>
      <c r="AD7" s="352" t="n"/>
      <c r="AE7" s="352" t="n"/>
      <c r="AF7" s="352" t="n"/>
      <c r="AG7" s="352" t="n"/>
      <c r="AH7" s="352" t="n"/>
      <c r="AI7" s="352" t="n">
        <v>60</v>
      </c>
      <c r="AJ7" s="352" t="n">
        <v>60</v>
      </c>
      <c r="AK7" s="352" t="n">
        <v>60</v>
      </c>
      <c r="AL7" s="352" t="n">
        <v>60</v>
      </c>
      <c r="AM7" s="352" t="n">
        <v>60</v>
      </c>
      <c r="AN7" s="352" t="n">
        <v>60</v>
      </c>
      <c r="AO7" s="352" t="n">
        <v>60</v>
      </c>
      <c r="AP7" s="352" t="n">
        <v>60</v>
      </c>
      <c r="AQ7" s="352" t="n">
        <v>60</v>
      </c>
      <c r="AR7" s="352" t="n">
        <v>60</v>
      </c>
      <c r="AS7" s="352" t="n">
        <v>60</v>
      </c>
      <c r="AT7" s="352" t="n">
        <v>60</v>
      </c>
      <c r="AU7" s="352" t="n">
        <v>60</v>
      </c>
      <c r="AV7" s="352" t="n">
        <v>60</v>
      </c>
      <c r="AW7" s="352">
        <f>IF(SUM(R7:AV7)=0,"",SUM(R7:AV7))</f>
        <v/>
      </c>
      <c r="AX7" s="431">
        <f>IFERROR(AW7*O7/1000,"")</f>
        <v/>
      </c>
      <c r="AY7" s="431">
        <f>IFERROR(ROUND(AW7*P7/10000,3),"")</f>
        <v/>
      </c>
      <c r="AZ7" s="359" t="n"/>
      <c r="BE7" s="331">
        <f>AZ7*AW7</f>
        <v/>
      </c>
      <c r="BF7" s="331">
        <f>BA7*AW7</f>
        <v/>
      </c>
      <c r="BG7" s="331">
        <f>BB7*AW7</f>
        <v/>
      </c>
      <c r="BH7" s="331">
        <f>BC7*AW7</f>
        <v/>
      </c>
      <c r="BJ7" s="356">
        <f t="array" ref="BJ7:BM7">_xlfn.LET(_xlpm.data,$R7:$AV7,_xlpm.starts,{1,8,16,23},_xlpm.lengths,{7,7,8,9},_xlpm.arr,_xlfn.MAP(_xlpm.starts,_xlpm.lengths,_xlfn.LAMBDA(_xlpm.s,_xlpm.l,SUM(INDEX(_xlpm.data,,_xlfn.SEQUENCE(,_xlpm.l,_xlpm.s))))),ROUND(_xlpm.arr*$O7/1000,2))</f>
        <v/>
      </c>
      <c r="BK7" s="331" t="n">
        <v>0</v>
      </c>
      <c r="BL7" s="331" t="n">
        <v>17.46</v>
      </c>
      <c r="BM7" s="331" t="n">
        <v>26.2</v>
      </c>
      <c r="BN7" s="362">
        <f>SUM(BJ7:BM7)</f>
        <v/>
      </c>
      <c r="BO7" s="362" t="n">
        <v>22.16</v>
      </c>
      <c r="BP7" s="362" t="n">
        <v>22.16</v>
      </c>
      <c r="BQ7" s="362" t="n">
        <v>25.32</v>
      </c>
      <c r="BR7" s="362" t="n">
        <v>28.49</v>
      </c>
      <c r="BT7" s="362">
        <f t="array" ref="BT7:BW7">_xlfn.HSTACK(SUM(INDEX($R7:$AV7,1,1):INDEX($R7:$AV7,1,7)),SUM(INDEX($R7:$AV7,1,7):INDEX($R7:$AV7,1,13)),SUM(INDEX($R7:$AV7,1,16):INDEX($R7:$AV7,1,23)),SUM(INDEX($R7:$AV7,1,23):INDEX($R7:$AV7,1,31)))</f>
        <v/>
      </c>
      <c r="BU7" s="362" t="n">
        <v>0</v>
      </c>
      <c r="BV7" s="362" t="n">
        <v>360</v>
      </c>
      <c r="BW7" s="362" t="n">
        <v>540</v>
      </c>
      <c r="BY7" s="362">
        <f>SUM(R7:X7)</f>
        <v/>
      </c>
      <c r="BZ7" s="362">
        <f>SUM(Y7:AE7)</f>
        <v/>
      </c>
      <c r="CA7" s="362">
        <f>SUM(AF7:AM7)</f>
        <v/>
      </c>
      <c r="CB7" s="362">
        <f>SUM(AN7:AV7)</f>
        <v/>
      </c>
      <c r="CD7" s="432" t="inlineStr">
        <is>
          <t>ADA</t>
        </is>
      </c>
      <c r="CE7" s="362">
        <f>ROUND(BY7*$O7/1000,2)</f>
        <v/>
      </c>
      <c r="CF7" s="362">
        <f>ROUND(BZ7*$O7/1000,2)</f>
        <v/>
      </c>
      <c r="CG7" s="362">
        <f>ROUND(CA7*$O7/1000,2)</f>
        <v/>
      </c>
      <c r="CH7" s="362">
        <f>ROUND(CB7*$O7/1000,2)</f>
        <v/>
      </c>
      <c r="CI7" s="362">
        <f>SUM(CE7:CH7)</f>
        <v/>
      </c>
      <c r="CK7" s="362">
        <f>IFERROR(ROUND(BY7*$P7,2),"")</f>
        <v/>
      </c>
      <c r="CL7" s="362">
        <f>IFERROR(ROUND(BZ7*$P7,2),"")</f>
        <v/>
      </c>
      <c r="CM7" s="362">
        <f>IFERROR(ROUND(CA7*$P7,2),"")</f>
        <v/>
      </c>
      <c r="CN7" s="362">
        <f>IFERROR(ROUND(CB7*$P7,2),"")</f>
        <v/>
      </c>
      <c r="CO7" s="362">
        <f>SUM(CK7:CN7)</f>
        <v/>
      </c>
    </row>
    <row r="8" ht="15.6" customFormat="1" customHeight="1" s="362">
      <c r="A8" s="331" t="n"/>
      <c r="B8" s="344">
        <f>_xlfn.XLOOKUP(G8,销售需求表!A:A,销售需求表!C:C)</f>
        <v/>
      </c>
      <c r="C8" s="345">
        <f>IFERROR(MID(F8,FIND("R",F8)+1,4),"")</f>
        <v/>
      </c>
      <c r="D8" s="344">
        <f>B8&amp;C8&amp;"寸"</f>
        <v/>
      </c>
      <c r="E8" s="346">
        <f>LEFT(REPLACE(G8,1,2,""),FIND("[",REPLACE(G8,1,2,""))-1)&amp;"-"&amp;MID(REPLACE(G8,1,2,""),FIND("[",REPLACE(G8,1,2,""))+1,FIND("]",REPLACE(G8,1,2,""))-FIND("[",REPLACE(G8,1,2,""))-1)</f>
        <v/>
      </c>
      <c r="F8" s="347">
        <f>IFERROR(MID(G8,3,FIND("(",G8)-3)&amp;"-"&amp;SUBSTITUTE(MID(G8,FIND("[",G8)+1,FIND("]",G8)-FIND("[",G8)-1),"Strong Guard ",""),"")</f>
        <v/>
      </c>
      <c r="G8" s="346" t="inlineStr">
        <is>
          <t>ID11R22.5-14PR(144/142M)[M-TRAC TR]MASTERTRACK无内</t>
        </is>
      </c>
      <c r="H8" s="344" t="n">
        <v>620</v>
      </c>
      <c r="I8" s="348" t="n"/>
      <c r="J8" s="349">
        <f>IFERROR(LEFT(F8,FIND("-",F8))&amp;MID(F8,FIND("PR",F8,FIND("-",F8))+3,LEN(F8)),F8)</f>
        <v/>
      </c>
      <c r="K8" s="352">
        <f>_xlfn.XLOOKUP(F8,投产规格!E:E,投产规格!D:D,"未投产")</f>
        <v/>
      </c>
      <c r="L8" s="352">
        <f>IFERROR(_xlfn.XLOOKUP(F8,硫化工艺!B:B,硫化工艺!C:C),"")</f>
        <v/>
      </c>
      <c r="M8" s="430">
        <f>IF(L8="","",L8/(L8+$L$1/60))</f>
        <v/>
      </c>
      <c r="N8" s="352">
        <f>C8&amp;"全钢"</f>
        <v/>
      </c>
      <c r="O8" s="352">
        <f>IFERROR(_xlfn.XLOOKUP(F8,轮胎重量!J:J,轮胎重量!G:G),"")</f>
        <v/>
      </c>
      <c r="P8" s="358">
        <f>O8*13.9</f>
        <v/>
      </c>
      <c r="Q8" s="352">
        <f>IFERROR(ROUND(1440/L8*(I8)*M8,0),"")</f>
        <v/>
      </c>
      <c r="R8" s="352" t="n"/>
      <c r="S8" s="352" t="n"/>
      <c r="T8" s="352" t="n"/>
      <c r="U8" s="352" t="n"/>
      <c r="V8" s="352" t="n"/>
      <c r="W8" s="352" t="n"/>
      <c r="X8" s="352" t="n"/>
      <c r="Y8" s="352" t="n"/>
      <c r="Z8" s="352" t="n"/>
      <c r="AA8" s="352" t="n"/>
      <c r="AB8" s="352" t="n"/>
      <c r="AC8" s="352" t="n"/>
      <c r="AD8" s="352" t="n"/>
      <c r="AE8" s="352" t="n"/>
      <c r="AF8" s="352" t="n"/>
      <c r="AG8" s="352" t="n"/>
      <c r="AH8" s="352" t="n"/>
      <c r="AI8" s="352" t="n">
        <v>60</v>
      </c>
      <c r="AJ8" s="352" t="n">
        <v>60</v>
      </c>
      <c r="AK8" s="352" t="n">
        <v>60</v>
      </c>
      <c r="AL8" s="352" t="n">
        <v>60</v>
      </c>
      <c r="AM8" s="352" t="n">
        <v>60</v>
      </c>
      <c r="AN8" s="352" t="n">
        <v>60</v>
      </c>
      <c r="AO8" s="352" t="n">
        <v>60</v>
      </c>
      <c r="AP8" s="352" t="n">
        <v>60</v>
      </c>
      <c r="AQ8" s="352" t="n">
        <v>60</v>
      </c>
      <c r="AR8" s="352" t="n">
        <v>60</v>
      </c>
      <c r="AS8" s="352" t="n"/>
      <c r="AT8" s="352" t="n"/>
      <c r="AU8" s="352" t="n"/>
      <c r="AV8" s="352" t="n"/>
      <c r="AW8" s="352">
        <f>IF(SUM(R8:AV8)=0,"",SUM(R8:AV8))</f>
        <v/>
      </c>
      <c r="AX8" s="431">
        <f>IFERROR(AW8*O8/1000,"")</f>
        <v/>
      </c>
      <c r="AY8" s="431">
        <f>IFERROR(ROUND(AW8*P8/10000,3),"")</f>
        <v/>
      </c>
      <c r="AZ8" s="359" t="n"/>
      <c r="BA8" s="362" t="n"/>
      <c r="BB8" s="362" t="n"/>
      <c r="BC8" s="331" t="n"/>
      <c r="BD8" s="331" t="n"/>
      <c r="BE8" s="331">
        <f>AZ8*AW8</f>
        <v/>
      </c>
      <c r="BF8" s="331">
        <f>BA8*AW8</f>
        <v/>
      </c>
      <c r="BG8" s="331">
        <f>BB8*AW8</f>
        <v/>
      </c>
      <c r="BH8" s="331">
        <f>BC8*AW8</f>
        <v/>
      </c>
      <c r="BI8" s="331" t="n"/>
      <c r="BJ8" s="356">
        <f t="array" ref="BJ8:BM8">_xlfn.LET(_xlpm.data,$R8:$AV8,_xlpm.starts,{1,8,16,23},_xlpm.lengths,{7,7,8,9},_xlpm.arr,_xlfn.MAP(_xlpm.starts,_xlpm.lengths,_xlfn.LAMBDA(_xlpm.s,_xlpm.l,SUM(INDEX(_xlpm.data,,_xlfn.SEQUENCE(,_xlpm.l,_xlpm.s))))),ROUND(_xlpm.arr*$O8/1000,2))</f>
        <v/>
      </c>
      <c r="BK8" s="331" t="n">
        <v>0</v>
      </c>
      <c r="BL8" s="331" t="n">
        <v>21.45</v>
      </c>
      <c r="BM8" s="331" t="n">
        <v>17.87</v>
      </c>
      <c r="BN8" s="362">
        <f>SUM(BJ8:BM8)</f>
        <v/>
      </c>
      <c r="BO8" s="362" t="n">
        <v>0</v>
      </c>
      <c r="BP8" s="362" t="n">
        <v>0</v>
      </c>
      <c r="BQ8" s="362" t="n">
        <v>0</v>
      </c>
      <c r="BR8" s="362" t="n">
        <v>0</v>
      </c>
      <c r="BS8" s="115" t="n"/>
      <c r="BT8" s="362">
        <f t="array" ref="BT8:BW8">_xlfn.HSTACK(SUM(INDEX($R8:$AV8,1,1):INDEX($R8:$AV8,1,7)),SUM(INDEX($R8:$AV8,1,7):INDEX($R8:$AV8,1,13)),SUM(INDEX($R8:$AV8,1,16):INDEX($R8:$AV8,1,23)),SUM(INDEX($R8:$AV8,1,23):INDEX($R8:$AV8,1,31)))</f>
        <v/>
      </c>
      <c r="BU8" s="362" t="n">
        <v>0</v>
      </c>
      <c r="BV8" s="362" t="n">
        <v>360</v>
      </c>
      <c r="BW8" s="362" t="n">
        <v>300</v>
      </c>
      <c r="BY8" s="362">
        <f>SUM(R8:X8)</f>
        <v/>
      </c>
      <c r="BZ8" s="362">
        <f>SUM(Y8:AE8)</f>
        <v/>
      </c>
      <c r="CA8" s="362">
        <f>SUM(AF8:AM8)</f>
        <v/>
      </c>
      <c r="CB8" s="362">
        <f>SUM(AN8:AV8)</f>
        <v/>
      </c>
      <c r="CD8" s="432" t="inlineStr">
        <is>
          <t>ADA</t>
        </is>
      </c>
      <c r="CE8" s="362">
        <f>ROUND(BY8*$O8/1000,2)</f>
        <v/>
      </c>
      <c r="CF8" s="362">
        <f>ROUND(BZ8*$O8/1000,2)</f>
        <v/>
      </c>
      <c r="CG8" s="362">
        <f>ROUND(CA8*$O8/1000,2)</f>
        <v/>
      </c>
      <c r="CH8" s="362">
        <f>ROUND(CB8*$O8/1000,2)</f>
        <v/>
      </c>
      <c r="CI8" s="362">
        <f>SUM(CE8:CH8)</f>
        <v/>
      </c>
      <c r="CJ8" s="390" t="n"/>
      <c r="CK8" s="362">
        <f>IFERROR(ROUND(BY8*$P8,2),"")</f>
        <v/>
      </c>
      <c r="CL8" s="362">
        <f>IFERROR(ROUND(BZ8*$P8,2),"")</f>
        <v/>
      </c>
      <c r="CM8" s="362">
        <f>IFERROR(ROUND(CA8*$P8,2),"")</f>
        <v/>
      </c>
      <c r="CN8" s="362">
        <f>IFERROR(ROUND(CB8*$P8,2),"")</f>
        <v/>
      </c>
      <c r="CO8" s="362">
        <f>SUM(CK8:CN8)</f>
        <v/>
      </c>
    </row>
    <row r="9" ht="15.6" customFormat="1" customHeight="1" s="362">
      <c r="A9" s="331" t="n"/>
      <c r="B9" s="344">
        <f>_xlfn.XLOOKUP(G9,销售需求表!A:A,销售需求表!C:C)</f>
        <v/>
      </c>
      <c r="C9" s="345">
        <f>IFERROR(MID(F9,FIND("R",F9)+1,4),"")</f>
        <v/>
      </c>
      <c r="D9" s="344">
        <f>B9&amp;C9&amp;"寸"</f>
        <v/>
      </c>
      <c r="E9" s="346">
        <f>LEFT(REPLACE(G9,1,2,""),FIND("[",REPLACE(G9,1,2,""))-1)&amp;"-"&amp;MID(REPLACE(G9,1,2,""),FIND("[",REPLACE(G9,1,2,""))+1,FIND("]",REPLACE(G9,1,2,""))-FIND("[",REPLACE(G9,1,2,""))-1)</f>
        <v/>
      </c>
      <c r="F9" s="347">
        <f>IFERROR(MID(G9,3,FIND("(",G9)-3)&amp;"-"&amp;SUBSTITUTE(MID(G9,FIND("[",G9)+1,FIND("]",G9)-FIND("[",G9)-1),"Strong Guard ",""),"")</f>
        <v/>
      </c>
      <c r="G9" s="346" t="inlineStr">
        <is>
          <t>ID11R22.5-14PR(144/142M)[Strong Guard H-TL]HERCULES无内</t>
        </is>
      </c>
      <c r="H9" s="344" t="n">
        <v>280</v>
      </c>
      <c r="I9" s="348" t="n"/>
      <c r="J9" s="349">
        <f>IFERROR(LEFT(F9,FIND("-",F9))&amp;MID(F9,FIND("PR",F9,FIND("-",F9))+3,LEN(F9)),F9)</f>
        <v/>
      </c>
      <c r="K9" s="352">
        <f>_xlfn.XLOOKUP(F9,投产规格!E:E,投产规格!D:D,"未投产")</f>
        <v/>
      </c>
      <c r="L9" s="352">
        <f>IFERROR(_xlfn.XLOOKUP(F9,硫化工艺!B:B,硫化工艺!C:C),"")</f>
        <v/>
      </c>
      <c r="M9" s="430">
        <f>IF(L9="","",L9/(L9+$L$1/60))</f>
        <v/>
      </c>
      <c r="N9" s="352">
        <f>C9&amp;"全钢"</f>
        <v/>
      </c>
      <c r="O9" s="352">
        <f>IFERROR(_xlfn.XLOOKUP(F9,轮胎重量!J:J,轮胎重量!G:G),"")</f>
        <v/>
      </c>
      <c r="P9" s="352">
        <f>IFERROR(_xlfn.XLOOKUP(G9,硫化工艺!I:I,硫化工艺!J:J),"")</f>
        <v/>
      </c>
      <c r="Q9" s="352">
        <f>IFERROR(ROUND(1440/L9*(I9)*M9,0),"")</f>
        <v/>
      </c>
      <c r="R9" s="352" t="n"/>
      <c r="S9" s="352" t="n"/>
      <c r="T9" s="352" t="n"/>
      <c r="U9" s="352" t="n"/>
      <c r="V9" s="352" t="n"/>
      <c r="W9" s="352" t="n"/>
      <c r="X9" s="352" t="n"/>
      <c r="Y9" s="352" t="n"/>
      <c r="Z9" s="352" t="n"/>
      <c r="AA9" s="352" t="n"/>
      <c r="AB9" s="352" t="n"/>
      <c r="AC9" s="352" t="n"/>
      <c r="AD9" s="352" t="n"/>
      <c r="AE9" s="352" t="n"/>
      <c r="AF9" s="352" t="n"/>
      <c r="AG9" s="352" t="n"/>
      <c r="AH9" s="352" t="n"/>
      <c r="AI9" s="352" t="n"/>
      <c r="AJ9" s="352" t="n"/>
      <c r="AK9" s="352" t="n"/>
      <c r="AL9" s="352" t="n"/>
      <c r="AM9" s="352" t="n"/>
      <c r="AN9" s="352" t="n">
        <v>60</v>
      </c>
      <c r="AO9" s="352" t="n">
        <v>60</v>
      </c>
      <c r="AP9" s="352" t="n">
        <v>60</v>
      </c>
      <c r="AQ9" s="352" t="n">
        <v>60</v>
      </c>
      <c r="AR9" s="352" t="n">
        <v>60</v>
      </c>
      <c r="AS9" s="352" t="n">
        <v>60</v>
      </c>
      <c r="AT9" s="352" t="n">
        <v>60</v>
      </c>
      <c r="AU9" s="352" t="n">
        <v>60</v>
      </c>
      <c r="AV9" s="352" t="n">
        <v>60</v>
      </c>
      <c r="AW9" s="352">
        <f>IF(SUM(R9:AV9)=0,"",SUM(R9:AV9))</f>
        <v/>
      </c>
      <c r="AX9" s="431">
        <f>IFERROR(AW9*O9/1000,"")</f>
        <v/>
      </c>
      <c r="AY9" s="431">
        <f>IFERROR(ROUND(AW9*P9/10000,3),"")</f>
        <v/>
      </c>
      <c r="AZ9" s="359" t="n"/>
      <c r="BA9" s="362" t="n"/>
      <c r="BB9" s="362" t="n"/>
      <c r="BC9" s="331" t="n"/>
      <c r="BD9" s="331" t="n"/>
      <c r="BE9" s="331">
        <f>AZ9*AW9</f>
        <v/>
      </c>
      <c r="BF9" s="331">
        <f>BA9*AW9</f>
        <v/>
      </c>
      <c r="BG9" s="331">
        <f>BB9*AW9</f>
        <v/>
      </c>
      <c r="BH9" s="331">
        <f>BC9*AW9</f>
        <v/>
      </c>
      <c r="BI9" s="331" t="n"/>
      <c r="BJ9" s="356">
        <f t="array" ref="BJ9:BM9">_xlfn.LET(_xlpm.data,$R9:$AV9,_xlpm.starts,{1,8,16,23},_xlpm.lengths,{7,7,8,9},_xlpm.arr,_xlfn.MAP(_xlpm.starts,_xlpm.lengths,_xlfn.LAMBDA(_xlpm.s,_xlpm.l,SUM(INDEX(_xlpm.data,,_xlfn.SEQUENCE(,_xlpm.l,_xlpm.s))))),ROUND(_xlpm.arr*$O9/1000,2))</f>
        <v/>
      </c>
      <c r="BK9" s="331" t="n">
        <v>0</v>
      </c>
      <c r="BL9" s="331" t="n">
        <v>2.94</v>
      </c>
      <c r="BM9" s="331" t="n">
        <v>26.5</v>
      </c>
      <c r="BN9" s="362">
        <f>SUM(BJ9:BM9)</f>
        <v/>
      </c>
      <c r="BO9" s="362" t="n">
        <v>0</v>
      </c>
      <c r="BP9" s="362" t="n">
        <v>0</v>
      </c>
      <c r="BQ9" s="362" t="n">
        <v>0</v>
      </c>
      <c r="BR9" s="362" t="n">
        <v>0</v>
      </c>
      <c r="BS9" s="115" t="n"/>
      <c r="BT9" s="362">
        <f t="array" ref="BT9:BW9">_xlfn.HSTACK(SUM(INDEX($R9:$AV9,1,1):INDEX($R9:$AV9,1,7)),SUM(INDEX($R9:$AV9,1,7):INDEX($R9:$AV9,1,13)),SUM(INDEX($R9:$AV9,1,16):INDEX($R9:$AV9,1,23)),SUM(INDEX($R9:$AV9,1,23):INDEX($R9:$AV9,1,31)))</f>
        <v/>
      </c>
      <c r="BU9" s="362" t="n">
        <v>0</v>
      </c>
      <c r="BV9" s="362" t="n">
        <v>60</v>
      </c>
      <c r="BW9" s="362" t="n">
        <v>540</v>
      </c>
      <c r="BY9" s="362">
        <f>SUM(R9:X9)</f>
        <v/>
      </c>
      <c r="BZ9" s="362">
        <f>SUM(Y9:AE9)</f>
        <v/>
      </c>
      <c r="CA9" s="362">
        <f>SUM(AF9:AM9)</f>
        <v/>
      </c>
      <c r="CB9" s="362">
        <f>SUM(AN9:AV9)</f>
        <v/>
      </c>
      <c r="CD9" s="432" t="inlineStr">
        <is>
          <t>ADA</t>
        </is>
      </c>
      <c r="CE9" s="362">
        <f>ROUND(BY9*$O9/1000,2)</f>
        <v/>
      </c>
      <c r="CF9" s="362">
        <f>ROUND(BZ9*$O9/1000,2)</f>
        <v/>
      </c>
      <c r="CG9" s="362">
        <f>ROUND(CA9*$O9/1000,2)</f>
        <v/>
      </c>
      <c r="CH9" s="362">
        <f>ROUND(CB9*$O9/1000,2)</f>
        <v/>
      </c>
      <c r="CI9" s="362">
        <f>SUM(CE9:CH9)</f>
        <v/>
      </c>
      <c r="CJ9" s="390" t="n"/>
      <c r="CK9" s="362">
        <f>IFERROR(ROUND(BY9*$P9,2),"")</f>
        <v/>
      </c>
      <c r="CL9" s="362">
        <f>IFERROR(ROUND(BZ9*$P9,2),"")</f>
        <v/>
      </c>
      <c r="CM9" s="362">
        <f>IFERROR(ROUND(CA9*$P9,2),"")</f>
        <v/>
      </c>
      <c r="CN9" s="362">
        <f>IFERROR(ROUND(CB9*$P9,2),"")</f>
        <v/>
      </c>
      <c r="CO9" s="362">
        <f>SUM(CK9:CN9)</f>
        <v/>
      </c>
    </row>
    <row r="10" hidden="1" ht="15.6" customFormat="1" customHeight="1" s="362">
      <c r="A10" s="331" t="n"/>
      <c r="B10" s="344">
        <f>_xlfn.XLOOKUP(G10,销售需求表!A:A,销售需求表!C:C)</f>
        <v/>
      </c>
      <c r="C10" s="345">
        <f>IFERROR(MID(F10,FIND("R",F10)+1,4),"")</f>
        <v/>
      </c>
      <c r="D10" s="344">
        <f>B10&amp;C10&amp;"寸"</f>
        <v/>
      </c>
      <c r="E10" s="346">
        <f>LEFT(REPLACE(G10,1,2,""),FIND("[",REPLACE(G10,1,2,""))-1)&amp;"-"&amp;MID(REPLACE(G10,1,2,""),FIND("[",REPLACE(G10,1,2,""))+1,FIND("]",REPLACE(G10,1,2,""))-FIND("[",REPLACE(G10,1,2,""))-1)</f>
        <v/>
      </c>
      <c r="F10" s="347">
        <f>IFERROR(MID(G10,3,FIND("(",G10)-3)&amp;"-"&amp;SUBSTITUTE(MID(G10,FIND("[",G10)+1,FIND("]",G10)-FIND("[",G10)-1),"Strong Guard ",""),"")</f>
        <v/>
      </c>
      <c r="G10" s="346" t="inlineStr">
        <is>
          <t>ID11R22.5-16PR(146/143L)[DOMINATE D01]BLACKARROW无内</t>
        </is>
      </c>
      <c r="H10" s="344" t="n">
        <v>280</v>
      </c>
      <c r="I10" s="348" t="n"/>
      <c r="J10" s="349">
        <f>IFERROR(LEFT(F10,FIND("-",F10))&amp;MID(F10,FIND("PR",F10,FIND("-",F10))+3,LEN(F10)),F10)</f>
        <v/>
      </c>
      <c r="K10" s="352">
        <f>_xlfn.XLOOKUP(F10,投产规格!E:E,投产规格!D:D,"未投产")</f>
        <v/>
      </c>
      <c r="L10" s="352">
        <f>IFERROR(_xlfn.XLOOKUP(F10,硫化工艺!B:B,硫化工艺!C:C),"")</f>
        <v/>
      </c>
      <c r="M10" s="430">
        <f>IF(L10="","",L10/(L10+$L$1/60))</f>
        <v/>
      </c>
      <c r="N10" s="352">
        <f>C10&amp;"全钢"</f>
        <v/>
      </c>
      <c r="O10" s="352">
        <f>IFERROR(_xlfn.XLOOKUP(F10,轮胎重量!J:J,轮胎重量!G:G),"")</f>
        <v/>
      </c>
      <c r="P10" s="352">
        <f>IFERROR(_xlfn.XLOOKUP(G10,硫化工艺!I:I,硫化工艺!J:J),"")</f>
        <v/>
      </c>
      <c r="Q10" s="352">
        <f>IFERROR(ROUND(1440/L10*(I10)*M10,0),"")</f>
        <v/>
      </c>
      <c r="R10" s="352" t="n"/>
      <c r="S10" s="352" t="n"/>
      <c r="T10" s="352" t="n"/>
      <c r="U10" s="352" t="n"/>
      <c r="V10" s="352" t="n"/>
      <c r="W10" s="352" t="n"/>
      <c r="X10" s="352" t="n"/>
      <c r="Y10" s="352" t="n"/>
      <c r="Z10" s="352" t="n"/>
      <c r="AA10" s="352" t="n"/>
      <c r="AB10" s="352" t="n"/>
      <c r="AC10" s="352" t="n"/>
      <c r="AD10" s="352" t="n"/>
      <c r="AE10" s="352" t="n"/>
      <c r="AF10" s="352" t="n"/>
      <c r="AG10" s="352" t="n"/>
      <c r="AH10" s="352" t="n"/>
      <c r="AI10" s="352" t="n"/>
      <c r="AJ10" s="352" t="n"/>
      <c r="AK10" s="352" t="n"/>
      <c r="AL10" s="352" t="n"/>
      <c r="AM10" s="352" t="n"/>
      <c r="AN10" s="352" t="n"/>
      <c r="AO10" s="352" t="n"/>
      <c r="AP10" s="352" t="n"/>
      <c r="AQ10" s="352" t="n"/>
      <c r="AR10" s="352" t="n"/>
      <c r="AS10" s="352" t="n"/>
      <c r="AT10" s="352" t="n"/>
      <c r="AU10" s="352" t="n"/>
      <c r="AV10" s="352" t="n"/>
      <c r="AW10" s="352">
        <f>IF(SUM(R10:AV10)=0,"",SUM(R10:AV10))</f>
        <v/>
      </c>
      <c r="AX10" s="431">
        <f>IFERROR(AW10*O10/1000,"")</f>
        <v/>
      </c>
      <c r="AY10" s="431">
        <f>IFERROR(ROUND(AW10*P10/10000,3),"")</f>
        <v/>
      </c>
      <c r="AZ10" s="359" t="n"/>
      <c r="BA10" s="362" t="n"/>
      <c r="BB10" s="362" t="n"/>
      <c r="BC10" s="331" t="n"/>
      <c r="BD10" s="331" t="n"/>
      <c r="BE10" s="331">
        <f>AZ10*AW10</f>
        <v/>
      </c>
      <c r="BF10" s="331">
        <f>BA10*AW10</f>
        <v/>
      </c>
      <c r="BG10" s="331">
        <f>BB10*AW10</f>
        <v/>
      </c>
      <c r="BH10" s="331">
        <f>BC10*AW10</f>
        <v/>
      </c>
      <c r="BI10" s="331" t="n"/>
      <c r="BJ10" s="356">
        <f t="array" ref="BJ10:BM10">_xlfn.LET(_xlpm.data,$R10:$AV10,_xlpm.starts,{1,8,16,23},_xlpm.lengths,{7,7,8,9},_xlpm.arr,_xlfn.MAP(_xlpm.starts,_xlpm.lengths,_xlfn.LAMBDA(_xlpm.s,_xlpm.l,SUM(INDEX(_xlpm.data,,_xlfn.SEQUENCE(,_xlpm.l,_xlpm.s))))),ROUND(_xlpm.arr*$O10/1000,2))</f>
        <v/>
      </c>
      <c r="BK10" s="331" t="n">
        <v>0</v>
      </c>
      <c r="BL10" s="331" t="n">
        <v>0</v>
      </c>
      <c r="BM10" s="331" t="n">
        <v>0</v>
      </c>
      <c r="BN10" s="362">
        <f>SUM(BJ10:BM10)</f>
        <v/>
      </c>
      <c r="BO10" s="362" t="n">
        <v>0</v>
      </c>
      <c r="BP10" s="362" t="n">
        <v>0</v>
      </c>
      <c r="BQ10" s="362" t="n">
        <v>0</v>
      </c>
      <c r="BR10" s="362" t="n">
        <v>0</v>
      </c>
      <c r="BS10" s="115" t="n"/>
      <c r="BT10" s="362">
        <f t="array" ref="BT10:BW10">_xlfn.HSTACK(SUM(INDEX($R10:$AV10,1,1):INDEX($R10:$AV10,1,7)),SUM(INDEX($R10:$AV10,1,7):INDEX($R10:$AV10,1,13)),SUM(INDEX($R10:$AV10,1,16):INDEX($R10:$AV10,1,23)),SUM(INDEX($R10:$AV10,1,23):INDEX($R10:$AV10,1,31)))</f>
        <v/>
      </c>
      <c r="BU10" s="362" t="n">
        <v>0</v>
      </c>
      <c r="BV10" s="362" t="n">
        <v>0</v>
      </c>
      <c r="BW10" s="362" t="n">
        <v>0</v>
      </c>
      <c r="BY10" s="362">
        <f>SUM(R10:X10)</f>
        <v/>
      </c>
      <c r="BZ10" s="362">
        <f>SUM(Y10:AE10)</f>
        <v/>
      </c>
      <c r="CA10" s="362">
        <f>SUM(AF10:AM10)</f>
        <v/>
      </c>
      <c r="CB10" s="362">
        <f>SUM(AN10:AV10)</f>
        <v/>
      </c>
      <c r="CD10" s="432" t="inlineStr">
        <is>
          <t>ADA</t>
        </is>
      </c>
      <c r="CE10" s="362">
        <f>ROUND(BY10*$O10/1000,2)</f>
        <v/>
      </c>
      <c r="CF10" s="362">
        <f>ROUND(BZ10*$O10/1000,2)</f>
        <v/>
      </c>
      <c r="CG10" s="362">
        <f>ROUND(CA10*$O10/1000,2)</f>
        <v/>
      </c>
      <c r="CH10" s="362">
        <f>ROUND(CB10*$O10/1000,2)</f>
        <v/>
      </c>
      <c r="CI10" s="362">
        <f>SUM(CE10:CH10)</f>
        <v/>
      </c>
      <c r="CJ10" s="390" t="n"/>
      <c r="CK10" s="362">
        <f>IFERROR(ROUND(BY10*$P10,2),"")</f>
        <v/>
      </c>
      <c r="CL10" s="362">
        <f>IFERROR(ROUND(BZ10*$P10,2),"")</f>
        <v/>
      </c>
      <c r="CM10" s="362">
        <f>IFERROR(ROUND(CA10*$P10,2),"")</f>
        <v/>
      </c>
      <c r="CN10" s="362">
        <f>IFERROR(ROUND(CB10*$P10,2),"")</f>
        <v/>
      </c>
      <c r="CO10" s="362">
        <f>SUM(CK10:CN10)</f>
        <v/>
      </c>
    </row>
    <row r="11" hidden="1" ht="15.6" customFormat="1" customHeight="1" s="362">
      <c r="A11" s="331" t="n"/>
      <c r="B11" s="344">
        <f>_xlfn.XLOOKUP(G11,销售需求表!A:A,销售需求表!C:C)</f>
        <v/>
      </c>
      <c r="C11" s="345">
        <f>IFERROR(MID(F11,FIND("R",F11)+1,4),"")</f>
        <v/>
      </c>
      <c r="D11" s="344">
        <f>B11&amp;C11&amp;"寸"</f>
        <v/>
      </c>
      <c r="E11" s="346">
        <f>LEFT(REPLACE(G11,1,2,""),FIND("[",REPLACE(G11,1,2,""))-1)&amp;"-"&amp;MID(REPLACE(G11,1,2,""),FIND("[",REPLACE(G11,1,2,""))+1,FIND("]",REPLACE(G11,1,2,""))-FIND("[",REPLACE(G11,1,2,""))-1)</f>
        <v/>
      </c>
      <c r="F11" s="347">
        <f>IFERROR(MID(G11,3,FIND("(",G11)-3)&amp;"-"&amp;SUBSTITUTE(MID(G11,FIND("[",G11)+1,FIND("]",G11)-FIND("[",G11)-1),"Strong Guard ",""),"")</f>
        <v/>
      </c>
      <c r="G11" s="346" t="inlineStr">
        <is>
          <t>ID11R22.5-16PR(146/143L)[HD1 PlusX]SUPERMAX ECO无内</t>
        </is>
      </c>
      <c r="H11" s="344" t="n">
        <v>750</v>
      </c>
      <c r="I11" s="348" t="n"/>
      <c r="J11" s="349">
        <f>IFERROR(LEFT(F11,FIND("-",F11))&amp;MID(F11,FIND("PR",F11,FIND("-",F11))+3,LEN(F11)),F11)</f>
        <v/>
      </c>
      <c r="K11" s="352">
        <f>_xlfn.XLOOKUP(F11,投产规格!E:E,投产规格!D:D,"未投产")</f>
        <v/>
      </c>
      <c r="L11" s="352">
        <f>IFERROR(_xlfn.XLOOKUP(F11,硫化工艺!B:B,硫化工艺!C:C),"")</f>
        <v/>
      </c>
      <c r="M11" s="430">
        <f>IF(L11="","",L11/(L11+$L$1/60))</f>
        <v/>
      </c>
      <c r="N11" s="352">
        <f>C11&amp;"全钢"</f>
        <v/>
      </c>
      <c r="O11" s="352">
        <f>IFERROR(_xlfn.XLOOKUP(F11,轮胎重量!J:J,轮胎重量!G:G),"")</f>
        <v/>
      </c>
      <c r="P11" s="352">
        <f>IFERROR(_xlfn.XLOOKUP(G11,硫化工艺!I:I,硫化工艺!J:J),"")</f>
        <v/>
      </c>
      <c r="Q11" s="352">
        <f>IFERROR(ROUND(1440/L11*(I11)*M11,0),"")</f>
        <v/>
      </c>
      <c r="R11" s="352" t="n"/>
      <c r="S11" s="352" t="n"/>
      <c r="T11" s="352" t="n"/>
      <c r="U11" s="352" t="n"/>
      <c r="V11" s="352" t="n"/>
      <c r="W11" s="352" t="n"/>
      <c r="X11" s="352" t="n"/>
      <c r="Y11" s="352" t="n"/>
      <c r="Z11" s="352" t="n"/>
      <c r="AA11" s="352" t="n"/>
      <c r="AB11" s="352" t="n"/>
      <c r="AC11" s="352" t="n"/>
      <c r="AD11" s="352" t="n"/>
      <c r="AE11" s="352" t="n"/>
      <c r="AF11" s="352" t="n"/>
      <c r="AG11" s="352" t="n"/>
      <c r="AH11" s="352" t="n"/>
      <c r="AI11" s="352" t="n"/>
      <c r="AJ11" s="352" t="n"/>
      <c r="AK11" s="352" t="n"/>
      <c r="AL11" s="352" t="n"/>
      <c r="AM11" s="352" t="n"/>
      <c r="AN11" s="352" t="n"/>
      <c r="AO11" s="352" t="n"/>
      <c r="AP11" s="352" t="n"/>
      <c r="AQ11" s="352" t="n"/>
      <c r="AR11" s="352" t="n"/>
      <c r="AS11" s="352" t="n"/>
      <c r="AT11" s="352" t="n"/>
      <c r="AU11" s="352" t="n"/>
      <c r="AV11" s="352" t="n"/>
      <c r="AW11" s="352">
        <f>IF(SUM(R11:AV11)=0,"",SUM(R11:AV11))</f>
        <v/>
      </c>
      <c r="AX11" s="431">
        <f>IFERROR(AW11*O11/1000,"")</f>
        <v/>
      </c>
      <c r="AY11" s="431">
        <f>IFERROR(ROUND(AW11*P11/10000,3),"")</f>
        <v/>
      </c>
      <c r="AZ11" s="359" t="n"/>
      <c r="BA11" s="362" t="n"/>
      <c r="BB11" s="362" t="n"/>
      <c r="BC11" s="331" t="n"/>
      <c r="BD11" s="331" t="n"/>
      <c r="BE11" s="331">
        <f>AZ11*AW11</f>
        <v/>
      </c>
      <c r="BF11" s="331">
        <f>BA11*AW11</f>
        <v/>
      </c>
      <c r="BG11" s="331">
        <f>BB11*AW11</f>
        <v/>
      </c>
      <c r="BH11" s="331">
        <f>BC11*AW11</f>
        <v/>
      </c>
      <c r="BI11" s="331" t="n"/>
      <c r="BJ11" s="356">
        <f t="array" ref="BJ11:BM11">_xlfn.LET(_xlpm.data,$R11:$AV11,_xlpm.starts,{1,8,16,23},_xlpm.lengths,{7,7,8,9},_xlpm.arr,_xlfn.MAP(_xlpm.starts,_xlpm.lengths,_xlfn.LAMBDA(_xlpm.s,_xlpm.l,SUM(INDEX(_xlpm.data,,_xlfn.SEQUENCE(,_xlpm.l,_xlpm.s))))),ROUND(_xlpm.arr*$O11/1000,2))</f>
        <v/>
      </c>
      <c r="BK11" s="331" t="n">
        <v>0</v>
      </c>
      <c r="BL11" s="331" t="n">
        <v>0</v>
      </c>
      <c r="BM11" s="331" t="n">
        <v>0</v>
      </c>
      <c r="BN11" s="362">
        <f>SUM(BJ11:BM11)</f>
        <v/>
      </c>
      <c r="BO11" s="362" t="n">
        <v>0</v>
      </c>
      <c r="BP11" s="362" t="n">
        <v>0</v>
      </c>
      <c r="BQ11" s="362" t="n">
        <v>0</v>
      </c>
      <c r="BR11" s="362" t="n">
        <v>0</v>
      </c>
      <c r="BS11" s="115" t="n"/>
      <c r="BT11" s="362">
        <f t="array" ref="BT11:BW11">_xlfn.HSTACK(SUM(INDEX($R11:$AV11,1,1):INDEX($R11:$AV11,1,7)),SUM(INDEX($R11:$AV11,1,7):INDEX($R11:$AV11,1,13)),SUM(INDEX($R11:$AV11,1,16):INDEX($R11:$AV11,1,23)),SUM(INDEX($R11:$AV11,1,23):INDEX($R11:$AV11,1,31)))</f>
        <v/>
      </c>
      <c r="BU11" s="362" t="n">
        <v>0</v>
      </c>
      <c r="BV11" s="362" t="n">
        <v>0</v>
      </c>
      <c r="BW11" s="362" t="n">
        <v>0</v>
      </c>
      <c r="BY11" s="362">
        <f>SUM(R11:X11)</f>
        <v/>
      </c>
      <c r="BZ11" s="362">
        <f>SUM(Y11:AE11)</f>
        <v/>
      </c>
      <c r="CA11" s="362">
        <f>SUM(AF11:AM11)</f>
        <v/>
      </c>
      <c r="CB11" s="362">
        <f>SUM(AN11:AV11)</f>
        <v/>
      </c>
      <c r="CD11" s="432" t="inlineStr">
        <is>
          <t>ADA</t>
        </is>
      </c>
      <c r="CE11" s="362">
        <f>ROUND(BY11*$O11/1000,2)</f>
        <v/>
      </c>
      <c r="CF11" s="362">
        <f>ROUND(BZ11*$O11/1000,2)</f>
        <v/>
      </c>
      <c r="CG11" s="362">
        <f>ROUND(CA11*$O11/1000,2)</f>
        <v/>
      </c>
      <c r="CH11" s="362">
        <f>ROUND(CB11*$O11/1000,2)</f>
        <v/>
      </c>
      <c r="CI11" s="362">
        <f>SUM(CE11:CH11)</f>
        <v/>
      </c>
      <c r="CJ11" s="390" t="n"/>
      <c r="CK11" s="362">
        <f>IFERROR(ROUND(BY11*$P11,2),"")</f>
        <v/>
      </c>
      <c r="CL11" s="362">
        <f>IFERROR(ROUND(BZ11*$P11,2),"")</f>
        <v/>
      </c>
      <c r="CM11" s="362">
        <f>IFERROR(ROUND(CA11*$P11,2),"")</f>
        <v/>
      </c>
      <c r="CN11" s="362">
        <f>IFERROR(ROUND(CB11*$P11,2),"")</f>
        <v/>
      </c>
      <c r="CO11" s="362">
        <f>SUM(CK11:CN11)</f>
        <v/>
      </c>
    </row>
    <row r="12" ht="15.6" customFormat="1" customHeight="1" s="362">
      <c r="A12" s="331" t="n"/>
      <c r="B12" s="344">
        <f>_xlfn.XLOOKUP(G12,销售需求表!A:A,销售需求表!C:C)</f>
        <v/>
      </c>
      <c r="C12" s="345">
        <f>IFERROR(MID(F12,FIND("R",F12)+1,4),"")</f>
        <v/>
      </c>
      <c r="D12" s="344">
        <f>B12&amp;C12&amp;"寸"</f>
        <v/>
      </c>
      <c r="E12" s="346">
        <f>LEFT(REPLACE(G12,1,2,""),FIND("[",REPLACE(G12,1,2,""))-1)&amp;"-"&amp;MID(REPLACE(G12,1,2,""),FIND("[",REPLACE(G12,1,2,""))+1,FIND("]",REPLACE(G12,1,2,""))-FIND("[",REPLACE(G12,1,2,""))-1)</f>
        <v/>
      </c>
      <c r="F12" s="347">
        <f>IFERROR(MID(G12,3,FIND("(",G12)-3)&amp;"-"&amp;SUBSTITUTE(MID(G12,FIND("[",G12)+1,FIND("]",G12)-FIND("[",G12)-1),"Strong Guard ",""),"")</f>
        <v/>
      </c>
      <c r="G12" s="346" t="inlineStr">
        <is>
          <t>ID11R22.5-16PR(146/143L)[KOBE DPM]ITARO无内</t>
        </is>
      </c>
      <c r="H12" s="344" t="n">
        <v>1700</v>
      </c>
      <c r="I12" s="348" t="n">
        <v>2</v>
      </c>
      <c r="J12" s="349">
        <f>IFERROR(LEFT(F12,FIND("-",F12))&amp;MID(F12,FIND("PR",F12,FIND("-",F12))+3,LEN(F12)),F12)</f>
        <v/>
      </c>
      <c r="K12" s="352">
        <f>_xlfn.XLOOKUP(F12,投产规格!E:E,投产规格!D:D,"未投产")</f>
        <v/>
      </c>
      <c r="L12" s="352">
        <f>IFERROR(_xlfn.XLOOKUP(F12,硫化工艺!B:B,硫化工艺!C:C),"")</f>
        <v/>
      </c>
      <c r="M12" s="430">
        <f>IF(L12="","",L12/(L12+$L$1/60))</f>
        <v/>
      </c>
      <c r="N12" s="352">
        <f>C12&amp;"全钢"</f>
        <v/>
      </c>
      <c r="O12" s="352">
        <f>IFERROR(_xlfn.XLOOKUP(F12,轮胎重量!J:J,轮胎重量!G:G),"")</f>
        <v/>
      </c>
      <c r="P12" s="352">
        <f>IFERROR(_xlfn.XLOOKUP(G12,硫化工艺!I:I,硫化工艺!J:J),"")</f>
        <v/>
      </c>
      <c r="Q12" s="352">
        <f>IFERROR(ROUND(1440/L12*(I12)*M12,0),"")</f>
        <v/>
      </c>
      <c r="R12" s="352" t="n">
        <v>60</v>
      </c>
      <c r="S12" s="352" t="n">
        <v>60</v>
      </c>
      <c r="T12" s="352" t="n">
        <v>60</v>
      </c>
      <c r="U12" s="352" t="n">
        <v>60</v>
      </c>
      <c r="V12" s="352" t="n">
        <v>60</v>
      </c>
      <c r="W12" s="352" t="n">
        <v>120</v>
      </c>
      <c r="X12" s="352" t="n">
        <v>120</v>
      </c>
      <c r="Y12" s="352" t="n">
        <v>120</v>
      </c>
      <c r="Z12" s="352" t="n">
        <v>120</v>
      </c>
      <c r="AA12" s="352" t="n">
        <v>120</v>
      </c>
      <c r="AB12" s="352" t="n">
        <v>120</v>
      </c>
      <c r="AC12" s="352" t="n">
        <v>120</v>
      </c>
      <c r="AD12" s="352" t="n">
        <v>120</v>
      </c>
      <c r="AE12" s="352" t="n">
        <v>120</v>
      </c>
      <c r="AF12" s="352" t="n">
        <v>120</v>
      </c>
      <c r="AG12" s="352" t="n">
        <v>120</v>
      </c>
      <c r="AH12" s="352" t="n">
        <v>120</v>
      </c>
      <c r="AI12" s="352" t="n"/>
      <c r="AJ12" s="352" t="n"/>
      <c r="AK12" s="352" t="n"/>
      <c r="AL12" s="352" t="n"/>
      <c r="AM12" s="352" t="n"/>
      <c r="AN12" s="352" t="n"/>
      <c r="AO12" s="352" t="n"/>
      <c r="AP12" s="352" t="n"/>
      <c r="AQ12" s="352" t="n"/>
      <c r="AR12" s="352" t="n"/>
      <c r="AS12" s="352" t="n"/>
      <c r="AT12" s="352" t="n"/>
      <c r="AU12" s="352" t="n"/>
      <c r="AV12" s="352" t="n"/>
      <c r="AW12" s="352">
        <f>IF(SUM(R12:AV12)=0,"",SUM(R12:AV12))</f>
        <v/>
      </c>
      <c r="AX12" s="431">
        <f>IFERROR(AW12*O12/1000,"")</f>
        <v/>
      </c>
      <c r="AY12" s="431">
        <f>IFERROR(ROUND(AW12*P12/10000,3),"")</f>
        <v/>
      </c>
      <c r="AZ12" s="359" t="n"/>
      <c r="BA12" s="362" t="n"/>
      <c r="BB12" s="362" t="n"/>
      <c r="BC12" s="331" t="n"/>
      <c r="BD12" s="331" t="n"/>
      <c r="BE12" s="331">
        <f>AZ12*AW12</f>
        <v/>
      </c>
      <c r="BF12" s="331">
        <f>BA12*AW12</f>
        <v/>
      </c>
      <c r="BG12" s="331">
        <f>BB12*AW12</f>
        <v/>
      </c>
      <c r="BH12" s="331">
        <f>BC12*AW12</f>
        <v/>
      </c>
      <c r="BI12" s="331" t="n"/>
      <c r="BJ12" s="356">
        <f t="array" ref="BJ12:BM12">_xlfn.LET(_xlpm.data,$R12:$AV12,_xlpm.starts,{1,8,16,23},_xlpm.lengths,{7,7,8,9},_xlpm.arr,_xlfn.MAP(_xlpm.starts,_xlpm.lengths,_xlfn.LAMBDA(_xlpm.s,_xlpm.l,SUM(INDEX(_xlpm.data,,_xlfn.SEQUENCE(,_xlpm.l,_xlpm.s))))),ROUND(_xlpm.arr*$O12/1000,2))</f>
        <v/>
      </c>
      <c r="BK12" s="331" t="n">
        <v>45.81</v>
      </c>
      <c r="BL12" s="331" t="n">
        <v>13.09</v>
      </c>
      <c r="BM12" s="331" t="n">
        <v>0</v>
      </c>
      <c r="BN12" s="362">
        <f>SUM(BJ12:BM12)</f>
        <v/>
      </c>
      <c r="BO12" s="362" t="n">
        <v>0</v>
      </c>
      <c r="BP12" s="362" t="n">
        <v>0</v>
      </c>
      <c r="BQ12" s="362" t="n">
        <v>0</v>
      </c>
      <c r="BR12" s="362" t="n">
        <v>0</v>
      </c>
      <c r="BS12" s="115" t="n"/>
      <c r="BT12" s="362">
        <f t="array" ref="BT12:BW12">_xlfn.HSTACK(SUM(INDEX($R12:$AV12,1,1):INDEX($R12:$AV12,1,7)),SUM(INDEX($R12:$AV12,1,7):INDEX($R12:$AV12,1,13)),SUM(INDEX($R12:$AV12,1,16):INDEX($R12:$AV12,1,23)),SUM(INDEX($R12:$AV12,1,23):INDEX($R12:$AV12,1,31)))</f>
        <v/>
      </c>
      <c r="BU12" s="362" t="n">
        <v>840</v>
      </c>
      <c r="BV12" s="362" t="n">
        <v>240</v>
      </c>
      <c r="BW12" s="362" t="n">
        <v>0</v>
      </c>
      <c r="BY12" s="362">
        <f>SUM(R12:X12)</f>
        <v/>
      </c>
      <c r="BZ12" s="362">
        <f>SUM(Y12:AE12)</f>
        <v/>
      </c>
      <c r="CA12" s="362">
        <f>SUM(AF12:AM12)</f>
        <v/>
      </c>
      <c r="CB12" s="362">
        <f>SUM(AN12:AV12)</f>
        <v/>
      </c>
      <c r="CD12" s="432" t="inlineStr">
        <is>
          <t>ADA</t>
        </is>
      </c>
      <c r="CE12" s="362">
        <f>ROUND(BY12*$O12/1000,2)</f>
        <v/>
      </c>
      <c r="CF12" s="362">
        <f>ROUND(BZ12*$O12/1000,2)</f>
        <v/>
      </c>
      <c r="CG12" s="362">
        <f>ROUND(CA12*$O12/1000,2)</f>
        <v/>
      </c>
      <c r="CH12" s="362">
        <f>ROUND(CB12*$O12/1000,2)</f>
        <v/>
      </c>
      <c r="CI12" s="362">
        <f>SUM(CE12:CH12)</f>
        <v/>
      </c>
      <c r="CJ12" s="390" t="n"/>
      <c r="CK12" s="362">
        <f>IFERROR(ROUND(BY12*$P12,2),"")</f>
        <v/>
      </c>
      <c r="CL12" s="362">
        <f>IFERROR(ROUND(BZ12*$P12,2),"")</f>
        <v/>
      </c>
      <c r="CM12" s="362">
        <f>IFERROR(ROUND(CA12*$P12,2),"")</f>
        <v/>
      </c>
      <c r="CN12" s="362">
        <f>IFERROR(ROUND(CB12*$P12,2),"")</f>
        <v/>
      </c>
      <c r="CO12" s="362">
        <f>SUM(CK12:CN12)</f>
        <v/>
      </c>
    </row>
    <row r="13" hidden="1" ht="15.6" customFormat="1" customHeight="1" s="362">
      <c r="A13" s="433" t="n"/>
      <c r="B13" s="434">
        <f>_xlfn.XLOOKUP(G13,销售需求表!A:A,销售需求表!C:C)</f>
        <v/>
      </c>
      <c r="C13" s="435">
        <f>IFERROR(MID(F13,FIND("R",F13)+1,4),"")</f>
        <v/>
      </c>
      <c r="D13" s="434">
        <f>B13&amp;C13&amp;"寸"</f>
        <v/>
      </c>
      <c r="E13" s="436">
        <f>LEFT(REPLACE(G13,1,2,""),FIND("[",REPLACE(G13,1,2,""))-1)&amp;"-"&amp;MID(REPLACE(G13,1,2,""),FIND("[",REPLACE(G13,1,2,""))+1,FIND("]",REPLACE(G13,1,2,""))-FIND("[",REPLACE(G13,1,2,""))-1)</f>
        <v/>
      </c>
      <c r="F13" s="437">
        <f>IFERROR(MID(G13,3,FIND("(",G13)-3)&amp;"-"&amp;SUBSTITUTE(MID(G13,FIND("[",G13)+1,FIND("]",G13)-FIND("[",G13)-1),"Strong Guard ",""),"")</f>
        <v/>
      </c>
      <c r="G13" s="436" t="inlineStr">
        <is>
          <t>ID11R22.5-16PR(146/143L)[M-TRAC CSD+]MASTERTRACK无内</t>
        </is>
      </c>
      <c r="H13" s="434" t="n">
        <v>280</v>
      </c>
      <c r="I13" s="434" t="n"/>
      <c r="J13" s="435">
        <f>IFERROR(LEFT(F13,FIND("-",F13))&amp;MID(F13,FIND("PR",F13,FIND("-",F13))+3,LEN(F13)),F13)</f>
        <v/>
      </c>
      <c r="K13" s="434">
        <f>_xlfn.XLOOKUP(F13,投产规格!E:E,投产规格!D:D,"未投产")</f>
        <v/>
      </c>
      <c r="L13" s="434">
        <f>IFERROR(_xlfn.XLOOKUP(F13,硫化工艺!B:B,硫化工艺!C:C),"")</f>
        <v/>
      </c>
      <c r="M13" s="438">
        <f>IF(L13="","",L13/(L13+$L$1/60))</f>
        <v/>
      </c>
      <c r="N13" s="434">
        <f>C13&amp;"全钢"</f>
        <v/>
      </c>
      <c r="O13" s="434">
        <f>IFERROR(_xlfn.XLOOKUP(F13,轮胎重量!J:J,轮胎重量!G:G),"")</f>
        <v/>
      </c>
      <c r="P13" s="439">
        <f>O13*13.9</f>
        <v/>
      </c>
      <c r="Q13" s="434">
        <f>IFERROR(ROUND(1440/L13*(I13)*M13,0),"")</f>
        <v/>
      </c>
      <c r="R13" s="352" t="n"/>
      <c r="S13" s="352" t="n"/>
      <c r="T13" s="352" t="n"/>
      <c r="U13" s="352" t="n"/>
      <c r="V13" s="352" t="n"/>
      <c r="W13" s="352" t="n"/>
      <c r="X13" s="352" t="n"/>
      <c r="Y13" s="352" t="n"/>
      <c r="Z13" s="352" t="n"/>
      <c r="AA13" s="352" t="n"/>
      <c r="AB13" s="352" t="n"/>
      <c r="AC13" s="352" t="n"/>
      <c r="AD13" s="352" t="n"/>
      <c r="AE13" s="352" t="n"/>
      <c r="AF13" s="352" t="n"/>
      <c r="AG13" s="352" t="n"/>
      <c r="AH13" s="352" t="n"/>
      <c r="AI13" s="352" t="n"/>
      <c r="AJ13" s="352" t="n"/>
      <c r="AK13" s="352" t="n"/>
      <c r="AL13" s="352" t="n"/>
      <c r="AM13" s="352" t="n"/>
      <c r="AN13" s="352" t="n"/>
      <c r="AO13" s="352" t="n"/>
      <c r="AP13" s="352" t="n"/>
      <c r="AQ13" s="352" t="n"/>
      <c r="AR13" s="352" t="n"/>
      <c r="AS13" s="352" t="n"/>
      <c r="AT13" s="352" t="n"/>
      <c r="AU13" s="352" t="n"/>
      <c r="AV13" s="352" t="n"/>
      <c r="AW13" s="352">
        <f>IF(SUM(R13:AV13)=0,"",SUM(R13:AV13))</f>
        <v/>
      </c>
      <c r="AX13" s="431">
        <f>IFERROR(AW13*O13/1000,"")</f>
        <v/>
      </c>
      <c r="AY13" s="431">
        <f>IFERROR(ROUND(AW13*P13/10000,3),"")</f>
        <v/>
      </c>
      <c r="AZ13" s="359" t="n"/>
      <c r="BA13" s="362" t="n"/>
      <c r="BB13" s="362" t="n"/>
      <c r="BC13" s="331" t="n"/>
      <c r="BD13" s="331" t="n"/>
      <c r="BE13" s="331">
        <f>AZ13*AW13</f>
        <v/>
      </c>
      <c r="BF13" s="331">
        <f>BA13*AW13</f>
        <v/>
      </c>
      <c r="BG13" s="331">
        <f>BB13*AW13</f>
        <v/>
      </c>
      <c r="BH13" s="331">
        <f>BC13*AW13</f>
        <v/>
      </c>
      <c r="BI13" s="331" t="n"/>
      <c r="BJ13" s="356">
        <f t="array" ref="BJ13:BM13">_xlfn.LET(_xlpm.data,$R13:$AV13,_xlpm.starts,{1,8,16,23},_xlpm.lengths,{7,7,8,9},_xlpm.arr,_xlfn.MAP(_xlpm.starts,_xlpm.lengths,_xlfn.LAMBDA(_xlpm.s,_xlpm.l,SUM(INDEX(_xlpm.data,,_xlfn.SEQUENCE(,_xlpm.l,_xlpm.s))))),ROUND(_xlpm.arr*$O13/1000,2))</f>
        <v/>
      </c>
      <c r="BK13" s="331" t="n">
        <v>0</v>
      </c>
      <c r="BL13" s="331" t="n">
        <v>0</v>
      </c>
      <c r="BM13" s="331" t="n">
        <v>0</v>
      </c>
      <c r="BN13" s="362">
        <f>SUM(BJ13:BM13)</f>
        <v/>
      </c>
      <c r="BO13" s="362" t="n">
        <v>0</v>
      </c>
      <c r="BP13" s="362" t="n">
        <v>0</v>
      </c>
      <c r="BQ13" s="362" t="n">
        <v>0</v>
      </c>
      <c r="BR13" s="362" t="n">
        <v>0</v>
      </c>
      <c r="BS13" s="115" t="n"/>
      <c r="BT13" s="362">
        <f t="array" ref="BT13:BW13">_xlfn.HSTACK(SUM(INDEX($R13:$AV13,1,1):INDEX($R13:$AV13,1,7)),SUM(INDEX($R13:$AV13,1,7):INDEX($R13:$AV13,1,13)),SUM(INDEX($R13:$AV13,1,16):INDEX($R13:$AV13,1,23)),SUM(INDEX($R13:$AV13,1,23):INDEX($R13:$AV13,1,31)))</f>
        <v/>
      </c>
      <c r="BU13" s="362" t="n">
        <v>0</v>
      </c>
      <c r="BV13" s="362" t="n">
        <v>0</v>
      </c>
      <c r="BW13" s="362" t="n">
        <v>0</v>
      </c>
      <c r="BY13" s="362">
        <f>SUM(R13:X13)</f>
        <v/>
      </c>
      <c r="BZ13" s="362">
        <f>SUM(Y13:AE13)</f>
        <v/>
      </c>
      <c r="CA13" s="362">
        <f>SUM(AF13:AM13)</f>
        <v/>
      </c>
      <c r="CB13" s="362">
        <f>SUM(AN13:AV13)</f>
        <v/>
      </c>
      <c r="CD13" s="440" t="inlineStr">
        <is>
          <t>TIDAK ADA</t>
        </is>
      </c>
      <c r="CE13" s="362">
        <f>ROUND(BY13*$O13/1000,2)</f>
        <v/>
      </c>
      <c r="CF13" s="362">
        <f>ROUND(BZ13*$O13/1000,2)</f>
        <v/>
      </c>
      <c r="CG13" s="362">
        <f>ROUND(CA13*$O13/1000,2)</f>
        <v/>
      </c>
      <c r="CH13" s="362">
        <f>ROUND(CB13*$O13/1000,2)</f>
        <v/>
      </c>
      <c r="CI13" s="362">
        <f>SUM(CE13:CH13)</f>
        <v/>
      </c>
      <c r="CJ13" s="390" t="n"/>
      <c r="CK13" s="362">
        <f>IFERROR(ROUND(BY13*$P13,2),"")</f>
        <v/>
      </c>
      <c r="CL13" s="362">
        <f>IFERROR(ROUND(BZ13*$P13,2),"")</f>
        <v/>
      </c>
      <c r="CM13" s="362">
        <f>IFERROR(ROUND(CA13*$P13,2),"")</f>
        <v/>
      </c>
      <c r="CN13" s="362">
        <f>IFERROR(ROUND(CB13*$P13,2),"")</f>
        <v/>
      </c>
      <c r="CO13" s="362">
        <f>SUM(CK13:CN13)</f>
        <v/>
      </c>
    </row>
    <row r="14" hidden="1" ht="15.6" customFormat="1" customHeight="1" s="362">
      <c r="A14" s="433" t="n"/>
      <c r="B14" s="434">
        <f>_xlfn.XLOOKUP(G14,销售需求表!A:A,销售需求表!C:C)</f>
        <v/>
      </c>
      <c r="C14" s="435">
        <f>IFERROR(MID(F14,FIND("R",F14)+1,4),"")</f>
        <v/>
      </c>
      <c r="D14" s="434">
        <f>B14&amp;C14&amp;"寸"</f>
        <v/>
      </c>
      <c r="E14" s="436">
        <f>LEFT(REPLACE(G14,1,2,""),FIND("[",REPLACE(G14,1,2,""))-1)&amp;"-"&amp;MID(REPLACE(G14,1,2,""),FIND("[",REPLACE(G14,1,2,""))+1,FIND("]",REPLACE(G14,1,2,""))-FIND("[",REPLACE(G14,1,2,""))-1)</f>
        <v/>
      </c>
      <c r="F14" s="437">
        <f>IFERROR(MID(G14,3,FIND("(",G14)-3)&amp;"-"&amp;SUBSTITUTE(MID(G14,FIND("[",G14)+1,FIND("]",G14)-FIND("[",G14)-1),"Strong Guard ",""),"")</f>
        <v/>
      </c>
      <c r="G14" s="436" t="inlineStr">
        <is>
          <t>ID11R22.5-16PR(146/143L)[M-TRAC HS+]MASTERTRACK无内</t>
        </is>
      </c>
      <c r="H14" s="434" t="n">
        <v>280</v>
      </c>
      <c r="I14" s="434" t="n"/>
      <c r="J14" s="435">
        <f>IFERROR(LEFT(F14,FIND("-",F14))&amp;MID(F14,FIND("PR",F14,FIND("-",F14))+3,LEN(F14)),F14)</f>
        <v/>
      </c>
      <c r="K14" s="434">
        <f>_xlfn.XLOOKUP(F14,投产规格!E:E,投产规格!D:D,"未投产")</f>
        <v/>
      </c>
      <c r="L14" s="434">
        <f>IFERROR(_xlfn.XLOOKUP(F14,硫化工艺!B:B,硫化工艺!C:C),"")</f>
        <v/>
      </c>
      <c r="M14" s="438">
        <f>IF(L14="","",L14/(L14+$L$1/60))</f>
        <v/>
      </c>
      <c r="N14" s="434">
        <f>C14&amp;"全钢"</f>
        <v/>
      </c>
      <c r="O14" s="434">
        <f>IFERROR(_xlfn.XLOOKUP(F14,轮胎重量!J:J,轮胎重量!G:G),"")</f>
        <v/>
      </c>
      <c r="P14" s="439">
        <f>O14*13.9</f>
        <v/>
      </c>
      <c r="Q14" s="434">
        <f>IFERROR(ROUND(1440/L14*(I14)*M14,0),"")</f>
        <v/>
      </c>
      <c r="R14" s="352" t="n"/>
      <c r="S14" s="352" t="n"/>
      <c r="T14" s="352" t="n"/>
      <c r="U14" s="352" t="n"/>
      <c r="V14" s="352" t="n"/>
      <c r="W14" s="352" t="n"/>
      <c r="X14" s="352" t="n"/>
      <c r="Y14" s="352" t="n"/>
      <c r="Z14" s="352" t="n"/>
      <c r="AA14" s="352" t="n"/>
      <c r="AB14" s="352" t="n"/>
      <c r="AC14" s="352" t="n"/>
      <c r="AD14" s="352" t="n"/>
      <c r="AE14" s="352" t="n"/>
      <c r="AF14" s="352" t="n"/>
      <c r="AG14" s="352" t="n"/>
      <c r="AH14" s="352" t="n"/>
      <c r="AI14" s="352" t="n"/>
      <c r="AJ14" s="352" t="n"/>
      <c r="AK14" s="352" t="n"/>
      <c r="AL14" s="352" t="n"/>
      <c r="AM14" s="352" t="n"/>
      <c r="AN14" s="352" t="n"/>
      <c r="AO14" s="352" t="n"/>
      <c r="AP14" s="352" t="n"/>
      <c r="AQ14" s="352" t="n"/>
      <c r="AR14" s="352" t="n"/>
      <c r="AS14" s="352" t="n"/>
      <c r="AT14" s="352" t="n"/>
      <c r="AU14" s="352" t="n"/>
      <c r="AV14" s="352" t="n"/>
      <c r="AW14" s="352">
        <f>IF(SUM(R14:AV14)=0,"",SUM(R14:AV14))</f>
        <v/>
      </c>
      <c r="AX14" s="431">
        <f>IFERROR(AW14*O14/1000,"")</f>
        <v/>
      </c>
      <c r="AY14" s="431">
        <f>IFERROR(ROUND(AW14*P14/10000,3),"")</f>
        <v/>
      </c>
      <c r="AZ14" s="359" t="n"/>
      <c r="BA14" s="362" t="n"/>
      <c r="BB14" s="362" t="n"/>
      <c r="BC14" s="331" t="n"/>
      <c r="BD14" s="331" t="n"/>
      <c r="BE14" s="331">
        <f>AZ14*AW14</f>
        <v/>
      </c>
      <c r="BF14" s="331">
        <f>BA14*AW14</f>
        <v/>
      </c>
      <c r="BG14" s="331">
        <f>BB14*AW14</f>
        <v/>
      </c>
      <c r="BH14" s="331">
        <f>BC14*AW14</f>
        <v/>
      </c>
      <c r="BI14" s="331" t="n"/>
      <c r="BJ14" s="356">
        <f t="array" ref="BJ14:BM14">_xlfn.LET(_xlpm.data,$R14:$AV14,_xlpm.starts,{1,8,16,23},_xlpm.lengths,{7,7,8,9},_xlpm.arr,_xlfn.MAP(_xlpm.starts,_xlpm.lengths,_xlfn.LAMBDA(_xlpm.s,_xlpm.l,SUM(INDEX(_xlpm.data,,_xlfn.SEQUENCE(,_xlpm.l,_xlpm.s))))),ROUND(_xlpm.arr*$O14/1000,2))</f>
        <v/>
      </c>
      <c r="BK14" s="331" t="n">
        <v>0</v>
      </c>
      <c r="BL14" s="331" t="n">
        <v>0</v>
      </c>
      <c r="BM14" s="331" t="n">
        <v>0</v>
      </c>
      <c r="BN14" s="362">
        <f>SUM(BJ14:BM14)</f>
        <v/>
      </c>
      <c r="BO14" s="362" t="n">
        <v>0</v>
      </c>
      <c r="BP14" s="362" t="n">
        <v>0</v>
      </c>
      <c r="BQ14" s="362" t="n">
        <v>0</v>
      </c>
      <c r="BR14" s="362" t="n">
        <v>0</v>
      </c>
      <c r="BS14" s="115" t="n"/>
      <c r="BT14" s="362">
        <f t="array" ref="BT14:BW14">_xlfn.HSTACK(SUM(INDEX($R14:$AV14,1,1):INDEX($R14:$AV14,1,7)),SUM(INDEX($R14:$AV14,1,7):INDEX($R14:$AV14,1,13)),SUM(INDEX($R14:$AV14,1,16):INDEX($R14:$AV14,1,23)),SUM(INDEX($R14:$AV14,1,23):INDEX($R14:$AV14,1,31)))</f>
        <v/>
      </c>
      <c r="BU14" s="362" t="n">
        <v>0</v>
      </c>
      <c r="BV14" s="362" t="n">
        <v>0</v>
      </c>
      <c r="BW14" s="362" t="n">
        <v>0</v>
      </c>
      <c r="BY14" s="362">
        <f>SUM(R14:X14)</f>
        <v/>
      </c>
      <c r="BZ14" s="362">
        <f>SUM(Y14:AE14)</f>
        <v/>
      </c>
      <c r="CA14" s="362">
        <f>SUM(AF14:AM14)</f>
        <v/>
      </c>
      <c r="CB14" s="362">
        <f>SUM(AN14:AV14)</f>
        <v/>
      </c>
      <c r="CD14" s="440" t="inlineStr">
        <is>
          <t>TIDAK ADA</t>
        </is>
      </c>
      <c r="CE14" s="362">
        <f>ROUND(BY14*$O14/1000,2)</f>
        <v/>
      </c>
      <c r="CF14" s="362">
        <f>ROUND(BZ14*$O14/1000,2)</f>
        <v/>
      </c>
      <c r="CG14" s="362">
        <f>ROUND(CA14*$O14/1000,2)</f>
        <v/>
      </c>
      <c r="CH14" s="362">
        <f>ROUND(CB14*$O14/1000,2)</f>
        <v/>
      </c>
      <c r="CI14" s="362">
        <f>SUM(CE14:CH14)</f>
        <v/>
      </c>
      <c r="CJ14" s="390" t="n"/>
      <c r="CK14" s="362">
        <f>IFERROR(ROUND(BY14*$P14,2),"")</f>
        <v/>
      </c>
      <c r="CL14" s="362">
        <f>IFERROR(ROUND(BZ14*$P14,2),"")</f>
        <v/>
      </c>
      <c r="CM14" s="362">
        <f>IFERROR(ROUND(CA14*$P14,2),"")</f>
        <v/>
      </c>
      <c r="CN14" s="362">
        <f>IFERROR(ROUND(CB14*$P14,2),"")</f>
        <v/>
      </c>
      <c r="CO14" s="362">
        <f>SUM(CK14:CN14)</f>
        <v/>
      </c>
    </row>
    <row r="15" ht="15.6" customFormat="1" customHeight="1" s="362">
      <c r="A15" s="331" t="n"/>
      <c r="B15" s="344">
        <f>_xlfn.XLOOKUP(G15,销售需求表!A:A,销售需求表!C:C)</f>
        <v/>
      </c>
      <c r="C15" s="345">
        <f>IFERROR(MID(F15,FIND("R",F15)+1,4),"")</f>
        <v/>
      </c>
      <c r="D15" s="344">
        <f>B15&amp;C15&amp;"寸"</f>
        <v/>
      </c>
      <c r="E15" s="346">
        <f>LEFT(REPLACE(G15,1,2,""),FIND("[",REPLACE(G15,1,2,""))-1)&amp;"-"&amp;MID(REPLACE(G15,1,2,""),FIND("[",REPLACE(G15,1,2,""))+1,FIND("]",REPLACE(G15,1,2,""))-FIND("[",REPLACE(G15,1,2,""))-1)</f>
        <v/>
      </c>
      <c r="F15" s="347">
        <f>IFERROR(MID(G15,3,FIND("(",G15)-3)&amp;"-"&amp;SUBSTITUTE(MID(G15,FIND("[",G15)+1,FIND("]",G15)-FIND("[",G15)-1),"Strong Guard ",""),"")</f>
        <v/>
      </c>
      <c r="G15" s="346" t="inlineStr">
        <is>
          <t>ID11R22.5-16PR(146/143L)[M-TRAC MS]MASTERTRACK无内</t>
        </is>
      </c>
      <c r="H15" s="344" t="n">
        <v>600</v>
      </c>
      <c r="I15" s="348" t="n"/>
      <c r="J15" s="349">
        <f>IFERROR(LEFT(F15,FIND("-",F15))&amp;MID(F15,FIND("PR",F15,FIND("-",F15))+3,LEN(F15)),F15)</f>
        <v/>
      </c>
      <c r="K15" s="352">
        <f>_xlfn.XLOOKUP(F15,投产规格!E:E,投产规格!D:D,"未投产")</f>
        <v/>
      </c>
      <c r="L15" s="352">
        <f>IFERROR(_xlfn.XLOOKUP(F15,硫化工艺!B:B,硫化工艺!C:C),"")</f>
        <v/>
      </c>
      <c r="M15" s="430">
        <f>IF(L15="","",L15/(L15+$L$1/60))</f>
        <v/>
      </c>
      <c r="N15" s="352">
        <f>C15&amp;"全钢"</f>
        <v/>
      </c>
      <c r="O15" s="352">
        <f>IFERROR(_xlfn.XLOOKUP(F15,轮胎重量!J:J,轮胎重量!G:G),"")</f>
        <v/>
      </c>
      <c r="P15" s="358">
        <f>O15*13.9</f>
        <v/>
      </c>
      <c r="Q15" s="352">
        <f>IFERROR(ROUND(1440/L15*(I15)*M15,0),"")</f>
        <v/>
      </c>
      <c r="R15" s="352" t="n"/>
      <c r="S15" s="352" t="n"/>
      <c r="T15" s="352" t="n"/>
      <c r="U15" s="352" t="n"/>
      <c r="V15" s="352" t="n"/>
      <c r="W15" s="352" t="n"/>
      <c r="X15" s="352" t="n"/>
      <c r="Y15" s="352" t="n"/>
      <c r="Z15" s="352" t="n"/>
      <c r="AA15" s="352" t="n"/>
      <c r="AB15" s="352" t="n"/>
      <c r="AC15" s="352" t="n"/>
      <c r="AD15" s="352" t="n"/>
      <c r="AE15" s="352" t="n"/>
      <c r="AF15" s="352" t="n"/>
      <c r="AG15" s="352" t="n"/>
      <c r="AH15" s="352" t="n"/>
      <c r="AI15" s="352" t="n"/>
      <c r="AJ15" s="352" t="n"/>
      <c r="AK15" s="352" t="n">
        <v>60</v>
      </c>
      <c r="AL15" s="352" t="n">
        <v>60</v>
      </c>
      <c r="AM15" s="352" t="n">
        <v>60</v>
      </c>
      <c r="AN15" s="352" t="n">
        <v>60</v>
      </c>
      <c r="AO15" s="352" t="n">
        <v>60</v>
      </c>
      <c r="AP15" s="352" t="n">
        <v>60</v>
      </c>
      <c r="AQ15" s="352" t="n">
        <v>60</v>
      </c>
      <c r="AR15" s="352" t="n">
        <v>60</v>
      </c>
      <c r="AS15" s="352" t="n">
        <v>60</v>
      </c>
      <c r="AT15" s="352" t="n">
        <v>60</v>
      </c>
      <c r="AU15" s="352" t="n">
        <v>60</v>
      </c>
      <c r="AV15" s="352" t="n">
        <v>60</v>
      </c>
      <c r="AW15" s="352">
        <f>IF(SUM(R15:AV15)=0,"",SUM(R15:AV15))</f>
        <v/>
      </c>
      <c r="AX15" s="431">
        <f>IFERROR(AW15*O15/1000,"")</f>
        <v/>
      </c>
      <c r="AY15" s="431">
        <f>IFERROR(ROUND(AW15*P15/10000,3),"")</f>
        <v/>
      </c>
      <c r="AZ15" s="359" t="n"/>
      <c r="BA15" s="362" t="n"/>
      <c r="BB15" s="362" t="n"/>
      <c r="BC15" s="331" t="n"/>
      <c r="BD15" s="331" t="n"/>
      <c r="BE15" s="331">
        <f>AZ15*AW15</f>
        <v/>
      </c>
      <c r="BF15" s="331">
        <f>BA15*AW15</f>
        <v/>
      </c>
      <c r="BG15" s="331">
        <f>BB15*AW15</f>
        <v/>
      </c>
      <c r="BH15" s="331">
        <f>BC15*AW15</f>
        <v/>
      </c>
      <c r="BI15" s="331" t="n"/>
      <c r="BJ15" s="356">
        <f t="array" ref="BJ15:BM15">_xlfn.LET(_xlpm.data,$R15:$AV15,_xlpm.starts,{1,8,16,23},_xlpm.lengths,{7,7,8,9},_xlpm.arr,_xlfn.MAP(_xlpm.starts,_xlpm.lengths,_xlfn.LAMBDA(_xlpm.s,_xlpm.l,SUM(INDEX(_xlpm.data,,_xlfn.SEQUENCE(,_xlpm.l,_xlpm.s))))),ROUND(_xlpm.arr*$O15/1000,2))</f>
        <v/>
      </c>
      <c r="BK15" s="331" t="n">
        <v>0</v>
      </c>
      <c r="BL15" s="331" t="n">
        <v>14.3</v>
      </c>
      <c r="BM15" s="331" t="n">
        <v>32.17</v>
      </c>
      <c r="BN15" s="362">
        <f>SUM(BJ15:BM15)</f>
        <v/>
      </c>
      <c r="BO15" s="362" t="n">
        <v>0</v>
      </c>
      <c r="BP15" s="362" t="n">
        <v>0</v>
      </c>
      <c r="BQ15" s="362" t="n">
        <v>0</v>
      </c>
      <c r="BR15" s="362" t="n">
        <v>0</v>
      </c>
      <c r="BS15" s="115" t="n"/>
      <c r="BT15" s="362">
        <f t="array" ref="BT15:BW15">_xlfn.HSTACK(SUM(INDEX($R15:$AV15,1,1):INDEX($R15:$AV15,1,7)),SUM(INDEX($R15:$AV15,1,7):INDEX($R15:$AV15,1,13)),SUM(INDEX($R15:$AV15,1,16):INDEX($R15:$AV15,1,23)),SUM(INDEX($R15:$AV15,1,23):INDEX($R15:$AV15,1,31)))</f>
        <v/>
      </c>
      <c r="BU15" s="362" t="n">
        <v>0</v>
      </c>
      <c r="BV15" s="362" t="n">
        <v>240</v>
      </c>
      <c r="BW15" s="362" t="n">
        <v>540</v>
      </c>
      <c r="BY15" s="362">
        <f>SUM(R15:X15)</f>
        <v/>
      </c>
      <c r="BZ15" s="362">
        <f>SUM(Y15:AE15)</f>
        <v/>
      </c>
      <c r="CA15" s="362">
        <f>SUM(AF15:AM15)</f>
        <v/>
      </c>
      <c r="CB15" s="362">
        <f>SUM(AN15:AV15)</f>
        <v/>
      </c>
      <c r="CD15" s="432" t="inlineStr">
        <is>
          <t>ADA</t>
        </is>
      </c>
      <c r="CE15" s="362">
        <f>ROUND(BY15*$O15/1000,2)</f>
        <v/>
      </c>
      <c r="CF15" s="362">
        <f>ROUND(BZ15*$O15/1000,2)</f>
        <v/>
      </c>
      <c r="CG15" s="362">
        <f>ROUND(CA15*$O15/1000,2)</f>
        <v/>
      </c>
      <c r="CH15" s="362">
        <f>ROUND(CB15*$O15/1000,2)</f>
        <v/>
      </c>
      <c r="CI15" s="362">
        <f>SUM(CE15:CH15)</f>
        <v/>
      </c>
      <c r="CJ15" s="390" t="n"/>
      <c r="CK15" s="362">
        <f>IFERROR(ROUND(BY15*$P15,2),"")</f>
        <v/>
      </c>
      <c r="CL15" s="362">
        <f>IFERROR(ROUND(BZ15*$P15,2),"")</f>
        <v/>
      </c>
      <c r="CM15" s="362">
        <f>IFERROR(ROUND(CA15*$P15,2),"")</f>
        <v/>
      </c>
      <c r="CN15" s="362">
        <f>IFERROR(ROUND(CB15*$P15,2),"")</f>
        <v/>
      </c>
      <c r="CO15" s="362">
        <f>SUM(CK15:CN15)</f>
        <v/>
      </c>
    </row>
    <row r="16" ht="15.6" customFormat="1" customHeight="1" s="362">
      <c r="A16" s="331" t="n"/>
      <c r="B16" s="344">
        <f>_xlfn.XLOOKUP(G16,销售需求表!A:A,销售需求表!C:C)</f>
        <v/>
      </c>
      <c r="C16" s="345">
        <f>IFERROR(MID(F16,FIND("R",F16)+1,4),"")</f>
        <v/>
      </c>
      <c r="D16" s="344">
        <f>B16&amp;C16&amp;"寸"</f>
        <v/>
      </c>
      <c r="E16" s="346">
        <f>LEFT(REPLACE(G16,1,2,""),FIND("[",REPLACE(G16,1,2,""))-1)&amp;"-"&amp;MID(REPLACE(G16,1,2,""),FIND("[",REPLACE(G16,1,2,""))+1,FIND("]",REPLACE(G16,1,2,""))-FIND("[",REPLACE(G16,1,2,""))-1)</f>
        <v/>
      </c>
      <c r="F16" s="347">
        <f>IFERROR(MID(G16,3,FIND("(",G16)-3)&amp;"-"&amp;SUBSTITUTE(MID(G16,FIND("[",G16)+1,FIND("]",G16)-FIND("[",G16)-1),"Strong Guard ",""),"")</f>
        <v/>
      </c>
      <c r="G16" s="346" t="inlineStr">
        <is>
          <t>ID11R22.5-16PR(146/143L)[M-TRAC OSD]MASTERTRACK无内</t>
        </is>
      </c>
      <c r="H16" s="344" t="n">
        <v>2000</v>
      </c>
      <c r="I16" s="348" t="n">
        <v>2</v>
      </c>
      <c r="J16" s="349">
        <f>IFERROR(LEFT(F16,FIND("-",F16))&amp;MID(F16,FIND("PR",F16,FIND("-",F16))+3,LEN(F16)),F16)</f>
        <v/>
      </c>
      <c r="K16" s="352">
        <f>_xlfn.XLOOKUP(F16,投产规格!E:E,投产规格!D:D,"未投产")</f>
        <v/>
      </c>
      <c r="L16" s="352">
        <f>IFERROR(_xlfn.XLOOKUP(F16,硫化工艺!B:B,硫化工艺!C:C),"")</f>
        <v/>
      </c>
      <c r="M16" s="430">
        <f>IF(L16="","",L16/(L16+$L$1/60))</f>
        <v/>
      </c>
      <c r="N16" s="352">
        <f>C16&amp;"全钢"</f>
        <v/>
      </c>
      <c r="O16" s="352">
        <f>IFERROR(_xlfn.XLOOKUP(F16,轮胎重量!J:J,轮胎重量!G:G),"")</f>
        <v/>
      </c>
      <c r="P16" s="358">
        <f>O16*13.9</f>
        <v/>
      </c>
      <c r="Q16" s="352">
        <f>IFERROR(ROUND(1440/L16*(I16)*M16,0),"")</f>
        <v/>
      </c>
      <c r="R16" s="352" t="n">
        <v>60</v>
      </c>
      <c r="S16" s="352" t="n">
        <v>60</v>
      </c>
      <c r="T16" s="352" t="n">
        <v>60</v>
      </c>
      <c r="U16" s="352" t="n">
        <v>60</v>
      </c>
      <c r="V16" s="352" t="n">
        <v>60</v>
      </c>
      <c r="W16" s="352" t="n">
        <v>60</v>
      </c>
      <c r="X16" s="352" t="n">
        <v>60</v>
      </c>
      <c r="Y16" s="352" t="n">
        <v>60</v>
      </c>
      <c r="Z16" s="352" t="n">
        <v>60</v>
      </c>
      <c r="AA16" s="352" t="n">
        <v>60</v>
      </c>
      <c r="AB16" s="352" t="n">
        <v>60</v>
      </c>
      <c r="AC16" s="352" t="n">
        <v>60</v>
      </c>
      <c r="AD16" s="352" t="n">
        <v>60</v>
      </c>
      <c r="AE16" s="352" t="n">
        <v>60</v>
      </c>
      <c r="AF16" s="352" t="n">
        <v>60</v>
      </c>
      <c r="AG16" s="352" t="n">
        <v>60</v>
      </c>
      <c r="AH16" s="352" t="n">
        <v>60</v>
      </c>
      <c r="AI16" s="352" t="n">
        <v>60</v>
      </c>
      <c r="AJ16" s="352" t="n">
        <v>60</v>
      </c>
      <c r="AK16" s="352" t="n">
        <v>60</v>
      </c>
      <c r="AL16" s="352" t="n">
        <v>60</v>
      </c>
      <c r="AM16" s="352" t="n">
        <v>60</v>
      </c>
      <c r="AN16" s="352" t="n">
        <v>60</v>
      </c>
      <c r="AO16" s="352" t="n">
        <v>60</v>
      </c>
      <c r="AP16" s="352" t="n">
        <v>60</v>
      </c>
      <c r="AQ16" s="352" t="n">
        <v>60</v>
      </c>
      <c r="AR16" s="352" t="n">
        <v>60</v>
      </c>
      <c r="AS16" s="352" t="n">
        <v>60</v>
      </c>
      <c r="AT16" s="352" t="n">
        <v>60</v>
      </c>
      <c r="AU16" s="352" t="n">
        <v>60</v>
      </c>
      <c r="AV16" s="352" t="n">
        <v>60</v>
      </c>
      <c r="AW16" s="352">
        <f>IF(SUM(R16:AV16)=0,"",SUM(R16:AV16))</f>
        <v/>
      </c>
      <c r="AX16" s="431">
        <f>IFERROR(AW16*O16/1000,"")</f>
        <v/>
      </c>
      <c r="AY16" s="431">
        <f>IFERROR(ROUND(AW16*P16/10000,3),"")</f>
        <v/>
      </c>
      <c r="AZ16" s="359" t="n"/>
      <c r="BA16" s="362" t="n"/>
      <c r="BB16" s="362" t="n"/>
      <c r="BC16" s="331" t="n"/>
      <c r="BD16" s="331" t="n"/>
      <c r="BE16" s="331">
        <f>AZ16*AW16</f>
        <v/>
      </c>
      <c r="BF16" s="331">
        <f>BA16*AW16</f>
        <v/>
      </c>
      <c r="BG16" s="331">
        <f>BB16*AW16</f>
        <v/>
      </c>
      <c r="BH16" s="331">
        <f>BC16*AW16</f>
        <v/>
      </c>
      <c r="BI16" s="331" t="n"/>
      <c r="BJ16" s="356">
        <f t="array" ref="BJ16:BM16">_xlfn.LET(_xlpm.data,$R16:$AV16,_xlpm.starts,{1,8,16,23},_xlpm.lengths,{7,7,8,9},_xlpm.arr,_xlfn.MAP(_xlpm.starts,_xlpm.lengths,_xlfn.LAMBDA(_xlpm.s,_xlpm.l,SUM(INDEX(_xlpm.data,,_xlfn.SEQUENCE(,_xlpm.l,_xlpm.s))))),ROUND(_xlpm.arr*$O16/1000,2))</f>
        <v/>
      </c>
      <c r="BK16" s="331" t="n">
        <v>25.02</v>
      </c>
      <c r="BL16" s="331" t="n">
        <v>28.59</v>
      </c>
      <c r="BM16" s="331" t="n">
        <v>32.17</v>
      </c>
      <c r="BN16" s="362">
        <f>SUM(BJ16:BM16)</f>
        <v/>
      </c>
      <c r="BO16" s="362" t="n">
        <v>0</v>
      </c>
      <c r="BP16" s="362" t="n">
        <v>0</v>
      </c>
      <c r="BQ16" s="362" t="n">
        <v>0</v>
      </c>
      <c r="BR16" s="362" t="n">
        <v>0</v>
      </c>
      <c r="BS16" s="115" t="n"/>
      <c r="BT16" s="362">
        <f t="array" ref="BT16:BW16">_xlfn.HSTACK(SUM(INDEX($R16:$AV16,1,1):INDEX($R16:$AV16,1,7)),SUM(INDEX($R16:$AV16,1,7):INDEX($R16:$AV16,1,13)),SUM(INDEX($R16:$AV16,1,16):INDEX($R16:$AV16,1,23)),SUM(INDEX($R16:$AV16,1,23):INDEX($R16:$AV16,1,31)))</f>
        <v/>
      </c>
      <c r="BU16" s="362" t="n">
        <v>420</v>
      </c>
      <c r="BV16" s="362" t="n">
        <v>480</v>
      </c>
      <c r="BW16" s="362" t="n">
        <v>540</v>
      </c>
      <c r="BY16" s="362">
        <f>SUM(R16:X16)</f>
        <v/>
      </c>
      <c r="BZ16" s="362">
        <f>SUM(Y16:AE16)</f>
        <v/>
      </c>
      <c r="CA16" s="362">
        <f>SUM(AF16:AM16)</f>
        <v/>
      </c>
      <c r="CB16" s="362">
        <f>SUM(AN16:AV16)</f>
        <v/>
      </c>
      <c r="CD16" s="432" t="inlineStr">
        <is>
          <t>ADA</t>
        </is>
      </c>
      <c r="CE16" s="362">
        <f>ROUND(BY16*$O16/1000,2)</f>
        <v/>
      </c>
      <c r="CF16" s="362">
        <f>ROUND(BZ16*$O16/1000,2)</f>
        <v/>
      </c>
      <c r="CG16" s="362">
        <f>ROUND(CA16*$O16/1000,2)</f>
        <v/>
      </c>
      <c r="CH16" s="362">
        <f>ROUND(CB16*$O16/1000,2)</f>
        <v/>
      </c>
      <c r="CI16" s="362">
        <f>SUM(CE16:CH16)</f>
        <v/>
      </c>
      <c r="CJ16" s="390" t="n"/>
      <c r="CK16" s="362">
        <f>IFERROR(ROUND(BY16*$P16,2),"")</f>
        <v/>
      </c>
      <c r="CL16" s="362">
        <f>IFERROR(ROUND(BZ16*$P16,2),"")</f>
        <v/>
      </c>
      <c r="CM16" s="362">
        <f>IFERROR(ROUND(CA16*$P16,2),"")</f>
        <v/>
      </c>
      <c r="CN16" s="362">
        <f>IFERROR(ROUND(CB16*$P16,2),"")</f>
        <v/>
      </c>
      <c r="CO16" s="362">
        <f>SUM(CK16:CN16)</f>
        <v/>
      </c>
    </row>
    <row r="17" hidden="1" ht="15.6" customFormat="1" customHeight="1" s="362">
      <c r="A17" s="433" t="n"/>
      <c r="B17" s="434">
        <f>_xlfn.XLOOKUP(G17,销售需求表!A:A,销售需求表!C:C)</f>
        <v/>
      </c>
      <c r="C17" s="435">
        <f>IFERROR(MID(F17,FIND("R",F17)+1,4),"")</f>
        <v/>
      </c>
      <c r="D17" s="434">
        <f>B17&amp;C17&amp;"寸"</f>
        <v/>
      </c>
      <c r="E17" s="436">
        <f>LEFT(REPLACE(G17,1,2,""),FIND("[",REPLACE(G17,1,2,""))-1)&amp;"-"&amp;MID(REPLACE(G17,1,2,""),FIND("[",REPLACE(G17,1,2,""))+1,FIND("]",REPLACE(G17,1,2,""))-FIND("[",REPLACE(G17,1,2,""))-1)</f>
        <v/>
      </c>
      <c r="F17" s="437">
        <f>IFERROR(MID(G17,3,FIND("(",G17)-3)&amp;"-"&amp;SUBSTITUTE(MID(G17,FIND("[",G17)+1,FIND("]",G17)-FIND("[",G17)-1),"Strong Guard ",""),"")</f>
        <v/>
      </c>
      <c r="G17" s="436" t="inlineStr">
        <is>
          <t>ID11R22.5-16PR(146/143L)[RLINE-S1]REDCLIFF无内</t>
        </is>
      </c>
      <c r="H17" s="434" t="n">
        <v>280</v>
      </c>
      <c r="I17" s="434" t="n"/>
      <c r="J17" s="435">
        <f>IFERROR(LEFT(F17,FIND("-",F17))&amp;MID(F17,FIND("PR",F17,FIND("-",F17))+3,LEN(F17)),F17)</f>
        <v/>
      </c>
      <c r="K17" s="434">
        <f>_xlfn.XLOOKUP(F17,投产规格!E:E,投产规格!D:D,"未投产")</f>
        <v/>
      </c>
      <c r="L17" s="434">
        <f>IFERROR(_xlfn.XLOOKUP(F17,硫化工艺!B:B,硫化工艺!C:C),"")</f>
        <v/>
      </c>
      <c r="M17" s="438">
        <f>IF(L17="","",L17/(L17+$L$1/60))</f>
        <v/>
      </c>
      <c r="N17" s="434">
        <f>C17&amp;"全钢"</f>
        <v/>
      </c>
      <c r="O17" s="434">
        <f>IFERROR(_xlfn.XLOOKUP(F17,轮胎重量!J:J,轮胎重量!G:G),"")</f>
        <v/>
      </c>
      <c r="P17" s="439">
        <f>O17*13.9</f>
        <v/>
      </c>
      <c r="Q17" s="434">
        <f>IFERROR(ROUND(1440/L17*(I17)*M17,0),"")</f>
        <v/>
      </c>
      <c r="R17" s="352" t="n"/>
      <c r="S17" s="352" t="n"/>
      <c r="T17" s="352" t="n"/>
      <c r="U17" s="352" t="n"/>
      <c r="V17" s="352" t="n"/>
      <c r="W17" s="352" t="n"/>
      <c r="X17" s="352" t="n"/>
      <c r="Y17" s="352" t="n"/>
      <c r="Z17" s="352" t="n"/>
      <c r="AA17" s="352" t="n"/>
      <c r="AB17" s="352" t="n"/>
      <c r="AC17" s="352" t="n"/>
      <c r="AD17" s="352" t="n"/>
      <c r="AE17" s="352" t="n"/>
      <c r="AF17" s="352" t="n"/>
      <c r="AG17" s="352" t="n"/>
      <c r="AH17" s="352" t="n"/>
      <c r="AI17" s="352" t="n"/>
      <c r="AJ17" s="352" t="n"/>
      <c r="AK17" s="352" t="n"/>
      <c r="AL17" s="352" t="n"/>
      <c r="AM17" s="352" t="n"/>
      <c r="AN17" s="352" t="n"/>
      <c r="AO17" s="352" t="n"/>
      <c r="AP17" s="352" t="n"/>
      <c r="AQ17" s="352" t="n"/>
      <c r="AR17" s="352" t="n"/>
      <c r="AS17" s="352" t="n"/>
      <c r="AT17" s="352" t="n"/>
      <c r="AU17" s="352" t="n"/>
      <c r="AV17" s="352" t="n"/>
      <c r="AW17" s="352">
        <f>IF(SUM(R17:AV17)=0,"",SUM(R17:AV17))</f>
        <v/>
      </c>
      <c r="AX17" s="431">
        <f>IFERROR(AW17*O17/1000,"")</f>
        <v/>
      </c>
      <c r="AY17" s="431">
        <f>IFERROR(ROUND(AW17*P17/10000,3),"")</f>
        <v/>
      </c>
      <c r="AZ17" s="359" t="n"/>
      <c r="BA17" s="362" t="n"/>
      <c r="BB17" s="362" t="n"/>
      <c r="BC17" s="331" t="n"/>
      <c r="BD17" s="331" t="n"/>
      <c r="BE17" s="331">
        <f>AZ17*AW17</f>
        <v/>
      </c>
      <c r="BF17" s="331">
        <f>BA17*AW17</f>
        <v/>
      </c>
      <c r="BG17" s="331">
        <f>BB17*AW17</f>
        <v/>
      </c>
      <c r="BH17" s="331">
        <f>BC17*AW17</f>
        <v/>
      </c>
      <c r="BI17" s="331" t="n"/>
      <c r="BJ17" s="356">
        <f t="array" ref="BJ17:BM17">_xlfn.LET(_xlpm.data,$R17:$AV17,_xlpm.starts,{1,8,16,23},_xlpm.lengths,{7,7,8,9},_xlpm.arr,_xlfn.MAP(_xlpm.starts,_xlpm.lengths,_xlfn.LAMBDA(_xlpm.s,_xlpm.l,SUM(INDEX(_xlpm.data,,_xlfn.SEQUENCE(,_xlpm.l,_xlpm.s))))),ROUND(_xlpm.arr*$O17/1000,2))</f>
        <v/>
      </c>
      <c r="BK17" s="331" t="n">
        <v>0</v>
      </c>
      <c r="BL17" s="331" t="n">
        <v>0</v>
      </c>
      <c r="BM17" s="331" t="n">
        <v>0</v>
      </c>
      <c r="BN17" s="362">
        <f>SUM(BJ17:BM17)</f>
        <v/>
      </c>
      <c r="BO17" s="362" t="n">
        <v>0</v>
      </c>
      <c r="BP17" s="362" t="n">
        <v>0</v>
      </c>
      <c r="BQ17" s="362" t="n">
        <v>0</v>
      </c>
      <c r="BR17" s="362" t="n">
        <v>0</v>
      </c>
      <c r="BS17" s="115" t="n"/>
      <c r="BT17" s="362">
        <f t="array" ref="BT17:BW17">_xlfn.HSTACK(SUM(INDEX($R17:$AV17,1,1):INDEX($R17:$AV17,1,7)),SUM(INDEX($R17:$AV17,1,7):INDEX($R17:$AV17,1,13)),SUM(INDEX($R17:$AV17,1,16):INDEX($R17:$AV17,1,23)),SUM(INDEX($R17:$AV17,1,23):INDEX($R17:$AV17,1,31)))</f>
        <v/>
      </c>
      <c r="BU17" s="362" t="n">
        <v>0</v>
      </c>
      <c r="BV17" s="362" t="n">
        <v>0</v>
      </c>
      <c r="BW17" s="362" t="n">
        <v>0</v>
      </c>
      <c r="BY17" s="362">
        <f>SUM(R17:X17)</f>
        <v/>
      </c>
      <c r="BZ17" s="362">
        <f>SUM(Y17:AE17)</f>
        <v/>
      </c>
      <c r="CA17" s="362">
        <f>SUM(AF17:AM17)</f>
        <v/>
      </c>
      <c r="CB17" s="362">
        <f>SUM(AN17:AV17)</f>
        <v/>
      </c>
      <c r="CD17" s="440" t="inlineStr">
        <is>
          <t>TIDAK ADA</t>
        </is>
      </c>
      <c r="CE17" s="362">
        <f>ROUND(BY17*$O17/1000,2)</f>
        <v/>
      </c>
      <c r="CF17" s="362">
        <f>ROUND(BZ17*$O17/1000,2)</f>
        <v/>
      </c>
      <c r="CG17" s="362">
        <f>ROUND(CA17*$O17/1000,2)</f>
        <v/>
      </c>
      <c r="CH17" s="362">
        <f>ROUND(CB17*$O17/1000,2)</f>
        <v/>
      </c>
      <c r="CI17" s="362">
        <f>SUM(CE17:CH17)</f>
        <v/>
      </c>
      <c r="CJ17" s="390" t="n"/>
      <c r="CK17" s="362">
        <f>IFERROR(ROUND(BY17*$P17,2),"")</f>
        <v/>
      </c>
      <c r="CL17" s="362">
        <f>IFERROR(ROUND(BZ17*$P17,2),"")</f>
        <v/>
      </c>
      <c r="CM17" s="362">
        <f>IFERROR(ROUND(CA17*$P17,2),"")</f>
        <v/>
      </c>
      <c r="CN17" s="362">
        <f>IFERROR(ROUND(CB17*$P17,2),"")</f>
        <v/>
      </c>
      <c r="CO17" s="362">
        <f>SUM(CK17:CN17)</f>
        <v/>
      </c>
    </row>
    <row r="18" ht="15.6" customFormat="1" customHeight="1" s="362">
      <c r="A18" s="331" t="n"/>
      <c r="B18" s="344">
        <f>_xlfn.XLOOKUP(G18,销售需求表!A:A,销售需求表!C:C)</f>
        <v/>
      </c>
      <c r="C18" s="345">
        <f>IFERROR(MID(F18,FIND("R",F18)+1,4),"")</f>
        <v/>
      </c>
      <c r="D18" s="344">
        <f>B18&amp;C18&amp;"寸"</f>
        <v/>
      </c>
      <c r="E18" s="346">
        <f>LEFT(REPLACE(G18,1,2,""),FIND("[",REPLACE(G18,1,2,""))-1)&amp;"-"&amp;MID(REPLACE(G18,1,2,""),FIND("[",REPLACE(G18,1,2,""))+1,FIND("]",REPLACE(G18,1,2,""))-FIND("[",REPLACE(G18,1,2,""))-1)</f>
        <v/>
      </c>
      <c r="F18" s="347">
        <f>IFERROR(MID(G18,3,FIND("(",G18)-3)&amp;"-"&amp;SUBSTITUTE(MID(G18,FIND("[",G18)+1,FIND("]",G18)-FIND("[",G18)-1),"Strong Guard ",""),"")</f>
        <v/>
      </c>
      <c r="G18" s="346" t="inlineStr">
        <is>
          <t>ID11R22.5-16PR(146/143L)[Strong Guard H-RD]HERCULES无内</t>
        </is>
      </c>
      <c r="H18" s="344" t="n">
        <v>750</v>
      </c>
      <c r="I18" s="348" t="n"/>
      <c r="J18" s="349">
        <f>IFERROR(LEFT(F18,FIND("-",F18))&amp;MID(F18,FIND("PR",F18,FIND("-",F18))+3,LEN(F18)),F18)</f>
        <v/>
      </c>
      <c r="K18" s="352">
        <f>_xlfn.XLOOKUP(F18,投产规格!E:E,投产规格!D:D,"未投产")</f>
        <v/>
      </c>
      <c r="L18" s="352">
        <f>IFERROR(_xlfn.XLOOKUP(F18,硫化工艺!B:B,硫化工艺!C:C),"")</f>
        <v/>
      </c>
      <c r="M18" s="430">
        <f>IF(L18="","",L18/(L18+$L$1/60))</f>
        <v/>
      </c>
      <c r="N18" s="352">
        <f>C18&amp;"全钢"</f>
        <v/>
      </c>
      <c r="O18" s="352">
        <f>IFERROR(_xlfn.XLOOKUP(F18,轮胎重量!J:J,轮胎重量!G:G),"")</f>
        <v/>
      </c>
      <c r="P18" s="352">
        <f>IFERROR(_xlfn.XLOOKUP(G18,硫化工艺!I:I,硫化工艺!J:J),"")</f>
        <v/>
      </c>
      <c r="Q18" s="352">
        <f>IFERROR(ROUND(1440/L18*(I18)*M18,0),"")</f>
        <v/>
      </c>
      <c r="R18" s="352" t="n"/>
      <c r="S18" s="352" t="n"/>
      <c r="T18" s="352" t="n"/>
      <c r="U18" s="352" t="n"/>
      <c r="V18" s="352" t="n"/>
      <c r="W18" s="352" t="n"/>
      <c r="X18" s="352" t="n"/>
      <c r="Y18" s="352" t="n"/>
      <c r="Z18" s="352" t="n"/>
      <c r="AA18" s="352" t="n"/>
      <c r="AB18" s="352" t="n"/>
      <c r="AC18" s="352" t="n"/>
      <c r="AD18" s="352" t="n"/>
      <c r="AE18" s="352" t="n"/>
      <c r="AF18" s="352" t="n"/>
      <c r="AG18" s="352" t="n"/>
      <c r="AH18" s="352" t="n">
        <v>60</v>
      </c>
      <c r="AI18" s="352" t="n">
        <v>60</v>
      </c>
      <c r="AJ18" s="352" t="n">
        <v>60</v>
      </c>
      <c r="AK18" s="352" t="n">
        <v>60</v>
      </c>
      <c r="AL18" s="352" t="n">
        <v>60</v>
      </c>
      <c r="AM18" s="352" t="n">
        <v>60</v>
      </c>
      <c r="AN18" s="352" t="n">
        <v>60</v>
      </c>
      <c r="AO18" s="352" t="n">
        <v>60</v>
      </c>
      <c r="AP18" s="352" t="n">
        <v>60</v>
      </c>
      <c r="AQ18" s="352" t="n">
        <v>60</v>
      </c>
      <c r="AR18" s="352" t="n">
        <v>60</v>
      </c>
      <c r="AS18" s="352" t="n">
        <v>60</v>
      </c>
      <c r="AT18" s="352" t="n"/>
      <c r="AU18" s="352" t="n"/>
      <c r="AV18" s="352" t="n"/>
      <c r="AW18" s="352">
        <f>IF(SUM(R18:AV18)=0,"",SUM(R18:AV18))</f>
        <v/>
      </c>
      <c r="AX18" s="431">
        <f>IFERROR(AW18*O18/1000,"")</f>
        <v/>
      </c>
      <c r="AY18" s="431">
        <f>IFERROR(ROUND(AW18*P18/10000,3),"")</f>
        <v/>
      </c>
      <c r="AZ18" s="359" t="n"/>
      <c r="BC18" s="331" t="n"/>
      <c r="BD18" s="331" t="n"/>
      <c r="BE18" s="331">
        <f>AZ18*AW18</f>
        <v/>
      </c>
      <c r="BF18" s="331">
        <f>BA18*AW18</f>
        <v/>
      </c>
      <c r="BG18" s="331">
        <f>BB18*AW18</f>
        <v/>
      </c>
      <c r="BH18" s="331">
        <f>BC18*AW18</f>
        <v/>
      </c>
      <c r="BI18" s="331" t="n"/>
      <c r="BJ18" s="356">
        <f t="array" ref="BJ18:BM18">_xlfn.LET(_xlpm.data,$R18:$AV18,_xlpm.starts,{1,8,16,23},_xlpm.lengths,{7,7,8,9},_xlpm.arr,_xlfn.MAP(_xlpm.starts,_xlpm.lengths,_xlfn.LAMBDA(_xlpm.s,_xlpm.l,SUM(INDEX(_xlpm.data,,_xlfn.SEQUENCE(,_xlpm.l,_xlpm.s))))),ROUND(_xlpm.arr*$O18/1000,2))</f>
        <v/>
      </c>
      <c r="BK18" s="331" t="n">
        <v>0</v>
      </c>
      <c r="BL18" s="331" t="n">
        <v>22.79</v>
      </c>
      <c r="BM18" s="331" t="n">
        <v>19.53</v>
      </c>
      <c r="BN18" s="362">
        <f>SUM(BJ18:BM18)</f>
        <v/>
      </c>
      <c r="BO18" s="362" t="n">
        <v>0</v>
      </c>
      <c r="BP18" s="362" t="n">
        <v>0</v>
      </c>
      <c r="BQ18" s="362" t="n">
        <v>0</v>
      </c>
      <c r="BR18" s="362" t="n">
        <v>0</v>
      </c>
      <c r="BS18" s="115" t="n"/>
      <c r="BT18" s="362">
        <f t="array" ref="BT18:BW18">_xlfn.HSTACK(SUM(INDEX($R18:$AV18,1,1):INDEX($R18:$AV18,1,7)),SUM(INDEX($R18:$AV18,1,7):INDEX($R18:$AV18,1,13)),SUM(INDEX($R18:$AV18,1,16):INDEX($R18:$AV18,1,23)),SUM(INDEX($R18:$AV18,1,23):INDEX($R18:$AV18,1,31)))</f>
        <v/>
      </c>
      <c r="BU18" s="362" t="n">
        <v>0</v>
      </c>
      <c r="BV18" s="362" t="n">
        <v>420</v>
      </c>
      <c r="BW18" s="362" t="n">
        <v>360</v>
      </c>
      <c r="BY18" s="362">
        <f>SUM(R18:X18)</f>
        <v/>
      </c>
      <c r="BZ18" s="362">
        <f>SUM(Y18:AE18)</f>
        <v/>
      </c>
      <c r="CA18" s="362">
        <f>SUM(AF18:AM18)</f>
        <v/>
      </c>
      <c r="CB18" s="362">
        <f>SUM(AN18:AV18)</f>
        <v/>
      </c>
      <c r="CD18" s="432" t="inlineStr">
        <is>
          <t>ADA</t>
        </is>
      </c>
      <c r="CE18" s="362">
        <f>ROUND(BY18*$O18/1000,2)</f>
        <v/>
      </c>
      <c r="CF18" s="362">
        <f>ROUND(BZ18*$O18/1000,2)</f>
        <v/>
      </c>
      <c r="CG18" s="362">
        <f>ROUND(CA18*$O18/1000,2)</f>
        <v/>
      </c>
      <c r="CH18" s="362">
        <f>ROUND(CB18*$O18/1000,2)</f>
        <v/>
      </c>
      <c r="CI18" s="362">
        <f>SUM(CE18:CH18)</f>
        <v/>
      </c>
      <c r="CJ18" s="390" t="n"/>
      <c r="CK18" s="362">
        <f>IFERROR(ROUND(BY18*$P18,2),"")</f>
        <v/>
      </c>
      <c r="CL18" s="362">
        <f>IFERROR(ROUND(BZ18*$P18,2),"")</f>
        <v/>
      </c>
      <c r="CM18" s="362">
        <f>IFERROR(ROUND(CA18*$P18,2),"")</f>
        <v/>
      </c>
      <c r="CN18" s="362">
        <f>IFERROR(ROUND(CB18*$P18,2),"")</f>
        <v/>
      </c>
      <c r="CO18" s="362">
        <f>SUM(CK18:CN18)</f>
        <v/>
      </c>
    </row>
    <row r="19" ht="15.6" customFormat="1" customHeight="1" s="362">
      <c r="A19" s="331" t="n"/>
      <c r="B19" s="344">
        <f>_xlfn.XLOOKUP(G19,销售需求表!A:A,销售需求表!C:C)</f>
        <v/>
      </c>
      <c r="C19" s="345">
        <f>IFERROR(MID(F19,FIND("R",F19)+1,4),"")</f>
        <v/>
      </c>
      <c r="D19" s="344">
        <f>B19&amp;C19&amp;"寸"</f>
        <v/>
      </c>
      <c r="E19" s="346">
        <f>LEFT(REPLACE(G19,1,2,""),FIND("[",REPLACE(G19,1,2,""))-1)&amp;"-"&amp;MID(REPLACE(G19,1,2,""),FIND("[",REPLACE(G19,1,2,""))+1,FIND("]",REPLACE(G19,1,2,""))-FIND("[",REPLACE(G19,1,2,""))-1)</f>
        <v/>
      </c>
      <c r="F19" s="347">
        <f>IFERROR(MID(G19,3,FIND("(",G19)-3)&amp;"-"&amp;SUBSTITUTE(MID(G19,FIND("[",G19)+1,FIND("]",G19)-FIND("[",G19)-1),"Strong Guard ",""),"")</f>
        <v/>
      </c>
      <c r="G19" s="346" t="inlineStr">
        <is>
          <t>ID11R22.5-16PR(146/143M)[HF1 PlusX]SUPERMAX ECO无内</t>
        </is>
      </c>
      <c r="H19" s="344" t="n">
        <v>400</v>
      </c>
      <c r="I19" s="348" t="n"/>
      <c r="J19" s="349">
        <f>IFERROR(LEFT(F19,FIND("-",F19))&amp;MID(F19,FIND("PR",F19,FIND("-",F19))+3,LEN(F19)),F19)</f>
        <v/>
      </c>
      <c r="K19" s="352">
        <f>_xlfn.XLOOKUP(F19,投产规格!E:E,投产规格!D:D,"未投产")</f>
        <v/>
      </c>
      <c r="L19" s="352">
        <f>IFERROR(_xlfn.XLOOKUP(F19,硫化工艺!B:B,硫化工艺!C:C),"")</f>
        <v/>
      </c>
      <c r="M19" s="430">
        <f>IF(L19="","",L19/(L19+$L$1/60))</f>
        <v/>
      </c>
      <c r="N19" s="352">
        <f>C19&amp;"全钢"</f>
        <v/>
      </c>
      <c r="O19" s="352">
        <f>IFERROR(_xlfn.XLOOKUP(F19,轮胎重量!J:J,轮胎重量!G:G),"")</f>
        <v/>
      </c>
      <c r="P19" s="352">
        <f>IFERROR(_xlfn.XLOOKUP(G19,硫化工艺!I:I,硫化工艺!J:J),"")</f>
        <v/>
      </c>
      <c r="Q19" s="352">
        <f>IFERROR(ROUND(1440/L19*(I19)*M19,0),"")</f>
        <v/>
      </c>
      <c r="R19" s="352" t="n"/>
      <c r="S19" s="352" t="n"/>
      <c r="T19" s="352" t="n"/>
      <c r="U19" s="352" t="n"/>
      <c r="V19" s="352" t="n"/>
      <c r="W19" s="352" t="n"/>
      <c r="X19" s="352" t="n"/>
      <c r="Y19" s="352" t="n"/>
      <c r="Z19" s="352" t="n"/>
      <c r="AA19" s="352" t="n"/>
      <c r="AB19" s="352" t="n"/>
      <c r="AC19" s="352" t="n"/>
      <c r="AD19" s="352" t="n"/>
      <c r="AE19" s="352" t="n"/>
      <c r="AF19" s="352" t="n"/>
      <c r="AG19" s="352" t="n"/>
      <c r="AH19" s="352" t="n"/>
      <c r="AI19" s="352" t="n"/>
      <c r="AJ19" s="352" t="n"/>
      <c r="AK19" s="352" t="n"/>
      <c r="AL19" s="352" t="n"/>
      <c r="AM19" s="352" t="n"/>
      <c r="AN19" s="352" t="n"/>
      <c r="AO19" s="352" t="n"/>
      <c r="AP19" s="352" t="n"/>
      <c r="AQ19" s="352" t="n"/>
      <c r="AR19" s="352" t="n"/>
      <c r="AS19" s="352" t="n">
        <v>64</v>
      </c>
      <c r="AT19" s="352" t="n">
        <v>64</v>
      </c>
      <c r="AU19" s="352" t="n">
        <v>64</v>
      </c>
      <c r="AV19" s="352" t="n">
        <v>64</v>
      </c>
      <c r="AW19" s="352">
        <f>IF(SUM(R19:AV19)=0,"",SUM(R19:AV19))</f>
        <v/>
      </c>
      <c r="AX19" s="431">
        <f>IFERROR(AW19*O19/1000,"")</f>
        <v/>
      </c>
      <c r="AY19" s="431">
        <f>IFERROR(ROUND(AW19*P19/10000,3),"")</f>
        <v/>
      </c>
      <c r="AZ19" s="359" t="n"/>
      <c r="BC19" s="331" t="n"/>
      <c r="BD19" s="331" t="n"/>
      <c r="BE19" s="331">
        <f>AZ19*AW19</f>
        <v/>
      </c>
      <c r="BF19" s="331">
        <f>BA19*AW19</f>
        <v/>
      </c>
      <c r="BG19" s="331">
        <f>BB19*AW19</f>
        <v/>
      </c>
      <c r="BH19" s="331">
        <f>BC19*AW19</f>
        <v/>
      </c>
      <c r="BI19" s="331" t="n"/>
      <c r="BJ19" s="356">
        <f t="array" ref="BJ19:BM19">_xlfn.LET(_xlpm.data,$R19:$AV19,_xlpm.starts,{1,8,16,23},_xlpm.lengths,{7,7,8,9},_xlpm.arr,_xlfn.MAP(_xlpm.starts,_xlpm.lengths,_xlfn.LAMBDA(_xlpm.s,_xlpm.l,SUM(INDEX(_xlpm.data,,_xlfn.SEQUENCE(,_xlpm.l,_xlpm.s))))),ROUND(_xlpm.arr*$O19/1000,2))</f>
        <v/>
      </c>
      <c r="BK19" s="331" t="n">
        <v>0</v>
      </c>
      <c r="BL19" s="331" t="n">
        <v>0</v>
      </c>
      <c r="BM19" s="331" t="n">
        <v>12.96</v>
      </c>
      <c r="BN19" s="362">
        <f>SUM(BJ19:BM19)</f>
        <v/>
      </c>
      <c r="BO19" s="362" t="n">
        <v>0</v>
      </c>
      <c r="BP19" s="362" t="n">
        <v>0</v>
      </c>
      <c r="BQ19" s="362" t="n">
        <v>0</v>
      </c>
      <c r="BR19" s="362" t="n">
        <v>0</v>
      </c>
      <c r="BS19" s="115" t="n"/>
      <c r="BT19" s="362">
        <f t="array" ref="BT19:BW19">_xlfn.HSTACK(SUM(INDEX($R19:$AV19,1,1):INDEX($R19:$AV19,1,7)),SUM(INDEX($R19:$AV19,1,7):INDEX($R19:$AV19,1,13)),SUM(INDEX($R19:$AV19,1,16):INDEX($R19:$AV19,1,23)),SUM(INDEX($R19:$AV19,1,23):INDEX($R19:$AV19,1,31)))</f>
        <v/>
      </c>
      <c r="BU19" s="362" t="n">
        <v>0</v>
      </c>
      <c r="BV19" s="362" t="n">
        <v>0</v>
      </c>
      <c r="BW19" s="362" t="n">
        <v>256</v>
      </c>
      <c r="BY19" s="362">
        <f>SUM(R19:X19)</f>
        <v/>
      </c>
      <c r="BZ19" s="362">
        <f>SUM(Y19:AE19)</f>
        <v/>
      </c>
      <c r="CA19" s="362">
        <f>SUM(AF19:AM19)</f>
        <v/>
      </c>
      <c r="CB19" s="362">
        <f>SUM(AN19:AV19)</f>
        <v/>
      </c>
      <c r="CD19" s="432" t="inlineStr">
        <is>
          <t>ADA</t>
        </is>
      </c>
      <c r="CE19" s="362">
        <f>ROUND(BY19*$O19/1000,2)</f>
        <v/>
      </c>
      <c r="CF19" s="362">
        <f>ROUND(BZ19*$O19/1000,2)</f>
        <v/>
      </c>
      <c r="CG19" s="362">
        <f>ROUND(CA19*$O19/1000,2)</f>
        <v/>
      </c>
      <c r="CH19" s="362">
        <f>ROUND(CB19*$O19/1000,2)</f>
        <v/>
      </c>
      <c r="CI19" s="362">
        <f>SUM(CE19:CH19)</f>
        <v/>
      </c>
      <c r="CJ19" s="390" t="n"/>
      <c r="CK19" s="362">
        <f>IFERROR(ROUND(BY19*$P19,2),"")</f>
        <v/>
      </c>
      <c r="CL19" s="362">
        <f>IFERROR(ROUND(BZ19*$P19,2),"")</f>
        <v/>
      </c>
      <c r="CM19" s="362">
        <f>IFERROR(ROUND(CA19*$P19,2),"")</f>
        <v/>
      </c>
      <c r="CN19" s="362">
        <f>IFERROR(ROUND(CB19*$P19,2),"")</f>
        <v/>
      </c>
      <c r="CO19" s="362">
        <f>SUM(CK19:CN19)</f>
        <v/>
      </c>
    </row>
    <row r="20" ht="15.6" customFormat="1" customHeight="1" s="362">
      <c r="A20" s="331" t="n"/>
      <c r="B20" s="344">
        <f>_xlfn.XLOOKUP(G20,销售需求表!A:A,销售需求表!C:C)</f>
        <v/>
      </c>
      <c r="C20" s="345">
        <f>IFERROR(MID(F20,FIND("R",F20)+1,4),"")</f>
        <v/>
      </c>
      <c r="D20" s="344">
        <f>B20&amp;C20&amp;"寸"</f>
        <v/>
      </c>
      <c r="E20" s="346">
        <f>LEFT(REPLACE(G20,1,2,""),FIND("[",REPLACE(G20,1,2,""))-1)&amp;"-"&amp;MID(REPLACE(G20,1,2,""),FIND("[",REPLACE(G20,1,2,""))+1,FIND("]",REPLACE(G20,1,2,""))-FIND("[",REPLACE(G20,1,2,""))-1)</f>
        <v/>
      </c>
      <c r="F20" s="347">
        <f>IFERROR(MID(G20,3,FIND("(",G20)-3)&amp;"-"&amp;SUBSTITUTE(MID(G20,FIND("[",G20)+1,FIND("]",G20)-FIND("[",G20)-1),"Strong Guard ",""),"")</f>
        <v/>
      </c>
      <c r="G20" s="346" t="inlineStr">
        <is>
          <t>ID11R22.5-16PR(146/143M)[KOBE APM]ITARO无内</t>
        </is>
      </c>
      <c r="H20" s="344" t="n">
        <v>750</v>
      </c>
      <c r="I20" s="348" t="n"/>
      <c r="J20" s="349">
        <f>IFERROR(LEFT(F20,FIND("-",F20))&amp;MID(F20,FIND("PR",F20,FIND("-",F20))+3,LEN(F20)),F20)</f>
        <v/>
      </c>
      <c r="K20" s="352">
        <f>_xlfn.XLOOKUP(F20,投产规格!E:E,投产规格!D:D,"未投产")</f>
        <v/>
      </c>
      <c r="L20" s="352">
        <f>IFERROR(_xlfn.XLOOKUP(F20,硫化工艺!B:B,硫化工艺!C:C),"")</f>
        <v/>
      </c>
      <c r="M20" s="430">
        <f>IF(L20="","",L20/(L20+$L$1/60))</f>
        <v/>
      </c>
      <c r="N20" s="352">
        <f>C20&amp;"全钢"</f>
        <v/>
      </c>
      <c r="O20" s="352">
        <f>IFERROR(_xlfn.XLOOKUP(F20,轮胎重量!J:J,轮胎重量!G:G),"")</f>
        <v/>
      </c>
      <c r="P20" s="352">
        <f>IFERROR(_xlfn.XLOOKUP(G20,硫化工艺!I:I,硫化工艺!J:J),"")</f>
        <v/>
      </c>
      <c r="Q20" s="352">
        <f>IFERROR(ROUND(1440/L20*(I20)*M20,0),"")</f>
        <v/>
      </c>
      <c r="R20" s="352" t="n"/>
      <c r="S20" s="352" t="n"/>
      <c r="T20" s="352" t="n"/>
      <c r="U20" s="352" t="n"/>
      <c r="V20" s="352" t="n"/>
      <c r="W20" s="352" t="n"/>
      <c r="X20" s="352" t="n"/>
      <c r="Y20" s="352" t="n"/>
      <c r="Z20" s="352" t="n"/>
      <c r="AA20" s="352" t="n"/>
      <c r="AB20" s="352" t="n"/>
      <c r="AC20" s="352" t="n"/>
      <c r="AD20" s="352" t="n"/>
      <c r="AE20" s="352" t="n"/>
      <c r="AF20" s="352" t="n"/>
      <c r="AG20" s="352" t="n"/>
      <c r="AH20" s="352" t="n"/>
      <c r="AI20" s="352" t="n"/>
      <c r="AJ20" s="352" t="n"/>
      <c r="AK20" s="352" t="n">
        <v>66</v>
      </c>
      <c r="AL20" s="352" t="n">
        <v>66</v>
      </c>
      <c r="AM20" s="352" t="n">
        <v>66</v>
      </c>
      <c r="AN20" s="352" t="n">
        <v>66</v>
      </c>
      <c r="AO20" s="352" t="n">
        <v>66</v>
      </c>
      <c r="AP20" s="352" t="n">
        <v>66</v>
      </c>
      <c r="AQ20" s="352" t="n">
        <v>66</v>
      </c>
      <c r="AR20" s="352" t="n">
        <v>66</v>
      </c>
      <c r="AS20" s="352" t="n">
        <v>66</v>
      </c>
      <c r="AT20" s="352" t="n">
        <v>66</v>
      </c>
      <c r="AU20" s="352" t="n">
        <v>66</v>
      </c>
      <c r="AV20" s="352" t="n">
        <v>66</v>
      </c>
      <c r="AW20" s="352">
        <f>IF(SUM(R20:AV20)=0,"",SUM(R20:AV20))</f>
        <v/>
      </c>
      <c r="AX20" s="431">
        <f>IFERROR(AW20*O20/1000,"")</f>
        <v/>
      </c>
      <c r="AY20" s="431">
        <f>IFERROR(ROUND(AW20*P20/10000,3),"")</f>
        <v/>
      </c>
      <c r="AZ20" s="359" t="n"/>
      <c r="BC20" s="331" t="n"/>
      <c r="BD20" s="331" t="n"/>
      <c r="BE20" s="331">
        <f>AZ20*AW20</f>
        <v/>
      </c>
      <c r="BF20" s="331">
        <f>BA20*AW20</f>
        <v/>
      </c>
      <c r="BG20" s="331">
        <f>BB20*AW20</f>
        <v/>
      </c>
      <c r="BH20" s="331">
        <f>BC20*AW20</f>
        <v/>
      </c>
      <c r="BI20" s="331" t="n"/>
      <c r="BJ20" s="356">
        <f t="array" ref="BJ20:BM20">_xlfn.LET(_xlpm.data,$R20:$AV20,_xlpm.starts,{1,8,16,23},_xlpm.lengths,{7,7,8,9},_xlpm.arr,_xlfn.MAP(_xlpm.starts,_xlpm.lengths,_xlfn.LAMBDA(_xlpm.s,_xlpm.l,SUM(INDEX(_xlpm.data,,_xlfn.SEQUENCE(,_xlpm.l,_xlpm.s))))),ROUND(_xlpm.arr*$O20/1000,2))</f>
        <v/>
      </c>
      <c r="BK20" s="331" t="n">
        <v>0</v>
      </c>
      <c r="BL20" s="331" t="n">
        <v>13.37</v>
      </c>
      <c r="BM20" s="331" t="n">
        <v>30.08</v>
      </c>
      <c r="BN20" s="362">
        <f>SUM(BJ20:BM20)</f>
        <v/>
      </c>
      <c r="BO20" s="362" t="n">
        <v>0</v>
      </c>
      <c r="BP20" s="362" t="n">
        <v>0</v>
      </c>
      <c r="BQ20" s="362" t="n">
        <v>0</v>
      </c>
      <c r="BR20" s="362" t="n">
        <v>0</v>
      </c>
      <c r="BS20" s="115" t="n"/>
      <c r="BT20" s="362">
        <f t="array" ref="BT20:BW20">_xlfn.HSTACK(SUM(INDEX($R20:$AV20,1,1):INDEX($R20:$AV20,1,7)),SUM(INDEX($R20:$AV20,1,7):INDEX($R20:$AV20,1,13)),SUM(INDEX($R20:$AV20,1,16):INDEX($R20:$AV20,1,23)),SUM(INDEX($R20:$AV20,1,23):INDEX($R20:$AV20,1,31)))</f>
        <v/>
      </c>
      <c r="BU20" s="362" t="n">
        <v>0</v>
      </c>
      <c r="BV20" s="362" t="n">
        <v>264</v>
      </c>
      <c r="BW20" s="362" t="n">
        <v>594</v>
      </c>
      <c r="BY20" s="362">
        <f>SUM(R20:X20)</f>
        <v/>
      </c>
      <c r="BZ20" s="362">
        <f>SUM(Y20:AE20)</f>
        <v/>
      </c>
      <c r="CA20" s="362">
        <f>SUM(AF20:AM20)</f>
        <v/>
      </c>
      <c r="CB20" s="362">
        <f>SUM(AN20:AV20)</f>
        <v/>
      </c>
      <c r="CD20" s="432" t="inlineStr">
        <is>
          <t>ADA</t>
        </is>
      </c>
      <c r="CE20" s="362">
        <f>ROUND(BY20*$O20/1000,2)</f>
        <v/>
      </c>
      <c r="CF20" s="362">
        <f>ROUND(BZ20*$O20/1000,2)</f>
        <v/>
      </c>
      <c r="CG20" s="362">
        <f>ROUND(CA20*$O20/1000,2)</f>
        <v/>
      </c>
      <c r="CH20" s="362">
        <f>ROUND(CB20*$O20/1000,2)</f>
        <v/>
      </c>
      <c r="CI20" s="362">
        <f>SUM(CE20:CH20)</f>
        <v/>
      </c>
      <c r="CJ20" s="390" t="n"/>
      <c r="CK20" s="362">
        <f>IFERROR(ROUND(BY20*$P20,2),"")</f>
        <v/>
      </c>
      <c r="CL20" s="362">
        <f>IFERROR(ROUND(BZ20*$P20,2),"")</f>
        <v/>
      </c>
      <c r="CM20" s="362">
        <f>IFERROR(ROUND(CA20*$P20,2),"")</f>
        <v/>
      </c>
      <c r="CN20" s="362">
        <f>IFERROR(ROUND(CB20*$P20,2),"")</f>
        <v/>
      </c>
      <c r="CO20" s="362">
        <f>SUM(CK20:CN20)</f>
        <v/>
      </c>
    </row>
    <row r="21" ht="15.6" customFormat="1" customHeight="1" s="362">
      <c r="A21" s="331" t="n"/>
      <c r="B21" s="344">
        <f>_xlfn.XLOOKUP(G21,销售需求表!A:A,销售需求表!C:C)</f>
        <v/>
      </c>
      <c r="C21" s="345">
        <f>IFERROR(MID(F21,FIND("R",F21)+1,4),"")</f>
        <v/>
      </c>
      <c r="D21" s="344">
        <f>B21&amp;C21&amp;"寸"</f>
        <v/>
      </c>
      <c r="E21" s="346">
        <f>LEFT(REPLACE(G21,1,2,""),FIND("[",REPLACE(G21,1,2,""))-1)&amp;"-"&amp;MID(REPLACE(G21,1,2,""),FIND("[",REPLACE(G21,1,2,""))+1,FIND("]",REPLACE(G21,1,2,""))-FIND("[",REPLACE(G21,1,2,""))-1)</f>
        <v/>
      </c>
      <c r="F21" s="347">
        <f>IFERROR(MID(G21,3,FIND("(",G21)-3)&amp;"-"&amp;SUBSTITUTE(MID(G21,FIND("[",G21)+1,FIND("]",G21)-FIND("[",G21)-1),"Strong Guard ",""),"")</f>
        <v/>
      </c>
      <c r="G21" s="346" t="inlineStr">
        <is>
          <t>ID11R22.5-16PR(148/145K)[Strong Guard H-MD]HERCULES无内</t>
        </is>
      </c>
      <c r="H21" s="344" t="n">
        <v>1100</v>
      </c>
      <c r="I21" s="348" t="n">
        <v>2</v>
      </c>
      <c r="J21" s="349">
        <f>IFERROR(LEFT(F21,FIND("-",F21))&amp;MID(F21,FIND("PR",F21,FIND("-",F21))+3,LEN(F21)),F21)</f>
        <v/>
      </c>
      <c r="K21" s="352">
        <f>_xlfn.XLOOKUP(F21,投产规格!E:E,投产规格!D:D,"未投产")</f>
        <v/>
      </c>
      <c r="L21" s="352">
        <f>IFERROR(_xlfn.XLOOKUP(F21,硫化工艺!B:B,硫化工艺!C:C),"")</f>
        <v/>
      </c>
      <c r="M21" s="430">
        <f>IF(L21="","",L21/(L21+$L$1/60))</f>
        <v/>
      </c>
      <c r="N21" s="352">
        <f>C21&amp;"全钢"</f>
        <v/>
      </c>
      <c r="O21" s="352">
        <f>IFERROR(_xlfn.XLOOKUP(F21,轮胎重量!J:J,轮胎重量!G:G),"")</f>
        <v/>
      </c>
      <c r="P21" s="352">
        <f>IFERROR(_xlfn.XLOOKUP(G21,硫化工艺!I:I,硫化工艺!J:J),"")</f>
        <v/>
      </c>
      <c r="Q21" s="352">
        <f>IFERROR(ROUND(1440/L21*(I21)*M21,0),"")</f>
        <v/>
      </c>
      <c r="R21" s="352" t="n">
        <v>58</v>
      </c>
      <c r="S21" s="352" t="n">
        <v>58</v>
      </c>
      <c r="T21" s="352" t="n">
        <v>58</v>
      </c>
      <c r="U21" s="352" t="n">
        <v>58</v>
      </c>
      <c r="V21" s="352" t="n">
        <v>58</v>
      </c>
      <c r="W21" s="352" t="n">
        <v>58</v>
      </c>
      <c r="X21" s="352" t="n">
        <v>58</v>
      </c>
      <c r="Y21" s="352" t="n">
        <v>58</v>
      </c>
      <c r="Z21" s="352" t="n">
        <v>58</v>
      </c>
      <c r="AA21" s="352" t="n">
        <v>58</v>
      </c>
      <c r="AB21" s="352" t="n">
        <v>58</v>
      </c>
      <c r="AC21" s="352" t="n">
        <v>58</v>
      </c>
      <c r="AD21" s="352" t="n">
        <v>58</v>
      </c>
      <c r="AE21" s="352" t="n">
        <v>58</v>
      </c>
      <c r="AF21" s="352" t="n">
        <v>58</v>
      </c>
      <c r="AG21" s="352" t="n">
        <v>58</v>
      </c>
      <c r="AH21" s="352" t="n"/>
      <c r="AI21" s="352" t="n"/>
      <c r="AJ21" s="352" t="n"/>
      <c r="AK21" s="352" t="n"/>
      <c r="AL21" s="352" t="n"/>
      <c r="AM21" s="352" t="n"/>
      <c r="AN21" s="352" t="n"/>
      <c r="AO21" s="352" t="n"/>
      <c r="AP21" s="352" t="n"/>
      <c r="AQ21" s="352" t="n"/>
      <c r="AR21" s="352" t="n"/>
      <c r="AS21" s="352" t="n"/>
      <c r="AT21" s="352" t="n"/>
      <c r="AU21" s="352" t="n"/>
      <c r="AV21" s="352" t="n"/>
      <c r="AW21" s="352">
        <f>IF(SUM(R21:AV21)=0,"",SUM(R21:AV21))</f>
        <v/>
      </c>
      <c r="AX21" s="431">
        <f>IFERROR(AW21*O21/1000,"")</f>
        <v/>
      </c>
      <c r="AY21" s="431">
        <f>IFERROR(ROUND(AW21*P21/10000,3),"")</f>
        <v/>
      </c>
      <c r="AZ21" s="359" t="n"/>
      <c r="BC21" s="331" t="n"/>
      <c r="BD21" s="331" t="n"/>
      <c r="BE21" s="331">
        <f>AZ21*AW21</f>
        <v/>
      </c>
      <c r="BF21" s="331">
        <f>BA21*AW21</f>
        <v/>
      </c>
      <c r="BG21" s="331">
        <f>BB21*AW21</f>
        <v/>
      </c>
      <c r="BH21" s="331">
        <f>BC21*AW21</f>
        <v/>
      </c>
      <c r="BI21" s="331" t="n"/>
      <c r="BJ21" s="356">
        <f t="array" ref="BJ21:BM21">_xlfn.LET(_xlpm.data,$R21:$AV21,_xlpm.starts,{1,8,16,23},_xlpm.lengths,{7,7,8,9},_xlpm.arr,_xlfn.MAP(_xlpm.starts,_xlpm.lengths,_xlfn.LAMBDA(_xlpm.s,_xlpm.l,SUM(INDEX(_xlpm.data,,_xlfn.SEQUENCE(,_xlpm.l,_xlpm.s))))),ROUND(_xlpm.arr*$O21/1000,2))</f>
        <v/>
      </c>
      <c r="BK21" s="331" t="n">
        <v>24.49</v>
      </c>
      <c r="BL21" s="331" t="n">
        <v>3.5</v>
      </c>
      <c r="BM21" s="331" t="n">
        <v>0</v>
      </c>
      <c r="BN21" s="362">
        <f>SUM(BJ21:BM21)</f>
        <v/>
      </c>
      <c r="BO21" s="362" t="n">
        <v>0</v>
      </c>
      <c r="BP21" s="362" t="n">
        <v>0</v>
      </c>
      <c r="BQ21" s="362" t="n">
        <v>0</v>
      </c>
      <c r="BR21" s="362" t="n">
        <v>0</v>
      </c>
      <c r="BS21" s="115" t="n"/>
      <c r="BT21" s="362">
        <f t="array" ref="BT21:BW21">_xlfn.HSTACK(SUM(INDEX($R21:$AV21,1,1):INDEX($R21:$AV21,1,7)),SUM(INDEX($R21:$AV21,1,7):INDEX($R21:$AV21,1,13)),SUM(INDEX($R21:$AV21,1,16):INDEX($R21:$AV21,1,23)),SUM(INDEX($R21:$AV21,1,23):INDEX($R21:$AV21,1,31)))</f>
        <v/>
      </c>
      <c r="BU21" s="362" t="n">
        <v>406</v>
      </c>
      <c r="BV21" s="362" t="n">
        <v>58</v>
      </c>
      <c r="BW21" s="362" t="n">
        <v>0</v>
      </c>
      <c r="BY21" s="362">
        <f>SUM(R21:X21)</f>
        <v/>
      </c>
      <c r="BZ21" s="362">
        <f>SUM(Y21:AE21)</f>
        <v/>
      </c>
      <c r="CA21" s="362">
        <f>SUM(AF21:AM21)</f>
        <v/>
      </c>
      <c r="CB21" s="362">
        <f>SUM(AN21:AV21)</f>
        <v/>
      </c>
      <c r="CD21" s="432" t="inlineStr">
        <is>
          <t>ADA</t>
        </is>
      </c>
      <c r="CE21" s="362">
        <f>ROUND(BY21*$O21/1000,2)</f>
        <v/>
      </c>
      <c r="CF21" s="362">
        <f>ROUND(BZ21*$O21/1000,2)</f>
        <v/>
      </c>
      <c r="CG21" s="362">
        <f>ROUND(CA21*$O21/1000,2)</f>
        <v/>
      </c>
      <c r="CH21" s="362">
        <f>ROUND(CB21*$O21/1000,2)</f>
        <v/>
      </c>
      <c r="CI21" s="362">
        <f>SUM(CE21:CH21)</f>
        <v/>
      </c>
      <c r="CJ21" s="390" t="n"/>
      <c r="CK21" s="362">
        <f>IFERROR(ROUND(BY21*$P21,2),"")</f>
        <v/>
      </c>
      <c r="CL21" s="362">
        <f>IFERROR(ROUND(BZ21*$P21,2),"")</f>
        <v/>
      </c>
      <c r="CM21" s="362">
        <f>IFERROR(ROUND(CA21*$P21,2),"")</f>
        <v/>
      </c>
      <c r="CN21" s="362">
        <f>IFERROR(ROUND(CB21*$P21,2),"")</f>
        <v/>
      </c>
      <c r="CO21" s="362">
        <f>SUM(CK21:CN21)</f>
        <v/>
      </c>
    </row>
    <row r="22" ht="15.6" customFormat="1" customHeight="1" s="362">
      <c r="A22" s="331" t="n"/>
      <c r="B22" s="344">
        <f>_xlfn.XLOOKUP(G22,销售需求表!A:A,销售需求表!C:C)</f>
        <v/>
      </c>
      <c r="C22" s="345">
        <f>IFERROR(MID(F22,FIND("R",F22)+1,4),"")</f>
        <v/>
      </c>
      <c r="D22" s="344">
        <f>B22&amp;C22&amp;"寸"</f>
        <v/>
      </c>
      <c r="E22" s="346">
        <f>LEFT(REPLACE(G22,1,2,""),FIND("[",REPLACE(G22,1,2,""))-1)&amp;"-"&amp;MID(REPLACE(G22,1,2,""),FIND("[",REPLACE(G22,1,2,""))+1,FIND("]",REPLACE(G22,1,2,""))-FIND("[",REPLACE(G22,1,2,""))-1)</f>
        <v/>
      </c>
      <c r="F22" s="347">
        <f>IFERROR(MID(G22,3,FIND("(",G22)-3)&amp;"-"&amp;SUBSTITUTE(MID(G22,FIND("[",G22)+1,FIND("]",G22)-FIND("[",G22)-1),"Strong Guard ",""),"")</f>
        <v/>
      </c>
      <c r="G22" s="346" t="inlineStr">
        <is>
          <t>ID11R22.5-16PR(148/145L)[AD716]GOODRIDE(好运)无内</t>
        </is>
      </c>
      <c r="H22" s="344" t="n">
        <v>280</v>
      </c>
      <c r="I22" s="348" t="n"/>
      <c r="J22" s="349">
        <f>IFERROR(LEFT(F22,FIND("-",F22))&amp;MID(F22,FIND("PR",F22,FIND("-",F22))+3,LEN(F22)),F22)</f>
        <v/>
      </c>
      <c r="K22" s="352">
        <f>_xlfn.XLOOKUP(F22,投产规格!E:E,投产规格!D:D,"未投产")</f>
        <v/>
      </c>
      <c r="L22" s="352">
        <f>IFERROR(_xlfn.XLOOKUP(F22,硫化工艺!B:B,硫化工艺!C:C),"")</f>
        <v/>
      </c>
      <c r="M22" s="430">
        <f>IF(L22="","",L22/(L22+$L$1/60))</f>
        <v/>
      </c>
      <c r="N22" s="352">
        <f>C22&amp;"全钢"</f>
        <v/>
      </c>
      <c r="O22" s="352">
        <f>IFERROR(_xlfn.XLOOKUP(F22,轮胎重量!J:J,轮胎重量!G:G),"")</f>
        <v/>
      </c>
      <c r="P22" s="352">
        <f>IFERROR(_xlfn.XLOOKUP(G22,硫化工艺!I:I,硫化工艺!J:J),"")</f>
        <v/>
      </c>
      <c r="Q22" s="352">
        <f>IFERROR(ROUND(1440/L22*(I22)*M22,0),"")</f>
        <v/>
      </c>
      <c r="R22" s="352" t="n"/>
      <c r="S22" s="352" t="n"/>
      <c r="T22" s="352" t="n"/>
      <c r="U22" s="352" t="n"/>
      <c r="V22" s="352" t="n"/>
      <c r="W22" s="352" t="n"/>
      <c r="X22" s="352" t="n"/>
      <c r="Y22" s="352" t="n"/>
      <c r="Z22" s="352" t="n"/>
      <c r="AA22" s="352" t="n"/>
      <c r="AB22" s="352" t="n"/>
      <c r="AC22" s="352" t="n"/>
      <c r="AD22" s="352" t="n"/>
      <c r="AE22" s="352" t="n"/>
      <c r="AF22" s="352" t="n"/>
      <c r="AG22" s="352" t="n"/>
      <c r="AH22" s="352" t="n"/>
      <c r="AI22" s="352" t="n"/>
      <c r="AJ22" s="352" t="n"/>
      <c r="AK22" s="352" t="n"/>
      <c r="AL22" s="352" t="n"/>
      <c r="AM22" s="352" t="n"/>
      <c r="AN22" s="352" t="n"/>
      <c r="AO22" s="352" t="n"/>
      <c r="AP22" s="352" t="n"/>
      <c r="AQ22" s="352" t="n"/>
      <c r="AR22" s="352" t="n"/>
      <c r="AS22" s="352" t="n"/>
      <c r="AT22" s="352" t="n">
        <v>60</v>
      </c>
      <c r="AU22" s="352" t="n">
        <v>60</v>
      </c>
      <c r="AV22" s="352" t="n">
        <v>60</v>
      </c>
      <c r="AW22" s="352">
        <f>IF(SUM(R22:AV22)=0,"",SUM(R22:AV22))</f>
        <v/>
      </c>
      <c r="AX22" s="431">
        <f>IFERROR(AW22*O22/1000,"")</f>
        <v/>
      </c>
      <c r="AY22" s="431">
        <f>IFERROR(ROUND(AW22*P22/10000,3),"")</f>
        <v/>
      </c>
      <c r="AZ22" s="359" t="n"/>
      <c r="BC22" s="331" t="n"/>
      <c r="BD22" s="331" t="n"/>
      <c r="BE22" s="331">
        <f>AZ22*AW22</f>
        <v/>
      </c>
      <c r="BF22" s="331">
        <f>BA22*AW22</f>
        <v/>
      </c>
      <c r="BG22" s="331">
        <f>BB22*AW22</f>
        <v/>
      </c>
      <c r="BH22" s="331">
        <f>BC22*AW22</f>
        <v/>
      </c>
      <c r="BI22" s="331" t="n"/>
      <c r="BJ22" s="356">
        <f t="array" ref="BJ22:BM22">_xlfn.LET(_xlpm.data,$R22:$AV22,_xlpm.starts,{1,8,16,23},_xlpm.lengths,{7,7,8,9},_xlpm.arr,_xlfn.MAP(_xlpm.starts,_xlpm.lengths,_xlfn.LAMBDA(_xlpm.s,_xlpm.l,SUM(INDEX(_xlpm.data,,_xlfn.SEQUENCE(,_xlpm.l,_xlpm.s))))),ROUND(_xlpm.arr*$O22/1000,2))</f>
        <v/>
      </c>
      <c r="BK22" s="331" t="n">
        <v>0</v>
      </c>
      <c r="BL22" s="331" t="n">
        <v>0</v>
      </c>
      <c r="BM22" s="331" t="n">
        <v>10.05</v>
      </c>
      <c r="BN22" s="362">
        <f>SUM(BJ22:BM22)</f>
        <v/>
      </c>
      <c r="BO22" s="362" t="n">
        <v>0</v>
      </c>
      <c r="BP22" s="362" t="n">
        <v>0</v>
      </c>
      <c r="BQ22" s="362" t="n">
        <v>0</v>
      </c>
      <c r="BR22" s="362" t="n">
        <v>0</v>
      </c>
      <c r="BS22" s="115" t="n"/>
      <c r="BT22" s="362">
        <f t="array" ref="BT22:BW22">_xlfn.HSTACK(SUM(INDEX($R22:$AV22,1,1):INDEX($R22:$AV22,1,7)),SUM(INDEX($R22:$AV22,1,7):INDEX($R22:$AV22,1,13)),SUM(INDEX($R22:$AV22,1,16):INDEX($R22:$AV22,1,23)),SUM(INDEX($R22:$AV22,1,23):INDEX($R22:$AV22,1,31)))</f>
        <v/>
      </c>
      <c r="BU22" s="362" t="n">
        <v>0</v>
      </c>
      <c r="BV22" s="362" t="n">
        <v>0</v>
      </c>
      <c r="BW22" s="362" t="n">
        <v>180</v>
      </c>
      <c r="BY22" s="362">
        <f>SUM(R22:X22)</f>
        <v/>
      </c>
      <c r="BZ22" s="362">
        <f>SUM(Y22:AE22)</f>
        <v/>
      </c>
      <c r="CA22" s="362">
        <f>SUM(AF22:AM22)</f>
        <v/>
      </c>
      <c r="CB22" s="362">
        <f>SUM(AN22:AV22)</f>
        <v/>
      </c>
      <c r="CD22" s="432" t="inlineStr">
        <is>
          <t>ADA</t>
        </is>
      </c>
      <c r="CE22" s="362">
        <f>ROUND(BY22*$O22/1000,2)</f>
        <v/>
      </c>
      <c r="CF22" s="362">
        <f>ROUND(BZ22*$O22/1000,2)</f>
        <v/>
      </c>
      <c r="CG22" s="362">
        <f>ROUND(CA22*$O22/1000,2)</f>
        <v/>
      </c>
      <c r="CH22" s="362">
        <f>ROUND(CB22*$O22/1000,2)</f>
        <v/>
      </c>
      <c r="CI22" s="362">
        <f>SUM(CE22:CH22)</f>
        <v/>
      </c>
      <c r="CJ22" s="390" t="n"/>
      <c r="CK22" s="362">
        <f>IFERROR(ROUND(BY22*$P22,2),"")</f>
        <v/>
      </c>
      <c r="CL22" s="362">
        <f>IFERROR(ROUND(BZ22*$P22,2),"")</f>
        <v/>
      </c>
      <c r="CM22" s="362">
        <f>IFERROR(ROUND(CA22*$P22,2),"")</f>
        <v/>
      </c>
      <c r="CN22" s="362">
        <f>IFERROR(ROUND(CB22*$P22,2),"")</f>
        <v/>
      </c>
      <c r="CO22" s="362">
        <f>SUM(CK22:CN22)</f>
        <v/>
      </c>
    </row>
    <row r="23" ht="15.6" customFormat="1" customHeight="1" s="362">
      <c r="A23" s="331" t="n"/>
      <c r="B23" s="344">
        <f>_xlfn.XLOOKUP(G23,销售需求表!A:A,销售需求表!C:C)</f>
        <v/>
      </c>
      <c r="C23" s="345">
        <f>IFERROR(MID(F23,FIND("R",F23)+1,4),"")</f>
        <v/>
      </c>
      <c r="D23" s="344">
        <f>B23&amp;C23&amp;"寸"</f>
        <v/>
      </c>
      <c r="E23" s="346">
        <f>LEFT(REPLACE(G23,1,2,""),FIND("[",REPLACE(G23,1,2,""))-1)&amp;"-"&amp;MID(REPLACE(G23,1,2,""),FIND("[",REPLACE(G23,1,2,""))+1,FIND("]",REPLACE(G23,1,2,""))-FIND("[",REPLACE(G23,1,2,""))-1)</f>
        <v/>
      </c>
      <c r="F23" s="347">
        <f>IFERROR(MID(G23,3,FIND("(",G23)-3)&amp;"-"&amp;SUBSTITUTE(MID(G23,FIND("[",G23)+1,FIND("]",G23)-FIND("[",G23)-1),"Strong Guard ",""),"")</f>
        <v/>
      </c>
      <c r="G23" s="346" t="inlineStr">
        <is>
          <t>ID11R22.5-16PR(148/145L)[AS858]GOODRIDE(好运)无内</t>
        </is>
      </c>
      <c r="H23" s="344" t="n">
        <v>480</v>
      </c>
      <c r="I23" s="348" t="n"/>
      <c r="J23" s="349">
        <f>IFERROR(LEFT(F23,FIND("-",F23))&amp;MID(F23,FIND("PR",F23,FIND("-",F23))+3,LEN(F23)),F23)</f>
        <v/>
      </c>
      <c r="K23" s="352">
        <f>_xlfn.XLOOKUP(F23,投产规格!E:E,投产规格!D:D,"未投产")</f>
        <v/>
      </c>
      <c r="L23" s="352">
        <f>IFERROR(_xlfn.XLOOKUP(F23,硫化工艺!B:B,硫化工艺!C:C),"")</f>
        <v/>
      </c>
      <c r="M23" s="430">
        <f>IF(L23="","",L23/(L23+$L$1/60))</f>
        <v/>
      </c>
      <c r="N23" s="352">
        <f>C23&amp;"全钢"</f>
        <v/>
      </c>
      <c r="O23" s="352">
        <f>IFERROR(_xlfn.XLOOKUP(F23,轮胎重量!J:J,轮胎重量!G:G),"")</f>
        <v/>
      </c>
      <c r="P23" s="352">
        <f>IFERROR(_xlfn.XLOOKUP(G23,硫化工艺!I:I,硫化工艺!J:J),"")</f>
        <v/>
      </c>
      <c r="Q23" s="352">
        <f>IFERROR(ROUND(1440/L23*(I23)*M23,0),"")</f>
        <v/>
      </c>
      <c r="R23" s="352" t="n"/>
      <c r="S23" s="352" t="n"/>
      <c r="T23" s="352" t="n"/>
      <c r="U23" s="352" t="n"/>
      <c r="V23" s="352" t="n"/>
      <c r="W23" s="352" t="n"/>
      <c r="X23" s="352" t="n"/>
      <c r="Y23" s="352" t="n"/>
      <c r="Z23" s="352" t="n"/>
      <c r="AA23" s="352" t="n"/>
      <c r="AB23" s="352" t="n"/>
      <c r="AC23" s="352" t="n"/>
      <c r="AD23" s="352" t="n"/>
      <c r="AE23" s="352" t="n"/>
      <c r="AF23" s="352" t="n"/>
      <c r="AG23" s="352" t="n"/>
      <c r="AH23" s="352" t="n"/>
      <c r="AI23" s="352" t="n"/>
      <c r="AJ23" s="352" t="n"/>
      <c r="AK23" s="352" t="n"/>
      <c r="AL23" s="352" t="n"/>
      <c r="AM23" s="352" t="n"/>
      <c r="AN23" s="352" t="n">
        <v>60</v>
      </c>
      <c r="AO23" s="352" t="n">
        <v>60</v>
      </c>
      <c r="AP23" s="352" t="n">
        <v>60</v>
      </c>
      <c r="AQ23" s="352" t="n">
        <v>60</v>
      </c>
      <c r="AR23" s="352" t="n">
        <v>60</v>
      </c>
      <c r="AS23" s="352" t="n">
        <v>60</v>
      </c>
      <c r="AT23" s="352" t="n">
        <v>60</v>
      </c>
      <c r="AU23" s="352" t="n">
        <v>60</v>
      </c>
      <c r="AV23" s="352" t="n">
        <v>60</v>
      </c>
      <c r="AW23" s="352">
        <f>IF(SUM(R23:AV23)=0,"",SUM(R23:AV23))</f>
        <v/>
      </c>
      <c r="AX23" s="431">
        <f>IFERROR(AW23*O23/1000,"")</f>
        <v/>
      </c>
      <c r="AY23" s="431">
        <f>IFERROR(ROUND(AW23*P23/10000,3),"")</f>
        <v/>
      </c>
      <c r="AZ23" s="359" t="n"/>
      <c r="BC23" s="331" t="n"/>
      <c r="BD23" s="331" t="n"/>
      <c r="BE23" s="331">
        <f>AZ23*AW23</f>
        <v/>
      </c>
      <c r="BF23" s="331">
        <f>BA23*AW23</f>
        <v/>
      </c>
      <c r="BG23" s="331">
        <f>BB23*AW23</f>
        <v/>
      </c>
      <c r="BH23" s="331">
        <f>BC23*AW23</f>
        <v/>
      </c>
      <c r="BI23" s="331" t="n"/>
      <c r="BJ23" s="356">
        <f t="array" ref="BJ23:BM23">_xlfn.LET(_xlpm.data,$R23:$AV23,_xlpm.starts,{1,8,16,23},_xlpm.lengths,{7,7,8,9},_xlpm.arr,_xlfn.MAP(_xlpm.starts,_xlpm.lengths,_xlfn.LAMBDA(_xlpm.s,_xlpm.l,SUM(INDEX(_xlpm.data,,_xlfn.SEQUENCE(,_xlpm.l,_xlpm.s))))),ROUND(_xlpm.arr*$O23/1000,2))</f>
        <v/>
      </c>
      <c r="BK23" s="331" t="n">
        <v>0</v>
      </c>
      <c r="BL23" s="331" t="n">
        <v>3.43</v>
      </c>
      <c r="BM23" s="331" t="n">
        <v>30.91</v>
      </c>
      <c r="BN23" s="362">
        <f>SUM(BJ23:BM23)</f>
        <v/>
      </c>
      <c r="BO23" s="362" t="n">
        <v>0</v>
      </c>
      <c r="BP23" s="362" t="n">
        <v>0</v>
      </c>
      <c r="BQ23" s="362" t="n">
        <v>0</v>
      </c>
      <c r="BR23" s="362" t="n">
        <v>0</v>
      </c>
      <c r="BS23" s="115" t="n"/>
      <c r="BT23" s="362">
        <f t="array" ref="BT23:BW23">_xlfn.HSTACK(SUM(INDEX($R23:$AV23,1,1):INDEX($R23:$AV23,1,7)),SUM(INDEX($R23:$AV23,1,7):INDEX($R23:$AV23,1,13)),SUM(INDEX($R23:$AV23,1,16):INDEX($R23:$AV23,1,23)),SUM(INDEX($R23:$AV23,1,23):INDEX($R23:$AV23,1,31)))</f>
        <v/>
      </c>
      <c r="BU23" s="362" t="n">
        <v>0</v>
      </c>
      <c r="BV23" s="362" t="n">
        <v>60</v>
      </c>
      <c r="BW23" s="362" t="n">
        <v>540</v>
      </c>
      <c r="BY23" s="362">
        <f>SUM(R23:X23)</f>
        <v/>
      </c>
      <c r="BZ23" s="362">
        <f>SUM(Y23:AE23)</f>
        <v/>
      </c>
      <c r="CA23" s="362">
        <f>SUM(AF23:AM23)</f>
        <v/>
      </c>
      <c r="CB23" s="362">
        <f>SUM(AN23:AV23)</f>
        <v/>
      </c>
      <c r="CD23" s="432" t="inlineStr">
        <is>
          <t>ADA</t>
        </is>
      </c>
      <c r="CE23" s="362">
        <f>ROUND(BY23*$O23/1000,2)</f>
        <v/>
      </c>
      <c r="CF23" s="362">
        <f>ROUND(BZ23*$O23/1000,2)</f>
        <v/>
      </c>
      <c r="CG23" s="362">
        <f>ROUND(CA23*$O23/1000,2)</f>
        <v/>
      </c>
      <c r="CH23" s="362">
        <f>ROUND(CB23*$O23/1000,2)</f>
        <v/>
      </c>
      <c r="CI23" s="362">
        <f>SUM(CE23:CH23)</f>
        <v/>
      </c>
      <c r="CJ23" s="390" t="n"/>
      <c r="CK23" s="362">
        <f>IFERROR(ROUND(BY23*$P23,2),"")</f>
        <v/>
      </c>
      <c r="CL23" s="362">
        <f>IFERROR(ROUND(BZ23*$P23,2),"")</f>
        <v/>
      </c>
      <c r="CM23" s="362">
        <f>IFERROR(ROUND(CA23*$P23,2),"")</f>
        <v/>
      </c>
      <c r="CN23" s="362">
        <f>IFERROR(ROUND(CB23*$P23,2),"")</f>
        <v/>
      </c>
      <c r="CO23" s="362">
        <f>SUM(CK23:CN23)</f>
        <v/>
      </c>
    </row>
    <row r="24" ht="15.6" customFormat="1" customHeight="1" s="362">
      <c r="A24" s="331" t="n"/>
      <c r="B24" s="344">
        <f>_xlfn.XLOOKUP(G24,销售需求表!A:A,销售需求表!C:C)</f>
        <v/>
      </c>
      <c r="C24" s="345">
        <f>IFERROR(MID(F24,FIND("R",F24)+1,4),"")</f>
        <v/>
      </c>
      <c r="D24" s="344">
        <f>B24&amp;C24&amp;"寸"</f>
        <v/>
      </c>
      <c r="E24" s="346">
        <f>LEFT(REPLACE(G24,1,2,""),FIND("[",REPLACE(G24,1,2,""))-1)&amp;"-"&amp;MID(REPLACE(G24,1,2,""),FIND("[",REPLACE(G24,1,2,""))+1,FIND("]",REPLACE(G24,1,2,""))-FIND("[",REPLACE(G24,1,2,""))-1)</f>
        <v/>
      </c>
      <c r="F24" s="347">
        <f>IFERROR(MID(G24,3,FIND("(",G24)-3)&amp;"-"&amp;SUBSTITUTE(MID(G24,FIND("[",G24)+1,FIND("]",G24)-FIND("[",G24)-1),"Strong Guard ",""),"")</f>
        <v/>
      </c>
      <c r="G24" s="346" t="inlineStr">
        <is>
          <t>ID11R22.5-16PR(148/145L)[AS868]金冠无内</t>
        </is>
      </c>
      <c r="H24" s="344" t="n">
        <v>2600</v>
      </c>
      <c r="I24" s="348" t="n">
        <v>2</v>
      </c>
      <c r="J24" s="349">
        <f>IFERROR(LEFT(F24,FIND("-",F24))&amp;MID(F24,FIND("PR",F24,FIND("-",F24))+3,LEN(F24)),F24)</f>
        <v/>
      </c>
      <c r="K24" s="352">
        <f>_xlfn.XLOOKUP(F24,投产规格!E:E,投产规格!D:D,"未投产")</f>
        <v/>
      </c>
      <c r="L24" s="352">
        <f>IFERROR(_xlfn.XLOOKUP(F24,硫化工艺!B:B,硫化工艺!C:C),"")</f>
        <v/>
      </c>
      <c r="M24" s="430">
        <f>IF(L24="","",L24/(L24+$L$1/60))</f>
        <v/>
      </c>
      <c r="N24" s="352">
        <f>C24&amp;"全钢"</f>
        <v/>
      </c>
      <c r="O24" s="352">
        <f>IFERROR(_xlfn.XLOOKUP(F24,轮胎重量!J:J,轮胎重量!G:G),"")</f>
        <v/>
      </c>
      <c r="P24" s="352">
        <f>IFERROR(_xlfn.XLOOKUP(G24,硫化工艺!I:I,硫化工艺!J:J),"")</f>
        <v/>
      </c>
      <c r="Q24" s="352">
        <f>IFERROR(ROUND(1440/L24*(I24)*M24,0),"")</f>
        <v/>
      </c>
      <c r="R24" s="352" t="n">
        <v>60</v>
      </c>
      <c r="S24" s="352" t="n">
        <v>60</v>
      </c>
      <c r="T24" s="352" t="n">
        <v>60</v>
      </c>
      <c r="U24" s="352" t="n">
        <v>60</v>
      </c>
      <c r="V24" s="352" t="n">
        <v>60</v>
      </c>
      <c r="W24" s="352" t="n">
        <v>60</v>
      </c>
      <c r="X24" s="352" t="n">
        <v>60</v>
      </c>
      <c r="Y24" s="352" t="n">
        <v>60</v>
      </c>
      <c r="Z24" s="352" t="n">
        <v>60</v>
      </c>
      <c r="AA24" s="352" t="n">
        <v>60</v>
      </c>
      <c r="AB24" s="352" t="n">
        <v>60</v>
      </c>
      <c r="AC24" s="352" t="n">
        <v>60</v>
      </c>
      <c r="AD24" s="352" t="n">
        <v>60</v>
      </c>
      <c r="AE24" s="352" t="n">
        <v>60</v>
      </c>
      <c r="AF24" s="352" t="n">
        <v>60</v>
      </c>
      <c r="AG24" s="352" t="n">
        <v>60</v>
      </c>
      <c r="AH24" s="352" t="n">
        <v>60</v>
      </c>
      <c r="AI24" s="352" t="n">
        <v>60</v>
      </c>
      <c r="AJ24" s="352" t="n">
        <v>60</v>
      </c>
      <c r="AK24" s="352" t="n">
        <v>60</v>
      </c>
      <c r="AL24" s="352" t="n">
        <v>60</v>
      </c>
      <c r="AM24" s="352" t="n">
        <v>60</v>
      </c>
      <c r="AN24" s="352" t="n">
        <v>60</v>
      </c>
      <c r="AO24" s="352" t="n">
        <v>60</v>
      </c>
      <c r="AP24" s="352" t="n">
        <v>60</v>
      </c>
      <c r="AQ24" s="352" t="n">
        <v>60</v>
      </c>
      <c r="AR24" s="352" t="n">
        <v>60</v>
      </c>
      <c r="AS24" s="352" t="n">
        <v>60</v>
      </c>
      <c r="AT24" s="352" t="n">
        <v>60</v>
      </c>
      <c r="AU24" s="352" t="n">
        <v>60</v>
      </c>
      <c r="AV24" s="352" t="n">
        <v>60</v>
      </c>
      <c r="AW24" s="352">
        <f>IF(SUM(R24:AV24)=0,"",SUM(R24:AV24))</f>
        <v/>
      </c>
      <c r="AX24" s="431">
        <f>IFERROR(AW24*O24/1000,"")</f>
        <v/>
      </c>
      <c r="AY24" s="431">
        <f>IFERROR(ROUND(AW24*P24/10000,3),"")</f>
        <v/>
      </c>
      <c r="AZ24" s="359" t="n"/>
      <c r="BC24" s="331" t="n"/>
      <c r="BD24" s="331" t="n"/>
      <c r="BE24" s="331">
        <f>AZ24*AW24</f>
        <v/>
      </c>
      <c r="BF24" s="331">
        <f>BA24*AW24</f>
        <v/>
      </c>
      <c r="BG24" s="331">
        <f>BB24*AW24</f>
        <v/>
      </c>
      <c r="BH24" s="331">
        <f>BC24*AW24</f>
        <v/>
      </c>
      <c r="BI24" s="331" t="n"/>
      <c r="BJ24" s="356">
        <f t="array" ref="BJ24:BM24">_xlfn.LET(_xlpm.data,$R24:$AV24,_xlpm.starts,{1,8,16,23},_xlpm.lengths,{7,7,8,9},_xlpm.arr,_xlfn.MAP(_xlpm.starts,_xlpm.lengths,_xlfn.LAMBDA(_xlpm.s,_xlpm.l,SUM(INDEX(_xlpm.data,,_xlfn.SEQUENCE(,_xlpm.l,_xlpm.s))))),ROUND(_xlpm.arr*$O24/1000,2))</f>
        <v/>
      </c>
      <c r="BK24" s="331" t="n">
        <v>24.04</v>
      </c>
      <c r="BL24" s="331" t="n">
        <v>27.47</v>
      </c>
      <c r="BM24" s="331" t="n">
        <v>30.91</v>
      </c>
      <c r="BN24" s="362">
        <f>SUM(BJ24:BM24)</f>
        <v/>
      </c>
      <c r="BO24" s="362" t="n">
        <v>0</v>
      </c>
      <c r="BP24" s="362" t="n">
        <v>0</v>
      </c>
      <c r="BQ24" s="362" t="n">
        <v>0</v>
      </c>
      <c r="BR24" s="362" t="n">
        <v>0</v>
      </c>
      <c r="BS24" s="115" t="n"/>
      <c r="BT24" s="362">
        <f t="array" ref="BT24:BW24">_xlfn.HSTACK(SUM(INDEX($R24:$AV24,1,1):INDEX($R24:$AV24,1,7)),SUM(INDEX($R24:$AV24,1,7):INDEX($R24:$AV24,1,13)),SUM(INDEX($R24:$AV24,1,16):INDEX($R24:$AV24,1,23)),SUM(INDEX($R24:$AV24,1,23):INDEX($R24:$AV24,1,31)))</f>
        <v/>
      </c>
      <c r="BU24" s="362" t="n">
        <v>420</v>
      </c>
      <c r="BV24" s="362" t="n">
        <v>480</v>
      </c>
      <c r="BW24" s="362" t="n">
        <v>540</v>
      </c>
      <c r="BY24" s="362">
        <f>SUM(R24:X24)</f>
        <v/>
      </c>
      <c r="BZ24" s="362">
        <f>SUM(Y24:AE24)</f>
        <v/>
      </c>
      <c r="CA24" s="362">
        <f>SUM(AF24:AM24)</f>
        <v/>
      </c>
      <c r="CB24" s="362">
        <f>SUM(AN24:AV24)</f>
        <v/>
      </c>
      <c r="CD24" s="432" t="inlineStr">
        <is>
          <t>ADA</t>
        </is>
      </c>
      <c r="CE24" s="362">
        <f>ROUND(BY24*$O24/1000,2)</f>
        <v/>
      </c>
      <c r="CF24" s="362">
        <f>ROUND(BZ24*$O24/1000,2)</f>
        <v/>
      </c>
      <c r="CG24" s="362">
        <f>ROUND(CA24*$O24/1000,2)</f>
        <v/>
      </c>
      <c r="CH24" s="362">
        <f>ROUND(CB24*$O24/1000,2)</f>
        <v/>
      </c>
      <c r="CI24" s="362">
        <f>SUM(CE24:CH24)</f>
        <v/>
      </c>
      <c r="CJ24" s="390" t="n"/>
      <c r="CK24" s="362">
        <f>IFERROR(ROUND(BY24*$P24,2),"")</f>
        <v/>
      </c>
      <c r="CL24" s="362">
        <f>IFERROR(ROUND(BZ24*$P24,2),"")</f>
        <v/>
      </c>
      <c r="CM24" s="362">
        <f>IFERROR(ROUND(CA24*$P24,2),"")</f>
        <v/>
      </c>
      <c r="CN24" s="362">
        <f>IFERROR(ROUND(CB24*$P24,2),"")</f>
        <v/>
      </c>
      <c r="CO24" s="362">
        <f>SUM(CK24:CN24)</f>
        <v/>
      </c>
    </row>
    <row r="25" ht="15.6" customFormat="1" customHeight="1" s="362">
      <c r="A25" s="331" t="n"/>
      <c r="B25" s="344">
        <f>_xlfn.XLOOKUP(G25,销售需求表!A:A,销售需求表!C:C)</f>
        <v/>
      </c>
      <c r="C25" s="345">
        <f>IFERROR(MID(F25,FIND("R",F25)+1,4),"")</f>
        <v/>
      </c>
      <c r="D25" s="344">
        <f>B25&amp;C25&amp;"寸"</f>
        <v/>
      </c>
      <c r="E25" s="346">
        <f>LEFT(REPLACE(G25,1,2,""),FIND("[",REPLACE(G25,1,2,""))-1)&amp;"-"&amp;MID(REPLACE(G25,1,2,""),FIND("[",REPLACE(G25,1,2,""))+1,FIND("]",REPLACE(G25,1,2,""))-FIND("[",REPLACE(G25,1,2,""))-1)</f>
        <v/>
      </c>
      <c r="F25" s="347">
        <f>IFERROR(MID(G25,3,FIND("(",G25)-3)&amp;"-"&amp;SUBSTITUTE(MID(G25,FIND("[",G25)+1,FIND("]",G25)-FIND("[",G25)-1),"Strong Guard ",""),"")</f>
        <v/>
      </c>
      <c r="G25" s="346" t="inlineStr">
        <is>
          <t>ID11R22.5-16PR(148/145L)[AZ599]威狮无内</t>
        </is>
      </c>
      <c r="H25" s="344" t="n">
        <v>400</v>
      </c>
      <c r="I25" s="348" t="n"/>
      <c r="J25" s="349">
        <f>IFERROR(LEFT(F25,FIND("-",F25))&amp;MID(F25,FIND("PR",F25,FIND("-",F25))+3,LEN(F25)),F25)</f>
        <v/>
      </c>
      <c r="K25" s="352">
        <f>_xlfn.XLOOKUP(F25,投产规格!E:E,投产规格!D:D,"未投产")</f>
        <v/>
      </c>
      <c r="L25" s="352">
        <f>IFERROR(_xlfn.XLOOKUP(F25,硫化工艺!B:B,硫化工艺!C:C),"")</f>
        <v/>
      </c>
      <c r="M25" s="430">
        <f>IF(L25="","",L25/(L25+$L$1/60))</f>
        <v/>
      </c>
      <c r="N25" s="352">
        <f>C25&amp;"全钢"</f>
        <v/>
      </c>
      <c r="O25" s="352">
        <f>IFERROR(_xlfn.XLOOKUP(F25,轮胎重量!J:J,轮胎重量!G:G),"")</f>
        <v/>
      </c>
      <c r="P25" s="352">
        <f>IFERROR(_xlfn.XLOOKUP(G25,硫化工艺!I:I,硫化工艺!J:J),"")</f>
        <v/>
      </c>
      <c r="Q25" s="352">
        <f>IFERROR(ROUND(1440/L25*(I25)*M25,0),"")</f>
        <v/>
      </c>
      <c r="R25" s="352" t="n"/>
      <c r="S25" s="352" t="n"/>
      <c r="T25" s="352" t="n"/>
      <c r="U25" s="352" t="n"/>
      <c r="V25" s="352" t="n"/>
      <c r="W25" s="352" t="n"/>
      <c r="X25" s="352" t="n"/>
      <c r="Y25" s="352" t="n"/>
      <c r="Z25" s="352" t="n"/>
      <c r="AA25" s="352" t="n"/>
      <c r="AB25" s="352" t="n"/>
      <c r="AC25" s="352" t="n"/>
      <c r="AD25" s="352" t="n"/>
      <c r="AE25" s="352" t="n"/>
      <c r="AF25" s="352" t="n"/>
      <c r="AG25" s="352" t="n"/>
      <c r="AH25" s="352" t="n"/>
      <c r="AI25" s="352" t="n"/>
      <c r="AJ25" s="352" t="n"/>
      <c r="AK25" s="352" t="n"/>
      <c r="AL25" s="352" t="n"/>
      <c r="AM25" s="352" t="n"/>
      <c r="AN25" s="352" t="n"/>
      <c r="AO25" s="352" t="n">
        <v>60</v>
      </c>
      <c r="AP25" s="352" t="n">
        <v>60</v>
      </c>
      <c r="AQ25" s="352" t="n">
        <v>60</v>
      </c>
      <c r="AR25" s="352" t="n">
        <v>60</v>
      </c>
      <c r="AS25" s="352" t="n">
        <v>60</v>
      </c>
      <c r="AT25" s="352" t="n">
        <v>60</v>
      </c>
      <c r="AU25" s="352" t="n">
        <v>60</v>
      </c>
      <c r="AV25" s="352" t="n">
        <v>60</v>
      </c>
      <c r="AW25" s="352">
        <f>IF(SUM(R25:AV25)=0,"",SUM(R25:AV25))</f>
        <v/>
      </c>
      <c r="AX25" s="431">
        <f>IFERROR(AW25*O25/1000,"")</f>
        <v/>
      </c>
      <c r="AY25" s="431">
        <f>IFERROR(ROUND(AW25*P25/10000,3),"")</f>
        <v/>
      </c>
      <c r="AZ25" s="359" t="n"/>
      <c r="BC25" s="331" t="n"/>
      <c r="BD25" s="331" t="n"/>
      <c r="BE25" s="331">
        <f>AZ25*AW25</f>
        <v/>
      </c>
      <c r="BF25" s="331">
        <f>BA25*AW25</f>
        <v/>
      </c>
      <c r="BG25" s="331">
        <f>BB25*AW25</f>
        <v/>
      </c>
      <c r="BH25" s="331">
        <f>BC25*AW25</f>
        <v/>
      </c>
      <c r="BI25" s="331" t="n"/>
      <c r="BJ25" s="356">
        <f t="array" ref="BJ25:BM25">_xlfn.LET(_xlpm.data,$R25:$AV25,_xlpm.starts,{1,8,16,23},_xlpm.lengths,{7,7,8,9},_xlpm.arr,_xlfn.MAP(_xlpm.starts,_xlpm.lengths,_xlfn.LAMBDA(_xlpm.s,_xlpm.l,SUM(INDEX(_xlpm.data,,_xlfn.SEQUENCE(,_xlpm.l,_xlpm.s))))),ROUND(_xlpm.arr*$O25/1000,2))</f>
        <v/>
      </c>
      <c r="BK25" s="331" t="n">
        <v>0</v>
      </c>
      <c r="BL25" s="331" t="n">
        <v>0</v>
      </c>
      <c r="BM25" s="331" t="n">
        <v>24.99</v>
      </c>
      <c r="BN25" s="362">
        <f>SUM(BJ25:BM25)</f>
        <v/>
      </c>
      <c r="BO25" s="362" t="n">
        <v>0</v>
      </c>
      <c r="BP25" s="362" t="n">
        <v>0</v>
      </c>
      <c r="BQ25" s="362" t="n">
        <v>0</v>
      </c>
      <c r="BR25" s="362" t="n">
        <v>0</v>
      </c>
      <c r="BS25" s="115" t="n"/>
      <c r="BT25" s="362">
        <f t="array" ref="BT25:BW25">_xlfn.HSTACK(SUM(INDEX($R25:$AV25,1,1):INDEX($R25:$AV25,1,7)),SUM(INDEX($R25:$AV25,1,7):INDEX($R25:$AV25,1,13)),SUM(INDEX($R25:$AV25,1,16):INDEX($R25:$AV25,1,23)),SUM(INDEX($R25:$AV25,1,23):INDEX($R25:$AV25,1,31)))</f>
        <v/>
      </c>
      <c r="BU25" s="362" t="n">
        <v>0</v>
      </c>
      <c r="BV25" s="362" t="n">
        <v>0</v>
      </c>
      <c r="BW25" s="362" t="n">
        <v>480</v>
      </c>
      <c r="BY25" s="362">
        <f>SUM(R25:X25)</f>
        <v/>
      </c>
      <c r="BZ25" s="362">
        <f>SUM(Y25:AE25)</f>
        <v/>
      </c>
      <c r="CA25" s="362">
        <f>SUM(AF25:AM25)</f>
        <v/>
      </c>
      <c r="CB25" s="362">
        <f>SUM(AN25:AV25)</f>
        <v/>
      </c>
      <c r="CD25" s="432" t="inlineStr">
        <is>
          <t>ADA</t>
        </is>
      </c>
      <c r="CE25" s="362">
        <f>ROUND(BY25*$O25/1000,2)</f>
        <v/>
      </c>
      <c r="CF25" s="362">
        <f>ROUND(BZ25*$O25/1000,2)</f>
        <v/>
      </c>
      <c r="CG25" s="362">
        <f>ROUND(CA25*$O25/1000,2)</f>
        <v/>
      </c>
      <c r="CH25" s="362">
        <f>ROUND(CB25*$O25/1000,2)</f>
        <v/>
      </c>
      <c r="CI25" s="362">
        <f>SUM(CE25:CH25)</f>
        <v/>
      </c>
      <c r="CJ25" s="390" t="n"/>
      <c r="CK25" s="362">
        <f>IFERROR(ROUND(BY25*$P25,2),"")</f>
        <v/>
      </c>
      <c r="CL25" s="362">
        <f>IFERROR(ROUND(BZ25*$P25,2),"")</f>
        <v/>
      </c>
      <c r="CM25" s="362">
        <f>IFERROR(ROUND(CA25*$P25,2),"")</f>
        <v/>
      </c>
      <c r="CN25" s="362">
        <f>IFERROR(ROUND(CB25*$P25,2),"")</f>
        <v/>
      </c>
      <c r="CO25" s="362">
        <f>SUM(CK25:CN25)</f>
        <v/>
      </c>
    </row>
    <row r="26" hidden="1" ht="15.6" customFormat="1" customHeight="1" s="362">
      <c r="A26" s="331" t="n"/>
      <c r="B26" s="344">
        <f>_xlfn.XLOOKUP(G26,销售需求表!A:A,销售需求表!C:C)</f>
        <v/>
      </c>
      <c r="C26" s="345">
        <f>IFERROR(MID(F26,FIND("R",F26)+1,4),"")</f>
        <v/>
      </c>
      <c r="D26" s="344">
        <f>B26&amp;C26&amp;"寸"</f>
        <v/>
      </c>
      <c r="E26" s="346">
        <f>LEFT(REPLACE(G26,1,2,""),FIND("[",REPLACE(G26,1,2,""))-1)&amp;"-"&amp;MID(REPLACE(G26,1,2,""),FIND("[",REPLACE(G26,1,2,""))+1,FIND("]",REPLACE(G26,1,2,""))-FIND("[",REPLACE(G26,1,2,""))-1)</f>
        <v/>
      </c>
      <c r="F26" s="347">
        <f>IFERROR(MID(G26,3,FIND("(",G26)-3)&amp;"-"&amp;SUBSTITUTE(MID(G26,FIND("[",G26)+1,FIND("]",G26)-FIND("[",G26)-1),"Strong Guard ",""),"")</f>
        <v/>
      </c>
      <c r="G26" s="346" t="inlineStr">
        <is>
          <t>ID11R22.5-16PR(148/145L)[ECO-MILE CSD]TRAVELSTAR无内</t>
        </is>
      </c>
      <c r="H26" s="344" t="n">
        <v>400</v>
      </c>
      <c r="I26" s="348" t="n"/>
      <c r="J26" s="349">
        <f>IFERROR(LEFT(F26,FIND("-",F26))&amp;MID(F26,FIND("PR",F26,FIND("-",F26))+3,LEN(F26)),F26)</f>
        <v/>
      </c>
      <c r="K26" s="352">
        <f>_xlfn.XLOOKUP(F26,投产规格!E:E,投产规格!D:D,"未投产")</f>
        <v/>
      </c>
      <c r="L26" s="352">
        <f>IFERROR(_xlfn.XLOOKUP(F26,硫化工艺!B:B,硫化工艺!C:C),"")</f>
        <v/>
      </c>
      <c r="M26" s="430">
        <f>IF(L26="","",L26/(L26+$L$1/60))</f>
        <v/>
      </c>
      <c r="N26" s="352">
        <f>C26&amp;"全钢"</f>
        <v/>
      </c>
      <c r="O26" s="352">
        <f>IFERROR(_xlfn.XLOOKUP(F26,轮胎重量!J:J,轮胎重量!G:G),"")</f>
        <v/>
      </c>
      <c r="P26" s="358">
        <f>O26*13.9</f>
        <v/>
      </c>
      <c r="Q26" s="352">
        <f>IFERROR(ROUND(1440/L26*(I26)*M26,0),"")</f>
        <v/>
      </c>
      <c r="R26" s="352" t="n"/>
      <c r="S26" s="352" t="n"/>
      <c r="T26" s="352" t="n"/>
      <c r="U26" s="352" t="n"/>
      <c r="V26" s="352" t="n"/>
      <c r="W26" s="352" t="n"/>
      <c r="X26" s="352" t="n"/>
      <c r="Y26" s="352" t="n"/>
      <c r="Z26" s="352" t="n"/>
      <c r="AA26" s="352" t="n"/>
      <c r="AB26" s="352" t="n"/>
      <c r="AC26" s="352" t="n"/>
      <c r="AD26" s="352" t="n"/>
      <c r="AE26" s="352" t="n"/>
      <c r="AF26" s="352" t="n"/>
      <c r="AG26" s="352" t="n"/>
      <c r="AH26" s="352" t="n"/>
      <c r="AI26" s="352" t="n"/>
      <c r="AJ26" s="352" t="n"/>
      <c r="AK26" s="352" t="n"/>
      <c r="AL26" s="352" t="n"/>
      <c r="AM26" s="352" t="n"/>
      <c r="AN26" s="352" t="n"/>
      <c r="AO26" s="352" t="n"/>
      <c r="AP26" s="352" t="n"/>
      <c r="AQ26" s="352" t="n"/>
      <c r="AR26" s="352" t="n"/>
      <c r="AS26" s="352" t="n"/>
      <c r="AT26" s="352" t="n"/>
      <c r="AU26" s="352" t="n"/>
      <c r="AV26" s="352" t="n"/>
      <c r="AW26" s="352">
        <f>IF(SUM(R26:AV26)=0,"",SUM(R26:AV26))</f>
        <v/>
      </c>
      <c r="AX26" s="431">
        <f>IFERROR(AW26*O26/1000,"")</f>
        <v/>
      </c>
      <c r="AY26" s="431">
        <f>IFERROR(ROUND(AW26*P26/10000,3),"")</f>
        <v/>
      </c>
      <c r="AZ26" s="359" t="n"/>
      <c r="BC26" s="331" t="n"/>
      <c r="BD26" s="331" t="n"/>
      <c r="BE26" s="331">
        <f>AZ26*AW26</f>
        <v/>
      </c>
      <c r="BF26" s="331">
        <f>BA26*AW26</f>
        <v/>
      </c>
      <c r="BG26" s="331">
        <f>BB26*AW26</f>
        <v/>
      </c>
      <c r="BH26" s="331">
        <f>BC26*AW26</f>
        <v/>
      </c>
      <c r="BI26" s="331" t="n"/>
      <c r="BJ26" s="356">
        <f t="array" ref="BJ26:BM26">_xlfn.LET(_xlpm.data,$R26:$AV26,_xlpm.starts,{1,8,16,23},_xlpm.lengths,{7,7,8,9},_xlpm.arr,_xlfn.MAP(_xlpm.starts,_xlpm.lengths,_xlfn.LAMBDA(_xlpm.s,_xlpm.l,SUM(INDEX(_xlpm.data,,_xlfn.SEQUENCE(,_xlpm.l,_xlpm.s))))),ROUND(_xlpm.arr*$O26/1000,2))</f>
        <v/>
      </c>
      <c r="BK26" s="331" t="n">
        <v>0</v>
      </c>
      <c r="BL26" s="331" t="n">
        <v>0</v>
      </c>
      <c r="BM26" s="331" t="n">
        <v>0</v>
      </c>
      <c r="BN26" s="362">
        <f>SUM(BJ26:BM26)</f>
        <v/>
      </c>
      <c r="BO26" s="362" t="n">
        <v>0</v>
      </c>
      <c r="BP26" s="362" t="n">
        <v>0</v>
      </c>
      <c r="BQ26" s="362" t="n">
        <v>0</v>
      </c>
      <c r="BR26" s="362" t="n">
        <v>0</v>
      </c>
      <c r="BS26" s="115" t="n"/>
      <c r="BT26" s="362">
        <f t="array" ref="BT26:BW26">_xlfn.HSTACK(SUM(INDEX($R26:$AV26,1,1):INDEX($R26:$AV26,1,7)),SUM(INDEX($R26:$AV26,1,7):INDEX($R26:$AV26,1,13)),SUM(INDEX($R26:$AV26,1,16):INDEX($R26:$AV26,1,23)),SUM(INDEX($R26:$AV26,1,23):INDEX($R26:$AV26,1,31)))</f>
        <v/>
      </c>
      <c r="BU26" s="362" t="n">
        <v>0</v>
      </c>
      <c r="BV26" s="362" t="n">
        <v>0</v>
      </c>
      <c r="BW26" s="362" t="n">
        <v>0</v>
      </c>
      <c r="BY26" s="362">
        <f>SUM(R26:X26)</f>
        <v/>
      </c>
      <c r="BZ26" s="362">
        <f>SUM(Y26:AE26)</f>
        <v/>
      </c>
      <c r="CA26" s="362">
        <f>SUM(AF26:AM26)</f>
        <v/>
      </c>
      <c r="CB26" s="362">
        <f>SUM(AN26:AV26)</f>
        <v/>
      </c>
      <c r="CD26" s="432" t="inlineStr">
        <is>
          <t>ADA</t>
        </is>
      </c>
      <c r="CE26" s="362">
        <f>ROUND(BY26*$O26/1000,2)</f>
        <v/>
      </c>
      <c r="CF26" s="362">
        <f>ROUND(BZ26*$O26/1000,2)</f>
        <v/>
      </c>
      <c r="CG26" s="362">
        <f>ROUND(CA26*$O26/1000,2)</f>
        <v/>
      </c>
      <c r="CH26" s="362">
        <f>ROUND(CB26*$O26/1000,2)</f>
        <v/>
      </c>
      <c r="CI26" s="362">
        <f>SUM(CE26:CH26)</f>
        <v/>
      </c>
      <c r="CJ26" s="390" t="n"/>
      <c r="CK26" s="362">
        <f>IFERROR(ROUND(BY26*$P26,2),"")</f>
        <v/>
      </c>
      <c r="CL26" s="362">
        <f>IFERROR(ROUND(BZ26*$P26,2),"")</f>
        <v/>
      </c>
      <c r="CM26" s="362">
        <f>IFERROR(ROUND(CA26*$P26,2),"")</f>
        <v/>
      </c>
      <c r="CN26" s="362">
        <f>IFERROR(ROUND(CB26*$P26,2),"")</f>
        <v/>
      </c>
      <c r="CO26" s="362">
        <f>SUM(CK26:CN26)</f>
        <v/>
      </c>
    </row>
    <row r="27" hidden="1" ht="15.6" customFormat="1" customHeight="1" s="362">
      <c r="A27" s="331" t="n"/>
      <c r="B27" s="344">
        <f>_xlfn.XLOOKUP(G27,销售需求表!A:A,销售需求表!C:C)</f>
        <v/>
      </c>
      <c r="C27" s="345">
        <f>IFERROR(MID(F27,FIND("R",F27)+1,4),"")</f>
        <v/>
      </c>
      <c r="D27" s="344">
        <f>B27&amp;C27&amp;"寸"</f>
        <v/>
      </c>
      <c r="E27" s="346">
        <f>LEFT(REPLACE(G27,1,2,""),FIND("[",REPLACE(G27,1,2,""))-1)&amp;"-"&amp;MID(REPLACE(G27,1,2,""),FIND("[",REPLACE(G27,1,2,""))+1,FIND("]",REPLACE(G27,1,2,""))-FIND("[",REPLACE(G27,1,2,""))-1)</f>
        <v/>
      </c>
      <c r="F27" s="347">
        <f>IFERROR(MID(G27,3,FIND("(",G27)-3)&amp;"-"&amp;SUBSTITUTE(MID(G27,FIND("[",G27)+1,FIND("]",G27)-FIND("[",G27)-1),"Strong Guard ",""),"")</f>
        <v/>
      </c>
      <c r="G27" s="346" t="inlineStr">
        <is>
          <t>ID11R22.5-16PR(148/145L)[HD1 Plus]SUPERMAX无内</t>
        </is>
      </c>
      <c r="H27" s="344" t="n">
        <v>300</v>
      </c>
      <c r="I27" s="348" t="n"/>
      <c r="J27" s="349">
        <f>IFERROR(LEFT(F27,FIND("-",F27))&amp;MID(F27,FIND("PR",F27,FIND("-",F27))+3,LEN(F27)),F27)</f>
        <v/>
      </c>
      <c r="K27" s="352">
        <f>_xlfn.XLOOKUP(F27,投产规格!E:E,投产规格!D:D,"未投产")</f>
        <v/>
      </c>
      <c r="L27" s="352">
        <f>IFERROR(_xlfn.XLOOKUP(F27,硫化工艺!B:B,硫化工艺!C:C),"")</f>
        <v/>
      </c>
      <c r="M27" s="430">
        <f>IF(L27="","",L27/(L27+$L$1/60))</f>
        <v/>
      </c>
      <c r="N27" s="352">
        <f>C27&amp;"全钢"</f>
        <v/>
      </c>
      <c r="O27" s="352">
        <f>IFERROR(_xlfn.XLOOKUP(F27,轮胎重量!J:J,轮胎重量!G:G),"")</f>
        <v/>
      </c>
      <c r="P27" s="352">
        <f>IFERROR(_xlfn.XLOOKUP(G27,硫化工艺!I:I,硫化工艺!J:J),"")</f>
        <v/>
      </c>
      <c r="Q27" s="352">
        <f>IFERROR(ROUND(1440/L27*(I27)*M27,0),"")</f>
        <v/>
      </c>
      <c r="R27" s="352" t="n"/>
      <c r="S27" s="352" t="n"/>
      <c r="T27" s="352" t="n"/>
      <c r="U27" s="352" t="n"/>
      <c r="V27" s="352" t="n"/>
      <c r="W27" s="352" t="n"/>
      <c r="X27" s="352" t="n"/>
      <c r="Y27" s="352" t="n"/>
      <c r="Z27" s="352" t="n"/>
      <c r="AA27" s="352" t="n"/>
      <c r="AB27" s="352" t="n"/>
      <c r="AC27" s="352" t="n"/>
      <c r="AD27" s="352" t="n"/>
      <c r="AE27" s="352" t="n"/>
      <c r="AF27" s="352" t="n"/>
      <c r="AG27" s="352" t="n"/>
      <c r="AH27" s="352" t="n"/>
      <c r="AI27" s="352" t="n"/>
      <c r="AJ27" s="352" t="n"/>
      <c r="AK27" s="352" t="n"/>
      <c r="AL27" s="352" t="n"/>
      <c r="AM27" s="352" t="n"/>
      <c r="AN27" s="352" t="n"/>
      <c r="AO27" s="352" t="n"/>
      <c r="AP27" s="352" t="n"/>
      <c r="AQ27" s="352" t="n"/>
      <c r="AR27" s="352" t="n"/>
      <c r="AS27" s="360" t="n"/>
      <c r="AT27" s="352" t="n"/>
      <c r="AU27" s="352" t="n"/>
      <c r="AV27" s="352" t="n"/>
      <c r="AW27" s="352">
        <f>IF(SUM(R27:AV27)=0,"",SUM(R27:AV27))</f>
        <v/>
      </c>
      <c r="AX27" s="431">
        <f>IFERROR(AW27*O27/1000,"")</f>
        <v/>
      </c>
      <c r="AY27" s="431">
        <f>IFERROR(ROUND(AW27*P27/10000,3),"")</f>
        <v/>
      </c>
      <c r="AZ27" s="359" t="n"/>
      <c r="BC27" s="331" t="n"/>
      <c r="BD27" s="331" t="n"/>
      <c r="BE27" s="331">
        <f>AZ27*AW27</f>
        <v/>
      </c>
      <c r="BF27" s="331">
        <f>BA27*AW27</f>
        <v/>
      </c>
      <c r="BG27" s="331">
        <f>BB27*AW27</f>
        <v/>
      </c>
      <c r="BH27" s="331">
        <f>BC27*AW27</f>
        <v/>
      </c>
      <c r="BI27" s="331" t="n"/>
      <c r="BJ27" s="356">
        <f t="array" ref="BJ27:BM27">_xlfn.LET(_xlpm.data,$R27:$AV27,_xlpm.starts,{1,8,16,23},_xlpm.lengths,{7,7,8,9},_xlpm.arr,_xlfn.MAP(_xlpm.starts,_xlpm.lengths,_xlfn.LAMBDA(_xlpm.s,_xlpm.l,SUM(INDEX(_xlpm.data,,_xlfn.SEQUENCE(,_xlpm.l,_xlpm.s))))),ROUND(_xlpm.arr*$O27/1000,2))</f>
        <v/>
      </c>
      <c r="BK27" s="331" t="n">
        <v>0</v>
      </c>
      <c r="BL27" s="331" t="n">
        <v>0</v>
      </c>
      <c r="BM27" s="331" t="n">
        <v>0</v>
      </c>
      <c r="BN27" s="362">
        <f>SUM(BJ27:BM27)</f>
        <v/>
      </c>
      <c r="BO27" s="362" t="n">
        <v>0</v>
      </c>
      <c r="BP27" s="362" t="n">
        <v>0</v>
      </c>
      <c r="BQ27" s="362" t="n">
        <v>0</v>
      </c>
      <c r="BR27" s="362" t="n">
        <v>0</v>
      </c>
      <c r="BS27" s="115" t="n"/>
      <c r="BT27" s="362">
        <f t="array" ref="BT27:BW27">_xlfn.HSTACK(SUM(INDEX($R27:$AV27,1,1):INDEX($R27:$AV27,1,7)),SUM(INDEX($R27:$AV27,1,7):INDEX($R27:$AV27,1,13)),SUM(INDEX($R27:$AV27,1,16):INDEX($R27:$AV27,1,23)),SUM(INDEX($R27:$AV27,1,23):INDEX($R27:$AV27,1,31)))</f>
        <v/>
      </c>
      <c r="BU27" s="362" t="n">
        <v>0</v>
      </c>
      <c r="BV27" s="362" t="n">
        <v>0</v>
      </c>
      <c r="BW27" s="362" t="n">
        <v>0</v>
      </c>
      <c r="BY27" s="362">
        <f>SUM(R27:X27)</f>
        <v/>
      </c>
      <c r="BZ27" s="362">
        <f>SUM(Y27:AE27)</f>
        <v/>
      </c>
      <c r="CA27" s="362">
        <f>SUM(AF27:AM27)</f>
        <v/>
      </c>
      <c r="CB27" s="362">
        <f>SUM(AN27:AV27)</f>
        <v/>
      </c>
      <c r="CD27" s="432" t="inlineStr">
        <is>
          <t>ADA</t>
        </is>
      </c>
      <c r="CE27" s="362">
        <f>ROUND(BY27*$O27/1000,2)</f>
        <v/>
      </c>
      <c r="CF27" s="362">
        <f>ROUND(BZ27*$O27/1000,2)</f>
        <v/>
      </c>
      <c r="CG27" s="362">
        <f>ROUND(CA27*$O27/1000,2)</f>
        <v/>
      </c>
      <c r="CH27" s="362">
        <f>ROUND(CB27*$O27/1000,2)</f>
        <v/>
      </c>
      <c r="CI27" s="362">
        <f>SUM(CE27:CH27)</f>
        <v/>
      </c>
      <c r="CJ27" s="390" t="n"/>
      <c r="CK27" s="362">
        <f>IFERROR(ROUND(BY27*$P27,2),"")</f>
        <v/>
      </c>
      <c r="CL27" s="362">
        <f>IFERROR(ROUND(BZ27*$P27,2),"")</f>
        <v/>
      </c>
      <c r="CM27" s="362">
        <f>IFERROR(ROUND(CA27*$P27,2),"")</f>
        <v/>
      </c>
      <c r="CN27" s="362">
        <f>IFERROR(ROUND(CB27*$P27,2),"")</f>
        <v/>
      </c>
      <c r="CO27" s="362">
        <f>SUM(CK27:CN27)</f>
        <v/>
      </c>
    </row>
    <row r="28" hidden="1" ht="15.6" customFormat="1" customHeight="1" s="362">
      <c r="A28" s="331" t="n"/>
      <c r="B28" s="344">
        <f>_xlfn.XLOOKUP(G28,销售需求表!A:A,销售需求表!C:C)</f>
        <v/>
      </c>
      <c r="C28" s="345">
        <f>IFERROR(MID(F28,FIND("R",F28)+1,4),"")</f>
        <v/>
      </c>
      <c r="D28" s="344">
        <f>B28&amp;C28&amp;"寸"</f>
        <v/>
      </c>
      <c r="E28" s="346">
        <f>LEFT(REPLACE(G28,1,2,""),FIND("[",REPLACE(G28,1,2,""))-1)&amp;"-"&amp;MID(REPLACE(G28,1,2,""),FIND("[",REPLACE(G28,1,2,""))+1,FIND("]",REPLACE(G28,1,2,""))-FIND("[",REPLACE(G28,1,2,""))-1)</f>
        <v/>
      </c>
      <c r="F28" s="347">
        <f>IFERROR(MID(G28,3,FIND("(",G28)-3)&amp;"-"&amp;SUBSTITUTE(MID(G28,FIND("[",G28)+1,FIND("]",G28)-FIND("[",G28)-1),"Strong Guard ",""),"")</f>
        <v/>
      </c>
      <c r="G28" s="346" t="inlineStr">
        <is>
          <t>ID11R22.5-16PR(148/145L)[HF1 Plus]SUPERMAX无内</t>
        </is>
      </c>
      <c r="H28" s="344" t="n">
        <v>500</v>
      </c>
      <c r="I28" s="348" t="n"/>
      <c r="J28" s="349">
        <f>IFERROR(LEFT(F28,FIND("-",F28))&amp;MID(F28,FIND("PR",F28,FIND("-",F28))+3,LEN(F28)),F28)</f>
        <v/>
      </c>
      <c r="K28" s="352">
        <f>_xlfn.XLOOKUP(F28,投产规格!E:E,投产规格!D:D,"未投产")</f>
        <v/>
      </c>
      <c r="L28" s="352">
        <f>IFERROR(_xlfn.XLOOKUP(F28,硫化工艺!B:B,硫化工艺!C:C),"")</f>
        <v/>
      </c>
      <c r="M28" s="430">
        <f>IF(L28="","",L28/(L28+$L$1/60))</f>
        <v/>
      </c>
      <c r="N28" s="352">
        <f>C28&amp;"全钢"</f>
        <v/>
      </c>
      <c r="O28" s="352">
        <f>IFERROR(_xlfn.XLOOKUP(F28,轮胎重量!J:J,轮胎重量!G:G),"")</f>
        <v/>
      </c>
      <c r="P28" s="352">
        <f>IFERROR(_xlfn.XLOOKUP(G28,硫化工艺!I:I,硫化工艺!J:J),"")</f>
        <v/>
      </c>
      <c r="Q28" s="352">
        <f>IFERROR(ROUND(1440/L28*(I28)*M28,0),"")</f>
        <v/>
      </c>
      <c r="R28" s="352" t="n"/>
      <c r="S28" s="352" t="n"/>
      <c r="T28" s="352" t="n"/>
      <c r="U28" s="352" t="n"/>
      <c r="V28" s="352" t="n"/>
      <c r="W28" s="352" t="n"/>
      <c r="X28" s="352" t="n"/>
      <c r="Y28" s="352" t="n"/>
      <c r="Z28" s="352" t="n"/>
      <c r="AA28" s="352" t="n"/>
      <c r="AB28" s="352" t="n"/>
      <c r="AC28" s="352" t="n"/>
      <c r="AD28" s="352" t="n"/>
      <c r="AE28" s="352" t="n"/>
      <c r="AF28" s="352" t="n"/>
      <c r="AG28" s="352" t="n"/>
      <c r="AH28" s="352" t="n"/>
      <c r="AI28" s="352" t="n"/>
      <c r="AJ28" s="352" t="n"/>
      <c r="AK28" s="352" t="n"/>
      <c r="AL28" s="352" t="n"/>
      <c r="AM28" s="352" t="n"/>
      <c r="AN28" s="352" t="n"/>
      <c r="AO28" s="352" t="n"/>
      <c r="AP28" s="352" t="n"/>
      <c r="AQ28" s="352" t="n"/>
      <c r="AR28" s="352" t="n"/>
      <c r="AS28" s="352" t="n"/>
      <c r="AT28" s="352" t="n"/>
      <c r="AU28" s="352" t="n"/>
      <c r="AV28" s="352" t="n"/>
      <c r="AW28" s="352">
        <f>IF(SUM(R28:AV28)=0,"",SUM(R28:AV28))</f>
        <v/>
      </c>
      <c r="AX28" s="431">
        <f>IFERROR(AW28*O28/1000,"")</f>
        <v/>
      </c>
      <c r="AY28" s="431">
        <f>IFERROR(ROUND(AW28*P28/10000,3),"")</f>
        <v/>
      </c>
      <c r="AZ28" s="359" t="n"/>
      <c r="BC28" s="331" t="n"/>
      <c r="BD28" s="331" t="n"/>
      <c r="BE28" s="331">
        <f>AZ28*AW28</f>
        <v/>
      </c>
      <c r="BF28" s="331">
        <f>BA28*AW28</f>
        <v/>
      </c>
      <c r="BG28" s="331">
        <f>BB28*AW28</f>
        <v/>
      </c>
      <c r="BH28" s="331">
        <f>BC28*AW28</f>
        <v/>
      </c>
      <c r="BI28" s="331" t="n"/>
      <c r="BJ28" s="356">
        <f t="array" ref="BJ28:BM28">_xlfn.LET(_xlpm.data,$R28:$AV28,_xlpm.starts,{1,8,16,23},_xlpm.lengths,{7,7,8,9},_xlpm.arr,_xlfn.MAP(_xlpm.starts,_xlpm.lengths,_xlfn.LAMBDA(_xlpm.s,_xlpm.l,SUM(INDEX(_xlpm.data,,_xlfn.SEQUENCE(,_xlpm.l,_xlpm.s))))),ROUND(_xlpm.arr*$O28/1000,2))</f>
        <v/>
      </c>
      <c r="BK28" s="331" t="n">
        <v>0</v>
      </c>
      <c r="BL28" s="331" t="n">
        <v>0</v>
      </c>
      <c r="BM28" s="331" t="n">
        <v>0</v>
      </c>
      <c r="BN28" s="362">
        <f>SUM(BJ28:BM28)</f>
        <v/>
      </c>
      <c r="BO28" s="362" t="n">
        <v>0</v>
      </c>
      <c r="BP28" s="362" t="n">
        <v>0</v>
      </c>
      <c r="BQ28" s="362" t="n">
        <v>0</v>
      </c>
      <c r="BR28" s="362" t="n">
        <v>0</v>
      </c>
      <c r="BS28" s="115" t="n"/>
      <c r="BT28" s="362">
        <f t="array" ref="BT28:BW28">_xlfn.HSTACK(SUM(INDEX($R28:$AV28,1,1):INDEX($R28:$AV28,1,7)),SUM(INDEX($R28:$AV28,1,7):INDEX($R28:$AV28,1,13)),SUM(INDEX($R28:$AV28,1,16):INDEX($R28:$AV28,1,23)),SUM(INDEX($R28:$AV28,1,23):INDEX($R28:$AV28,1,31)))</f>
        <v/>
      </c>
      <c r="BU28" s="362" t="n">
        <v>0</v>
      </c>
      <c r="BV28" s="362" t="n">
        <v>0</v>
      </c>
      <c r="BW28" s="362" t="n">
        <v>0</v>
      </c>
      <c r="BY28" s="362">
        <f>SUM(R28:X28)</f>
        <v/>
      </c>
      <c r="BZ28" s="362">
        <f>SUM(Y28:AE28)</f>
        <v/>
      </c>
      <c r="CA28" s="362">
        <f>SUM(AF28:AM28)</f>
        <v/>
      </c>
      <c r="CB28" s="362">
        <f>SUM(AN28:AV28)</f>
        <v/>
      </c>
      <c r="CD28" s="432" t="inlineStr">
        <is>
          <t>ADA</t>
        </is>
      </c>
      <c r="CE28" s="362">
        <f>ROUND(BY28*$O28/1000,2)</f>
        <v/>
      </c>
      <c r="CF28" s="362">
        <f>ROUND(BZ28*$O28/1000,2)</f>
        <v/>
      </c>
      <c r="CG28" s="362">
        <f>ROUND(CA28*$O28/1000,2)</f>
        <v/>
      </c>
      <c r="CH28" s="362">
        <f>ROUND(CB28*$O28/1000,2)</f>
        <v/>
      </c>
      <c r="CI28" s="362">
        <f>SUM(CE28:CH28)</f>
        <v/>
      </c>
      <c r="CJ28" s="390" t="n"/>
      <c r="CK28" s="362">
        <f>IFERROR(ROUND(BY28*$P28,2),"")</f>
        <v/>
      </c>
      <c r="CL28" s="362">
        <f>IFERROR(ROUND(BZ28*$P28,2),"")</f>
        <v/>
      </c>
      <c r="CM28" s="362">
        <f>IFERROR(ROUND(CA28*$P28,2),"")</f>
        <v/>
      </c>
      <c r="CN28" s="362">
        <f>IFERROR(ROUND(CB28*$P28,2),"")</f>
        <v/>
      </c>
      <c r="CO28" s="362">
        <f>SUM(CK28:CN28)</f>
        <v/>
      </c>
    </row>
    <row r="29" ht="15.6" customFormat="1" customHeight="1" s="362">
      <c r="A29" s="331" t="n"/>
      <c r="B29" s="344">
        <f>_xlfn.XLOOKUP(G29,销售需求表!A:A,销售需求表!C:C)</f>
        <v/>
      </c>
      <c r="C29" s="345">
        <f>IFERROR(MID(F29,FIND("R",F29)+1,4),"")</f>
        <v/>
      </c>
      <c r="D29" s="344">
        <f>B29&amp;C29&amp;"寸"</f>
        <v/>
      </c>
      <c r="E29" s="346">
        <f>LEFT(REPLACE(G29,1,2,""),FIND("[",REPLACE(G29,1,2,""))-1)&amp;"-"&amp;MID(REPLACE(G29,1,2,""),FIND("[",REPLACE(G29,1,2,""))+1,FIND("]",REPLACE(G29,1,2,""))-FIND("[",REPLACE(G29,1,2,""))-1)</f>
        <v/>
      </c>
      <c r="F29" s="347">
        <f>IFERROR(MID(G29,3,FIND("(",G29)-3)&amp;"-"&amp;SUBSTITUTE(MID(G29,FIND("[",G29)+1,FIND("]",G29)-FIND("[",G29)-1),"Strong Guard ",""),"")</f>
        <v/>
      </c>
      <c r="G29" s="346" t="inlineStr">
        <is>
          <t>ID11R22.5-16PR(148/145L)[I-28D]IRONMAN无内 SMARTWAY</t>
        </is>
      </c>
      <c r="H29" s="344" t="n">
        <v>1900</v>
      </c>
      <c r="I29" s="348" t="n"/>
      <c r="J29" s="349">
        <f>IFERROR(LEFT(F29,FIND("-",F29))&amp;MID(F29,FIND("PR",F29,FIND("-",F29))+3,LEN(F29)),F29)</f>
        <v/>
      </c>
      <c r="K29" s="352">
        <f>_xlfn.XLOOKUP(F29,投产规格!E:E,投产规格!D:D,"未投产")</f>
        <v/>
      </c>
      <c r="L29" s="352">
        <f>IFERROR(_xlfn.XLOOKUP(F29,硫化工艺!B:B,硫化工艺!C:C),"")</f>
        <v/>
      </c>
      <c r="M29" s="430">
        <f>IF(L29="","",L29/(L29+$L$1/60))</f>
        <v/>
      </c>
      <c r="N29" s="352">
        <f>C29&amp;"全钢"</f>
        <v/>
      </c>
      <c r="O29" s="352">
        <f>IFERROR(_xlfn.XLOOKUP(F29,轮胎重量!J:J,轮胎重量!G:G),"")</f>
        <v/>
      </c>
      <c r="P29" s="352">
        <f>IFERROR(_xlfn.XLOOKUP(G29,硫化工艺!I:I,硫化工艺!J:J),"")</f>
        <v/>
      </c>
      <c r="Q29" s="352">
        <f>IFERROR(ROUND(1440/L29*(I29)*M29,0),"")</f>
        <v/>
      </c>
      <c r="R29" s="352" t="n"/>
      <c r="S29" s="352" t="n"/>
      <c r="T29" s="352" t="n"/>
      <c r="U29" s="352" t="n"/>
      <c r="V29" s="352" t="n"/>
      <c r="W29" s="352" t="n"/>
      <c r="X29" s="352" t="n"/>
      <c r="Y29" s="352" t="n"/>
      <c r="Z29" s="352" t="n"/>
      <c r="AA29" s="352" t="n"/>
      <c r="AB29" s="352" t="n"/>
      <c r="AC29" s="352" t="n"/>
      <c r="AD29" s="352" t="n"/>
      <c r="AE29" s="352" t="n"/>
      <c r="AF29" s="352" t="n"/>
      <c r="AG29" s="352" t="n">
        <v>120</v>
      </c>
      <c r="AH29" s="352" t="n">
        <v>120</v>
      </c>
      <c r="AI29" s="352" t="n">
        <v>120</v>
      </c>
      <c r="AJ29" s="352" t="n">
        <v>120</v>
      </c>
      <c r="AK29" s="352" t="n">
        <v>120</v>
      </c>
      <c r="AL29" s="352" t="n">
        <v>120</v>
      </c>
      <c r="AM29" s="352" t="n">
        <v>120</v>
      </c>
      <c r="AN29" s="352" t="n">
        <v>120</v>
      </c>
      <c r="AO29" s="352" t="n">
        <v>120</v>
      </c>
      <c r="AP29" s="352" t="n">
        <v>120</v>
      </c>
      <c r="AQ29" s="352" t="n">
        <v>120</v>
      </c>
      <c r="AR29" s="352" t="n"/>
      <c r="AS29" s="352" t="n"/>
      <c r="AT29" s="352" t="n"/>
      <c r="AU29" s="352" t="n"/>
      <c r="AV29" s="352" t="n"/>
      <c r="AW29" s="352">
        <f>IF(SUM(R29:AV29)=0,"",SUM(R29:AV29))</f>
        <v/>
      </c>
      <c r="AX29" s="431">
        <f>IFERROR(AW29*O29/1000,"")</f>
        <v/>
      </c>
      <c r="AY29" s="431">
        <f>IFERROR(ROUND(AW29*P29/10000,3),"")</f>
        <v/>
      </c>
      <c r="AZ29" s="359" t="n"/>
      <c r="BC29" s="331" t="n"/>
      <c r="BD29" s="331" t="n"/>
      <c r="BE29" s="331">
        <f>AZ29*AW29</f>
        <v/>
      </c>
      <c r="BF29" s="331">
        <f>BA29*AW29</f>
        <v/>
      </c>
      <c r="BG29" s="331">
        <f>BB29*AW29</f>
        <v/>
      </c>
      <c r="BH29" s="331">
        <f>BC29*AW29</f>
        <v/>
      </c>
      <c r="BI29" s="331" t="n"/>
      <c r="BJ29" s="356">
        <f t="array" ref="BJ29:BM29">_xlfn.LET(_xlpm.data,$R29:$AV29,_xlpm.starts,{1,8,16,23},_xlpm.lengths,{7,7,8,9},_xlpm.arr,_xlfn.MAP(_xlpm.starts,_xlpm.lengths,_xlfn.LAMBDA(_xlpm.s,_xlpm.l,SUM(INDEX(_xlpm.data,,_xlfn.SEQUENCE(,_xlpm.l,_xlpm.s))))),ROUND(_xlpm.arr*$O29/1000,2))</f>
        <v/>
      </c>
      <c r="BK29" s="331" t="n">
        <v>0</v>
      </c>
      <c r="BL29" s="331" t="n">
        <v>56.17</v>
      </c>
      <c r="BM29" s="331" t="n">
        <v>28.08</v>
      </c>
      <c r="BN29" s="362">
        <f>SUM(BJ29:BM29)</f>
        <v/>
      </c>
      <c r="BO29" s="362" t="n">
        <v>0</v>
      </c>
      <c r="BP29" s="362" t="n">
        <v>0</v>
      </c>
      <c r="BQ29" s="362" t="n">
        <v>0</v>
      </c>
      <c r="BR29" s="362" t="n">
        <v>0</v>
      </c>
      <c r="BS29" s="115" t="n"/>
      <c r="BT29" s="362">
        <f t="array" ref="BT29:BW29">_xlfn.HSTACK(SUM(INDEX($R29:$AV29,1,1):INDEX($R29:$AV29,1,7)),SUM(INDEX($R29:$AV29,1,7):INDEX($R29:$AV29,1,13)),SUM(INDEX($R29:$AV29,1,16):INDEX($R29:$AV29,1,23)),SUM(INDEX($R29:$AV29,1,23):INDEX($R29:$AV29,1,31)))</f>
        <v/>
      </c>
      <c r="BU29" s="362" t="n">
        <v>0</v>
      </c>
      <c r="BV29" s="362" t="n">
        <v>960</v>
      </c>
      <c r="BW29" s="362" t="n">
        <v>480</v>
      </c>
      <c r="BY29" s="362">
        <f>SUM(R29:X29)</f>
        <v/>
      </c>
      <c r="BZ29" s="362">
        <f>SUM(Y29:AE29)</f>
        <v/>
      </c>
      <c r="CA29" s="362">
        <f>SUM(AF29:AM29)</f>
        <v/>
      </c>
      <c r="CB29" s="362">
        <f>SUM(AN29:AV29)</f>
        <v/>
      </c>
      <c r="CD29" s="432" t="inlineStr">
        <is>
          <t>ADA</t>
        </is>
      </c>
      <c r="CE29" s="362">
        <f>ROUND(BY29*$O29/1000,2)</f>
        <v/>
      </c>
      <c r="CF29" s="362">
        <f>ROUND(BZ29*$O29/1000,2)</f>
        <v/>
      </c>
      <c r="CG29" s="362">
        <f>ROUND(CA29*$O29/1000,2)</f>
        <v/>
      </c>
      <c r="CH29" s="362">
        <f>ROUND(CB29*$O29/1000,2)</f>
        <v/>
      </c>
      <c r="CI29" s="362">
        <f>SUM(CE29:CH29)</f>
        <v/>
      </c>
      <c r="CJ29" s="390" t="n"/>
      <c r="CK29" s="362">
        <f>IFERROR(ROUND(BY29*$P29,2),"")</f>
        <v/>
      </c>
      <c r="CL29" s="362">
        <f>IFERROR(ROUND(BZ29*$P29,2),"")</f>
        <v/>
      </c>
      <c r="CM29" s="362">
        <f>IFERROR(ROUND(CA29*$P29,2),"")</f>
        <v/>
      </c>
      <c r="CN29" s="362">
        <f>IFERROR(ROUND(CB29*$P29,2),"")</f>
        <v/>
      </c>
      <c r="CO29" s="362">
        <f>SUM(CK29:CN29)</f>
        <v/>
      </c>
    </row>
    <row r="30" ht="15.6" customFormat="1" customHeight="1" s="362">
      <c r="A30" s="331" t="n"/>
      <c r="B30" s="344">
        <f>_xlfn.XLOOKUP(G30,销售需求表!A:A,销售需求表!C:C)</f>
        <v/>
      </c>
      <c r="C30" s="345">
        <f>IFERROR(MID(F30,FIND("R",F30)+1,4),"")</f>
        <v/>
      </c>
      <c r="D30" s="344">
        <f>B30&amp;C30&amp;"寸"</f>
        <v/>
      </c>
      <c r="E30" s="346">
        <f>LEFT(REPLACE(G30,1,2,""),FIND("[",REPLACE(G30,1,2,""))-1)&amp;"-"&amp;MID(REPLACE(G30,1,2,""),FIND("[",REPLACE(G30,1,2,""))+1,FIND("]",REPLACE(G30,1,2,""))-FIND("[",REPLACE(G30,1,2,""))-1)</f>
        <v/>
      </c>
      <c r="F30" s="347">
        <f>IFERROR(MID(G30,3,FIND("(",G30)-3)&amp;"-"&amp;SUBSTITUTE(MID(G30,FIND("[",G30)+1,FIND("]",G30)-FIND("[",G30)-1),"Strong Guard ",""),"")</f>
        <v/>
      </c>
      <c r="G30" s="346" t="inlineStr">
        <is>
          <t>ID11R22.5-16PR(148/145L)[I-31M]IRONMAN无内</t>
        </is>
      </c>
      <c r="H30" s="344" t="n">
        <v>1000</v>
      </c>
      <c r="I30" s="348" t="n"/>
      <c r="J30" s="349">
        <f>IFERROR(LEFT(F30,FIND("-",F30))&amp;MID(F30,FIND("PR",F30,FIND("-",F30))+3,LEN(F30)),F30)</f>
        <v/>
      </c>
      <c r="K30" s="352">
        <f>_xlfn.XLOOKUP(F30,投产规格!E:E,投产规格!D:D,"未投产")</f>
        <v/>
      </c>
      <c r="L30" s="352">
        <f>IFERROR(_xlfn.XLOOKUP(F30,硫化工艺!B:B,硫化工艺!C:C),"")</f>
        <v/>
      </c>
      <c r="M30" s="430">
        <f>IF(L30="","",L30/(L30+$L$1/60))</f>
        <v/>
      </c>
      <c r="N30" s="352">
        <f>C30&amp;"全钢"</f>
        <v/>
      </c>
      <c r="O30" s="352">
        <f>IFERROR(_xlfn.XLOOKUP(F30,轮胎重量!J:J,轮胎重量!G:G),"")</f>
        <v/>
      </c>
      <c r="P30" s="352">
        <f>IFERROR(_xlfn.XLOOKUP(G30,硫化工艺!I:I,硫化工艺!J:J),"")</f>
        <v/>
      </c>
      <c r="Q30" s="352">
        <f>IFERROR(ROUND(1440/L30*(I30)*M30,0),"")</f>
        <v/>
      </c>
      <c r="R30" s="352" t="n"/>
      <c r="S30" s="352" t="n"/>
      <c r="T30" s="352" t="n"/>
      <c r="U30" s="352" t="n"/>
      <c r="V30" s="352" t="n"/>
      <c r="W30" s="352" t="n"/>
      <c r="X30" s="352" t="n"/>
      <c r="Y30" s="352" t="n"/>
      <c r="Z30" s="352" t="n"/>
      <c r="AA30" s="352" t="n"/>
      <c r="AB30" s="352" t="n"/>
      <c r="AC30" s="352" t="n"/>
      <c r="AD30" s="352" t="n"/>
      <c r="AE30" s="352" t="n"/>
      <c r="AF30" s="352" t="n">
        <v>60</v>
      </c>
      <c r="AG30" s="352" t="n">
        <v>60</v>
      </c>
      <c r="AH30" s="352" t="n">
        <v>60</v>
      </c>
      <c r="AI30" s="352" t="n">
        <v>60</v>
      </c>
      <c r="AJ30" s="352" t="n">
        <v>60</v>
      </c>
      <c r="AK30" s="352" t="n">
        <v>60</v>
      </c>
      <c r="AL30" s="352" t="n">
        <v>60</v>
      </c>
      <c r="AM30" s="352" t="n">
        <v>60</v>
      </c>
      <c r="AN30" s="352" t="n">
        <v>60</v>
      </c>
      <c r="AO30" s="352" t="n">
        <v>60</v>
      </c>
      <c r="AP30" s="352" t="n">
        <v>60</v>
      </c>
      <c r="AQ30" s="352" t="n">
        <v>60</v>
      </c>
      <c r="AR30" s="352" t="n">
        <v>60</v>
      </c>
      <c r="AS30" s="352" t="n">
        <v>60</v>
      </c>
      <c r="AT30" s="352" t="n">
        <v>60</v>
      </c>
      <c r="AU30" s="352" t="n">
        <v>60</v>
      </c>
      <c r="AV30" s="352" t="n">
        <v>60</v>
      </c>
      <c r="AW30" s="352">
        <f>IF(SUM(R30:AV30)=0,"",SUM(R30:AV30))</f>
        <v/>
      </c>
      <c r="AX30" s="431">
        <f>IFERROR(AW30*O30/1000,"")</f>
        <v/>
      </c>
      <c r="AY30" s="431">
        <f>IFERROR(ROUND(AW30*P30/10000,3),"")</f>
        <v/>
      </c>
      <c r="AZ30" s="359" t="n"/>
      <c r="BC30" s="331" t="n"/>
      <c r="BD30" s="331" t="n"/>
      <c r="BE30" s="331">
        <f>AZ30*AW30</f>
        <v/>
      </c>
      <c r="BF30" s="331">
        <f>BA30*AW30</f>
        <v/>
      </c>
      <c r="BG30" s="331">
        <f>BB30*AW30</f>
        <v/>
      </c>
      <c r="BH30" s="331">
        <f>BC30*AW30</f>
        <v/>
      </c>
      <c r="BI30" s="331" t="n"/>
      <c r="BJ30" s="356">
        <f t="array" ref="BJ30:BM30">_xlfn.LET(_xlpm.data,$R30:$AV30,_xlpm.starts,{1,8,16,23},_xlpm.lengths,{7,7,8,9},_xlpm.arr,_xlfn.MAP(_xlpm.starts,_xlpm.lengths,_xlfn.LAMBDA(_xlpm.s,_xlpm.l,SUM(INDEX(_xlpm.data,,_xlfn.SEQUENCE(,_xlpm.l,_xlpm.s))))),ROUND(_xlpm.arr*$O30/1000,2))</f>
        <v/>
      </c>
      <c r="BK30" s="331" t="n">
        <v>0</v>
      </c>
      <c r="BL30" s="331" t="n">
        <v>27.25</v>
      </c>
      <c r="BM30" s="331" t="n">
        <v>30.65</v>
      </c>
      <c r="BN30" s="362">
        <f>SUM(BJ30:BM30)</f>
        <v/>
      </c>
      <c r="BO30" s="362" t="n">
        <v>0</v>
      </c>
      <c r="BP30" s="362" t="n">
        <v>0</v>
      </c>
      <c r="BQ30" s="362" t="n">
        <v>0</v>
      </c>
      <c r="BR30" s="362" t="n">
        <v>0</v>
      </c>
      <c r="BS30" s="115" t="n"/>
      <c r="BT30" s="362">
        <f t="array" ref="BT30:BW30">_xlfn.HSTACK(SUM(INDEX($R30:$AV30,1,1):INDEX($R30:$AV30,1,7)),SUM(INDEX($R30:$AV30,1,7):INDEX($R30:$AV30,1,13)),SUM(INDEX($R30:$AV30,1,16):INDEX($R30:$AV30,1,23)),SUM(INDEX($R30:$AV30,1,23):INDEX($R30:$AV30,1,31)))</f>
        <v/>
      </c>
      <c r="BU30" s="362" t="n">
        <v>0</v>
      </c>
      <c r="BV30" s="362" t="n">
        <v>480</v>
      </c>
      <c r="BW30" s="362" t="n">
        <v>540</v>
      </c>
      <c r="BY30" s="362">
        <f>SUM(R30:X30)</f>
        <v/>
      </c>
      <c r="BZ30" s="362">
        <f>SUM(Y30:AE30)</f>
        <v/>
      </c>
      <c r="CA30" s="362">
        <f>SUM(AF30:AM30)</f>
        <v/>
      </c>
      <c r="CB30" s="362">
        <f>SUM(AN30:AV30)</f>
        <v/>
      </c>
      <c r="CD30" s="432" t="inlineStr">
        <is>
          <t>ADA</t>
        </is>
      </c>
      <c r="CE30" s="362">
        <f>ROUND(BY30*$O30/1000,2)</f>
        <v/>
      </c>
      <c r="CF30" s="362">
        <f>ROUND(BZ30*$O30/1000,2)</f>
        <v/>
      </c>
      <c r="CG30" s="362">
        <f>ROUND(CA30*$O30/1000,2)</f>
        <v/>
      </c>
      <c r="CH30" s="362">
        <f>ROUND(CB30*$O30/1000,2)</f>
        <v/>
      </c>
      <c r="CI30" s="362">
        <f>SUM(CE30:CH30)</f>
        <v/>
      </c>
      <c r="CJ30" s="390" t="n"/>
      <c r="CK30" s="362">
        <f>IFERROR(ROUND(BY30*$P30,2),"")</f>
        <v/>
      </c>
      <c r="CL30" s="362">
        <f>IFERROR(ROUND(BZ30*$P30,2),"")</f>
        <v/>
      </c>
      <c r="CM30" s="362">
        <f>IFERROR(ROUND(CA30*$P30,2),"")</f>
        <v/>
      </c>
      <c r="CN30" s="362">
        <f>IFERROR(ROUND(CB30*$P30,2),"")</f>
        <v/>
      </c>
      <c r="CO30" s="362">
        <f>SUM(CK30:CN30)</f>
        <v/>
      </c>
    </row>
    <row r="31" ht="15.6" customFormat="1" customHeight="1" s="362">
      <c r="A31" s="331" t="n"/>
      <c r="B31" s="344">
        <f>_xlfn.XLOOKUP(G31,销售需求表!A:A,销售需求表!C:C)</f>
        <v/>
      </c>
      <c r="C31" s="345">
        <f>IFERROR(MID(F31,FIND("R",F31)+1,4),"")</f>
        <v/>
      </c>
      <c r="D31" s="344">
        <f>B31&amp;C31&amp;"寸"</f>
        <v/>
      </c>
      <c r="E31" s="346">
        <f>LEFT(REPLACE(G31,1,2,""),FIND("[",REPLACE(G31,1,2,""))-1)&amp;"-"&amp;MID(REPLACE(G31,1,2,""),FIND("[",REPLACE(G31,1,2,""))+1,FIND("]",REPLACE(G31,1,2,""))-FIND("[",REPLACE(G31,1,2,""))-1)</f>
        <v/>
      </c>
      <c r="F31" s="347">
        <f>IFERROR(MID(G31,3,FIND("(",G31)-3)&amp;"-"&amp;SUBSTITUTE(MID(G31,FIND("[",G31)+1,FIND("]",G31)-FIND("[",G31)-1),"Strong Guard ",""),"")</f>
        <v/>
      </c>
      <c r="G31" s="346" t="inlineStr">
        <is>
          <t>ID11R22.5-16PR(148/145L)[I-37D]IRONMAN无内</t>
        </is>
      </c>
      <c r="H31" s="344" t="n">
        <v>1500</v>
      </c>
      <c r="I31" s="348" t="n">
        <v>2</v>
      </c>
      <c r="J31" s="349">
        <f>IFERROR(LEFT(F31,FIND("-",F31))&amp;MID(F31,FIND("PR",F31,FIND("-",F31))+3,LEN(F31)),F31)</f>
        <v/>
      </c>
      <c r="K31" s="352">
        <f>_xlfn.XLOOKUP(F31,投产规格!E:E,投产规格!D:D,"未投产")</f>
        <v/>
      </c>
      <c r="L31" s="352">
        <f>IFERROR(_xlfn.XLOOKUP(F31,硫化工艺!B:B,硫化工艺!C:C),"")</f>
        <v/>
      </c>
      <c r="M31" s="430">
        <f>IF(L31="","",L31/(L31+$L$1/60))</f>
        <v/>
      </c>
      <c r="N31" s="352">
        <f>C31&amp;"全钢"</f>
        <v/>
      </c>
      <c r="O31" s="352">
        <f>IFERROR(_xlfn.XLOOKUP(F31,轮胎重量!J:J,轮胎重量!G:G),"")</f>
        <v/>
      </c>
      <c r="P31" s="352">
        <f>IFERROR(_xlfn.XLOOKUP(G31,硫化工艺!I:I,硫化工艺!J:J),"")</f>
        <v/>
      </c>
      <c r="Q31" s="352">
        <f>IFERROR(ROUND(1440/L31*(I31)*M31,0),"")</f>
        <v/>
      </c>
      <c r="R31" s="352" t="n">
        <v>60</v>
      </c>
      <c r="S31" s="352" t="n">
        <v>60</v>
      </c>
      <c r="T31" s="352" t="n">
        <v>60</v>
      </c>
      <c r="U31" s="352" t="n">
        <v>60</v>
      </c>
      <c r="V31" s="352" t="n">
        <v>60</v>
      </c>
      <c r="W31" s="352" t="n">
        <v>60</v>
      </c>
      <c r="X31" s="352" t="n">
        <v>60</v>
      </c>
      <c r="Y31" s="352" t="n">
        <v>60</v>
      </c>
      <c r="Z31" s="352" t="n">
        <v>60</v>
      </c>
      <c r="AA31" s="352" t="n">
        <v>60</v>
      </c>
      <c r="AB31" s="352" t="n">
        <v>60</v>
      </c>
      <c r="AC31" s="352" t="n">
        <v>60</v>
      </c>
      <c r="AD31" s="352" t="n">
        <v>60</v>
      </c>
      <c r="AE31" s="352" t="n">
        <v>60</v>
      </c>
      <c r="AF31" s="352" t="n">
        <v>60</v>
      </c>
      <c r="AG31" s="352" t="n">
        <v>60</v>
      </c>
      <c r="AH31" s="352" t="n">
        <v>60</v>
      </c>
      <c r="AI31" s="352" t="n">
        <v>60</v>
      </c>
      <c r="AJ31" s="352" t="n">
        <v>60</v>
      </c>
      <c r="AK31" s="352" t="n">
        <v>60</v>
      </c>
      <c r="AL31" s="352" t="n">
        <v>60</v>
      </c>
      <c r="AM31" s="352" t="n">
        <v>60</v>
      </c>
      <c r="AN31" s="352" t="n">
        <v>60</v>
      </c>
      <c r="AO31" s="352" t="n"/>
      <c r="AP31" s="352" t="n"/>
      <c r="AQ31" s="352" t="n"/>
      <c r="AR31" s="352" t="n"/>
      <c r="AS31" s="352" t="n"/>
      <c r="AT31" s="352" t="n"/>
      <c r="AU31" s="352" t="n"/>
      <c r="AV31" s="352" t="n"/>
      <c r="AW31" s="352">
        <f>IF(SUM(R31:AV31)=0,"",SUM(R31:AV31))</f>
        <v/>
      </c>
      <c r="AX31" s="431">
        <f>IFERROR(AW31*O31/1000,"")</f>
        <v/>
      </c>
      <c r="AY31" s="431">
        <f>IFERROR(ROUND(AW31*P31/10000,3),"")</f>
        <v/>
      </c>
      <c r="AZ31" s="359" t="n"/>
      <c r="BC31" s="331" t="n"/>
      <c r="BD31" s="331" t="n"/>
      <c r="BE31" s="331">
        <f>AZ31*AW31</f>
        <v/>
      </c>
      <c r="BF31" s="331">
        <f>BA31*AW31</f>
        <v/>
      </c>
      <c r="BG31" s="331">
        <f>BB31*AW31</f>
        <v/>
      </c>
      <c r="BH31" s="331">
        <f>BC31*AW31</f>
        <v/>
      </c>
      <c r="BI31" s="331" t="n"/>
      <c r="BJ31" s="356">
        <f t="array" ref="BJ31:BM31">_xlfn.LET(_xlpm.data,$R31:$AV31,_xlpm.starts,{1,8,16,23},_xlpm.lengths,{7,7,8,9},_xlpm.arr,_xlfn.MAP(_xlpm.starts,_xlpm.lengths,_xlfn.LAMBDA(_xlpm.s,_xlpm.l,SUM(INDEX(_xlpm.data,,_xlfn.SEQUENCE(,_xlpm.l,_xlpm.s))))),ROUND(_xlpm.arr*$O31/1000,2))</f>
        <v/>
      </c>
      <c r="BK31" s="331" t="n">
        <v>23.89</v>
      </c>
      <c r="BL31" s="331" t="n">
        <v>27.3</v>
      </c>
      <c r="BM31" s="331" t="n">
        <v>3.41</v>
      </c>
      <c r="BN31" s="362">
        <f>SUM(BJ31:BM31)</f>
        <v/>
      </c>
      <c r="BO31" s="362" t="n">
        <v>0</v>
      </c>
      <c r="BP31" s="362" t="n">
        <v>0</v>
      </c>
      <c r="BQ31" s="362" t="n">
        <v>0</v>
      </c>
      <c r="BR31" s="362" t="n">
        <v>0</v>
      </c>
      <c r="BS31" s="115" t="n"/>
      <c r="BT31" s="362">
        <f t="array" ref="BT31:BW31">_xlfn.HSTACK(SUM(INDEX($R31:$AV31,1,1):INDEX($R31:$AV31,1,7)),SUM(INDEX($R31:$AV31,1,7):INDEX($R31:$AV31,1,13)),SUM(INDEX($R31:$AV31,1,16):INDEX($R31:$AV31,1,23)),SUM(INDEX($R31:$AV31,1,23):INDEX($R31:$AV31,1,31)))</f>
        <v/>
      </c>
      <c r="BU31" s="362" t="n">
        <v>420</v>
      </c>
      <c r="BV31" s="362" t="n">
        <v>480</v>
      </c>
      <c r="BW31" s="362" t="n">
        <v>60</v>
      </c>
      <c r="BY31" s="362">
        <f>SUM(R31:X31)</f>
        <v/>
      </c>
      <c r="BZ31" s="362">
        <f>SUM(Y31:AE31)</f>
        <v/>
      </c>
      <c r="CA31" s="362">
        <f>SUM(AF31:AM31)</f>
        <v/>
      </c>
      <c r="CB31" s="362">
        <f>SUM(AN31:AV31)</f>
        <v/>
      </c>
      <c r="CD31" s="432" t="inlineStr">
        <is>
          <t>ADA</t>
        </is>
      </c>
      <c r="CE31" s="362">
        <f>ROUND(BY31*$O31/1000,2)</f>
        <v/>
      </c>
      <c r="CF31" s="362">
        <f>ROUND(BZ31*$O31/1000,2)</f>
        <v/>
      </c>
      <c r="CG31" s="362">
        <f>ROUND(CA31*$O31/1000,2)</f>
        <v/>
      </c>
      <c r="CH31" s="362">
        <f>ROUND(CB31*$O31/1000,2)</f>
        <v/>
      </c>
      <c r="CI31" s="362">
        <f>SUM(CE31:CH31)</f>
        <v/>
      </c>
      <c r="CJ31" s="390" t="n"/>
      <c r="CK31" s="362">
        <f>IFERROR(ROUND(BY31*$P31,2),"")</f>
        <v/>
      </c>
      <c r="CL31" s="362">
        <f>IFERROR(ROUND(BZ31*$P31,2),"")</f>
        <v/>
      </c>
      <c r="CM31" s="362">
        <f>IFERROR(ROUND(CA31*$P31,2),"")</f>
        <v/>
      </c>
      <c r="CN31" s="362">
        <f>IFERROR(ROUND(CB31*$P31,2),"")</f>
        <v/>
      </c>
      <c r="CO31" s="362">
        <f>SUM(CK31:CN31)</f>
        <v/>
      </c>
    </row>
    <row r="32" ht="15.6" customFormat="1" customHeight="1" s="362">
      <c r="A32" s="331" t="n"/>
      <c r="B32" s="344">
        <f>_xlfn.XLOOKUP(G32,销售需求表!A:A,销售需求表!C:C)</f>
        <v/>
      </c>
      <c r="C32" s="345">
        <f>IFERROR(MID(F32,FIND("R",F32)+1,4),"")</f>
        <v/>
      </c>
      <c r="D32" s="344">
        <f>B32&amp;C32&amp;"寸"</f>
        <v/>
      </c>
      <c r="E32" s="346">
        <f>LEFT(REPLACE(G32,1,2,""),FIND("[",REPLACE(G32,1,2,""))-1)&amp;"-"&amp;MID(REPLACE(G32,1,2,""),FIND("[",REPLACE(G32,1,2,""))+1,FIND("]",REPLACE(G32,1,2,""))-FIND("[",REPLACE(G32,1,2,""))-1)</f>
        <v/>
      </c>
      <c r="F32" s="347">
        <f>IFERROR(MID(G32,3,FIND("(",G32)-3)&amp;"-"&amp;SUBSTITUTE(MID(G32,FIND("[",G32)+1,FIND("]",G32)-FIND("[",G32)-1),"Strong Guard ",""),"")</f>
        <v/>
      </c>
      <c r="G32" s="346" t="inlineStr">
        <is>
          <t>ID11R22.5-16PR(148/145L)[I-52A]IRONMAN无内 SMARTWAY</t>
        </is>
      </c>
      <c r="H32" s="344" t="n">
        <v>450</v>
      </c>
      <c r="I32" s="348" t="n">
        <v>2</v>
      </c>
      <c r="J32" s="349">
        <f>IFERROR(LEFT(F32,FIND("-",F32))&amp;MID(F32,FIND("PR",F32,FIND("-",F32))+3,LEN(F32)),F32)</f>
        <v/>
      </c>
      <c r="K32" s="352">
        <f>_xlfn.XLOOKUP(F32,投产规格!E:E,投产规格!D:D,"未投产")</f>
        <v/>
      </c>
      <c r="L32" s="352">
        <f>IFERROR(_xlfn.XLOOKUP(F32,硫化工艺!B:B,硫化工艺!C:C),"")</f>
        <v/>
      </c>
      <c r="M32" s="430">
        <f>IF(L32="","",L32/(L32+$L$1/60))</f>
        <v/>
      </c>
      <c r="N32" s="352">
        <f>C32&amp;"全钢"</f>
        <v/>
      </c>
      <c r="O32" s="352">
        <f>IFERROR(_xlfn.XLOOKUP(F32,轮胎重量!J:J,轮胎重量!G:G),"")</f>
        <v/>
      </c>
      <c r="P32" s="352">
        <f>IFERROR(_xlfn.XLOOKUP(G32,硫化工艺!I:I,硫化工艺!J:J),"")</f>
        <v/>
      </c>
      <c r="Q32" s="352">
        <f>IFERROR(ROUND(1440/L32*(I32)*M32,0),"")</f>
        <v/>
      </c>
      <c r="R32" s="352" t="n"/>
      <c r="S32" s="352" t="n"/>
      <c r="T32" s="352" t="n"/>
      <c r="U32" s="352" t="n"/>
      <c r="V32" s="352" t="n"/>
      <c r="W32" s="352" t="n"/>
      <c r="X32" s="352" t="n"/>
      <c r="Y32" s="352" t="n"/>
      <c r="Z32" s="352" t="n"/>
      <c r="AA32" s="352" t="n">
        <v>60</v>
      </c>
      <c r="AB32" s="352" t="n">
        <v>60</v>
      </c>
      <c r="AC32" s="352" t="n">
        <v>60</v>
      </c>
      <c r="AD32" s="352" t="n">
        <v>60</v>
      </c>
      <c r="AE32" s="352" t="n">
        <v>60</v>
      </c>
      <c r="AF32" s="352" t="n">
        <v>60</v>
      </c>
      <c r="AG32" s="352" t="n">
        <v>60</v>
      </c>
      <c r="AH32" s="352" t="n">
        <v>60</v>
      </c>
      <c r="AI32" s="352" t="n">
        <v>60</v>
      </c>
      <c r="AJ32" s="352" t="n"/>
      <c r="AK32" s="352" t="n"/>
      <c r="AL32" s="352" t="n"/>
      <c r="AM32" s="352" t="n"/>
      <c r="AN32" s="352" t="n"/>
      <c r="AO32" s="352" t="n"/>
      <c r="AP32" s="352" t="n"/>
      <c r="AQ32" s="352" t="n"/>
      <c r="AR32" s="352" t="n"/>
      <c r="AS32" s="352" t="n"/>
      <c r="AT32" s="352" t="n"/>
      <c r="AU32" s="352" t="n"/>
      <c r="AV32" s="352" t="n"/>
      <c r="AW32" s="352">
        <f>IF(SUM(R32:AV32)=0,"",SUM(R32:AV32))</f>
        <v/>
      </c>
      <c r="AX32" s="431">
        <f>IFERROR(AW32*O32/1000,"")</f>
        <v/>
      </c>
      <c r="AY32" s="431">
        <f>IFERROR(ROUND(AW32*P32/10000,3),"")</f>
        <v/>
      </c>
      <c r="AZ32" s="359" t="n"/>
      <c r="BC32" s="331" t="n"/>
      <c r="BD32" s="331" t="n"/>
      <c r="BE32" s="331">
        <f>AZ32*AW32</f>
        <v/>
      </c>
      <c r="BF32" s="331">
        <f>BA32*AW32</f>
        <v/>
      </c>
      <c r="BG32" s="331">
        <f>BB32*AW32</f>
        <v/>
      </c>
      <c r="BH32" s="331">
        <f>BC32*AW32</f>
        <v/>
      </c>
      <c r="BI32" s="331" t="n"/>
      <c r="BJ32" s="356">
        <f t="array" ref="BJ32:BM32">_xlfn.LET(_xlpm.data,$R32:$AV32,_xlpm.starts,{1,8,16,23},_xlpm.lengths,{7,7,8,9},_xlpm.arr,_xlfn.MAP(_xlpm.starts,_xlpm.lengths,_xlfn.LAMBDA(_xlpm.s,_xlpm.l,SUM(INDEX(_xlpm.data,,_xlfn.SEQUENCE(,_xlpm.l,_xlpm.s))))),ROUND(_xlpm.arr*$O32/1000,2))</f>
        <v/>
      </c>
      <c r="BK32" s="331" t="n">
        <v>16.93</v>
      </c>
      <c r="BL32" s="331" t="n">
        <v>10.16</v>
      </c>
      <c r="BM32" s="331" t="n">
        <v>0</v>
      </c>
      <c r="BN32" s="362">
        <f>SUM(BJ32:BM32)</f>
        <v/>
      </c>
      <c r="BO32" s="362" t="n">
        <v>0</v>
      </c>
      <c r="BP32" s="362" t="n">
        <v>0</v>
      </c>
      <c r="BQ32" s="362" t="n">
        <v>0</v>
      </c>
      <c r="BR32" s="362" t="n">
        <v>0</v>
      </c>
      <c r="BS32" s="115" t="n"/>
      <c r="BT32" s="362">
        <f t="array" ref="BT32:BW32">_xlfn.HSTACK(SUM(INDEX($R32:$AV32,1,1):INDEX($R32:$AV32,1,7)),SUM(INDEX($R32:$AV32,1,7):INDEX($R32:$AV32,1,13)),SUM(INDEX($R32:$AV32,1,16):INDEX($R32:$AV32,1,23)),SUM(INDEX($R32:$AV32,1,23):INDEX($R32:$AV32,1,31)))</f>
        <v/>
      </c>
      <c r="BU32" s="362" t="n">
        <v>240</v>
      </c>
      <c r="BV32" s="362" t="n">
        <v>180</v>
      </c>
      <c r="BW32" s="362" t="n">
        <v>0</v>
      </c>
      <c r="BY32" s="362">
        <f>SUM(R32:X32)</f>
        <v/>
      </c>
      <c r="BZ32" s="362">
        <f>SUM(Y32:AE32)</f>
        <v/>
      </c>
      <c r="CA32" s="362">
        <f>SUM(AF32:AM32)</f>
        <v/>
      </c>
      <c r="CB32" s="362">
        <f>SUM(AN32:AV32)</f>
        <v/>
      </c>
      <c r="CD32" s="432" t="inlineStr">
        <is>
          <t>ADA</t>
        </is>
      </c>
      <c r="CE32" s="362">
        <f>ROUND(BY32*$O32/1000,2)</f>
        <v/>
      </c>
      <c r="CF32" s="362">
        <f>ROUND(BZ32*$O32/1000,2)</f>
        <v/>
      </c>
      <c r="CG32" s="362">
        <f>ROUND(CA32*$O32/1000,2)</f>
        <v/>
      </c>
      <c r="CH32" s="362">
        <f>ROUND(CB32*$O32/1000,2)</f>
        <v/>
      </c>
      <c r="CI32" s="362">
        <f>SUM(CE32:CH32)</f>
        <v/>
      </c>
      <c r="CJ32" s="390" t="n"/>
      <c r="CK32" s="362">
        <f>IFERROR(ROUND(BY32*$P32,2),"")</f>
        <v/>
      </c>
      <c r="CL32" s="362">
        <f>IFERROR(ROUND(BZ32*$P32,2),"")</f>
        <v/>
      </c>
      <c r="CM32" s="362">
        <f>IFERROR(ROUND(CA32*$P32,2),"")</f>
        <v/>
      </c>
      <c r="CN32" s="362">
        <f>IFERROR(ROUND(CB32*$P32,2),"")</f>
        <v/>
      </c>
      <c r="CO32" s="362">
        <f>SUM(CK32:CN32)</f>
        <v/>
      </c>
    </row>
    <row r="33" ht="15.6" customFormat="1" customHeight="1" s="362">
      <c r="A33" s="331" t="n"/>
      <c r="B33" s="344">
        <f>_xlfn.XLOOKUP(G33,销售需求表!A:A,销售需求表!C:C)</f>
        <v/>
      </c>
      <c r="C33" s="345">
        <f>IFERROR(MID(F33,FIND("R",F33)+1,4),"")</f>
        <v/>
      </c>
      <c r="D33" s="344">
        <f>B33&amp;C33&amp;"寸"</f>
        <v/>
      </c>
      <c r="E33" s="346">
        <f>LEFT(REPLACE(G33,1,2,""),FIND("[",REPLACE(G33,1,2,""))-1)&amp;"-"&amp;MID(REPLACE(G33,1,2,""),FIND("[",REPLACE(G33,1,2,""))+1,FIND("]",REPLACE(G33,1,2,""))-FIND("[",REPLACE(G33,1,2,""))-1)</f>
        <v/>
      </c>
      <c r="F33" s="347">
        <f>IFERROR(MID(G33,3,FIND("(",G33)-3)&amp;"-"&amp;SUBSTITUTE(MID(G33,FIND("[",G33)+1,FIND("]",G33)-FIND("[",G33)-1),"Strong Guard ",""),"")</f>
        <v/>
      </c>
      <c r="G33" s="346" t="inlineStr">
        <is>
          <t>ID11R22.5-16PR(148/145L)[M-TRAC AP]MASTERTRACK无内</t>
        </is>
      </c>
      <c r="H33" s="344" t="n">
        <v>2000</v>
      </c>
      <c r="I33" s="348" t="n"/>
      <c r="J33" s="349">
        <f>IFERROR(LEFT(F33,FIND("-",F33))&amp;MID(F33,FIND("PR",F33,FIND("-",F33))+3,LEN(F33)),F33)</f>
        <v/>
      </c>
      <c r="K33" s="352">
        <f>_xlfn.XLOOKUP(F33,投产规格!E:E,投产规格!D:D,"未投产")</f>
        <v/>
      </c>
      <c r="L33" s="352">
        <f>IFERROR(_xlfn.XLOOKUP(F33,硫化工艺!B:B,硫化工艺!C:C),"")</f>
        <v/>
      </c>
      <c r="M33" s="430">
        <f>IF(L33="","",L33/(L33+$L$1/60))</f>
        <v/>
      </c>
      <c r="N33" s="352">
        <f>C33&amp;"全钢"</f>
        <v/>
      </c>
      <c r="O33" s="352">
        <f>IFERROR(_xlfn.XLOOKUP(F33,轮胎重量!J:J,轮胎重量!G:G),"")</f>
        <v/>
      </c>
      <c r="P33" s="352">
        <f>IFERROR(_xlfn.XLOOKUP(G33,硫化工艺!I:I,硫化工艺!J:J),"")</f>
        <v/>
      </c>
      <c r="Q33" s="352">
        <f>IFERROR(ROUND(1440/L33*(I33)*M33,0),"")</f>
        <v/>
      </c>
      <c r="R33" s="352" t="n"/>
      <c r="S33" s="352" t="n"/>
      <c r="T33" s="352" t="n"/>
      <c r="U33" s="352" t="n"/>
      <c r="V33" s="352" t="n"/>
      <c r="W33" s="352" t="n"/>
      <c r="X33" s="352" t="n"/>
      <c r="Y33" s="352" t="n"/>
      <c r="Z33" s="352" t="n"/>
      <c r="AA33" s="352" t="n"/>
      <c r="AB33" s="352" t="n"/>
      <c r="AC33" s="352" t="n"/>
      <c r="AD33" s="352" t="n"/>
      <c r="AE33" s="352" t="n"/>
      <c r="AF33" s="352" t="n"/>
      <c r="AG33" s="352" t="n">
        <v>130</v>
      </c>
      <c r="AH33" s="352" t="n">
        <v>130</v>
      </c>
      <c r="AI33" s="352" t="n">
        <v>130</v>
      </c>
      <c r="AJ33" s="352" t="n">
        <v>130</v>
      </c>
      <c r="AK33" s="352" t="n">
        <v>130</v>
      </c>
      <c r="AL33" s="352" t="n">
        <v>130</v>
      </c>
      <c r="AM33" s="352" t="n">
        <v>130</v>
      </c>
      <c r="AN33" s="352" t="n">
        <v>130</v>
      </c>
      <c r="AO33" s="352" t="n"/>
      <c r="AP33" s="352" t="n"/>
      <c r="AQ33" s="352" t="n"/>
      <c r="AR33" s="352" t="n"/>
      <c r="AS33" s="352" t="n"/>
      <c r="AT33" s="352" t="n"/>
      <c r="AU33" s="352" t="n"/>
      <c r="AV33" s="352" t="n"/>
      <c r="AW33" s="352">
        <f>IF(SUM(R33:AV33)=0,"",SUM(R33:AV33))</f>
        <v/>
      </c>
      <c r="AX33" s="431">
        <f>IFERROR(AW33*O33/1000,"")</f>
        <v/>
      </c>
      <c r="AY33" s="431">
        <f>IFERROR(ROUND(AW33*P33/10000,3),"")</f>
        <v/>
      </c>
      <c r="AZ33" s="359" t="n"/>
      <c r="BC33" s="331" t="n"/>
      <c r="BD33" s="331" t="n"/>
      <c r="BE33" s="331">
        <f>AZ33*AW33</f>
        <v/>
      </c>
      <c r="BF33" s="331">
        <f>BA33*AW33</f>
        <v/>
      </c>
      <c r="BG33" s="331">
        <f>BB33*AW33</f>
        <v/>
      </c>
      <c r="BH33" s="331">
        <f>BC33*AW33</f>
        <v/>
      </c>
      <c r="BI33" s="331" t="n"/>
      <c r="BJ33" s="356">
        <f t="array" ref="BJ33:BM33">_xlfn.LET(_xlpm.data,$R33:$AV33,_xlpm.starts,{1,8,16,23},_xlpm.lengths,{7,7,8,9},_xlpm.arr,_xlfn.MAP(_xlpm.starts,_xlpm.lengths,_xlfn.LAMBDA(_xlpm.s,_xlpm.l,SUM(INDEX(_xlpm.data,,_xlfn.SEQUENCE(,_xlpm.l,_xlpm.s))))),ROUND(_xlpm.arr*$O33/1000,2))</f>
        <v/>
      </c>
      <c r="BK33" s="331" t="n">
        <v>0</v>
      </c>
      <c r="BL33" s="331" t="n">
        <v>54.14</v>
      </c>
      <c r="BM33" s="331" t="n">
        <v>6.77</v>
      </c>
      <c r="BN33" s="362">
        <f>SUM(BJ33:BM33)</f>
        <v/>
      </c>
      <c r="BO33" s="362" t="n">
        <v>0</v>
      </c>
      <c r="BP33" s="362" t="n">
        <v>0</v>
      </c>
      <c r="BQ33" s="362" t="n">
        <v>0</v>
      </c>
      <c r="BR33" s="362" t="n">
        <v>0</v>
      </c>
      <c r="BS33" s="115" t="n"/>
      <c r="BT33" s="362">
        <f t="array" ref="BT33:BW33">_xlfn.HSTACK(SUM(INDEX($R33:$AV33,1,1):INDEX($R33:$AV33,1,7)),SUM(INDEX($R33:$AV33,1,7):INDEX($R33:$AV33,1,13)),SUM(INDEX($R33:$AV33,1,16):INDEX($R33:$AV33,1,23)),SUM(INDEX($R33:$AV33,1,23):INDEX($R33:$AV33,1,31)))</f>
        <v/>
      </c>
      <c r="BU33" s="362" t="n">
        <v>0</v>
      </c>
      <c r="BV33" s="362" t="n">
        <v>1040</v>
      </c>
      <c r="BW33" s="362" t="n">
        <v>130</v>
      </c>
      <c r="BY33" s="362">
        <f>SUM(R33:X33)</f>
        <v/>
      </c>
      <c r="BZ33" s="362">
        <f>SUM(Y33:AE33)</f>
        <v/>
      </c>
      <c r="CA33" s="362">
        <f>SUM(AF33:AM33)</f>
        <v/>
      </c>
      <c r="CB33" s="362">
        <f>SUM(AN33:AV33)</f>
        <v/>
      </c>
      <c r="CD33" s="432" t="inlineStr">
        <is>
          <t>ADA</t>
        </is>
      </c>
      <c r="CE33" s="362">
        <f>ROUND(BY33*$O33/1000,2)</f>
        <v/>
      </c>
      <c r="CF33" s="362">
        <f>ROUND(BZ33*$O33/1000,2)</f>
        <v/>
      </c>
      <c r="CG33" s="362">
        <f>ROUND(CA33*$O33/1000,2)</f>
        <v/>
      </c>
      <c r="CH33" s="362">
        <f>ROUND(CB33*$O33/1000,2)</f>
        <v/>
      </c>
      <c r="CI33" s="362">
        <f>SUM(CE33:CH33)</f>
        <v/>
      </c>
      <c r="CJ33" s="390" t="n"/>
      <c r="CK33" s="362">
        <f>IFERROR(ROUND(BY33*$P33,2),"")</f>
        <v/>
      </c>
      <c r="CL33" s="362">
        <f>IFERROR(ROUND(BZ33*$P33,2),"")</f>
        <v/>
      </c>
      <c r="CM33" s="362">
        <f>IFERROR(ROUND(CA33*$P33,2),"")</f>
        <v/>
      </c>
      <c r="CN33" s="362">
        <f>IFERROR(ROUND(CB33*$P33,2),"")</f>
        <v/>
      </c>
      <c r="CO33" s="362">
        <f>SUM(CK33:CN33)</f>
        <v/>
      </c>
    </row>
    <row r="34" ht="15.6" customFormat="1" customHeight="1" s="362">
      <c r="A34" s="331" t="n"/>
      <c r="B34" s="344">
        <f>_xlfn.XLOOKUP(G34,销售需求表!A:A,销售需求表!C:C)</f>
        <v/>
      </c>
      <c r="C34" s="345">
        <f>IFERROR(MID(F34,FIND("R",F34)+1,4),"")</f>
        <v/>
      </c>
      <c r="D34" s="344">
        <f>B34&amp;C34&amp;"寸"</f>
        <v/>
      </c>
      <c r="E34" s="346">
        <f>LEFT(REPLACE(G34,1,2,""),FIND("[",REPLACE(G34,1,2,""))-1)&amp;"-"&amp;MID(REPLACE(G34,1,2,""),FIND("[",REPLACE(G34,1,2,""))+1,FIND("]",REPLACE(G34,1,2,""))-FIND("[",REPLACE(G34,1,2,""))-1)</f>
        <v/>
      </c>
      <c r="F34" s="347">
        <f>IFERROR(MID(G34,3,FIND("(",G34)-3)&amp;"-"&amp;SUBSTITUTE(MID(G34,FIND("[",G34)+1,FIND("]",G34)-FIND("[",G34)-1),"Strong Guard ",""),"")</f>
        <v/>
      </c>
      <c r="G34" s="346" t="inlineStr">
        <is>
          <t>ID11R22.5-16PR(148/145L)[M-TRAC CSD]MASTERTRACK无内</t>
        </is>
      </c>
      <c r="H34" s="344" t="n">
        <v>1200</v>
      </c>
      <c r="I34" s="348" t="n"/>
      <c r="J34" s="349">
        <f>IFERROR(LEFT(F34,FIND("-",F34))&amp;MID(F34,FIND("PR",F34,FIND("-",F34))+3,LEN(F34)),F34)</f>
        <v/>
      </c>
      <c r="K34" s="352">
        <f>_xlfn.XLOOKUP(F34,投产规格!E:E,投产规格!D:D,"未投产")</f>
        <v/>
      </c>
      <c r="L34" s="352">
        <f>IFERROR(_xlfn.XLOOKUP(F34,硫化工艺!B:B,硫化工艺!C:C),"")</f>
        <v/>
      </c>
      <c r="M34" s="430">
        <f>IF(L34="","",L34/(L34+$L$1/60))</f>
        <v/>
      </c>
      <c r="N34" s="352">
        <f>C34&amp;"全钢"</f>
        <v/>
      </c>
      <c r="O34" s="352">
        <f>IFERROR(_xlfn.XLOOKUP(F34,轮胎重量!J:J,轮胎重量!G:G),"")</f>
        <v/>
      </c>
      <c r="P34" s="352">
        <f>IFERROR(_xlfn.XLOOKUP(G34,硫化工艺!I:I,硫化工艺!J:J),"")</f>
        <v/>
      </c>
      <c r="Q34" s="352">
        <f>IFERROR(ROUND(1440/L34*(I34)*M34,0),"")</f>
        <v/>
      </c>
      <c r="R34" s="352" t="n"/>
      <c r="S34" s="352" t="n"/>
      <c r="T34" s="352" t="n"/>
      <c r="U34" s="352" t="n"/>
      <c r="V34" s="352" t="n"/>
      <c r="W34" s="352" t="n"/>
      <c r="X34" s="352" t="n"/>
      <c r="Y34" s="352" t="n"/>
      <c r="Z34" s="352" t="n"/>
      <c r="AA34" s="352" t="n"/>
      <c r="AB34" s="352" t="n"/>
      <c r="AC34" s="352" t="n"/>
      <c r="AD34" s="352" t="n"/>
      <c r="AE34" s="352" t="n"/>
      <c r="AF34" s="352" t="n"/>
      <c r="AG34" s="352" t="n"/>
      <c r="AH34" s="352" t="n"/>
      <c r="AI34" s="352" t="n"/>
      <c r="AJ34" s="352" t="n"/>
      <c r="AK34" s="352" t="n"/>
      <c r="AL34" s="352" t="n"/>
      <c r="AM34" s="352" t="n"/>
      <c r="AN34" s="352" t="n"/>
      <c r="AO34" s="352" t="n">
        <v>130</v>
      </c>
      <c r="AP34" s="352" t="n">
        <v>130</v>
      </c>
      <c r="AQ34" s="352" t="n">
        <v>130</v>
      </c>
      <c r="AR34" s="352" t="n">
        <v>130</v>
      </c>
      <c r="AS34" s="352" t="n">
        <v>130</v>
      </c>
      <c r="AT34" s="352" t="n">
        <v>130</v>
      </c>
      <c r="AU34" s="352" t="n">
        <v>130</v>
      </c>
      <c r="AV34" s="352" t="n">
        <v>130</v>
      </c>
      <c r="AW34" s="352">
        <f>IF(SUM(R34:AV34)=0,"",SUM(R34:AV34))</f>
        <v/>
      </c>
      <c r="AX34" s="431">
        <f>IFERROR(AW34*O34/1000,"")</f>
        <v/>
      </c>
      <c r="AY34" s="431">
        <f>IFERROR(ROUND(AW34*P34/10000,3),"")</f>
        <v/>
      </c>
      <c r="AZ34" s="359" t="n"/>
      <c r="BC34" s="331" t="n"/>
      <c r="BD34" s="331" t="n"/>
      <c r="BE34" s="331">
        <f>AZ34*AW34</f>
        <v/>
      </c>
      <c r="BF34" s="331">
        <f>BA34*AW34</f>
        <v/>
      </c>
      <c r="BG34" s="331">
        <f>BB34*AW34</f>
        <v/>
      </c>
      <c r="BH34" s="331">
        <f>BC34*AW34</f>
        <v/>
      </c>
      <c r="BI34" s="331" t="n"/>
      <c r="BJ34" s="356">
        <f t="array" ref="BJ34:BM34">_xlfn.LET(_xlpm.data,$R34:$AV34,_xlpm.starts,{1,8,16,23},_xlpm.lengths,{7,7,8,9},_xlpm.arr,_xlfn.MAP(_xlpm.starts,_xlpm.lengths,_xlfn.LAMBDA(_xlpm.s,_xlpm.l,SUM(INDEX(_xlpm.data,,_xlfn.SEQUENCE(,_xlpm.l,_xlpm.s))))),ROUND(_xlpm.arr*$O34/1000,2))</f>
        <v/>
      </c>
      <c r="BK34" s="331" t="n">
        <v>0</v>
      </c>
      <c r="BL34" s="331" t="n">
        <v>0</v>
      </c>
      <c r="BM34" s="331" t="n">
        <v>58.08</v>
      </c>
      <c r="BN34" s="362">
        <f>SUM(BJ34:BM34)</f>
        <v/>
      </c>
      <c r="BO34" s="362" t="n">
        <v>0</v>
      </c>
      <c r="BP34" s="362" t="n">
        <v>0</v>
      </c>
      <c r="BQ34" s="362" t="n">
        <v>0</v>
      </c>
      <c r="BR34" s="362" t="n">
        <v>0</v>
      </c>
      <c r="BS34" s="115" t="n"/>
      <c r="BT34" s="362">
        <f t="array" ref="BT34:BW34">_xlfn.HSTACK(SUM(INDEX($R34:$AV34,1,1):INDEX($R34:$AV34,1,7)),SUM(INDEX($R34:$AV34,1,7):INDEX($R34:$AV34,1,13)),SUM(INDEX($R34:$AV34,1,16):INDEX($R34:$AV34,1,23)),SUM(INDEX($R34:$AV34,1,23):INDEX($R34:$AV34,1,31)))</f>
        <v/>
      </c>
      <c r="BU34" s="362" t="n">
        <v>0</v>
      </c>
      <c r="BV34" s="362" t="n">
        <v>0</v>
      </c>
      <c r="BW34" s="362" t="n">
        <v>1040</v>
      </c>
      <c r="BY34" s="362">
        <f>SUM(R34:X34)</f>
        <v/>
      </c>
      <c r="BZ34" s="362">
        <f>SUM(Y34:AE34)</f>
        <v/>
      </c>
      <c r="CA34" s="362">
        <f>SUM(AF34:AM34)</f>
        <v/>
      </c>
      <c r="CB34" s="362">
        <f>SUM(AN34:AV34)</f>
        <v/>
      </c>
      <c r="CD34" s="432" t="inlineStr">
        <is>
          <t>ADA</t>
        </is>
      </c>
      <c r="CE34" s="362">
        <f>ROUND(BY34*$O34/1000,2)</f>
        <v/>
      </c>
      <c r="CF34" s="362">
        <f>ROUND(BZ34*$O34/1000,2)</f>
        <v/>
      </c>
      <c r="CG34" s="362">
        <f>ROUND(CA34*$O34/1000,2)</f>
        <v/>
      </c>
      <c r="CH34" s="362">
        <f>ROUND(CB34*$O34/1000,2)</f>
        <v/>
      </c>
      <c r="CI34" s="362">
        <f>SUM(CE34:CH34)</f>
        <v/>
      </c>
      <c r="CJ34" s="390" t="n"/>
      <c r="CK34" s="362">
        <f>IFERROR(ROUND(BY34*$P34,2),"")</f>
        <v/>
      </c>
      <c r="CL34" s="362">
        <f>IFERROR(ROUND(BZ34*$P34,2),"")</f>
        <v/>
      </c>
      <c r="CM34" s="362">
        <f>IFERROR(ROUND(CA34*$P34,2),"")</f>
        <v/>
      </c>
      <c r="CN34" s="362">
        <f>IFERROR(ROUND(CB34*$P34,2),"")</f>
        <v/>
      </c>
      <c r="CO34" s="362">
        <f>SUM(CK34:CN34)</f>
        <v/>
      </c>
    </row>
    <row r="35" hidden="1" ht="15.6" customFormat="1" customHeight="1" s="362">
      <c r="A35" s="331" t="n"/>
      <c r="B35" s="344">
        <f>_xlfn.XLOOKUP(G35,销售需求表!A:A,销售需求表!C:C)</f>
        <v/>
      </c>
      <c r="C35" s="345">
        <f>IFERROR(MID(F35,FIND("R",F35)+1,4),"")</f>
        <v/>
      </c>
      <c r="D35" s="344">
        <f>B35&amp;C35&amp;"寸"</f>
        <v/>
      </c>
      <c r="E35" s="346">
        <f>LEFT(REPLACE(G35,1,2,""),FIND("[",REPLACE(G35,1,2,""))-1)&amp;"-"&amp;MID(REPLACE(G35,1,2,""),FIND("[",REPLACE(G35,1,2,""))+1,FIND("]",REPLACE(G35,1,2,""))-FIND("[",REPLACE(G35,1,2,""))-1)</f>
        <v/>
      </c>
      <c r="F35" s="347">
        <f>IFERROR(MID(G35,3,FIND("(",G35)-3)&amp;"-"&amp;SUBSTITUTE(MID(G35,FIND("[",G35)+1,FIND("]",G35)-FIND("[",G35)-1),"Strong Guard ",""),"")</f>
        <v/>
      </c>
      <c r="G35" s="346" t="inlineStr">
        <is>
          <t>ID11R22.5-16PR(148/145L)[ZM41]威狮无内</t>
        </is>
      </c>
      <c r="H35" s="344" t="n">
        <v>300</v>
      </c>
      <c r="I35" s="348" t="n"/>
      <c r="J35" s="349">
        <f>IFERROR(LEFT(F35,FIND("-",F35))&amp;MID(F35,FIND("PR",F35,FIND("-",F35))+3,LEN(F35)),F35)</f>
        <v/>
      </c>
      <c r="K35" s="352">
        <f>_xlfn.XLOOKUP(F35,投产规格!E:E,投产规格!D:D,"未投产")</f>
        <v/>
      </c>
      <c r="L35" s="352">
        <f>IFERROR(_xlfn.XLOOKUP(F35,硫化工艺!B:B,硫化工艺!C:C),"")</f>
        <v/>
      </c>
      <c r="M35" s="430">
        <f>IF(L35="","",L35/(L35+$L$1/60))</f>
        <v/>
      </c>
      <c r="N35" s="352">
        <f>C35&amp;"全钢"</f>
        <v/>
      </c>
      <c r="O35" s="352">
        <f>IFERROR(_xlfn.XLOOKUP(F35,轮胎重量!J:J,轮胎重量!G:G),"")</f>
        <v/>
      </c>
      <c r="P35" s="352">
        <f>IFERROR(_xlfn.XLOOKUP(G35,硫化工艺!I:I,硫化工艺!J:J),"")</f>
        <v/>
      </c>
      <c r="Q35" s="352">
        <f>IFERROR(ROUND(1440/L35*(I35)*M35,0),"")</f>
        <v/>
      </c>
      <c r="R35" s="352" t="n"/>
      <c r="S35" s="352" t="n"/>
      <c r="T35" s="352" t="n"/>
      <c r="U35" s="352" t="n"/>
      <c r="V35" s="352" t="n"/>
      <c r="W35" s="352" t="n"/>
      <c r="X35" s="352" t="n"/>
      <c r="Y35" s="352" t="n"/>
      <c r="Z35" s="352" t="n"/>
      <c r="AA35" s="352" t="n"/>
      <c r="AB35" s="352" t="n"/>
      <c r="AC35" s="352" t="n"/>
      <c r="AD35" s="352" t="n"/>
      <c r="AE35" s="352" t="n"/>
      <c r="AF35" s="352" t="n"/>
      <c r="AG35" s="352" t="n"/>
      <c r="AH35" s="352" t="n"/>
      <c r="AI35" s="352" t="n"/>
      <c r="AJ35" s="352" t="n"/>
      <c r="AK35" s="352" t="n"/>
      <c r="AL35" s="352" t="n"/>
      <c r="AM35" s="352" t="n"/>
      <c r="AN35" s="352" t="n"/>
      <c r="AO35" s="352" t="n"/>
      <c r="AP35" s="352" t="n"/>
      <c r="AQ35" s="352" t="n"/>
      <c r="AR35" s="352" t="n"/>
      <c r="AS35" s="352" t="n"/>
      <c r="AT35" s="352" t="n"/>
      <c r="AU35" s="352" t="n"/>
      <c r="AV35" s="352" t="n"/>
      <c r="AW35" s="352">
        <f>IF(SUM(R35:AV35)=0,"",SUM(R35:AV35))</f>
        <v/>
      </c>
      <c r="AX35" s="431">
        <f>IFERROR(AW35*O35/1000,"")</f>
        <v/>
      </c>
      <c r="AY35" s="431">
        <f>IFERROR(ROUND(AW35*P35/10000,3),"")</f>
        <v/>
      </c>
      <c r="AZ35" s="359" t="n"/>
      <c r="BA35" s="362" t="n"/>
      <c r="BB35" s="362" t="n"/>
      <c r="BC35" s="331" t="n"/>
      <c r="BD35" s="331" t="n"/>
      <c r="BE35" s="331">
        <f>AZ35*AW35</f>
        <v/>
      </c>
      <c r="BF35" s="331">
        <f>BA35*AW35</f>
        <v/>
      </c>
      <c r="BG35" s="331">
        <f>BB35*AW35</f>
        <v/>
      </c>
      <c r="BH35" s="331">
        <f>BC35*AW35</f>
        <v/>
      </c>
      <c r="BI35" s="331" t="n"/>
      <c r="BJ35" s="356">
        <f t="array" ref="BJ35:BM35">_xlfn.LET(_xlpm.data,$R35:$AV35,_xlpm.starts,{1,8,16,23},_xlpm.lengths,{7,7,8,9},_xlpm.arr,_xlfn.MAP(_xlpm.starts,_xlpm.lengths,_xlfn.LAMBDA(_xlpm.s,_xlpm.l,SUM(INDEX(_xlpm.data,,_xlfn.SEQUENCE(,_xlpm.l,_xlpm.s))))),ROUND(_xlpm.arr*$O35/1000,2))</f>
        <v/>
      </c>
      <c r="BK35" s="331" t="n">
        <v>0</v>
      </c>
      <c r="BL35" s="331" t="n">
        <v>0</v>
      </c>
      <c r="BM35" s="331" t="n">
        <v>0</v>
      </c>
      <c r="BN35" s="362">
        <f>SUM(BJ35:BM35)</f>
        <v/>
      </c>
      <c r="BO35" s="362" t="n">
        <v>0</v>
      </c>
      <c r="BP35" s="362" t="n">
        <v>0</v>
      </c>
      <c r="BQ35" s="362" t="n">
        <v>0</v>
      </c>
      <c r="BR35" s="362" t="n">
        <v>0</v>
      </c>
      <c r="BS35" s="115" t="n"/>
      <c r="BT35" s="362">
        <f t="array" ref="BT35:BW35">_xlfn.HSTACK(SUM(INDEX($R35:$AV35,1,1):INDEX($R35:$AV35,1,7)),SUM(INDEX($R35:$AV35,1,7):INDEX($R35:$AV35,1,13)),SUM(INDEX($R35:$AV35,1,16):INDEX($R35:$AV35,1,23)),SUM(INDEX($R35:$AV35,1,23):INDEX($R35:$AV35,1,31)))</f>
        <v/>
      </c>
      <c r="BU35" s="362" t="n">
        <v>0</v>
      </c>
      <c r="BV35" s="362" t="n">
        <v>0</v>
      </c>
      <c r="BW35" s="362" t="n">
        <v>0</v>
      </c>
      <c r="BY35" s="362">
        <f>SUM(R35:X35)</f>
        <v/>
      </c>
      <c r="BZ35" s="362">
        <f>SUM(Y35:AE35)</f>
        <v/>
      </c>
      <c r="CA35" s="362">
        <f>SUM(AF35:AM35)</f>
        <v/>
      </c>
      <c r="CB35" s="362">
        <f>SUM(AN35:AV35)</f>
        <v/>
      </c>
      <c r="CD35" s="432" t="inlineStr">
        <is>
          <t>ADA</t>
        </is>
      </c>
      <c r="CE35" s="362">
        <f>ROUND(BY35*$O35/1000,2)</f>
        <v/>
      </c>
      <c r="CF35" s="362">
        <f>ROUND(BZ35*$O35/1000,2)</f>
        <v/>
      </c>
      <c r="CG35" s="362">
        <f>ROUND(CA35*$O35/1000,2)</f>
        <v/>
      </c>
      <c r="CH35" s="362">
        <f>ROUND(CB35*$O35/1000,2)</f>
        <v/>
      </c>
      <c r="CI35" s="362">
        <f>SUM(CE35:CH35)</f>
        <v/>
      </c>
      <c r="CJ35" s="390" t="n"/>
      <c r="CK35" s="362">
        <f>IFERROR(ROUND(BY35*$P35,2),"")</f>
        <v/>
      </c>
      <c r="CL35" s="362">
        <f>IFERROR(ROUND(BZ35*$P35,2),"")</f>
        <v/>
      </c>
      <c r="CM35" s="362">
        <f>IFERROR(ROUND(CA35*$P35,2),"")</f>
        <v/>
      </c>
      <c r="CN35" s="362">
        <f>IFERROR(ROUND(CB35*$P35,2),"")</f>
        <v/>
      </c>
      <c r="CO35" s="362">
        <f>SUM(CK35:CN35)</f>
        <v/>
      </c>
    </row>
    <row r="36" ht="15.6" customFormat="1" customHeight="1" s="362">
      <c r="A36" s="331" t="n"/>
      <c r="B36" s="344">
        <f>_xlfn.XLOOKUP(G36,销售需求表!A:A,销售需求表!C:C)</f>
        <v/>
      </c>
      <c r="C36" s="345">
        <f>IFERROR(MID(F36,FIND("R",F36)+1,4),"")</f>
        <v/>
      </c>
      <c r="D36" s="344">
        <f>B36&amp;C36&amp;"寸"</f>
        <v/>
      </c>
      <c r="E36" s="346">
        <f>LEFT(REPLACE(G36,1,2,""),FIND("[",REPLACE(G36,1,2,""))-1)&amp;"-"&amp;MID(REPLACE(G36,1,2,""),FIND("[",REPLACE(G36,1,2,""))+1,FIND("]",REPLACE(G36,1,2,""))-FIND("[",REPLACE(G36,1,2,""))-1)</f>
        <v/>
      </c>
      <c r="F36" s="347">
        <f>IFERROR(MID(G36,3,FIND("(",G36)-3)&amp;"-"&amp;SUBSTITUTE(MID(G36,FIND("[",G36)+1,FIND("]",G36)-FIND("[",G36)-1),"Strong Guard ",""),"")</f>
        <v/>
      </c>
      <c r="G36" s="346" t="inlineStr">
        <is>
          <t>ID11R22.5-16PR(148/145M)[I-19A]IRONMAN无内 SMARTWAY</t>
        </is>
      </c>
      <c r="H36" s="344" t="n">
        <v>2500</v>
      </c>
      <c r="I36" s="348" t="n"/>
      <c r="J36" s="349">
        <f>IFERROR(LEFT(F36,FIND("-",F36))&amp;MID(F36,FIND("PR",F36,FIND("-",F36))+3,LEN(F36)),F36)</f>
        <v/>
      </c>
      <c r="K36" s="352">
        <f>_xlfn.XLOOKUP(F36,投产规格!E:E,投产规格!D:D,"未投产")</f>
        <v/>
      </c>
      <c r="L36" s="352">
        <f>IFERROR(_xlfn.XLOOKUP(F36,硫化工艺!B:B,硫化工艺!C:C),"")</f>
        <v/>
      </c>
      <c r="M36" s="430">
        <f>IF(L36="","",L36/(L36+$L$1/60))</f>
        <v/>
      </c>
      <c r="N36" s="352">
        <f>C36&amp;"全钢"</f>
        <v/>
      </c>
      <c r="O36" s="352">
        <f>IFERROR(_xlfn.XLOOKUP(F36,轮胎重量!J:J,轮胎重量!G:G),"")</f>
        <v/>
      </c>
      <c r="P36" s="352">
        <f>IFERROR(_xlfn.XLOOKUP(G36,硫化工艺!I:I,硫化工艺!J:J),"")</f>
        <v/>
      </c>
      <c r="Q36" s="352">
        <f>IFERROR(ROUND(1440/L36*(I36)*M36,0),"")</f>
        <v/>
      </c>
      <c r="R36" s="352" t="n"/>
      <c r="S36" s="352" t="n"/>
      <c r="T36" s="352" t="n"/>
      <c r="U36" s="352" t="n"/>
      <c r="V36" s="352" t="n"/>
      <c r="W36" s="352" t="n"/>
      <c r="X36" s="352" t="n"/>
      <c r="Y36" s="352" t="n"/>
      <c r="Z36" s="352" t="n"/>
      <c r="AA36" s="352" t="n"/>
      <c r="AB36" s="352" t="n"/>
      <c r="AC36" s="352" t="n"/>
      <c r="AD36" s="352" t="n"/>
      <c r="AE36" s="352" t="n"/>
      <c r="AF36" s="352" t="n"/>
      <c r="AG36" s="352" t="n">
        <v>60</v>
      </c>
      <c r="AH36" s="352" t="n">
        <v>60</v>
      </c>
      <c r="AI36" s="352" t="n">
        <v>60</v>
      </c>
      <c r="AJ36" s="352" t="n">
        <v>60</v>
      </c>
      <c r="AK36" s="352" t="n">
        <v>60</v>
      </c>
      <c r="AL36" s="352" t="n">
        <v>60</v>
      </c>
      <c r="AM36" s="352" t="n">
        <v>60</v>
      </c>
      <c r="AN36" s="352" t="n">
        <v>60</v>
      </c>
      <c r="AO36" s="352" t="n">
        <v>120</v>
      </c>
      <c r="AP36" s="352" t="n">
        <v>120</v>
      </c>
      <c r="AQ36" s="352" t="n">
        <v>120</v>
      </c>
      <c r="AR36" s="352" t="n">
        <v>120</v>
      </c>
      <c r="AS36" s="352" t="n">
        <v>120</v>
      </c>
      <c r="AT36" s="352" t="n">
        <v>120</v>
      </c>
      <c r="AU36" s="352" t="n">
        <v>120</v>
      </c>
      <c r="AV36" s="352" t="n">
        <v>120</v>
      </c>
      <c r="AW36" s="352">
        <f>IF(SUM(R36:AV36)=0,"",SUM(R36:AV36))</f>
        <v/>
      </c>
      <c r="AX36" s="431">
        <f>IFERROR(AW36*O36/1000,"")</f>
        <v/>
      </c>
      <c r="AY36" s="431">
        <f>IFERROR(ROUND(AW36*P36/10000,3),"")</f>
        <v/>
      </c>
      <c r="AZ36" s="359" t="n"/>
      <c r="BC36" s="331" t="n"/>
      <c r="BD36" s="331" t="n"/>
      <c r="BE36" s="331">
        <f>AZ36*AW36</f>
        <v/>
      </c>
      <c r="BF36" s="331">
        <f>BA36*AW36</f>
        <v/>
      </c>
      <c r="BG36" s="331">
        <f>BB36*AW36</f>
        <v/>
      </c>
      <c r="BH36" s="331">
        <f>BC36*AW36</f>
        <v/>
      </c>
      <c r="BI36" s="331" t="n"/>
      <c r="BJ36" s="356">
        <f t="array" ref="BJ36:BM36">_xlfn.LET(_xlpm.data,$R36:$AV36,_xlpm.starts,{1,8,16,23},_xlpm.lengths,{7,7,8,9},_xlpm.arr,_xlfn.MAP(_xlpm.starts,_xlpm.lengths,_xlfn.LAMBDA(_xlpm.s,_xlpm.l,SUM(INDEX(_xlpm.data,,_xlfn.SEQUENCE(,_xlpm.l,_xlpm.s))))),ROUND(_xlpm.arr*$O36/1000,2))</f>
        <v/>
      </c>
      <c r="BK36" s="331" t="n">
        <v>0</v>
      </c>
      <c r="BL36" s="331" t="n">
        <v>25.17</v>
      </c>
      <c r="BM36" s="331" t="n">
        <v>53.49</v>
      </c>
      <c r="BN36" s="362">
        <f>SUM(BJ36:BM36)</f>
        <v/>
      </c>
      <c r="BO36" s="362" t="n">
        <v>0</v>
      </c>
      <c r="BP36" s="362" t="n">
        <v>0</v>
      </c>
      <c r="BQ36" s="362" t="n">
        <v>0</v>
      </c>
      <c r="BR36" s="362" t="n">
        <v>0</v>
      </c>
      <c r="BS36" s="115" t="n"/>
      <c r="BT36" s="362">
        <f t="array" ref="BT36:BW36">_xlfn.HSTACK(SUM(INDEX($R36:$AV36,1,1):INDEX($R36:$AV36,1,7)),SUM(INDEX($R36:$AV36,1,7):INDEX($R36:$AV36,1,13)),SUM(INDEX($R36:$AV36,1,16):INDEX($R36:$AV36,1,23)),SUM(INDEX($R36:$AV36,1,23):INDEX($R36:$AV36,1,31)))</f>
        <v/>
      </c>
      <c r="BU36" s="362" t="n">
        <v>0</v>
      </c>
      <c r="BV36" s="362" t="n">
        <v>480</v>
      </c>
      <c r="BW36" s="362" t="n">
        <v>1020</v>
      </c>
      <c r="BY36" s="362">
        <f>SUM(R36:X36)</f>
        <v/>
      </c>
      <c r="BZ36" s="362">
        <f>SUM(Y36:AE36)</f>
        <v/>
      </c>
      <c r="CA36" s="362">
        <f>SUM(AF36:AM36)</f>
        <v/>
      </c>
      <c r="CB36" s="362">
        <f>SUM(AN36:AV36)</f>
        <v/>
      </c>
      <c r="CD36" s="432" t="inlineStr">
        <is>
          <t>ADA</t>
        </is>
      </c>
      <c r="CE36" s="362">
        <f>ROUND(BY36*$O36/1000,2)</f>
        <v/>
      </c>
      <c r="CF36" s="362">
        <f>ROUND(BZ36*$O36/1000,2)</f>
        <v/>
      </c>
      <c r="CG36" s="362">
        <f>ROUND(CA36*$O36/1000,2)</f>
        <v/>
      </c>
      <c r="CH36" s="362">
        <f>ROUND(CB36*$O36/1000,2)</f>
        <v/>
      </c>
      <c r="CI36" s="362">
        <f>SUM(CE36:CH36)</f>
        <v/>
      </c>
      <c r="CJ36" s="390" t="n"/>
      <c r="CK36" s="362">
        <f>IFERROR(ROUND(BY36*$P36,2),"")</f>
        <v/>
      </c>
      <c r="CL36" s="362">
        <f>IFERROR(ROUND(BZ36*$P36,2),"")</f>
        <v/>
      </c>
      <c r="CM36" s="362">
        <f>IFERROR(ROUND(CA36*$P36,2),"")</f>
        <v/>
      </c>
      <c r="CN36" s="362">
        <f>IFERROR(ROUND(CB36*$P36,2),"")</f>
        <v/>
      </c>
      <c r="CO36" s="362">
        <f>SUM(CK36:CN36)</f>
        <v/>
      </c>
    </row>
    <row r="37" hidden="1" ht="15.6" customFormat="1" customHeight="1" s="362">
      <c r="A37" s="331" t="n"/>
      <c r="B37" s="344">
        <f>_xlfn.XLOOKUP(G37,销售需求表!A:A,销售需求表!C:C)</f>
        <v/>
      </c>
      <c r="C37" s="345">
        <f>IFERROR(MID(F37,FIND("R",F37)+1,4),"")</f>
        <v/>
      </c>
      <c r="D37" s="344">
        <f>B37&amp;C37&amp;"寸"</f>
        <v/>
      </c>
      <c r="E37" s="346">
        <f>LEFT(REPLACE(G37,1,2,""),FIND("[",REPLACE(G37,1,2,""))-1)&amp;"-"&amp;MID(REPLACE(G37,1,2,""),FIND("[",REPLACE(G37,1,2,""))+1,FIND("]",REPLACE(G37,1,2,""))-FIND("[",REPLACE(G37,1,2,""))-1)</f>
        <v/>
      </c>
      <c r="F37" s="347">
        <f>IFERROR(MID(G37,3,FIND("(",G37)-3)&amp;"-"&amp;SUBSTITUTE(MID(G37,FIND("[",G37)+1,FIND("]",G37)-FIND("[",G37)-1),"Strong Guard ",""),"")</f>
        <v/>
      </c>
      <c r="G37" s="346" t="inlineStr">
        <is>
          <t>ID11R22.5-16PR(148/145M)[I-61S]IRONMAN无内 SMARTWAY</t>
        </is>
      </c>
      <c r="H37" s="344" t="n">
        <v>150</v>
      </c>
      <c r="I37" s="348" t="n"/>
      <c r="J37" s="349">
        <f>IFERROR(LEFT(F37,FIND("-",F37))&amp;MID(F37,FIND("PR",F37,FIND("-",F37))+3,LEN(F37)),F37)</f>
        <v/>
      </c>
      <c r="K37" s="352">
        <f>_xlfn.XLOOKUP(F37,投产规格!E:E,投产规格!D:D,"未投产")</f>
        <v/>
      </c>
      <c r="L37" s="352">
        <f>IFERROR(_xlfn.XLOOKUP(F37,硫化工艺!B:B,硫化工艺!C:C),"")</f>
        <v/>
      </c>
      <c r="M37" s="430">
        <f>IF(L37="","",L37/(L37+$L$1/60))</f>
        <v/>
      </c>
      <c r="N37" s="352">
        <f>C37&amp;"全钢"</f>
        <v/>
      </c>
      <c r="O37" s="352">
        <f>IFERROR(_xlfn.XLOOKUP(F37,轮胎重量!J:J,轮胎重量!G:G),"")</f>
        <v/>
      </c>
      <c r="P37" s="352">
        <f>IFERROR(_xlfn.XLOOKUP(G37,硫化工艺!I:I,硫化工艺!J:J),"")</f>
        <v/>
      </c>
      <c r="Q37" s="352">
        <f>IFERROR(ROUND(1440/L37*(I37)*M37,0),"")</f>
        <v/>
      </c>
      <c r="R37" s="352" t="n"/>
      <c r="S37" s="352" t="n"/>
      <c r="T37" s="352" t="n"/>
      <c r="U37" s="352" t="n"/>
      <c r="V37" s="352" t="n"/>
      <c r="W37" s="352" t="n"/>
      <c r="X37" s="352" t="n"/>
      <c r="Y37" s="352" t="n"/>
      <c r="Z37" s="352" t="n"/>
      <c r="AA37" s="352" t="n"/>
      <c r="AB37" s="352" t="n"/>
      <c r="AC37" s="352" t="n"/>
      <c r="AD37" s="352" t="n"/>
      <c r="AE37" s="352" t="n"/>
      <c r="AF37" s="352" t="n"/>
      <c r="AG37" s="352" t="n"/>
      <c r="AH37" s="352" t="n"/>
      <c r="AI37" s="352" t="n"/>
      <c r="AJ37" s="352" t="n"/>
      <c r="AK37" s="352" t="n"/>
      <c r="AL37" s="352" t="n"/>
      <c r="AM37" s="352" t="n"/>
      <c r="AN37" s="352" t="n"/>
      <c r="AO37" s="352" t="n"/>
      <c r="AP37" s="352" t="n"/>
      <c r="AQ37" s="352" t="n"/>
      <c r="AR37" s="352" t="n"/>
      <c r="AS37" s="352" t="n"/>
      <c r="AT37" s="352" t="n"/>
      <c r="AU37" s="352" t="n"/>
      <c r="AV37" s="352" t="n"/>
      <c r="AW37" s="352">
        <f>IF(SUM(R37:AV37)=0,"",SUM(R37:AV37))</f>
        <v/>
      </c>
      <c r="AX37" s="431">
        <f>IFERROR(AW37*O37/1000,"")</f>
        <v/>
      </c>
      <c r="AY37" s="431">
        <f>IFERROR(ROUND(AW37*P37/10000,3),"")</f>
        <v/>
      </c>
      <c r="AZ37" s="359" t="n"/>
      <c r="BC37" s="331" t="n"/>
      <c r="BD37" s="331" t="n"/>
      <c r="BE37" s="331">
        <f>AZ37*AW37</f>
        <v/>
      </c>
      <c r="BF37" s="331">
        <f>BA37*AW37</f>
        <v/>
      </c>
      <c r="BG37" s="331">
        <f>BB37*AW37</f>
        <v/>
      </c>
      <c r="BH37" s="331">
        <f>BC37*AW37</f>
        <v/>
      </c>
      <c r="BI37" s="331" t="n"/>
      <c r="BJ37" s="356">
        <f t="array" ref="BJ37:BM37">_xlfn.LET(_xlpm.data,$R37:$AV37,_xlpm.starts,{1,8,16,23},_xlpm.lengths,{7,7,8,9},_xlpm.arr,_xlfn.MAP(_xlpm.starts,_xlpm.lengths,_xlfn.LAMBDA(_xlpm.s,_xlpm.l,SUM(INDEX(_xlpm.data,,_xlfn.SEQUENCE(,_xlpm.l,_xlpm.s))))),ROUND(_xlpm.arr*$O37/1000,2))</f>
        <v/>
      </c>
      <c r="BK37" s="331" t="n">
        <v>0</v>
      </c>
      <c r="BL37" s="331" t="n">
        <v>0</v>
      </c>
      <c r="BM37" s="331" t="n">
        <v>0</v>
      </c>
      <c r="BN37" s="362">
        <f>SUM(BJ37:BM37)</f>
        <v/>
      </c>
      <c r="BO37" s="362" t="n">
        <v>0</v>
      </c>
      <c r="BP37" s="362" t="n">
        <v>0</v>
      </c>
      <c r="BQ37" s="362" t="n">
        <v>0</v>
      </c>
      <c r="BR37" s="362" t="n">
        <v>0</v>
      </c>
      <c r="BS37" s="115" t="n"/>
      <c r="BT37" s="362">
        <f t="array" ref="BT37:BW37">_xlfn.HSTACK(SUM(INDEX($R37:$AV37,1,1):INDEX($R37:$AV37,1,7)),SUM(INDEX($R37:$AV37,1,7):INDEX($R37:$AV37,1,13)),SUM(INDEX($R37:$AV37,1,16):INDEX($R37:$AV37,1,23)),SUM(INDEX($R37:$AV37,1,23):INDEX($R37:$AV37,1,31)))</f>
        <v/>
      </c>
      <c r="BU37" s="362" t="n">
        <v>0</v>
      </c>
      <c r="BV37" s="362" t="n">
        <v>0</v>
      </c>
      <c r="BW37" s="362" t="n">
        <v>0</v>
      </c>
      <c r="BY37" s="362">
        <f>SUM(R37:X37)</f>
        <v/>
      </c>
      <c r="BZ37" s="362">
        <f>SUM(Y37:AE37)</f>
        <v/>
      </c>
      <c r="CA37" s="362">
        <f>SUM(AF37:AM37)</f>
        <v/>
      </c>
      <c r="CB37" s="362">
        <f>SUM(AN37:AV37)</f>
        <v/>
      </c>
      <c r="CD37" s="432" t="inlineStr">
        <is>
          <t>ADA</t>
        </is>
      </c>
      <c r="CE37" s="362">
        <f>ROUND(BY37*$O37/1000,2)</f>
        <v/>
      </c>
      <c r="CF37" s="362">
        <f>ROUND(BZ37*$O37/1000,2)</f>
        <v/>
      </c>
      <c r="CG37" s="362">
        <f>ROUND(CA37*$O37/1000,2)</f>
        <v/>
      </c>
      <c r="CH37" s="362">
        <f>ROUND(CB37*$O37/1000,2)</f>
        <v/>
      </c>
      <c r="CI37" s="362">
        <f>SUM(CE37:CH37)</f>
        <v/>
      </c>
      <c r="CJ37" s="390" t="n"/>
      <c r="CK37" s="362">
        <f>IFERROR(ROUND(BY37*$P37,2),"")</f>
        <v/>
      </c>
      <c r="CL37" s="362">
        <f>IFERROR(ROUND(BZ37*$P37,2),"")</f>
        <v/>
      </c>
      <c r="CM37" s="362">
        <f>IFERROR(ROUND(CA37*$P37,2),"")</f>
        <v/>
      </c>
      <c r="CN37" s="362">
        <f>IFERROR(ROUND(CB37*$P37,2),"")</f>
        <v/>
      </c>
      <c r="CO37" s="362">
        <f>SUM(CK37:CN37)</f>
        <v/>
      </c>
    </row>
    <row r="38" hidden="1" ht="15.6" customFormat="1" customHeight="1" s="362">
      <c r="A38" s="331" t="n"/>
      <c r="B38" s="344">
        <f>_xlfn.XLOOKUP(G38,销售需求表!A:A,销售需求表!C:C)</f>
        <v/>
      </c>
      <c r="C38" s="345">
        <f>IFERROR(MID(F38,FIND("R",F38)+1,4),"")</f>
        <v/>
      </c>
      <c r="D38" s="344">
        <f>B38&amp;C38&amp;"寸"</f>
        <v/>
      </c>
      <c r="E38" s="346">
        <f>LEFT(REPLACE(G38,1,2,""),FIND("[",REPLACE(G38,1,2,""))-1)&amp;"-"&amp;MID(REPLACE(G38,1,2,""),FIND("[",REPLACE(G38,1,2,""))+1,FIND("]",REPLACE(G38,1,2,""))-FIND("[",REPLACE(G38,1,2,""))-1)</f>
        <v/>
      </c>
      <c r="F38" s="347">
        <f>IFERROR(MID(G38,3,FIND("(",G38)-3)&amp;"-"&amp;SUBSTITUTE(MID(G38,FIND("[",G38)+1,FIND("]",G38)-FIND("[",G38)-1),"Strong Guard ",""),"")</f>
        <v/>
      </c>
      <c r="G38" s="346" t="inlineStr">
        <is>
          <t>ID11R22.5-16PR(148/145M)[M-TRAC MST]MASTERTRACK无内</t>
        </is>
      </c>
      <c r="H38" s="344" t="n">
        <v>200</v>
      </c>
      <c r="I38" s="348" t="n"/>
      <c r="J38" s="349">
        <f>IFERROR(LEFT(F38,FIND("-",F38))&amp;MID(F38,FIND("PR",F38,FIND("-",F38))+3,LEN(F38)),F38)</f>
        <v/>
      </c>
      <c r="K38" s="352">
        <f>_xlfn.XLOOKUP(F38,投产规格!E:E,投产规格!D:D,"未投产")</f>
        <v/>
      </c>
      <c r="L38" s="352">
        <f>IFERROR(_xlfn.XLOOKUP(F38,硫化工艺!B:B,硫化工艺!C:C),"")</f>
        <v/>
      </c>
      <c r="M38" s="430">
        <f>IF(L38="","",L38/(L38+$L$1/60))</f>
        <v/>
      </c>
      <c r="N38" s="352">
        <f>C38&amp;"全钢"</f>
        <v/>
      </c>
      <c r="O38" s="352">
        <f>IFERROR(_xlfn.XLOOKUP(F38,轮胎重量!J:J,轮胎重量!G:G),"")</f>
        <v/>
      </c>
      <c r="P38" s="358">
        <f>O38*13.9</f>
        <v/>
      </c>
      <c r="Q38" s="352">
        <f>IFERROR(ROUND(1440/L38*(I38)*M38,0),"")</f>
        <v/>
      </c>
      <c r="R38" s="352" t="n"/>
      <c r="S38" s="352" t="n"/>
      <c r="T38" s="352" t="n"/>
      <c r="U38" s="352" t="n"/>
      <c r="V38" s="352" t="n"/>
      <c r="W38" s="352" t="n"/>
      <c r="X38" s="352" t="n"/>
      <c r="Y38" s="352" t="n"/>
      <c r="Z38" s="352" t="n"/>
      <c r="AA38" s="352" t="n"/>
      <c r="AB38" s="352" t="n"/>
      <c r="AC38" s="352" t="n"/>
      <c r="AD38" s="352" t="n"/>
      <c r="AE38" s="352" t="n"/>
      <c r="AF38" s="352" t="n"/>
      <c r="AG38" s="352" t="n"/>
      <c r="AH38" s="352" t="n"/>
      <c r="AI38" s="352" t="n"/>
      <c r="AJ38" s="352" t="n"/>
      <c r="AK38" s="352" t="n"/>
      <c r="AL38" s="352" t="n"/>
      <c r="AM38" s="352" t="n"/>
      <c r="AN38" s="352" t="n"/>
      <c r="AO38" s="352" t="n"/>
      <c r="AP38" s="352" t="n"/>
      <c r="AQ38" s="352" t="n"/>
      <c r="AR38" s="352" t="n"/>
      <c r="AS38" s="352" t="n"/>
      <c r="AT38" s="352" t="n"/>
      <c r="AU38" s="352" t="n"/>
      <c r="AV38" s="352" t="n"/>
      <c r="AW38" s="352">
        <f>IF(SUM(R38:AV38)=0,"",SUM(R38:AV38))</f>
        <v/>
      </c>
      <c r="AX38" s="431">
        <f>IFERROR(AW38*O38/1000,"")</f>
        <v/>
      </c>
      <c r="AY38" s="431">
        <f>IFERROR(ROUND(AW38*P38/10000,3),"")</f>
        <v/>
      </c>
      <c r="AZ38" s="359" t="n"/>
      <c r="BA38" s="362" t="n"/>
      <c r="BB38" s="362" t="n"/>
      <c r="BC38" s="331" t="n"/>
      <c r="BD38" s="331" t="n"/>
      <c r="BE38" s="331">
        <f>AZ38*AW38</f>
        <v/>
      </c>
      <c r="BF38" s="331">
        <f>BA38*AW38</f>
        <v/>
      </c>
      <c r="BG38" s="331">
        <f>BB38*AW38</f>
        <v/>
      </c>
      <c r="BH38" s="331">
        <f>BC38*AW38</f>
        <v/>
      </c>
      <c r="BI38" s="331" t="n"/>
      <c r="BJ38" s="356">
        <f t="array" ref="BJ38:BM38">_xlfn.LET(_xlpm.data,$R38:$AV38,_xlpm.starts,{1,8,16,23},_xlpm.lengths,{7,7,8,9},_xlpm.arr,_xlfn.MAP(_xlpm.starts,_xlpm.lengths,_xlfn.LAMBDA(_xlpm.s,_xlpm.l,SUM(INDEX(_xlpm.data,,_xlfn.SEQUENCE(,_xlpm.l,_xlpm.s))))),ROUND(_xlpm.arr*$O38/1000,2))</f>
        <v/>
      </c>
      <c r="BK38" s="331" t="n">
        <v>0</v>
      </c>
      <c r="BL38" s="331" t="n">
        <v>0</v>
      </c>
      <c r="BM38" s="331" t="n">
        <v>0</v>
      </c>
      <c r="BN38" s="362">
        <f>SUM(BJ38:BM38)</f>
        <v/>
      </c>
      <c r="BO38" s="362" t="n">
        <v>0</v>
      </c>
      <c r="BP38" s="362" t="n">
        <v>0</v>
      </c>
      <c r="BQ38" s="362" t="n">
        <v>0</v>
      </c>
      <c r="BR38" s="362" t="n">
        <v>0</v>
      </c>
      <c r="BS38" s="115" t="n"/>
      <c r="BT38" s="362">
        <f t="array" ref="BT38:BW38">_xlfn.HSTACK(SUM(INDEX($R38:$AV38,1,1):INDEX($R38:$AV38,1,7)),SUM(INDEX($R38:$AV38,1,7):INDEX($R38:$AV38,1,13)),SUM(INDEX($R38:$AV38,1,16):INDEX($R38:$AV38,1,23)),SUM(INDEX($R38:$AV38,1,23):INDEX($R38:$AV38,1,31)))</f>
        <v/>
      </c>
      <c r="BU38" s="362" t="n">
        <v>0</v>
      </c>
      <c r="BV38" s="362" t="n">
        <v>0</v>
      </c>
      <c r="BW38" s="362" t="n">
        <v>0</v>
      </c>
      <c r="BY38" s="362">
        <f>SUM(R38:X38)</f>
        <v/>
      </c>
      <c r="BZ38" s="362">
        <f>SUM(Y38:AE38)</f>
        <v/>
      </c>
      <c r="CA38" s="362">
        <f>SUM(AF38:AM38)</f>
        <v/>
      </c>
      <c r="CB38" s="362">
        <f>SUM(AN38:AV38)</f>
        <v/>
      </c>
      <c r="CD38" s="432" t="inlineStr">
        <is>
          <t>ADA</t>
        </is>
      </c>
      <c r="CE38" s="362">
        <f>ROUND(BY38*$O38/1000,2)</f>
        <v/>
      </c>
      <c r="CF38" s="362">
        <f>ROUND(BZ38*$O38/1000,2)</f>
        <v/>
      </c>
      <c r="CG38" s="362">
        <f>ROUND(CA38*$O38/1000,2)</f>
        <v/>
      </c>
      <c r="CH38" s="362">
        <f>ROUND(CB38*$O38/1000,2)</f>
        <v/>
      </c>
      <c r="CI38" s="362">
        <f>SUM(CE38:CH38)</f>
        <v/>
      </c>
      <c r="CJ38" s="390" t="n"/>
      <c r="CK38" s="362">
        <f>IFERROR(ROUND(BY38*$P38,2),"")</f>
        <v/>
      </c>
      <c r="CL38" s="362">
        <f>IFERROR(ROUND(BZ38*$P38,2),"")</f>
        <v/>
      </c>
      <c r="CM38" s="362">
        <f>IFERROR(ROUND(CA38*$P38,2),"")</f>
        <v/>
      </c>
      <c r="CN38" s="362">
        <f>IFERROR(ROUND(CB38*$P38,2),"")</f>
        <v/>
      </c>
      <c r="CO38" s="362">
        <f>SUM(CK38:CN38)</f>
        <v/>
      </c>
    </row>
    <row r="39" hidden="1" ht="15.6" customFormat="1" customHeight="1" s="362">
      <c r="A39" s="331" t="n"/>
      <c r="B39" s="344">
        <f>_xlfn.XLOOKUP(G39,销售需求表!A:A,销售需求表!C:C)</f>
        <v/>
      </c>
      <c r="C39" s="345">
        <f>IFERROR(MID(F39,FIND("R",F39)+1,4),"")</f>
        <v/>
      </c>
      <c r="D39" s="344">
        <f>B39&amp;C39&amp;"寸"</f>
        <v/>
      </c>
      <c r="E39" s="346">
        <f>LEFT(REPLACE(G39,1,2,""),FIND("[",REPLACE(G39,1,2,""))-1)&amp;"-"&amp;MID(REPLACE(G39,1,2,""),FIND("[",REPLACE(G39,1,2,""))+1,FIND("]",REPLACE(G39,1,2,""))-FIND("[",REPLACE(G39,1,2,""))-1)</f>
        <v/>
      </c>
      <c r="F39" s="347">
        <f>IFERROR(MID(G39,3,FIND("(",G39)-3)&amp;"-"&amp;SUBSTITUTE(MID(G39,FIND("[",G39)+1,FIND("]",G39)-FIND("[",G39)-1),"Strong Guard ",""),"")</f>
        <v/>
      </c>
      <c r="G39" s="346" t="inlineStr">
        <is>
          <t>ID11R22.5-18PR(149/146L)[AS858]雅度无内</t>
        </is>
      </c>
      <c r="H39" s="344" t="n">
        <v>780</v>
      </c>
      <c r="I39" s="348" t="n"/>
      <c r="J39" s="349">
        <f>IFERROR(LEFT(F39,FIND("-",F39))&amp;MID(F39,FIND("PR",F39,FIND("-",F39))+3,LEN(F39)),F39)</f>
        <v/>
      </c>
      <c r="K39" s="352">
        <f>_xlfn.XLOOKUP(F39,投产规格!E:E,投产规格!D:D,"未投产")</f>
        <v/>
      </c>
      <c r="L39" s="352">
        <f>IFERROR(_xlfn.XLOOKUP(F39,硫化工艺!B:B,硫化工艺!C:C),"")</f>
        <v/>
      </c>
      <c r="M39" s="430">
        <f>IF(L39="","",L39/(L39+$L$1/60))</f>
        <v/>
      </c>
      <c r="N39" s="352">
        <f>C39&amp;"全钢"</f>
        <v/>
      </c>
      <c r="O39" s="352">
        <f>IFERROR(_xlfn.XLOOKUP(F39,轮胎重量!J:J,轮胎重量!G:G),"")</f>
        <v/>
      </c>
      <c r="P39" s="352">
        <f>IFERROR(_xlfn.XLOOKUP(G39,硫化工艺!I:I,硫化工艺!J:J),"")</f>
        <v/>
      </c>
      <c r="Q39" s="352">
        <f>IFERROR(ROUND(1440/L39*(I39)*M39,0),"")</f>
        <v/>
      </c>
      <c r="R39" s="352" t="n"/>
      <c r="S39" s="352" t="n"/>
      <c r="T39" s="352" t="n"/>
      <c r="U39" s="352" t="n"/>
      <c r="V39" s="352" t="n"/>
      <c r="W39" s="352" t="n"/>
      <c r="X39" s="352" t="n"/>
      <c r="Y39" s="352" t="n"/>
      <c r="Z39" s="352" t="n"/>
      <c r="AA39" s="352" t="n"/>
      <c r="AB39" s="352" t="n"/>
      <c r="AC39" s="352" t="n"/>
      <c r="AD39" s="352" t="n"/>
      <c r="AE39" s="352" t="n"/>
      <c r="AF39" s="352" t="n"/>
      <c r="AG39" s="352" t="n"/>
      <c r="AH39" s="352" t="n"/>
      <c r="AI39" s="352" t="n"/>
      <c r="AJ39" s="352" t="n"/>
      <c r="AK39" s="352" t="n"/>
      <c r="AL39" s="352" t="n"/>
      <c r="AM39" s="352" t="n"/>
      <c r="AN39" s="352" t="n"/>
      <c r="AO39" s="352" t="n"/>
      <c r="AP39" s="352" t="n"/>
      <c r="AQ39" s="352" t="n"/>
      <c r="AR39" s="352" t="n"/>
      <c r="AS39" s="352" t="n"/>
      <c r="AT39" s="352" t="n"/>
      <c r="AU39" s="352" t="n"/>
      <c r="AV39" s="352" t="n"/>
      <c r="AW39" s="352">
        <f>IF(SUM(R39:AV39)=0,"",SUM(R39:AV39))</f>
        <v/>
      </c>
      <c r="AX39" s="431">
        <f>IFERROR(AW39*O39/1000,"")</f>
        <v/>
      </c>
      <c r="AY39" s="431">
        <f>IFERROR(ROUND(AW39*P39/10000,3),"")</f>
        <v/>
      </c>
      <c r="AZ39" s="354" t="n">
        <v>459.15</v>
      </c>
      <c r="BA39" s="355" t="n">
        <v>29.49</v>
      </c>
      <c r="BB39" s="355" t="n">
        <v>50.29</v>
      </c>
      <c r="BC39" s="355" t="n">
        <v>52.01</v>
      </c>
      <c r="BD39" s="331" t="n"/>
      <c r="BE39" s="331">
        <f>AZ39*AW39</f>
        <v/>
      </c>
      <c r="BF39" s="331">
        <f>BA39*AW39</f>
        <v/>
      </c>
      <c r="BG39" s="331">
        <f>BB39*AW39</f>
        <v/>
      </c>
      <c r="BH39" s="331">
        <f>BC39*AW39</f>
        <v/>
      </c>
      <c r="BI39" s="331" t="n"/>
      <c r="BJ39" s="356">
        <f t="array" ref="BJ39:BM39">_xlfn.LET(_xlpm.data,$R39:$AV39,_xlpm.starts,{1,8,16,23},_xlpm.lengths,{7,7,8,9},_xlpm.arr,_xlfn.MAP(_xlpm.starts,_xlpm.lengths,_xlfn.LAMBDA(_xlpm.s,_xlpm.l,SUM(INDEX(_xlpm.data,,_xlfn.SEQUENCE(,_xlpm.l,_xlpm.s))))),ROUND(_xlpm.arr*$O39/1000,2))</f>
        <v/>
      </c>
      <c r="BK39" s="331" t="n">
        <v>0</v>
      </c>
      <c r="BL39" s="331" t="n">
        <v>0</v>
      </c>
      <c r="BM39" s="331" t="n">
        <v>0</v>
      </c>
      <c r="BN39" s="362">
        <f>SUM(BJ39:BM39)</f>
        <v/>
      </c>
      <c r="BO39" s="362" t="n">
        <v>0</v>
      </c>
      <c r="BP39" s="362" t="n">
        <v>0</v>
      </c>
      <c r="BQ39" s="362" t="n">
        <v>0</v>
      </c>
      <c r="BR39" s="362" t="n">
        <v>0</v>
      </c>
      <c r="BS39" s="115" t="n"/>
      <c r="BT39" s="362">
        <f t="array" ref="BT39:BW39">_xlfn.HSTACK(SUM(INDEX($R39:$AV39,1,1):INDEX($R39:$AV39,1,7)),SUM(INDEX($R39:$AV39,1,7):INDEX($R39:$AV39,1,13)),SUM(INDEX($R39:$AV39,1,16):INDEX($R39:$AV39,1,23)),SUM(INDEX($R39:$AV39,1,23):INDEX($R39:$AV39,1,31)))</f>
        <v/>
      </c>
      <c r="BU39" s="362" t="n">
        <v>0</v>
      </c>
      <c r="BV39" s="362" t="n">
        <v>0</v>
      </c>
      <c r="BW39" s="362" t="n">
        <v>0</v>
      </c>
      <c r="BY39" s="362">
        <f>SUM(R39:X39)</f>
        <v/>
      </c>
      <c r="BZ39" s="362">
        <f>SUM(Y39:AE39)</f>
        <v/>
      </c>
      <c r="CA39" s="362">
        <f>SUM(AF39:AM39)</f>
        <v/>
      </c>
      <c r="CB39" s="362">
        <f>SUM(AN39:AV39)</f>
        <v/>
      </c>
      <c r="CD39" s="432" t="inlineStr">
        <is>
          <t>ADA</t>
        </is>
      </c>
      <c r="CE39" s="362">
        <f>ROUND(BY39*$O39/1000,2)</f>
        <v/>
      </c>
      <c r="CF39" s="362">
        <f>ROUND(BZ39*$O39/1000,2)</f>
        <v/>
      </c>
      <c r="CG39" s="362">
        <f>ROUND(CA39*$O39/1000,2)</f>
        <v/>
      </c>
      <c r="CH39" s="362">
        <f>ROUND(CB39*$O39/1000,2)</f>
        <v/>
      </c>
      <c r="CI39" s="362">
        <f>SUM(CE39:CH39)</f>
        <v/>
      </c>
      <c r="CJ39" s="390" t="n"/>
      <c r="CK39" s="362">
        <f>IFERROR(ROUND(BY39*$P39,2),"")</f>
        <v/>
      </c>
      <c r="CL39" s="362">
        <f>IFERROR(ROUND(BZ39*$P39,2),"")</f>
        <v/>
      </c>
      <c r="CM39" s="362">
        <f>IFERROR(ROUND(CA39*$P39,2),"")</f>
        <v/>
      </c>
      <c r="CN39" s="362">
        <f>IFERROR(ROUND(CB39*$P39,2),"")</f>
        <v/>
      </c>
      <c r="CO39" s="362">
        <f>SUM(CK39:CN39)</f>
        <v/>
      </c>
    </row>
    <row r="40" hidden="1" ht="15.6" customFormat="1" customHeight="1" s="362">
      <c r="A40" s="331" t="n"/>
      <c r="B40" s="344">
        <f>_xlfn.XLOOKUP(G40,销售需求表!A:A,销售需求表!C:C)</f>
        <v/>
      </c>
      <c r="C40" s="345">
        <f>IFERROR(MID(F40,FIND("R",F40)+1,4),"")</f>
        <v/>
      </c>
      <c r="D40" s="344">
        <f>B40&amp;C40&amp;"寸"</f>
        <v/>
      </c>
      <c r="E40" s="346">
        <f>LEFT(REPLACE(G40,1,2,""),FIND("[",REPLACE(G40,1,2,""))-1)&amp;"-"&amp;MID(REPLACE(G40,1,2,""),FIND("[",REPLACE(G40,1,2,""))+1,FIND("]",REPLACE(G40,1,2,""))-FIND("[",REPLACE(G40,1,2,""))-1)</f>
        <v/>
      </c>
      <c r="F40" s="347">
        <f>IFERROR(MID(G40,3,FIND("(",G40)-3)&amp;"-"&amp;SUBSTITUTE(MID(G40,FIND("[",G40)+1,FIND("]",G40)-FIND("[",G40)-1),"Strong Guard ",""),"")</f>
        <v/>
      </c>
      <c r="G40" s="346" t="inlineStr">
        <is>
          <t>ID11R22.5-18PR(149/146L)[AZ850]雅度无内</t>
        </is>
      </c>
      <c r="H40" s="344" t="n">
        <v>600</v>
      </c>
      <c r="I40" s="348" t="n"/>
      <c r="J40" s="349">
        <f>IFERROR(LEFT(F40,FIND("-",F40))&amp;MID(F40,FIND("PR",F40,FIND("-",F40))+3,LEN(F40)),F40)</f>
        <v/>
      </c>
      <c r="K40" s="352">
        <f>_xlfn.XLOOKUP(F40,投产规格!E:E,投产规格!D:D,"未投产")</f>
        <v/>
      </c>
      <c r="L40" s="352">
        <f>IFERROR(_xlfn.XLOOKUP(F40,硫化工艺!B:B,硫化工艺!C:C),"")</f>
        <v/>
      </c>
      <c r="M40" s="430">
        <f>IF(L40="","",L40/(L40+$L$1/60))</f>
        <v/>
      </c>
      <c r="N40" s="352">
        <f>C40&amp;"全钢"</f>
        <v/>
      </c>
      <c r="O40" s="352">
        <f>IFERROR(_xlfn.XLOOKUP(F40,轮胎重量!J:J,轮胎重量!G:G),"")</f>
        <v/>
      </c>
      <c r="P40" s="352">
        <f>IFERROR(_xlfn.XLOOKUP(G40,硫化工艺!I:I,硫化工艺!J:J),"")</f>
        <v/>
      </c>
      <c r="Q40" s="352">
        <f>IFERROR(ROUND(1440/L40*(I40)*M40,0),"")</f>
        <v/>
      </c>
      <c r="R40" s="352" t="n"/>
      <c r="S40" s="352" t="n"/>
      <c r="T40" s="352" t="n"/>
      <c r="U40" s="352" t="n"/>
      <c r="V40" s="352" t="n"/>
      <c r="W40" s="352" t="n"/>
      <c r="X40" s="352" t="n"/>
      <c r="Y40" s="352" t="n"/>
      <c r="Z40" s="352" t="n"/>
      <c r="AA40" s="352" t="n"/>
      <c r="AB40" s="352" t="n"/>
      <c r="AC40" s="352" t="n"/>
      <c r="AD40" s="352" t="n"/>
      <c r="AE40" s="352" t="n"/>
      <c r="AF40" s="352" t="n"/>
      <c r="AG40" s="352" t="n"/>
      <c r="AH40" s="352" t="n"/>
      <c r="AI40" s="352" t="n"/>
      <c r="AJ40" s="352" t="n"/>
      <c r="AK40" s="352" t="n"/>
      <c r="AL40" s="352" t="n"/>
      <c r="AM40" s="352" t="n"/>
      <c r="AN40" s="352" t="n"/>
      <c r="AO40" s="352" t="n"/>
      <c r="AP40" s="352" t="n"/>
      <c r="AQ40" s="352" t="n"/>
      <c r="AR40" s="352" t="n"/>
      <c r="AS40" s="352" t="n"/>
      <c r="AT40" s="352" t="n"/>
      <c r="AU40" s="352" t="n"/>
      <c r="AV40" s="352" t="n"/>
      <c r="AW40" s="352">
        <f>IF(SUM(R40:AV40)=0,"",SUM(R40:AV40))</f>
        <v/>
      </c>
      <c r="AX40" s="431">
        <f>IFERROR(AW40*O40/1000,"")</f>
        <v/>
      </c>
      <c r="AY40" s="431">
        <f>IFERROR(ROUND(AW40*P40/10000,3),"")</f>
        <v/>
      </c>
      <c r="AZ40" s="354" t="n">
        <v>459.15</v>
      </c>
      <c r="BA40" s="355" t="n">
        <v>29.49</v>
      </c>
      <c r="BB40" s="355" t="n">
        <v>50.29</v>
      </c>
      <c r="BC40" s="355" t="n">
        <v>52.01</v>
      </c>
      <c r="BD40" s="331" t="n"/>
      <c r="BE40" s="331">
        <f>AZ40*AW40</f>
        <v/>
      </c>
      <c r="BF40" s="331">
        <f>BA40*AW40</f>
        <v/>
      </c>
      <c r="BG40" s="331">
        <f>BB40*AW40</f>
        <v/>
      </c>
      <c r="BH40" s="331">
        <f>BC40*AW40</f>
        <v/>
      </c>
      <c r="BI40" s="331" t="n"/>
      <c r="BJ40" s="356">
        <f t="array" ref="BJ40:BM40">_xlfn.LET(_xlpm.data,$R40:$AV40,_xlpm.starts,{1,8,16,23},_xlpm.lengths,{7,7,8,9},_xlpm.arr,_xlfn.MAP(_xlpm.starts,_xlpm.lengths,_xlfn.LAMBDA(_xlpm.s,_xlpm.l,SUM(INDEX(_xlpm.data,,_xlfn.SEQUENCE(,_xlpm.l,_xlpm.s))))),ROUND(_xlpm.arr*$O40/1000,2))</f>
        <v/>
      </c>
      <c r="BK40" s="331" t="n">
        <v>0</v>
      </c>
      <c r="BL40" s="331" t="n">
        <v>0</v>
      </c>
      <c r="BM40" s="331" t="n">
        <v>0</v>
      </c>
      <c r="BN40" s="362">
        <f>SUM(BJ40:BM40)</f>
        <v/>
      </c>
      <c r="BO40" s="362" t="n">
        <v>0</v>
      </c>
      <c r="BP40" s="362" t="n">
        <v>0</v>
      </c>
      <c r="BQ40" s="362" t="n">
        <v>0</v>
      </c>
      <c r="BR40" s="362" t="n">
        <v>0</v>
      </c>
      <c r="BS40" s="115" t="n"/>
      <c r="BT40" s="362">
        <f t="array" ref="BT40:BW40">_xlfn.HSTACK(SUM(INDEX($R40:$AV40,1,1):INDEX($R40:$AV40,1,7)),SUM(INDEX($R40:$AV40,1,7):INDEX($R40:$AV40,1,13)),SUM(INDEX($R40:$AV40,1,16):INDEX($R40:$AV40,1,23)),SUM(INDEX($R40:$AV40,1,23):INDEX($R40:$AV40,1,31)))</f>
        <v/>
      </c>
      <c r="BU40" s="362" t="n">
        <v>0</v>
      </c>
      <c r="BV40" s="362" t="n">
        <v>0</v>
      </c>
      <c r="BW40" s="362" t="n">
        <v>0</v>
      </c>
      <c r="BY40" s="362">
        <f>SUM(R40:X40)</f>
        <v/>
      </c>
      <c r="BZ40" s="362">
        <f>SUM(Y40:AE40)</f>
        <v/>
      </c>
      <c r="CA40" s="362">
        <f>SUM(AF40:AM40)</f>
        <v/>
      </c>
      <c r="CB40" s="362">
        <f>SUM(AN40:AV40)</f>
        <v/>
      </c>
      <c r="CD40" s="432" t="inlineStr">
        <is>
          <t>ADA</t>
        </is>
      </c>
      <c r="CE40" s="362">
        <f>ROUND(BY40*$O40/1000,2)</f>
        <v/>
      </c>
      <c r="CF40" s="362">
        <f>ROUND(BZ40*$O40/1000,2)</f>
        <v/>
      </c>
      <c r="CG40" s="362">
        <f>ROUND(CA40*$O40/1000,2)</f>
        <v/>
      </c>
      <c r="CH40" s="362">
        <f>ROUND(CB40*$O40/1000,2)</f>
        <v/>
      </c>
      <c r="CI40" s="362">
        <f>SUM(CE40:CH40)</f>
        <v/>
      </c>
      <c r="CJ40" s="390" t="n"/>
      <c r="CK40" s="362">
        <f>IFERROR(ROUND(BY40*$P40,2),"")</f>
        <v/>
      </c>
      <c r="CL40" s="362">
        <f>IFERROR(ROUND(BZ40*$P40,2),"")</f>
        <v/>
      </c>
      <c r="CM40" s="362">
        <f>IFERROR(ROUND(CA40*$P40,2),"")</f>
        <v/>
      </c>
      <c r="CN40" s="362">
        <f>IFERROR(ROUND(CB40*$P40,2),"")</f>
        <v/>
      </c>
      <c r="CO40" s="362">
        <f>SUM(CK40:CN40)</f>
        <v/>
      </c>
    </row>
    <row r="41" hidden="1" ht="15.6" customFormat="1" customHeight="1" s="362">
      <c r="A41" s="433" t="n"/>
      <c r="B41" s="434">
        <f>_xlfn.XLOOKUP(G41,销售需求表!A:A,销售需求表!C:C)</f>
        <v/>
      </c>
      <c r="C41" s="435">
        <f>IFERROR(MID(F41,FIND("R",F41)+1,4),"")</f>
        <v/>
      </c>
      <c r="D41" s="434">
        <f>B41&amp;C41&amp;"寸"</f>
        <v/>
      </c>
      <c r="E41" s="436">
        <f>LEFT(REPLACE(G41,1,2,""),FIND("[",REPLACE(G41,1,2,""))-1)&amp;"-"&amp;MID(REPLACE(G41,1,2,""),FIND("[",REPLACE(G41,1,2,""))+1,FIND("]",REPLACE(G41,1,2,""))-FIND("[",REPLACE(G41,1,2,""))-1)</f>
        <v/>
      </c>
      <c r="F41" s="437">
        <f>IFERROR(MID(G41,3,FIND("(",G41)-3)&amp;"-"&amp;SUBSTITUTE(MID(G41,FIND("[",G41)+1,FIND("]",G41)-FIND("[",G41)-1),"Strong Guard ",""),"")</f>
        <v/>
      </c>
      <c r="G41" s="436" t="inlineStr">
        <is>
          <t>ID11R22.5-18PR(149/146L)[YTB-50]雅度无内</t>
        </is>
      </c>
      <c r="H41" s="434" t="n">
        <v>100</v>
      </c>
      <c r="I41" s="434" t="n"/>
      <c r="J41" s="435">
        <f>IFERROR(LEFT(F41,FIND("-",F41))&amp;MID(F41,FIND("PR",F41,FIND("-",F41))+3,LEN(F41)),F41)</f>
        <v/>
      </c>
      <c r="K41" s="434">
        <f>_xlfn.XLOOKUP(F41,投产规格!E:E,投产规格!D:D,"未投产")</f>
        <v/>
      </c>
      <c r="L41" s="434">
        <f>IFERROR(_xlfn.XLOOKUP(F41,硫化工艺!B:B,硫化工艺!C:C),"")</f>
        <v/>
      </c>
      <c r="M41" s="438">
        <f>IF(L41="","",L41/(L41+$L$1/60))</f>
        <v/>
      </c>
      <c r="N41" s="434">
        <f>C41&amp;"全钢"</f>
        <v/>
      </c>
      <c r="O41" s="434">
        <f>IFERROR(_xlfn.XLOOKUP(F41,轮胎重量!J:J,轮胎重量!G:G),"")</f>
        <v/>
      </c>
      <c r="P41" s="439">
        <f>O41*13.9</f>
        <v/>
      </c>
      <c r="Q41" s="434">
        <f>IFERROR(ROUND(1440/L41*(I41)*M41,0),"")</f>
        <v/>
      </c>
      <c r="R41" s="352" t="n"/>
      <c r="S41" s="352" t="n"/>
      <c r="T41" s="352" t="n"/>
      <c r="U41" s="352" t="n"/>
      <c r="V41" s="352" t="n"/>
      <c r="W41" s="352" t="n"/>
      <c r="X41" s="352" t="n"/>
      <c r="Y41" s="352" t="n"/>
      <c r="Z41" s="352" t="n"/>
      <c r="AA41" s="352" t="n"/>
      <c r="AB41" s="352" t="n"/>
      <c r="AC41" s="352" t="n"/>
      <c r="AD41" s="352" t="n"/>
      <c r="AE41" s="352" t="n"/>
      <c r="AF41" s="352" t="n"/>
      <c r="AG41" s="352" t="n"/>
      <c r="AH41" s="352" t="n"/>
      <c r="AI41" s="352" t="n"/>
      <c r="AJ41" s="352" t="n"/>
      <c r="AK41" s="352" t="n"/>
      <c r="AL41" s="352" t="n"/>
      <c r="AM41" s="352" t="n"/>
      <c r="AN41" s="352" t="n"/>
      <c r="AO41" s="352" t="n"/>
      <c r="AP41" s="352" t="n"/>
      <c r="AQ41" s="352" t="n"/>
      <c r="AR41" s="352" t="n"/>
      <c r="AS41" s="352" t="n"/>
      <c r="AT41" s="352" t="n"/>
      <c r="AU41" s="352" t="n"/>
      <c r="AV41" s="352" t="n"/>
      <c r="AW41" s="352">
        <f>IF(SUM(R41:AV41)=0,"",SUM(R41:AV41))</f>
        <v/>
      </c>
      <c r="AX41" s="431">
        <f>IFERROR(AW41*O41/1000,"")</f>
        <v/>
      </c>
      <c r="AY41" s="431">
        <f>IFERROR(ROUND(AW41*P41/10000,3),"")</f>
        <v/>
      </c>
      <c r="AZ41" s="354" t="n">
        <v>449.18</v>
      </c>
      <c r="BA41" s="355" t="n">
        <v>29.42</v>
      </c>
      <c r="BB41" s="355" t="n">
        <v>49.09</v>
      </c>
      <c r="BC41" s="355" t="n">
        <v>52.13</v>
      </c>
      <c r="BD41" s="331" t="n"/>
      <c r="BE41" s="331">
        <f>AZ41*AW41</f>
        <v/>
      </c>
      <c r="BF41" s="331">
        <f>BA41*AW41</f>
        <v/>
      </c>
      <c r="BG41" s="331">
        <f>BB41*AW41</f>
        <v/>
      </c>
      <c r="BH41" s="331">
        <f>BC41*AW41</f>
        <v/>
      </c>
      <c r="BI41" s="331" t="n"/>
      <c r="BJ41" s="356">
        <f t="array" ref="BJ41:BM41">_xlfn.LET(_xlpm.data,$R41:$AV41,_xlpm.starts,{1,8,16,23},_xlpm.lengths,{7,7,8,9},_xlpm.arr,_xlfn.MAP(_xlpm.starts,_xlpm.lengths,_xlfn.LAMBDA(_xlpm.s,_xlpm.l,SUM(INDEX(_xlpm.data,,_xlfn.SEQUENCE(,_xlpm.l,_xlpm.s))))),ROUND(_xlpm.arr*$O41/1000,2))</f>
        <v/>
      </c>
      <c r="BK41" s="331" t="n">
        <v>0</v>
      </c>
      <c r="BL41" s="331" t="n">
        <v>0</v>
      </c>
      <c r="BM41" s="331" t="n">
        <v>0</v>
      </c>
      <c r="BN41" s="362">
        <f>SUM(BJ41:BM41)</f>
        <v/>
      </c>
      <c r="BO41" s="362" t="n">
        <v>0</v>
      </c>
      <c r="BP41" s="362" t="n">
        <v>0</v>
      </c>
      <c r="BQ41" s="362" t="n">
        <v>0</v>
      </c>
      <c r="BR41" s="362" t="n">
        <v>0</v>
      </c>
      <c r="BS41" s="115" t="n"/>
      <c r="BT41" s="362">
        <f t="array" ref="BT41:BW41">_xlfn.HSTACK(SUM(INDEX($R41:$AV41,1,1):INDEX($R41:$AV41,1,7)),SUM(INDEX($R41:$AV41,1,7):INDEX($R41:$AV41,1,13)),SUM(INDEX($R41:$AV41,1,16):INDEX($R41:$AV41,1,23)),SUM(INDEX($R41:$AV41,1,23):INDEX($R41:$AV41,1,31)))</f>
        <v/>
      </c>
      <c r="BU41" s="362" t="n">
        <v>0</v>
      </c>
      <c r="BV41" s="362" t="n">
        <v>0</v>
      </c>
      <c r="BW41" s="362" t="n">
        <v>0</v>
      </c>
      <c r="BY41" s="362">
        <f>SUM(R41:X41)</f>
        <v/>
      </c>
      <c r="BZ41" s="362">
        <f>SUM(Y41:AE41)</f>
        <v/>
      </c>
      <c r="CA41" s="362">
        <f>SUM(AF41:AM41)</f>
        <v/>
      </c>
      <c r="CB41" s="362">
        <f>SUM(AN41:AV41)</f>
        <v/>
      </c>
      <c r="CD41" s="440" t="inlineStr">
        <is>
          <t>TIDAK ADA</t>
        </is>
      </c>
      <c r="CE41" s="362">
        <f>ROUND(BY41*$O41/1000,2)</f>
        <v/>
      </c>
      <c r="CF41" s="362">
        <f>ROUND(BZ41*$O41/1000,2)</f>
        <v/>
      </c>
      <c r="CG41" s="362">
        <f>ROUND(CA41*$O41/1000,2)</f>
        <v/>
      </c>
      <c r="CH41" s="362">
        <f>ROUND(CB41*$O41/1000,2)</f>
        <v/>
      </c>
      <c r="CI41" s="362">
        <f>SUM(CE41:CH41)</f>
        <v/>
      </c>
      <c r="CJ41" s="390" t="n"/>
      <c r="CK41" s="362">
        <f>IFERROR(ROUND(BY41*$P41,2),"")</f>
        <v/>
      </c>
      <c r="CL41" s="362">
        <f>IFERROR(ROUND(BZ41*$P41,2),"")</f>
        <v/>
      </c>
      <c r="CM41" s="362">
        <f>IFERROR(ROUND(CA41*$P41,2),"")</f>
        <v/>
      </c>
      <c r="CN41" s="362">
        <f>IFERROR(ROUND(CB41*$P41,2),"")</f>
        <v/>
      </c>
      <c r="CO41" s="362">
        <f>SUM(CK41:CN41)</f>
        <v/>
      </c>
    </row>
    <row r="42" ht="15.6" customHeight="1" s="428">
      <c r="A42" s="331" t="n"/>
      <c r="B42" s="344">
        <f>_xlfn.XLOOKUP(G42,销售需求表!A:A,销售需求表!C:C)</f>
        <v/>
      </c>
      <c r="C42" s="345">
        <f>IFERROR(MID(F42,FIND("R",F42)+1,4),"")</f>
        <v/>
      </c>
      <c r="D42" s="344">
        <f>B42&amp;C42&amp;"寸"</f>
        <v/>
      </c>
      <c r="E42" s="346">
        <f>LEFT(REPLACE(G42,1,2,""),FIND("[",REPLACE(G42,1,2,""))-1)&amp;"-"&amp;MID(REPLACE(G42,1,2,""),FIND("[",REPLACE(G42,1,2,""))+1,FIND("]",REPLACE(G42,1,2,""))-FIND("[",REPLACE(G42,1,2,""))-1)</f>
        <v/>
      </c>
      <c r="F42" s="347">
        <f>IFERROR(MID(G42,3,FIND("(",G42)-3)&amp;"-"&amp;SUBSTITUTE(MID(G42,FIND("[",G42)+1,FIND("]",G42)-FIND("[",G42)-1),"Strong Guard ",""),"")</f>
        <v/>
      </c>
      <c r="G42" s="346" t="inlineStr">
        <is>
          <t>ID11R22.5-16PR(146/143L)[VD998]VITOUR无内</t>
        </is>
      </c>
      <c r="H42" s="344" t="n">
        <v>1000</v>
      </c>
      <c r="I42" s="348" t="n">
        <v>2</v>
      </c>
      <c r="J42" s="349">
        <f>IFERROR(LEFT(F42,FIND("-",F42))&amp;MID(F42,FIND("PR",F42,FIND("-",F42))+3,LEN(F42)),F42)</f>
        <v/>
      </c>
      <c r="K42" s="352">
        <f>_xlfn.XLOOKUP(F42,投产规格!E:E,投产规格!D:D,"未投产")</f>
        <v/>
      </c>
      <c r="L42" s="352">
        <f>IFERROR(_xlfn.XLOOKUP(F42,硫化工艺!B:B,硫化工艺!C:C),"")</f>
        <v/>
      </c>
      <c r="M42" s="430">
        <f>IF(L42="","",L42/(L42+$L$1/60))</f>
        <v/>
      </c>
      <c r="N42" s="352">
        <f>C42&amp;"全钢"</f>
        <v/>
      </c>
      <c r="O42" s="352">
        <f>IFERROR(_xlfn.XLOOKUP(F42,轮胎重量!J:J,轮胎重量!G:G),"")</f>
        <v/>
      </c>
      <c r="P42" s="352">
        <f>IFERROR(_xlfn.XLOOKUP(G42,硫化工艺!I:I,硫化工艺!J:J),"")</f>
        <v/>
      </c>
      <c r="Q42" s="352">
        <f>IFERROR(ROUND(1440/L42*(I42)*M42,0),"")</f>
        <v/>
      </c>
      <c r="R42" s="352" t="n">
        <v>56</v>
      </c>
      <c r="S42" s="352" t="n">
        <v>56</v>
      </c>
      <c r="T42" s="352" t="n">
        <v>56</v>
      </c>
      <c r="U42" s="352" t="n">
        <v>56</v>
      </c>
      <c r="V42" s="352" t="n">
        <v>56</v>
      </c>
      <c r="W42" s="352" t="n">
        <v>56</v>
      </c>
      <c r="X42" s="352" t="n">
        <v>56</v>
      </c>
      <c r="Y42" s="352" t="n">
        <v>56</v>
      </c>
      <c r="Z42" s="352" t="n">
        <v>56</v>
      </c>
      <c r="AA42" s="352" t="n">
        <v>56</v>
      </c>
      <c r="AB42" s="352" t="n">
        <v>56</v>
      </c>
      <c r="AC42" s="352" t="n">
        <v>56</v>
      </c>
      <c r="AD42" s="352" t="n">
        <v>56</v>
      </c>
      <c r="AE42" s="352" t="n">
        <v>56</v>
      </c>
      <c r="AF42" s="352" t="n"/>
      <c r="AG42" s="352" t="n"/>
      <c r="AH42" s="352" t="n"/>
      <c r="AI42" s="352" t="n"/>
      <c r="AJ42" s="352" t="n"/>
      <c r="AK42" s="352" t="n"/>
      <c r="AL42" s="352" t="n"/>
      <c r="AM42" s="352" t="n"/>
      <c r="AN42" s="352" t="n"/>
      <c r="AO42" s="352" t="n"/>
      <c r="AP42" s="352" t="n"/>
      <c r="AQ42" s="352" t="n"/>
      <c r="AR42" s="352" t="n"/>
      <c r="AS42" s="352" t="n"/>
      <c r="AT42" s="352" t="n"/>
      <c r="AU42" s="352" t="n"/>
      <c r="AV42" s="352" t="n"/>
      <c r="AW42" s="352">
        <f>IF(SUM(R42:AV42)=0,"",SUM(R42:AV42))</f>
        <v/>
      </c>
      <c r="AX42" s="431">
        <f>IFERROR(AW42*O42/1000,"")</f>
        <v/>
      </c>
      <c r="AY42" s="431">
        <f>IFERROR(ROUND(AW42*P42/10000,3),"")</f>
        <v/>
      </c>
      <c r="AZ42" s="354" t="n">
        <v>449.18</v>
      </c>
      <c r="BA42" s="355" t="n">
        <v>29.42</v>
      </c>
      <c r="BB42" s="355" t="n">
        <v>49.09</v>
      </c>
      <c r="BC42" s="355" t="n">
        <v>52.13</v>
      </c>
      <c r="BD42" s="331" t="n"/>
      <c r="BE42" s="331">
        <f>AZ42*AW42</f>
        <v/>
      </c>
      <c r="BF42" s="331">
        <f>BA42*AW42</f>
        <v/>
      </c>
      <c r="BG42" s="331">
        <f>BB42*AW42</f>
        <v/>
      </c>
      <c r="BH42" s="331">
        <f>BC42*AW42</f>
        <v/>
      </c>
      <c r="BI42" s="331" t="n"/>
      <c r="BJ42" s="356">
        <f t="array" ref="BJ42:BM42">_xlfn.LET(_xlpm.data,$R42:$AV42,_xlpm.starts,{1,8,16,23},_xlpm.lengths,{7,7,8,9},_xlpm.arr,_xlfn.MAP(_xlpm.starts,_xlpm.lengths,_xlfn.LAMBDA(_xlpm.s,_xlpm.l,SUM(INDEX(_xlpm.data,,_xlfn.SEQUENCE(,_xlpm.l,_xlpm.s))))),ROUND(_xlpm.arr*$O42/1000,2))</f>
        <v/>
      </c>
      <c r="BK42" s="331" t="n">
        <v>24.26</v>
      </c>
      <c r="BL42" s="331" t="n">
        <v>0</v>
      </c>
      <c r="BM42" s="331" t="n">
        <v>0</v>
      </c>
      <c r="BN42" s="362">
        <f>SUM(BJ42:BM42)</f>
        <v/>
      </c>
      <c r="BO42" s="362" t="n">
        <v>0</v>
      </c>
      <c r="BP42" s="362" t="n">
        <v>0</v>
      </c>
      <c r="BQ42" s="362" t="n">
        <v>0</v>
      </c>
      <c r="BR42" s="362" t="n">
        <v>0</v>
      </c>
      <c r="BS42" s="115" t="n"/>
      <c r="BT42" s="362">
        <f t="array" ref="BT42:BW42">_xlfn.HSTACK(SUM(INDEX($R42:$AV42,1,1):INDEX($R42:$AV42,1,7)),SUM(INDEX($R42:$AV42,1,7):INDEX($R42:$AV42,1,13)),SUM(INDEX($R42:$AV42,1,16):INDEX($R42:$AV42,1,23)),SUM(INDEX($R42:$AV42,1,23):INDEX($R42:$AV42,1,31)))</f>
        <v/>
      </c>
      <c r="BU42" s="362" t="n">
        <v>392</v>
      </c>
      <c r="BV42" s="362" t="n">
        <v>0</v>
      </c>
      <c r="BW42" s="362" t="n">
        <v>0</v>
      </c>
      <c r="BY42" s="362">
        <f>SUM(R42:X42)</f>
        <v/>
      </c>
      <c r="BZ42" s="362">
        <f>SUM(Y42:AE42)</f>
        <v/>
      </c>
      <c r="CA42" s="362">
        <f>SUM(AF42:AM42)</f>
        <v/>
      </c>
      <c r="CB42" s="362">
        <f>SUM(AN42:AV42)</f>
        <v/>
      </c>
      <c r="CC42" s="362" t="n"/>
      <c r="CD42" s="432" t="inlineStr">
        <is>
          <t>ADA</t>
        </is>
      </c>
      <c r="CE42" s="362">
        <f>ROUND(BY42*$O42/1000,2)</f>
        <v/>
      </c>
      <c r="CF42" s="362">
        <f>ROUND(BZ42*$O42/1000,2)</f>
        <v/>
      </c>
      <c r="CG42" s="362">
        <f>ROUND(CA42*$O42/1000,2)</f>
        <v/>
      </c>
      <c r="CH42" s="362">
        <f>ROUND(CB42*$O42/1000,2)</f>
        <v/>
      </c>
      <c r="CI42" s="362">
        <f>SUM(CE42:CH42)</f>
        <v/>
      </c>
      <c r="CJ42" s="390" t="n"/>
      <c r="CK42" s="362">
        <f>IFERROR(ROUND(BY42*$P42,2),"")</f>
        <v/>
      </c>
      <c r="CL42" s="362">
        <f>IFERROR(ROUND(BZ42*$P42,2),"")</f>
        <v/>
      </c>
      <c r="CM42" s="362">
        <f>IFERROR(ROUND(CA42*$P42,2),"")</f>
        <v/>
      </c>
      <c r="CN42" s="362">
        <f>IFERROR(ROUND(CB42*$P42,2),"")</f>
        <v/>
      </c>
      <c r="CO42" s="362">
        <f>SUM(CK42:CN42)</f>
        <v/>
      </c>
    </row>
    <row r="43" ht="15.6" customHeight="1" s="428">
      <c r="A43" s="331" t="n"/>
      <c r="B43" s="344">
        <f>_xlfn.XLOOKUP(G43,销售需求表!A:A,销售需求表!C:C)</f>
        <v/>
      </c>
      <c r="C43" s="345">
        <f>IFERROR(MID(F43,FIND("R",F43)+1,4),"")</f>
        <v/>
      </c>
      <c r="D43" s="344">
        <f>B43&amp;C43&amp;"寸"</f>
        <v/>
      </c>
      <c r="E43" s="346">
        <f>LEFT(REPLACE(G43,1,2,""),FIND("[",REPLACE(G43,1,2,""))-1)&amp;"-"&amp;MID(REPLACE(G43,1,2,""),FIND("[",REPLACE(G43,1,2,""))+1,FIND("]",REPLACE(G43,1,2,""))-FIND("[",REPLACE(G43,1,2,""))-1)</f>
        <v/>
      </c>
      <c r="F43" s="347">
        <f>IFERROR(MID(G43,3,FIND("(",G43)-3)&amp;"-"&amp;SUBSTITUTE(MID(G43,FIND("[",G43)+1,FIND("]",G43)-FIND("[",G43)-1),"Strong Guard ",""),"")</f>
        <v/>
      </c>
      <c r="G43" s="346" t="inlineStr">
        <is>
          <t>ID11R22.5-16PR(146/143M)[VA996]VITOUR无内</t>
        </is>
      </c>
      <c r="H43" s="344" t="n">
        <v>1500</v>
      </c>
      <c r="I43" s="348" t="n">
        <v>2</v>
      </c>
      <c r="J43" s="349">
        <f>IFERROR(LEFT(F43,FIND("-",F43))&amp;MID(F43,FIND("PR",F43,FIND("-",F43))+3,LEN(F43)),F43)</f>
        <v/>
      </c>
      <c r="K43" s="352">
        <f>_xlfn.XLOOKUP(F43,投产规格!E:E,投产规格!D:D,"未投产")</f>
        <v/>
      </c>
      <c r="L43" s="352">
        <f>IFERROR(_xlfn.XLOOKUP(F43,硫化工艺!B:B,硫化工艺!C:C),"")</f>
        <v/>
      </c>
      <c r="M43" s="430">
        <f>IF(L43="","",L43/(L43+$L$1/60))</f>
        <v/>
      </c>
      <c r="N43" s="352">
        <f>C43&amp;"全钢"</f>
        <v/>
      </c>
      <c r="O43" s="352">
        <f>IFERROR(_xlfn.XLOOKUP(F43,轮胎重量!J:J,轮胎重量!G:G),"")</f>
        <v/>
      </c>
      <c r="P43" s="352">
        <f>IFERROR(_xlfn.XLOOKUP(G43,硫化工艺!I:I,硫化工艺!J:J),"")</f>
        <v/>
      </c>
      <c r="Q43" s="352">
        <f>IFERROR(ROUND(1440/L43*(I43)*M43,0),"")</f>
        <v/>
      </c>
      <c r="R43" s="352" t="n">
        <v>66</v>
      </c>
      <c r="S43" s="352" t="n">
        <v>66</v>
      </c>
      <c r="T43" s="352" t="n">
        <v>66</v>
      </c>
      <c r="U43" s="352" t="n">
        <v>66</v>
      </c>
      <c r="V43" s="352" t="n">
        <v>66</v>
      </c>
      <c r="W43" s="352" t="n">
        <v>66</v>
      </c>
      <c r="X43" s="352" t="n">
        <v>66</v>
      </c>
      <c r="Y43" s="352" t="n">
        <v>66</v>
      </c>
      <c r="Z43" s="352" t="n">
        <v>66</v>
      </c>
      <c r="AA43" s="352" t="n">
        <v>66</v>
      </c>
      <c r="AB43" s="352" t="n">
        <v>66</v>
      </c>
      <c r="AC43" s="352" t="n">
        <v>66</v>
      </c>
      <c r="AD43" s="352" t="n">
        <v>66</v>
      </c>
      <c r="AE43" s="352" t="n">
        <v>66</v>
      </c>
      <c r="AF43" s="352" t="n">
        <v>66</v>
      </c>
      <c r="AG43" s="352" t="n">
        <v>66</v>
      </c>
      <c r="AH43" s="352" t="n">
        <v>66</v>
      </c>
      <c r="AI43" s="352" t="n">
        <v>66</v>
      </c>
      <c r="AJ43" s="352" t="n">
        <v>66</v>
      </c>
      <c r="AK43" s="352" t="n"/>
      <c r="AL43" s="352" t="n"/>
      <c r="AM43" s="352" t="n"/>
      <c r="AN43" s="352" t="n"/>
      <c r="AO43" s="352" t="n"/>
      <c r="AP43" s="352" t="n"/>
      <c r="AQ43" s="352" t="n"/>
      <c r="AR43" s="352" t="n"/>
      <c r="AS43" s="352" t="n"/>
      <c r="AT43" s="352" t="n"/>
      <c r="AU43" s="352" t="n"/>
      <c r="AV43" s="352" t="n"/>
      <c r="AW43" s="352">
        <f>IF(SUM(R43:AV43)=0,"",SUM(R43:AV43))</f>
        <v/>
      </c>
      <c r="AX43" s="431">
        <f>IFERROR(AW43*O43/1000,"")</f>
        <v/>
      </c>
      <c r="AY43" s="431">
        <f>IFERROR(ROUND(AW43*P43/10000,3),"")</f>
        <v/>
      </c>
      <c r="AZ43" s="354" t="n">
        <v>449.18</v>
      </c>
      <c r="BA43" s="355" t="n">
        <v>29.42</v>
      </c>
      <c r="BB43" s="355" t="n">
        <v>49.09</v>
      </c>
      <c r="BC43" s="355" t="n">
        <v>52.13</v>
      </c>
      <c r="BD43" s="331" t="n"/>
      <c r="BE43" s="331">
        <f>AZ43*AW43</f>
        <v/>
      </c>
      <c r="BF43" s="331">
        <f>BA43*AW43</f>
        <v/>
      </c>
      <c r="BG43" s="331">
        <f>BB43*AW43</f>
        <v/>
      </c>
      <c r="BH43" s="331">
        <f>BC43*AW43</f>
        <v/>
      </c>
      <c r="BI43" s="331" t="n"/>
      <c r="BJ43" s="356">
        <f t="array" ref="BJ43:BM43">_xlfn.LET(_xlpm.data,$R43:$AV43,_xlpm.starts,{1,8,16,23},_xlpm.lengths,{7,7,8,9},_xlpm.arr,_xlfn.MAP(_xlpm.starts,_xlpm.lengths,_xlfn.LAMBDA(_xlpm.s,_xlpm.l,SUM(INDEX(_xlpm.data,,_xlfn.SEQUENCE(,_xlpm.l,_xlpm.s))))),ROUND(_xlpm.arr*$O43/1000,2))</f>
        <v/>
      </c>
      <c r="BK43" s="331" t="n">
        <v>25.79</v>
      </c>
      <c r="BL43" s="331" t="n">
        <v>14.74</v>
      </c>
      <c r="BM43" s="331" t="n">
        <v>0</v>
      </c>
      <c r="BN43" s="362">
        <f>SUM(BJ43:BM43)</f>
        <v/>
      </c>
      <c r="BO43" s="362" t="n">
        <v>0</v>
      </c>
      <c r="BP43" s="362" t="n">
        <v>0</v>
      </c>
      <c r="BQ43" s="362" t="n">
        <v>0</v>
      </c>
      <c r="BR43" s="362" t="n">
        <v>0</v>
      </c>
      <c r="BS43" s="115" t="n"/>
      <c r="BT43" s="362">
        <f t="array" ref="BT43:BW43">_xlfn.HSTACK(SUM(INDEX($R43:$AV43,1,1):INDEX($R43:$AV43,1,7)),SUM(INDEX($R43:$AV43,1,7):INDEX($R43:$AV43,1,13)),SUM(INDEX($R43:$AV43,1,16):INDEX($R43:$AV43,1,23)),SUM(INDEX($R43:$AV43,1,23):INDEX($R43:$AV43,1,31)))</f>
        <v/>
      </c>
      <c r="BU43" s="362" t="n">
        <v>462</v>
      </c>
      <c r="BV43" s="362" t="n">
        <v>264</v>
      </c>
      <c r="BW43" s="362" t="n">
        <v>0</v>
      </c>
      <c r="BY43" s="362">
        <f>SUM(R43:X43)</f>
        <v/>
      </c>
      <c r="BZ43" s="362">
        <f>SUM(Y43:AE43)</f>
        <v/>
      </c>
      <c r="CA43" s="362">
        <f>SUM(AF43:AM43)</f>
        <v/>
      </c>
      <c r="CB43" s="362">
        <f>SUM(AN43:AV43)</f>
        <v/>
      </c>
      <c r="CC43" s="362" t="n"/>
      <c r="CD43" s="432" t="inlineStr">
        <is>
          <t>ADA</t>
        </is>
      </c>
      <c r="CE43" s="362">
        <f>ROUND(BY43*$O43/1000,2)</f>
        <v/>
      </c>
      <c r="CF43" s="362">
        <f>ROUND(BZ43*$O43/1000,2)</f>
        <v/>
      </c>
      <c r="CG43" s="362">
        <f>ROUND(CA43*$O43/1000,2)</f>
        <v/>
      </c>
      <c r="CH43" s="362">
        <f>ROUND(CB43*$O43/1000,2)</f>
        <v/>
      </c>
      <c r="CI43" s="362">
        <f>SUM(CE43:CH43)</f>
        <v/>
      </c>
      <c r="CJ43" s="390" t="n"/>
      <c r="CK43" s="362">
        <f>IFERROR(ROUND(BY43*$P43,2),"")</f>
        <v/>
      </c>
      <c r="CL43" s="362">
        <f>IFERROR(ROUND(BZ43*$P43,2),"")</f>
        <v/>
      </c>
      <c r="CM43" s="362">
        <f>IFERROR(ROUND(CA43*$P43,2),"")</f>
        <v/>
      </c>
      <c r="CN43" s="362">
        <f>IFERROR(ROUND(CB43*$P43,2),"")</f>
        <v/>
      </c>
      <c r="CO43" s="362">
        <f>SUM(CK43:CN43)</f>
        <v/>
      </c>
    </row>
    <row r="44" hidden="1" ht="15.6" customHeight="1" s="428">
      <c r="A44" s="331" t="n"/>
      <c r="B44" s="344">
        <f>_xlfn.XLOOKUP(G44,销售需求表!A:A,销售需求表!C:C)</f>
        <v/>
      </c>
      <c r="C44" s="345">
        <f>IFERROR(MID(F44,FIND("R",F44)+1,4),"")</f>
        <v/>
      </c>
      <c r="D44" s="344">
        <f>B44&amp;C44&amp;"寸"</f>
        <v/>
      </c>
      <c r="E44" s="346">
        <f>LEFT(REPLACE(G44,1,2,""),FIND("[",REPLACE(G44,1,2,""))-1)&amp;"-"&amp;MID(REPLACE(G44,1,2,""),FIND("[",REPLACE(G44,1,2,""))+1,FIND("]",REPLACE(G44,1,2,""))-FIND("[",REPLACE(G44,1,2,""))-1)</f>
        <v/>
      </c>
      <c r="F44" s="347">
        <f>IFERROR(MID(G44,3,FIND("(",G44)-3)&amp;"-"&amp;SUBSTITUTE(MID(G44,FIND("[",G44)+1,FIND("]",G44)-FIND("[",G44)-1),"Strong Guard ",""),"")</f>
        <v/>
      </c>
      <c r="G44" s="346" t="inlineStr">
        <is>
          <t>ID11R22.5-16PR(146/143L)[VA991]VITOUR无内</t>
        </is>
      </c>
      <c r="H44" s="344" t="n">
        <v>300</v>
      </c>
      <c r="I44" s="348" t="n"/>
      <c r="J44" s="349">
        <f>IFERROR(LEFT(F44,FIND("-",F44))&amp;MID(F44,FIND("PR",F44,FIND("-",F44))+3,LEN(F44)),F44)</f>
        <v/>
      </c>
      <c r="K44" s="352">
        <f>_xlfn.XLOOKUP(F44,投产规格!E:E,投产规格!D:D,"未投产")</f>
        <v/>
      </c>
      <c r="L44" s="352">
        <f>IFERROR(_xlfn.XLOOKUP(F44,硫化工艺!B:B,硫化工艺!C:C),"")</f>
        <v/>
      </c>
      <c r="M44" s="430">
        <f>IF(L44="","",L44/(L44+$L$1/60))</f>
        <v/>
      </c>
      <c r="N44" s="352">
        <f>C44&amp;"全钢"</f>
        <v/>
      </c>
      <c r="O44" s="352">
        <f>IFERROR(_xlfn.XLOOKUP(F44,轮胎重量!J:J,轮胎重量!G:G),"")</f>
        <v/>
      </c>
      <c r="P44" s="352">
        <f>IFERROR(_xlfn.XLOOKUP(G44,硫化工艺!I:I,硫化工艺!J:J),"")</f>
        <v/>
      </c>
      <c r="Q44" s="352">
        <f>IFERROR(ROUND(1440/L44*(I44)*M44,0),"")</f>
        <v/>
      </c>
      <c r="R44" s="352" t="n"/>
      <c r="S44" s="352" t="n"/>
      <c r="T44" s="352" t="n"/>
      <c r="U44" s="352" t="n"/>
      <c r="V44" s="352" t="n"/>
      <c r="W44" s="352" t="n"/>
      <c r="X44" s="352" t="n"/>
      <c r="Y44" s="352" t="n"/>
      <c r="Z44" s="352" t="n"/>
      <c r="AA44" s="352" t="n"/>
      <c r="AB44" s="352" t="n"/>
      <c r="AC44" s="352" t="n"/>
      <c r="AD44" s="352" t="n"/>
      <c r="AE44" s="352" t="n"/>
      <c r="AF44" s="352" t="n"/>
      <c r="AG44" s="352" t="n"/>
      <c r="AH44" s="352" t="n"/>
      <c r="AI44" s="352" t="n"/>
      <c r="AJ44" s="352" t="n"/>
      <c r="AK44" s="352" t="n"/>
      <c r="AL44" s="352" t="n"/>
      <c r="AM44" s="352" t="n"/>
      <c r="AN44" s="352" t="n"/>
      <c r="AO44" s="352" t="n"/>
      <c r="AP44" s="352" t="n"/>
      <c r="AQ44" s="352" t="n"/>
      <c r="AR44" s="352" t="n"/>
      <c r="AS44" s="352" t="n"/>
      <c r="AT44" s="352" t="n"/>
      <c r="AU44" s="352" t="n"/>
      <c r="AV44" s="352" t="n"/>
      <c r="AW44" s="352">
        <f>IF(SUM(R44:AV44)=0,"",SUM(R44:AV44))</f>
        <v/>
      </c>
      <c r="AX44" s="431">
        <f>IFERROR(AW44*O44/1000,"")</f>
        <v/>
      </c>
      <c r="AY44" s="431">
        <f>IFERROR(ROUND(AW44*P44/10000,3),"")</f>
        <v/>
      </c>
      <c r="AZ44" s="354" t="n">
        <v>449.18</v>
      </c>
      <c r="BA44" s="355" t="n">
        <v>29.42</v>
      </c>
      <c r="BB44" s="355" t="n">
        <v>49.09</v>
      </c>
      <c r="BC44" s="355" t="n">
        <v>52.13</v>
      </c>
      <c r="BD44" s="331" t="n"/>
      <c r="BE44" s="331">
        <f>AZ44*AW44</f>
        <v/>
      </c>
      <c r="BF44" s="331">
        <f>BA44*AW44</f>
        <v/>
      </c>
      <c r="BG44" s="331">
        <f>BB44*AW44</f>
        <v/>
      </c>
      <c r="BH44" s="331">
        <f>BC44*AW44</f>
        <v/>
      </c>
      <c r="BI44" s="331" t="n"/>
      <c r="BJ44" s="356">
        <f t="array" ref="BJ44:BM44">_xlfn.LET(_xlpm.data,$R44:$AV44,_xlpm.starts,{1,8,16,23},_xlpm.lengths,{7,7,8,9},_xlpm.arr,_xlfn.MAP(_xlpm.starts,_xlpm.lengths,_xlfn.LAMBDA(_xlpm.s,_xlpm.l,SUM(INDEX(_xlpm.data,,_xlfn.SEQUENCE(,_xlpm.l,_xlpm.s))))),ROUND(_xlpm.arr*$O44/1000,2))</f>
        <v/>
      </c>
      <c r="BK44" s="331" t="n">
        <v>0</v>
      </c>
      <c r="BL44" s="331" t="n">
        <v>0</v>
      </c>
      <c r="BM44" s="331" t="n">
        <v>0</v>
      </c>
      <c r="BN44" s="362">
        <f>SUM(BJ44:BM44)</f>
        <v/>
      </c>
      <c r="BO44" s="362" t="n">
        <v>0</v>
      </c>
      <c r="BP44" s="362" t="n">
        <v>0</v>
      </c>
      <c r="BQ44" s="362" t="n">
        <v>0</v>
      </c>
      <c r="BR44" s="362" t="n">
        <v>0</v>
      </c>
      <c r="BS44" s="115" t="n"/>
      <c r="BT44" s="362">
        <f t="array" ref="BT44:BW44">_xlfn.HSTACK(SUM(INDEX($R44:$AV44,1,1):INDEX($R44:$AV44,1,7)),SUM(INDEX($R44:$AV44,1,7):INDEX($R44:$AV44,1,13)),SUM(INDEX($R44:$AV44,1,16):INDEX($R44:$AV44,1,23)),SUM(INDEX($R44:$AV44,1,23):INDEX($R44:$AV44,1,31)))</f>
        <v/>
      </c>
      <c r="BU44" s="362" t="n">
        <v>0</v>
      </c>
      <c r="BV44" s="362" t="n">
        <v>0</v>
      </c>
      <c r="BW44" s="362" t="n">
        <v>0</v>
      </c>
      <c r="BY44" s="362">
        <f>SUM(R44:X44)</f>
        <v/>
      </c>
      <c r="BZ44" s="362">
        <f>SUM(Y44:AE44)</f>
        <v/>
      </c>
      <c r="CA44" s="362">
        <f>SUM(AF44:AM44)</f>
        <v/>
      </c>
      <c r="CB44" s="362">
        <f>SUM(AN44:AV44)</f>
        <v/>
      </c>
      <c r="CC44" s="362" t="n"/>
      <c r="CD44" s="432" t="inlineStr">
        <is>
          <t>ADA</t>
        </is>
      </c>
      <c r="CE44" s="362">
        <f>ROUND(BY44*$O44/1000,2)</f>
        <v/>
      </c>
      <c r="CF44" s="362">
        <f>ROUND(BZ44*$O44/1000,2)</f>
        <v/>
      </c>
      <c r="CG44" s="362">
        <f>ROUND(CA44*$O44/1000,2)</f>
        <v/>
      </c>
      <c r="CH44" s="362">
        <f>ROUND(CB44*$O44/1000,2)</f>
        <v/>
      </c>
      <c r="CI44" s="362">
        <f>SUM(CE44:CH44)</f>
        <v/>
      </c>
      <c r="CJ44" s="390" t="n"/>
      <c r="CK44" s="362">
        <f>IFERROR(ROUND(BY44*$P44,2),"")</f>
        <v/>
      </c>
      <c r="CL44" s="362">
        <f>IFERROR(ROUND(BZ44*$P44,2),"")</f>
        <v/>
      </c>
      <c r="CM44" s="362">
        <f>IFERROR(ROUND(CA44*$P44,2),"")</f>
        <v/>
      </c>
      <c r="CN44" s="362">
        <f>IFERROR(ROUND(CB44*$P44,2),"")</f>
        <v/>
      </c>
      <c r="CO44" s="362">
        <f>SUM(CK44:CN44)</f>
        <v/>
      </c>
    </row>
    <row r="45" ht="15.6" customHeight="1" s="428">
      <c r="A45" s="331" t="n"/>
      <c r="B45" s="344">
        <f>_xlfn.XLOOKUP(G45,销售需求表!A:A,销售需求表!C:C)</f>
        <v/>
      </c>
      <c r="C45" s="345">
        <f>IFERROR(MID(F45,FIND("R",F45)+1,4),"")</f>
        <v/>
      </c>
      <c r="D45" s="344">
        <f>B45&amp;C45&amp;"寸"</f>
        <v/>
      </c>
      <c r="E45" s="346">
        <f>LEFT(REPLACE(G45,1,2,""),FIND("[",REPLACE(G45,1,2,""))-1)&amp;"-"&amp;MID(REPLACE(G45,1,2,""),FIND("[",REPLACE(G45,1,2,""))+1,FIND("]",REPLACE(G45,1,2,""))-FIND("[",REPLACE(G45,1,2,""))-1)</f>
        <v/>
      </c>
      <c r="F45" s="347">
        <f>IFERROR(MID(G45,3,FIND("(",G45)-3)&amp;"-"&amp;SUBSTITUTE(MID(G45,FIND("[",G45)+1,FIND("]",G45)-FIND("[",G45)-1),"Strong Guard ",""),"")</f>
        <v/>
      </c>
      <c r="G45" s="346" t="inlineStr">
        <is>
          <t>ID11R22.5-16PR(146/143L)[VD908]VITOUR无内</t>
        </is>
      </c>
      <c r="H45" s="344" t="n">
        <v>500</v>
      </c>
      <c r="I45" s="348" t="n">
        <v>2</v>
      </c>
      <c r="J45" s="349">
        <f>IFERROR(LEFT(F45,FIND("-",F45))&amp;MID(F45,FIND("PR",F45,FIND("-",F45))+3,LEN(F45)),F45)</f>
        <v/>
      </c>
      <c r="K45" s="352">
        <f>_xlfn.XLOOKUP(F45,投产规格!E:E,投产规格!D:D,"未投产")</f>
        <v/>
      </c>
      <c r="L45" s="352">
        <f>IFERROR(_xlfn.XLOOKUP(F45,硫化工艺!B:B,硫化工艺!C:C),"")</f>
        <v/>
      </c>
      <c r="M45" s="430">
        <f>IF(L45="","",L45/(L45+$L$1/60))</f>
        <v/>
      </c>
      <c r="N45" s="352">
        <f>C45&amp;"全钢"</f>
        <v/>
      </c>
      <c r="O45" s="352">
        <f>IFERROR(_xlfn.XLOOKUP(F45,轮胎重量!J:J,轮胎重量!G:G),"")</f>
        <v/>
      </c>
      <c r="P45" s="352">
        <f>IFERROR(_xlfn.XLOOKUP(G45,硫化工艺!I:I,硫化工艺!J:J),"")</f>
        <v/>
      </c>
      <c r="Q45" s="352">
        <f>IFERROR(ROUND(1440/L45*(I45)*M45,0),"")</f>
        <v/>
      </c>
      <c r="R45" s="352" t="n">
        <v>56</v>
      </c>
      <c r="S45" s="352" t="n">
        <v>56</v>
      </c>
      <c r="T45" s="352" t="n">
        <v>56</v>
      </c>
      <c r="U45" s="352" t="n">
        <v>56</v>
      </c>
      <c r="V45" s="352" t="n">
        <v>56</v>
      </c>
      <c r="W45" s="352" t="n"/>
      <c r="X45" s="352" t="n"/>
      <c r="Y45" s="352" t="n"/>
      <c r="Z45" s="352" t="n"/>
      <c r="AA45" s="352" t="n"/>
      <c r="AB45" s="352" t="n"/>
      <c r="AC45" s="352" t="n"/>
      <c r="AD45" s="352" t="n"/>
      <c r="AE45" s="352" t="n"/>
      <c r="AF45" s="352" t="n"/>
      <c r="AG45" s="352" t="n"/>
      <c r="AH45" s="352" t="n"/>
      <c r="AI45" s="352" t="n"/>
      <c r="AJ45" s="352" t="n"/>
      <c r="AK45" s="352" t="n"/>
      <c r="AL45" s="352" t="n"/>
      <c r="AM45" s="352" t="n"/>
      <c r="AN45" s="352" t="n"/>
      <c r="AO45" s="352" t="n"/>
      <c r="AP45" s="352" t="n"/>
      <c r="AQ45" s="352" t="n"/>
      <c r="AR45" s="352" t="n"/>
      <c r="AS45" s="352" t="n"/>
      <c r="AT45" s="352" t="n"/>
      <c r="AU45" s="352" t="n"/>
      <c r="AV45" s="352" t="n"/>
      <c r="AW45" s="352">
        <f>IF(SUM(R45:AV45)=0,"",SUM(R45:AV45))</f>
        <v/>
      </c>
      <c r="AX45" s="431">
        <f>IFERROR(AW45*O45/1000,"")</f>
        <v/>
      </c>
      <c r="AY45" s="431">
        <f>IFERROR(ROUND(AW45*P45/10000,3),"")</f>
        <v/>
      </c>
      <c r="AZ45" s="354" t="n">
        <v>449.18</v>
      </c>
      <c r="BA45" s="355" t="n">
        <v>29.42</v>
      </c>
      <c r="BB45" s="355" t="n">
        <v>49.09</v>
      </c>
      <c r="BC45" s="355" t="n">
        <v>52.13</v>
      </c>
      <c r="BD45" s="331" t="n"/>
      <c r="BE45" s="331">
        <f>AZ45*AW45</f>
        <v/>
      </c>
      <c r="BF45" s="331">
        <f>BA45*AW45</f>
        <v/>
      </c>
      <c r="BG45" s="331">
        <f>BB45*AW45</f>
        <v/>
      </c>
      <c r="BH45" s="331">
        <f>BC45*AW45</f>
        <v/>
      </c>
      <c r="BI45" s="331" t="n"/>
      <c r="BJ45" s="356">
        <f t="array" ref="BJ45:BM45">_xlfn.LET(_xlpm.data,$R45:$AV45,_xlpm.starts,{1,8,16,23},_xlpm.lengths,{7,7,8,9},_xlpm.arr,_xlfn.MAP(_xlpm.starts,_xlpm.lengths,_xlfn.LAMBDA(_xlpm.s,_xlpm.l,SUM(INDEX(_xlpm.data,,_xlfn.SEQUENCE(,_xlpm.l,_xlpm.s))))),ROUND(_xlpm.arr*$O45/1000,2))</f>
        <v/>
      </c>
      <c r="BK45" s="331" t="n">
        <v>0</v>
      </c>
      <c r="BL45" s="331" t="n">
        <v>0</v>
      </c>
      <c r="BM45" s="331" t="n">
        <v>0</v>
      </c>
      <c r="BN45" s="362">
        <f>SUM(BJ45:BM45)</f>
        <v/>
      </c>
      <c r="BO45" s="362" t="n">
        <v>0</v>
      </c>
      <c r="BP45" s="362" t="n">
        <v>0</v>
      </c>
      <c r="BQ45" s="362" t="n">
        <v>0</v>
      </c>
      <c r="BR45" s="362" t="n">
        <v>0</v>
      </c>
      <c r="BS45" s="115" t="n"/>
      <c r="BT45" s="362">
        <f t="array" ref="BT45:BW45">_xlfn.HSTACK(SUM(INDEX($R45:$AV45,1,1):INDEX($R45:$AV45,1,7)),SUM(INDEX($R45:$AV45,1,7):INDEX($R45:$AV45,1,13)),SUM(INDEX($R45:$AV45,1,16):INDEX($R45:$AV45,1,23)),SUM(INDEX($R45:$AV45,1,23):INDEX($R45:$AV45,1,31)))</f>
        <v/>
      </c>
      <c r="BU45" s="362" t="n">
        <v>0</v>
      </c>
      <c r="BV45" s="362" t="n">
        <v>0</v>
      </c>
      <c r="BW45" s="362" t="n">
        <v>0</v>
      </c>
      <c r="BY45" s="362">
        <f>SUM(R45:X45)</f>
        <v/>
      </c>
      <c r="BZ45" s="362">
        <f>SUM(Y45:AE45)</f>
        <v/>
      </c>
      <c r="CA45" s="362">
        <f>SUM(AF45:AM45)</f>
        <v/>
      </c>
      <c r="CB45" s="362">
        <f>SUM(AN45:AV45)</f>
        <v/>
      </c>
      <c r="CC45" s="362" t="n"/>
      <c r="CD45" s="432" t="inlineStr">
        <is>
          <t>ADA</t>
        </is>
      </c>
      <c r="CE45" s="362">
        <f>ROUND(BY45*$O45/1000,2)</f>
        <v/>
      </c>
      <c r="CF45" s="362">
        <f>ROUND(BZ45*$O45/1000,2)</f>
        <v/>
      </c>
      <c r="CG45" s="362">
        <f>ROUND(CA45*$O45/1000,2)</f>
        <v/>
      </c>
      <c r="CH45" s="362">
        <f>ROUND(CB45*$O45/1000,2)</f>
        <v/>
      </c>
      <c r="CI45" s="362">
        <f>SUM(CE45:CH45)</f>
        <v/>
      </c>
      <c r="CJ45" s="390" t="n"/>
      <c r="CK45" s="362">
        <f>IFERROR(ROUND(BY45*$P45,2),"")</f>
        <v/>
      </c>
      <c r="CL45" s="362">
        <f>IFERROR(ROUND(BZ45*$P45,2),"")</f>
        <v/>
      </c>
      <c r="CM45" s="362">
        <f>IFERROR(ROUND(CA45*$P45,2),"")</f>
        <v/>
      </c>
      <c r="CN45" s="362">
        <f>IFERROR(ROUND(CB45*$P45,2),"")</f>
        <v/>
      </c>
      <c r="CO45" s="362">
        <f>SUM(CK45:CN45)</f>
        <v/>
      </c>
    </row>
    <row r="46" ht="15.6" customHeight="1" s="428">
      <c r="A46" s="331" t="n"/>
      <c r="B46" s="344">
        <f>_xlfn.XLOOKUP(G46,销售需求表!A:A,销售需求表!C:C)</f>
        <v/>
      </c>
      <c r="C46" s="345">
        <f>IFERROR(MID(F46,FIND("R",F46)+1,4),"")</f>
        <v/>
      </c>
      <c r="D46" s="344">
        <f>B46&amp;C46&amp;"寸"</f>
        <v/>
      </c>
      <c r="E46" s="346">
        <f>LEFT(REPLACE(G46,1,2,""),FIND("[",REPLACE(G46,1,2,""))-1)&amp;"-"&amp;MID(REPLACE(G46,1,2,""),FIND("[",REPLACE(G46,1,2,""))+1,FIND("]",REPLACE(G46,1,2,""))-FIND("[",REPLACE(G46,1,2,""))-1)</f>
        <v/>
      </c>
      <c r="F46" s="347">
        <f>IFERROR(MID(G46,3,FIND("(",G46)-3)&amp;"-"&amp;SUBSTITUTE(MID(G46,FIND("[",G46)+1,FIND("]",G46)-FIND("[",G46)-1),"Strong Guard ",""),"")</f>
        <v/>
      </c>
      <c r="G46" s="346" t="inlineStr">
        <is>
          <t>ID11R22.5-16PR(146/143L)[VXD932]VITOUR无内</t>
        </is>
      </c>
      <c r="H46" s="344" t="n">
        <v>800</v>
      </c>
      <c r="I46" s="348" t="n"/>
      <c r="J46" s="349">
        <f>IFERROR(LEFT(F46,FIND("-",F46))&amp;MID(F46,FIND("PR",F46,FIND("-",F46))+3,LEN(F46)),F46)</f>
        <v/>
      </c>
      <c r="K46" s="352">
        <f>_xlfn.XLOOKUP(F46,投产规格!E:E,投产规格!D:D,"未投产")</f>
        <v/>
      </c>
      <c r="L46" s="352">
        <f>IFERROR(_xlfn.XLOOKUP(F46,硫化工艺!B:B,硫化工艺!C:C),"")</f>
        <v/>
      </c>
      <c r="M46" s="430">
        <f>IF(L46="","",L46/(L46+$L$1/60))</f>
        <v/>
      </c>
      <c r="N46" s="352">
        <f>C46&amp;"全钢"</f>
        <v/>
      </c>
      <c r="O46" s="352">
        <f>IFERROR(_xlfn.XLOOKUP(F46,轮胎重量!J:J,轮胎重量!G:G),"")</f>
        <v/>
      </c>
      <c r="P46" s="352">
        <f>IFERROR(_xlfn.XLOOKUP(G46,硫化工艺!I:I,硫化工艺!J:J),"")</f>
        <v/>
      </c>
      <c r="Q46" s="352">
        <f>IFERROR(ROUND(1440/L46*(I46)*M46,0),"")</f>
        <v/>
      </c>
      <c r="R46" s="352" t="n"/>
      <c r="S46" s="352" t="n"/>
      <c r="T46" s="352" t="n"/>
      <c r="U46" s="352" t="n"/>
      <c r="V46" s="352" t="n"/>
      <c r="W46" s="352" t="n">
        <v>60</v>
      </c>
      <c r="X46" s="352" t="n">
        <v>60</v>
      </c>
      <c r="Y46" s="352" t="n">
        <v>60</v>
      </c>
      <c r="Z46" s="352" t="n">
        <v>60</v>
      </c>
      <c r="AA46" s="352" t="n">
        <v>60</v>
      </c>
      <c r="AB46" s="352" t="n">
        <v>60</v>
      </c>
      <c r="AC46" s="352" t="n">
        <v>60</v>
      </c>
      <c r="AD46" s="352" t="n">
        <v>60</v>
      </c>
      <c r="AE46" s="352" t="n">
        <v>60</v>
      </c>
      <c r="AF46" s="352" t="n">
        <v>60</v>
      </c>
      <c r="AG46" s="352" t="n">
        <v>60</v>
      </c>
      <c r="AH46" s="352" t="n">
        <v>60</v>
      </c>
      <c r="AI46" s="352" t="n">
        <v>60</v>
      </c>
      <c r="AJ46" s="352" t="n">
        <v>60</v>
      </c>
      <c r="AK46" s="352" t="n"/>
      <c r="AL46" s="352" t="n"/>
      <c r="AM46" s="352" t="n"/>
      <c r="AN46" s="352" t="n"/>
      <c r="AO46" s="352" t="n"/>
      <c r="AP46" s="352" t="n"/>
      <c r="AQ46" s="352" t="n"/>
      <c r="AR46" s="352" t="n"/>
      <c r="AS46" s="352" t="n"/>
      <c r="AT46" s="352" t="n"/>
      <c r="AU46" s="352" t="n"/>
      <c r="AV46" s="352" t="n"/>
      <c r="AW46" s="352">
        <f>IF(SUM(R46:AV46)=0,"",SUM(R46:AV46))</f>
        <v/>
      </c>
      <c r="AX46" s="431">
        <f>IFERROR(AW46*O46/1000,"")</f>
        <v/>
      </c>
      <c r="AY46" s="431">
        <f>IFERROR(ROUND(AW46*P46/10000,3),"")</f>
        <v/>
      </c>
      <c r="AZ46" s="354" t="n">
        <v>449.18</v>
      </c>
      <c r="BA46" s="355" t="n">
        <v>29.42</v>
      </c>
      <c r="BB46" s="355" t="n">
        <v>49.09</v>
      </c>
      <c r="BC46" s="355" t="n">
        <v>52.13</v>
      </c>
      <c r="BD46" s="331" t="n"/>
      <c r="BE46" s="331">
        <f>AZ46*AW46</f>
        <v/>
      </c>
      <c r="BF46" s="331">
        <f>BA46*AW46</f>
        <v/>
      </c>
      <c r="BG46" s="331">
        <f>BB46*AW46</f>
        <v/>
      </c>
      <c r="BH46" s="331">
        <f>BC46*AW46</f>
        <v/>
      </c>
      <c r="BI46" s="331" t="n"/>
      <c r="BJ46" s="356">
        <f t="array" ref="BJ46:BM46">_xlfn.LET(_xlpm.data,$R46:$AV46,_xlpm.starts,{1,8,16,23},_xlpm.lengths,{7,7,8,9},_xlpm.arr,_xlfn.MAP(_xlpm.starts,_xlpm.lengths,_xlfn.LAMBDA(_xlpm.s,_xlpm.l,SUM(INDEX(_xlpm.data,,_xlfn.SEQUENCE(,_xlpm.l,_xlpm.s))))),ROUND(_xlpm.arr*$O46/1000,2))</f>
        <v/>
      </c>
      <c r="BK46" s="331" t="n">
        <v>25.68</v>
      </c>
      <c r="BL46" s="331" t="n">
        <v>14.68</v>
      </c>
      <c r="BM46" s="331" t="n">
        <v>0</v>
      </c>
      <c r="BN46" s="362">
        <f>SUM(BJ46:BM46)</f>
        <v/>
      </c>
      <c r="BO46" s="362" t="n">
        <v>0</v>
      </c>
      <c r="BP46" s="362" t="n">
        <v>0</v>
      </c>
      <c r="BQ46" s="362" t="n">
        <v>0</v>
      </c>
      <c r="BR46" s="362" t="n">
        <v>0</v>
      </c>
      <c r="BS46" s="115" t="n"/>
      <c r="BT46" s="362">
        <f t="array" ref="BT46:BW46">_xlfn.HSTACK(SUM(INDEX($R46:$AV46,1,1):INDEX($R46:$AV46,1,7)),SUM(INDEX($R46:$AV46,1,7):INDEX($R46:$AV46,1,13)),SUM(INDEX($R46:$AV46,1,16):INDEX($R46:$AV46,1,23)),SUM(INDEX($R46:$AV46,1,23):INDEX($R46:$AV46,1,31)))</f>
        <v/>
      </c>
      <c r="BU46" s="362" t="n">
        <v>420</v>
      </c>
      <c r="BV46" s="362" t="n">
        <v>240</v>
      </c>
      <c r="BW46" s="362" t="n">
        <v>0</v>
      </c>
      <c r="BY46" s="362">
        <f>SUM(R46:X46)</f>
        <v/>
      </c>
      <c r="BZ46" s="362">
        <f>SUM(Y46:AE46)</f>
        <v/>
      </c>
      <c r="CA46" s="362">
        <f>SUM(AF46:AM46)</f>
        <v/>
      </c>
      <c r="CB46" s="362">
        <f>SUM(AN46:AV46)</f>
        <v/>
      </c>
      <c r="CC46" s="362" t="n"/>
      <c r="CD46" s="432" t="inlineStr">
        <is>
          <t>ADA</t>
        </is>
      </c>
      <c r="CE46" s="362">
        <f>ROUND(BY46*$O46/1000,2)</f>
        <v/>
      </c>
      <c r="CF46" s="362">
        <f>ROUND(BZ46*$O46/1000,2)</f>
        <v/>
      </c>
      <c r="CG46" s="362">
        <f>ROUND(CA46*$O46/1000,2)</f>
        <v/>
      </c>
      <c r="CH46" s="362">
        <f>ROUND(CB46*$O46/1000,2)</f>
        <v/>
      </c>
      <c r="CI46" s="362">
        <f>SUM(CE46:CH46)</f>
        <v/>
      </c>
      <c r="CJ46" s="390" t="n"/>
      <c r="CK46" s="362">
        <f>IFERROR(ROUND(BY46*$P46,2),"")</f>
        <v/>
      </c>
      <c r="CL46" s="362">
        <f>IFERROR(ROUND(BZ46*$P46,2),"")</f>
        <v/>
      </c>
      <c r="CM46" s="362">
        <f>IFERROR(ROUND(CA46*$P46,2),"")</f>
        <v/>
      </c>
      <c r="CN46" s="362">
        <f>IFERROR(ROUND(CB46*$P46,2),"")</f>
        <v/>
      </c>
      <c r="CO46" s="362">
        <f>SUM(CK46:CN46)</f>
        <v/>
      </c>
    </row>
    <row r="47" ht="15.6" customHeight="1" s="428">
      <c r="A47" s="331" t="n"/>
      <c r="B47" s="344">
        <f>_xlfn.XLOOKUP(G47,销售需求表!A:A,销售需求表!C:C)</f>
        <v/>
      </c>
      <c r="C47" s="345">
        <f>IFERROR(MID(F47,FIND("R",F47)+1,4),"")</f>
        <v/>
      </c>
      <c r="D47" s="344">
        <f>B47&amp;C47&amp;"寸"</f>
        <v/>
      </c>
      <c r="E47" s="346">
        <f>LEFT(REPLACE(G47,1,2,""),FIND("[",REPLACE(G47,1,2,""))-1)&amp;"-"&amp;MID(REPLACE(G47,1,2,""),FIND("[",REPLACE(G47,1,2,""))+1,FIND("]",REPLACE(G47,1,2,""))-FIND("[",REPLACE(G47,1,2,""))-1)</f>
        <v/>
      </c>
      <c r="F47" s="347">
        <f>IFERROR(MID(G47,3,FIND("(",G47)-3)&amp;"-"&amp;SUBSTITUTE(MID(G47,FIND("[",G47)+1,FIND("]",G47)-FIND("[",G47)-1),"Strong Guard ",""),"")</f>
        <v/>
      </c>
      <c r="G47" s="361" t="inlineStr">
        <is>
          <t>ID11R24.5-14PR(146/143M)[I-48T]IRONMAN无内 SMARTWAY</t>
        </is>
      </c>
      <c r="H47" s="344" t="n">
        <v>680</v>
      </c>
      <c r="I47" s="348" t="n">
        <v>2</v>
      </c>
      <c r="J47" s="349">
        <f>IFERROR(LEFT(F47,FIND("-",F47))&amp;MID(F47,FIND("PR",F47,FIND("-",F47))+3,LEN(F47)),F47)</f>
        <v/>
      </c>
      <c r="K47" s="352">
        <f>_xlfn.XLOOKUP(F47,投产规格!E:E,投产规格!D:D,"未投产")</f>
        <v/>
      </c>
      <c r="L47" s="352">
        <f>IFERROR(_xlfn.XLOOKUP(F47,硫化工艺!B:B,硫化工艺!C:C),"")</f>
        <v/>
      </c>
      <c r="M47" s="430">
        <f>IF(L47="","",L47/(L47+$L$1/60))</f>
        <v/>
      </c>
      <c r="N47" s="352">
        <f>C47&amp;"全钢"</f>
        <v/>
      </c>
      <c r="O47" s="352">
        <f>IFERROR(_xlfn.XLOOKUP(F47,轮胎重量!J:J,轮胎重量!G:G),"")</f>
        <v/>
      </c>
      <c r="P47" s="352">
        <f>IFERROR(_xlfn.XLOOKUP(G47,硫化工艺!I:I,硫化工艺!J:J),"")</f>
        <v/>
      </c>
      <c r="Q47" s="352">
        <f>IFERROR(ROUND(1440/L47*(I47)*M47,0),"")</f>
        <v/>
      </c>
      <c r="R47" s="352" t="n">
        <v>60</v>
      </c>
      <c r="S47" s="352" t="n">
        <v>60</v>
      </c>
      <c r="T47" s="352" t="n">
        <v>60</v>
      </c>
      <c r="U47" s="352" t="n">
        <v>60</v>
      </c>
      <c r="V47" s="352" t="n">
        <v>60</v>
      </c>
      <c r="W47" s="352" t="n">
        <v>60</v>
      </c>
      <c r="X47" s="352" t="n">
        <v>60</v>
      </c>
      <c r="Y47" s="352" t="n">
        <v>60</v>
      </c>
      <c r="Z47" s="352" t="n"/>
      <c r="AA47" s="352" t="n"/>
      <c r="AB47" s="352" t="n"/>
      <c r="AC47" s="352" t="n"/>
      <c r="AD47" s="352" t="n"/>
      <c r="AE47" s="352" t="n"/>
      <c r="AF47" s="352" t="n"/>
      <c r="AG47" s="352" t="n"/>
      <c r="AH47" s="352" t="n"/>
      <c r="AI47" s="352" t="n"/>
      <c r="AJ47" s="352" t="n"/>
      <c r="AK47" s="352" t="n"/>
      <c r="AL47" s="352" t="n"/>
      <c r="AM47" s="352" t="n"/>
      <c r="AN47" s="352" t="n"/>
      <c r="AO47" s="352" t="n"/>
      <c r="AP47" s="352" t="n"/>
      <c r="AQ47" s="352" t="n"/>
      <c r="AR47" s="352" t="n"/>
      <c r="AS47" s="352" t="n"/>
      <c r="AT47" s="352" t="n"/>
      <c r="AU47" s="352" t="n"/>
      <c r="AV47" s="352" t="n"/>
      <c r="AW47" s="352">
        <f>IF(SUM(R47:AV47)=0,"",SUM(R47:AV47))</f>
        <v/>
      </c>
      <c r="AX47" s="431">
        <f>IFERROR(AW47*O47/1000,"")</f>
        <v/>
      </c>
      <c r="AY47" s="431">
        <f>IFERROR(ROUND(AW47*P47/10000,3),"")</f>
        <v/>
      </c>
      <c r="AZ47" s="354" t="n">
        <v>449.18</v>
      </c>
      <c r="BA47" s="355" t="n">
        <v>29.42</v>
      </c>
      <c r="BB47" s="355" t="n">
        <v>49.09</v>
      </c>
      <c r="BC47" s="355" t="n">
        <v>52.13</v>
      </c>
      <c r="BD47" s="331" t="n"/>
      <c r="BE47" s="331">
        <f>AZ47*AW47</f>
        <v/>
      </c>
      <c r="BF47" s="331">
        <f>BA47*AW47</f>
        <v/>
      </c>
      <c r="BG47" s="331">
        <f>BB47*AW47</f>
        <v/>
      </c>
      <c r="BH47" s="331">
        <f>BC47*AW47</f>
        <v/>
      </c>
      <c r="BI47" s="331" t="n"/>
      <c r="BJ47" s="356">
        <f t="array" ref="BJ47:BM47">_xlfn.LET(_xlpm.data,$R47:$AV47,_xlpm.starts,{1,8,16,23},_xlpm.lengths,{7,7,8,9},_xlpm.arr,_xlfn.MAP(_xlpm.starts,_xlpm.lengths,_xlfn.LAMBDA(_xlpm.s,_xlpm.l,SUM(INDEX(_xlpm.data,,_xlfn.SEQUENCE(,_xlpm.l,_xlpm.s))))),ROUND(_xlpm.arr*$O47/1000,2))</f>
        <v/>
      </c>
      <c r="BK47" s="331" t="n">
        <v>3.14</v>
      </c>
      <c r="BL47" s="331" t="n">
        <v>0</v>
      </c>
      <c r="BM47" s="331" t="n">
        <v>0</v>
      </c>
      <c r="BN47" s="362">
        <f>SUM(BJ47:BM47)</f>
        <v/>
      </c>
      <c r="BO47" s="362" t="n">
        <v>0</v>
      </c>
      <c r="BP47" s="362" t="n">
        <v>0</v>
      </c>
      <c r="BQ47" s="362" t="n">
        <v>0</v>
      </c>
      <c r="BR47" s="362" t="n">
        <v>0</v>
      </c>
      <c r="BS47" s="115" t="n"/>
      <c r="BT47" s="362">
        <f t="array" ref="BT47:BW47">_xlfn.HSTACK(SUM(INDEX($R47:$AV47,1,1):INDEX($R47:$AV47,1,7)),SUM(INDEX($R47:$AV47,1,7):INDEX($R47:$AV47,1,13)),SUM(INDEX($R47:$AV47,1,16):INDEX($R47:$AV47,1,23)),SUM(INDEX($R47:$AV47,1,23):INDEX($R47:$AV47,1,31)))</f>
        <v/>
      </c>
      <c r="BU47" s="362" t="n">
        <v>120</v>
      </c>
      <c r="BV47" s="362" t="n">
        <v>0</v>
      </c>
      <c r="BW47" s="362" t="n">
        <v>0</v>
      </c>
      <c r="BY47" s="362">
        <f>SUM(R47:X47)</f>
        <v/>
      </c>
      <c r="BZ47" s="362">
        <f>SUM(Y47:AE47)</f>
        <v/>
      </c>
      <c r="CA47" s="362">
        <f>SUM(AF47:AM47)</f>
        <v/>
      </c>
      <c r="CB47" s="362">
        <f>SUM(AN47:AV47)</f>
        <v/>
      </c>
      <c r="CC47" s="362" t="n"/>
      <c r="CD47" s="432" t="inlineStr">
        <is>
          <t>ADA</t>
        </is>
      </c>
      <c r="CE47" s="362">
        <f>ROUND(BY47*$O47/1000,2)</f>
        <v/>
      </c>
      <c r="CF47" s="362">
        <f>ROUND(BZ47*$O47/1000,2)</f>
        <v/>
      </c>
      <c r="CG47" s="362">
        <f>ROUND(CA47*$O47/1000,2)</f>
        <v/>
      </c>
      <c r="CH47" s="362">
        <f>ROUND(CB47*$O47/1000,2)</f>
        <v/>
      </c>
      <c r="CI47" s="362">
        <f>SUM(CE47:CH47)</f>
        <v/>
      </c>
      <c r="CJ47" s="390" t="n"/>
      <c r="CK47" s="362">
        <f>IFERROR(ROUND(BY47*$P47,2),"")</f>
        <v/>
      </c>
      <c r="CL47" s="362">
        <f>IFERROR(ROUND(BZ47*$P47,2),"")</f>
        <v/>
      </c>
      <c r="CM47" s="362">
        <f>IFERROR(ROUND(CA47*$P47,2),"")</f>
        <v/>
      </c>
      <c r="CN47" s="362">
        <f>IFERROR(ROUND(CB47*$P47,2),"")</f>
        <v/>
      </c>
      <c r="CO47" s="362">
        <f>SUM(CK47:CN47)</f>
        <v/>
      </c>
    </row>
    <row r="48" ht="15.6" customHeight="1" s="428">
      <c r="A48" s="331" t="n"/>
      <c r="B48" s="344">
        <f>_xlfn.XLOOKUP(G48,销售需求表!A:A,销售需求表!C:C)</f>
        <v/>
      </c>
      <c r="C48" s="345">
        <f>IFERROR(MID(F48,FIND("R",F48)+1,4),"")</f>
        <v/>
      </c>
      <c r="D48" s="344">
        <f>B48&amp;C48&amp;"寸"</f>
        <v/>
      </c>
      <c r="E48" s="346">
        <f>LEFT(REPLACE(G48,1,2,""),FIND("[",REPLACE(G48,1,2,""))-1)&amp;"-"&amp;MID(REPLACE(G48,1,2,""),FIND("[",REPLACE(G48,1,2,""))+1,FIND("]",REPLACE(G48,1,2,""))-FIND("[",REPLACE(G48,1,2,""))-1)</f>
        <v/>
      </c>
      <c r="F48" s="347">
        <f>IFERROR(MID(G48,3,FIND("(",G48)-3)&amp;"-"&amp;SUBSTITUTE(MID(G48,FIND("[",G48)+1,FIND("]",G48)-FIND("[",G48)-1),"Strong Guard ",""),"")</f>
        <v/>
      </c>
      <c r="G48" s="361" t="inlineStr">
        <is>
          <t>ID11R24.5-14PR(146/143M)[Strong Guard H-TL]HERCULES无内</t>
        </is>
      </c>
      <c r="H48" s="344" t="n">
        <v>200</v>
      </c>
      <c r="I48" s="348" t="n"/>
      <c r="J48" s="349">
        <f>IFERROR(LEFT(F48,FIND("-",F48))&amp;MID(F48,FIND("PR",F48,FIND("-",F48))+3,LEN(F48)),F48)</f>
        <v/>
      </c>
      <c r="K48" s="352">
        <f>_xlfn.XLOOKUP(F48,投产规格!E:E,投产规格!D:D,"未投产")</f>
        <v/>
      </c>
      <c r="L48" s="352">
        <f>IFERROR(_xlfn.XLOOKUP(F48,硫化工艺!B:B,硫化工艺!C:C),"")</f>
        <v/>
      </c>
      <c r="M48" s="430">
        <f>IF(L48="","",L48/(L48+$L$1/60))</f>
        <v/>
      </c>
      <c r="N48" s="352">
        <f>C48&amp;"全钢"</f>
        <v/>
      </c>
      <c r="O48" s="352">
        <f>IFERROR(_xlfn.XLOOKUP(F48,轮胎重量!J:J,轮胎重量!G:G),"")</f>
        <v/>
      </c>
      <c r="P48" s="352">
        <f>IFERROR(_xlfn.XLOOKUP(G48,硫化工艺!I:I,硫化工艺!J:J),"")</f>
        <v/>
      </c>
      <c r="Q48" s="352">
        <f>IFERROR(ROUND(1440/L48*(I48)*M48,0),"")</f>
        <v/>
      </c>
      <c r="R48" s="352" t="n"/>
      <c r="S48" s="352" t="n"/>
      <c r="T48" s="352" t="n"/>
      <c r="U48" s="352" t="n"/>
      <c r="V48" s="352" t="n"/>
      <c r="W48" s="352" t="n"/>
      <c r="X48" s="352" t="n"/>
      <c r="Y48" s="352" t="n"/>
      <c r="Z48" s="352" t="n">
        <v>60</v>
      </c>
      <c r="AA48" s="352" t="n">
        <v>60</v>
      </c>
      <c r="AB48" s="352" t="n">
        <v>60</v>
      </c>
      <c r="AC48" s="352" t="n"/>
      <c r="AD48" s="352" t="n"/>
      <c r="AE48" s="352" t="n"/>
      <c r="AF48" s="352" t="n"/>
      <c r="AG48" s="352" t="n"/>
      <c r="AH48" s="352" t="n"/>
      <c r="AI48" s="352" t="n"/>
      <c r="AJ48" s="352" t="n"/>
      <c r="AK48" s="352" t="n"/>
      <c r="AL48" s="352" t="n"/>
      <c r="AM48" s="352" t="n"/>
      <c r="AN48" s="352" t="n"/>
      <c r="AO48" s="352" t="n"/>
      <c r="AP48" s="352" t="n"/>
      <c r="AQ48" s="352" t="n"/>
      <c r="AR48" s="352" t="n"/>
      <c r="AS48" s="352" t="n"/>
      <c r="AT48" s="352" t="n"/>
      <c r="AU48" s="352" t="n"/>
      <c r="AV48" s="352" t="n"/>
      <c r="AW48" s="352">
        <f>IF(SUM(R48:AV48)=0,"",SUM(R48:AV48))</f>
        <v/>
      </c>
      <c r="AX48" s="431">
        <f>IFERROR(AW48*O48/1000,"")</f>
        <v/>
      </c>
      <c r="AY48" s="431">
        <f>IFERROR(ROUND(AW48*P48/10000,3),"")</f>
        <v/>
      </c>
      <c r="AZ48" s="354" t="n">
        <v>449.18</v>
      </c>
      <c r="BA48" s="355" t="n">
        <v>29.42</v>
      </c>
      <c r="BB48" s="355" t="n">
        <v>49.09</v>
      </c>
      <c r="BC48" s="355" t="n">
        <v>52.13</v>
      </c>
      <c r="BD48" s="331" t="n"/>
      <c r="BE48" s="331">
        <f>AZ48*AW48</f>
        <v/>
      </c>
      <c r="BF48" s="331">
        <f>BA48*AW48</f>
        <v/>
      </c>
      <c r="BG48" s="331">
        <f>BB48*AW48</f>
        <v/>
      </c>
      <c r="BH48" s="331">
        <f>BC48*AW48</f>
        <v/>
      </c>
      <c r="BI48" s="331" t="n"/>
      <c r="BJ48" s="356">
        <f t="array" ref="BJ48:BM48">_xlfn.LET(_xlpm.data,$R48:$AV48,_xlpm.starts,{1,8,16,23},_xlpm.lengths,{7,7,8,9},_xlpm.arr,_xlfn.MAP(_xlpm.starts,_xlpm.lengths,_xlfn.LAMBDA(_xlpm.s,_xlpm.l,SUM(INDEX(_xlpm.data,,_xlfn.SEQUENCE(,_xlpm.l,_xlpm.s))))),ROUND(_xlpm.arr*$O48/1000,2))</f>
        <v/>
      </c>
      <c r="BK48" s="331" t="n">
        <v>9.58</v>
      </c>
      <c r="BL48" s="331" t="n">
        <v>0</v>
      </c>
      <c r="BM48" s="331" t="n">
        <v>0</v>
      </c>
      <c r="BN48" s="362">
        <f>SUM(BJ48:BM48)</f>
        <v/>
      </c>
      <c r="BO48" s="362" t="n">
        <v>0</v>
      </c>
      <c r="BP48" s="362" t="n">
        <v>0</v>
      </c>
      <c r="BQ48" s="362" t="n">
        <v>0</v>
      </c>
      <c r="BR48" s="362" t="n">
        <v>0</v>
      </c>
      <c r="BS48" s="115" t="n"/>
      <c r="BT48" s="362">
        <f t="array" ref="BT48:BW48">_xlfn.HSTACK(SUM(INDEX($R48:$AV48,1,1):INDEX($R48:$AV48,1,7)),SUM(INDEX($R48:$AV48,1,7):INDEX($R48:$AV48,1,13)),SUM(INDEX($R48:$AV48,1,16):INDEX($R48:$AV48,1,23)),SUM(INDEX($R48:$AV48,1,23):INDEX($R48:$AV48,1,31)))</f>
        <v/>
      </c>
      <c r="BU48" s="362" t="n">
        <v>180</v>
      </c>
      <c r="BV48" s="362" t="n">
        <v>0</v>
      </c>
      <c r="BW48" s="362" t="n">
        <v>0</v>
      </c>
      <c r="BY48" s="362">
        <f>SUM(R48:X48)</f>
        <v/>
      </c>
      <c r="BZ48" s="362">
        <f>SUM(Y48:AE48)</f>
        <v/>
      </c>
      <c r="CA48" s="362">
        <f>SUM(AF48:AM48)</f>
        <v/>
      </c>
      <c r="CB48" s="362">
        <f>SUM(AN48:AV48)</f>
        <v/>
      </c>
      <c r="CC48" s="362" t="n"/>
      <c r="CD48" s="432" t="inlineStr">
        <is>
          <t>ADA</t>
        </is>
      </c>
      <c r="CE48" s="362">
        <f>ROUND(BY48*$O48/1000,2)</f>
        <v/>
      </c>
      <c r="CF48" s="362">
        <f>ROUND(BZ48*$O48/1000,2)</f>
        <v/>
      </c>
      <c r="CG48" s="362">
        <f>ROUND(CA48*$O48/1000,2)</f>
        <v/>
      </c>
      <c r="CH48" s="362">
        <f>ROUND(CB48*$O48/1000,2)</f>
        <v/>
      </c>
      <c r="CI48" s="362">
        <f>SUM(CE48:CH48)</f>
        <v/>
      </c>
      <c r="CJ48" s="390" t="n"/>
      <c r="CK48" s="362">
        <f>IFERROR(ROUND(BY48*$P48,2),"")</f>
        <v/>
      </c>
      <c r="CL48" s="362">
        <f>IFERROR(ROUND(BZ48*$P48,2),"")</f>
        <v/>
      </c>
      <c r="CM48" s="362">
        <f>IFERROR(ROUND(CA48*$P48,2),"")</f>
        <v/>
      </c>
      <c r="CN48" s="362">
        <f>IFERROR(ROUND(CB48*$P48,2),"")</f>
        <v/>
      </c>
      <c r="CO48" s="362">
        <f>SUM(CK48:CN48)</f>
        <v/>
      </c>
    </row>
    <row r="49" ht="15.6" customFormat="1" customHeight="1" s="362">
      <c r="A49" s="331" t="n"/>
      <c r="B49" s="344">
        <f>_xlfn.XLOOKUP(G49,销售需求表!A:A,销售需求表!C:C)</f>
        <v/>
      </c>
      <c r="C49" s="345">
        <f>IFERROR(MID(F49,FIND("R",F49)+1,4),"")</f>
        <v/>
      </c>
      <c r="D49" s="344">
        <f>B49&amp;C49&amp;"寸"</f>
        <v/>
      </c>
      <c r="E49" s="346">
        <f>LEFT(REPLACE(G49,1,2,""),FIND("[",REPLACE(G49,1,2,""))-1)&amp;"-"&amp;MID(REPLACE(G49,1,2,""),FIND("[",REPLACE(G49,1,2,""))+1,FIND("]",REPLACE(G49,1,2,""))-FIND("[",REPLACE(G49,1,2,""))-1)</f>
        <v/>
      </c>
      <c r="F49" s="347">
        <f>IFERROR(MID(G49,3,FIND("(",G49)-3)&amp;"-"&amp;SUBSTITUTE(MID(G49,FIND("[",G49)+1,FIND("]",G49)-FIND("[",G49)-1),"Strong Guard ",""),"")</f>
        <v/>
      </c>
      <c r="G49" s="361" t="inlineStr">
        <is>
          <t>ID11R24.5-16PR(149/146K)[Strong Guard H-MD]HERCULES无内</t>
        </is>
      </c>
      <c r="H49" s="344" t="n">
        <v>350</v>
      </c>
      <c r="I49" s="348" t="n"/>
      <c r="J49" s="349">
        <f>IFERROR(LEFT(F49,FIND("-",F49))&amp;MID(F49,FIND("PR",F49,FIND("-",F49))+3,LEN(F49)),F49)</f>
        <v/>
      </c>
      <c r="K49" s="352">
        <f>_xlfn.XLOOKUP(F49,投产规格!E:E,投产规格!D:D,"未投产")</f>
        <v/>
      </c>
      <c r="L49" s="352">
        <f>IFERROR(_xlfn.XLOOKUP(F49,硫化工艺!B:B,硫化工艺!C:C),"")</f>
        <v/>
      </c>
      <c r="M49" s="430">
        <f>IF(L49="","",L49/(L49+$L$1/60))</f>
        <v/>
      </c>
      <c r="N49" s="352">
        <f>C49&amp;"全钢"</f>
        <v/>
      </c>
      <c r="O49" s="352">
        <f>IFERROR(_xlfn.XLOOKUP(F49,轮胎重量!J:J,轮胎重量!G:G),"")</f>
        <v/>
      </c>
      <c r="P49" s="352">
        <f>IFERROR(_xlfn.XLOOKUP(G49,硫化工艺!I:I,硫化工艺!J:J),"")</f>
        <v/>
      </c>
      <c r="Q49" s="352">
        <f>IFERROR(ROUND(1440/L49*(I49)*M49,0),"")</f>
        <v/>
      </c>
      <c r="R49" s="352" t="n"/>
      <c r="S49" s="352" t="n"/>
      <c r="T49" s="352" t="n"/>
      <c r="U49" s="352" t="n"/>
      <c r="V49" s="352" t="n"/>
      <c r="W49" s="352" t="n"/>
      <c r="X49" s="352" t="n"/>
      <c r="Y49" s="352" t="n"/>
      <c r="Z49" s="352" t="n"/>
      <c r="AA49" s="352" t="n">
        <v>60</v>
      </c>
      <c r="AB49" s="352" t="n">
        <v>60</v>
      </c>
      <c r="AC49" s="352" t="n">
        <v>60</v>
      </c>
      <c r="AD49" s="352" t="n">
        <v>60</v>
      </c>
      <c r="AE49" s="352" t="n">
        <v>60</v>
      </c>
      <c r="AF49" s="352" t="n">
        <v>60</v>
      </c>
      <c r="AG49" s="352" t="n"/>
      <c r="AH49" s="352" t="n"/>
      <c r="AI49" s="352" t="n"/>
      <c r="AJ49" s="352" t="n"/>
      <c r="AK49" s="352" t="n"/>
      <c r="AL49" s="352" t="n"/>
      <c r="AM49" s="352" t="n"/>
      <c r="AN49" s="352" t="n"/>
      <c r="AO49" s="352" t="n"/>
      <c r="AP49" s="352" t="n"/>
      <c r="AQ49" s="352" t="n"/>
      <c r="AR49" s="352" t="n"/>
      <c r="AS49" s="352" t="n"/>
      <c r="AT49" s="352" t="n"/>
      <c r="AU49" s="352" t="n"/>
      <c r="AV49" s="352" t="n"/>
      <c r="AW49" s="352">
        <f>IF(SUM(R49:AV49)=0,"",SUM(R49:AV49))</f>
        <v/>
      </c>
      <c r="AX49" s="431">
        <f>IFERROR(AW49*O49/1000,"")</f>
        <v/>
      </c>
      <c r="AY49" s="431">
        <f>IFERROR(ROUND(AW49*P49/10000,3),"")</f>
        <v/>
      </c>
      <c r="AZ49" s="354" t="n">
        <v>449.18</v>
      </c>
      <c r="BA49" s="355" t="n">
        <v>29.42</v>
      </c>
      <c r="BB49" s="355" t="n">
        <v>49.09</v>
      </c>
      <c r="BC49" s="355" t="n">
        <v>52.13</v>
      </c>
      <c r="BD49" s="331" t="n"/>
      <c r="BE49" s="331">
        <f>AZ49*AW49</f>
        <v/>
      </c>
      <c r="BF49" s="331">
        <f>BA49*AW49</f>
        <v/>
      </c>
      <c r="BG49" s="331">
        <f>BB49*AW49</f>
        <v/>
      </c>
      <c r="BH49" s="331">
        <f>BC49*AW49</f>
        <v/>
      </c>
      <c r="BI49" s="331" t="n"/>
      <c r="BJ49" s="356">
        <f t="array" ref="BJ49:BM49">_xlfn.LET(_xlpm.data,$R49:$AV49,_xlpm.starts,{1,8,16,23},_xlpm.lengths,{7,7,8,9},_xlpm.arr,_xlfn.MAP(_xlpm.starts,_xlpm.lengths,_xlfn.LAMBDA(_xlpm.s,_xlpm.l,SUM(INDEX(_xlpm.data,,_xlfn.SEQUENCE(,_xlpm.l,_xlpm.s))))),ROUND(_xlpm.arr*$O49/1000,2))</f>
        <v/>
      </c>
      <c r="BK49" s="331" t="n">
        <v>19.46</v>
      </c>
      <c r="BL49" s="331" t="n">
        <v>0</v>
      </c>
      <c r="BM49" s="331" t="n">
        <v>0</v>
      </c>
      <c r="BN49" s="362">
        <f>SUM(BJ49:BM49)</f>
        <v/>
      </c>
      <c r="BO49" s="362" t="n">
        <v>22.41</v>
      </c>
      <c r="BP49" s="362" t="n">
        <v>22.41</v>
      </c>
      <c r="BQ49" s="362" t="n">
        <v>25.62</v>
      </c>
      <c r="BR49" s="362" t="n">
        <v>28.82</v>
      </c>
      <c r="BS49" s="115" t="n"/>
      <c r="BT49" s="362">
        <f t="array" ref="BT49:BW49">_xlfn.HSTACK(SUM(INDEX($R49:$AV49,1,1):INDEX($R49:$AV49,1,7)),SUM(INDEX($R49:$AV49,1,7):INDEX($R49:$AV49,1,13)),SUM(INDEX($R49:$AV49,1,16):INDEX($R49:$AV49,1,23)),SUM(INDEX($R49:$AV49,1,23):INDEX($R49:$AV49,1,31)))</f>
        <v/>
      </c>
      <c r="BU49" s="362" t="n">
        <v>240</v>
      </c>
      <c r="BV49" s="362" t="n">
        <v>0</v>
      </c>
      <c r="BW49" s="362" t="n">
        <v>0</v>
      </c>
      <c r="BY49" s="362">
        <f>SUM(R49:X49)</f>
        <v/>
      </c>
      <c r="BZ49" s="362">
        <f>SUM(Y49:AE49)</f>
        <v/>
      </c>
      <c r="CA49" s="362">
        <f>SUM(AF49:AM49)</f>
        <v/>
      </c>
      <c r="CB49" s="362">
        <f>SUM(AN49:AV49)</f>
        <v/>
      </c>
      <c r="CD49" s="432" t="inlineStr">
        <is>
          <t>ADA</t>
        </is>
      </c>
      <c r="CE49" s="362">
        <f>ROUND(BY49*$O49/1000,2)</f>
        <v/>
      </c>
      <c r="CF49" s="362">
        <f>ROUND(BZ49*$O49/1000,2)</f>
        <v/>
      </c>
      <c r="CG49" s="362">
        <f>ROUND(CA49*$O49/1000,2)</f>
        <v/>
      </c>
      <c r="CH49" s="362">
        <f>ROUND(CB49*$O49/1000,2)</f>
        <v/>
      </c>
      <c r="CI49" s="362">
        <f>SUM(CE49:CH49)</f>
        <v/>
      </c>
      <c r="CJ49" s="390" t="n"/>
      <c r="CK49" s="362">
        <f>IFERROR(ROUND(BY49*$P49,2),"")</f>
        <v/>
      </c>
      <c r="CL49" s="362">
        <f>IFERROR(ROUND(BZ49*$P49,2),"")</f>
        <v/>
      </c>
      <c r="CM49" s="362">
        <f>IFERROR(ROUND(CA49*$P49,2),"")</f>
        <v/>
      </c>
      <c r="CN49" s="362">
        <f>IFERROR(ROUND(CB49*$P49,2),"")</f>
        <v/>
      </c>
      <c r="CO49" s="362">
        <f>SUM(CK49:CN49)</f>
        <v/>
      </c>
    </row>
    <row r="50" hidden="1" ht="15.6" customFormat="1" customHeight="1" s="362">
      <c r="A50" s="331" t="n"/>
      <c r="B50" s="344">
        <f>_xlfn.XLOOKUP(G50,销售需求表!A:A,销售需求表!C:C)</f>
        <v/>
      </c>
      <c r="C50" s="345">
        <f>IFERROR(MID(F50,FIND("R",F50)+1,4),"")</f>
        <v/>
      </c>
      <c r="D50" s="344">
        <f>B50&amp;C50&amp;"寸"</f>
        <v/>
      </c>
      <c r="E50" s="346">
        <f>LEFT(REPLACE(G50,1,2,""),FIND("[",REPLACE(G50,1,2,""))-1)&amp;"-"&amp;MID(REPLACE(G50,1,2,""),FIND("[",REPLACE(G50,1,2,""))+1,FIND("]",REPLACE(G50,1,2,""))-FIND("[",REPLACE(G50,1,2,""))-1)</f>
        <v/>
      </c>
      <c r="F50" s="347">
        <f>IFERROR(MID(G50,3,FIND("(",G50)-3)&amp;"-"&amp;SUBSTITUTE(MID(G50,FIND("[",G50)+1,FIND("]",G50)-FIND("[",G50)-1),"Strong Guard ",""),"")</f>
        <v/>
      </c>
      <c r="G50" s="361" t="inlineStr">
        <is>
          <t>ID11R24.5-16PR(149/146L)[DOMINATE D01]BLACKARROW无内</t>
        </is>
      </c>
      <c r="H50" s="344" t="n">
        <v>250</v>
      </c>
      <c r="I50" s="348" t="n"/>
      <c r="J50" s="349">
        <f>IFERROR(LEFT(F50,FIND("-",F50))&amp;MID(F50,FIND("PR",F50,FIND("-",F50))+3,LEN(F50)),F50)</f>
        <v/>
      </c>
      <c r="K50" s="352">
        <f>_xlfn.XLOOKUP(F50,投产规格!E:E,投产规格!D:D,"未投产")</f>
        <v/>
      </c>
      <c r="L50" s="352">
        <f>IFERROR(_xlfn.XLOOKUP(F50,硫化工艺!B:B,硫化工艺!C:C),"")</f>
        <v/>
      </c>
      <c r="M50" s="430">
        <f>IF(L50="","",L50/(L50+$L$1/60))</f>
        <v/>
      </c>
      <c r="N50" s="352">
        <f>C50&amp;"全钢"</f>
        <v/>
      </c>
      <c r="O50" s="352">
        <f>IFERROR(_xlfn.XLOOKUP(F50,轮胎重量!J:J,轮胎重量!G:G),"")</f>
        <v/>
      </c>
      <c r="P50" s="358">
        <f>O50*13.9</f>
        <v/>
      </c>
      <c r="Q50" s="352">
        <f>IFERROR(ROUND(1440/L50*(I50)*M50,0),"")</f>
        <v/>
      </c>
      <c r="R50" s="352" t="n"/>
      <c r="S50" s="352" t="n"/>
      <c r="T50" s="352" t="n"/>
      <c r="U50" s="352" t="n"/>
      <c r="V50" s="352" t="n"/>
      <c r="W50" s="352" t="n"/>
      <c r="X50" s="352" t="n"/>
      <c r="Y50" s="352" t="n"/>
      <c r="Z50" s="352" t="n"/>
      <c r="AA50" s="352" t="n"/>
      <c r="AB50" s="352" t="n"/>
      <c r="AC50" s="352" t="n"/>
      <c r="AD50" s="352" t="n"/>
      <c r="AE50" s="352" t="n"/>
      <c r="AF50" s="352" t="n"/>
      <c r="AG50" s="352" t="n"/>
      <c r="AH50" s="352" t="n"/>
      <c r="AI50" s="352" t="n"/>
      <c r="AJ50" s="352" t="n"/>
      <c r="AK50" s="352" t="n"/>
      <c r="AL50" s="352" t="n"/>
      <c r="AM50" s="352" t="n"/>
      <c r="AN50" s="352" t="n"/>
      <c r="AO50" s="352" t="n"/>
      <c r="AP50" s="352" t="n"/>
      <c r="AQ50" s="352" t="n"/>
      <c r="AR50" s="352" t="n"/>
      <c r="AS50" s="352" t="n"/>
      <c r="AT50" s="352" t="n"/>
      <c r="AU50" s="352" t="n"/>
      <c r="AV50" s="352" t="n"/>
      <c r="AW50" s="352">
        <f>IF(SUM(R50:AV50)=0,"",SUM(R50:AV50))</f>
        <v/>
      </c>
      <c r="AX50" s="431">
        <f>IFERROR(AW50*O50/1000,"")</f>
        <v/>
      </c>
      <c r="AY50" s="431">
        <f>IFERROR(ROUND(AW50*P50/10000,3),"")</f>
        <v/>
      </c>
      <c r="AZ50" s="359" t="n"/>
      <c r="BA50" s="362" t="n"/>
      <c r="BB50" s="362" t="n"/>
      <c r="BC50" s="331" t="n"/>
      <c r="BD50" s="331" t="n"/>
      <c r="BE50" s="331">
        <f>AZ50*AW50</f>
        <v/>
      </c>
      <c r="BF50" s="331">
        <f>BA50*AW50</f>
        <v/>
      </c>
      <c r="BG50" s="331">
        <f>BB50*AW50</f>
        <v/>
      </c>
      <c r="BH50" s="331">
        <f>BC50*AW50</f>
        <v/>
      </c>
      <c r="BI50" s="331" t="n"/>
      <c r="BJ50" s="356">
        <f t="array" ref="BJ50:BM50">_xlfn.LET(_xlpm.data,$R50:$AV50,_xlpm.starts,{1,8,16,23},_xlpm.lengths,{7,7,8,9},_xlpm.arr,_xlfn.MAP(_xlpm.starts,_xlpm.lengths,_xlfn.LAMBDA(_xlpm.s,_xlpm.l,SUM(INDEX(_xlpm.data,,_xlfn.SEQUENCE(,_xlpm.l,_xlpm.s))))),ROUND(_xlpm.arr*$O50/1000,2))</f>
        <v/>
      </c>
      <c r="BK50" s="331" t="n">
        <v>0</v>
      </c>
      <c r="BL50" s="331" t="n">
        <v>0</v>
      </c>
      <c r="BM50" s="331" t="n">
        <v>0</v>
      </c>
      <c r="BN50" s="362">
        <f>SUM(BJ50:BM50)</f>
        <v/>
      </c>
      <c r="BO50" s="362" t="n">
        <v>21.08</v>
      </c>
      <c r="BP50" s="362" t="n">
        <v>21.08</v>
      </c>
      <c r="BQ50" s="362" t="n">
        <v>24.09</v>
      </c>
      <c r="BR50" s="362" t="n">
        <v>27.1</v>
      </c>
      <c r="BS50" s="115" t="n"/>
      <c r="BT50" s="362">
        <f t="array" ref="BT50:BW50">_xlfn.HSTACK(SUM(INDEX($R50:$AV50,1,1):INDEX($R50:$AV50,1,7)),SUM(INDEX($R50:$AV50,1,7):INDEX($R50:$AV50,1,13)),SUM(INDEX($R50:$AV50,1,16):INDEX($R50:$AV50,1,23)),SUM(INDEX($R50:$AV50,1,23):INDEX($R50:$AV50,1,31)))</f>
        <v/>
      </c>
      <c r="BU50" s="362" t="n">
        <v>0</v>
      </c>
      <c r="BV50" s="362" t="n">
        <v>0</v>
      </c>
      <c r="BW50" s="362" t="n">
        <v>0</v>
      </c>
      <c r="BY50" s="362">
        <f>SUM(R50:X50)</f>
        <v/>
      </c>
      <c r="BZ50" s="362">
        <f>SUM(Y50:AE50)</f>
        <v/>
      </c>
      <c r="CA50" s="362">
        <f>SUM(AF50:AM50)</f>
        <v/>
      </c>
      <c r="CB50" s="362">
        <f>SUM(AN50:AV50)</f>
        <v/>
      </c>
      <c r="CD50" s="432" t="inlineStr">
        <is>
          <t>ADA</t>
        </is>
      </c>
      <c r="CE50" s="362">
        <f>ROUND(BY50*$O50/1000,2)</f>
        <v/>
      </c>
      <c r="CF50" s="362">
        <f>ROUND(BZ50*$O50/1000,2)</f>
        <v/>
      </c>
      <c r="CG50" s="362">
        <f>ROUND(CA50*$O50/1000,2)</f>
        <v/>
      </c>
      <c r="CH50" s="362">
        <f>ROUND(CB50*$O50/1000,2)</f>
        <v/>
      </c>
      <c r="CI50" s="362">
        <f>SUM(CE50:CH50)</f>
        <v/>
      </c>
      <c r="CJ50" s="390" t="n"/>
      <c r="CK50" s="362">
        <f>IFERROR(ROUND(BY50*$P50,2),"")</f>
        <v/>
      </c>
      <c r="CL50" s="362">
        <f>IFERROR(ROUND(BZ50*$P50,2),"")</f>
        <v/>
      </c>
      <c r="CM50" s="362">
        <f>IFERROR(ROUND(CA50*$P50,2),"")</f>
        <v/>
      </c>
      <c r="CN50" s="362">
        <f>IFERROR(ROUND(CB50*$P50,2),"")</f>
        <v/>
      </c>
      <c r="CO50" s="362">
        <f>SUM(CK50:CN50)</f>
        <v/>
      </c>
    </row>
    <row r="51" hidden="1" ht="15.6" customFormat="1" customHeight="1" s="362">
      <c r="A51" s="331" t="n"/>
      <c r="B51" s="344">
        <f>_xlfn.XLOOKUP(G51,销售需求表!A:A,销售需求表!C:C)</f>
        <v/>
      </c>
      <c r="C51" s="345">
        <f>IFERROR(MID(F51,FIND("R",F51)+1,4),"")</f>
        <v/>
      </c>
      <c r="D51" s="344">
        <f>B51&amp;C51&amp;"寸"</f>
        <v/>
      </c>
      <c r="E51" s="346">
        <f>LEFT(REPLACE(G51,1,2,""),FIND("[",REPLACE(G51,1,2,""))-1)&amp;"-"&amp;MID(REPLACE(G51,1,2,""),FIND("[",REPLACE(G51,1,2,""))+1,FIND("]",REPLACE(G51,1,2,""))-FIND("[",REPLACE(G51,1,2,""))-1)</f>
        <v/>
      </c>
      <c r="F51" s="347">
        <f>IFERROR(MID(G51,3,FIND("(",G51)-3)&amp;"-"&amp;SUBSTITUTE(MID(G51,FIND("[",G51)+1,FIND("]",G51)-FIND("[",G51)-1),"Strong Guard ",""),"")</f>
        <v/>
      </c>
      <c r="G51" s="361" t="inlineStr">
        <is>
          <t>ID11R24.5-16PR(149/146L)[HF1 Plus]SUPERMAX无内</t>
        </is>
      </c>
      <c r="H51" s="344" t="n">
        <v>700</v>
      </c>
      <c r="I51" s="348" t="n"/>
      <c r="J51" s="349">
        <f>IFERROR(LEFT(F51,FIND("-",F51))&amp;MID(F51,FIND("PR",F51,FIND("-",F51))+3,LEN(F51)),F51)</f>
        <v/>
      </c>
      <c r="K51" s="352">
        <f>_xlfn.XLOOKUP(F51,投产规格!E:E,投产规格!D:D,"未投产")</f>
        <v/>
      </c>
      <c r="L51" s="352">
        <f>IFERROR(_xlfn.XLOOKUP(F51,硫化工艺!B:B,硫化工艺!C:C),"")</f>
        <v/>
      </c>
      <c r="M51" s="430">
        <f>IF(L51="","",L51/(L51+$L$1/60))</f>
        <v/>
      </c>
      <c r="N51" s="352">
        <f>C51&amp;"全钢"</f>
        <v/>
      </c>
      <c r="O51" s="352">
        <f>IFERROR(_xlfn.XLOOKUP(F51,轮胎重量!J:J,轮胎重量!G:G),"")</f>
        <v/>
      </c>
      <c r="P51" s="352">
        <f>IFERROR(_xlfn.XLOOKUP(G51,硫化工艺!I:I,硫化工艺!J:J),"")</f>
        <v/>
      </c>
      <c r="Q51" s="352">
        <f>IFERROR(ROUND(1440/L51*(I51)*M51,0),"")</f>
        <v/>
      </c>
      <c r="R51" s="352" t="n"/>
      <c r="S51" s="352" t="n"/>
      <c r="T51" s="352" t="n"/>
      <c r="U51" s="352" t="n"/>
      <c r="V51" s="352" t="n"/>
      <c r="W51" s="352" t="n"/>
      <c r="X51" s="352" t="n"/>
      <c r="Y51" s="352" t="n"/>
      <c r="Z51" s="352" t="n"/>
      <c r="AA51" s="352" t="n"/>
      <c r="AB51" s="352" t="n"/>
      <c r="AC51" s="352" t="n"/>
      <c r="AD51" s="352" t="n"/>
      <c r="AE51" s="352" t="n"/>
      <c r="AF51" s="352" t="n"/>
      <c r="AG51" s="352" t="n"/>
      <c r="AH51" s="352" t="n"/>
      <c r="AI51" s="352" t="n"/>
      <c r="AJ51" s="352" t="n"/>
      <c r="AK51" s="352" t="n"/>
      <c r="AL51" s="352" t="n"/>
      <c r="AM51" s="352" t="n"/>
      <c r="AN51" s="352" t="n"/>
      <c r="AO51" s="352" t="n"/>
      <c r="AP51" s="352" t="n"/>
      <c r="AQ51" s="352" t="n"/>
      <c r="AR51" s="352" t="n"/>
      <c r="AS51" s="352" t="n"/>
      <c r="AT51" s="352" t="n"/>
      <c r="AU51" s="352" t="n"/>
      <c r="AV51" s="352" t="n"/>
      <c r="AW51" s="352">
        <f>IF(SUM(R51:AV51)=0,"",SUM(R51:AV51))</f>
        <v/>
      </c>
      <c r="AX51" s="431">
        <f>IFERROR(AW51*O51/1000,"")</f>
        <v/>
      </c>
      <c r="AY51" s="431">
        <f>IFERROR(ROUND(AW51*P51/10000,3),"")</f>
        <v/>
      </c>
      <c r="AZ51" s="359" t="n"/>
      <c r="BA51" s="362" t="n"/>
      <c r="BB51" s="362" t="n"/>
      <c r="BC51" s="331" t="n"/>
      <c r="BD51" s="331" t="n"/>
      <c r="BE51" s="331">
        <f>AZ51*AW51</f>
        <v/>
      </c>
      <c r="BF51" s="331">
        <f>BA51*AW51</f>
        <v/>
      </c>
      <c r="BG51" s="331">
        <f>BB51*AW51</f>
        <v/>
      </c>
      <c r="BH51" s="331">
        <f>BC51*AW51</f>
        <v/>
      </c>
      <c r="BI51" s="331" t="n"/>
      <c r="BJ51" s="356">
        <f t="array" ref="BJ51:BM51">_xlfn.LET(_xlpm.data,$R51:$AV51,_xlpm.starts,{1,8,16,23},_xlpm.lengths,{7,7,8,9},_xlpm.arr,_xlfn.MAP(_xlpm.starts,_xlpm.lengths,_xlfn.LAMBDA(_xlpm.s,_xlpm.l,SUM(INDEX(_xlpm.data,,_xlfn.SEQUENCE(,_xlpm.l,_xlpm.s))))),ROUND(_xlpm.arr*$O51/1000,2))</f>
        <v/>
      </c>
      <c r="BK51" s="331" t="n">
        <v>0</v>
      </c>
      <c r="BL51" s="331" t="n">
        <v>0</v>
      </c>
      <c r="BM51" s="331" t="n">
        <v>0</v>
      </c>
      <c r="BN51" s="362">
        <f>SUM(BJ51:BM51)</f>
        <v/>
      </c>
      <c r="BO51" s="362" t="n">
        <v>0</v>
      </c>
      <c r="BP51" s="362" t="n">
        <v>0</v>
      </c>
      <c r="BQ51" s="362" t="n">
        <v>0</v>
      </c>
      <c r="BR51" s="362" t="n">
        <v>0</v>
      </c>
      <c r="BS51" s="115" t="n"/>
      <c r="BT51" s="362">
        <f t="array" ref="BT51:BW51">_xlfn.HSTACK(SUM(INDEX($R51:$AV51,1,1):INDEX($R51:$AV51,1,7)),SUM(INDEX($R51:$AV51,1,7):INDEX($R51:$AV51,1,13)),SUM(INDEX($R51:$AV51,1,16):INDEX($R51:$AV51,1,23)),SUM(INDEX($R51:$AV51,1,23):INDEX($R51:$AV51,1,31)))</f>
        <v/>
      </c>
      <c r="BU51" s="362" t="n">
        <v>0</v>
      </c>
      <c r="BV51" s="362" t="n">
        <v>0</v>
      </c>
      <c r="BW51" s="362" t="n">
        <v>0</v>
      </c>
      <c r="BY51" s="362">
        <f>SUM(R51:X51)</f>
        <v/>
      </c>
      <c r="BZ51" s="362">
        <f>SUM(Y51:AE51)</f>
        <v/>
      </c>
      <c r="CA51" s="362">
        <f>SUM(AF51:AM51)</f>
        <v/>
      </c>
      <c r="CB51" s="362">
        <f>SUM(AN51:AV51)</f>
        <v/>
      </c>
      <c r="CD51" s="432" t="inlineStr">
        <is>
          <t>ADA</t>
        </is>
      </c>
      <c r="CE51" s="362">
        <f>ROUND(BY51*$O51/1000,2)</f>
        <v/>
      </c>
      <c r="CF51" s="362">
        <f>ROUND(BZ51*$O51/1000,2)</f>
        <v/>
      </c>
      <c r="CG51" s="362">
        <f>ROUND(CA51*$O51/1000,2)</f>
        <v/>
      </c>
      <c r="CH51" s="362">
        <f>ROUND(CB51*$O51/1000,2)</f>
        <v/>
      </c>
      <c r="CI51" s="362">
        <f>SUM(CE51:CH51)</f>
        <v/>
      </c>
      <c r="CJ51" s="390" t="n"/>
      <c r="CK51" s="362">
        <f>IFERROR(ROUND(BY51*$P51,2),"")</f>
        <v/>
      </c>
      <c r="CL51" s="362">
        <f>IFERROR(ROUND(BZ51*$P51,2),"")</f>
        <v/>
      </c>
      <c r="CM51" s="362">
        <f>IFERROR(ROUND(CA51*$P51,2),"")</f>
        <v/>
      </c>
      <c r="CN51" s="362">
        <f>IFERROR(ROUND(CB51*$P51,2),"")</f>
        <v/>
      </c>
      <c r="CO51" s="362">
        <f>SUM(CK51:CN51)</f>
        <v/>
      </c>
    </row>
    <row r="52" ht="15.6" customHeight="1" s="428">
      <c r="A52" s="331" t="n"/>
      <c r="B52" s="344">
        <f>_xlfn.XLOOKUP(G52,销售需求表!A:A,销售需求表!C:C)</f>
        <v/>
      </c>
      <c r="C52" s="345">
        <f>IFERROR(MID(F52,FIND("R",F52)+1,4),"")</f>
        <v/>
      </c>
      <c r="D52" s="344">
        <f>B52&amp;C52&amp;"寸"</f>
        <v/>
      </c>
      <c r="E52" s="346">
        <f>LEFT(REPLACE(G52,1,2,""),FIND("[",REPLACE(G52,1,2,""))-1)&amp;"-"&amp;MID(REPLACE(G52,1,2,""),FIND("[",REPLACE(G52,1,2,""))+1,FIND("]",REPLACE(G52,1,2,""))-FIND("[",REPLACE(G52,1,2,""))-1)</f>
        <v/>
      </c>
      <c r="F52" s="347">
        <f>IFERROR(MID(G52,3,FIND("(",G52)-3)&amp;"-"&amp;SUBSTITUTE(MID(G52,FIND("[",G52)+1,FIND("]",G52)-FIND("[",G52)-1),"Strong Guard ",""),"")</f>
        <v/>
      </c>
      <c r="G52" s="361" t="inlineStr">
        <is>
          <t>ID11R24.5-16PR(149/146L)[HF1 PlusX]SUPERMAX ECO无内</t>
        </is>
      </c>
      <c r="H52" s="344" t="n">
        <v>300</v>
      </c>
      <c r="I52" s="348" t="n"/>
      <c r="J52" s="349">
        <f>IFERROR(LEFT(F52,FIND("-",F52))&amp;MID(F52,FIND("PR",F52,FIND("-",F52))+3,LEN(F52)),F52)</f>
        <v/>
      </c>
      <c r="K52" s="352">
        <f>_xlfn.XLOOKUP(F52,投产规格!E:E,投产规格!D:D,"未投产")</f>
        <v/>
      </c>
      <c r="L52" s="352">
        <f>IFERROR(_xlfn.XLOOKUP(F52,硫化工艺!B:B,硫化工艺!C:C),"")</f>
        <v/>
      </c>
      <c r="M52" s="430">
        <f>IF(L52="","",L52/(L52+$L$1/60))</f>
        <v/>
      </c>
      <c r="N52" s="352">
        <f>C52&amp;"全钢"</f>
        <v/>
      </c>
      <c r="O52" s="352">
        <f>IFERROR(_xlfn.XLOOKUP(F52,轮胎重量!J:J,轮胎重量!G:G),"")</f>
        <v/>
      </c>
      <c r="P52" s="358">
        <f>O52*13.9</f>
        <v/>
      </c>
      <c r="Q52" s="352">
        <f>IFERROR(ROUND(1440/L52*(I52)*M52,0),"")</f>
        <v/>
      </c>
      <c r="R52" s="352" t="n"/>
      <c r="S52" s="352" t="n"/>
      <c r="T52" s="352" t="n"/>
      <c r="U52" s="352" t="n"/>
      <c r="V52" s="352" t="n"/>
      <c r="W52" s="352" t="n"/>
      <c r="X52" s="352" t="n"/>
      <c r="Y52" s="352" t="n"/>
      <c r="Z52" s="352" t="n"/>
      <c r="AA52" s="352" t="n">
        <v>60</v>
      </c>
      <c r="AB52" s="352" t="n">
        <v>60</v>
      </c>
      <c r="AC52" s="352" t="n">
        <v>60</v>
      </c>
      <c r="AD52" s="352" t="n">
        <v>60</v>
      </c>
      <c r="AE52" s="352" t="n">
        <v>60</v>
      </c>
      <c r="AF52" s="352" t="n">
        <v>60</v>
      </c>
      <c r="AG52" s="352" t="n"/>
      <c r="AH52" s="352" t="n"/>
      <c r="AI52" s="352" t="n"/>
      <c r="AJ52" s="352" t="n"/>
      <c r="AK52" s="352" t="n"/>
      <c r="AL52" s="352" t="n"/>
      <c r="AM52" s="352" t="n"/>
      <c r="AN52" s="352" t="n"/>
      <c r="AO52" s="352" t="n"/>
      <c r="AP52" s="352" t="n"/>
      <c r="AQ52" s="352" t="n"/>
      <c r="AR52" s="352" t="n"/>
      <c r="AS52" s="352" t="n"/>
      <c r="AT52" s="352" t="n"/>
      <c r="AU52" s="352" t="n"/>
      <c r="AV52" s="352" t="n"/>
      <c r="AW52" s="352">
        <f>IF(SUM(R52:AV52)=0,"",SUM(R52:AV52))</f>
        <v/>
      </c>
      <c r="AX52" s="431">
        <f>IFERROR(AW52*O52/1000,"")</f>
        <v/>
      </c>
      <c r="AY52" s="431">
        <f>IFERROR(ROUND(AW52*P52/10000,3),"")</f>
        <v/>
      </c>
      <c r="AZ52" s="359" t="n"/>
      <c r="BA52" s="362" t="n"/>
      <c r="BB52" s="362" t="n"/>
      <c r="BC52" s="331" t="n"/>
      <c r="BD52" s="331" t="n"/>
      <c r="BE52" s="331">
        <f>AZ52*AW52</f>
        <v/>
      </c>
      <c r="BF52" s="331">
        <f>BA52*AW52</f>
        <v/>
      </c>
      <c r="BG52" s="331">
        <f>BB52*AW52</f>
        <v/>
      </c>
      <c r="BH52" s="331">
        <f>BC52*AW52</f>
        <v/>
      </c>
      <c r="BI52" s="331" t="n"/>
      <c r="BJ52" s="356">
        <f t="array" ref="BJ52:BM52">_xlfn.LET(_xlpm.data,$R52:$AV52,_xlpm.starts,{1,8,16,23},_xlpm.lengths,{7,7,8,9},_xlpm.arr,_xlfn.MAP(_xlpm.starts,_xlpm.lengths,_xlfn.LAMBDA(_xlpm.s,_xlpm.l,SUM(INDEX(_xlpm.data,,_xlfn.SEQUENCE(,_xlpm.l,_xlpm.s))))),ROUND(_xlpm.arr*$O52/1000,2))</f>
        <v/>
      </c>
      <c r="BK52" s="331" t="n">
        <v>16.37</v>
      </c>
      <c r="BL52" s="331" t="n">
        <v>0</v>
      </c>
      <c r="BM52" s="331" t="n">
        <v>0</v>
      </c>
      <c r="BN52" s="362">
        <f>SUM(BJ52:BM52)</f>
        <v/>
      </c>
      <c r="BO52" s="362" t="n">
        <v>0</v>
      </c>
      <c r="BP52" s="362" t="n">
        <v>0</v>
      </c>
      <c r="BQ52" s="362" t="n">
        <v>0</v>
      </c>
      <c r="BR52" s="362" t="n">
        <v>0</v>
      </c>
      <c r="BS52" s="115" t="n"/>
      <c r="BT52" s="362">
        <f t="array" ref="BT52:BW52">_xlfn.HSTACK(SUM(INDEX($R52:$AV52,1,1):INDEX($R52:$AV52,1,7)),SUM(INDEX($R52:$AV52,1,7):INDEX($R52:$AV52,1,13)),SUM(INDEX($R52:$AV52,1,16):INDEX($R52:$AV52,1,23)),SUM(INDEX($R52:$AV52,1,23):INDEX($R52:$AV52,1,31)))</f>
        <v/>
      </c>
      <c r="BU52" s="362" t="n">
        <v>240</v>
      </c>
      <c r="BV52" s="362" t="n">
        <v>0</v>
      </c>
      <c r="BW52" s="362" t="n">
        <v>0</v>
      </c>
      <c r="BY52" s="362">
        <f>SUM(R52:X52)</f>
        <v/>
      </c>
      <c r="BZ52" s="362">
        <f>SUM(Y52:AE52)</f>
        <v/>
      </c>
      <c r="CA52" s="362">
        <f>SUM(AF52:AM52)</f>
        <v/>
      </c>
      <c r="CB52" s="362">
        <f>SUM(AN52:AV52)</f>
        <v/>
      </c>
      <c r="CC52" s="362" t="n"/>
      <c r="CD52" s="432" t="inlineStr">
        <is>
          <t>ADA</t>
        </is>
      </c>
      <c r="CE52" s="362">
        <f>ROUND(BY52*$O52/1000,2)</f>
        <v/>
      </c>
      <c r="CF52" s="362">
        <f>ROUND(BZ52*$O52/1000,2)</f>
        <v/>
      </c>
      <c r="CG52" s="362">
        <f>ROUND(CA52*$O52/1000,2)</f>
        <v/>
      </c>
      <c r="CH52" s="362">
        <f>ROUND(CB52*$O52/1000,2)</f>
        <v/>
      </c>
      <c r="CI52" s="362">
        <f>SUM(CE52:CH52)</f>
        <v/>
      </c>
      <c r="CJ52" s="390" t="n"/>
      <c r="CK52" s="362">
        <f>IFERROR(ROUND(BY52*$P52,2),"")</f>
        <v/>
      </c>
      <c r="CL52" s="362">
        <f>IFERROR(ROUND(BZ52*$P52,2),"")</f>
        <v/>
      </c>
      <c r="CM52" s="362">
        <f>IFERROR(ROUND(CA52*$P52,2),"")</f>
        <v/>
      </c>
      <c r="CN52" s="362">
        <f>IFERROR(ROUND(CB52*$P52,2),"")</f>
        <v/>
      </c>
      <c r="CO52" s="362">
        <f>SUM(CK52:CN52)</f>
        <v/>
      </c>
    </row>
    <row r="53" ht="15.6" customHeight="1" s="428">
      <c r="B53" s="344">
        <f>_xlfn.XLOOKUP(G53,销售需求表!A:A,销售需求表!C:C)</f>
        <v/>
      </c>
      <c r="C53" s="345">
        <f>IFERROR(MID(F53,FIND("R",F53)+1,4),"")</f>
        <v/>
      </c>
      <c r="D53" s="344">
        <f>B53&amp;C53&amp;"寸"</f>
        <v/>
      </c>
      <c r="E53" s="346">
        <f>LEFT(REPLACE(G53,1,2,""),FIND("[",REPLACE(G53,1,2,""))-1)&amp;"-"&amp;MID(REPLACE(G53,1,2,""),FIND("[",REPLACE(G53,1,2,""))+1,FIND("]",REPLACE(G53,1,2,""))-FIND("[",REPLACE(G53,1,2,""))-1)</f>
        <v/>
      </c>
      <c r="F53" s="347">
        <f>IFERROR(MID(G53,3,FIND("(",G53)-3)&amp;"-"&amp;SUBSTITUTE(MID(G53,FIND("[",G53)+1,FIND("]",G53)-FIND("[",G53)-1),"Strong Guard ",""),"")</f>
        <v/>
      </c>
      <c r="G53" s="361" t="inlineStr">
        <is>
          <t>ID11R24.5-16PR(149/146L)[I-37D]IRONMAN无内</t>
        </is>
      </c>
      <c r="H53" s="344" t="n">
        <v>280</v>
      </c>
      <c r="I53" s="348" t="n"/>
      <c r="J53" s="349">
        <f>IFERROR(LEFT(F53,FIND("-",F53))&amp;MID(F53,FIND("PR",F53,FIND("-",F53))+3,LEN(F53)),F53)</f>
        <v/>
      </c>
      <c r="K53" s="352">
        <f>_xlfn.XLOOKUP(F53,投产规格!E:E,投产规格!D:D,"未投产")</f>
        <v/>
      </c>
      <c r="L53" s="352">
        <f>IFERROR(_xlfn.XLOOKUP(F53,硫化工艺!B:B,硫化工艺!C:C),"")</f>
        <v/>
      </c>
      <c r="M53" s="430">
        <f>IF(L53="","",L53/(L53+$L$1/60))</f>
        <v/>
      </c>
      <c r="N53" s="352">
        <f>C53&amp;"全钢"</f>
        <v/>
      </c>
      <c r="O53" s="352">
        <f>IFERROR(_xlfn.XLOOKUP(F53,轮胎重量!J:J,轮胎重量!G:G),"")</f>
        <v/>
      </c>
      <c r="P53" s="352">
        <f>IFERROR(_xlfn.XLOOKUP(G53,硫化工艺!I:I,硫化工艺!J:J),"")</f>
        <v/>
      </c>
      <c r="Q53" s="352">
        <f>IFERROR(ROUND(1440/L53*(I53)*M53,0),"")</f>
        <v/>
      </c>
      <c r="R53" s="352" t="n"/>
      <c r="S53" s="352" t="n"/>
      <c r="T53" s="352" t="n"/>
      <c r="U53" s="352" t="n"/>
      <c r="V53" s="352" t="n"/>
      <c r="W53" s="352" t="n"/>
      <c r="X53" s="352" t="n"/>
      <c r="Y53" s="352" t="n"/>
      <c r="Z53" s="352" t="n"/>
      <c r="AA53" s="352" t="n"/>
      <c r="AB53" s="352" t="n"/>
      <c r="AC53" s="352" t="n">
        <v>60</v>
      </c>
      <c r="AD53" s="352" t="n">
        <v>60</v>
      </c>
      <c r="AE53" s="352" t="n">
        <v>60</v>
      </c>
      <c r="AF53" s="352" t="n">
        <v>60</v>
      </c>
      <c r="AG53" s="352" t="n"/>
      <c r="AH53" s="352" t="n"/>
      <c r="AI53" s="352" t="n"/>
      <c r="AJ53" s="352" t="n"/>
      <c r="AK53" s="352" t="n"/>
      <c r="AL53" s="352" t="n"/>
      <c r="AM53" s="352" t="n"/>
      <c r="AN53" s="352" t="n"/>
      <c r="AO53" s="352" t="n"/>
      <c r="AP53" s="352" t="n"/>
      <c r="AQ53" s="352" t="n"/>
      <c r="AR53" s="352" t="n"/>
      <c r="AS53" s="352" t="n"/>
      <c r="AT53" s="352" t="n"/>
      <c r="AU53" s="352" t="n"/>
      <c r="AV53" s="352" t="n"/>
      <c r="AW53" s="352">
        <f>IF(SUM(R53:AV53)=0,"",SUM(R53:AV53))</f>
        <v/>
      </c>
      <c r="AX53" s="431">
        <f>IFERROR(AW53*O53/1000,"")</f>
        <v/>
      </c>
      <c r="AY53" s="431">
        <f>IFERROR(ROUND(AW53*P53/10000,3),"")</f>
        <v/>
      </c>
      <c r="AZ53" s="354" t="n">
        <v>459.15</v>
      </c>
      <c r="BA53" s="355" t="n">
        <v>29.49</v>
      </c>
      <c r="BB53" s="355" t="n">
        <v>50.29</v>
      </c>
      <c r="BC53" s="355" t="n">
        <v>52.01</v>
      </c>
      <c r="BE53" s="331">
        <f>AZ53*AW53</f>
        <v/>
      </c>
      <c r="BF53" s="331">
        <f>BA53*AW53</f>
        <v/>
      </c>
      <c r="BG53" s="331">
        <f>BB53*AW53</f>
        <v/>
      </c>
      <c r="BH53" s="331">
        <f>BC53*AW53</f>
        <v/>
      </c>
      <c r="BJ53" s="356">
        <f t="array" ref="BJ53:BM53">_xlfn.LET(_xlpm.data,$R53:$AV53,_xlpm.starts,{1,8,16,23},_xlpm.lengths,{7,7,8,9},_xlpm.arr,_xlfn.MAP(_xlpm.starts,_xlpm.lengths,_xlfn.LAMBDA(_xlpm.s,_xlpm.l,SUM(INDEX(_xlpm.data,,_xlfn.SEQUENCE(,_xlpm.l,_xlpm.s))))),ROUND(_xlpm.arr*$O53/1000,2))</f>
        <v/>
      </c>
      <c r="BK53" s="331" t="n">
        <v>10.99</v>
      </c>
      <c r="BL53" s="331" t="n">
        <v>0</v>
      </c>
      <c r="BM53" s="331" t="n">
        <v>0</v>
      </c>
      <c r="BN53" s="362">
        <f>SUM(BJ53:BM53)</f>
        <v/>
      </c>
      <c r="BO53" s="362" t="n">
        <v>0</v>
      </c>
      <c r="BP53" s="362" t="n">
        <v>0</v>
      </c>
      <c r="BQ53" s="362" t="n">
        <v>0</v>
      </c>
      <c r="BR53" s="362" t="n">
        <v>0</v>
      </c>
      <c r="BT53" s="362">
        <f t="array" ref="BT53:BW53">_xlfn.HSTACK(SUM(INDEX($R53:$AV53,1,1):INDEX($R53:$AV53,1,7)),SUM(INDEX($R53:$AV53,1,7):INDEX($R53:$AV53,1,13)),SUM(INDEX($R53:$AV53,1,16):INDEX($R53:$AV53,1,23)),SUM(INDEX($R53:$AV53,1,23):INDEX($R53:$AV53,1,31)))</f>
        <v/>
      </c>
      <c r="BU53" s="362" t="n">
        <v>120</v>
      </c>
      <c r="BV53" s="362" t="n">
        <v>0</v>
      </c>
      <c r="BW53" s="362" t="n">
        <v>0</v>
      </c>
      <c r="BY53" s="362">
        <f>SUM(R53:X53)</f>
        <v/>
      </c>
      <c r="BZ53" s="362">
        <f>SUM(Y53:AE53)</f>
        <v/>
      </c>
      <c r="CA53" s="362">
        <f>SUM(AF53:AM53)</f>
        <v/>
      </c>
      <c r="CB53" s="362">
        <f>SUM(AN53:AV53)</f>
        <v/>
      </c>
      <c r="CD53" s="432" t="inlineStr">
        <is>
          <t>ADA</t>
        </is>
      </c>
      <c r="CE53" s="362">
        <f>ROUND(BY53*$O53/1000,2)</f>
        <v/>
      </c>
      <c r="CF53" s="362">
        <f>ROUND(BZ53*$O53/1000,2)</f>
        <v/>
      </c>
      <c r="CG53" s="362">
        <f>ROUND(CA53*$O53/1000,2)</f>
        <v/>
      </c>
      <c r="CH53" s="362">
        <f>ROUND(CB53*$O53/1000,2)</f>
        <v/>
      </c>
      <c r="CI53" s="362">
        <f>SUM(CE53:CH53)</f>
        <v/>
      </c>
      <c r="CK53" s="362">
        <f>IFERROR(ROUND(BY53*$P53,2),"")</f>
        <v/>
      </c>
      <c r="CL53" s="362">
        <f>IFERROR(ROUND(BZ53*$P53,2),"")</f>
        <v/>
      </c>
      <c r="CM53" s="362">
        <f>IFERROR(ROUND(CA53*$P53,2),"")</f>
        <v/>
      </c>
      <c r="CN53" s="362">
        <f>IFERROR(ROUND(CB53*$P53,2),"")</f>
        <v/>
      </c>
      <c r="CO53" s="362">
        <f>SUM(CK53:CN53)</f>
        <v/>
      </c>
    </row>
    <row r="54" ht="15.6" customHeight="1" s="428">
      <c r="B54" s="344">
        <f>_xlfn.XLOOKUP(G54,销售需求表!A:A,销售需求表!C:C)</f>
        <v/>
      </c>
      <c r="C54" s="345">
        <f>IFERROR(MID(F54,FIND("R",F54)+1,4),"")</f>
        <v/>
      </c>
      <c r="D54" s="344">
        <f>B54&amp;C54&amp;"寸"</f>
        <v/>
      </c>
      <c r="E54" s="346">
        <f>LEFT(REPLACE(G54,1,2,""),FIND("[",REPLACE(G54,1,2,""))-1)&amp;"-"&amp;MID(REPLACE(G54,1,2,""),FIND("[",REPLACE(G54,1,2,""))+1,FIND("]",REPLACE(G54,1,2,""))-FIND("[",REPLACE(G54,1,2,""))-1)</f>
        <v/>
      </c>
      <c r="F54" s="347">
        <f>IFERROR(MID(G54,3,FIND("(",G54)-3)&amp;"-"&amp;SUBSTITUTE(MID(G54,FIND("[",G54)+1,FIND("]",G54)-FIND("[",G54)-1),"Strong Guard ",""),"")</f>
        <v/>
      </c>
      <c r="G54" s="361" t="inlineStr">
        <is>
          <t>ID11R24.5-16PR(149/146L)[KOBE APM]ITARO无内</t>
        </is>
      </c>
      <c r="H54" s="344" t="n">
        <v>380</v>
      </c>
      <c r="I54" s="348" t="n"/>
      <c r="J54" s="349">
        <f>IFERROR(LEFT(F54,FIND("-",F54))&amp;MID(F54,FIND("PR",F54,FIND("-",F54))+3,LEN(F54)),F54)</f>
        <v/>
      </c>
      <c r="K54" s="352">
        <f>_xlfn.XLOOKUP(F54,投产规格!E:E,投产规格!D:D,"未投产")</f>
        <v/>
      </c>
      <c r="L54" s="352">
        <f>IFERROR(_xlfn.XLOOKUP(F54,硫化工艺!B:B,硫化工艺!C:C),"")</f>
        <v/>
      </c>
      <c r="M54" s="430">
        <f>IF(L54="","",L54/(L54+$L$1/60))</f>
        <v/>
      </c>
      <c r="N54" s="352">
        <f>C54&amp;"全钢"</f>
        <v/>
      </c>
      <c r="O54" s="352">
        <f>IFERROR(_xlfn.XLOOKUP(F54,轮胎重量!J:J,轮胎重量!G:G),"")</f>
        <v/>
      </c>
      <c r="P54" s="352">
        <f>IFERROR(_xlfn.XLOOKUP(G54,硫化工艺!I:I,硫化工艺!J:J),"")</f>
        <v/>
      </c>
      <c r="Q54" s="352">
        <f>IFERROR(ROUND(1440/L54*(I54)*M54,0),"")</f>
        <v/>
      </c>
      <c r="R54" s="352" t="n"/>
      <c r="S54" s="352" t="n"/>
      <c r="T54" s="352" t="n"/>
      <c r="U54" s="352" t="n"/>
      <c r="V54" s="352" t="n"/>
      <c r="W54" s="352" t="n">
        <v>130</v>
      </c>
      <c r="X54" s="352" t="n">
        <v>130</v>
      </c>
      <c r="Y54" s="352" t="n">
        <v>130</v>
      </c>
      <c r="Z54" s="352" t="n">
        <v>130</v>
      </c>
      <c r="AA54" s="352" t="n"/>
      <c r="AB54" s="352" t="n"/>
      <c r="AC54" s="352" t="n"/>
      <c r="AD54" s="352" t="n"/>
      <c r="AE54" s="352" t="n"/>
      <c r="AF54" s="352" t="n"/>
      <c r="AG54" s="352" t="n"/>
      <c r="AH54" s="352" t="n"/>
      <c r="AI54" s="352" t="n"/>
      <c r="AJ54" s="352" t="n"/>
      <c r="AK54" s="352" t="n"/>
      <c r="AL54" s="352" t="n"/>
      <c r="AM54" s="352" t="n"/>
      <c r="AN54" s="352" t="n"/>
      <c r="AO54" s="352" t="n"/>
      <c r="AP54" s="352" t="n"/>
      <c r="AQ54" s="352" t="n"/>
      <c r="AR54" s="352" t="n"/>
      <c r="AS54" s="352" t="n"/>
      <c r="AT54" s="352" t="n"/>
      <c r="AU54" s="352" t="n"/>
      <c r="AV54" s="352" t="n"/>
      <c r="AW54" s="352">
        <f>IF(SUM(R54:AV54)=0,"",SUM(R54:AV54))</f>
        <v/>
      </c>
      <c r="AX54" s="431">
        <f>IFERROR(AW54*O54/1000,"")</f>
        <v/>
      </c>
      <c r="AY54" s="431">
        <f>IFERROR(ROUND(AW54*P54/10000,3),"")</f>
        <v/>
      </c>
      <c r="AZ54" s="354" t="n">
        <v>459.15</v>
      </c>
      <c r="BA54" s="355" t="n">
        <v>29.49</v>
      </c>
      <c r="BB54" s="355" t="n">
        <v>50.29</v>
      </c>
      <c r="BC54" s="355" t="n">
        <v>52.01</v>
      </c>
      <c r="BE54" s="331">
        <f>AZ54*AW54</f>
        <v/>
      </c>
      <c r="BF54" s="331">
        <f>BA54*AW54</f>
        <v/>
      </c>
      <c r="BG54" s="331">
        <f>BB54*AW54</f>
        <v/>
      </c>
      <c r="BH54" s="331">
        <f>BC54*AW54</f>
        <v/>
      </c>
      <c r="BJ54" s="356">
        <f t="array" ref="BJ54:BM54">_xlfn.LET(_xlpm.data,$R54:$AV54,_xlpm.starts,{1,8,16,23},_xlpm.lengths,{7,7,8,9},_xlpm.arr,_xlfn.MAP(_xlpm.starts,_xlpm.lengths,_xlfn.LAMBDA(_xlpm.s,_xlpm.l,SUM(INDEX(_xlpm.data,,_xlfn.SEQUENCE(,_xlpm.l,_xlpm.s))))),ROUND(_xlpm.arr*$O54/1000,2))</f>
        <v/>
      </c>
      <c r="BK54" s="331" t="n">
        <v>14.19</v>
      </c>
      <c r="BL54" s="331" t="n">
        <v>0</v>
      </c>
      <c r="BM54" s="331" t="n">
        <v>0</v>
      </c>
      <c r="BN54" s="362">
        <f>SUM(BJ54:BM54)</f>
        <v/>
      </c>
      <c r="BO54" s="362" t="n">
        <v>0</v>
      </c>
      <c r="BP54" s="362" t="n">
        <v>0</v>
      </c>
      <c r="BQ54" s="362" t="n">
        <v>0</v>
      </c>
      <c r="BR54" s="362" t="n">
        <v>0</v>
      </c>
      <c r="BT54" s="362">
        <f t="array" ref="BT54:BW54">_xlfn.HSTACK(SUM(INDEX($R54:$AV54,1,1):INDEX($R54:$AV54,1,7)),SUM(INDEX($R54:$AV54,1,7):INDEX($R54:$AV54,1,13)),SUM(INDEX($R54:$AV54,1,16):INDEX($R54:$AV54,1,23)),SUM(INDEX($R54:$AV54,1,23):INDEX($R54:$AV54,1,31)))</f>
        <v/>
      </c>
      <c r="BU54" s="362" t="n">
        <v>390</v>
      </c>
      <c r="BV54" s="362" t="n">
        <v>0</v>
      </c>
      <c r="BW54" s="362" t="n">
        <v>0</v>
      </c>
      <c r="BY54" s="362">
        <f>SUM(R54:X54)</f>
        <v/>
      </c>
      <c r="BZ54" s="362">
        <f>SUM(Y54:AE54)</f>
        <v/>
      </c>
      <c r="CA54" s="362">
        <f>SUM(AF54:AM54)</f>
        <v/>
      </c>
      <c r="CB54" s="362">
        <f>SUM(AN54:AV54)</f>
        <v/>
      </c>
      <c r="CD54" s="432" t="inlineStr">
        <is>
          <t>ADA</t>
        </is>
      </c>
      <c r="CE54" s="362">
        <f>ROUND(BY54*$O54/1000,2)</f>
        <v/>
      </c>
      <c r="CF54" s="362">
        <f>ROUND(BZ54*$O54/1000,2)</f>
        <v/>
      </c>
      <c r="CG54" s="362">
        <f>ROUND(CA54*$O54/1000,2)</f>
        <v/>
      </c>
      <c r="CH54" s="362">
        <f>ROUND(CB54*$O54/1000,2)</f>
        <v/>
      </c>
      <c r="CI54" s="362">
        <f>SUM(CE54:CH54)</f>
        <v/>
      </c>
      <c r="CK54" s="362">
        <f>IFERROR(ROUND(BY54*$P54,2),"")</f>
        <v/>
      </c>
      <c r="CL54" s="362">
        <f>IFERROR(ROUND(BZ54*$P54,2),"")</f>
        <v/>
      </c>
      <c r="CM54" s="362">
        <f>IFERROR(ROUND(CA54*$P54,2),"")</f>
        <v/>
      </c>
      <c r="CN54" s="362">
        <f>IFERROR(ROUND(CB54*$P54,2),"")</f>
        <v/>
      </c>
      <c r="CO54" s="362">
        <f>SUM(CK54:CN54)</f>
        <v/>
      </c>
    </row>
    <row r="55" ht="15.6" customHeight="1" s="428">
      <c r="B55" s="344">
        <f>_xlfn.XLOOKUP(G55,销售需求表!A:A,销售需求表!C:C)</f>
        <v/>
      </c>
      <c r="C55" s="345">
        <f>IFERROR(MID(F55,FIND("R",F55)+1,4),"")</f>
        <v/>
      </c>
      <c r="D55" s="344">
        <f>B55&amp;C55&amp;"寸"</f>
        <v/>
      </c>
      <c r="E55" s="346">
        <f>LEFT(REPLACE(G55,1,2,""),FIND("[",REPLACE(G55,1,2,""))-1)&amp;"-"&amp;MID(REPLACE(G55,1,2,""),FIND("[",REPLACE(G55,1,2,""))+1,FIND("]",REPLACE(G55,1,2,""))-FIND("[",REPLACE(G55,1,2,""))-1)</f>
        <v/>
      </c>
      <c r="F55" s="347">
        <f>IFERROR(MID(G55,3,FIND("(",G55)-3)&amp;"-"&amp;SUBSTITUTE(MID(G55,FIND("[",G55)+1,FIND("]",G55)-FIND("[",G55)-1),"Strong Guard ",""),"")</f>
        <v/>
      </c>
      <c r="G55" s="361" t="inlineStr">
        <is>
          <t>ID11R24.5-16PR(149/146L)[KOBE DPM]ITARO无内</t>
        </is>
      </c>
      <c r="H55" s="344" t="n">
        <v>1900</v>
      </c>
      <c r="I55" s="348" t="n">
        <v>4</v>
      </c>
      <c r="J55" s="349">
        <f>IFERROR(LEFT(F55,FIND("-",F55))&amp;MID(F55,FIND("PR",F55,FIND("-",F55))+3,LEN(F55)),F55)</f>
        <v/>
      </c>
      <c r="K55" s="352">
        <f>_xlfn.XLOOKUP(F55,投产规格!E:E,投产规格!D:D,"未投产")</f>
        <v/>
      </c>
      <c r="L55" s="352">
        <f>IFERROR(_xlfn.XLOOKUP(F55,硫化工艺!B:B,硫化工艺!C:C),"")</f>
        <v/>
      </c>
      <c r="M55" s="430">
        <f>IF(L55="","",L55/(L55+$L$1/60))</f>
        <v/>
      </c>
      <c r="N55" s="352">
        <f>C55&amp;"全钢"</f>
        <v/>
      </c>
      <c r="O55" s="352">
        <f>IFERROR(_xlfn.XLOOKUP(F55,轮胎重量!J:J,轮胎重量!G:G),"")</f>
        <v/>
      </c>
      <c r="P55" s="352">
        <f>IFERROR(_xlfn.XLOOKUP(G55,硫化工艺!I:I,硫化工艺!J:J),"")</f>
        <v/>
      </c>
      <c r="Q55" s="352">
        <f>IFERROR(ROUND(1440/L55*(I55)*M55,0),"")</f>
        <v/>
      </c>
      <c r="R55" s="352" t="n">
        <v>130</v>
      </c>
      <c r="S55" s="352" t="n">
        <v>130</v>
      </c>
      <c r="T55" s="352" t="n">
        <v>130</v>
      </c>
      <c r="U55" s="352" t="n">
        <v>130</v>
      </c>
      <c r="V55" s="352" t="n">
        <v>130</v>
      </c>
      <c r="W55" s="352" t="n">
        <v>130</v>
      </c>
      <c r="X55" s="352" t="n">
        <v>130</v>
      </c>
      <c r="Y55" s="352" t="n">
        <v>130</v>
      </c>
      <c r="Z55" s="352" t="n">
        <v>130</v>
      </c>
      <c r="AA55" s="352" t="n">
        <v>130</v>
      </c>
      <c r="AB55" s="352" t="n">
        <v>130</v>
      </c>
      <c r="AC55" s="352" t="n">
        <v>130</v>
      </c>
      <c r="AD55" s="352" t="n">
        <v>130</v>
      </c>
      <c r="AE55" s="352" t="n">
        <v>130</v>
      </c>
      <c r="AF55" s="352" t="n">
        <v>130</v>
      </c>
      <c r="AG55" s="352" t="n"/>
      <c r="AH55" s="352" t="n"/>
      <c r="AI55" s="352" t="n"/>
      <c r="AJ55" s="352" t="n"/>
      <c r="AK55" s="352" t="n"/>
      <c r="AL55" s="352" t="n"/>
      <c r="AM55" s="352" t="n"/>
      <c r="AN55" s="352" t="n"/>
      <c r="AO55" s="352" t="n"/>
      <c r="AP55" s="352" t="n"/>
      <c r="AQ55" s="352" t="n"/>
      <c r="AR55" s="352" t="n"/>
      <c r="AS55" s="352" t="n"/>
      <c r="AT55" s="352" t="n"/>
      <c r="AU55" s="352" t="n"/>
      <c r="AV55" s="352" t="n"/>
      <c r="AW55" s="352">
        <f>IF(SUM(R55:AV55)=0,"",SUM(R55:AV55))</f>
        <v/>
      </c>
      <c r="AX55" s="431">
        <f>IFERROR(AW55*O55/1000,"")</f>
        <v/>
      </c>
      <c r="AY55" s="431">
        <f>IFERROR(ROUND(AW55*P55/10000,3),"")</f>
        <v/>
      </c>
      <c r="AZ55" s="354" t="n">
        <v>459.15</v>
      </c>
      <c r="BA55" s="355" t="n">
        <v>29.49</v>
      </c>
      <c r="BB55" s="355" t="n">
        <v>50.29</v>
      </c>
      <c r="BC55" s="355" t="n">
        <v>52.01</v>
      </c>
      <c r="BE55" s="331">
        <f>AZ55*AW55</f>
        <v/>
      </c>
      <c r="BF55" s="331">
        <f>BA55*AW55</f>
        <v/>
      </c>
      <c r="BG55" s="331">
        <f>BB55*AW55</f>
        <v/>
      </c>
      <c r="BH55" s="331">
        <f>BC55*AW55</f>
        <v/>
      </c>
      <c r="BJ55" s="356">
        <f t="array" ref="BJ55:BM55">_xlfn.LET(_xlpm.data,$R55:$AV55,_xlpm.starts,{1,8,16,23},_xlpm.lengths,{7,7,8,9},_xlpm.arr,_xlfn.MAP(_xlpm.starts,_xlpm.lengths,_xlfn.LAMBDA(_xlpm.s,_xlpm.l,SUM(INDEX(_xlpm.data,,_xlfn.SEQUENCE(,_xlpm.l,_xlpm.s))))),ROUND(_xlpm.arr*$O55/1000,2))</f>
        <v/>
      </c>
      <c r="BK55" s="331" t="n">
        <v>53.29</v>
      </c>
      <c r="BL55" s="331" t="n">
        <v>0</v>
      </c>
      <c r="BM55" s="331" t="n">
        <v>0</v>
      </c>
      <c r="BN55" s="362">
        <f>SUM(BJ55:BM55)</f>
        <v/>
      </c>
      <c r="BO55" s="362" t="n">
        <v>0</v>
      </c>
      <c r="BP55" s="362" t="n">
        <v>0</v>
      </c>
      <c r="BQ55" s="362" t="n">
        <v>0</v>
      </c>
      <c r="BR55" s="362" t="n">
        <v>0</v>
      </c>
      <c r="BT55" s="362">
        <f t="array" ref="BT55:BW55">_xlfn.HSTACK(SUM(INDEX($R55:$AV55,1,1):INDEX($R55:$AV55,1,7)),SUM(INDEX($R55:$AV55,1,7):INDEX($R55:$AV55,1,13)),SUM(INDEX($R55:$AV55,1,16):INDEX($R55:$AV55,1,23)),SUM(INDEX($R55:$AV55,1,23):INDEX($R55:$AV55,1,31)))</f>
        <v/>
      </c>
      <c r="BU55" s="362" t="n">
        <v>910</v>
      </c>
      <c r="BV55" s="362" t="n">
        <v>0</v>
      </c>
      <c r="BW55" s="362" t="n">
        <v>0</v>
      </c>
      <c r="BY55" s="362">
        <f>SUM(R55:X55)</f>
        <v/>
      </c>
      <c r="BZ55" s="362">
        <f>SUM(Y55:AE55)</f>
        <v/>
      </c>
      <c r="CA55" s="362">
        <f>SUM(AF55:AM55)</f>
        <v/>
      </c>
      <c r="CB55" s="362">
        <f>SUM(AN55:AV55)</f>
        <v/>
      </c>
      <c r="CD55" s="432" t="inlineStr">
        <is>
          <t>ADA</t>
        </is>
      </c>
      <c r="CE55" s="362">
        <f>ROUND(BY55*$O55/1000,2)</f>
        <v/>
      </c>
      <c r="CF55" s="362">
        <f>ROUND(BZ55*$O55/1000,2)</f>
        <v/>
      </c>
      <c r="CG55" s="362">
        <f>ROUND(CA55*$O55/1000,2)</f>
        <v/>
      </c>
      <c r="CH55" s="362">
        <f>ROUND(CB55*$O55/1000,2)</f>
        <v/>
      </c>
      <c r="CI55" s="362">
        <f>SUM(CE55:CH55)</f>
        <v/>
      </c>
      <c r="CK55" s="362">
        <f>IFERROR(ROUND(BY55*$P55,2),"")</f>
        <v/>
      </c>
      <c r="CL55" s="362">
        <f>IFERROR(ROUND(BZ55*$P55,2),"")</f>
        <v/>
      </c>
      <c r="CM55" s="362">
        <f>IFERROR(ROUND(CA55*$P55,2),"")</f>
        <v/>
      </c>
      <c r="CN55" s="362">
        <f>IFERROR(ROUND(CB55*$P55,2),"")</f>
        <v/>
      </c>
      <c r="CO55" s="362">
        <f>SUM(CK55:CN55)</f>
        <v/>
      </c>
    </row>
    <row r="56" ht="15.6" customHeight="1" s="428">
      <c r="B56" s="344">
        <f>_xlfn.XLOOKUP(G56,销售需求表!A:A,销售需求表!C:C)</f>
        <v/>
      </c>
      <c r="C56" s="345">
        <f>IFERROR(MID(F56,FIND("R",F56)+1,4),"")</f>
        <v/>
      </c>
      <c r="D56" s="344">
        <f>B56&amp;C56&amp;"寸"</f>
        <v/>
      </c>
      <c r="E56" s="346">
        <f>LEFT(REPLACE(G56,1,2,""),FIND("[",REPLACE(G56,1,2,""))-1)&amp;"-"&amp;MID(REPLACE(G56,1,2,""),FIND("[",REPLACE(G56,1,2,""))+1,FIND("]",REPLACE(G56,1,2,""))-FIND("[",REPLACE(G56,1,2,""))-1)</f>
        <v/>
      </c>
      <c r="F56" s="347">
        <f>IFERROR(MID(G56,3,FIND("(",G56)-3)&amp;"-"&amp;SUBSTITUTE(MID(G56,FIND("[",G56)+1,FIND("]",G56)-FIND("[",G56)-1),"Strong Guard ",""),"")</f>
        <v/>
      </c>
      <c r="G56" s="361" t="inlineStr">
        <is>
          <t>ID11R24.5-16PR(149/146L)[M-TRAC AP]MASTERTRACK无内</t>
        </is>
      </c>
      <c r="H56" s="344" t="n">
        <v>2300</v>
      </c>
      <c r="I56" s="348" t="n">
        <v>2</v>
      </c>
      <c r="J56" s="349">
        <f>IFERROR(LEFT(F56,FIND("-",F56))&amp;MID(F56,FIND("PR",F56,FIND("-",F56))+3,LEN(F56)),F56)</f>
        <v/>
      </c>
      <c r="K56" s="352">
        <f>_xlfn.XLOOKUP(F56,投产规格!E:E,投产规格!D:D,"未投产")</f>
        <v/>
      </c>
      <c r="L56" s="352">
        <f>IFERROR(_xlfn.XLOOKUP(F56,硫化工艺!B:B,硫化工艺!C:C),"")</f>
        <v/>
      </c>
      <c r="M56" s="430">
        <f>IF(L56="","",L56/(L56+$L$1/60))</f>
        <v/>
      </c>
      <c r="N56" s="352">
        <f>C56&amp;"全钢"</f>
        <v/>
      </c>
      <c r="O56" s="352">
        <f>IFERROR(_xlfn.XLOOKUP(F56,轮胎重量!J:J,轮胎重量!G:G),"")</f>
        <v/>
      </c>
      <c r="P56" s="358">
        <f>O56*13.9</f>
        <v/>
      </c>
      <c r="Q56" s="352">
        <f>IFERROR(ROUND(1440/L56*(I56)*M56,0),"")</f>
        <v/>
      </c>
      <c r="R56" s="352" t="n">
        <v>60</v>
      </c>
      <c r="S56" s="352" t="n">
        <v>60</v>
      </c>
      <c r="T56" s="352" t="n">
        <v>60</v>
      </c>
      <c r="U56" s="352" t="n">
        <v>60</v>
      </c>
      <c r="V56" s="352" t="n">
        <v>60</v>
      </c>
      <c r="W56" s="352" t="n">
        <v>60</v>
      </c>
      <c r="X56" s="352" t="n">
        <v>60</v>
      </c>
      <c r="Y56" s="352" t="n">
        <v>60</v>
      </c>
      <c r="Z56" s="352" t="n">
        <v>60</v>
      </c>
      <c r="AA56" s="352" t="n">
        <v>60</v>
      </c>
      <c r="AB56" s="352" t="n">
        <v>60</v>
      </c>
      <c r="AC56" s="352" t="n">
        <v>60</v>
      </c>
      <c r="AD56" s="352" t="n">
        <v>60</v>
      </c>
      <c r="AE56" s="352" t="n">
        <v>60</v>
      </c>
      <c r="AF56" s="352" t="n">
        <v>60</v>
      </c>
      <c r="AG56" s="352" t="n">
        <v>60</v>
      </c>
      <c r="AH56" s="352" t="n">
        <v>60</v>
      </c>
      <c r="AI56" s="352" t="n">
        <v>60</v>
      </c>
      <c r="AJ56" s="352" t="n">
        <v>60</v>
      </c>
      <c r="AK56" s="352" t="n"/>
      <c r="AL56" s="352" t="n"/>
      <c r="AM56" s="352" t="n"/>
      <c r="AN56" s="352" t="n"/>
      <c r="AO56" s="352" t="n"/>
      <c r="AP56" s="352" t="n"/>
      <c r="AQ56" s="352" t="n"/>
      <c r="AR56" s="352" t="n"/>
      <c r="AS56" s="352" t="n"/>
      <c r="AT56" s="352" t="n"/>
      <c r="AU56" s="352" t="n"/>
      <c r="AV56" s="352" t="n"/>
      <c r="AW56" s="352">
        <f>IF(SUM(R56:AV56)=0,"",SUM(R56:AV56))</f>
        <v/>
      </c>
      <c r="AX56" s="431">
        <f>IFERROR(AW56*O56/1000,"")</f>
        <v/>
      </c>
      <c r="AY56" s="431">
        <f>IFERROR(ROUND(AW56*P56/10000,3),"")</f>
        <v/>
      </c>
      <c r="AZ56" s="354" t="n">
        <v>449.18</v>
      </c>
      <c r="BA56" s="355" t="n">
        <v>29.42</v>
      </c>
      <c r="BB56" s="355" t="n">
        <v>49.09</v>
      </c>
      <c r="BC56" s="355" t="n">
        <v>52.13</v>
      </c>
      <c r="BE56" s="331">
        <f>AZ56*AW56</f>
        <v/>
      </c>
      <c r="BF56" s="331">
        <f>BA56*AW56</f>
        <v/>
      </c>
      <c r="BG56" s="331">
        <f>BB56*AW56</f>
        <v/>
      </c>
      <c r="BH56" s="331">
        <f>BC56*AW56</f>
        <v/>
      </c>
      <c r="BJ56" s="356">
        <f t="array" ref="BJ56:BM56">_xlfn.LET(_xlpm.data,$R56:$AV56,_xlpm.starts,{1,8,16,23},_xlpm.lengths,{7,7,8,9},_xlpm.arr,_xlfn.MAP(_xlpm.starts,_xlpm.lengths,_xlfn.LAMBDA(_xlpm.s,_xlpm.l,SUM(INDEX(_xlpm.data,,_xlfn.SEQUENCE(,_xlpm.l,_xlpm.s))))),ROUND(_xlpm.arr*$O56/1000,2))</f>
        <v/>
      </c>
      <c r="BK56" s="331" t="n">
        <v>25.7</v>
      </c>
      <c r="BL56" s="331" t="n">
        <v>14.69</v>
      </c>
      <c r="BM56" s="331" t="n">
        <v>0</v>
      </c>
      <c r="BN56" s="362">
        <f>SUM(BJ56:BM56)</f>
        <v/>
      </c>
      <c r="BO56" s="362" t="n">
        <v>0</v>
      </c>
      <c r="BP56" s="362" t="n">
        <v>0</v>
      </c>
      <c r="BQ56" s="362" t="n">
        <v>0</v>
      </c>
      <c r="BR56" s="362" t="n">
        <v>0</v>
      </c>
      <c r="BT56" s="362">
        <f t="array" ref="BT56:BW56">_xlfn.HSTACK(SUM(INDEX($R56:$AV56,1,1):INDEX($R56:$AV56,1,7)),SUM(INDEX($R56:$AV56,1,7):INDEX($R56:$AV56,1,13)),SUM(INDEX($R56:$AV56,1,16):INDEX($R56:$AV56,1,23)),SUM(INDEX($R56:$AV56,1,23):INDEX($R56:$AV56,1,31)))</f>
        <v/>
      </c>
      <c r="BU56" s="362" t="n">
        <v>420</v>
      </c>
      <c r="BV56" s="362" t="n">
        <v>240</v>
      </c>
      <c r="BW56" s="362" t="n">
        <v>0</v>
      </c>
      <c r="BY56" s="362">
        <f>SUM(R56:X56)</f>
        <v/>
      </c>
      <c r="BZ56" s="362">
        <f>SUM(Y56:AE56)</f>
        <v/>
      </c>
      <c r="CA56" s="362">
        <f>SUM(AF56:AM56)</f>
        <v/>
      </c>
      <c r="CB56" s="362">
        <f>SUM(AN56:AV56)</f>
        <v/>
      </c>
      <c r="CD56" s="432" t="inlineStr">
        <is>
          <t>ADA</t>
        </is>
      </c>
      <c r="CE56" s="362">
        <f>ROUND(BY56*$O56/1000,2)</f>
        <v/>
      </c>
      <c r="CF56" s="362">
        <f>ROUND(BZ56*$O56/1000,2)</f>
        <v/>
      </c>
      <c r="CG56" s="362">
        <f>ROUND(CA56*$O56/1000,2)</f>
        <v/>
      </c>
      <c r="CH56" s="362">
        <f>ROUND(CB56*$O56/1000,2)</f>
        <v/>
      </c>
      <c r="CI56" s="362">
        <f>SUM(CE56:CH56)</f>
        <v/>
      </c>
      <c r="CK56" s="362">
        <f>IFERROR(ROUND(BY56*$P56,2),"")</f>
        <v/>
      </c>
      <c r="CL56" s="362">
        <f>IFERROR(ROUND(BZ56*$P56,2),"")</f>
        <v/>
      </c>
      <c r="CM56" s="362">
        <f>IFERROR(ROUND(CA56*$P56,2),"")</f>
        <v/>
      </c>
      <c r="CN56" s="362">
        <f>IFERROR(ROUND(CB56*$P56,2),"")</f>
        <v/>
      </c>
      <c r="CO56" s="362">
        <f>SUM(CK56:CN56)</f>
        <v/>
      </c>
    </row>
    <row r="57" ht="15.6" customHeight="1" s="428">
      <c r="A57" s="331" t="n"/>
      <c r="B57" s="344">
        <f>_xlfn.XLOOKUP(G57,销售需求表!A:A,销售需求表!C:C)</f>
        <v/>
      </c>
      <c r="C57" s="345">
        <f>IFERROR(MID(F57,FIND("R",F57)+1,4),"")</f>
        <v/>
      </c>
      <c r="D57" s="344">
        <f>B57&amp;C57&amp;"寸"</f>
        <v/>
      </c>
      <c r="E57" s="346">
        <f>LEFT(REPLACE(G57,1,2,""),FIND("[",REPLACE(G57,1,2,""))-1)&amp;"-"&amp;MID(REPLACE(G57,1,2,""),FIND("[",REPLACE(G57,1,2,""))+1,FIND("]",REPLACE(G57,1,2,""))-FIND("[",REPLACE(G57,1,2,""))-1)</f>
        <v/>
      </c>
      <c r="F57" s="347">
        <f>IFERROR(MID(G57,3,FIND("(",G57)-3)&amp;"-"&amp;SUBSTITUTE(MID(G57,FIND("[",G57)+1,FIND("]",G57)-FIND("[",G57)-1),"Strong Guard ",""),"")</f>
        <v/>
      </c>
      <c r="G57" s="361" t="inlineStr">
        <is>
          <t>ID11R24.5-16PR(149/146L)[M-TRAC CSD]MASTERTRACK无内</t>
        </is>
      </c>
      <c r="H57" s="344" t="n">
        <v>2200</v>
      </c>
      <c r="I57" s="348" t="n">
        <v>2</v>
      </c>
      <c r="J57" s="349">
        <f>IFERROR(LEFT(F57,FIND("-",F57))&amp;MID(F57,FIND("PR",F57,FIND("-",F57))+3,LEN(F57)),F57)</f>
        <v/>
      </c>
      <c r="K57" s="352">
        <f>_xlfn.XLOOKUP(F57,投产规格!E:E,投产规格!D:D,"未投产")</f>
        <v/>
      </c>
      <c r="L57" s="352">
        <f>IFERROR(_xlfn.XLOOKUP(F57,硫化工艺!B:B,硫化工艺!C:C),"")</f>
        <v/>
      </c>
      <c r="M57" s="430">
        <f>IF(L57="","",L57/(L57+$L$1/60))</f>
        <v/>
      </c>
      <c r="N57" s="352">
        <f>C57&amp;"全钢"</f>
        <v/>
      </c>
      <c r="O57" s="352">
        <f>IFERROR(_xlfn.XLOOKUP(F57,轮胎重量!J:J,轮胎重量!G:G),"")</f>
        <v/>
      </c>
      <c r="P57" s="358">
        <f>O57*13.9</f>
        <v/>
      </c>
      <c r="Q57" s="352">
        <f>IFERROR(ROUND(1440/L57*(I57)*M57,0),"")</f>
        <v/>
      </c>
      <c r="R57" s="352" t="n">
        <v>60</v>
      </c>
      <c r="S57" s="352" t="n">
        <v>60</v>
      </c>
      <c r="T57" s="352" t="n">
        <v>60</v>
      </c>
      <c r="U57" s="352" t="n">
        <v>60</v>
      </c>
      <c r="V57" s="352" t="n">
        <v>60</v>
      </c>
      <c r="W57" s="352" t="n">
        <v>60</v>
      </c>
      <c r="X57" s="352" t="n">
        <v>60</v>
      </c>
      <c r="Y57" s="352" t="n">
        <v>60</v>
      </c>
      <c r="Z57" s="352" t="n">
        <v>60</v>
      </c>
      <c r="AA57" s="352" t="n">
        <v>60</v>
      </c>
      <c r="AB57" s="352" t="n">
        <v>60</v>
      </c>
      <c r="AC57" s="352" t="n">
        <v>60</v>
      </c>
      <c r="AD57" s="352" t="n">
        <v>60</v>
      </c>
      <c r="AE57" s="352" t="n">
        <v>60</v>
      </c>
      <c r="AF57" s="352" t="n">
        <v>60</v>
      </c>
      <c r="AG57" s="352" t="n">
        <v>60</v>
      </c>
      <c r="AH57" s="352" t="n">
        <v>60</v>
      </c>
      <c r="AI57" s="352" t="n">
        <v>60</v>
      </c>
      <c r="AJ57" s="352" t="n">
        <v>60</v>
      </c>
      <c r="AK57" s="352" t="n"/>
      <c r="AL57" s="352" t="n"/>
      <c r="AM57" s="352" t="n"/>
      <c r="AN57" s="352" t="n"/>
      <c r="AO57" s="352" t="n"/>
      <c r="AP57" s="352" t="n"/>
      <c r="AQ57" s="352" t="n"/>
      <c r="AR57" s="352" t="n"/>
      <c r="AS57" s="352" t="n"/>
      <c r="AT57" s="352" t="n"/>
      <c r="AU57" s="352" t="n"/>
      <c r="AV57" s="352" t="n"/>
      <c r="AW57" s="352">
        <f>IF(SUM(R57:AV57)=0,"",SUM(R57:AV57))</f>
        <v/>
      </c>
      <c r="AX57" s="431">
        <f>IFERROR(AW57*O57/1000,"")</f>
        <v/>
      </c>
      <c r="AY57" s="431">
        <f>IFERROR(ROUND(AW57*P57/10000,3),"")</f>
        <v/>
      </c>
      <c r="AZ57" s="354" t="n">
        <v>449.18</v>
      </c>
      <c r="BA57" s="355" t="n">
        <v>29.42</v>
      </c>
      <c r="BB57" s="355" t="n">
        <v>49.09</v>
      </c>
      <c r="BC57" s="355" t="n">
        <v>52.13</v>
      </c>
      <c r="BD57" s="331" t="n"/>
      <c r="BE57" s="331">
        <f>AZ57*AW57</f>
        <v/>
      </c>
      <c r="BF57" s="331">
        <f>BA57*AW57</f>
        <v/>
      </c>
      <c r="BG57" s="331">
        <f>BB57*AW57</f>
        <v/>
      </c>
      <c r="BH57" s="331">
        <f>BC57*AW57</f>
        <v/>
      </c>
      <c r="BI57" s="331" t="n"/>
      <c r="BJ57" s="356">
        <f t="array" ref="BJ57:BM57">_xlfn.LET(_xlpm.data,$R57:$AV57,_xlpm.starts,{1,8,16,23},_xlpm.lengths,{7,7,8,9},_xlpm.arr,_xlfn.MAP(_xlpm.starts,_xlpm.lengths,_xlfn.LAMBDA(_xlpm.s,_xlpm.l,SUM(INDEX(_xlpm.data,,_xlfn.SEQUENCE(,_xlpm.l,_xlpm.s))))),ROUND(_xlpm.arr*$O57/1000,2))</f>
        <v/>
      </c>
      <c r="BK57" s="331" t="n">
        <v>25.7</v>
      </c>
      <c r="BL57" s="331" t="n">
        <v>14.69</v>
      </c>
      <c r="BM57" s="331" t="n">
        <v>0</v>
      </c>
      <c r="BN57" s="362">
        <f>SUM(BJ57:BM57)</f>
        <v/>
      </c>
      <c r="BO57" s="362" t="n">
        <v>0</v>
      </c>
      <c r="BP57" s="362" t="n">
        <v>0</v>
      </c>
      <c r="BQ57" s="362" t="n">
        <v>0</v>
      </c>
      <c r="BR57" s="362" t="n">
        <v>0</v>
      </c>
      <c r="BS57" s="115" t="n"/>
      <c r="BT57" s="362">
        <f t="array" ref="BT57:BW57">_xlfn.HSTACK(SUM(INDEX($R57:$AV57,1,1):INDEX($R57:$AV57,1,7)),SUM(INDEX($R57:$AV57,1,7):INDEX($R57:$AV57,1,13)),SUM(INDEX($R57:$AV57,1,16):INDEX($R57:$AV57,1,23)),SUM(INDEX($R57:$AV57,1,23):INDEX($R57:$AV57,1,31)))</f>
        <v/>
      </c>
      <c r="BU57" s="362" t="n">
        <v>420</v>
      </c>
      <c r="BV57" s="362" t="n">
        <v>240</v>
      </c>
      <c r="BW57" s="362" t="n">
        <v>0</v>
      </c>
      <c r="BY57" s="362">
        <f>SUM(R57:X57)</f>
        <v/>
      </c>
      <c r="BZ57" s="362">
        <f>SUM(Y57:AE57)</f>
        <v/>
      </c>
      <c r="CA57" s="362">
        <f>SUM(AF57:AM57)</f>
        <v/>
      </c>
      <c r="CB57" s="362">
        <f>SUM(AN57:AV57)</f>
        <v/>
      </c>
      <c r="CC57" s="362" t="n"/>
      <c r="CD57" s="432" t="inlineStr">
        <is>
          <t>ADA</t>
        </is>
      </c>
      <c r="CE57" s="362">
        <f>ROUND(BY57*$O57/1000,2)</f>
        <v/>
      </c>
      <c r="CF57" s="362">
        <f>ROUND(BZ57*$O57/1000,2)</f>
        <v/>
      </c>
      <c r="CG57" s="362">
        <f>ROUND(CA57*$O57/1000,2)</f>
        <v/>
      </c>
      <c r="CH57" s="362">
        <f>ROUND(CB57*$O57/1000,2)</f>
        <v/>
      </c>
      <c r="CI57" s="362">
        <f>SUM(CE57:CH57)</f>
        <v/>
      </c>
      <c r="CJ57" s="390" t="n"/>
      <c r="CK57" s="362">
        <f>IFERROR(ROUND(BY57*$P57,2),"")</f>
        <v/>
      </c>
      <c r="CL57" s="362">
        <f>IFERROR(ROUND(BZ57*$P57,2),"")</f>
        <v/>
      </c>
      <c r="CM57" s="362">
        <f>IFERROR(ROUND(CA57*$P57,2),"")</f>
        <v/>
      </c>
      <c r="CN57" s="362">
        <f>IFERROR(ROUND(CB57*$P57,2),"")</f>
        <v/>
      </c>
      <c r="CO57" s="362">
        <f>SUM(CK57:CN57)</f>
        <v/>
      </c>
    </row>
    <row r="58" hidden="1" ht="15.6" customHeight="1" s="428">
      <c r="A58" s="331" t="n"/>
      <c r="B58" s="344">
        <f>_xlfn.XLOOKUP(G58,销售需求表!A:A,销售需求表!C:C)</f>
        <v/>
      </c>
      <c r="C58" s="345">
        <f>IFERROR(MID(F58,FIND("R",F58)+1,4),"")</f>
        <v/>
      </c>
      <c r="D58" s="344">
        <f>B58&amp;C58&amp;"寸"</f>
        <v/>
      </c>
      <c r="E58" s="346">
        <f>LEFT(REPLACE(G58,1,2,""),FIND("[",REPLACE(G58,1,2,""))-1)&amp;"-"&amp;MID(REPLACE(G58,1,2,""),FIND("[",REPLACE(G58,1,2,""))+1,FIND("]",REPLACE(G58,1,2,""))-FIND("[",REPLACE(G58,1,2,""))-1)</f>
        <v/>
      </c>
      <c r="F58" s="347">
        <f>IFERROR(MID(G58,3,FIND("(",G58)-3)&amp;"-"&amp;SUBSTITUTE(MID(G58,FIND("[",G58)+1,FIND("]",G58)-FIND("[",G58)-1),"Strong Guard ",""),"")</f>
        <v/>
      </c>
      <c r="G58" s="361" t="inlineStr">
        <is>
          <t>ID11R24.5-16PR(149/146L)[M-TRAC MS]MASTERTRACK无内</t>
        </is>
      </c>
      <c r="H58" s="344" t="n">
        <v>350</v>
      </c>
      <c r="I58" s="348" t="n"/>
      <c r="J58" s="349">
        <f>IFERROR(LEFT(F58,FIND("-",F58))&amp;MID(F58,FIND("PR",F58,FIND("-",F58))+3,LEN(F58)),F58)</f>
        <v/>
      </c>
      <c r="K58" s="352">
        <f>_xlfn.XLOOKUP(F58,投产规格!E:E,投产规格!D:D,"未投产")</f>
        <v/>
      </c>
      <c r="L58" s="352">
        <f>IFERROR(_xlfn.XLOOKUP(F58,硫化工艺!B:B,硫化工艺!C:C),"")</f>
        <v/>
      </c>
      <c r="M58" s="430">
        <f>IF(L58="","",L58/(L58+$L$1/60))</f>
        <v/>
      </c>
      <c r="N58" s="352">
        <f>C58&amp;"全钢"</f>
        <v/>
      </c>
      <c r="O58" s="352">
        <f>IFERROR(_xlfn.XLOOKUP(F58,轮胎重量!J:J,轮胎重量!G:G),"")</f>
        <v/>
      </c>
      <c r="P58" s="358">
        <f>O58*13.9</f>
        <v/>
      </c>
      <c r="Q58" s="352">
        <f>IFERROR(ROUND(1440/L58*(I58)*M58,0),"")</f>
        <v/>
      </c>
      <c r="R58" s="352" t="n"/>
      <c r="S58" s="352" t="n"/>
      <c r="T58" s="352" t="n"/>
      <c r="U58" s="352" t="n"/>
      <c r="V58" s="352" t="n"/>
      <c r="W58" s="352" t="n"/>
      <c r="X58" s="352" t="n"/>
      <c r="Y58" s="352" t="n"/>
      <c r="Z58" s="352" t="n"/>
      <c r="AA58" s="352" t="n"/>
      <c r="AB58" s="352" t="n"/>
      <c r="AC58" s="352" t="n"/>
      <c r="AD58" s="352" t="n"/>
      <c r="AE58" s="352" t="n"/>
      <c r="AF58" s="352" t="n"/>
      <c r="AG58" s="352" t="n"/>
      <c r="AH58" s="352" t="n"/>
      <c r="AI58" s="352" t="n"/>
      <c r="AJ58" s="352" t="n"/>
      <c r="AK58" s="352" t="n"/>
      <c r="AL58" s="352" t="n"/>
      <c r="AM58" s="352" t="n"/>
      <c r="AN58" s="352" t="n"/>
      <c r="AO58" s="352" t="n"/>
      <c r="AP58" s="352" t="n"/>
      <c r="AQ58" s="352" t="n"/>
      <c r="AR58" s="352" t="n"/>
      <c r="AS58" s="352" t="n"/>
      <c r="AT58" s="352" t="n"/>
      <c r="AU58" s="352" t="n"/>
      <c r="AV58" s="352" t="n"/>
      <c r="AW58" s="352">
        <f>IF(SUM(R58:AV58)=0,"",SUM(R58:AV58))</f>
        <v/>
      </c>
      <c r="AX58" s="431">
        <f>IFERROR(AW58*O58/1000,"")</f>
        <v/>
      </c>
      <c r="AY58" s="431">
        <f>IFERROR(ROUND(AW58*P58/10000,3),"")</f>
        <v/>
      </c>
      <c r="AZ58" s="354" t="n">
        <v>449.18</v>
      </c>
      <c r="BA58" s="355" t="n">
        <v>29.42</v>
      </c>
      <c r="BB58" s="355" t="n">
        <v>49.09</v>
      </c>
      <c r="BC58" s="355" t="n">
        <v>52.13</v>
      </c>
      <c r="BD58" s="331" t="n"/>
      <c r="BE58" s="331">
        <f>AZ58*AW58</f>
        <v/>
      </c>
      <c r="BF58" s="331">
        <f>BA58*AW58</f>
        <v/>
      </c>
      <c r="BG58" s="331">
        <f>BB58*AW58</f>
        <v/>
      </c>
      <c r="BH58" s="331">
        <f>BC58*AW58</f>
        <v/>
      </c>
      <c r="BI58" s="331" t="n"/>
      <c r="BJ58" s="356">
        <f t="array" ref="BJ58:BM58">_xlfn.LET(_xlpm.data,$R58:$AV58,_xlpm.starts,{1,8,16,23},_xlpm.lengths,{7,7,8,9},_xlpm.arr,_xlfn.MAP(_xlpm.starts,_xlpm.lengths,_xlfn.LAMBDA(_xlpm.s,_xlpm.l,SUM(INDEX(_xlpm.data,,_xlfn.SEQUENCE(,_xlpm.l,_xlpm.s))))),ROUND(_xlpm.arr*$O58/1000,2))</f>
        <v/>
      </c>
      <c r="BK58" s="331" t="n">
        <v>0</v>
      </c>
      <c r="BL58" s="331" t="n">
        <v>0</v>
      </c>
      <c r="BM58" s="331" t="n">
        <v>0</v>
      </c>
      <c r="BN58" s="362">
        <f>SUM(BJ58:BM58)</f>
        <v/>
      </c>
      <c r="BO58" s="362" t="n">
        <v>0</v>
      </c>
      <c r="BP58" s="362" t="n">
        <v>0</v>
      </c>
      <c r="BQ58" s="362" t="n">
        <v>0</v>
      </c>
      <c r="BR58" s="362" t="n">
        <v>0</v>
      </c>
      <c r="BS58" s="115" t="n"/>
      <c r="BT58" s="362">
        <f t="array" ref="BT58:BW58">_xlfn.HSTACK(SUM(INDEX($R58:$AV58,1,1):INDEX($R58:$AV58,1,7)),SUM(INDEX($R58:$AV58,1,7):INDEX($R58:$AV58,1,13)),SUM(INDEX($R58:$AV58,1,16):INDEX($R58:$AV58,1,23)),SUM(INDEX($R58:$AV58,1,23):INDEX($R58:$AV58,1,31)))</f>
        <v/>
      </c>
      <c r="BU58" s="362" t="n">
        <v>0</v>
      </c>
      <c r="BV58" s="362" t="n">
        <v>0</v>
      </c>
      <c r="BW58" s="362" t="n">
        <v>0</v>
      </c>
      <c r="BY58" s="362">
        <f>SUM(R58:X58)</f>
        <v/>
      </c>
      <c r="BZ58" s="362">
        <f>SUM(Y58:AE58)</f>
        <v/>
      </c>
      <c r="CA58" s="362">
        <f>SUM(AF58:AM58)</f>
        <v/>
      </c>
      <c r="CB58" s="362">
        <f>SUM(AN58:AV58)</f>
        <v/>
      </c>
      <c r="CC58" s="362" t="n"/>
      <c r="CD58" s="432" t="inlineStr">
        <is>
          <t>ADA</t>
        </is>
      </c>
      <c r="CE58" s="362">
        <f>ROUND(BY58*$O58/1000,2)</f>
        <v/>
      </c>
      <c r="CF58" s="362">
        <f>ROUND(BZ58*$O58/1000,2)</f>
        <v/>
      </c>
      <c r="CG58" s="362">
        <f>ROUND(CA58*$O58/1000,2)</f>
        <v/>
      </c>
      <c r="CH58" s="362">
        <f>ROUND(CB58*$O58/1000,2)</f>
        <v/>
      </c>
      <c r="CI58" s="362">
        <f>SUM(CE58:CH58)</f>
        <v/>
      </c>
      <c r="CJ58" s="390" t="n"/>
      <c r="CK58" s="362">
        <f>IFERROR(ROUND(BY58*$P58,2),"")</f>
        <v/>
      </c>
      <c r="CL58" s="362">
        <f>IFERROR(ROUND(BZ58*$P58,2),"")</f>
        <v/>
      </c>
      <c r="CM58" s="362">
        <f>IFERROR(ROUND(CA58*$P58,2),"")</f>
        <v/>
      </c>
      <c r="CN58" s="362">
        <f>IFERROR(ROUND(CB58*$P58,2),"")</f>
        <v/>
      </c>
      <c r="CO58" s="362">
        <f>SUM(CK58:CN58)</f>
        <v/>
      </c>
    </row>
    <row r="59" hidden="1" ht="15.6" customHeight="1" s="428">
      <c r="A59" s="331" t="n"/>
      <c r="B59" s="344">
        <f>_xlfn.XLOOKUP(G59,销售需求表!A:A,销售需求表!C:C)</f>
        <v/>
      </c>
      <c r="C59" s="345">
        <f>IFERROR(MID(F59,FIND("R",F59)+1,4),"")</f>
        <v/>
      </c>
      <c r="D59" s="344">
        <f>B59&amp;C59&amp;"寸"</f>
        <v/>
      </c>
      <c r="E59" s="346">
        <f>LEFT(REPLACE(G59,1,2,""),FIND("[",REPLACE(G59,1,2,""))-1)&amp;"-"&amp;MID(REPLACE(G59,1,2,""),FIND("[",REPLACE(G59,1,2,""))+1,FIND("]",REPLACE(G59,1,2,""))-FIND("[",REPLACE(G59,1,2,""))-1)</f>
        <v/>
      </c>
      <c r="F59" s="347">
        <f>IFERROR(MID(G59,3,FIND("(",G59)-3)&amp;"-"&amp;SUBSTITUTE(MID(G59,FIND("[",G59)+1,FIND("]",G59)-FIND("[",G59)-1),"Strong Guard ",""),"")</f>
        <v/>
      </c>
      <c r="G59" s="361" t="inlineStr">
        <is>
          <t>ID11R24.5-16PR(149/146L)[M-TRAC MST]MASTERTRACK无内</t>
        </is>
      </c>
      <c r="H59" s="344" t="n">
        <v>150</v>
      </c>
      <c r="I59" s="348" t="n"/>
      <c r="J59" s="349">
        <f>IFERROR(LEFT(F59,FIND("-",F59))&amp;MID(F59,FIND("PR",F59,FIND("-",F59))+3,LEN(F59)),F59)</f>
        <v/>
      </c>
      <c r="K59" s="352">
        <f>_xlfn.XLOOKUP(F59,投产规格!E:E,投产规格!D:D,"未投产")</f>
        <v/>
      </c>
      <c r="L59" s="352">
        <f>IFERROR(_xlfn.XLOOKUP(F59,硫化工艺!B:B,硫化工艺!C:C),"")</f>
        <v/>
      </c>
      <c r="M59" s="430">
        <f>IF(L59="","",L59/(L59+$L$1/60))</f>
        <v/>
      </c>
      <c r="N59" s="352">
        <f>C59&amp;"全钢"</f>
        <v/>
      </c>
      <c r="O59" s="352">
        <f>IFERROR(_xlfn.XLOOKUP(F59,轮胎重量!J:J,轮胎重量!G:G),"")</f>
        <v/>
      </c>
      <c r="P59" s="358">
        <f>O59*13.9</f>
        <v/>
      </c>
      <c r="Q59" s="352">
        <f>IFERROR(ROUND(1440/L59*(I59)*M59,0),"")</f>
        <v/>
      </c>
      <c r="R59" s="352" t="n"/>
      <c r="S59" s="352" t="n"/>
      <c r="T59" s="352" t="n"/>
      <c r="U59" s="352" t="n"/>
      <c r="V59" s="352" t="n"/>
      <c r="W59" s="352" t="n"/>
      <c r="X59" s="352" t="n"/>
      <c r="Y59" s="352" t="n"/>
      <c r="Z59" s="352" t="n"/>
      <c r="AA59" s="352" t="n"/>
      <c r="AB59" s="352" t="n"/>
      <c r="AC59" s="352" t="n"/>
      <c r="AD59" s="352" t="n"/>
      <c r="AE59" s="352" t="n"/>
      <c r="AF59" s="352" t="n"/>
      <c r="AG59" s="352" t="n"/>
      <c r="AH59" s="352" t="n"/>
      <c r="AI59" s="352" t="n"/>
      <c r="AJ59" s="352" t="n"/>
      <c r="AK59" s="352" t="n"/>
      <c r="AL59" s="352" t="n"/>
      <c r="AM59" s="352" t="n"/>
      <c r="AN59" s="352" t="n"/>
      <c r="AO59" s="352" t="n"/>
      <c r="AP59" s="352" t="n"/>
      <c r="AQ59" s="352" t="n"/>
      <c r="AR59" s="352" t="n"/>
      <c r="AS59" s="352" t="n"/>
      <c r="AT59" s="352" t="n"/>
      <c r="AU59" s="352" t="n"/>
      <c r="AV59" s="352" t="n"/>
      <c r="AW59" s="352">
        <f>IF(SUM(R59:AV59)=0,"",SUM(R59:AV59))</f>
        <v/>
      </c>
      <c r="AX59" s="431">
        <f>IFERROR(AW59*O59/1000,"")</f>
        <v/>
      </c>
      <c r="AY59" s="431">
        <f>IFERROR(ROUND(AW59*P59/10000,3),"")</f>
        <v/>
      </c>
      <c r="AZ59" s="354" t="n">
        <v>449.18</v>
      </c>
      <c r="BA59" s="355" t="n">
        <v>29.42</v>
      </c>
      <c r="BB59" s="355" t="n">
        <v>49.09</v>
      </c>
      <c r="BC59" s="355" t="n">
        <v>52.13</v>
      </c>
      <c r="BD59" s="331" t="n"/>
      <c r="BE59" s="331">
        <f>AZ59*AW59</f>
        <v/>
      </c>
      <c r="BF59" s="331">
        <f>BA59*AW59</f>
        <v/>
      </c>
      <c r="BG59" s="331">
        <f>BB59*AW59</f>
        <v/>
      </c>
      <c r="BH59" s="331">
        <f>BC59*AW59</f>
        <v/>
      </c>
      <c r="BI59" s="331" t="n"/>
      <c r="BJ59" s="356">
        <f t="array" ref="BJ59:BM59">_xlfn.LET(_xlpm.data,$R59:$AV59,_xlpm.starts,{1,8,16,23},_xlpm.lengths,{7,7,8,9},_xlpm.arr,_xlfn.MAP(_xlpm.starts,_xlpm.lengths,_xlfn.LAMBDA(_xlpm.s,_xlpm.l,SUM(INDEX(_xlpm.data,,_xlfn.SEQUENCE(,_xlpm.l,_xlpm.s))))),ROUND(_xlpm.arr*$O59/1000,2))</f>
        <v/>
      </c>
      <c r="BK59" s="331" t="n">
        <v>0</v>
      </c>
      <c r="BL59" s="331" t="n">
        <v>0</v>
      </c>
      <c r="BM59" s="331" t="n">
        <v>0</v>
      </c>
      <c r="BN59" s="362">
        <f>SUM(BJ59:BM59)</f>
        <v/>
      </c>
      <c r="BO59" s="362" t="n">
        <v>0</v>
      </c>
      <c r="BP59" s="362" t="n">
        <v>0</v>
      </c>
      <c r="BQ59" s="362" t="n">
        <v>0</v>
      </c>
      <c r="BR59" s="362" t="n">
        <v>0</v>
      </c>
      <c r="BS59" s="115" t="n"/>
      <c r="BT59" s="362">
        <f t="array" ref="BT59:BW59">_xlfn.HSTACK(SUM(INDEX($R59:$AV59,1,1):INDEX($R59:$AV59,1,7)),SUM(INDEX($R59:$AV59,1,7):INDEX($R59:$AV59,1,13)),SUM(INDEX($R59:$AV59,1,16):INDEX($R59:$AV59,1,23)),SUM(INDEX($R59:$AV59,1,23):INDEX($R59:$AV59,1,31)))</f>
        <v/>
      </c>
      <c r="BU59" s="362" t="n">
        <v>0</v>
      </c>
      <c r="BV59" s="362" t="n">
        <v>0</v>
      </c>
      <c r="BW59" s="362" t="n">
        <v>0</v>
      </c>
      <c r="BY59" s="362">
        <f>SUM(R59:X59)</f>
        <v/>
      </c>
      <c r="BZ59" s="362">
        <f>SUM(Y59:AE59)</f>
        <v/>
      </c>
      <c r="CA59" s="362">
        <f>SUM(AF59:AM59)</f>
        <v/>
      </c>
      <c r="CB59" s="362">
        <f>SUM(AN59:AV59)</f>
        <v/>
      </c>
      <c r="CC59" s="362" t="n"/>
      <c r="CD59" s="432" t="inlineStr">
        <is>
          <t>ADA</t>
        </is>
      </c>
      <c r="CE59" s="362">
        <f>ROUND(BY59*$O59/1000,2)</f>
        <v/>
      </c>
      <c r="CF59" s="362">
        <f>ROUND(BZ59*$O59/1000,2)</f>
        <v/>
      </c>
      <c r="CG59" s="362">
        <f>ROUND(CA59*$O59/1000,2)</f>
        <v/>
      </c>
      <c r="CH59" s="362">
        <f>ROUND(CB59*$O59/1000,2)</f>
        <v/>
      </c>
      <c r="CI59" s="362">
        <f>SUM(CE59:CH59)</f>
        <v/>
      </c>
      <c r="CJ59" s="390" t="n"/>
      <c r="CK59" s="362">
        <f>IFERROR(ROUND(BY59*$P59,2),"")</f>
        <v/>
      </c>
      <c r="CL59" s="362">
        <f>IFERROR(ROUND(BZ59*$P59,2),"")</f>
        <v/>
      </c>
      <c r="CM59" s="362">
        <f>IFERROR(ROUND(CA59*$P59,2),"")</f>
        <v/>
      </c>
      <c r="CN59" s="362">
        <f>IFERROR(ROUND(CB59*$P59,2),"")</f>
        <v/>
      </c>
      <c r="CO59" s="362">
        <f>SUM(CK59:CN59)</f>
        <v/>
      </c>
    </row>
    <row r="60" ht="15.6" customHeight="1" s="428">
      <c r="A60" s="331" t="n"/>
      <c r="B60" s="344">
        <f>_xlfn.XLOOKUP(G60,销售需求表!A:A,销售需求表!C:C)</f>
        <v/>
      </c>
      <c r="C60" s="345">
        <f>IFERROR(MID(F60,FIND("R",F60)+1,4),"")</f>
        <v/>
      </c>
      <c r="D60" s="344">
        <f>B60&amp;C60&amp;"寸"</f>
        <v/>
      </c>
      <c r="E60" s="346">
        <f>LEFT(REPLACE(G60,1,2,""),FIND("[",REPLACE(G60,1,2,""))-1)&amp;"-"&amp;MID(REPLACE(G60,1,2,""),FIND("[",REPLACE(G60,1,2,""))+1,FIND("]",REPLACE(G60,1,2,""))-FIND("[",REPLACE(G60,1,2,""))-1)</f>
        <v/>
      </c>
      <c r="F60" s="347">
        <f>IFERROR(MID(G60,3,FIND("(",G60)-3)&amp;"-"&amp;SUBSTITUTE(MID(G60,FIND("[",G60)+1,FIND("]",G60)-FIND("[",G60)-1),"Strong Guard ",""),"")</f>
        <v/>
      </c>
      <c r="G60" s="361" t="inlineStr">
        <is>
          <t>ID11R24.5-16PR(149/146L)[M-TRAC OSD]MASTERTRACK无内</t>
        </is>
      </c>
      <c r="H60" s="344" t="n">
        <v>1200</v>
      </c>
      <c r="I60" s="348" t="n">
        <v>2</v>
      </c>
      <c r="J60" s="349">
        <f>IFERROR(LEFT(F60,FIND("-",F60))&amp;MID(F60,FIND("PR",F60,FIND("-",F60))+3,LEN(F60)),F60)</f>
        <v/>
      </c>
      <c r="K60" s="352">
        <f>_xlfn.XLOOKUP(F60,投产规格!E:E,投产规格!D:D,"未投产")</f>
        <v/>
      </c>
      <c r="L60" s="352">
        <f>IFERROR(_xlfn.XLOOKUP(F60,硫化工艺!B:B,硫化工艺!C:C),"")</f>
        <v/>
      </c>
      <c r="M60" s="430">
        <f>IF(L60="","",L60/(L60+$L$1/60))</f>
        <v/>
      </c>
      <c r="N60" s="352">
        <f>C60&amp;"全钢"</f>
        <v/>
      </c>
      <c r="O60" s="352">
        <f>IFERROR(_xlfn.XLOOKUP(F60,轮胎重量!J:J,轮胎重量!G:G),"")</f>
        <v/>
      </c>
      <c r="P60" s="358">
        <f>O60*13.9</f>
        <v/>
      </c>
      <c r="Q60" s="352">
        <f>IFERROR(ROUND(1440/L60*(I60)*M60,0),"")</f>
        <v/>
      </c>
      <c r="R60" s="352" t="n">
        <v>58</v>
      </c>
      <c r="S60" s="352" t="n">
        <v>58</v>
      </c>
      <c r="T60" s="352" t="n">
        <v>58</v>
      </c>
      <c r="U60" s="352" t="n">
        <v>58</v>
      </c>
      <c r="V60" s="352" t="n">
        <v>58</v>
      </c>
      <c r="W60" s="352" t="n">
        <v>58</v>
      </c>
      <c r="X60" s="352" t="n">
        <v>58</v>
      </c>
      <c r="Y60" s="352" t="n">
        <v>58</v>
      </c>
      <c r="Z60" s="352" t="n">
        <v>58</v>
      </c>
      <c r="AA60" s="352" t="n">
        <v>58</v>
      </c>
      <c r="AB60" s="352" t="n">
        <v>58</v>
      </c>
      <c r="AC60" s="352" t="n">
        <v>58</v>
      </c>
      <c r="AD60" s="352" t="n">
        <v>58</v>
      </c>
      <c r="AE60" s="352" t="n">
        <v>58</v>
      </c>
      <c r="AF60" s="352" t="n">
        <v>58</v>
      </c>
      <c r="AG60" s="352" t="n">
        <v>58</v>
      </c>
      <c r="AH60" s="352" t="n">
        <v>58</v>
      </c>
      <c r="AI60" s="352" t="n">
        <v>58</v>
      </c>
      <c r="AJ60" s="352" t="n">
        <v>58</v>
      </c>
      <c r="AK60" s="352" t="n"/>
      <c r="AL60" s="352" t="n"/>
      <c r="AM60" s="352" t="n"/>
      <c r="AN60" s="352" t="n"/>
      <c r="AO60" s="352" t="n"/>
      <c r="AP60" s="352" t="n"/>
      <c r="AQ60" s="352" t="n"/>
      <c r="AR60" s="352" t="n"/>
      <c r="AS60" s="352" t="n"/>
      <c r="AT60" s="352" t="n"/>
      <c r="AU60" s="352" t="n"/>
      <c r="AV60" s="352" t="n"/>
      <c r="AW60" s="352">
        <f>IF(SUM(R60:AV60)=0,"",SUM(R60:AV60))</f>
        <v/>
      </c>
      <c r="AX60" s="431">
        <f>IFERROR(AW60*O60/1000,"")</f>
        <v/>
      </c>
      <c r="AY60" s="431">
        <f>IFERROR(ROUND(AW60*P60/10000,3),"")</f>
        <v/>
      </c>
      <c r="AZ60" s="354" t="n">
        <v>449.18</v>
      </c>
      <c r="BA60" s="355" t="n">
        <v>29.42</v>
      </c>
      <c r="BB60" s="355" t="n">
        <v>49.09</v>
      </c>
      <c r="BC60" s="355" t="n">
        <v>52.13</v>
      </c>
      <c r="BD60" s="331" t="n"/>
      <c r="BE60" s="331">
        <f>AZ60*AW60</f>
        <v/>
      </c>
      <c r="BF60" s="331">
        <f>BA60*AW60</f>
        <v/>
      </c>
      <c r="BG60" s="331">
        <f>BB60*AW60</f>
        <v/>
      </c>
      <c r="BH60" s="331">
        <f>BC60*AW60</f>
        <v/>
      </c>
      <c r="BI60" s="331" t="n"/>
      <c r="BJ60" s="356">
        <f t="array" ref="BJ60:BM60">_xlfn.LET(_xlpm.data,$R60:$AV60,_xlpm.starts,{1,8,16,23},_xlpm.lengths,{7,7,8,9},_xlpm.arr,_xlfn.MAP(_xlpm.starts,_xlpm.lengths,_xlfn.LAMBDA(_xlpm.s,_xlpm.l,SUM(INDEX(_xlpm.data,,_xlfn.SEQUENCE(,_xlpm.l,_xlpm.s))))),ROUND(_xlpm.arr*$O60/1000,2))</f>
        <v/>
      </c>
      <c r="BK60" s="331" t="n">
        <v>24.85</v>
      </c>
      <c r="BL60" s="331" t="n">
        <v>14.2</v>
      </c>
      <c r="BM60" s="331" t="n">
        <v>0</v>
      </c>
      <c r="BN60" s="362">
        <f>SUM(BJ60:BM60)</f>
        <v/>
      </c>
      <c r="BO60" s="362" t="n">
        <v>0</v>
      </c>
      <c r="BP60" s="362" t="n">
        <v>0</v>
      </c>
      <c r="BQ60" s="362" t="n">
        <v>0</v>
      </c>
      <c r="BR60" s="362" t="n">
        <v>0</v>
      </c>
      <c r="BS60" s="115" t="n"/>
      <c r="BT60" s="362">
        <f t="array" ref="BT60:BW60">_xlfn.HSTACK(SUM(INDEX($R60:$AV60,1,1):INDEX($R60:$AV60,1,7)),SUM(INDEX($R60:$AV60,1,7):INDEX($R60:$AV60,1,13)),SUM(INDEX($R60:$AV60,1,16):INDEX($R60:$AV60,1,23)),SUM(INDEX($R60:$AV60,1,23):INDEX($R60:$AV60,1,31)))</f>
        <v/>
      </c>
      <c r="BU60" s="362" t="n">
        <v>406</v>
      </c>
      <c r="BV60" s="362" t="n">
        <v>232</v>
      </c>
      <c r="BW60" s="362" t="n">
        <v>0</v>
      </c>
      <c r="BY60" s="362">
        <f>SUM(R60:X60)</f>
        <v/>
      </c>
      <c r="BZ60" s="362">
        <f>SUM(Y60:AE60)</f>
        <v/>
      </c>
      <c r="CA60" s="362">
        <f>SUM(AF60:AM60)</f>
        <v/>
      </c>
      <c r="CB60" s="362">
        <f>SUM(AN60:AV60)</f>
        <v/>
      </c>
      <c r="CC60" s="362" t="n"/>
      <c r="CD60" s="432" t="inlineStr">
        <is>
          <t>ADA</t>
        </is>
      </c>
      <c r="CE60" s="362">
        <f>ROUND(BY60*$O60/1000,2)</f>
        <v/>
      </c>
      <c r="CF60" s="362">
        <f>ROUND(BZ60*$O60/1000,2)</f>
        <v/>
      </c>
      <c r="CG60" s="362">
        <f>ROUND(CA60*$O60/1000,2)</f>
        <v/>
      </c>
      <c r="CH60" s="362">
        <f>ROUND(CB60*$O60/1000,2)</f>
        <v/>
      </c>
      <c r="CI60" s="362">
        <f>SUM(CE60:CH60)</f>
        <v/>
      </c>
      <c r="CJ60" s="390" t="n"/>
      <c r="CK60" s="362">
        <f>IFERROR(ROUND(BY60*$P60,2),"")</f>
        <v/>
      </c>
      <c r="CL60" s="362">
        <f>IFERROR(ROUND(BZ60*$P60,2),"")</f>
        <v/>
      </c>
      <c r="CM60" s="362">
        <f>IFERROR(ROUND(CA60*$P60,2),"")</f>
        <v/>
      </c>
      <c r="CN60" s="362">
        <f>IFERROR(ROUND(CB60*$P60,2),"")</f>
        <v/>
      </c>
      <c r="CO60" s="362">
        <f>SUM(CK60:CN60)</f>
        <v/>
      </c>
    </row>
    <row r="61" ht="15.6" customHeight="1" s="428">
      <c r="A61" s="331" t="n"/>
      <c r="B61" s="344">
        <f>_xlfn.XLOOKUP(G61,销售需求表!A:A,销售需求表!C:C)</f>
        <v/>
      </c>
      <c r="C61" s="345">
        <f>IFERROR(MID(F61,FIND("R",F61)+1,4),"")</f>
        <v/>
      </c>
      <c r="D61" s="344">
        <f>B61&amp;C61&amp;"寸"</f>
        <v/>
      </c>
      <c r="E61" s="346">
        <f>LEFT(REPLACE(G61,1,2,""),FIND("[",REPLACE(G61,1,2,""))-1)&amp;"-"&amp;MID(REPLACE(G61,1,2,""),FIND("[",REPLACE(G61,1,2,""))+1,FIND("]",REPLACE(G61,1,2,""))-FIND("[",REPLACE(G61,1,2,""))-1)</f>
        <v/>
      </c>
      <c r="F61" s="347">
        <f>IFERROR(MID(G61,3,FIND("(",G61)-3)&amp;"-"&amp;SUBSTITUTE(MID(G61,FIND("[",G61)+1,FIND("]",G61)-FIND("[",G61)-1),"Strong Guard ",""),"")</f>
        <v/>
      </c>
      <c r="G61" s="361" t="inlineStr">
        <is>
          <t>ID11R24.5-16PR(149/146M)[I-19A]IRONMAN无内 SMARTWAY</t>
        </is>
      </c>
      <c r="H61" s="344" t="n">
        <v>680</v>
      </c>
      <c r="I61" s="348" t="n">
        <v>4</v>
      </c>
      <c r="J61" s="349">
        <f>IFERROR(LEFT(F61,FIND("-",F61))&amp;MID(F61,FIND("PR",F61,FIND("-",F61))+3,LEN(F61)),F61)</f>
        <v/>
      </c>
      <c r="K61" s="352">
        <f>_xlfn.XLOOKUP(F61,投产规格!E:E,投产规格!D:D,"未投产")</f>
        <v/>
      </c>
      <c r="L61" s="352">
        <f>IFERROR(_xlfn.XLOOKUP(F61,硫化工艺!B:B,硫化工艺!C:C),"")</f>
        <v/>
      </c>
      <c r="M61" s="430">
        <f>IF(L61="","",L61/(L61+$L$1/60))</f>
        <v/>
      </c>
      <c r="N61" s="352">
        <f>C61&amp;"全钢"</f>
        <v/>
      </c>
      <c r="O61" s="352">
        <f>IFERROR(_xlfn.XLOOKUP(F61,轮胎重量!J:J,轮胎重量!G:G),"")</f>
        <v/>
      </c>
      <c r="P61" s="352">
        <f>IFERROR(_xlfn.XLOOKUP(G61,硫化工艺!I:I,硫化工艺!J:J),"")</f>
        <v/>
      </c>
      <c r="Q61" s="352">
        <f>IFERROR(ROUND(1440/L61*(I61)*M61,0),"")</f>
        <v/>
      </c>
      <c r="R61" s="352" t="n">
        <v>130</v>
      </c>
      <c r="S61" s="352" t="n">
        <v>130</v>
      </c>
      <c r="T61" s="352" t="n">
        <v>130</v>
      </c>
      <c r="U61" s="352" t="n">
        <v>130</v>
      </c>
      <c r="V61" s="352" t="n">
        <v>130</v>
      </c>
      <c r="W61" s="352" t="n"/>
      <c r="X61" s="352" t="n"/>
      <c r="Y61" s="352" t="n"/>
      <c r="Z61" s="352" t="n"/>
      <c r="AA61" s="352" t="n"/>
      <c r="AB61" s="352" t="n"/>
      <c r="AC61" s="352" t="n"/>
      <c r="AD61" s="352" t="n"/>
      <c r="AE61" s="352" t="n"/>
      <c r="AF61" s="352" t="n"/>
      <c r="AG61" s="352" t="n"/>
      <c r="AH61" s="352" t="n"/>
      <c r="AI61" s="352" t="n"/>
      <c r="AJ61" s="352" t="n"/>
      <c r="AK61" s="352" t="n"/>
      <c r="AL61" s="352" t="n"/>
      <c r="AM61" s="352" t="n"/>
      <c r="AN61" s="352" t="n"/>
      <c r="AO61" s="352" t="n"/>
      <c r="AP61" s="352" t="n"/>
      <c r="AQ61" s="352" t="n"/>
      <c r="AR61" s="352" t="n"/>
      <c r="AS61" s="352" t="n"/>
      <c r="AT61" s="352" t="n"/>
      <c r="AU61" s="352" t="n"/>
      <c r="AV61" s="352" t="n"/>
      <c r="AW61" s="352">
        <f>IF(SUM(R61:AV61)=0,"",SUM(R61:AV61))</f>
        <v/>
      </c>
      <c r="AX61" s="431">
        <f>IFERROR(AW61*O61/1000,"")</f>
        <v/>
      </c>
      <c r="AY61" s="431">
        <f>IFERROR(ROUND(AW61*P61/10000,3),"")</f>
        <v/>
      </c>
      <c r="AZ61" s="354" t="n">
        <v>449.18</v>
      </c>
      <c r="BA61" s="355" t="n">
        <v>29.42</v>
      </c>
      <c r="BB61" s="355" t="n">
        <v>49.09</v>
      </c>
      <c r="BC61" s="355" t="n">
        <v>52.13</v>
      </c>
      <c r="BD61" s="331" t="n"/>
      <c r="BE61" s="331">
        <f>AZ61*AW61</f>
        <v/>
      </c>
      <c r="BF61" s="331">
        <f>BA61*AW61</f>
        <v/>
      </c>
      <c r="BG61" s="331">
        <f>BB61*AW61</f>
        <v/>
      </c>
      <c r="BH61" s="331">
        <f>BC61*AW61</f>
        <v/>
      </c>
      <c r="BI61" s="331" t="n"/>
      <c r="BJ61" s="356">
        <f t="array" ref="BJ61:BM61">_xlfn.LET(_xlpm.data,$R61:$AV61,_xlpm.starts,{1,8,16,23},_xlpm.lengths,{7,7,8,9},_xlpm.arr,_xlfn.MAP(_xlpm.starts,_xlpm.lengths,_xlfn.LAMBDA(_xlpm.s,_xlpm.l,SUM(INDEX(_xlpm.data,,_xlfn.SEQUENCE(,_xlpm.l,_xlpm.s))))),ROUND(_xlpm.arr*$O61/1000,2))</f>
        <v/>
      </c>
      <c r="BK61" s="331" t="n">
        <v>0</v>
      </c>
      <c r="BL61" s="331" t="n">
        <v>0</v>
      </c>
      <c r="BM61" s="331" t="n">
        <v>0</v>
      </c>
      <c r="BN61" s="362">
        <f>SUM(BJ61:BM61)</f>
        <v/>
      </c>
      <c r="BO61" s="362" t="n">
        <v>0</v>
      </c>
      <c r="BP61" s="362" t="n">
        <v>0</v>
      </c>
      <c r="BQ61" s="362" t="n">
        <v>0</v>
      </c>
      <c r="BR61" s="362" t="n">
        <v>0</v>
      </c>
      <c r="BS61" s="115" t="n"/>
      <c r="BT61" s="362">
        <f t="array" ref="BT61:BW61">_xlfn.HSTACK(SUM(INDEX($R61:$AV61,1,1):INDEX($R61:$AV61,1,7)),SUM(INDEX($R61:$AV61,1,7):INDEX($R61:$AV61,1,13)),SUM(INDEX($R61:$AV61,1,16):INDEX($R61:$AV61,1,23)),SUM(INDEX($R61:$AV61,1,23):INDEX($R61:$AV61,1,31)))</f>
        <v/>
      </c>
      <c r="BU61" s="362" t="n">
        <v>0</v>
      </c>
      <c r="BV61" s="362" t="n">
        <v>0</v>
      </c>
      <c r="BW61" s="362" t="n">
        <v>0</v>
      </c>
      <c r="BY61" s="362">
        <f>SUM(R61:X61)</f>
        <v/>
      </c>
      <c r="BZ61" s="362">
        <f>SUM(Y61:AE61)</f>
        <v/>
      </c>
      <c r="CA61" s="362">
        <f>SUM(AF61:AM61)</f>
        <v/>
      </c>
      <c r="CB61" s="362">
        <f>SUM(AN61:AV61)</f>
        <v/>
      </c>
      <c r="CC61" s="362" t="n"/>
      <c r="CD61" s="432" t="inlineStr">
        <is>
          <t>ADA</t>
        </is>
      </c>
      <c r="CE61" s="362">
        <f>ROUND(BY61*$O61/1000,2)</f>
        <v/>
      </c>
      <c r="CF61" s="362">
        <f>ROUND(BZ61*$O61/1000,2)</f>
        <v/>
      </c>
      <c r="CG61" s="362">
        <f>ROUND(CA61*$O61/1000,2)</f>
        <v/>
      </c>
      <c r="CH61" s="362">
        <f>ROUND(CB61*$O61/1000,2)</f>
        <v/>
      </c>
      <c r="CI61" s="362">
        <f>SUM(CE61:CH61)</f>
        <v/>
      </c>
      <c r="CJ61" s="390" t="n"/>
      <c r="CK61" s="362">
        <f>IFERROR(ROUND(BY61*$P61,2),"")</f>
        <v/>
      </c>
      <c r="CL61" s="362">
        <f>IFERROR(ROUND(BZ61*$P61,2),"")</f>
        <v/>
      </c>
      <c r="CM61" s="362">
        <f>IFERROR(ROUND(CA61*$P61,2),"")</f>
        <v/>
      </c>
      <c r="CN61" s="362">
        <f>IFERROR(ROUND(CB61*$P61,2),"")</f>
        <v/>
      </c>
      <c r="CO61" s="362">
        <f>SUM(CK61:CN61)</f>
        <v/>
      </c>
    </row>
    <row r="62" ht="15.6" customHeight="1" s="428">
      <c r="A62" s="331" t="n"/>
      <c r="B62" s="344">
        <f>_xlfn.XLOOKUP(G62,销售需求表!A:A,销售需求表!C:C)</f>
        <v/>
      </c>
      <c r="C62" s="345">
        <f>IFERROR(MID(F62,FIND("R",F62)+1,4),"")</f>
        <v/>
      </c>
      <c r="D62" s="344">
        <f>B62&amp;C62&amp;"寸"</f>
        <v/>
      </c>
      <c r="E62" s="346">
        <f>LEFT(REPLACE(G62,1,2,""),FIND("[",REPLACE(G62,1,2,""))-1)&amp;"-"&amp;MID(REPLACE(G62,1,2,""),FIND("[",REPLACE(G62,1,2,""))+1,FIND("]",REPLACE(G62,1,2,""))-FIND("[",REPLACE(G62,1,2,""))-1)</f>
        <v/>
      </c>
      <c r="F62" s="347">
        <f>IFERROR(MID(G62,3,FIND("(",G62)-3)&amp;"-"&amp;SUBSTITUTE(MID(G62,FIND("[",G62)+1,FIND("]",G62)-FIND("[",G62)-1),"Strong Guard ",""),"")</f>
        <v/>
      </c>
      <c r="G62" s="361" t="inlineStr">
        <is>
          <t>ID11R24.5-16PR(149/146L)[VD998]VITOUR无内</t>
        </is>
      </c>
      <c r="H62" s="344" t="n">
        <v>500</v>
      </c>
      <c r="I62" s="348" t="n">
        <v>2</v>
      </c>
      <c r="J62" s="349">
        <f>IFERROR(LEFT(F62,FIND("-",F62))&amp;MID(F62,FIND("PR",F62,FIND("-",F62))+3,LEN(F62)),F62)</f>
        <v/>
      </c>
      <c r="K62" s="352">
        <f>_xlfn.XLOOKUP(F62,投产规格!E:E,投产规格!D:D,"未投产")</f>
        <v/>
      </c>
      <c r="L62" s="352">
        <f>IFERROR(_xlfn.XLOOKUP(F62,硫化工艺!B:B,硫化工艺!C:C),"")</f>
        <v/>
      </c>
      <c r="M62" s="430">
        <f>IF(L62="","",L62/(L62+$L$1/60))</f>
        <v/>
      </c>
      <c r="N62" s="352">
        <f>C62&amp;"全钢"</f>
        <v/>
      </c>
      <c r="O62" s="352">
        <f>IFERROR(_xlfn.XLOOKUP(F62,轮胎重量!J:J,轮胎重量!G:G),"")</f>
        <v/>
      </c>
      <c r="P62" s="352">
        <f>IFERROR(_xlfn.XLOOKUP(G62,硫化工艺!I:I,硫化工艺!J:J),"")</f>
        <v/>
      </c>
      <c r="Q62" s="352">
        <f>IFERROR(ROUND(1440/L62*(I62)*M62,0),"")</f>
        <v/>
      </c>
      <c r="R62" s="352" t="n">
        <v>56</v>
      </c>
      <c r="S62" s="352" t="n">
        <v>56</v>
      </c>
      <c r="T62" s="352" t="n">
        <v>56</v>
      </c>
      <c r="U62" s="352" t="n">
        <v>56</v>
      </c>
      <c r="V62" s="352" t="n">
        <v>56</v>
      </c>
      <c r="W62" s="352" t="n">
        <v>56</v>
      </c>
      <c r="X62" s="352" t="n">
        <v>56</v>
      </c>
      <c r="Y62" s="352" t="n">
        <v>56</v>
      </c>
      <c r="Z62" s="352" t="n">
        <v>56</v>
      </c>
      <c r="AA62" s="352" t="n"/>
      <c r="AB62" s="352" t="n"/>
      <c r="AC62" s="352" t="n"/>
      <c r="AD62" s="352" t="n"/>
      <c r="AE62" s="352" t="n"/>
      <c r="AF62" s="352" t="n"/>
      <c r="AG62" s="352" t="n"/>
      <c r="AH62" s="352" t="n"/>
      <c r="AI62" s="352" t="n"/>
      <c r="AJ62" s="352" t="n"/>
      <c r="AK62" s="352" t="n"/>
      <c r="AL62" s="352" t="n"/>
      <c r="AM62" s="352" t="n"/>
      <c r="AN62" s="352" t="n"/>
      <c r="AO62" s="352" t="n"/>
      <c r="AP62" s="352" t="n"/>
      <c r="AQ62" s="352" t="n"/>
      <c r="AR62" s="352" t="n"/>
      <c r="AS62" s="352" t="n"/>
      <c r="AT62" s="352" t="n"/>
      <c r="AU62" s="352" t="n"/>
      <c r="AV62" s="352" t="n"/>
      <c r="AW62" s="352">
        <f>IF(SUM(R62:AV62)=0,"",SUM(R62:AV62))</f>
        <v/>
      </c>
      <c r="AX62" s="431">
        <f>IFERROR(AW62*O62/1000,"")</f>
        <v/>
      </c>
      <c r="AY62" s="431">
        <f>IFERROR(ROUND(AW62*P62/10000,3),"")</f>
        <v/>
      </c>
      <c r="AZ62" s="354" t="n">
        <v>449.18</v>
      </c>
      <c r="BA62" s="355" t="n">
        <v>29.42</v>
      </c>
      <c r="BB62" s="355" t="n">
        <v>49.09</v>
      </c>
      <c r="BC62" s="355" t="n">
        <v>52.13</v>
      </c>
      <c r="BD62" s="331" t="n"/>
      <c r="BE62" s="331">
        <f>AZ62*AW62</f>
        <v/>
      </c>
      <c r="BF62" s="331">
        <f>BA62*AW62</f>
        <v/>
      </c>
      <c r="BG62" s="331">
        <f>BB62*AW62</f>
        <v/>
      </c>
      <c r="BH62" s="331">
        <f>BC62*AW62</f>
        <v/>
      </c>
      <c r="BI62" s="331" t="n"/>
      <c r="BJ62" s="356">
        <f t="array" ref="BJ62:BM62">_xlfn.LET(_xlpm.data,$R62:$AV62,_xlpm.starts,{1,8,16,23},_xlpm.lengths,{7,7,8,9},_xlpm.arr,_xlfn.MAP(_xlpm.starts,_xlpm.lengths,_xlfn.LAMBDA(_xlpm.s,_xlpm.l,SUM(INDEX(_xlpm.data,,_xlfn.SEQUENCE(,_xlpm.l,_xlpm.s))))),ROUND(_xlpm.arr*$O62/1000,2))</f>
        <v/>
      </c>
      <c r="BK62" s="331" t="n">
        <v>7.43</v>
      </c>
      <c r="BL62" s="331" t="n">
        <v>0</v>
      </c>
      <c r="BM62" s="331" t="n">
        <v>0</v>
      </c>
      <c r="BN62" s="362">
        <f>SUM(BJ62:BM62)</f>
        <v/>
      </c>
      <c r="BO62" s="362" t="n">
        <v>0</v>
      </c>
      <c r="BP62" s="362" t="n">
        <v>0</v>
      </c>
      <c r="BQ62" s="362" t="n">
        <v>0</v>
      </c>
      <c r="BR62" s="362" t="n">
        <v>0</v>
      </c>
      <c r="BS62" s="115" t="n"/>
      <c r="BT62" s="362">
        <f t="array" ref="BT62:BW62">_xlfn.HSTACK(SUM(INDEX($R62:$AV62,1,1):INDEX($R62:$AV62,1,7)),SUM(INDEX($R62:$AV62,1,7):INDEX($R62:$AV62,1,13)),SUM(INDEX($R62:$AV62,1,16):INDEX($R62:$AV62,1,23)),SUM(INDEX($R62:$AV62,1,23):INDEX($R62:$AV62,1,31)))</f>
        <v/>
      </c>
      <c r="BU62" s="362" t="n">
        <v>168</v>
      </c>
      <c r="BV62" s="362" t="n">
        <v>0</v>
      </c>
      <c r="BW62" s="362" t="n">
        <v>0</v>
      </c>
      <c r="BY62" s="362">
        <f>SUM(R62:X62)</f>
        <v/>
      </c>
      <c r="BZ62" s="362">
        <f>SUM(Y62:AE62)</f>
        <v/>
      </c>
      <c r="CA62" s="362">
        <f>SUM(AF62:AM62)</f>
        <v/>
      </c>
      <c r="CB62" s="362">
        <f>SUM(AN62:AV62)</f>
        <v/>
      </c>
      <c r="CC62" s="362" t="n"/>
      <c r="CD62" s="432" t="inlineStr">
        <is>
          <t>ADA</t>
        </is>
      </c>
      <c r="CE62" s="362">
        <f>ROUND(BY62*$O62/1000,2)</f>
        <v/>
      </c>
      <c r="CF62" s="362">
        <f>ROUND(BZ62*$O62/1000,2)</f>
        <v/>
      </c>
      <c r="CG62" s="362">
        <f>ROUND(CA62*$O62/1000,2)</f>
        <v/>
      </c>
      <c r="CH62" s="362">
        <f>ROUND(CB62*$O62/1000,2)</f>
        <v/>
      </c>
      <c r="CI62" s="362">
        <f>SUM(CE62:CH62)</f>
        <v/>
      </c>
      <c r="CJ62" s="390" t="n"/>
      <c r="CK62" s="362">
        <f>IFERROR(ROUND(BY62*$P62,2),"")</f>
        <v/>
      </c>
      <c r="CL62" s="362">
        <f>IFERROR(ROUND(BZ62*$P62,2),"")</f>
        <v/>
      </c>
      <c r="CM62" s="362">
        <f>IFERROR(ROUND(CA62*$P62,2),"")</f>
        <v/>
      </c>
      <c r="CN62" s="362">
        <f>IFERROR(ROUND(CB62*$P62,2),"")</f>
        <v/>
      </c>
      <c r="CO62" s="362">
        <f>SUM(CK62:CN62)</f>
        <v/>
      </c>
    </row>
    <row r="63" ht="15.6" customHeight="1" s="428">
      <c r="A63" s="331" t="n"/>
      <c r="B63" s="344">
        <f>_xlfn.XLOOKUP(G63,销售需求表!A:A,销售需求表!C:C)</f>
        <v/>
      </c>
      <c r="C63" s="345">
        <f>IFERROR(MID(F63,FIND("R",F63)+1,4),"")</f>
        <v/>
      </c>
      <c r="D63" s="344">
        <f>B63&amp;C63&amp;"寸"</f>
        <v/>
      </c>
      <c r="E63" s="346">
        <f>LEFT(REPLACE(G63,1,2,""),FIND("[",REPLACE(G63,1,2,""))-1)&amp;"-"&amp;MID(REPLACE(G63,1,2,""),FIND("[",REPLACE(G63,1,2,""))+1,FIND("]",REPLACE(G63,1,2,""))-FIND("[",REPLACE(G63,1,2,""))-1)</f>
        <v/>
      </c>
      <c r="F63" s="347">
        <f>IFERROR(MID(G63,3,FIND("(",G63)-3)&amp;"-"&amp;SUBSTITUTE(MID(G63,FIND("[",G63)+1,FIND("]",G63)-FIND("[",G63)-1),"Strong Guard ",""),"")</f>
        <v/>
      </c>
      <c r="G63" s="361" t="inlineStr">
        <is>
          <t>ID11R24.5-16PR(149/146M)[VA996]VITOUR无内</t>
        </is>
      </c>
      <c r="H63" s="344" t="n">
        <v>800</v>
      </c>
      <c r="I63" s="348" t="n"/>
      <c r="J63" s="349">
        <f>IFERROR(LEFT(F63,FIND("-",F63))&amp;MID(F63,FIND("PR",F63,FIND("-",F63))+3,LEN(F63)),F63)</f>
        <v/>
      </c>
      <c r="K63" s="352">
        <f>_xlfn.XLOOKUP(F63,投产规格!E:E,投产规格!D:D,"未投产")</f>
        <v/>
      </c>
      <c r="L63" s="352">
        <f>IFERROR(_xlfn.XLOOKUP(F63,硫化工艺!B:B,硫化工艺!C:C),"")</f>
        <v/>
      </c>
      <c r="M63" s="430">
        <f>IF(L63="","",L63/(L63+$L$1/60))</f>
        <v/>
      </c>
      <c r="N63" s="352">
        <f>C63&amp;"全钢"</f>
        <v/>
      </c>
      <c r="O63" s="352">
        <f>IFERROR(_xlfn.XLOOKUP(F63,轮胎重量!J:J,轮胎重量!G:G),"")</f>
        <v/>
      </c>
      <c r="P63" s="352">
        <f>IFERROR(_xlfn.XLOOKUP(G63,硫化工艺!I:I,硫化工艺!J:J),"")</f>
        <v/>
      </c>
      <c r="Q63" s="352">
        <f>IFERROR(ROUND(1440/L63*(I63)*M63,0),"")</f>
        <v/>
      </c>
      <c r="R63" s="352" t="n"/>
      <c r="S63" s="352" t="n"/>
      <c r="T63" s="352" t="n"/>
      <c r="U63" s="352" t="n"/>
      <c r="V63" s="352" t="n"/>
      <c r="W63" s="352" t="n"/>
      <c r="X63" s="352" t="n"/>
      <c r="Y63" s="352" t="n"/>
      <c r="Z63" s="352" t="n"/>
      <c r="AA63" s="352" t="n">
        <v>56</v>
      </c>
      <c r="AB63" s="352" t="n">
        <v>56</v>
      </c>
      <c r="AC63" s="352" t="n">
        <v>56</v>
      </c>
      <c r="AD63" s="352" t="n">
        <v>56</v>
      </c>
      <c r="AE63" s="352" t="n">
        <v>56</v>
      </c>
      <c r="AF63" s="352" t="n">
        <v>56</v>
      </c>
      <c r="AG63" s="352" t="n">
        <v>56</v>
      </c>
      <c r="AH63" s="352" t="n">
        <v>56</v>
      </c>
      <c r="AI63" s="352" t="n">
        <v>56</v>
      </c>
      <c r="AJ63" s="352" t="n">
        <v>56</v>
      </c>
      <c r="AK63" s="352" t="n"/>
      <c r="AL63" s="352" t="n"/>
      <c r="AM63" s="352" t="n"/>
      <c r="AN63" s="352" t="n"/>
      <c r="AO63" s="352" t="n"/>
      <c r="AP63" s="352" t="n"/>
      <c r="AQ63" s="352" t="n"/>
      <c r="AR63" s="352" t="n"/>
      <c r="AS63" s="352" t="n"/>
      <c r="AT63" s="352" t="n"/>
      <c r="AU63" s="352" t="n"/>
      <c r="AV63" s="352" t="n"/>
      <c r="AW63" s="352">
        <f>IF(SUM(R63:AV63)=0,"",SUM(R63:AV63))</f>
        <v/>
      </c>
      <c r="AX63" s="431">
        <f>IFERROR(AW63*O63/1000,"")</f>
        <v/>
      </c>
      <c r="AY63" s="431">
        <f>IFERROR(ROUND(AW63*P63/10000,3),"")</f>
        <v/>
      </c>
      <c r="AZ63" s="354" t="n">
        <v>449.18</v>
      </c>
      <c r="BA63" s="355" t="n">
        <v>29.42</v>
      </c>
      <c r="BB63" s="355" t="n">
        <v>49.09</v>
      </c>
      <c r="BC63" s="355" t="n">
        <v>52.13</v>
      </c>
      <c r="BD63" s="331" t="n"/>
      <c r="BE63" s="331">
        <f>AZ63*AW63</f>
        <v/>
      </c>
      <c r="BF63" s="331">
        <f>BA63*AW63</f>
        <v/>
      </c>
      <c r="BG63" s="331">
        <f>BB63*AW63</f>
        <v/>
      </c>
      <c r="BH63" s="331">
        <f>BC63*AW63</f>
        <v/>
      </c>
      <c r="BI63" s="331" t="n"/>
      <c r="BJ63" s="356">
        <f t="array" ref="BJ63:BM63">_xlfn.LET(_xlpm.data,$R63:$AV63,_xlpm.starts,{1,8,16,23},_xlpm.lengths,{7,7,8,9},_xlpm.arr,_xlfn.MAP(_xlpm.starts,_xlpm.lengths,_xlfn.LAMBDA(_xlpm.s,_xlpm.l,SUM(INDEX(_xlpm.data,,_xlfn.SEQUENCE(,_xlpm.l,_xlpm.s))))),ROUND(_xlpm.arr*$O63/1000,2))</f>
        <v/>
      </c>
      <c r="BK63" s="331" t="n">
        <v>16.8</v>
      </c>
      <c r="BL63" s="331" t="n">
        <v>13.44</v>
      </c>
      <c r="BM63" s="331" t="n">
        <v>0</v>
      </c>
      <c r="BN63" s="362">
        <f>SUM(BJ63:BM63)</f>
        <v/>
      </c>
      <c r="BO63" s="362" t="n">
        <v>0</v>
      </c>
      <c r="BP63" s="362" t="n">
        <v>0</v>
      </c>
      <c r="BQ63" s="362" t="n">
        <v>0</v>
      </c>
      <c r="BR63" s="362" t="n">
        <v>0</v>
      </c>
      <c r="BS63" s="115" t="n"/>
      <c r="BT63" s="362">
        <f t="array" ref="BT63:BW63">_xlfn.HSTACK(SUM(INDEX($R63:$AV63,1,1):INDEX($R63:$AV63,1,7)),SUM(INDEX($R63:$AV63,1,7):INDEX($R63:$AV63,1,13)),SUM(INDEX($R63:$AV63,1,16):INDEX($R63:$AV63,1,23)),SUM(INDEX($R63:$AV63,1,23):INDEX($R63:$AV63,1,31)))</f>
        <v/>
      </c>
      <c r="BU63" s="362" t="n">
        <v>224</v>
      </c>
      <c r="BV63" s="362" t="n">
        <v>224</v>
      </c>
      <c r="BW63" s="362" t="n">
        <v>0</v>
      </c>
      <c r="BY63" s="362">
        <f>SUM(R63:X63)</f>
        <v/>
      </c>
      <c r="BZ63" s="362">
        <f>SUM(Y63:AE63)</f>
        <v/>
      </c>
      <c r="CA63" s="362">
        <f>SUM(AF63:AM63)</f>
        <v/>
      </c>
      <c r="CB63" s="362">
        <f>SUM(AN63:AV63)</f>
        <v/>
      </c>
      <c r="CC63" s="362" t="n"/>
      <c r="CD63" s="432" t="inlineStr">
        <is>
          <t>ADA</t>
        </is>
      </c>
      <c r="CE63" s="362">
        <f>ROUND(BY63*$O63/1000,2)</f>
        <v/>
      </c>
      <c r="CF63" s="362">
        <f>ROUND(BZ63*$O63/1000,2)</f>
        <v/>
      </c>
      <c r="CG63" s="362">
        <f>ROUND(CA63*$O63/1000,2)</f>
        <v/>
      </c>
      <c r="CH63" s="362">
        <f>ROUND(CB63*$O63/1000,2)</f>
        <v/>
      </c>
      <c r="CI63" s="362">
        <f>SUM(CE63:CH63)</f>
        <v/>
      </c>
      <c r="CJ63" s="390" t="n"/>
      <c r="CK63" s="362">
        <f>IFERROR(ROUND(BY63*$P63,2),"")</f>
        <v/>
      </c>
      <c r="CL63" s="362">
        <f>IFERROR(ROUND(BZ63*$P63,2),"")</f>
        <v/>
      </c>
      <c r="CM63" s="362">
        <f>IFERROR(ROUND(CA63*$P63,2),"")</f>
        <v/>
      </c>
      <c r="CN63" s="362">
        <f>IFERROR(ROUND(CB63*$P63,2),"")</f>
        <v/>
      </c>
      <c r="CO63" s="362">
        <f>SUM(CK63:CN63)</f>
        <v/>
      </c>
    </row>
    <row r="64" hidden="1" ht="15.6" customHeight="1" s="428">
      <c r="A64" s="331" t="n"/>
      <c r="B64" s="344">
        <f>_xlfn.XLOOKUP(G64,销售需求表!A:A,销售需求表!C:C)</f>
        <v/>
      </c>
      <c r="C64" s="345">
        <f>IFERROR(MID(F64,FIND("R",F64)+1,4),"")</f>
        <v/>
      </c>
      <c r="D64" s="344">
        <f>B64&amp;C64&amp;"寸"</f>
        <v/>
      </c>
      <c r="E64" s="346">
        <f>LEFT(REPLACE(G64,1,2,""),FIND("[",REPLACE(G64,1,2,""))-1)&amp;"-"&amp;MID(REPLACE(G64,1,2,""),FIND("[",REPLACE(G64,1,2,""))+1,FIND("]",REPLACE(G64,1,2,""))-FIND("[",REPLACE(G64,1,2,""))-1)</f>
        <v/>
      </c>
      <c r="F64" s="347">
        <f>IFERROR(MID(G64,3,FIND("(",G64)-3)&amp;"-"&amp;SUBSTITUTE(MID(G64,FIND("[",G64)+1,FIND("]",G64)-FIND("[",G64)-1),"Strong Guard ",""),"")</f>
        <v/>
      </c>
      <c r="G64" s="361" t="inlineStr">
        <is>
          <t>ID11R24.5-16PR(149/146L)[VA991]VITOUR无内</t>
        </is>
      </c>
      <c r="H64" s="344" t="n">
        <v>300</v>
      </c>
      <c r="I64" s="348" t="n"/>
      <c r="J64" s="349">
        <f>IFERROR(LEFT(F64,FIND("-",F64))&amp;MID(F64,FIND("PR",F64,FIND("-",F64))+3,LEN(F64)),F64)</f>
        <v/>
      </c>
      <c r="K64" s="352">
        <f>_xlfn.XLOOKUP(F64,投产规格!E:E,投产规格!D:D,"未投产")</f>
        <v/>
      </c>
      <c r="L64" s="352">
        <f>IFERROR(_xlfn.XLOOKUP(F64,硫化工艺!B:B,硫化工艺!C:C),"")</f>
        <v/>
      </c>
      <c r="M64" s="430">
        <f>IF(L64="","",L64/(L64+$L$1/60))</f>
        <v/>
      </c>
      <c r="N64" s="352">
        <f>C64&amp;"全钢"</f>
        <v/>
      </c>
      <c r="O64" s="352">
        <f>IFERROR(_xlfn.XLOOKUP(F64,轮胎重量!J:J,轮胎重量!G:G),"")</f>
        <v/>
      </c>
      <c r="P64" s="352">
        <f>IFERROR(_xlfn.XLOOKUP(G64,硫化工艺!I:I,硫化工艺!J:J),"")</f>
        <v/>
      </c>
      <c r="Q64" s="352">
        <f>IFERROR(ROUND(1440/L64*(I64)*M64,0),"")</f>
        <v/>
      </c>
      <c r="R64" s="352" t="n"/>
      <c r="S64" s="352" t="n"/>
      <c r="T64" s="352" t="n"/>
      <c r="U64" s="352" t="n"/>
      <c r="V64" s="352" t="n"/>
      <c r="W64" s="352" t="n"/>
      <c r="X64" s="352" t="n"/>
      <c r="Y64" s="352" t="n"/>
      <c r="Z64" s="352" t="n"/>
      <c r="AA64" s="352" t="n"/>
      <c r="AB64" s="352" t="n"/>
      <c r="AC64" s="352" t="n"/>
      <c r="AD64" s="352" t="n"/>
      <c r="AE64" s="352" t="n"/>
      <c r="AF64" s="352" t="n"/>
      <c r="AG64" s="352" t="n"/>
      <c r="AH64" s="352" t="n"/>
      <c r="AI64" s="352" t="n"/>
      <c r="AJ64" s="352" t="n"/>
      <c r="AK64" s="352" t="n"/>
      <c r="AL64" s="352" t="n"/>
      <c r="AM64" s="352" t="n"/>
      <c r="AN64" s="352" t="n"/>
      <c r="AO64" s="352" t="n"/>
      <c r="AP64" s="352" t="n"/>
      <c r="AQ64" s="352" t="n"/>
      <c r="AR64" s="352" t="n"/>
      <c r="AS64" s="352" t="n"/>
      <c r="AT64" s="352" t="n"/>
      <c r="AU64" s="352" t="n"/>
      <c r="AV64" s="352" t="n"/>
      <c r="AW64" s="352">
        <f>IF(SUM(R64:AV64)=0,"",SUM(R64:AV64))</f>
        <v/>
      </c>
      <c r="AX64" s="431">
        <f>IFERROR(AW64*O64/1000,"")</f>
        <v/>
      </c>
      <c r="AY64" s="431">
        <f>IFERROR(ROUND(AW64*P64/10000,3),"")</f>
        <v/>
      </c>
      <c r="AZ64" s="354" t="n">
        <v>449.18</v>
      </c>
      <c r="BA64" s="355" t="n">
        <v>29.42</v>
      </c>
      <c r="BB64" s="355" t="n">
        <v>49.09</v>
      </c>
      <c r="BC64" s="355" t="n">
        <v>52.13</v>
      </c>
      <c r="BD64" s="331" t="n"/>
      <c r="BE64" s="331">
        <f>AZ64*AW64</f>
        <v/>
      </c>
      <c r="BF64" s="331">
        <f>BA64*AW64</f>
        <v/>
      </c>
      <c r="BG64" s="331">
        <f>BB64*AW64</f>
        <v/>
      </c>
      <c r="BH64" s="331">
        <f>BC64*AW64</f>
        <v/>
      </c>
      <c r="BI64" s="331" t="n"/>
      <c r="BJ64" s="356">
        <f t="array" ref="BJ64:BM64">_xlfn.LET(_xlpm.data,$R64:$AV64,_xlpm.starts,{1,8,16,23},_xlpm.lengths,{7,7,8,9},_xlpm.arr,_xlfn.MAP(_xlpm.starts,_xlpm.lengths,_xlfn.LAMBDA(_xlpm.s,_xlpm.l,SUM(INDEX(_xlpm.data,,_xlfn.SEQUENCE(,_xlpm.l,_xlpm.s))))),ROUND(_xlpm.arr*$O64/1000,2))</f>
        <v/>
      </c>
      <c r="BK64" s="331" t="n">
        <v>0</v>
      </c>
      <c r="BL64" s="331" t="n">
        <v>0</v>
      </c>
      <c r="BM64" s="331" t="n">
        <v>0</v>
      </c>
      <c r="BN64" s="362">
        <f>SUM(BJ64:BM64)</f>
        <v/>
      </c>
      <c r="BO64" s="362" t="n">
        <v>0</v>
      </c>
      <c r="BP64" s="362" t="n">
        <v>0</v>
      </c>
      <c r="BQ64" s="362" t="n">
        <v>0</v>
      </c>
      <c r="BR64" s="362" t="n">
        <v>0</v>
      </c>
      <c r="BS64" s="115" t="n"/>
      <c r="BT64" s="362">
        <f t="array" ref="BT64:BW64">_xlfn.HSTACK(SUM(INDEX($R64:$AV64,1,1):INDEX($R64:$AV64,1,7)),SUM(INDEX($R64:$AV64,1,7):INDEX($R64:$AV64,1,13)),SUM(INDEX($R64:$AV64,1,16):INDEX($R64:$AV64,1,23)),SUM(INDEX($R64:$AV64,1,23):INDEX($R64:$AV64,1,31)))</f>
        <v/>
      </c>
      <c r="BU64" s="362" t="n">
        <v>0</v>
      </c>
      <c r="BV64" s="362" t="n">
        <v>0</v>
      </c>
      <c r="BW64" s="362" t="n">
        <v>0</v>
      </c>
      <c r="BY64" s="362">
        <f>SUM(R64:X64)</f>
        <v/>
      </c>
      <c r="BZ64" s="362">
        <f>SUM(Y64:AE64)</f>
        <v/>
      </c>
      <c r="CA64" s="362">
        <f>SUM(AF64:AM64)</f>
        <v/>
      </c>
      <c r="CB64" s="362">
        <f>SUM(AN64:AV64)</f>
        <v/>
      </c>
      <c r="CC64" s="362" t="n"/>
      <c r="CD64" s="432" t="inlineStr">
        <is>
          <t>ADA</t>
        </is>
      </c>
      <c r="CE64" s="362">
        <f>ROUND(BY64*$O64/1000,2)</f>
        <v/>
      </c>
      <c r="CF64" s="362">
        <f>ROUND(BZ64*$O64/1000,2)</f>
        <v/>
      </c>
      <c r="CG64" s="362">
        <f>ROUND(CA64*$O64/1000,2)</f>
        <v/>
      </c>
      <c r="CH64" s="362">
        <f>ROUND(CB64*$O64/1000,2)</f>
        <v/>
      </c>
      <c r="CI64" s="362">
        <f>SUM(CE64:CH64)</f>
        <v/>
      </c>
      <c r="CJ64" s="390" t="n"/>
      <c r="CK64" s="362">
        <f>IFERROR(ROUND(BY64*$P64,2),"")</f>
        <v/>
      </c>
      <c r="CL64" s="362">
        <f>IFERROR(ROUND(BZ64*$P64,2),"")</f>
        <v/>
      </c>
      <c r="CM64" s="362">
        <f>IFERROR(ROUND(CA64*$P64,2),"")</f>
        <v/>
      </c>
      <c r="CN64" s="362">
        <f>IFERROR(ROUND(CB64*$P64,2),"")</f>
        <v/>
      </c>
      <c r="CO64" s="362">
        <f>SUM(CK64:CN64)</f>
        <v/>
      </c>
    </row>
    <row r="65" hidden="1" ht="15.6" customHeight="1" s="428">
      <c r="A65" s="331" t="n"/>
      <c r="B65" s="344">
        <f>_xlfn.XLOOKUP(G65,销售需求表!A:A,销售需求表!C:C)</f>
        <v/>
      </c>
      <c r="C65" s="345">
        <f>IFERROR(MID(F65,FIND("R",F65)+1,4),"")</f>
        <v/>
      </c>
      <c r="D65" s="344">
        <f>B65&amp;C65&amp;"寸"</f>
        <v/>
      </c>
      <c r="E65" s="346">
        <f>LEFT(REPLACE(G65,1,2,""),FIND("[",REPLACE(G65,1,2,""))-1)&amp;"-"&amp;MID(REPLACE(G65,1,2,""),FIND("[",REPLACE(G65,1,2,""))+1,FIND("]",REPLACE(G65,1,2,""))-FIND("[",REPLACE(G65,1,2,""))-1)</f>
        <v/>
      </c>
      <c r="F65" s="347">
        <f>IFERROR(MID(G65,3,FIND("(",G65)-3)&amp;"-"&amp;SUBSTITUTE(MID(G65,FIND("[",G65)+1,FIND("]",G65)-FIND("[",G65)-1),"Strong Guard ",""),"")</f>
        <v/>
      </c>
      <c r="G65" s="346" t="inlineStr">
        <is>
          <t>ID285/75R24.5-14PR(144/141L)[HD1 Plus]SUPERMAX无内</t>
        </is>
      </c>
      <c r="H65" s="344" t="n">
        <v>200</v>
      </c>
      <c r="I65" s="348" t="n"/>
      <c r="J65" s="349">
        <f>IFERROR(LEFT(F65,FIND("-",F65))&amp;MID(F65,FIND("PR",F65,FIND("-",F65))+3,LEN(F65)),F65)</f>
        <v/>
      </c>
      <c r="K65" s="352">
        <f>_xlfn.XLOOKUP(F65,投产规格!E:E,投产规格!D:D,"未投产")</f>
        <v/>
      </c>
      <c r="L65" s="352">
        <f>IFERROR(_xlfn.XLOOKUP(F65,硫化工艺!B:B,硫化工艺!C:C),"")</f>
        <v/>
      </c>
      <c r="M65" s="430">
        <f>IF(L65="","",L65/(L65+$L$1/60))</f>
        <v/>
      </c>
      <c r="N65" s="352">
        <f>C65&amp;"全钢"</f>
        <v/>
      </c>
      <c r="O65" s="352">
        <f>IFERROR(_xlfn.XLOOKUP(F65,轮胎重量!J:J,轮胎重量!G:G),"")</f>
        <v/>
      </c>
      <c r="P65" s="352">
        <f>IFERROR(_xlfn.XLOOKUP(G65,硫化工艺!I:I,硫化工艺!J:J),"")</f>
        <v/>
      </c>
      <c r="Q65" s="352">
        <f>IFERROR(ROUND(1440/L65*(I65)*M65,0),"")</f>
        <v/>
      </c>
      <c r="R65" s="352" t="n"/>
      <c r="S65" s="352" t="n"/>
      <c r="T65" s="352" t="n"/>
      <c r="U65" s="352" t="n"/>
      <c r="V65" s="352" t="n"/>
      <c r="W65" s="352" t="n"/>
      <c r="X65" s="352" t="n"/>
      <c r="Y65" s="352" t="n"/>
      <c r="Z65" s="352" t="n"/>
      <c r="AA65" s="352" t="n"/>
      <c r="AB65" s="352" t="n"/>
      <c r="AC65" s="352" t="n"/>
      <c r="AD65" s="352" t="n"/>
      <c r="AE65" s="352" t="n"/>
      <c r="AF65" s="352" t="n"/>
      <c r="AG65" s="352" t="n"/>
      <c r="AH65" s="352" t="n"/>
      <c r="AI65" s="352" t="n"/>
      <c r="AJ65" s="352" t="n"/>
      <c r="AK65" s="352" t="n"/>
      <c r="AL65" s="352" t="n"/>
      <c r="AM65" s="352" t="n"/>
      <c r="AN65" s="352" t="n"/>
      <c r="AO65" s="352" t="n"/>
      <c r="AP65" s="352" t="n"/>
      <c r="AQ65" s="352" t="n"/>
      <c r="AR65" s="352" t="n"/>
      <c r="AS65" s="352" t="n"/>
      <c r="AT65" s="352" t="n"/>
      <c r="AU65" s="352" t="n"/>
      <c r="AV65" s="352" t="n"/>
      <c r="AW65" s="352">
        <f>IF(SUM(R65:AV65)=0,"",SUM(R65:AV65))</f>
        <v/>
      </c>
      <c r="AX65" s="431">
        <f>IFERROR(AW65*O65/1000,"")</f>
        <v/>
      </c>
      <c r="AY65" s="431">
        <f>IFERROR(ROUND(AW65*P65/10000,3),"")</f>
        <v/>
      </c>
      <c r="AZ65" s="354" t="n">
        <v>449.18</v>
      </c>
      <c r="BA65" s="355" t="n">
        <v>29.42</v>
      </c>
      <c r="BB65" s="355" t="n">
        <v>49.09</v>
      </c>
      <c r="BC65" s="355" t="n">
        <v>52.13</v>
      </c>
      <c r="BD65" s="331" t="n"/>
      <c r="BE65" s="331">
        <f>AZ65*AW65</f>
        <v/>
      </c>
      <c r="BF65" s="331">
        <f>BA65*AW65</f>
        <v/>
      </c>
      <c r="BG65" s="331">
        <f>BB65*AW65</f>
        <v/>
      </c>
      <c r="BH65" s="331">
        <f>BC65*AW65</f>
        <v/>
      </c>
      <c r="BI65" s="331" t="n"/>
      <c r="BJ65" s="356">
        <f t="array" ref="BJ65:BM65">_xlfn.LET(_xlpm.data,$R65:$AV65,_xlpm.starts,{1,8,16,23},_xlpm.lengths,{7,7,8,9},_xlpm.arr,_xlfn.MAP(_xlpm.starts,_xlpm.lengths,_xlfn.LAMBDA(_xlpm.s,_xlpm.l,SUM(INDEX(_xlpm.data,,_xlfn.SEQUENCE(,_xlpm.l,_xlpm.s))))),ROUND(_xlpm.arr*$O65/1000,2))</f>
        <v/>
      </c>
      <c r="BK65" s="331" t="n">
        <v>0</v>
      </c>
      <c r="BL65" s="331" t="n">
        <v>0</v>
      </c>
      <c r="BM65" s="331" t="n">
        <v>0</v>
      </c>
      <c r="BN65" s="362">
        <f>SUM(BJ65:BM65)</f>
        <v/>
      </c>
      <c r="BO65" s="362" t="n">
        <v>0</v>
      </c>
      <c r="BP65" s="362" t="n">
        <v>0</v>
      </c>
      <c r="BQ65" s="362" t="n">
        <v>0</v>
      </c>
      <c r="BR65" s="362" t="n">
        <v>0</v>
      </c>
      <c r="BS65" s="115" t="n"/>
      <c r="BT65" s="362">
        <f t="array" ref="BT65:BW65">_xlfn.HSTACK(SUM(INDEX($R65:$AV65,1,1):INDEX($R65:$AV65,1,7)),SUM(INDEX($R65:$AV65,1,7):INDEX($R65:$AV65,1,13)),SUM(INDEX($R65:$AV65,1,16):INDEX($R65:$AV65,1,23)),SUM(INDEX($R65:$AV65,1,23):INDEX($R65:$AV65,1,31)))</f>
        <v/>
      </c>
      <c r="BU65" s="362" t="n">
        <v>0</v>
      </c>
      <c r="BV65" s="362" t="n">
        <v>0</v>
      </c>
      <c r="BW65" s="362" t="n">
        <v>0</v>
      </c>
      <c r="BY65" s="362">
        <f>SUM(R65:X65)</f>
        <v/>
      </c>
      <c r="BZ65" s="362">
        <f>SUM(Y65:AE65)</f>
        <v/>
      </c>
      <c r="CA65" s="362">
        <f>SUM(AF65:AM65)</f>
        <v/>
      </c>
      <c r="CB65" s="362">
        <f>SUM(AN65:AV65)</f>
        <v/>
      </c>
      <c r="CC65" s="362" t="n"/>
      <c r="CD65" s="432" t="inlineStr">
        <is>
          <t>ADA</t>
        </is>
      </c>
      <c r="CE65" s="362">
        <f>ROUND(BY65*$O65/1000,2)</f>
        <v/>
      </c>
      <c r="CF65" s="362">
        <f>ROUND(BZ65*$O65/1000,2)</f>
        <v/>
      </c>
      <c r="CG65" s="362">
        <f>ROUND(CA65*$O65/1000,2)</f>
        <v/>
      </c>
      <c r="CH65" s="362">
        <f>ROUND(CB65*$O65/1000,2)</f>
        <v/>
      </c>
      <c r="CI65" s="362">
        <f>SUM(CE65:CH65)</f>
        <v/>
      </c>
      <c r="CJ65" s="390" t="n"/>
      <c r="CK65" s="362">
        <f>IFERROR(ROUND(BY65*$P65,2),"")</f>
        <v/>
      </c>
      <c r="CL65" s="362">
        <f>IFERROR(ROUND(BZ65*$P65,2),"")</f>
        <v/>
      </c>
      <c r="CM65" s="362">
        <f>IFERROR(ROUND(CA65*$P65,2),"")</f>
        <v/>
      </c>
      <c r="CN65" s="362">
        <f>IFERROR(ROUND(CB65*$P65,2),"")</f>
        <v/>
      </c>
      <c r="CO65" s="362">
        <f>SUM(CK65:CN65)</f>
        <v/>
      </c>
    </row>
    <row r="66" hidden="1" ht="15.6" customFormat="1" customHeight="1" s="362">
      <c r="A66" s="331" t="n"/>
      <c r="B66" s="344">
        <f>_xlfn.XLOOKUP(G66,销售需求表!A:A,销售需求表!C:C)</f>
        <v/>
      </c>
      <c r="C66" s="345">
        <f>IFERROR(MID(F66,FIND("R",F66)+1,4),"")</f>
        <v/>
      </c>
      <c r="D66" s="344">
        <f>B66&amp;C66&amp;"寸"</f>
        <v/>
      </c>
      <c r="E66" s="346">
        <f>LEFT(REPLACE(G66,1,2,""),FIND("[",REPLACE(G66,1,2,""))-1)&amp;"-"&amp;MID(REPLACE(G66,1,2,""),FIND("[",REPLACE(G66,1,2,""))+1,FIND("]",REPLACE(G66,1,2,""))-FIND("[",REPLACE(G66,1,2,""))-1)</f>
        <v/>
      </c>
      <c r="F66" s="347">
        <f>IFERROR(MID(G66,3,FIND("(",G66)-3)&amp;"-"&amp;SUBSTITUTE(MID(G66,FIND("[",G66)+1,FIND("]",G66)-FIND("[",G66)-1),"Strong Guard ",""),"")</f>
        <v/>
      </c>
      <c r="G66" s="346" t="inlineStr">
        <is>
          <t>ID285/75R24.5-14PR(144/141L)[HF1 Plus]SUPERMAX无内</t>
        </is>
      </c>
      <c r="H66" s="344" t="n">
        <v>300</v>
      </c>
      <c r="I66" s="348" t="n"/>
      <c r="J66" s="349">
        <f>IFERROR(LEFT(F66,FIND("-",F66))&amp;MID(F66,FIND("PR",F66,FIND("-",F66))+3,LEN(F66)),F66)</f>
        <v/>
      </c>
      <c r="K66" s="352">
        <f>_xlfn.XLOOKUP(F66,投产规格!E:E,投产规格!D:D,"未投产")</f>
        <v/>
      </c>
      <c r="L66" s="352">
        <f>IFERROR(_xlfn.XLOOKUP(F66,硫化工艺!B:B,硫化工艺!C:C),"")</f>
        <v/>
      </c>
      <c r="M66" s="430">
        <f>IF(L66="","",L66/(L66+$L$1/60))</f>
        <v/>
      </c>
      <c r="N66" s="352">
        <f>C66&amp;"全钢"</f>
        <v/>
      </c>
      <c r="O66" s="352">
        <f>IFERROR(_xlfn.XLOOKUP(F66,轮胎重量!J:J,轮胎重量!G:G),"")</f>
        <v/>
      </c>
      <c r="P66" s="352">
        <f>IFERROR(_xlfn.XLOOKUP(G66,硫化工艺!I:I,硫化工艺!J:J),"")</f>
        <v/>
      </c>
      <c r="Q66" s="352">
        <f>IFERROR(ROUND(1440/L66*(I66)*M66,0),"")</f>
        <v/>
      </c>
      <c r="R66" s="352" t="n"/>
      <c r="S66" s="352" t="n"/>
      <c r="T66" s="352" t="n"/>
      <c r="U66" s="352" t="n"/>
      <c r="V66" s="352" t="n"/>
      <c r="W66" s="352" t="n"/>
      <c r="X66" s="352" t="n"/>
      <c r="Y66" s="352" t="n"/>
      <c r="Z66" s="352" t="n"/>
      <c r="AA66" s="352" t="n"/>
      <c r="AB66" s="352" t="n"/>
      <c r="AC66" s="352" t="n"/>
      <c r="AD66" s="352" t="n"/>
      <c r="AE66" s="352" t="n"/>
      <c r="AF66" s="352" t="n"/>
      <c r="AG66" s="352" t="n"/>
      <c r="AH66" s="352" t="n"/>
      <c r="AI66" s="352" t="n"/>
      <c r="AJ66" s="352" t="n"/>
      <c r="AK66" s="352" t="n"/>
      <c r="AL66" s="352" t="n"/>
      <c r="AM66" s="352" t="n"/>
      <c r="AN66" s="352" t="n"/>
      <c r="AO66" s="352" t="n"/>
      <c r="AP66" s="352" t="n"/>
      <c r="AQ66" s="352" t="n"/>
      <c r="AR66" s="352" t="n"/>
      <c r="AS66" s="352" t="n"/>
      <c r="AT66" s="352" t="n"/>
      <c r="AU66" s="352" t="n"/>
      <c r="AV66" s="352" t="n"/>
      <c r="AW66" s="352">
        <f>IF(SUM(R66:AV66)=0,"",SUM(R66:AV66))</f>
        <v/>
      </c>
      <c r="AX66" s="431">
        <f>IFERROR(AW66*O66/1000,"")</f>
        <v/>
      </c>
      <c r="AY66" s="431">
        <f>IFERROR(ROUND(AW66*P66/10000,3),"")</f>
        <v/>
      </c>
      <c r="AZ66" s="354" t="n">
        <v>449.18</v>
      </c>
      <c r="BA66" s="355" t="n">
        <v>29.42</v>
      </c>
      <c r="BB66" s="355" t="n">
        <v>49.09</v>
      </c>
      <c r="BC66" s="355" t="n">
        <v>52.13</v>
      </c>
      <c r="BD66" s="331" t="n"/>
      <c r="BE66" s="331">
        <f>AZ66*AW66</f>
        <v/>
      </c>
      <c r="BF66" s="331">
        <f>BA66*AW66</f>
        <v/>
      </c>
      <c r="BG66" s="331">
        <f>BB66*AW66</f>
        <v/>
      </c>
      <c r="BH66" s="331">
        <f>BC66*AW66</f>
        <v/>
      </c>
      <c r="BI66" s="331" t="n"/>
      <c r="BJ66" s="356">
        <f t="array" ref="BJ66:BM66">_xlfn.LET(_xlpm.data,$R66:$AV66,_xlpm.starts,{1,8,16,23},_xlpm.lengths,{7,7,8,9},_xlpm.arr,_xlfn.MAP(_xlpm.starts,_xlpm.lengths,_xlfn.LAMBDA(_xlpm.s,_xlpm.l,SUM(INDEX(_xlpm.data,,_xlfn.SEQUENCE(,_xlpm.l,_xlpm.s))))),ROUND(_xlpm.arr*$O66/1000,2))</f>
        <v/>
      </c>
      <c r="BK66" s="331" t="n">
        <v>0</v>
      </c>
      <c r="BL66" s="331" t="n">
        <v>0</v>
      </c>
      <c r="BM66" s="331" t="n">
        <v>0</v>
      </c>
      <c r="BN66" s="362">
        <f>SUM(BJ66:BM66)</f>
        <v/>
      </c>
      <c r="BO66" s="362" t="n">
        <v>22.41</v>
      </c>
      <c r="BP66" s="362" t="n">
        <v>22.41</v>
      </c>
      <c r="BQ66" s="362" t="n">
        <v>25.62</v>
      </c>
      <c r="BR66" s="362" t="n">
        <v>28.82</v>
      </c>
      <c r="BS66" s="115" t="n"/>
      <c r="BT66" s="362">
        <f t="array" ref="BT66:BW66">_xlfn.HSTACK(SUM(INDEX($R66:$AV66,1,1):INDEX($R66:$AV66,1,7)),SUM(INDEX($R66:$AV66,1,7):INDEX($R66:$AV66,1,13)),SUM(INDEX($R66:$AV66,1,16):INDEX($R66:$AV66,1,23)),SUM(INDEX($R66:$AV66,1,23):INDEX($R66:$AV66,1,31)))</f>
        <v/>
      </c>
      <c r="BU66" s="362" t="n">
        <v>0</v>
      </c>
      <c r="BV66" s="362" t="n">
        <v>0</v>
      </c>
      <c r="BW66" s="362" t="n">
        <v>0</v>
      </c>
      <c r="BY66" s="362">
        <f>SUM(R66:X66)</f>
        <v/>
      </c>
      <c r="BZ66" s="362">
        <f>SUM(Y66:AE66)</f>
        <v/>
      </c>
      <c r="CA66" s="362">
        <f>SUM(AF66:AM66)</f>
        <v/>
      </c>
      <c r="CB66" s="362">
        <f>SUM(AN66:AV66)</f>
        <v/>
      </c>
      <c r="CD66" s="432" t="inlineStr">
        <is>
          <t>ADA</t>
        </is>
      </c>
      <c r="CE66" s="362">
        <f>ROUND(BY66*$O66/1000,2)</f>
        <v/>
      </c>
      <c r="CF66" s="362">
        <f>ROUND(BZ66*$O66/1000,2)</f>
        <v/>
      </c>
      <c r="CG66" s="362">
        <f>ROUND(CA66*$O66/1000,2)</f>
        <v/>
      </c>
      <c r="CH66" s="362">
        <f>ROUND(CB66*$O66/1000,2)</f>
        <v/>
      </c>
      <c r="CI66" s="362">
        <f>SUM(CE66:CH66)</f>
        <v/>
      </c>
      <c r="CJ66" s="390" t="n"/>
      <c r="CK66" s="362">
        <f>IFERROR(ROUND(BY66*$P66,2),"")</f>
        <v/>
      </c>
      <c r="CL66" s="362">
        <f>IFERROR(ROUND(BZ66*$P66,2),"")</f>
        <v/>
      </c>
      <c r="CM66" s="362">
        <f>IFERROR(ROUND(CA66*$P66,2),"")</f>
        <v/>
      </c>
      <c r="CN66" s="362">
        <f>IFERROR(ROUND(CB66*$P66,2),"")</f>
        <v/>
      </c>
      <c r="CO66" s="362">
        <f>SUM(CK66:CN66)</f>
        <v/>
      </c>
    </row>
    <row r="67" ht="15.6" customHeight="1" s="428">
      <c r="A67" s="331" t="n"/>
      <c r="B67" s="344">
        <f>_xlfn.XLOOKUP(G67,销售需求表!A:A,销售需求表!C:C)</f>
        <v/>
      </c>
      <c r="C67" s="345">
        <f>IFERROR(MID(F67,FIND("R",F67)+1,4),"")</f>
        <v/>
      </c>
      <c r="D67" s="344">
        <f>B67&amp;C67&amp;"寸"</f>
        <v/>
      </c>
      <c r="E67" s="346">
        <f>LEFT(REPLACE(G67,1,2,""),FIND("[",REPLACE(G67,1,2,""))-1)&amp;"-"&amp;MID(REPLACE(G67,1,2,""),FIND("[",REPLACE(G67,1,2,""))+1,FIND("]",REPLACE(G67,1,2,""))-FIND("[",REPLACE(G67,1,2,""))-1)</f>
        <v/>
      </c>
      <c r="F67" s="347">
        <f>IFERROR(MID(G67,3,FIND("(",G67)-3)&amp;"-"&amp;SUBSTITUTE(MID(G67,FIND("[",G67)+1,FIND("]",G67)-FIND("[",G67)-1),"Strong Guard ",""),"")</f>
        <v/>
      </c>
      <c r="G67" s="346" t="inlineStr">
        <is>
          <t>ID285/75R24.5-14PR(144/141L)[I-28D]IRONMAN无内 SMARTWAY</t>
        </is>
      </c>
      <c r="H67" s="344" t="n">
        <v>1000</v>
      </c>
      <c r="I67" s="348" t="n"/>
      <c r="J67" s="349">
        <f>IFERROR(LEFT(F67,FIND("-",F67))&amp;MID(F67,FIND("PR",F67,FIND("-",F67))+3,LEN(F67)),F67)</f>
        <v/>
      </c>
      <c r="K67" s="352">
        <f>_xlfn.XLOOKUP(F67,投产规格!E:E,投产规格!D:D,"未投产")</f>
        <v/>
      </c>
      <c r="L67" s="352">
        <f>IFERROR(_xlfn.XLOOKUP(F67,硫化工艺!B:B,硫化工艺!C:C),"")</f>
        <v/>
      </c>
      <c r="M67" s="430">
        <f>IF(L67="","",L67/(L67+$L$1/60))</f>
        <v/>
      </c>
      <c r="N67" s="352">
        <f>C67&amp;"全钢"</f>
        <v/>
      </c>
      <c r="O67" s="352">
        <f>IFERROR(_xlfn.XLOOKUP(F67,轮胎重量!J:J,轮胎重量!G:G),"")</f>
        <v/>
      </c>
      <c r="P67" s="352">
        <f>IFERROR(_xlfn.XLOOKUP(G67,硫化工艺!I:I,硫化工艺!J:J),"")</f>
        <v/>
      </c>
      <c r="Q67" s="352">
        <f>IFERROR(ROUND(1440/L67*(I67)*M67,0),"")</f>
        <v/>
      </c>
      <c r="R67" s="352" t="n"/>
      <c r="S67" s="352" t="n"/>
      <c r="T67" s="352" t="n"/>
      <c r="U67" s="352" t="n"/>
      <c r="V67" s="352" t="n"/>
      <c r="W67" s="352" t="n"/>
      <c r="X67" s="352" t="n"/>
      <c r="Y67" s="352" t="n"/>
      <c r="Z67" s="352" t="n"/>
      <c r="AA67" s="352" t="n"/>
      <c r="AB67" s="352" t="n"/>
      <c r="AC67" s="352" t="n"/>
      <c r="AD67" s="352" t="n"/>
      <c r="AE67" s="352" t="n"/>
      <c r="AF67" s="352" t="n"/>
      <c r="AG67" s="352" t="n"/>
      <c r="AH67" s="352" t="n"/>
      <c r="AI67" s="352" t="n"/>
      <c r="AJ67" s="352" t="n"/>
      <c r="AK67" s="352" t="n">
        <v>60</v>
      </c>
      <c r="AL67" s="352" t="n">
        <v>60</v>
      </c>
      <c r="AM67" s="352" t="n">
        <v>60</v>
      </c>
      <c r="AN67" s="352" t="n">
        <v>60</v>
      </c>
      <c r="AO67" s="352" t="n">
        <v>60</v>
      </c>
      <c r="AP67" s="352" t="n">
        <v>60</v>
      </c>
      <c r="AQ67" s="352" t="n">
        <v>60</v>
      </c>
      <c r="AR67" s="352" t="n">
        <v>60</v>
      </c>
      <c r="AS67" s="352" t="n">
        <v>60</v>
      </c>
      <c r="AT67" s="352" t="n">
        <v>60</v>
      </c>
      <c r="AU67" s="352" t="n">
        <v>60</v>
      </c>
      <c r="AV67" s="352" t="n">
        <v>60</v>
      </c>
      <c r="AW67" s="352">
        <f>IF(SUM(R67:AV67)=0,"",SUM(R67:AV67))</f>
        <v/>
      </c>
      <c r="AX67" s="431">
        <f>IFERROR(AW67*O67/1000,"")</f>
        <v/>
      </c>
      <c r="AY67" s="431">
        <f>IFERROR(ROUND(AW67*P67/10000,3),"")</f>
        <v/>
      </c>
      <c r="AZ67" s="359" t="n"/>
      <c r="BA67" s="362" t="n"/>
      <c r="BB67" s="362" t="n"/>
      <c r="BC67" s="331" t="n"/>
      <c r="BD67" s="331" t="n"/>
      <c r="BE67" s="331">
        <f>AZ67*AW67</f>
        <v/>
      </c>
      <c r="BF67" s="331">
        <f>BA67*AW67</f>
        <v/>
      </c>
      <c r="BG67" s="331">
        <f>BB67*AW67</f>
        <v/>
      </c>
      <c r="BH67" s="331">
        <f>BC67*AW67</f>
        <v/>
      </c>
      <c r="BI67" s="331" t="n"/>
      <c r="BJ67" s="356">
        <f t="array" ref="BJ67:BM67">_xlfn.LET(_xlpm.data,$R67:$AV67,_xlpm.starts,{1,8,16,23},_xlpm.lengths,{7,7,8,9},_xlpm.arr,_xlfn.MAP(_xlpm.starts,_xlpm.lengths,_xlfn.LAMBDA(_xlpm.s,_xlpm.l,SUM(INDEX(_xlpm.data,,_xlfn.SEQUENCE(,_xlpm.l,_xlpm.s))))),ROUND(_xlpm.arr*$O67/1000,2))</f>
        <v/>
      </c>
      <c r="BK67" s="331" t="n">
        <v>0</v>
      </c>
      <c r="BL67" s="331" t="n">
        <v>14.31</v>
      </c>
      <c r="BM67" s="331" t="n">
        <v>32.19</v>
      </c>
      <c r="BN67" s="362">
        <f>SUM(BJ67:BM67)</f>
        <v/>
      </c>
      <c r="BO67" s="362" t="n">
        <v>21.08</v>
      </c>
      <c r="BP67" s="362" t="n">
        <v>21.08</v>
      </c>
      <c r="BQ67" s="362" t="n">
        <v>24.09</v>
      </c>
      <c r="BR67" s="362" t="n">
        <v>27.1</v>
      </c>
      <c r="BS67" s="115" t="n"/>
      <c r="BT67" s="362">
        <f t="array" ref="BT67:BW67">_xlfn.HSTACK(SUM(INDEX($R67:$AV67,1,1):INDEX($R67:$AV67,1,7)),SUM(INDEX($R67:$AV67,1,7):INDEX($R67:$AV67,1,13)),SUM(INDEX($R67:$AV67,1,16):INDEX($R67:$AV67,1,23)),SUM(INDEX($R67:$AV67,1,23):INDEX($R67:$AV67,1,31)))</f>
        <v/>
      </c>
      <c r="BU67" s="362" t="n">
        <v>0</v>
      </c>
      <c r="BV67" s="362" t="n">
        <v>240</v>
      </c>
      <c r="BW67" s="362" t="n">
        <v>540</v>
      </c>
      <c r="BY67" s="362">
        <f>SUM(R67:X67)</f>
        <v/>
      </c>
      <c r="BZ67" s="362">
        <f>SUM(Y67:AE67)</f>
        <v/>
      </c>
      <c r="CA67" s="362">
        <f>SUM(AF67:AM67)</f>
        <v/>
      </c>
      <c r="CB67" s="362">
        <f>SUM(AN67:AV67)</f>
        <v/>
      </c>
      <c r="CC67" s="362" t="n"/>
      <c r="CD67" s="432" t="inlineStr">
        <is>
          <t>ADA</t>
        </is>
      </c>
      <c r="CE67" s="362">
        <f>ROUND(BY67*$O67/1000,2)</f>
        <v/>
      </c>
      <c r="CF67" s="362">
        <f>ROUND(BZ67*$O67/1000,2)</f>
        <v/>
      </c>
      <c r="CG67" s="362">
        <f>ROUND(CA67*$O67/1000,2)</f>
        <v/>
      </c>
      <c r="CH67" s="362">
        <f>ROUND(CB67*$O67/1000,2)</f>
        <v/>
      </c>
      <c r="CI67" s="362">
        <f>SUM(CE67:CH67)</f>
        <v/>
      </c>
      <c r="CJ67" s="390" t="n"/>
      <c r="CK67" s="362">
        <f>IFERROR(ROUND(BY67*$P67,2),"")</f>
        <v/>
      </c>
      <c r="CL67" s="362">
        <f>IFERROR(ROUND(BZ67*$P67,2),"")</f>
        <v/>
      </c>
      <c r="CM67" s="362">
        <f>IFERROR(ROUND(CA67*$P67,2),"")</f>
        <v/>
      </c>
      <c r="CN67" s="362">
        <f>IFERROR(ROUND(CB67*$P67,2),"")</f>
        <v/>
      </c>
      <c r="CO67" s="362">
        <f>SUM(CK67:CN67)</f>
        <v/>
      </c>
    </row>
    <row r="68" hidden="1" ht="15.6" customHeight="1" s="428">
      <c r="A68" s="331" t="n"/>
      <c r="B68" s="344">
        <f>_xlfn.XLOOKUP(G68,销售需求表!A:A,销售需求表!C:C)</f>
        <v/>
      </c>
      <c r="C68" s="345">
        <f>IFERROR(MID(F68,FIND("R",F68)+1,4),"")</f>
        <v/>
      </c>
      <c r="D68" s="344">
        <f>B68&amp;C68&amp;"寸"</f>
        <v/>
      </c>
      <c r="E68" s="346">
        <f>LEFT(REPLACE(G68,1,2,""),FIND("[",REPLACE(G68,1,2,""))-1)&amp;"-"&amp;MID(REPLACE(G68,1,2,""),FIND("[",REPLACE(G68,1,2,""))+1,FIND("]",REPLACE(G68,1,2,""))-FIND("[",REPLACE(G68,1,2,""))-1)</f>
        <v/>
      </c>
      <c r="F68" s="347">
        <f>IFERROR(MID(G68,3,FIND("(",G68)-3)&amp;"-"&amp;SUBSTITUTE(MID(G68,FIND("[",G68)+1,FIND("]",G68)-FIND("[",G68)-1),"Strong Guard ",""),"")</f>
        <v/>
      </c>
      <c r="G68" s="346" t="inlineStr">
        <is>
          <t>ID285/75R24.5-14PR(144/141L)[I-37D]IRONMAN无内</t>
        </is>
      </c>
      <c r="H68" s="344" t="n">
        <v>250</v>
      </c>
      <c r="I68" s="348" t="n"/>
      <c r="J68" s="349">
        <f>IFERROR(LEFT(F68,FIND("-",F68))&amp;MID(F68,FIND("PR",F68,FIND("-",F68))+3,LEN(F68)),F68)</f>
        <v/>
      </c>
      <c r="K68" s="352">
        <f>_xlfn.XLOOKUP(F68,投产规格!E:E,投产规格!D:D,"未投产")</f>
        <v/>
      </c>
      <c r="L68" s="352">
        <f>IFERROR(_xlfn.XLOOKUP(F68,硫化工艺!B:B,硫化工艺!C:C),"")</f>
        <v/>
      </c>
      <c r="M68" s="430">
        <f>IF(L68="","",L68/(L68+$L$1/60))</f>
        <v/>
      </c>
      <c r="N68" s="352">
        <f>C68&amp;"全钢"</f>
        <v/>
      </c>
      <c r="O68" s="352">
        <f>IFERROR(_xlfn.XLOOKUP(F68,轮胎重量!J:J,轮胎重量!G:G),"")</f>
        <v/>
      </c>
      <c r="P68" s="352">
        <f>IFERROR(_xlfn.XLOOKUP(G68,硫化工艺!I:I,硫化工艺!J:J),"")</f>
        <v/>
      </c>
      <c r="Q68" s="352">
        <f>IFERROR(ROUND(1440/L68*(I68)*M68,0),"")</f>
        <v/>
      </c>
      <c r="R68" s="352" t="n"/>
      <c r="S68" s="352" t="n"/>
      <c r="T68" s="352" t="n"/>
      <c r="U68" s="352" t="n"/>
      <c r="V68" s="352" t="n"/>
      <c r="W68" s="352" t="n"/>
      <c r="X68" s="352" t="n"/>
      <c r="Y68" s="352" t="n"/>
      <c r="Z68" s="352" t="n"/>
      <c r="AA68" s="352" t="n"/>
      <c r="AB68" s="352" t="n"/>
      <c r="AC68" s="352" t="n"/>
      <c r="AD68" s="352" t="n"/>
      <c r="AE68" s="352" t="n"/>
      <c r="AF68" s="352" t="n"/>
      <c r="AG68" s="352" t="n"/>
      <c r="AH68" s="352" t="n"/>
      <c r="AI68" s="352" t="n"/>
      <c r="AJ68" s="352" t="n"/>
      <c r="AK68" s="352" t="n"/>
      <c r="AL68" s="352" t="n"/>
      <c r="AM68" s="352" t="n"/>
      <c r="AN68" s="352" t="n"/>
      <c r="AO68" s="352" t="n"/>
      <c r="AP68" s="352" t="n"/>
      <c r="AQ68" s="352" t="n"/>
      <c r="AR68" s="352" t="n"/>
      <c r="AS68" s="352" t="n"/>
      <c r="AT68" s="352" t="n"/>
      <c r="AU68" s="352" t="n"/>
      <c r="AV68" s="352" t="n"/>
      <c r="AW68" s="352">
        <f>IF(SUM(R68:AV68)=0,"",SUM(R68:AV68))</f>
        <v/>
      </c>
      <c r="AX68" s="431">
        <f>IFERROR(AW68*O68/1000,"")</f>
        <v/>
      </c>
      <c r="AY68" s="431">
        <f>IFERROR(ROUND(AW68*P68/10000,3),"")</f>
        <v/>
      </c>
      <c r="AZ68" s="359" t="n"/>
      <c r="BA68" s="362" t="n"/>
      <c r="BB68" s="362" t="n"/>
      <c r="BC68" s="331" t="n"/>
      <c r="BD68" s="331" t="n"/>
      <c r="BE68" s="331">
        <f>AZ68*AW68</f>
        <v/>
      </c>
      <c r="BF68" s="331">
        <f>BA68*AW68</f>
        <v/>
      </c>
      <c r="BG68" s="331">
        <f>BB68*AW68</f>
        <v/>
      </c>
      <c r="BH68" s="331">
        <f>BC68*AW68</f>
        <v/>
      </c>
      <c r="BI68" s="331" t="n"/>
      <c r="BJ68" s="356">
        <f t="array" ref="BJ68:BM68">_xlfn.LET(_xlpm.data,$R68:$AV68,_xlpm.starts,{1,8,16,23},_xlpm.lengths,{7,7,8,9},_xlpm.arr,_xlfn.MAP(_xlpm.starts,_xlpm.lengths,_xlfn.LAMBDA(_xlpm.s,_xlpm.l,SUM(INDEX(_xlpm.data,,_xlfn.SEQUENCE(,_xlpm.l,_xlpm.s))))),ROUND(_xlpm.arr*$O68/1000,2))</f>
        <v/>
      </c>
      <c r="BK68" s="331" t="n">
        <v>0</v>
      </c>
      <c r="BL68" s="331" t="n">
        <v>0</v>
      </c>
      <c r="BM68" s="331" t="n">
        <v>0</v>
      </c>
      <c r="BN68" s="362">
        <f>SUM(BJ68:BM68)</f>
        <v/>
      </c>
      <c r="BO68" s="362" t="n">
        <v>0</v>
      </c>
      <c r="BP68" s="362" t="n">
        <v>0</v>
      </c>
      <c r="BQ68" s="362" t="n">
        <v>0</v>
      </c>
      <c r="BR68" s="362" t="n">
        <v>0</v>
      </c>
      <c r="BS68" s="115" t="n"/>
      <c r="BT68" s="362">
        <f t="array" ref="BT68:BW68">_xlfn.HSTACK(SUM(INDEX($R68:$AV68,1,1):INDEX($R68:$AV68,1,7)),SUM(INDEX($R68:$AV68,1,7):INDEX($R68:$AV68,1,13)),SUM(INDEX($R68:$AV68,1,16):INDEX($R68:$AV68,1,23)),SUM(INDEX($R68:$AV68,1,23):INDEX($R68:$AV68,1,31)))</f>
        <v/>
      </c>
      <c r="BU68" s="362" t="n">
        <v>0</v>
      </c>
      <c r="BV68" s="362" t="n">
        <v>0</v>
      </c>
      <c r="BW68" s="362" t="n">
        <v>0</v>
      </c>
      <c r="BY68" s="362">
        <f>SUM(R68:X68)</f>
        <v/>
      </c>
      <c r="BZ68" s="362">
        <f>SUM(Y68:AE68)</f>
        <v/>
      </c>
      <c r="CA68" s="362">
        <f>SUM(AF68:AM68)</f>
        <v/>
      </c>
      <c r="CB68" s="362">
        <f>SUM(AN68:AV68)</f>
        <v/>
      </c>
      <c r="CC68" s="362" t="n"/>
      <c r="CD68" s="432" t="inlineStr">
        <is>
          <t>ADA</t>
        </is>
      </c>
      <c r="CE68" s="362">
        <f>ROUND(BY68*$O68/1000,2)</f>
        <v/>
      </c>
      <c r="CF68" s="362">
        <f>ROUND(BZ68*$O68/1000,2)</f>
        <v/>
      </c>
      <c r="CG68" s="362">
        <f>ROUND(CA68*$O68/1000,2)</f>
        <v/>
      </c>
      <c r="CH68" s="362">
        <f>ROUND(CB68*$O68/1000,2)</f>
        <v/>
      </c>
      <c r="CI68" s="362">
        <f>SUM(CE68:CH68)</f>
        <v/>
      </c>
      <c r="CJ68" s="390" t="n"/>
      <c r="CK68" s="362">
        <f>IFERROR(ROUND(BY68*$P68,2),"")</f>
        <v/>
      </c>
      <c r="CL68" s="362">
        <f>IFERROR(ROUND(BZ68*$P68,2),"")</f>
        <v/>
      </c>
      <c r="CM68" s="362">
        <f>IFERROR(ROUND(CA68*$P68,2),"")</f>
        <v/>
      </c>
      <c r="CN68" s="362">
        <f>IFERROR(ROUND(CB68*$P68,2),"")</f>
        <v/>
      </c>
      <c r="CO68" s="362">
        <f>SUM(CK68:CN68)</f>
        <v/>
      </c>
    </row>
    <row r="69" hidden="1" ht="15.6" customHeight="1" s="428">
      <c r="A69" s="331" t="n"/>
      <c r="B69" s="344">
        <f>_xlfn.XLOOKUP(G69,销售需求表!A:A,销售需求表!C:C)</f>
        <v/>
      </c>
      <c r="C69" s="345">
        <f>IFERROR(MID(F69,FIND("R",F69)+1,4),"")</f>
        <v/>
      </c>
      <c r="D69" s="344">
        <f>B69&amp;C69&amp;"寸"</f>
        <v/>
      </c>
      <c r="E69" s="346">
        <f>LEFT(REPLACE(G69,1,2,""),FIND("[",REPLACE(G69,1,2,""))-1)&amp;"-"&amp;MID(REPLACE(G69,1,2,""),FIND("[",REPLACE(G69,1,2,""))+1,FIND("]",REPLACE(G69,1,2,""))-FIND("[",REPLACE(G69,1,2,""))-1)</f>
        <v/>
      </c>
      <c r="F69" s="347">
        <f>IFERROR(MID(G69,3,FIND("(",G69)-3)&amp;"-"&amp;SUBSTITUTE(MID(G69,FIND("[",G69)+1,FIND("]",G69)-FIND("[",G69)-1),"Strong Guard ",""),"")</f>
        <v/>
      </c>
      <c r="G69" s="346" t="inlineStr">
        <is>
          <t>ID285/75R24.5-14PR(144/141L)[Strong Guard H-TL]HERCULES无内</t>
        </is>
      </c>
      <c r="H69" s="344" t="n">
        <v>180</v>
      </c>
      <c r="I69" s="348" t="n"/>
      <c r="J69" s="349">
        <f>IFERROR(LEFT(F69,FIND("-",F69))&amp;MID(F69,FIND("PR",F69,FIND("-",F69))+3,LEN(F69)),F69)</f>
        <v/>
      </c>
      <c r="K69" s="352">
        <f>_xlfn.XLOOKUP(F69,投产规格!E:E,投产规格!D:D,"未投产")</f>
        <v/>
      </c>
      <c r="L69" s="352">
        <f>IFERROR(_xlfn.XLOOKUP(F69,硫化工艺!B:B,硫化工艺!C:C),"")</f>
        <v/>
      </c>
      <c r="M69" s="430">
        <f>IF(L69="","",L69/(L69+$L$1/60))</f>
        <v/>
      </c>
      <c r="N69" s="352">
        <f>C69&amp;"全钢"</f>
        <v/>
      </c>
      <c r="O69" s="352">
        <f>IFERROR(_xlfn.XLOOKUP(F69,轮胎重量!J:J,轮胎重量!G:G),"")</f>
        <v/>
      </c>
      <c r="P69" s="352">
        <f>IFERROR(_xlfn.XLOOKUP(G69,硫化工艺!I:I,硫化工艺!J:J),"")</f>
        <v/>
      </c>
      <c r="Q69" s="352">
        <f>IFERROR(ROUND(1440/L69*(I69)*M69,0),"")</f>
        <v/>
      </c>
      <c r="R69" s="352" t="n"/>
      <c r="S69" s="352" t="n"/>
      <c r="T69" s="352" t="n"/>
      <c r="U69" s="352" t="n"/>
      <c r="V69" s="352" t="n"/>
      <c r="W69" s="352" t="n"/>
      <c r="X69" s="352" t="n"/>
      <c r="Y69" s="352" t="n"/>
      <c r="Z69" s="352" t="n"/>
      <c r="AA69" s="352" t="n"/>
      <c r="AB69" s="352" t="n"/>
      <c r="AC69" s="352" t="n"/>
      <c r="AD69" s="352" t="n"/>
      <c r="AE69" s="352" t="n"/>
      <c r="AF69" s="352" t="n"/>
      <c r="AG69" s="352" t="n"/>
      <c r="AH69" s="352" t="n"/>
      <c r="AI69" s="352" t="n"/>
      <c r="AJ69" s="352" t="n"/>
      <c r="AK69" s="352" t="n"/>
      <c r="AL69" s="352" t="n"/>
      <c r="AM69" s="352" t="n"/>
      <c r="AN69" s="352" t="n"/>
      <c r="AO69" s="352" t="n"/>
      <c r="AP69" s="352" t="n"/>
      <c r="AQ69" s="352" t="n"/>
      <c r="AR69" s="352" t="n"/>
      <c r="AS69" s="352" t="n"/>
      <c r="AT69" s="352" t="n"/>
      <c r="AU69" s="352" t="n"/>
      <c r="AV69" s="352" t="n"/>
      <c r="AW69" s="352">
        <f>IF(SUM(R69:AV69)=0,"",SUM(R69:AV69))</f>
        <v/>
      </c>
      <c r="AX69" s="431">
        <f>IFERROR(AW69*O69/1000,"")</f>
        <v/>
      </c>
      <c r="AY69" s="431">
        <f>IFERROR(ROUND(AW69*P69/10000,3),"")</f>
        <v/>
      </c>
      <c r="AZ69" s="359" t="n"/>
      <c r="BA69" s="362" t="n"/>
      <c r="BB69" s="362" t="n"/>
      <c r="BC69" s="331" t="n"/>
      <c r="BD69" s="331" t="n"/>
      <c r="BE69" s="331">
        <f>AZ69*AW69</f>
        <v/>
      </c>
      <c r="BF69" s="331">
        <f>BA69*AW69</f>
        <v/>
      </c>
      <c r="BG69" s="331">
        <f>BB69*AW69</f>
        <v/>
      </c>
      <c r="BH69" s="331">
        <f>BC69*AW69</f>
        <v/>
      </c>
      <c r="BI69" s="331" t="n"/>
      <c r="BJ69" s="356">
        <f t="array" ref="BJ69:BM69">_xlfn.LET(_xlpm.data,$R69:$AV69,_xlpm.starts,{1,8,16,23},_xlpm.lengths,{7,7,8,9},_xlpm.arr,_xlfn.MAP(_xlpm.starts,_xlpm.lengths,_xlfn.LAMBDA(_xlpm.s,_xlpm.l,SUM(INDEX(_xlpm.data,,_xlfn.SEQUENCE(,_xlpm.l,_xlpm.s))))),ROUND(_xlpm.arr*$O69/1000,2))</f>
        <v/>
      </c>
      <c r="BK69" s="331" t="n">
        <v>0</v>
      </c>
      <c r="BL69" s="331" t="n">
        <v>0</v>
      </c>
      <c r="BM69" s="331" t="n">
        <v>0</v>
      </c>
      <c r="BN69" s="362">
        <f>SUM(BJ69:BM69)</f>
        <v/>
      </c>
      <c r="BO69" s="362" t="n">
        <v>0</v>
      </c>
      <c r="BP69" s="362" t="n">
        <v>0</v>
      </c>
      <c r="BQ69" s="362" t="n">
        <v>0</v>
      </c>
      <c r="BR69" s="362" t="n">
        <v>0</v>
      </c>
      <c r="BS69" s="115" t="n"/>
      <c r="BT69" s="362">
        <f t="array" ref="BT69:BW69">_xlfn.HSTACK(SUM(INDEX($R69:$AV69,1,1):INDEX($R69:$AV69,1,7)),SUM(INDEX($R69:$AV69,1,7):INDEX($R69:$AV69,1,13)),SUM(INDEX($R69:$AV69,1,16):INDEX($R69:$AV69,1,23)),SUM(INDEX($R69:$AV69,1,23):INDEX($R69:$AV69,1,31)))</f>
        <v/>
      </c>
      <c r="BU69" s="362" t="n">
        <v>0</v>
      </c>
      <c r="BV69" s="362" t="n">
        <v>0</v>
      </c>
      <c r="BW69" s="362" t="n">
        <v>0</v>
      </c>
      <c r="BY69" s="362">
        <f>SUM(R69:X69)</f>
        <v/>
      </c>
      <c r="BZ69" s="362">
        <f>SUM(Y69:AE69)</f>
        <v/>
      </c>
      <c r="CA69" s="362">
        <f>SUM(AF69:AM69)</f>
        <v/>
      </c>
      <c r="CB69" s="362">
        <f>SUM(AN69:AV69)</f>
        <v/>
      </c>
      <c r="CC69" s="362" t="n"/>
      <c r="CD69" s="432" t="inlineStr">
        <is>
          <t>ADA</t>
        </is>
      </c>
      <c r="CE69" s="362">
        <f>ROUND(BY69*$O69/1000,2)</f>
        <v/>
      </c>
      <c r="CF69" s="362">
        <f>ROUND(BZ69*$O69/1000,2)</f>
        <v/>
      </c>
      <c r="CG69" s="362">
        <f>ROUND(CA69*$O69/1000,2)</f>
        <v/>
      </c>
      <c r="CH69" s="362">
        <f>ROUND(CB69*$O69/1000,2)</f>
        <v/>
      </c>
      <c r="CI69" s="362">
        <f>SUM(CE69:CH69)</f>
        <v/>
      </c>
      <c r="CJ69" s="390" t="n"/>
      <c r="CK69" s="362">
        <f>IFERROR(ROUND(BY69*$P69,2),"")</f>
        <v/>
      </c>
      <c r="CL69" s="362">
        <f>IFERROR(ROUND(BZ69*$P69,2),"")</f>
        <v/>
      </c>
      <c r="CM69" s="362">
        <f>IFERROR(ROUND(CA69*$P69,2),"")</f>
        <v/>
      </c>
      <c r="CN69" s="362">
        <f>IFERROR(ROUND(CB69*$P69,2),"")</f>
        <v/>
      </c>
      <c r="CO69" s="362">
        <f>SUM(CK69:CN69)</f>
        <v/>
      </c>
    </row>
    <row r="70" ht="15.6" customHeight="1" s="428">
      <c r="A70" s="331" t="n"/>
      <c r="B70" s="344">
        <f>_xlfn.XLOOKUP(G70,销售需求表!A:A,销售需求表!C:C)</f>
        <v/>
      </c>
      <c r="C70" s="345">
        <f>IFERROR(MID(F70,FIND("R",F70)+1,4),"")</f>
        <v/>
      </c>
      <c r="D70" s="344">
        <f>B70&amp;C70&amp;"寸"</f>
        <v/>
      </c>
      <c r="E70" s="346">
        <f>LEFT(REPLACE(G70,1,2,""),FIND("[",REPLACE(G70,1,2,""))-1)&amp;"-"&amp;MID(REPLACE(G70,1,2,""),FIND("[",REPLACE(G70,1,2,""))+1,FIND("]",REPLACE(G70,1,2,""))-FIND("[",REPLACE(G70,1,2,""))-1)</f>
        <v/>
      </c>
      <c r="F70" s="347">
        <f>IFERROR(MID(G70,3,FIND("(",G70)-3)&amp;"-"&amp;SUBSTITUTE(MID(G70,FIND("[",G70)+1,FIND("]",G70)-FIND("[",G70)-1),"Strong Guard ",""),"")</f>
        <v/>
      </c>
      <c r="G70" s="346" t="inlineStr">
        <is>
          <t>ID285/75R24.5-14PR(144/141M)[I-19A]IRONMAN无内 SMARTWAY</t>
        </is>
      </c>
      <c r="H70" s="344" t="n">
        <v>1100</v>
      </c>
      <c r="I70" s="348" t="n"/>
      <c r="J70" s="349">
        <f>IFERROR(LEFT(F70,FIND("-",F70))&amp;MID(F70,FIND("PR",F70,FIND("-",F70))+3,LEN(F70)),F70)</f>
        <v/>
      </c>
      <c r="K70" s="352">
        <f>_xlfn.XLOOKUP(F70,投产规格!E:E,投产规格!D:D,"未投产")</f>
        <v/>
      </c>
      <c r="L70" s="352">
        <f>IFERROR(_xlfn.XLOOKUP(F70,硫化工艺!B:B,硫化工艺!C:C),"")</f>
        <v/>
      </c>
      <c r="M70" s="430">
        <f>IF(L70="","",L70/(L70+$L$1/60))</f>
        <v/>
      </c>
      <c r="N70" s="352">
        <f>C70&amp;"全钢"</f>
        <v/>
      </c>
      <c r="O70" s="352">
        <f>IFERROR(_xlfn.XLOOKUP(F70,轮胎重量!J:J,轮胎重量!G:G),"")</f>
        <v/>
      </c>
      <c r="P70" s="352">
        <f>IFERROR(_xlfn.XLOOKUP(G70,硫化工艺!I:I,硫化工艺!J:J),"")</f>
        <v/>
      </c>
      <c r="Q70" s="352">
        <f>IFERROR(ROUND(1440/L70*(I70)*M70,0),"")</f>
        <v/>
      </c>
      <c r="R70" s="352" t="n"/>
      <c r="S70" s="352" t="n"/>
      <c r="T70" s="352" t="n"/>
      <c r="U70" s="352" t="n"/>
      <c r="V70" s="352" t="n"/>
      <c r="W70" s="352" t="n"/>
      <c r="X70" s="352" t="n"/>
      <c r="Y70" s="352" t="n"/>
      <c r="Z70" s="352" t="n"/>
      <c r="AA70" s="352" t="n"/>
      <c r="AB70" s="352" t="n"/>
      <c r="AC70" s="352" t="n"/>
      <c r="AD70" s="352" t="n"/>
      <c r="AE70" s="352" t="n"/>
      <c r="AF70" s="352" t="n"/>
      <c r="AG70" s="352" t="n"/>
      <c r="AH70" s="352" t="n"/>
      <c r="AI70" s="352" t="n"/>
      <c r="AJ70" s="352" t="n"/>
      <c r="AK70" s="352" t="n">
        <v>60</v>
      </c>
      <c r="AL70" s="352" t="n">
        <v>60</v>
      </c>
      <c r="AM70" s="352" t="n">
        <v>60</v>
      </c>
      <c r="AN70" s="352" t="n">
        <v>60</v>
      </c>
      <c r="AO70" s="352" t="n">
        <v>60</v>
      </c>
      <c r="AP70" s="352" t="n">
        <v>60</v>
      </c>
      <c r="AQ70" s="352" t="n">
        <v>60</v>
      </c>
      <c r="AR70" s="352" t="n">
        <v>60</v>
      </c>
      <c r="AS70" s="352" t="n">
        <v>60</v>
      </c>
      <c r="AT70" s="352" t="n">
        <v>60</v>
      </c>
      <c r="AU70" s="352" t="n">
        <v>60</v>
      </c>
      <c r="AV70" s="352" t="n">
        <v>60</v>
      </c>
      <c r="AW70" s="352">
        <f>IF(SUM(R70:AV70)=0,"",SUM(R70:AV70))</f>
        <v/>
      </c>
      <c r="AX70" s="431">
        <f>IFERROR(AW70*O70/1000,"")</f>
        <v/>
      </c>
      <c r="AY70" s="431">
        <f>IFERROR(ROUND(AW70*P70/10000,3),"")</f>
        <v/>
      </c>
      <c r="AZ70" s="359" t="n"/>
      <c r="BA70" s="362" t="n"/>
      <c r="BB70" s="362" t="n"/>
      <c r="BC70" s="331" t="n"/>
      <c r="BD70" s="331" t="n"/>
      <c r="BE70" s="331">
        <f>AZ70*AW70</f>
        <v/>
      </c>
      <c r="BF70" s="331">
        <f>BA70*AW70</f>
        <v/>
      </c>
      <c r="BG70" s="331">
        <f>BB70*AW70</f>
        <v/>
      </c>
      <c r="BH70" s="331">
        <f>BC70*AW70</f>
        <v/>
      </c>
      <c r="BI70" s="331" t="n"/>
      <c r="BJ70" s="356">
        <f t="array" ref="BJ70:BM70">_xlfn.LET(_xlpm.data,$R70:$AV70,_xlpm.starts,{1,8,16,23},_xlpm.lengths,{7,7,8,9},_xlpm.arr,_xlfn.MAP(_xlpm.starts,_xlpm.lengths,_xlfn.LAMBDA(_xlpm.s,_xlpm.l,SUM(INDEX(_xlpm.data,,_xlfn.SEQUENCE(,_xlpm.l,_xlpm.s))))),ROUND(_xlpm.arr*$O70/1000,2))</f>
        <v/>
      </c>
      <c r="BK70" s="331" t="n">
        <v>0</v>
      </c>
      <c r="BL70" s="331" t="n">
        <v>12.55</v>
      </c>
      <c r="BM70" s="331" t="n">
        <v>28.23</v>
      </c>
      <c r="BN70" s="362">
        <f>SUM(BJ70:BM70)</f>
        <v/>
      </c>
      <c r="BO70" s="362" t="n">
        <v>0</v>
      </c>
      <c r="BP70" s="362" t="n">
        <v>0</v>
      </c>
      <c r="BQ70" s="362" t="n">
        <v>0</v>
      </c>
      <c r="BR70" s="362" t="n">
        <v>0</v>
      </c>
      <c r="BS70" s="115" t="n"/>
      <c r="BT70" s="362">
        <f t="array" ref="BT70:BW70">_xlfn.HSTACK(SUM(INDEX($R70:$AV70,1,1):INDEX($R70:$AV70,1,7)),SUM(INDEX($R70:$AV70,1,7):INDEX($R70:$AV70,1,13)),SUM(INDEX($R70:$AV70,1,16):INDEX($R70:$AV70,1,23)),SUM(INDEX($R70:$AV70,1,23):INDEX($R70:$AV70,1,31)))</f>
        <v/>
      </c>
      <c r="BU70" s="362" t="n">
        <v>0</v>
      </c>
      <c r="BV70" s="362" t="n">
        <v>240</v>
      </c>
      <c r="BW70" s="362" t="n">
        <v>540</v>
      </c>
      <c r="BY70" s="362">
        <f>SUM(R70:X70)</f>
        <v/>
      </c>
      <c r="BZ70" s="362">
        <f>SUM(Y70:AE70)</f>
        <v/>
      </c>
      <c r="CA70" s="362">
        <f>SUM(AF70:AM70)</f>
        <v/>
      </c>
      <c r="CB70" s="362">
        <f>SUM(AN70:AV70)</f>
        <v/>
      </c>
      <c r="CC70" s="362" t="n"/>
      <c r="CD70" s="432" t="inlineStr">
        <is>
          <t>ADA</t>
        </is>
      </c>
      <c r="CE70" s="362">
        <f>ROUND(BY70*$O70/1000,2)</f>
        <v/>
      </c>
      <c r="CF70" s="362">
        <f>ROUND(BZ70*$O70/1000,2)</f>
        <v/>
      </c>
      <c r="CG70" s="362">
        <f>ROUND(CA70*$O70/1000,2)</f>
        <v/>
      </c>
      <c r="CH70" s="362">
        <f>ROUND(CB70*$O70/1000,2)</f>
        <v/>
      </c>
      <c r="CI70" s="362">
        <f>SUM(CE70:CH70)</f>
        <v/>
      </c>
      <c r="CJ70" s="390" t="n"/>
      <c r="CK70" s="362">
        <f>IFERROR(ROUND(BY70*$P70,2),"")</f>
        <v/>
      </c>
      <c r="CL70" s="362">
        <f>IFERROR(ROUND(BZ70*$P70,2),"")</f>
        <v/>
      </c>
      <c r="CM70" s="362">
        <f>IFERROR(ROUND(CA70*$P70,2),"")</f>
        <v/>
      </c>
      <c r="CN70" s="362">
        <f>IFERROR(ROUND(CB70*$P70,2),"")</f>
        <v/>
      </c>
      <c r="CO70" s="362">
        <f>SUM(CK70:CN70)</f>
        <v/>
      </c>
    </row>
    <row r="71" hidden="1" ht="15.6" customFormat="1" customHeight="1" s="362">
      <c r="A71" s="331" t="n"/>
      <c r="B71" s="344">
        <f>_xlfn.XLOOKUP(G71,销售需求表!A:A,销售需求表!C:C)</f>
        <v/>
      </c>
      <c r="C71" s="345">
        <f>IFERROR(MID(F71,FIND("R",F71)+1,4),"")</f>
        <v/>
      </c>
      <c r="D71" s="344">
        <f>B71&amp;C71&amp;"寸"</f>
        <v/>
      </c>
      <c r="E71" s="346">
        <f>LEFT(REPLACE(G71,1,2,""),FIND("[",REPLACE(G71,1,2,""))-1)&amp;"-"&amp;MID(REPLACE(G71,1,2,""),FIND("[",REPLACE(G71,1,2,""))+1,FIND("]",REPLACE(G71,1,2,""))-FIND("[",REPLACE(G71,1,2,""))-1)</f>
        <v/>
      </c>
      <c r="F71" s="347">
        <f>IFERROR(MID(G71,3,FIND("(",G71)-3)&amp;"-"&amp;SUBSTITUTE(MID(G71,FIND("[",G71)+1,FIND("]",G71)-FIND("[",G71)-1),"Strong Guard ",""),"")</f>
        <v/>
      </c>
      <c r="G71" s="346" t="inlineStr">
        <is>
          <t>ID285/75R24.5-14PR(144/141M)[I-48T]IRONMAN无内 SMARTWAY</t>
        </is>
      </c>
      <c r="H71" s="344" t="n">
        <v>560</v>
      </c>
      <c r="I71" s="348" t="n"/>
      <c r="J71" s="349">
        <f>IFERROR(LEFT(F71,FIND("-",F71))&amp;MID(F71,FIND("PR",F71,FIND("-",F71))+3,LEN(F71)),F71)</f>
        <v/>
      </c>
      <c r="K71" s="352">
        <f>_xlfn.XLOOKUP(F71,投产规格!E:E,投产规格!D:D,"未投产")</f>
        <v/>
      </c>
      <c r="L71" s="352">
        <f>IFERROR(_xlfn.XLOOKUP(F71,硫化工艺!B:B,硫化工艺!C:C),"")</f>
        <v/>
      </c>
      <c r="M71" s="430">
        <f>IF(L71="","",L71/(L71+$L$1/60))</f>
        <v/>
      </c>
      <c r="N71" s="352">
        <f>C71&amp;"全钢"</f>
        <v/>
      </c>
      <c r="O71" s="352">
        <f>IFERROR(_xlfn.XLOOKUP(F71,轮胎重量!J:J,轮胎重量!G:G),"")</f>
        <v/>
      </c>
      <c r="P71" s="352">
        <f>IFERROR(_xlfn.XLOOKUP(G71,硫化工艺!I:I,硫化工艺!J:J),"")</f>
        <v/>
      </c>
      <c r="Q71" s="352">
        <f>IFERROR(ROUND(1440/L71*(I71)*M71,0),"")</f>
        <v/>
      </c>
      <c r="R71" s="352" t="n"/>
      <c r="S71" s="352" t="n"/>
      <c r="T71" s="352" t="n"/>
      <c r="U71" s="352" t="n"/>
      <c r="V71" s="352" t="n"/>
      <c r="W71" s="352" t="n"/>
      <c r="X71" s="352" t="n"/>
      <c r="Y71" s="352" t="n"/>
      <c r="Z71" s="352" t="n"/>
      <c r="AA71" s="352" t="n"/>
      <c r="AB71" s="352" t="n"/>
      <c r="AC71" s="352" t="n"/>
      <c r="AD71" s="352" t="n"/>
      <c r="AE71" s="352" t="n"/>
      <c r="AF71" s="352" t="n"/>
      <c r="AG71" s="352" t="n"/>
      <c r="AH71" s="352" t="n"/>
      <c r="AI71" s="352" t="n"/>
      <c r="AJ71" s="352" t="n"/>
      <c r="AK71" s="352" t="n"/>
      <c r="AL71" s="352" t="n"/>
      <c r="AM71" s="352" t="n"/>
      <c r="AN71" s="352" t="n"/>
      <c r="AO71" s="352" t="n"/>
      <c r="AP71" s="352" t="n"/>
      <c r="AQ71" s="352" t="n"/>
      <c r="AR71" s="352" t="n"/>
      <c r="AS71" s="352" t="n"/>
      <c r="AT71" s="352" t="n"/>
      <c r="AU71" s="352" t="n"/>
      <c r="AV71" s="352" t="n"/>
      <c r="AW71" s="352">
        <f>IF(SUM(R71:AV71)=0,"",SUM(R71:AV71))</f>
        <v/>
      </c>
      <c r="AX71" s="431">
        <f>IFERROR(AW71*O71/1000,"")</f>
        <v/>
      </c>
      <c r="AY71" s="431">
        <f>IFERROR(ROUND(AW71*P71/10000,3),"")</f>
        <v/>
      </c>
      <c r="AZ71" s="359" t="n"/>
      <c r="BA71" s="362" t="n"/>
      <c r="BB71" s="362" t="n"/>
      <c r="BC71" s="331" t="n"/>
      <c r="BD71" s="331" t="n"/>
      <c r="BE71" s="331">
        <f>AZ71*AW71</f>
        <v/>
      </c>
      <c r="BF71" s="331">
        <f>BA71*AW71</f>
        <v/>
      </c>
      <c r="BG71" s="331">
        <f>BB71*AW71</f>
        <v/>
      </c>
      <c r="BH71" s="331">
        <f>BC71*AW71</f>
        <v/>
      </c>
      <c r="BI71" s="331" t="n"/>
      <c r="BJ71" s="356">
        <f t="array" ref="BJ71:BM71">_xlfn.LET(_xlpm.data,$R71:$AV71,_xlpm.starts,{1,8,16,23},_xlpm.lengths,{7,7,8,9},_xlpm.arr,_xlfn.MAP(_xlpm.starts,_xlpm.lengths,_xlfn.LAMBDA(_xlpm.s,_xlpm.l,SUM(INDEX(_xlpm.data,,_xlfn.SEQUENCE(,_xlpm.l,_xlpm.s))))),ROUND(_xlpm.arr*$O71/1000,2))</f>
        <v/>
      </c>
      <c r="BK71" s="331" t="n">
        <v>0</v>
      </c>
      <c r="BL71" s="331" t="n">
        <v>0</v>
      </c>
      <c r="BM71" s="331" t="n">
        <v>0</v>
      </c>
      <c r="BN71" s="362">
        <f>SUM(BJ71:BM71)</f>
        <v/>
      </c>
      <c r="BO71" s="362" t="n">
        <v>0</v>
      </c>
      <c r="BP71" s="362" t="n">
        <v>0</v>
      </c>
      <c r="BQ71" s="362" t="n">
        <v>0</v>
      </c>
      <c r="BR71" s="362" t="n">
        <v>0</v>
      </c>
      <c r="BS71" s="115" t="n"/>
      <c r="BT71" s="362">
        <f t="array" ref="BT71:BW71">_xlfn.HSTACK(SUM(INDEX($R71:$AV71,1,1):INDEX($R71:$AV71,1,7)),SUM(INDEX($R71:$AV71,1,7):INDEX($R71:$AV71,1,13)),SUM(INDEX($R71:$AV71,1,16):INDEX($R71:$AV71,1,23)),SUM(INDEX($R71:$AV71,1,23):INDEX($R71:$AV71,1,31)))</f>
        <v/>
      </c>
      <c r="BU71" s="362" t="n">
        <v>0</v>
      </c>
      <c r="BV71" s="362" t="n">
        <v>0</v>
      </c>
      <c r="BW71" s="362" t="n">
        <v>0</v>
      </c>
      <c r="BY71" s="362">
        <f>SUM(R71:X71)</f>
        <v/>
      </c>
      <c r="BZ71" s="362">
        <f>SUM(Y71:AE71)</f>
        <v/>
      </c>
      <c r="CA71" s="362">
        <f>SUM(AF71:AM71)</f>
        <v/>
      </c>
      <c r="CB71" s="362">
        <f>SUM(AN71:AV71)</f>
        <v/>
      </c>
      <c r="CD71" s="432" t="inlineStr">
        <is>
          <t>ADA</t>
        </is>
      </c>
      <c r="CE71" s="362">
        <f>ROUND(BY71*$O71/1000,2)</f>
        <v/>
      </c>
      <c r="CF71" s="362">
        <f>ROUND(BZ71*$O71/1000,2)</f>
        <v/>
      </c>
      <c r="CG71" s="362">
        <f>ROUND(CA71*$O71/1000,2)</f>
        <v/>
      </c>
      <c r="CH71" s="362">
        <f>ROUND(CB71*$O71/1000,2)</f>
        <v/>
      </c>
      <c r="CI71" s="362">
        <f>SUM(CE71:CH71)</f>
        <v/>
      </c>
      <c r="CJ71" s="390" t="n"/>
      <c r="CK71" s="362">
        <f>IFERROR(ROUND(BY71*$P71,2),"")</f>
        <v/>
      </c>
      <c r="CL71" s="362">
        <f>IFERROR(ROUND(BZ71*$P71,2),"")</f>
        <v/>
      </c>
      <c r="CM71" s="362">
        <f>IFERROR(ROUND(CA71*$P71,2),"")</f>
        <v/>
      </c>
      <c r="CN71" s="362">
        <f>IFERROR(ROUND(CB71*$P71,2),"")</f>
        <v/>
      </c>
      <c r="CO71" s="362">
        <f>SUM(CK71:CN71)</f>
        <v/>
      </c>
    </row>
    <row r="72" ht="15.6" customFormat="1" customHeight="1" s="362">
      <c r="A72" s="331" t="n"/>
      <c r="B72" s="344">
        <f>_xlfn.XLOOKUP(G72,销售需求表!A:A,销售需求表!C:C)</f>
        <v/>
      </c>
      <c r="C72" s="345">
        <f>IFERROR(MID(F72,FIND("R",F72)+1,4),"")</f>
        <v/>
      </c>
      <c r="D72" s="344">
        <f>B72&amp;C72&amp;"寸"</f>
        <v/>
      </c>
      <c r="E72" s="346">
        <f>LEFT(REPLACE(G72,1,2,""),FIND("[",REPLACE(G72,1,2,""))-1)&amp;"-"&amp;MID(REPLACE(G72,1,2,""),FIND("[",REPLACE(G72,1,2,""))+1,FIND("]",REPLACE(G72,1,2,""))-FIND("[",REPLACE(G72,1,2,""))-1)</f>
        <v/>
      </c>
      <c r="F72" s="347">
        <f>IFERROR(MID(G72,3,FIND("(",G72)-3)&amp;"-"&amp;SUBSTITUTE(MID(G72,FIND("[",G72)+1,FIND("]",G72)-FIND("[",G72)-1),"Strong Guard ",""),"")</f>
        <v/>
      </c>
      <c r="G72" s="346" t="inlineStr">
        <is>
          <t>ID285/75R24.5-16PR(147/144L)[M-TRAC AP]MASTERTRACK无内</t>
        </is>
      </c>
      <c r="H72" s="344" t="n">
        <v>980</v>
      </c>
      <c r="I72" s="348" t="n"/>
      <c r="J72" s="349">
        <f>IFERROR(LEFT(F72,FIND("-",F72))&amp;MID(F72,FIND("PR",F72,FIND("-",F72))+3,LEN(F72)),F72)</f>
        <v/>
      </c>
      <c r="K72" s="352">
        <f>_xlfn.XLOOKUP(F72,投产规格!E:E,投产规格!D:D,"未投产")</f>
        <v/>
      </c>
      <c r="L72" s="352">
        <f>IFERROR(_xlfn.XLOOKUP(F72,硫化工艺!B:B,硫化工艺!C:C),"")</f>
        <v/>
      </c>
      <c r="M72" s="430">
        <f>IF(L72="","",L72/(L72+$L$1/60))</f>
        <v/>
      </c>
      <c r="N72" s="352">
        <f>C72&amp;"全钢"</f>
        <v/>
      </c>
      <c r="O72" s="352">
        <f>IFERROR(_xlfn.XLOOKUP(F72,轮胎重量!J:J,轮胎重量!G:G),"")</f>
        <v/>
      </c>
      <c r="P72" s="358">
        <f>O72*13.9</f>
        <v/>
      </c>
      <c r="Q72" s="352">
        <f>IFERROR(ROUND(1440/L72*(I72)*M72,0),"")</f>
        <v/>
      </c>
      <c r="R72" s="352" t="n"/>
      <c r="S72" s="352" t="n"/>
      <c r="T72" s="352" t="n"/>
      <c r="U72" s="352" t="n"/>
      <c r="V72" s="352" t="n"/>
      <c r="W72" s="352" t="n"/>
      <c r="X72" s="352" t="n"/>
      <c r="Y72" s="352" t="n"/>
      <c r="Z72" s="352" t="n"/>
      <c r="AA72" s="352" t="n"/>
      <c r="AB72" s="352" t="n"/>
      <c r="AC72" s="352" t="n"/>
      <c r="AD72" s="352" t="n"/>
      <c r="AE72" s="352" t="n"/>
      <c r="AF72" s="352" t="n"/>
      <c r="AG72" s="352" t="n"/>
      <c r="AH72" s="352" t="n"/>
      <c r="AI72" s="352" t="n"/>
      <c r="AJ72" s="352" t="n"/>
      <c r="AK72" s="352" t="n">
        <v>120</v>
      </c>
      <c r="AL72" s="352" t="n">
        <v>120</v>
      </c>
      <c r="AM72" s="352" t="n">
        <v>120</v>
      </c>
      <c r="AN72" s="352" t="n">
        <v>120</v>
      </c>
      <c r="AO72" s="352" t="n">
        <v>120</v>
      </c>
      <c r="AP72" s="352" t="n">
        <v>120</v>
      </c>
      <c r="AQ72" s="352" t="n">
        <v>120</v>
      </c>
      <c r="AR72" s="352" t="n"/>
      <c r="AS72" s="352" t="n"/>
      <c r="AT72" s="352" t="n"/>
      <c r="AU72" s="352" t="n"/>
      <c r="AV72" s="352" t="n"/>
      <c r="AW72" s="352">
        <f>IF(SUM(R72:AV72)=0,"",SUM(R72:AV72))</f>
        <v/>
      </c>
      <c r="AX72" s="431">
        <f>IFERROR(AW72*O72/1000,"")</f>
        <v/>
      </c>
      <c r="AY72" s="431">
        <f>IFERROR(ROUND(AW72*P72/10000,3),"")</f>
        <v/>
      </c>
      <c r="AZ72" s="354" t="n">
        <v>449.18</v>
      </c>
      <c r="BA72" s="355" t="n">
        <v>29.42</v>
      </c>
      <c r="BB72" s="355" t="n">
        <v>49.09</v>
      </c>
      <c r="BC72" s="355" t="n">
        <v>52.13</v>
      </c>
      <c r="BD72" s="331" t="n"/>
      <c r="BE72" s="331">
        <f>AZ72*AW72</f>
        <v/>
      </c>
      <c r="BF72" s="331">
        <f>BA72*AW72</f>
        <v/>
      </c>
      <c r="BG72" s="331">
        <f>BB72*AW72</f>
        <v/>
      </c>
      <c r="BH72" s="331">
        <f>BC72*AW72</f>
        <v/>
      </c>
      <c r="BI72" s="331" t="n"/>
      <c r="BJ72" s="356">
        <f t="array" ref="BJ72:BM72">_xlfn.LET(_xlpm.data,$R72:$AV72,_xlpm.starts,{1,8,16,23},_xlpm.lengths,{7,7,8,9},_xlpm.arr,_xlfn.MAP(_xlpm.starts,_xlpm.lengths,_xlfn.LAMBDA(_xlpm.s,_xlpm.l,SUM(INDEX(_xlpm.data,,_xlfn.SEQUENCE(,_xlpm.l,_xlpm.s))))),ROUND(_xlpm.arr*$O72/1000,2))</f>
        <v/>
      </c>
      <c r="BK72" s="331" t="n">
        <v>0</v>
      </c>
      <c r="BL72" s="331" t="n">
        <v>25.35</v>
      </c>
      <c r="BM72" s="331" t="n">
        <v>25.35</v>
      </c>
      <c r="BN72" s="362">
        <f>SUM(BJ72:BM72)</f>
        <v/>
      </c>
      <c r="BO72" s="362" t="n">
        <v>22.38</v>
      </c>
      <c r="BP72" s="362" t="n">
        <v>22.38</v>
      </c>
      <c r="BQ72" s="362" t="n">
        <v>25.58</v>
      </c>
      <c r="BR72" s="362" t="n">
        <v>28.77</v>
      </c>
      <c r="BS72" s="115" t="n"/>
      <c r="BT72" s="362">
        <f t="array" ref="BT72:BW72">_xlfn.HSTACK(SUM(INDEX($R72:$AV72,1,1):INDEX($R72:$AV72,1,7)),SUM(INDEX($R72:$AV72,1,7):INDEX($R72:$AV72,1,13)),SUM(INDEX($R72:$AV72,1,16):INDEX($R72:$AV72,1,23)),SUM(INDEX($R72:$AV72,1,23):INDEX($R72:$AV72,1,31)))</f>
        <v/>
      </c>
      <c r="BU72" s="362" t="n">
        <v>0</v>
      </c>
      <c r="BV72" s="362" t="n">
        <v>480</v>
      </c>
      <c r="BW72" s="362" t="n">
        <v>480</v>
      </c>
      <c r="BY72" s="362">
        <f>SUM(R72:X72)</f>
        <v/>
      </c>
      <c r="BZ72" s="362">
        <f>SUM(Y72:AE72)</f>
        <v/>
      </c>
      <c r="CA72" s="362">
        <f>SUM(AF72:AM72)</f>
        <v/>
      </c>
      <c r="CB72" s="362">
        <f>SUM(AN72:AV72)</f>
        <v/>
      </c>
      <c r="CD72" s="432" t="inlineStr">
        <is>
          <t>ADA</t>
        </is>
      </c>
      <c r="CE72" s="362">
        <f>ROUND(BY72*$O72/1000,2)</f>
        <v/>
      </c>
      <c r="CF72" s="362">
        <f>ROUND(BZ72*$O72/1000,2)</f>
        <v/>
      </c>
      <c r="CG72" s="362">
        <f>ROUND(CA72*$O72/1000,2)</f>
        <v/>
      </c>
      <c r="CH72" s="362">
        <f>ROUND(CB72*$O72/1000,2)</f>
        <v/>
      </c>
      <c r="CI72" s="362">
        <f>SUM(CE72:CH72)</f>
        <v/>
      </c>
      <c r="CJ72" s="390" t="n"/>
      <c r="CK72" s="362">
        <f>IFERROR(ROUND(BY72*$P72,2),"")</f>
        <v/>
      </c>
      <c r="CL72" s="362">
        <f>IFERROR(ROUND(BZ72*$P72,2),"")</f>
        <v/>
      </c>
      <c r="CM72" s="362">
        <f>IFERROR(ROUND(CA72*$P72,2),"")</f>
        <v/>
      </c>
      <c r="CN72" s="362">
        <f>IFERROR(ROUND(CB72*$P72,2),"")</f>
        <v/>
      </c>
      <c r="CO72" s="362">
        <f>SUM(CK72:CN72)</f>
        <v/>
      </c>
    </row>
    <row r="73" ht="15.6" customFormat="1" customHeight="1" s="362">
      <c r="A73" s="331" t="n"/>
      <c r="B73" s="344">
        <f>_xlfn.XLOOKUP(G73,销售需求表!A:A,销售需求表!C:C)</f>
        <v/>
      </c>
      <c r="C73" s="345">
        <f>IFERROR(MID(F73,FIND("R",F73)+1,4),"")</f>
        <v/>
      </c>
      <c r="D73" s="344">
        <f>B73&amp;C73&amp;"寸"</f>
        <v/>
      </c>
      <c r="E73" s="346">
        <f>LEFT(REPLACE(G73,1,2,""),FIND("[",REPLACE(G73,1,2,""))-1)&amp;"-"&amp;MID(REPLACE(G73,1,2,""),FIND("[",REPLACE(G73,1,2,""))+1,FIND("]",REPLACE(G73,1,2,""))-FIND("[",REPLACE(G73,1,2,""))-1)</f>
        <v/>
      </c>
      <c r="F73" s="347">
        <f>IFERROR(MID(G73,3,FIND("(",G73)-3)&amp;"-"&amp;SUBSTITUTE(MID(G73,FIND("[",G73)+1,FIND("]",G73)-FIND("[",G73)-1),"Strong Guard ",""),"")</f>
        <v/>
      </c>
      <c r="G73" s="346" t="inlineStr">
        <is>
          <t>ID285/75R24.5-16PR(147/144L)[M-TRAC CSD]MASTERTRACK无内</t>
        </is>
      </c>
      <c r="H73" s="344" t="n">
        <v>600</v>
      </c>
      <c r="I73" s="348" t="n"/>
      <c r="J73" s="349">
        <f>IFERROR(LEFT(F73,FIND("-",F73))&amp;MID(F73,FIND("PR",F73,FIND("-",F73))+3,LEN(F73)),F73)</f>
        <v/>
      </c>
      <c r="K73" s="352">
        <f>_xlfn.XLOOKUP(F73,投产规格!E:E,投产规格!D:D,"未投产")</f>
        <v/>
      </c>
      <c r="L73" s="352">
        <f>IFERROR(_xlfn.XLOOKUP(F73,硫化工艺!B:B,硫化工艺!C:C),"")</f>
        <v/>
      </c>
      <c r="M73" s="430">
        <f>IF(L73="","",L73/(L73+$L$1/60))</f>
        <v/>
      </c>
      <c r="N73" s="352">
        <f>C73&amp;"全钢"</f>
        <v/>
      </c>
      <c r="O73" s="352">
        <f>IFERROR(_xlfn.XLOOKUP(F73,轮胎重量!J:J,轮胎重量!G:G),"")</f>
        <v/>
      </c>
      <c r="P73" s="358">
        <f>O73*13.9</f>
        <v/>
      </c>
      <c r="Q73" s="352">
        <f>IFERROR(ROUND(1440/L73*(I73)*M73,0),"")</f>
        <v/>
      </c>
      <c r="R73" s="352" t="n"/>
      <c r="S73" s="352" t="n"/>
      <c r="T73" s="352" t="n"/>
      <c r="U73" s="352" t="n"/>
      <c r="V73" s="352" t="n"/>
      <c r="W73" s="352" t="n"/>
      <c r="X73" s="352" t="n"/>
      <c r="Y73" s="352" t="n"/>
      <c r="Z73" s="352" t="n"/>
      <c r="AA73" s="352" t="n"/>
      <c r="AB73" s="352" t="n"/>
      <c r="AC73" s="352" t="n"/>
      <c r="AD73" s="352" t="n"/>
      <c r="AE73" s="352" t="n"/>
      <c r="AF73" s="352" t="n"/>
      <c r="AG73" s="352" t="n"/>
      <c r="AH73" s="352" t="n"/>
      <c r="AI73" s="352" t="n"/>
      <c r="AJ73" s="352" t="n"/>
      <c r="AK73" s="352" t="n"/>
      <c r="AL73" s="352" t="n"/>
      <c r="AM73" s="352" t="n"/>
      <c r="AN73" s="352" t="n"/>
      <c r="AO73" s="352" t="n"/>
      <c r="AP73" s="352" t="n"/>
      <c r="AQ73" s="352" t="n"/>
      <c r="AR73" s="352" t="n">
        <v>120</v>
      </c>
      <c r="AS73" s="352" t="n">
        <v>120</v>
      </c>
      <c r="AT73" s="352" t="n">
        <v>120</v>
      </c>
      <c r="AU73" s="352" t="n">
        <v>120</v>
      </c>
      <c r="AV73" s="352" t="n">
        <v>120</v>
      </c>
      <c r="AW73" s="352">
        <f>IF(SUM(R73:AV73)=0,"",SUM(R73:AV73))</f>
        <v/>
      </c>
      <c r="AX73" s="431">
        <f>IFERROR(AW73*O73/1000,"")</f>
        <v/>
      </c>
      <c r="AY73" s="431">
        <f>IFERROR(ROUND(AW73*P73/10000,3),"")</f>
        <v/>
      </c>
      <c r="AZ73" s="354" t="n">
        <v>449.18</v>
      </c>
      <c r="BA73" s="355" t="n">
        <v>29.42</v>
      </c>
      <c r="BB73" s="355" t="n">
        <v>49.09</v>
      </c>
      <c r="BC73" s="355" t="n">
        <v>52.13</v>
      </c>
      <c r="BD73" s="331" t="n"/>
      <c r="BE73" s="331">
        <f>AZ73*AW73</f>
        <v/>
      </c>
      <c r="BF73" s="331">
        <f>BA73*AW73</f>
        <v/>
      </c>
      <c r="BG73" s="331">
        <f>BB73*AW73</f>
        <v/>
      </c>
      <c r="BH73" s="331">
        <f>BC73*AW73</f>
        <v/>
      </c>
      <c r="BI73" s="331" t="n"/>
      <c r="BJ73" s="356">
        <f t="array" ref="BJ73:BM73">_xlfn.LET(_xlpm.data,$R73:$AV73,_xlpm.starts,{1,8,16,23},_xlpm.lengths,{7,7,8,9},_xlpm.arr,_xlfn.MAP(_xlpm.starts,_xlpm.lengths,_xlfn.LAMBDA(_xlpm.s,_xlpm.l,SUM(INDEX(_xlpm.data,,_xlfn.SEQUENCE(,_xlpm.l,_xlpm.s))))),ROUND(_xlpm.arr*$O73/1000,2))</f>
        <v/>
      </c>
      <c r="BK73" s="331" t="n">
        <v>0</v>
      </c>
      <c r="BL73" s="331" t="n">
        <v>0</v>
      </c>
      <c r="BM73" s="331" t="n">
        <v>34.29</v>
      </c>
      <c r="BN73" s="362">
        <f>SUM(BJ73:BM73)</f>
        <v/>
      </c>
      <c r="BO73" s="362" t="n">
        <v>20.87</v>
      </c>
      <c r="BP73" s="362" t="n">
        <v>20.87</v>
      </c>
      <c r="BQ73" s="362" t="n">
        <v>23.85</v>
      </c>
      <c r="BR73" s="362" t="n">
        <v>26.84</v>
      </c>
      <c r="BS73" s="115" t="n"/>
      <c r="BT73" s="362">
        <f t="array" ref="BT73:BW73">_xlfn.HSTACK(SUM(INDEX($R73:$AV73,1,1):INDEX($R73:$AV73,1,7)),SUM(INDEX($R73:$AV73,1,7):INDEX($R73:$AV73,1,13)),SUM(INDEX($R73:$AV73,1,16):INDEX($R73:$AV73,1,23)),SUM(INDEX($R73:$AV73,1,23):INDEX($R73:$AV73,1,31)))</f>
        <v/>
      </c>
      <c r="BU73" s="362" t="n">
        <v>0</v>
      </c>
      <c r="BV73" s="362" t="n">
        <v>0</v>
      </c>
      <c r="BW73" s="362" t="n">
        <v>600</v>
      </c>
      <c r="BY73" s="362">
        <f>SUM(R73:X73)</f>
        <v/>
      </c>
      <c r="BZ73" s="362">
        <f>SUM(Y73:AE73)</f>
        <v/>
      </c>
      <c r="CA73" s="362">
        <f>SUM(AF73:AM73)</f>
        <v/>
      </c>
      <c r="CB73" s="362">
        <f>SUM(AN73:AV73)</f>
        <v/>
      </c>
      <c r="CD73" s="432" t="inlineStr">
        <is>
          <t>ADA</t>
        </is>
      </c>
      <c r="CE73" s="362">
        <f>ROUND(BY73*$O73/1000,2)</f>
        <v/>
      </c>
      <c r="CF73" s="362">
        <f>ROUND(BZ73*$O73/1000,2)</f>
        <v/>
      </c>
      <c r="CG73" s="362">
        <f>ROUND(CA73*$O73/1000,2)</f>
        <v/>
      </c>
      <c r="CH73" s="362">
        <f>ROUND(CB73*$O73/1000,2)</f>
        <v/>
      </c>
      <c r="CI73" s="362">
        <f>SUM(CE73:CH73)</f>
        <v/>
      </c>
      <c r="CJ73" s="390" t="n"/>
      <c r="CK73" s="362">
        <f>IFERROR(ROUND(BY73*$P73,2),"")</f>
        <v/>
      </c>
      <c r="CL73" s="362">
        <f>IFERROR(ROUND(BZ73*$P73,2),"")</f>
        <v/>
      </c>
      <c r="CM73" s="362">
        <f>IFERROR(ROUND(CA73*$P73,2),"")</f>
        <v/>
      </c>
      <c r="CN73" s="362">
        <f>IFERROR(ROUND(CB73*$P73,2),"")</f>
        <v/>
      </c>
      <c r="CO73" s="362">
        <f>SUM(CK73:CN73)</f>
        <v/>
      </c>
    </row>
    <row r="74" hidden="1" ht="15.6" customFormat="1" customHeight="1" s="362">
      <c r="A74" s="331" t="n"/>
      <c r="B74" s="344">
        <f>_xlfn.XLOOKUP(G74,销售需求表!A:A,销售需求表!C:C)</f>
        <v/>
      </c>
      <c r="C74" s="345">
        <f>IFERROR(MID(F74,FIND("R",F74)+1,4),"")</f>
        <v/>
      </c>
      <c r="D74" s="344">
        <f>B74&amp;C74&amp;"寸"</f>
        <v/>
      </c>
      <c r="E74" s="346">
        <f>LEFT(REPLACE(G74,1,2,""),FIND("[",REPLACE(G74,1,2,""))-1)&amp;"-"&amp;MID(REPLACE(G74,1,2,""),FIND("[",REPLACE(G74,1,2,""))+1,FIND("]",REPLACE(G74,1,2,""))-FIND("[",REPLACE(G74,1,2,""))-1)</f>
        <v/>
      </c>
      <c r="F74" s="347">
        <f>IFERROR(MID(G74,3,FIND("(",G74)-3)&amp;"-"&amp;SUBSTITUTE(MID(G74,FIND("[",G74)+1,FIND("]",G74)-FIND("[",G74)-1),"Strong Guard ",""),"")</f>
        <v/>
      </c>
      <c r="G74" s="346" t="inlineStr">
        <is>
          <t>ID285/75R24.5-16PR(147/144M)[I-61S]IRONMAN无内 SMARTWAY</t>
        </is>
      </c>
      <c r="H74" s="344" t="n">
        <v>150</v>
      </c>
      <c r="I74" s="348" t="n"/>
      <c r="J74" s="349">
        <f>IFERROR(LEFT(F74,FIND("-",F74))&amp;MID(F74,FIND("PR",F74,FIND("-",F74))+3,LEN(F74)),F74)</f>
        <v/>
      </c>
      <c r="K74" s="352">
        <f>_xlfn.XLOOKUP(F74,投产规格!E:E,投产规格!D:D,"未投产")</f>
        <v/>
      </c>
      <c r="L74" s="352">
        <f>IFERROR(_xlfn.XLOOKUP(F74,硫化工艺!B:B,硫化工艺!C:C),"")</f>
        <v/>
      </c>
      <c r="M74" s="430">
        <f>IF(L74="","",L74/(L74+$L$1/60))</f>
        <v/>
      </c>
      <c r="N74" s="352">
        <f>C74&amp;"全钢"</f>
        <v/>
      </c>
      <c r="O74" s="352">
        <f>IFERROR(_xlfn.XLOOKUP(F74,轮胎重量!J:J,轮胎重量!G:G),"")</f>
        <v/>
      </c>
      <c r="P74" s="352">
        <f>IFERROR(_xlfn.XLOOKUP(G74,硫化工艺!I:I,硫化工艺!J:J),"")</f>
        <v/>
      </c>
      <c r="Q74" s="352">
        <f>IFERROR(ROUND(1440/L74*(I74)*M74,0),"")</f>
        <v/>
      </c>
      <c r="R74" s="352" t="n"/>
      <c r="S74" s="352" t="n"/>
      <c r="T74" s="352" t="n"/>
      <c r="U74" s="352" t="n"/>
      <c r="V74" s="352" t="n"/>
      <c r="W74" s="352" t="n"/>
      <c r="X74" s="352" t="n"/>
      <c r="Y74" s="352" t="n"/>
      <c r="Z74" s="352" t="n"/>
      <c r="AA74" s="352" t="n"/>
      <c r="AB74" s="352" t="n"/>
      <c r="AC74" s="352" t="n"/>
      <c r="AD74" s="352" t="n"/>
      <c r="AE74" s="352" t="n"/>
      <c r="AF74" s="352" t="n"/>
      <c r="AG74" s="352" t="n"/>
      <c r="AH74" s="352" t="n"/>
      <c r="AI74" s="352" t="n"/>
      <c r="AJ74" s="352" t="n"/>
      <c r="AK74" s="352" t="n"/>
      <c r="AL74" s="352" t="n"/>
      <c r="AM74" s="352" t="n"/>
      <c r="AN74" s="352" t="n"/>
      <c r="AO74" s="352" t="n"/>
      <c r="AP74" s="352" t="n"/>
      <c r="AQ74" s="352" t="n"/>
      <c r="AR74" s="352" t="n"/>
      <c r="AS74" s="352" t="n"/>
      <c r="AT74" s="352" t="n"/>
      <c r="AU74" s="352" t="n"/>
      <c r="AV74" s="352" t="n"/>
      <c r="AW74" s="352">
        <f>IF(SUM(R74:AV74)=0,"",SUM(R74:AV74))</f>
        <v/>
      </c>
      <c r="AX74" s="431">
        <f>IFERROR(AW74*O74/1000,"")</f>
        <v/>
      </c>
      <c r="AY74" s="431">
        <f>IFERROR(ROUND(AW74*P74/10000,3),"")</f>
        <v/>
      </c>
      <c r="AZ74" s="359" t="n"/>
      <c r="BA74" s="362" t="n"/>
      <c r="BB74" s="362" t="n"/>
      <c r="BC74" s="331" t="n"/>
      <c r="BD74" s="331" t="n"/>
      <c r="BE74" s="331" t="n"/>
      <c r="BF74" s="331" t="n"/>
      <c r="BG74" s="331" t="n"/>
      <c r="BH74" s="331" t="n"/>
      <c r="BI74" s="331" t="n"/>
      <c r="BJ74" s="356">
        <f t="array" ref="BJ74:BM74">_xlfn.LET(_xlpm.data,$R74:$AV74,_xlpm.starts,{1,8,16,23},_xlpm.lengths,{7,7,8,9},_xlpm.arr,_xlfn.MAP(_xlpm.starts,_xlpm.lengths,_xlfn.LAMBDA(_xlpm.s,_xlpm.l,SUM(INDEX(_xlpm.data,,_xlfn.SEQUENCE(,_xlpm.l,_xlpm.s))))),ROUND(_xlpm.arr*$O74/1000,2))</f>
        <v/>
      </c>
      <c r="BK74" s="331" t="n">
        <v>0</v>
      </c>
      <c r="BL74" s="331" t="n">
        <v>0</v>
      </c>
      <c r="BM74" s="331" t="n">
        <v>0</v>
      </c>
      <c r="BN74" s="362">
        <f>SUM(BJ74:BM74)</f>
        <v/>
      </c>
      <c r="BO74" s="362" t="n">
        <v>0</v>
      </c>
      <c r="BP74" s="362" t="n">
        <v>0.5</v>
      </c>
      <c r="BQ74" s="362" t="n">
        <v>0</v>
      </c>
      <c r="BR74" s="362" t="n">
        <v>11.08</v>
      </c>
      <c r="BS74" s="115" t="n"/>
      <c r="BT74" s="362">
        <f t="array" ref="BT74:BW74">_xlfn.HSTACK(SUM(INDEX($R74:$AV74,1,1):INDEX($R74:$AV74,1,7)),SUM(INDEX($R74:$AV74,1,7):INDEX($R74:$AV74,1,13)),SUM(INDEX($R74:$AV74,1,16):INDEX($R74:$AV74,1,23)),SUM(INDEX($R74:$AV74,1,23):INDEX($R74:$AV74,1,31)))</f>
        <v/>
      </c>
      <c r="BU74" s="362" t="n">
        <v>0</v>
      </c>
      <c r="BV74" s="362" t="n">
        <v>0</v>
      </c>
      <c r="BW74" s="362" t="n">
        <v>0</v>
      </c>
      <c r="BY74" s="362">
        <f>SUM(R74:X74)</f>
        <v/>
      </c>
      <c r="BZ74" s="362">
        <f>SUM(Y74:AE74)</f>
        <v/>
      </c>
      <c r="CA74" s="362">
        <f>SUM(AF74:AM74)</f>
        <v/>
      </c>
      <c r="CB74" s="362">
        <f>SUM(AN74:AV74)</f>
        <v/>
      </c>
      <c r="CD74" s="432" t="inlineStr">
        <is>
          <t>ADA</t>
        </is>
      </c>
      <c r="CE74" s="362">
        <f>ROUND(BY74*$O74/1000,2)</f>
        <v/>
      </c>
      <c r="CF74" s="362">
        <f>ROUND(BZ74*$O74/1000,2)</f>
        <v/>
      </c>
      <c r="CG74" s="362">
        <f>ROUND(CA74*$O74/1000,2)</f>
        <v/>
      </c>
      <c r="CH74" s="362">
        <f>ROUND(CB74*$O74/1000,2)</f>
        <v/>
      </c>
      <c r="CI74" s="362">
        <f>SUM(CE74:CH74)</f>
        <v/>
      </c>
      <c r="CJ74" s="390" t="n"/>
      <c r="CK74" s="362">
        <f>IFERROR(ROUND(BY74*$P74,2),"")</f>
        <v/>
      </c>
      <c r="CL74" s="362">
        <f>IFERROR(ROUND(BZ74*$P74,2),"")</f>
        <v/>
      </c>
      <c r="CM74" s="362">
        <f>IFERROR(ROUND(CA74*$P74,2),"")</f>
        <v/>
      </c>
      <c r="CN74" s="362">
        <f>IFERROR(ROUND(CB74*$P74,2),"")</f>
        <v/>
      </c>
      <c r="CO74" s="362">
        <f>SUM(CK74:CN74)</f>
        <v/>
      </c>
    </row>
    <row r="75" hidden="1" ht="15.6" customFormat="1" customHeight="1" s="362">
      <c r="A75" s="331" t="n"/>
      <c r="B75" s="344">
        <f>_xlfn.XLOOKUP(G75,销售需求表!A:A,销售需求表!C:C)</f>
        <v/>
      </c>
      <c r="C75" s="345">
        <f>IFERROR(MID(F75,FIND("R",F75)+1,4),"")</f>
        <v/>
      </c>
      <c r="D75" s="344">
        <f>B75&amp;C75&amp;"寸"</f>
        <v/>
      </c>
      <c r="E75" s="346">
        <f>LEFT(REPLACE(G75,1,2,""),FIND("[",REPLACE(G75,1,2,""))-1)&amp;"-"&amp;MID(REPLACE(G75,1,2,""),FIND("[",REPLACE(G75,1,2,""))+1,FIND("]",REPLACE(G75,1,2,""))-FIND("[",REPLACE(G75,1,2,""))-1)</f>
        <v/>
      </c>
      <c r="F75" s="347">
        <f>IFERROR(MID(G75,3,FIND("(",G75)-3)&amp;"-"&amp;SUBSTITUTE(MID(G75,FIND("[",G75)+1,FIND("]",G75)-FIND("[",G75)-1),"Strong Guard ",""),"")</f>
        <v/>
      </c>
      <c r="G75" s="346" t="inlineStr">
        <is>
          <t>ID285/75R24.5-16PR(147/144L)[VA996]VITOUR无内</t>
        </is>
      </c>
      <c r="H75" s="344" t="n">
        <v>500</v>
      </c>
      <c r="I75" s="348" t="n"/>
      <c r="J75" s="349">
        <f>IFERROR(LEFT(F75,FIND("-",F75))&amp;MID(F75,FIND("PR",F75,FIND("-",F75))+3,LEN(F75)),F75)</f>
        <v/>
      </c>
      <c r="K75" s="352">
        <f>_xlfn.XLOOKUP(F75,投产规格!E:E,投产规格!D:D,"未投产")</f>
        <v/>
      </c>
      <c r="L75" s="352">
        <f>IFERROR(_xlfn.XLOOKUP(F75,硫化工艺!B:B,硫化工艺!C:C),"")</f>
        <v/>
      </c>
      <c r="M75" s="430">
        <f>IF(L75="","",L75/(L75+$L$1/60))</f>
        <v/>
      </c>
      <c r="N75" s="352">
        <f>C75&amp;"全钢"</f>
        <v/>
      </c>
      <c r="O75" s="352">
        <f>IFERROR(_xlfn.XLOOKUP(F75,轮胎重量!J:J,轮胎重量!G:G),"")</f>
        <v/>
      </c>
      <c r="P75" s="352">
        <f>IFERROR(_xlfn.XLOOKUP(G75,硫化工艺!I:I,硫化工艺!J:J),"")</f>
        <v/>
      </c>
      <c r="Q75" s="352">
        <f>IFERROR(ROUND(1440/L75*(I75)*M75,0),"")</f>
        <v/>
      </c>
      <c r="R75" s="352" t="n"/>
      <c r="S75" s="352" t="n"/>
      <c r="T75" s="352" t="n"/>
      <c r="U75" s="352" t="n"/>
      <c r="V75" s="352" t="n"/>
      <c r="W75" s="352" t="n"/>
      <c r="X75" s="352" t="n"/>
      <c r="Y75" s="352" t="n"/>
      <c r="Z75" s="352" t="n"/>
      <c r="AA75" s="352" t="n"/>
      <c r="AB75" s="352" t="n"/>
      <c r="AC75" s="352" t="n"/>
      <c r="AD75" s="352" t="n"/>
      <c r="AE75" s="352" t="n"/>
      <c r="AF75" s="352" t="n"/>
      <c r="AG75" s="352" t="n"/>
      <c r="AH75" s="352" t="n"/>
      <c r="AI75" s="352" t="n"/>
      <c r="AJ75" s="352" t="n"/>
      <c r="AK75" s="352" t="n"/>
      <c r="AL75" s="352" t="n"/>
      <c r="AM75" s="352" t="n"/>
      <c r="AN75" s="352" t="n"/>
      <c r="AO75" s="352" t="n"/>
      <c r="AP75" s="352" t="n"/>
      <c r="AQ75" s="352" t="n"/>
      <c r="AR75" s="352" t="n"/>
      <c r="AS75" s="352" t="n"/>
      <c r="AT75" s="352" t="n"/>
      <c r="AU75" s="352" t="n"/>
      <c r="AV75" s="352" t="n"/>
      <c r="AW75" s="352">
        <f>IF(SUM(R75:AV75)=0,"",SUM(R75:AV75))</f>
        <v/>
      </c>
      <c r="AX75" s="431">
        <f>IFERROR(AW75*O75/1000,"")</f>
        <v/>
      </c>
      <c r="AY75" s="431">
        <f>IFERROR(ROUND(AW75*P75/10000,3),"")</f>
        <v/>
      </c>
      <c r="AZ75" s="359" t="n"/>
      <c r="BA75" s="362" t="n"/>
      <c r="BB75" s="362" t="n"/>
      <c r="BC75" s="331" t="n"/>
      <c r="BD75" s="331" t="n"/>
      <c r="BE75" s="331" t="n"/>
      <c r="BF75" s="331" t="n"/>
      <c r="BG75" s="331" t="n"/>
      <c r="BH75" s="331" t="n"/>
      <c r="BI75" s="331" t="n"/>
      <c r="BJ75" s="356">
        <f t="array" ref="BJ75:BM75">_xlfn.LET(_xlpm.data,$R75:$AV75,_xlpm.starts,{1,8,16,23},_xlpm.lengths,{7,7,8,9},_xlpm.arr,_xlfn.MAP(_xlpm.starts,_xlpm.lengths,_xlfn.LAMBDA(_xlpm.s,_xlpm.l,SUM(INDEX(_xlpm.data,,_xlfn.SEQUENCE(,_xlpm.l,_xlpm.s))))),ROUND(_xlpm.arr*$O75/1000,2))</f>
        <v/>
      </c>
      <c r="BK75" s="331" t="n">
        <v>0</v>
      </c>
      <c r="BL75" s="331" t="n">
        <v>0</v>
      </c>
      <c r="BM75" s="331" t="n">
        <v>0</v>
      </c>
      <c r="BN75" s="362">
        <f>SUM(BJ75:BM75)</f>
        <v/>
      </c>
      <c r="BO75" s="362" t="e">
        <v>#VALUE!</v>
      </c>
      <c r="BP75" s="362" t="e">
        <v>#VALUE!</v>
      </c>
      <c r="BQ75" s="362" t="e">
        <v>#VALUE!</v>
      </c>
      <c r="BR75" s="362" t="e">
        <v>#VALUE!</v>
      </c>
      <c r="BS75" s="115" t="n"/>
      <c r="BT75" s="362">
        <f t="array" ref="BT75:BW75">_xlfn.HSTACK(SUM(INDEX($R75:$AV75,1,1):INDEX($R75:$AV75,1,7)),SUM(INDEX($R75:$AV75,1,7):INDEX($R75:$AV75,1,13)),SUM(INDEX($R75:$AV75,1,16):INDEX($R75:$AV75,1,23)),SUM(INDEX($R75:$AV75,1,23):INDEX($R75:$AV75,1,31)))</f>
        <v/>
      </c>
      <c r="BU75" s="362" t="n">
        <v>0</v>
      </c>
      <c r="BV75" s="362" t="n">
        <v>0</v>
      </c>
      <c r="BW75" s="362" t="n">
        <v>0</v>
      </c>
      <c r="BY75" s="362">
        <f>SUM(R75:X75)</f>
        <v/>
      </c>
      <c r="BZ75" s="362">
        <f>SUM(Y75:AE75)</f>
        <v/>
      </c>
      <c r="CA75" s="362">
        <f>SUM(AF75:AM75)</f>
        <v/>
      </c>
      <c r="CB75" s="362">
        <f>SUM(AN75:AV75)</f>
        <v/>
      </c>
      <c r="CD75" s="432" t="inlineStr">
        <is>
          <t>ADA</t>
        </is>
      </c>
      <c r="CE75" s="362">
        <f>ROUND(BY75*$O75/1000,2)</f>
        <v/>
      </c>
      <c r="CF75" s="362">
        <f>ROUND(BZ75*$O75/1000,2)</f>
        <v/>
      </c>
      <c r="CG75" s="362">
        <f>ROUND(CA75*$O75/1000,2)</f>
        <v/>
      </c>
      <c r="CH75" s="362">
        <f>ROUND(CB75*$O75/1000,2)</f>
        <v/>
      </c>
      <c r="CI75" s="362">
        <f>SUM(CE75:CH75)</f>
        <v/>
      </c>
      <c r="CJ75" s="390" t="n"/>
      <c r="CK75" s="362">
        <f>IFERROR(ROUND(BY75*$P75,2),"")</f>
        <v/>
      </c>
      <c r="CL75" s="362">
        <f>IFERROR(ROUND(BZ75*$P75,2),"")</f>
        <v/>
      </c>
      <c r="CM75" s="362">
        <f>IFERROR(ROUND(CA75*$P75,2),"")</f>
        <v/>
      </c>
      <c r="CN75" s="362">
        <f>IFERROR(ROUND(CB75*$P75,2),"")</f>
        <v/>
      </c>
      <c r="CO75" s="362">
        <f>SUM(CK75:CN75)</f>
        <v/>
      </c>
    </row>
    <row r="76" hidden="1" ht="15.6" customHeight="1" s="428">
      <c r="A76" s="331" t="n"/>
      <c r="B76" s="344">
        <f>_xlfn.XLOOKUP(G76,销售需求表!A:A,销售需求表!C:C)</f>
        <v/>
      </c>
      <c r="C76" s="345">
        <f>IFERROR(MID(F76,FIND("R",F76)+1,4),"")</f>
        <v/>
      </c>
      <c r="D76" s="344">
        <f>B76&amp;C76&amp;"寸"</f>
        <v/>
      </c>
      <c r="E76" s="346">
        <f>LEFT(REPLACE(G76,1,2,""),FIND("[",REPLACE(G76,1,2,""))-1)&amp;"-"&amp;MID(REPLACE(G76,1,2,""),FIND("[",REPLACE(G76,1,2,""))+1,FIND("]",REPLACE(G76,1,2,""))-FIND("[",REPLACE(G76,1,2,""))-1)</f>
        <v/>
      </c>
      <c r="F76" s="347">
        <f>IFERROR(MID(G76,3,FIND("(",G76)-3)&amp;"-"&amp;SUBSTITUTE(MID(G76,FIND("[",G76)+1,FIND("]",G76)-FIND("[",G76)-1),"Strong Guard ",""),"")</f>
        <v/>
      </c>
      <c r="G76" s="361" t="inlineStr">
        <is>
          <t>ID215/75R17.5-16PR(135/133J)[AP-7318]VANTAGE无内</t>
        </is>
      </c>
      <c r="H76" s="344" t="n">
        <v>280</v>
      </c>
      <c r="I76" s="348" t="n"/>
      <c r="J76" s="349">
        <f>IFERROR(LEFT(F76,FIND("-",F76))&amp;MID(F76,FIND("PR",F76,FIND("-",F76))+3,LEN(F76)),F76)</f>
        <v/>
      </c>
      <c r="K76" s="352">
        <f>_xlfn.XLOOKUP(F76,投产规格!E:E,投产规格!D:D,"未投产")</f>
        <v/>
      </c>
      <c r="L76" s="352">
        <f>IFERROR(_xlfn.XLOOKUP(F76,硫化工艺!B:B,硫化工艺!C:C),"")</f>
        <v/>
      </c>
      <c r="M76" s="430">
        <f>IF(L76="","",L76/(L76+$L$1/60))</f>
        <v/>
      </c>
      <c r="N76" s="352">
        <f>C76&amp;"全钢"</f>
        <v/>
      </c>
      <c r="O76" s="352">
        <f>IFERROR(_xlfn.XLOOKUP(F76,轮胎重量!J:J,轮胎重量!G:G),"")</f>
        <v/>
      </c>
      <c r="P76" s="352">
        <f>IFERROR(_xlfn.XLOOKUP(G76,硫化工艺!I:I,硫化工艺!J:J),"")</f>
        <v/>
      </c>
      <c r="Q76" s="352">
        <f>IFERROR(ROUND(1440/L76*(I76)*M76,0),"")</f>
        <v/>
      </c>
      <c r="R76" s="352" t="n"/>
      <c r="S76" s="352" t="n"/>
      <c r="T76" s="352" t="n"/>
      <c r="U76" s="352" t="n"/>
      <c r="V76" s="352" t="n"/>
      <c r="W76" s="352" t="n"/>
      <c r="X76" s="352" t="n"/>
      <c r="Y76" s="352" t="n"/>
      <c r="Z76" s="352" t="n"/>
      <c r="AA76" s="352" t="n"/>
      <c r="AB76" s="352" t="n"/>
      <c r="AC76" s="352" t="n"/>
      <c r="AD76" s="352" t="n"/>
      <c r="AE76" s="352" t="n"/>
      <c r="AF76" s="352" t="n"/>
      <c r="AG76" s="352" t="n"/>
      <c r="AH76" s="352" t="n"/>
      <c r="AI76" s="352" t="n"/>
      <c r="AJ76" s="352" t="n"/>
      <c r="AK76" s="352" t="n"/>
      <c r="AL76" s="352" t="n"/>
      <c r="AM76" s="352" t="n"/>
      <c r="AN76" s="352" t="n"/>
      <c r="AO76" s="352" t="n"/>
      <c r="AP76" s="352" t="n"/>
      <c r="AQ76" s="352" t="n"/>
      <c r="AR76" s="352" t="n"/>
      <c r="AS76" s="352" t="n"/>
      <c r="AT76" s="352" t="n"/>
      <c r="AU76" s="352" t="n"/>
      <c r="AV76" s="352" t="n"/>
      <c r="AW76" s="352">
        <f>IF(SUM(R76:AV76)=0,"",SUM(R76:AV76))</f>
        <v/>
      </c>
      <c r="AX76" s="431">
        <f>IFERROR(AW76*O76/1000,"")</f>
        <v/>
      </c>
      <c r="AY76" s="431">
        <f>IFERROR(ROUND(AW76*P76/10000,3),"")</f>
        <v/>
      </c>
      <c r="AZ76" s="359" t="n"/>
      <c r="BA76" s="362" t="n"/>
      <c r="BB76" s="362" t="n"/>
      <c r="BC76" s="331" t="n"/>
      <c r="BD76" s="331" t="n"/>
      <c r="BE76" s="331" t="n"/>
      <c r="BF76" s="331" t="n"/>
      <c r="BG76" s="331" t="n"/>
      <c r="BH76" s="331" t="n"/>
      <c r="BI76" s="331" t="n"/>
      <c r="BJ76" s="356">
        <f t="array" ref="BJ76:BM76">_xlfn.LET(_xlpm.data,$R76:$AV76,_xlpm.starts,{1,8,16,23},_xlpm.lengths,{7,7,8,9},_xlpm.arr,_xlfn.MAP(_xlpm.starts,_xlpm.lengths,_xlfn.LAMBDA(_xlpm.s,_xlpm.l,SUM(INDEX(_xlpm.data,,_xlfn.SEQUENCE(,_xlpm.l,_xlpm.s))))),ROUND(_xlpm.arr*$O76/1000,2))</f>
        <v/>
      </c>
      <c r="BK76" s="331" t="n">
        <v>0</v>
      </c>
      <c r="BL76" s="331" t="n">
        <v>0</v>
      </c>
      <c r="BM76" s="331" t="n">
        <v>0</v>
      </c>
      <c r="BN76" s="362">
        <f>SUM(BJ76:BM76)</f>
        <v/>
      </c>
      <c r="BO76" s="362" t="e">
        <v>#VALUE!</v>
      </c>
      <c r="BP76" s="362" t="e">
        <v>#VALUE!</v>
      </c>
      <c r="BQ76" s="362" t="e">
        <v>#VALUE!</v>
      </c>
      <c r="BR76" s="362" t="e">
        <v>#VALUE!</v>
      </c>
      <c r="BS76" s="115" t="n"/>
      <c r="BT76" s="362">
        <f t="array" ref="BT76:BW76">_xlfn.HSTACK(SUM(INDEX($R76:$AV76,1,1):INDEX($R76:$AV76,1,7)),SUM(INDEX($R76:$AV76,1,7):INDEX($R76:$AV76,1,13)),SUM(INDEX($R76:$AV76,1,16):INDEX($R76:$AV76,1,23)),SUM(INDEX($R76:$AV76,1,23):INDEX($R76:$AV76,1,31)))</f>
        <v/>
      </c>
      <c r="BU76" s="362" t="n">
        <v>0</v>
      </c>
      <c r="BV76" s="362" t="n">
        <v>0</v>
      </c>
      <c r="BW76" s="362" t="n">
        <v>0</v>
      </c>
      <c r="BY76" s="362">
        <f>SUM(R76:X76)</f>
        <v/>
      </c>
      <c r="BZ76" s="362">
        <f>SUM(Y76:AE76)</f>
        <v/>
      </c>
      <c r="CA76" s="362">
        <f>SUM(AF76:AM76)</f>
        <v/>
      </c>
      <c r="CB76" s="362">
        <f>SUM(AN76:AV76)</f>
        <v/>
      </c>
      <c r="CC76" s="362" t="n"/>
      <c r="CD76" s="432" t="inlineStr">
        <is>
          <t>ADA</t>
        </is>
      </c>
      <c r="CE76" s="362">
        <f>ROUND(BY76*$O76/1000,2)</f>
        <v/>
      </c>
      <c r="CF76" s="362">
        <f>ROUND(BZ76*$O76/1000,2)</f>
        <v/>
      </c>
      <c r="CG76" s="362">
        <f>ROUND(CA76*$O76/1000,2)</f>
        <v/>
      </c>
      <c r="CH76" s="362">
        <f>ROUND(CB76*$O76/1000,2)</f>
        <v/>
      </c>
      <c r="CI76" s="362">
        <f>SUM(CE76:CH76)</f>
        <v/>
      </c>
      <c r="CJ76" s="390" t="n"/>
      <c r="CK76" s="362">
        <f>IFERROR(ROUND(BY76*$P76,2),"")</f>
        <v/>
      </c>
      <c r="CL76" s="362">
        <f>IFERROR(ROUND(BZ76*$P76,2),"")</f>
        <v/>
      </c>
      <c r="CM76" s="362">
        <f>IFERROR(ROUND(CA76*$P76,2),"")</f>
        <v/>
      </c>
      <c r="CN76" s="362">
        <f>IFERROR(ROUND(CB76*$P76,2),"")</f>
        <v/>
      </c>
      <c r="CO76" s="362">
        <f>SUM(CK76:CN76)</f>
        <v/>
      </c>
    </row>
    <row r="77" ht="15.6" customHeight="1" s="428">
      <c r="A77" s="331" t="n"/>
      <c r="B77" s="344">
        <f>_xlfn.XLOOKUP(G77,销售需求表!A:A,销售需求表!C:C)</f>
        <v/>
      </c>
      <c r="C77" s="345">
        <f>IFERROR(MID(F77,FIND("R",F77)+1,4),"")</f>
        <v/>
      </c>
      <c r="D77" s="344">
        <f>B77&amp;C77&amp;"寸"</f>
        <v/>
      </c>
      <c r="E77" s="346">
        <f>LEFT(REPLACE(G77,1,2,""),FIND("[",REPLACE(G77,1,2,""))-1)&amp;"-"&amp;MID(REPLACE(G77,1,2,""),FIND("[",REPLACE(G77,1,2,""))+1,FIND("]",REPLACE(G77,1,2,""))-FIND("[",REPLACE(G77,1,2,""))-1)</f>
        <v/>
      </c>
      <c r="F77" s="347">
        <f>IFERROR(MID(G77,3,FIND("(",G77)-3)&amp;"-"&amp;SUBSTITUTE(MID(G77,FIND("[",G77)+1,FIND("]",G77)-FIND("[",G77)-1),"Strong Guard ",""),"")</f>
        <v/>
      </c>
      <c r="G77" s="361" t="inlineStr">
        <is>
          <t>ID215/75R17.5-16PR(135/133L)[I-19A]IRONMAN无内</t>
        </is>
      </c>
      <c r="H77" s="344" t="n">
        <v>3500</v>
      </c>
      <c r="I77" s="348" t="n">
        <v>6</v>
      </c>
      <c r="J77" s="349">
        <f>IFERROR(LEFT(F77,FIND("-",F77))&amp;MID(F77,FIND("PR",F77,FIND("-",F77))+3,LEN(F77)),F77)</f>
        <v/>
      </c>
      <c r="K77" s="352">
        <f>_xlfn.XLOOKUP(F77,投产规格!E:E,投产规格!D:D,"未投产")</f>
        <v/>
      </c>
      <c r="L77" s="352">
        <f>IFERROR(_xlfn.XLOOKUP(F77,硫化工艺!B:B,硫化工艺!C:C),"")</f>
        <v/>
      </c>
      <c r="M77" s="430">
        <f>IF(L77="","",L77/(L77+$L$1/60))</f>
        <v/>
      </c>
      <c r="N77" s="352">
        <f>C77&amp;"全钢"</f>
        <v/>
      </c>
      <c r="O77" s="352">
        <f>IFERROR(_xlfn.XLOOKUP(F77,轮胎重量!J:J,轮胎重量!G:G),"")</f>
        <v/>
      </c>
      <c r="P77" s="352">
        <f>IFERROR(_xlfn.XLOOKUP(G77,硫化工艺!I:I,硫化工艺!J:J),"")</f>
        <v/>
      </c>
      <c r="Q77" s="352">
        <f>IFERROR(ROUND(1440/L77*(I77)*M77,0),"")</f>
        <v/>
      </c>
      <c r="R77" s="352" t="n">
        <v>220</v>
      </c>
      <c r="S77" s="352" t="n">
        <v>220</v>
      </c>
      <c r="T77" s="352" t="n">
        <v>220</v>
      </c>
      <c r="U77" s="352" t="n">
        <v>220</v>
      </c>
      <c r="V77" s="352" t="n">
        <v>220</v>
      </c>
      <c r="W77" s="352" t="n">
        <v>220</v>
      </c>
      <c r="X77" s="352" t="n">
        <v>220</v>
      </c>
      <c r="Y77" s="352" t="n">
        <v>220</v>
      </c>
      <c r="Z77" s="352" t="n">
        <v>220</v>
      </c>
      <c r="AA77" s="352" t="n">
        <v>220</v>
      </c>
      <c r="AB77" s="352" t="n">
        <v>220</v>
      </c>
      <c r="AC77" s="352" t="n">
        <v>220</v>
      </c>
      <c r="AD77" s="352" t="n">
        <v>220</v>
      </c>
      <c r="AE77" s="352" t="n">
        <v>220</v>
      </c>
      <c r="AF77" s="352" t="n">
        <v>220</v>
      </c>
      <c r="AG77" s="352" t="n">
        <v>220</v>
      </c>
      <c r="AH77" s="352" t="n">
        <v>220</v>
      </c>
      <c r="AI77" s="352" t="n">
        <v>220</v>
      </c>
      <c r="AJ77" s="352" t="n">
        <v>220</v>
      </c>
      <c r="AK77" s="352" t="n">
        <v>220</v>
      </c>
      <c r="AL77" s="352" t="n"/>
      <c r="AM77" s="352" t="n"/>
      <c r="AN77" s="352" t="n"/>
      <c r="AO77" s="352" t="n"/>
      <c r="AP77" s="352" t="n"/>
      <c r="AQ77" s="352" t="n"/>
      <c r="AR77" s="352" t="n"/>
      <c r="AS77" s="352" t="n"/>
      <c r="AT77" s="352" t="n"/>
      <c r="AU77" s="352" t="n"/>
      <c r="AV77" s="352" t="n"/>
      <c r="AW77" s="352">
        <f>IF(SUM(R77:AV77)=0,"",SUM(R77:AV77))</f>
        <v/>
      </c>
      <c r="AX77" s="431">
        <f>IFERROR(AW77*O77/1000,"")</f>
        <v/>
      </c>
      <c r="AY77" s="431">
        <f>IFERROR(ROUND(AW77*P77/10000,3),"")</f>
        <v/>
      </c>
      <c r="AZ77" s="359" t="n"/>
      <c r="BA77" s="362" t="n"/>
      <c r="BB77" s="362" t="n"/>
      <c r="BC77" s="331" t="n"/>
      <c r="BD77" s="331" t="n"/>
      <c r="BE77" s="331" t="n"/>
      <c r="BF77" s="331" t="n"/>
      <c r="BG77" s="331" t="n"/>
      <c r="BH77" s="331" t="n"/>
      <c r="BI77" s="331" t="n"/>
      <c r="BJ77" s="356">
        <f t="array" ref="BJ77:BM77">_xlfn.LET(_xlpm.data,$R77:$AV77,_xlpm.starts,{1,8,16,23},_xlpm.lengths,{7,7,8,9},_xlpm.arr,_xlfn.MAP(_xlpm.starts,_xlpm.lengths,_xlfn.LAMBDA(_xlpm.s,_xlpm.l,SUM(INDEX(_xlpm.data,,_xlfn.SEQUENCE(,_xlpm.l,_xlpm.s))))),ROUND(_xlpm.arr*$O77/1000,2))</f>
        <v/>
      </c>
      <c r="BK77" s="331" t="n">
        <v>39.93</v>
      </c>
      <c r="BL77" s="331" t="n">
        <v>28.52</v>
      </c>
      <c r="BM77" s="331" t="n">
        <v>0</v>
      </c>
      <c r="BN77" s="362">
        <f>SUM(BJ77:BM77)</f>
        <v/>
      </c>
      <c r="BO77" s="362" t="n">
        <v>15.01</v>
      </c>
      <c r="BP77" s="362" t="n">
        <v>15.01</v>
      </c>
      <c r="BQ77" s="362" t="n">
        <v>17.15</v>
      </c>
      <c r="BR77" s="362" t="n">
        <v>19.29</v>
      </c>
      <c r="BS77" s="115" t="n"/>
      <c r="BT77" s="362">
        <f t="array" ref="BT77:BW77">_xlfn.HSTACK(SUM(INDEX($R77:$AV77,1,1):INDEX($R77:$AV77,1,7)),SUM(INDEX($R77:$AV77,1,7):INDEX($R77:$AV77,1,13)),SUM(INDEX($R77:$AV77,1,16):INDEX($R77:$AV77,1,23)),SUM(INDEX($R77:$AV77,1,23):INDEX($R77:$AV77,1,31)))</f>
        <v/>
      </c>
      <c r="BU77" s="362" t="n">
        <v>1540</v>
      </c>
      <c r="BV77" s="362" t="n">
        <v>1100</v>
      </c>
      <c r="BW77" s="362" t="n">
        <v>0</v>
      </c>
      <c r="BY77" s="362">
        <f>SUM(R77:X77)</f>
        <v/>
      </c>
      <c r="BZ77" s="362">
        <f>SUM(Y77:AE77)</f>
        <v/>
      </c>
      <c r="CA77" s="362">
        <f>SUM(AF77:AM77)</f>
        <v/>
      </c>
      <c r="CB77" s="362">
        <f>SUM(AN77:AV77)</f>
        <v/>
      </c>
      <c r="CC77" s="362" t="n"/>
      <c r="CD77" s="432" t="inlineStr">
        <is>
          <t>ADA</t>
        </is>
      </c>
      <c r="CE77" s="362">
        <f>ROUND(BY77*$O77/1000,2)</f>
        <v/>
      </c>
      <c r="CF77" s="362">
        <f>ROUND(BZ77*$O77/1000,2)</f>
        <v/>
      </c>
      <c r="CG77" s="362">
        <f>ROUND(CA77*$O77/1000,2)</f>
        <v/>
      </c>
      <c r="CH77" s="362">
        <f>ROUND(CB77*$O77/1000,2)</f>
        <v/>
      </c>
      <c r="CI77" s="362">
        <f>SUM(CE77:CH77)</f>
        <v/>
      </c>
      <c r="CJ77" s="390" t="n"/>
      <c r="CK77" s="362">
        <f>IFERROR(ROUND(BY77*$P77,2),"")</f>
        <v/>
      </c>
      <c r="CL77" s="362">
        <f>IFERROR(ROUND(BZ77*$P77,2),"")</f>
        <v/>
      </c>
      <c r="CM77" s="362">
        <f>IFERROR(ROUND(CA77*$P77,2),"")</f>
        <v/>
      </c>
      <c r="CN77" s="362">
        <f>IFERROR(ROUND(CB77*$P77,2),"")</f>
        <v/>
      </c>
      <c r="CO77" s="362">
        <f>SUM(CK77:CN77)</f>
        <v/>
      </c>
    </row>
    <row r="78" ht="15.6" customHeight="1" s="428">
      <c r="A78" s="331" t="n"/>
      <c r="B78" s="344">
        <f>_xlfn.XLOOKUP(G78,销售需求表!A:A,销售需求表!C:C)</f>
        <v/>
      </c>
      <c r="C78" s="345">
        <f>IFERROR(MID(F78,FIND("R",F78)+1,4),"")</f>
        <v/>
      </c>
      <c r="D78" s="344">
        <f>B78&amp;C78&amp;"寸"</f>
        <v/>
      </c>
      <c r="E78" s="346">
        <f>LEFT(REPLACE(G78,1,2,""),FIND("[",REPLACE(G78,1,2,""))-1)&amp;"-"&amp;MID(REPLACE(G78,1,2,""),FIND("[",REPLACE(G78,1,2,""))+1,FIND("]",REPLACE(G78,1,2,""))-FIND("[",REPLACE(G78,1,2,""))-1)</f>
        <v/>
      </c>
      <c r="F78" s="347">
        <f>IFERROR(MID(G78,3,FIND("(",G78)-3)&amp;"-"&amp;SUBSTITUTE(MID(G78,FIND("[",G78)+1,FIND("]",G78)-FIND("[",G78)-1),"Strong Guard ",""),"")</f>
        <v/>
      </c>
      <c r="G78" s="361" t="inlineStr">
        <is>
          <t>ID215/75R17.5-16PR(135/133L)[Strong Guard H-RA]HERCULES无内</t>
        </is>
      </c>
      <c r="H78" s="344" t="n">
        <v>1600</v>
      </c>
      <c r="I78" s="348" t="n"/>
      <c r="J78" s="349">
        <f>IFERROR(LEFT(F78,FIND("-",F78))&amp;MID(F78,FIND("PR",F78,FIND("-",F78))+3,LEN(F78)),F78)</f>
        <v/>
      </c>
      <c r="K78" s="352">
        <f>_xlfn.XLOOKUP(F78,投产规格!E:E,投产规格!D:D,"未投产")</f>
        <v/>
      </c>
      <c r="L78" s="352">
        <f>IFERROR(_xlfn.XLOOKUP(F78,硫化工艺!B:B,硫化工艺!C:C),"")</f>
        <v/>
      </c>
      <c r="M78" s="430">
        <f>IF(L78="","",L78/(L78+$L$1/60))</f>
        <v/>
      </c>
      <c r="N78" s="352">
        <f>C78&amp;"全钢"</f>
        <v/>
      </c>
      <c r="O78" s="352">
        <f>IFERROR(_xlfn.XLOOKUP(F78,轮胎重量!J:J,轮胎重量!G:G),"")</f>
        <v/>
      </c>
      <c r="P78" s="352">
        <f>IFERROR(_xlfn.XLOOKUP(G78,硫化工艺!I:I,硫化工艺!J:J),"")</f>
        <v/>
      </c>
      <c r="Q78" s="352">
        <f>IFERROR(ROUND(1440/L78*(I78)*M78,0),"")</f>
        <v/>
      </c>
      <c r="R78" s="352" t="n"/>
      <c r="S78" s="352" t="n"/>
      <c r="T78" s="352" t="n"/>
      <c r="U78" s="352" t="n"/>
      <c r="V78" s="352" t="n"/>
      <c r="W78" s="352" t="n"/>
      <c r="X78" s="352" t="n"/>
      <c r="Y78" s="352" t="n"/>
      <c r="Z78" s="352" t="n"/>
      <c r="AA78" s="352" t="n"/>
      <c r="AB78" s="352" t="n"/>
      <c r="AC78" s="352" t="n"/>
      <c r="AD78" s="352" t="n"/>
      <c r="AE78" s="352" t="n"/>
      <c r="AF78" s="352" t="n"/>
      <c r="AG78" s="352" t="n"/>
      <c r="AH78" s="352" t="n"/>
      <c r="AI78" s="352" t="n"/>
      <c r="AJ78" s="352" t="n"/>
      <c r="AK78" s="352" t="n"/>
      <c r="AL78" s="352" t="n">
        <v>220</v>
      </c>
      <c r="AM78" s="352" t="n">
        <v>220</v>
      </c>
      <c r="AN78" s="352" t="n">
        <v>220</v>
      </c>
      <c r="AO78" s="352" t="n">
        <v>220</v>
      </c>
      <c r="AP78" s="352" t="n">
        <v>220</v>
      </c>
      <c r="AQ78" s="352" t="n">
        <v>220</v>
      </c>
      <c r="AR78" s="352" t="n">
        <v>220</v>
      </c>
      <c r="AS78" s="352" t="n">
        <v>220</v>
      </c>
      <c r="AT78" s="352" t="n">
        <v>220</v>
      </c>
      <c r="AU78" s="352" t="n">
        <v>220</v>
      </c>
      <c r="AV78" s="352" t="n">
        <v>220</v>
      </c>
      <c r="AW78" s="352">
        <f>IF(SUM(R78:AV78)=0,"",SUM(R78:AV78))</f>
        <v/>
      </c>
      <c r="AX78" s="431">
        <f>IFERROR(AW78*O78/1000,"")</f>
        <v/>
      </c>
      <c r="AY78" s="431">
        <f>IFERROR(ROUND(AW78*P78/10000,3),"")</f>
        <v/>
      </c>
      <c r="AZ78" s="354" t="n">
        <v>449.18</v>
      </c>
      <c r="BA78" s="355" t="n">
        <v>29.42</v>
      </c>
      <c r="BB78" s="355" t="n">
        <v>49.09</v>
      </c>
      <c r="BC78" s="355" t="n">
        <v>52.13</v>
      </c>
      <c r="BD78" s="331" t="n"/>
      <c r="BE78" s="331">
        <f>AZ78*AW78</f>
        <v/>
      </c>
      <c r="BF78" s="331">
        <f>BA78*AW78</f>
        <v/>
      </c>
      <c r="BG78" s="331">
        <f>BB78*AW78</f>
        <v/>
      </c>
      <c r="BH78" s="331">
        <f>BC78*AW78</f>
        <v/>
      </c>
      <c r="BI78" s="331" t="n"/>
      <c r="BJ78" s="356">
        <f t="array" ref="BJ78:BM78">_xlfn.LET(_xlpm.data,$R78:$AV78,_xlpm.starts,{1,8,16,23},_xlpm.lengths,{7,7,8,9},_xlpm.arr,_xlfn.MAP(_xlpm.starts,_xlpm.lengths,_xlfn.LAMBDA(_xlpm.s,_xlpm.l,SUM(INDEX(_xlpm.data,,_xlfn.SEQUENCE(,_xlpm.l,_xlpm.s))))),ROUND(_xlpm.arr*$O78/1000,2))</f>
        <v/>
      </c>
      <c r="BK78" s="331" t="n">
        <v>0</v>
      </c>
      <c r="BL78" s="331" t="n">
        <v>16.23</v>
      </c>
      <c r="BM78" s="331" t="n">
        <v>48.68</v>
      </c>
      <c r="BN78" s="362">
        <f>SUM(BJ78:BM78)</f>
        <v/>
      </c>
      <c r="BO78" s="362" t="n">
        <v>0</v>
      </c>
      <c r="BP78" s="362" t="n">
        <v>0</v>
      </c>
      <c r="BQ78" s="362" t="n">
        <v>0</v>
      </c>
      <c r="BR78" s="362" t="n">
        <v>0</v>
      </c>
      <c r="BS78" s="115" t="n"/>
      <c r="BT78" s="362">
        <f t="array" ref="BT78:BW78">_xlfn.HSTACK(SUM(INDEX($R78:$AV78,1,1):INDEX($R78:$AV78,1,7)),SUM(INDEX($R78:$AV78,1,7):INDEX($R78:$AV78,1,13)),SUM(INDEX($R78:$AV78,1,16):INDEX($R78:$AV78,1,23)),SUM(INDEX($R78:$AV78,1,23):INDEX($R78:$AV78,1,31)))</f>
        <v/>
      </c>
      <c r="BU78" s="362" t="n">
        <v>0</v>
      </c>
      <c r="BV78" s="362" t="n">
        <v>660</v>
      </c>
      <c r="BW78" s="362" t="n">
        <v>1980</v>
      </c>
      <c r="BY78" s="362">
        <f>SUM(R78:X78)</f>
        <v/>
      </c>
      <c r="BZ78" s="362">
        <f>SUM(Y78:AE78)</f>
        <v/>
      </c>
      <c r="CA78" s="362">
        <f>SUM(AF78:AM78)</f>
        <v/>
      </c>
      <c r="CB78" s="362">
        <f>SUM(AN78:AV78)</f>
        <v/>
      </c>
      <c r="CC78" s="362" t="n"/>
      <c r="CD78" s="432" t="inlineStr">
        <is>
          <t>ADA</t>
        </is>
      </c>
      <c r="CE78" s="362">
        <f>ROUND(BY78*$O78/1000,2)</f>
        <v/>
      </c>
      <c r="CF78" s="362">
        <f>ROUND(BZ78*$O78/1000,2)</f>
        <v/>
      </c>
      <c r="CG78" s="362">
        <f>ROUND(CA78*$O78/1000,2)</f>
        <v/>
      </c>
      <c r="CH78" s="362">
        <f>ROUND(CB78*$O78/1000,2)</f>
        <v/>
      </c>
      <c r="CI78" s="362">
        <f>SUM(CE78:CH78)</f>
        <v/>
      </c>
      <c r="CJ78" s="390" t="n"/>
      <c r="CK78" s="362">
        <f>IFERROR(ROUND(BY78*$P78,2),"")</f>
        <v/>
      </c>
      <c r="CL78" s="362">
        <f>IFERROR(ROUND(BZ78*$P78,2),"")</f>
        <v/>
      </c>
      <c r="CM78" s="362">
        <f>IFERROR(ROUND(CA78*$P78,2),"")</f>
        <v/>
      </c>
      <c r="CN78" s="362">
        <f>IFERROR(ROUND(CB78*$P78,2),"")</f>
        <v/>
      </c>
      <c r="CO78" s="362">
        <f>SUM(CK78:CN78)</f>
        <v/>
      </c>
    </row>
    <row r="79" hidden="1" ht="15.6" customFormat="1" customHeight="1" s="362">
      <c r="A79" s="331" t="n"/>
      <c r="B79" s="344">
        <f>_xlfn.XLOOKUP(G79,销售需求表!A:A,销售需求表!C:C)</f>
        <v/>
      </c>
      <c r="C79" s="345">
        <f>IFERROR(MID(F79,FIND("R",F79)+1,4),"")</f>
        <v/>
      </c>
      <c r="D79" s="344">
        <f>B79&amp;C79&amp;"寸"</f>
        <v/>
      </c>
      <c r="E79" s="346">
        <f>LEFT(REPLACE(G79,1,2,""),FIND("[",REPLACE(G79,1,2,""))-1)&amp;"-"&amp;MID(REPLACE(G79,1,2,""),FIND("[",REPLACE(G79,1,2,""))+1,FIND("]",REPLACE(G79,1,2,""))-FIND("[",REPLACE(G79,1,2,""))-1)</f>
        <v/>
      </c>
      <c r="F79" s="347">
        <f>IFERROR(MID(G79,3,FIND("(",G79)-3)&amp;"-"&amp;SUBSTITUTE(MID(G79,FIND("[",G79)+1,FIND("]",G79)-FIND("[",G79)-1),"Strong Guard ",""),"")</f>
        <v/>
      </c>
      <c r="G79" s="361" t="inlineStr">
        <is>
          <t>ID215/75R17.5-18PR(135/133L)[AZ599]威狮无内</t>
        </is>
      </c>
      <c r="H79" s="344" t="n">
        <v>400</v>
      </c>
      <c r="I79" s="348" t="n"/>
      <c r="J79" s="349">
        <f>IFERROR(LEFT(F79,FIND("-",F79))&amp;MID(F79,FIND("PR",F79,FIND("-",F79))+3,LEN(F79)),F79)</f>
        <v/>
      </c>
      <c r="K79" s="352">
        <f>_xlfn.XLOOKUP(F79,投产规格!E:E,投产规格!D:D,"未投产")</f>
        <v/>
      </c>
      <c r="L79" s="352">
        <f>IFERROR(_xlfn.XLOOKUP(F79,硫化工艺!B:B,硫化工艺!C:C),"")</f>
        <v/>
      </c>
      <c r="M79" s="430">
        <f>IF(L79="","",L79/(L79+$L$1/60))</f>
        <v/>
      </c>
      <c r="N79" s="352">
        <f>C79&amp;"全钢"</f>
        <v/>
      </c>
      <c r="O79" s="352">
        <f>IFERROR(_xlfn.XLOOKUP(F79,轮胎重量!J:J,轮胎重量!G:G),"")</f>
        <v/>
      </c>
      <c r="P79" s="358">
        <f>O79*13.9</f>
        <v/>
      </c>
      <c r="Q79" s="352">
        <f>IFERROR(ROUND(1440/L79*(I79)*M79,0),"")</f>
        <v/>
      </c>
      <c r="R79" s="352" t="n"/>
      <c r="S79" s="352" t="n"/>
      <c r="T79" s="352" t="n"/>
      <c r="U79" s="352" t="n"/>
      <c r="V79" s="352" t="n"/>
      <c r="W79" s="352" t="n"/>
      <c r="X79" s="352" t="n"/>
      <c r="Y79" s="352" t="n"/>
      <c r="Z79" s="352" t="n"/>
      <c r="AA79" s="352" t="n"/>
      <c r="AB79" s="352" t="n"/>
      <c r="AC79" s="352" t="n"/>
      <c r="AD79" s="352" t="n"/>
      <c r="AE79" s="352" t="n"/>
      <c r="AF79" s="352" t="n"/>
      <c r="AG79" s="352" t="n"/>
      <c r="AH79" s="352" t="n"/>
      <c r="AI79" s="352" t="n"/>
      <c r="AJ79" s="352" t="n"/>
      <c r="AK79" s="352" t="n"/>
      <c r="AL79" s="352" t="n"/>
      <c r="AM79" s="352" t="n"/>
      <c r="AN79" s="352" t="n"/>
      <c r="AO79" s="352" t="n"/>
      <c r="AP79" s="352" t="n"/>
      <c r="AQ79" s="352" t="n"/>
      <c r="AR79" s="352" t="n"/>
      <c r="AS79" s="352" t="n"/>
      <c r="AT79" s="352" t="n"/>
      <c r="AU79" s="352" t="n"/>
      <c r="AV79" s="352" t="n"/>
      <c r="AW79" s="352">
        <f>IF(SUM(R79:AV79)=0,"",SUM(R79:AV79))</f>
        <v/>
      </c>
      <c r="AX79" s="431">
        <f>IFERROR(AW79*O79/1000,"")</f>
        <v/>
      </c>
      <c r="AY79" s="431">
        <f>IFERROR(ROUND(AW79*P79/10000,3),"")</f>
        <v/>
      </c>
      <c r="AZ79" s="354" t="n">
        <v>449.18</v>
      </c>
      <c r="BA79" s="355" t="n">
        <v>29.42</v>
      </c>
      <c r="BB79" s="355" t="n">
        <v>49.09</v>
      </c>
      <c r="BC79" s="355" t="n">
        <v>52.13</v>
      </c>
      <c r="BD79" s="331" t="n"/>
      <c r="BE79" s="331">
        <f>AZ79*AW79</f>
        <v/>
      </c>
      <c r="BF79" s="331">
        <f>BA79*AW79</f>
        <v/>
      </c>
      <c r="BG79" s="331">
        <f>BB79*AW79</f>
        <v/>
      </c>
      <c r="BH79" s="331">
        <f>BC79*AW79</f>
        <v/>
      </c>
      <c r="BI79" s="331" t="n"/>
      <c r="BJ79" s="356">
        <f t="array" ref="BJ79:BM79">_xlfn.LET(_xlpm.data,$R79:$AV79,_xlpm.starts,{1,8,16,23},_xlpm.lengths,{7,7,8,9},_xlpm.arr,_xlfn.MAP(_xlpm.starts,_xlpm.lengths,_xlfn.LAMBDA(_xlpm.s,_xlpm.l,SUM(INDEX(_xlpm.data,,_xlfn.SEQUENCE(,_xlpm.l,_xlpm.s))))),ROUND(_xlpm.arr*$O79/1000,2))</f>
        <v/>
      </c>
      <c r="BK79" s="331" t="n">
        <v>0</v>
      </c>
      <c r="BL79" s="331" t="n">
        <v>0</v>
      </c>
      <c r="BM79" s="331" t="n">
        <v>0</v>
      </c>
      <c r="BN79" s="362">
        <f>SUM(BJ79:BM79)</f>
        <v/>
      </c>
      <c r="BO79" s="362" t="n">
        <v>22.41</v>
      </c>
      <c r="BP79" s="362" t="n">
        <v>22.41</v>
      </c>
      <c r="BQ79" s="362" t="n">
        <v>25.62</v>
      </c>
      <c r="BR79" s="362" t="n">
        <v>28.82</v>
      </c>
      <c r="BS79" s="115" t="n"/>
      <c r="BT79" s="362">
        <f t="array" ref="BT79:BW79">_xlfn.HSTACK(SUM(INDEX($R79:$AV79,1,1):INDEX($R79:$AV79,1,7)),SUM(INDEX($R79:$AV79,1,7):INDEX($R79:$AV79,1,13)),SUM(INDEX($R79:$AV79,1,16):INDEX($R79:$AV79,1,23)),SUM(INDEX($R79:$AV79,1,23):INDEX($R79:$AV79,1,31)))</f>
        <v/>
      </c>
      <c r="BU79" s="362" t="n">
        <v>0</v>
      </c>
      <c r="BV79" s="362" t="n">
        <v>0</v>
      </c>
      <c r="BW79" s="362" t="n">
        <v>0</v>
      </c>
      <c r="BY79" s="362">
        <f>SUM(R79:X79)</f>
        <v/>
      </c>
      <c r="BZ79" s="362">
        <f>SUM(Y79:AE79)</f>
        <v/>
      </c>
      <c r="CA79" s="362">
        <f>SUM(AF79:AM79)</f>
        <v/>
      </c>
      <c r="CB79" s="362">
        <f>SUM(AN79:AV79)</f>
        <v/>
      </c>
      <c r="CD79" s="432" t="inlineStr">
        <is>
          <t>ADA</t>
        </is>
      </c>
      <c r="CE79" s="362">
        <f>ROUND(BY79*$O79/1000,2)</f>
        <v/>
      </c>
      <c r="CF79" s="362">
        <f>ROUND(BZ79*$O79/1000,2)</f>
        <v/>
      </c>
      <c r="CG79" s="362">
        <f>ROUND(CA79*$O79/1000,2)</f>
        <v/>
      </c>
      <c r="CH79" s="362">
        <f>ROUND(CB79*$O79/1000,2)</f>
        <v/>
      </c>
      <c r="CI79" s="362">
        <f>SUM(CE79:CH79)</f>
        <v/>
      </c>
      <c r="CJ79" s="390" t="n"/>
      <c r="CK79" s="362">
        <f>IFERROR(ROUND(BY79*$P79,2),"")</f>
        <v/>
      </c>
      <c r="CL79" s="362">
        <f>IFERROR(ROUND(BZ79*$P79,2),"")</f>
        <v/>
      </c>
      <c r="CM79" s="362">
        <f>IFERROR(ROUND(CA79*$P79,2),"")</f>
        <v/>
      </c>
      <c r="CN79" s="362">
        <f>IFERROR(ROUND(CB79*$P79,2),"")</f>
        <v/>
      </c>
      <c r="CO79" s="362">
        <f>SUM(CK79:CN79)</f>
        <v/>
      </c>
    </row>
    <row r="80" ht="15.6" customFormat="1" customHeight="1" s="362">
      <c r="A80" s="331" t="n"/>
      <c r="B80" s="344">
        <f>_xlfn.XLOOKUP(G80,销售需求表!A:A,销售需求表!C:C)</f>
        <v/>
      </c>
      <c r="C80" s="345">
        <f>IFERROR(MID(F80,FIND("R",F80)+1,4),"")</f>
        <v/>
      </c>
      <c r="D80" s="344">
        <f>B80&amp;C80&amp;"寸"</f>
        <v/>
      </c>
      <c r="E80" s="346">
        <f>LEFT(REPLACE(G80,1,2,""),FIND("[",REPLACE(G80,1,2,""))-1)&amp;"-"&amp;MID(REPLACE(G80,1,2,""),FIND("[",REPLACE(G80,1,2,""))+1,FIND("]",REPLACE(G80,1,2,""))-FIND("[",REPLACE(G80,1,2,""))-1)</f>
        <v/>
      </c>
      <c r="F80" s="347">
        <f>IFERROR(MID(G80,3,FIND("(",G80)-3)&amp;"-"&amp;SUBSTITUTE(MID(G80,FIND("[",G80)+1,FIND("]",G80)-FIND("[",G80)-1),"Strong Guard ",""),"")</f>
        <v/>
      </c>
      <c r="G80" s="361" t="inlineStr">
        <is>
          <t>ID215/75R17.5-18PR(135/133L)[M-TRAC AP]MASTERTRACK无内</t>
        </is>
      </c>
      <c r="H80" s="344" t="n">
        <v>1800</v>
      </c>
      <c r="I80" s="348" t="n">
        <v>2</v>
      </c>
      <c r="J80" s="349">
        <f>IFERROR(LEFT(F80,FIND("-",F80))&amp;MID(F80,FIND("PR",F80,FIND("-",F80))+3,LEN(F80)),F80)</f>
        <v/>
      </c>
      <c r="K80" s="352">
        <f>_xlfn.XLOOKUP(F80,投产规格!E:E,投产规格!D:D,"未投产")</f>
        <v/>
      </c>
      <c r="L80" s="352">
        <f>IFERROR(_xlfn.XLOOKUP(F80,硫化工艺!B:B,硫化工艺!C:C),"")</f>
        <v/>
      </c>
      <c r="M80" s="430">
        <f>IF(L80="","",L80/(L80+$L$1/60))</f>
        <v/>
      </c>
      <c r="N80" s="352">
        <f>C80&amp;"全钢"</f>
        <v/>
      </c>
      <c r="O80" s="352">
        <f>IFERROR(_xlfn.XLOOKUP(F80,轮胎重量!J:J,轮胎重量!G:G),"")</f>
        <v/>
      </c>
      <c r="P80" s="352">
        <f>IFERROR(_xlfn.XLOOKUP(G80,硫化工艺!I:I,硫化工艺!J:J),"")</f>
        <v/>
      </c>
      <c r="Q80" s="352">
        <f>IFERROR(ROUND(1440/L80*(I80)*M80,0),"")</f>
        <v/>
      </c>
      <c r="R80" s="352" t="n">
        <v>60</v>
      </c>
      <c r="S80" s="352" t="n">
        <v>60</v>
      </c>
      <c r="T80" s="352" t="n">
        <v>60</v>
      </c>
      <c r="U80" s="352" t="n">
        <v>60</v>
      </c>
      <c r="V80" s="352" t="n">
        <v>60</v>
      </c>
      <c r="W80" s="352" t="n">
        <v>60</v>
      </c>
      <c r="X80" s="352" t="n">
        <v>60</v>
      </c>
      <c r="Y80" s="352" t="n">
        <v>60</v>
      </c>
      <c r="Z80" s="352" t="n">
        <v>60</v>
      </c>
      <c r="AA80" s="352" t="n">
        <v>60</v>
      </c>
      <c r="AB80" s="352" t="n">
        <v>60</v>
      </c>
      <c r="AC80" s="352" t="n">
        <v>60</v>
      </c>
      <c r="AD80" s="352" t="n">
        <v>60</v>
      </c>
      <c r="AE80" s="352" t="n">
        <v>60</v>
      </c>
      <c r="AF80" s="352" t="n">
        <v>60</v>
      </c>
      <c r="AG80" s="352" t="n">
        <v>60</v>
      </c>
      <c r="AH80" s="352" t="n">
        <v>60</v>
      </c>
      <c r="AI80" s="352" t="n">
        <v>60</v>
      </c>
      <c r="AJ80" s="352" t="n">
        <v>60</v>
      </c>
      <c r="AK80" s="352" t="n">
        <v>60</v>
      </c>
      <c r="AL80" s="352" t="n">
        <v>60</v>
      </c>
      <c r="AM80" s="352" t="n">
        <v>60</v>
      </c>
      <c r="AN80" s="352" t="n">
        <v>60</v>
      </c>
      <c r="AO80" s="352" t="n">
        <v>60</v>
      </c>
      <c r="AP80" s="352" t="n">
        <v>60</v>
      </c>
      <c r="AQ80" s="352" t="n">
        <v>60</v>
      </c>
      <c r="AR80" s="352" t="n">
        <v>60</v>
      </c>
      <c r="AS80" s="352" t="n">
        <v>60</v>
      </c>
      <c r="AT80" s="352" t="n">
        <v>60</v>
      </c>
      <c r="AU80" s="352" t="n">
        <v>60</v>
      </c>
      <c r="AV80" s="352" t="n">
        <v>60</v>
      </c>
      <c r="AW80" s="352">
        <f>IF(SUM(R80:AV80)=0,"",SUM(R80:AV80))</f>
        <v/>
      </c>
      <c r="AX80" s="431">
        <f>IFERROR(AW80*O80/1000,"")</f>
        <v/>
      </c>
      <c r="AY80" s="431">
        <f>IFERROR(ROUND(AW80*P80/10000,3),"")</f>
        <v/>
      </c>
      <c r="AZ80" s="359" t="n"/>
      <c r="BA80" s="362" t="n"/>
      <c r="BB80" s="362" t="n"/>
      <c r="BC80" s="331" t="n"/>
      <c r="BD80" s="331" t="n"/>
      <c r="BE80" s="331">
        <f>AZ80*AW80</f>
        <v/>
      </c>
      <c r="BF80" s="331">
        <f>BA80*AW80</f>
        <v/>
      </c>
      <c r="BG80" s="331">
        <f>BB80*AW80</f>
        <v/>
      </c>
      <c r="BH80" s="331">
        <f>BC80*AW80</f>
        <v/>
      </c>
      <c r="BI80" s="331" t="n"/>
      <c r="BJ80" s="356">
        <f t="array" ref="BJ80:BM80">_xlfn.LET(_xlpm.data,$R80:$AV80,_xlpm.starts,{1,8,16,23},_xlpm.lengths,{7,7,8,9},_xlpm.arr,_xlfn.MAP(_xlpm.starts,_xlpm.lengths,_xlfn.LAMBDA(_xlpm.s,_xlpm.l,SUM(INDEX(_xlpm.data,,_xlfn.SEQUENCE(,_xlpm.l,_xlpm.s))))),ROUND(_xlpm.arr*$O80/1000,2))</f>
        <v/>
      </c>
      <c r="BK80" s="331" t="n">
        <v>10.72</v>
      </c>
      <c r="BL80" s="331" t="n">
        <v>12.25</v>
      </c>
      <c r="BM80" s="331" t="n">
        <v>13.78</v>
      </c>
      <c r="BN80" s="362">
        <f>SUM(BJ80:BM80)</f>
        <v/>
      </c>
      <c r="BO80" s="362" t="n">
        <v>21.08</v>
      </c>
      <c r="BP80" s="362" t="n">
        <v>21.08</v>
      </c>
      <c r="BQ80" s="362" t="n">
        <v>24.09</v>
      </c>
      <c r="BR80" s="362" t="n">
        <v>27.1</v>
      </c>
      <c r="BS80" s="115" t="n"/>
      <c r="BT80" s="362">
        <f t="array" ref="BT80:BW80">_xlfn.HSTACK(SUM(INDEX($R80:$AV80,1,1):INDEX($R80:$AV80,1,7)),SUM(INDEX($R80:$AV80,1,7):INDEX($R80:$AV80,1,13)),SUM(INDEX($R80:$AV80,1,16):INDEX($R80:$AV80,1,23)),SUM(INDEX($R80:$AV80,1,23):INDEX($R80:$AV80,1,31)))</f>
        <v/>
      </c>
      <c r="BU80" s="362" t="n">
        <v>420</v>
      </c>
      <c r="BV80" s="362" t="n">
        <v>480</v>
      </c>
      <c r="BW80" s="362" t="n">
        <v>540</v>
      </c>
      <c r="BY80" s="362">
        <f>SUM(R80:X80)</f>
        <v/>
      </c>
      <c r="BZ80" s="362">
        <f>SUM(Y80:AE80)</f>
        <v/>
      </c>
      <c r="CA80" s="362">
        <f>SUM(AF80:AM80)</f>
        <v/>
      </c>
      <c r="CB80" s="362">
        <f>SUM(AN80:AV80)</f>
        <v/>
      </c>
      <c r="CD80" s="432" t="inlineStr">
        <is>
          <t>ADA</t>
        </is>
      </c>
      <c r="CE80" s="362">
        <f>ROUND(BY80*$O80/1000,2)</f>
        <v/>
      </c>
      <c r="CF80" s="362">
        <f>ROUND(BZ80*$O80/1000,2)</f>
        <v/>
      </c>
      <c r="CG80" s="362">
        <f>ROUND(CA80*$O80/1000,2)</f>
        <v/>
      </c>
      <c r="CH80" s="362">
        <f>ROUND(CB80*$O80/1000,2)</f>
        <v/>
      </c>
      <c r="CI80" s="362">
        <f>SUM(CE80:CH80)</f>
        <v/>
      </c>
      <c r="CJ80" s="390" t="n"/>
      <c r="CK80" s="362">
        <f>IFERROR(ROUND(BY80*$P80,2),"")</f>
        <v/>
      </c>
      <c r="CL80" s="362">
        <f>IFERROR(ROUND(BZ80*$P80,2),"")</f>
        <v/>
      </c>
      <c r="CM80" s="362">
        <f>IFERROR(ROUND(CA80*$P80,2),"")</f>
        <v/>
      </c>
      <c r="CN80" s="362">
        <f>IFERROR(ROUND(CB80*$P80,2),"")</f>
        <v/>
      </c>
      <c r="CO80" s="362">
        <f>SUM(CK80:CN80)</f>
        <v/>
      </c>
    </row>
    <row r="81" hidden="1" ht="15.6" customHeight="1" s="428">
      <c r="B81" s="344">
        <f>_xlfn.XLOOKUP(G81,销售需求表!A:A,销售需求表!C:C)</f>
        <v/>
      </c>
      <c r="C81" s="345">
        <f>IFERROR(MID(F81,FIND("R",F81)+1,4),"")</f>
        <v/>
      </c>
      <c r="D81" s="344">
        <f>B81&amp;C81&amp;"寸"</f>
        <v/>
      </c>
      <c r="E81" s="346">
        <f>LEFT(REPLACE(G81,1,2,""),FIND("[",REPLACE(G81,1,2,""))-1)&amp;"-"&amp;MID(REPLACE(G81,1,2,""),FIND("[",REPLACE(G81,1,2,""))+1,FIND("]",REPLACE(G81,1,2,""))-FIND("[",REPLACE(G81,1,2,""))-1)</f>
        <v/>
      </c>
      <c r="F81" s="347">
        <f>IFERROR(MID(G81,3,FIND("(",G81)-3)&amp;"-"&amp;SUBSTITUTE(MID(G81,FIND("[",G81)+1,FIND("]",G81)-FIND("[",G81)-1),"Strong Guard ",""),"")</f>
        <v/>
      </c>
      <c r="G81" s="346" t="inlineStr">
        <is>
          <t>ID235/75R17.5-18PR(143/141L)[AP-7318]VANTAGE无内</t>
        </is>
      </c>
      <c r="H81" s="344" t="n">
        <v>300</v>
      </c>
      <c r="I81" s="348" t="n"/>
      <c r="J81" s="349">
        <f>IFERROR(LEFT(F81,FIND("-",F81))&amp;MID(F81,FIND("PR",F81,FIND("-",F81))+3,LEN(F81)),F81)</f>
        <v/>
      </c>
      <c r="K81" s="352">
        <f>_xlfn.XLOOKUP(F81,投产规格!E:E,投产规格!D:D,"未投产")</f>
        <v/>
      </c>
      <c r="L81" s="352">
        <f>IFERROR(_xlfn.XLOOKUP(F81,硫化工艺!B:B,硫化工艺!C:C),"")</f>
        <v/>
      </c>
      <c r="M81" s="430">
        <f>IF(L81="","",L81/(L81+$L$1/60))</f>
        <v/>
      </c>
      <c r="N81" s="352">
        <f>C81&amp;"全钢"</f>
        <v/>
      </c>
      <c r="O81" s="352">
        <f>IFERROR(_xlfn.XLOOKUP(F81,轮胎重量!J:J,轮胎重量!G:G),"")</f>
        <v/>
      </c>
      <c r="P81" s="352">
        <f>IFERROR(_xlfn.XLOOKUP(G81,硫化工艺!I:I,硫化工艺!J:J),"")</f>
        <v/>
      </c>
      <c r="Q81" s="352">
        <f>IFERROR(ROUND(1440/L81*(I81)*M81,0),"")</f>
        <v/>
      </c>
      <c r="R81" s="352" t="n"/>
      <c r="S81" s="352" t="n"/>
      <c r="T81" s="352" t="n"/>
      <c r="U81" s="352" t="n"/>
      <c r="V81" s="352" t="n"/>
      <c r="W81" s="352" t="n"/>
      <c r="X81" s="352" t="n"/>
      <c r="Y81" s="352" t="n"/>
      <c r="Z81" s="352" t="n"/>
      <c r="AA81" s="352" t="n"/>
      <c r="AB81" s="352" t="n"/>
      <c r="AC81" s="352" t="n"/>
      <c r="AD81" s="352" t="n"/>
      <c r="AE81" s="352" t="n"/>
      <c r="AF81" s="352" t="n"/>
      <c r="AG81" s="352" t="n"/>
      <c r="AH81" s="352" t="n"/>
      <c r="AI81" s="352" t="n"/>
      <c r="AJ81" s="352" t="n"/>
      <c r="AK81" s="352" t="n"/>
      <c r="AL81" s="352" t="n"/>
      <c r="AM81" s="352" t="n"/>
      <c r="AN81" s="352" t="n"/>
      <c r="AO81" s="352" t="n"/>
      <c r="AP81" s="352" t="n"/>
      <c r="AQ81" s="352" t="n"/>
      <c r="AR81" s="352" t="n"/>
      <c r="AS81" s="352" t="n"/>
      <c r="AT81" s="352" t="n"/>
      <c r="AU81" s="352" t="n"/>
      <c r="AV81" s="352" t="n"/>
      <c r="AW81" s="352">
        <f>IF(SUM(R81:AV81)=0,"",SUM(R81:AV81))</f>
        <v/>
      </c>
      <c r="AX81" s="431">
        <f>IFERROR(AW81*O81/1000,"")</f>
        <v/>
      </c>
      <c r="AY81" s="431">
        <f>IFERROR(ROUND(AW81*P81/10000,3),"")</f>
        <v/>
      </c>
      <c r="AZ81" s="359" t="n"/>
      <c r="BE81" s="331">
        <f>AZ81*AW81</f>
        <v/>
      </c>
      <c r="BF81" s="331">
        <f>BA81*AW81</f>
        <v/>
      </c>
      <c r="BG81" s="331">
        <f>BB81*AW81</f>
        <v/>
      </c>
      <c r="BH81" s="331">
        <f>BC81*AW81</f>
        <v/>
      </c>
      <c r="BJ81" s="356">
        <f t="array" ref="BJ81:BM81">_xlfn.LET(_xlpm.data,$R81:$AV81,_xlpm.starts,{1,8,16,23},_xlpm.lengths,{7,7,8,9},_xlpm.arr,_xlfn.MAP(_xlpm.starts,_xlpm.lengths,_xlfn.LAMBDA(_xlpm.s,_xlpm.l,SUM(INDEX(_xlpm.data,,_xlfn.SEQUENCE(,_xlpm.l,_xlpm.s))))),ROUND(_xlpm.arr*$O81/1000,2))</f>
        <v/>
      </c>
      <c r="BK81" s="331" t="n">
        <v>0</v>
      </c>
      <c r="BL81" s="331" t="n">
        <v>0</v>
      </c>
      <c r="BM81" s="331" t="n">
        <v>0</v>
      </c>
      <c r="BN81" s="362">
        <f>SUM(BJ81:BM81)</f>
        <v/>
      </c>
      <c r="BO81" s="362" t="n">
        <v>21.08</v>
      </c>
      <c r="BP81" s="362" t="n">
        <v>21.08</v>
      </c>
      <c r="BQ81" s="362" t="n">
        <v>24.09</v>
      </c>
      <c r="BR81" s="362" t="n">
        <v>27.1</v>
      </c>
      <c r="BT81" s="362">
        <f t="array" ref="BT81:BW81">_xlfn.HSTACK(SUM(INDEX($R81:$AV81,1,1):INDEX($R81:$AV81,1,7)),SUM(INDEX($R81:$AV81,1,7):INDEX($R81:$AV81,1,13)),SUM(INDEX($R81:$AV81,1,16):INDEX($R81:$AV81,1,23)),SUM(INDEX($R81:$AV81,1,23):INDEX($R81:$AV81,1,31)))</f>
        <v/>
      </c>
      <c r="BU81" s="362" t="n">
        <v>0</v>
      </c>
      <c r="BV81" s="362" t="n">
        <v>0</v>
      </c>
      <c r="BW81" s="362" t="n">
        <v>0</v>
      </c>
      <c r="BY81" s="362">
        <f>SUM(R81:X81)</f>
        <v/>
      </c>
      <c r="BZ81" s="362">
        <f>SUM(Y81:AE81)</f>
        <v/>
      </c>
      <c r="CA81" s="362">
        <f>SUM(AF81:AM81)</f>
        <v/>
      </c>
      <c r="CB81" s="362">
        <f>SUM(AN81:AV81)</f>
        <v/>
      </c>
      <c r="CD81" s="432" t="inlineStr">
        <is>
          <t>ADA</t>
        </is>
      </c>
      <c r="CE81" s="362">
        <f>ROUND(BY81*$O81/1000,2)</f>
        <v/>
      </c>
      <c r="CF81" s="362">
        <f>ROUND(BZ81*$O81/1000,2)</f>
        <v/>
      </c>
      <c r="CG81" s="362">
        <f>ROUND(CA81*$O81/1000,2)</f>
        <v/>
      </c>
      <c r="CH81" s="362">
        <f>ROUND(CB81*$O81/1000,2)</f>
        <v/>
      </c>
      <c r="CI81" s="362">
        <f>SUM(CE81:CH81)</f>
        <v/>
      </c>
      <c r="CK81" s="362">
        <f>IFERROR(ROUND(BY81*$P81,2),"")</f>
        <v/>
      </c>
      <c r="CL81" s="362">
        <f>IFERROR(ROUND(BZ81*$P81,2),"")</f>
        <v/>
      </c>
      <c r="CM81" s="362">
        <f>IFERROR(ROUND(CA81*$P81,2),"")</f>
        <v/>
      </c>
      <c r="CN81" s="362">
        <f>IFERROR(ROUND(CB81*$P81,2),"")</f>
        <v/>
      </c>
      <c r="CO81" s="362">
        <f>SUM(CK81:CN81)</f>
        <v/>
      </c>
    </row>
    <row r="82" ht="15.6" customHeight="1" s="428">
      <c r="B82" s="344">
        <f>_xlfn.XLOOKUP(G82,销售需求表!A:A,销售需求表!C:C)</f>
        <v/>
      </c>
      <c r="C82" s="345">
        <f>IFERROR(MID(F82,FIND("R",F82)+1,4),"")</f>
        <v/>
      </c>
      <c r="D82" s="344">
        <f>B82&amp;C82&amp;"寸"</f>
        <v/>
      </c>
      <c r="E82" s="346">
        <f>LEFT(REPLACE(G82,1,2,""),FIND("[",REPLACE(G82,1,2,""))-1)&amp;"-"&amp;MID(REPLACE(G82,1,2,""),FIND("[",REPLACE(G82,1,2,""))+1,FIND("]",REPLACE(G82,1,2,""))-FIND("[",REPLACE(G82,1,2,""))-1)</f>
        <v/>
      </c>
      <c r="F82" s="347">
        <f>IFERROR(MID(G82,3,FIND("(",G82)-3)&amp;"-"&amp;SUBSTITUTE(MID(G82,FIND("[",G82)+1,FIND("]",G82)-FIND("[",G82)-1),"Strong Guard ",""),"")</f>
        <v/>
      </c>
      <c r="G82" s="346" t="inlineStr">
        <is>
          <t>ID235/75R17.5-18PR(143/141L)[I-19A]IRONMAN无内</t>
        </is>
      </c>
      <c r="H82" s="344" t="n">
        <v>2500</v>
      </c>
      <c r="I82" s="348" t="n">
        <v>2</v>
      </c>
      <c r="J82" s="349">
        <f>IFERROR(LEFT(F82,FIND("-",F82))&amp;MID(F82,FIND("PR",F82,FIND("-",F82))+3,LEN(F82)),F82)</f>
        <v/>
      </c>
      <c r="K82" s="352">
        <f>_xlfn.XLOOKUP(F82,投产规格!E:E,投产规格!D:D,"未投产")</f>
        <v/>
      </c>
      <c r="L82" s="352">
        <f>IFERROR(_xlfn.XLOOKUP(F82,硫化工艺!B:B,硫化工艺!C:C),"")</f>
        <v/>
      </c>
      <c r="M82" s="430">
        <f>IF(L82="","",L82/(L82+$L$1/60))</f>
        <v/>
      </c>
      <c r="N82" s="352">
        <f>C82&amp;"全钢"</f>
        <v/>
      </c>
      <c r="O82" s="352">
        <f>IFERROR(_xlfn.XLOOKUP(F82,轮胎重量!J:J,轮胎重量!G:G),"")</f>
        <v/>
      </c>
      <c r="P82" s="352">
        <f>IFERROR(_xlfn.XLOOKUP(G82,硫化工艺!I:I,硫化工艺!J:J),"")</f>
        <v/>
      </c>
      <c r="Q82" s="352">
        <f>IFERROR(ROUND(1440/L82*(I82)*M82,0),"")</f>
        <v/>
      </c>
      <c r="R82" s="352" t="n">
        <v>70</v>
      </c>
      <c r="S82" s="352" t="n">
        <v>70</v>
      </c>
      <c r="T82" s="352" t="n">
        <v>70</v>
      </c>
      <c r="U82" s="352" t="n">
        <v>70</v>
      </c>
      <c r="V82" s="352" t="n">
        <v>70</v>
      </c>
      <c r="W82" s="352" t="n">
        <v>70</v>
      </c>
      <c r="X82" s="352" t="n">
        <v>70</v>
      </c>
      <c r="Y82" s="352" t="n">
        <v>70</v>
      </c>
      <c r="Z82" s="352" t="n">
        <v>70</v>
      </c>
      <c r="AA82" s="352" t="n">
        <v>70</v>
      </c>
      <c r="AB82" s="352" t="n">
        <v>70</v>
      </c>
      <c r="AC82" s="352" t="n">
        <v>70</v>
      </c>
      <c r="AD82" s="352" t="n">
        <v>70</v>
      </c>
      <c r="AE82" s="352" t="n">
        <v>70</v>
      </c>
      <c r="AF82" s="352" t="n">
        <v>70</v>
      </c>
      <c r="AG82" s="352" t="n">
        <v>70</v>
      </c>
      <c r="AH82" s="352" t="n">
        <v>70</v>
      </c>
      <c r="AI82" s="352" t="n">
        <v>70</v>
      </c>
      <c r="AJ82" s="352" t="n">
        <v>70</v>
      </c>
      <c r="AK82" s="352" t="n">
        <v>70</v>
      </c>
      <c r="AL82" s="352" t="n">
        <v>70</v>
      </c>
      <c r="AM82" s="352" t="n">
        <v>70</v>
      </c>
      <c r="AN82" s="352" t="n">
        <v>70</v>
      </c>
      <c r="AO82" s="352" t="n">
        <v>70</v>
      </c>
      <c r="AP82" s="352" t="n">
        <v>70</v>
      </c>
      <c r="AQ82" s="352" t="n">
        <v>70</v>
      </c>
      <c r="AR82" s="352" t="n">
        <v>70</v>
      </c>
      <c r="AS82" s="352" t="n">
        <v>70</v>
      </c>
      <c r="AT82" s="352" t="n">
        <v>70</v>
      </c>
      <c r="AU82" s="352" t="n">
        <v>70</v>
      </c>
      <c r="AV82" s="352" t="n">
        <v>70</v>
      </c>
      <c r="AW82" s="352">
        <f>IF(SUM(R82:AV82)=0,"",SUM(R82:AV82))</f>
        <v/>
      </c>
      <c r="AX82" s="431">
        <f>IFERROR(AW82*O82/1000,"")</f>
        <v/>
      </c>
      <c r="AY82" s="431">
        <f>IFERROR(ROUND(AW82*P82/10000,3),"")</f>
        <v/>
      </c>
      <c r="AZ82" s="359" t="n"/>
      <c r="BE82" s="331">
        <f>AZ82*AW82</f>
        <v/>
      </c>
      <c r="BF82" s="331">
        <f>BA82*AW82</f>
        <v/>
      </c>
      <c r="BG82" s="331">
        <f>BB82*AW82</f>
        <v/>
      </c>
      <c r="BH82" s="331">
        <f>BC82*AW82</f>
        <v/>
      </c>
      <c r="BJ82" s="356">
        <f t="array" ref="BJ82:BM82">_xlfn.LET(_xlpm.data,$R82:$AV82,_xlpm.starts,{1,8,16,23},_xlpm.lengths,{7,7,8,9},_xlpm.arr,_xlfn.MAP(_xlpm.starts,_xlpm.lengths,_xlfn.LAMBDA(_xlpm.s,_xlpm.l,SUM(INDEX(_xlpm.data,,_xlfn.SEQUENCE(,_xlpm.l,_xlpm.s))))),ROUND(_xlpm.arr*$O82/1000,2))</f>
        <v/>
      </c>
      <c r="BK82" s="331" t="n">
        <v>14.52</v>
      </c>
      <c r="BL82" s="331" t="n">
        <v>16.59</v>
      </c>
      <c r="BM82" s="331" t="n">
        <v>18.67</v>
      </c>
      <c r="BN82" s="362">
        <f>SUM(BJ82:BM82)</f>
        <v/>
      </c>
      <c r="BO82" s="362" t="n">
        <v>0</v>
      </c>
      <c r="BP82" s="362" t="n">
        <v>0</v>
      </c>
      <c r="BQ82" s="362" t="n">
        <v>0</v>
      </c>
      <c r="BR82" s="362" t="n">
        <v>0</v>
      </c>
      <c r="BT82" s="362">
        <f t="array" ref="BT82:BW82">_xlfn.HSTACK(SUM(INDEX($R82:$AV82,1,1):INDEX($R82:$AV82,1,7)),SUM(INDEX($R82:$AV82,1,7):INDEX($R82:$AV82,1,13)),SUM(INDEX($R82:$AV82,1,16):INDEX($R82:$AV82,1,23)),SUM(INDEX($R82:$AV82,1,23):INDEX($R82:$AV82,1,31)))</f>
        <v/>
      </c>
      <c r="BU82" s="362" t="n">
        <v>490</v>
      </c>
      <c r="BV82" s="362" t="n">
        <v>560</v>
      </c>
      <c r="BW82" s="362" t="n">
        <v>630</v>
      </c>
      <c r="BY82" s="362">
        <f>SUM(R82:X82)</f>
        <v/>
      </c>
      <c r="BZ82" s="362">
        <f>SUM(Y82:AE82)</f>
        <v/>
      </c>
      <c r="CA82" s="362">
        <f>SUM(AF82:AM82)</f>
        <v/>
      </c>
      <c r="CB82" s="362">
        <f>SUM(AN82:AV82)</f>
        <v/>
      </c>
      <c r="CD82" s="432" t="inlineStr">
        <is>
          <t>ADA</t>
        </is>
      </c>
      <c r="CE82" s="362">
        <f>ROUND(BY82*$O82/1000,2)</f>
        <v/>
      </c>
      <c r="CF82" s="362">
        <f>ROUND(BZ82*$O82/1000,2)</f>
        <v/>
      </c>
      <c r="CG82" s="362">
        <f>ROUND(CA82*$O82/1000,2)</f>
        <v/>
      </c>
      <c r="CH82" s="362">
        <f>ROUND(CB82*$O82/1000,2)</f>
        <v/>
      </c>
      <c r="CI82" s="362">
        <f>SUM(CE82:CH82)</f>
        <v/>
      </c>
      <c r="CK82" s="362">
        <f>IFERROR(ROUND(BY82*$P82,2),"")</f>
        <v/>
      </c>
      <c r="CL82" s="362">
        <f>IFERROR(ROUND(BZ82*$P82,2),"")</f>
        <v/>
      </c>
      <c r="CM82" s="362">
        <f>IFERROR(ROUND(CA82*$P82,2),"")</f>
        <v/>
      </c>
      <c r="CN82" s="362">
        <f>IFERROR(ROUND(CB82*$P82,2),"")</f>
        <v/>
      </c>
      <c r="CO82" s="362">
        <f>SUM(CK82:CN82)</f>
        <v/>
      </c>
    </row>
    <row r="83" ht="15.6" customHeight="1" s="428">
      <c r="A83" s="331" t="n"/>
      <c r="B83" s="344">
        <f>_xlfn.XLOOKUP(G83,销售需求表!A:A,销售需求表!C:C)</f>
        <v/>
      </c>
      <c r="C83" s="345">
        <f>IFERROR(MID(F83,FIND("R",F83)+1,4),"")</f>
        <v/>
      </c>
      <c r="D83" s="344">
        <f>B83&amp;C83&amp;"寸"</f>
        <v/>
      </c>
      <c r="E83" s="346">
        <f>LEFT(REPLACE(G83,1,2,""),FIND("[",REPLACE(G83,1,2,""))-1)&amp;"-"&amp;MID(REPLACE(G83,1,2,""),FIND("[",REPLACE(G83,1,2,""))+1,FIND("]",REPLACE(G83,1,2,""))-FIND("[",REPLACE(G83,1,2,""))-1)</f>
        <v/>
      </c>
      <c r="F83" s="347">
        <f>IFERROR(MID(G83,3,FIND("(",G83)-3)&amp;"-"&amp;SUBSTITUTE(MID(G83,FIND("[",G83)+1,FIND("]",G83)-FIND("[",G83)-1),"Strong Guard ",""),"")</f>
        <v/>
      </c>
      <c r="G83" s="346" t="inlineStr">
        <is>
          <t>ID235/75R17.5-18PR(143/141L)[M-TRAC AP]MASTERTRACK无内</t>
        </is>
      </c>
      <c r="H83" s="344" t="n">
        <v>2300</v>
      </c>
      <c r="I83" s="348" t="n">
        <v>2</v>
      </c>
      <c r="J83" s="349">
        <f>IFERROR(LEFT(F83,FIND("-",F83))&amp;MID(F83,FIND("PR",F83,FIND("-",F83))+3,LEN(F83)),F83)</f>
        <v/>
      </c>
      <c r="K83" s="352">
        <f>_xlfn.XLOOKUP(F83,投产规格!E:E,投产规格!D:D,"未投产")</f>
        <v/>
      </c>
      <c r="L83" s="352">
        <f>IFERROR(_xlfn.XLOOKUP(F83,硫化工艺!B:B,硫化工艺!C:C),"")</f>
        <v/>
      </c>
      <c r="M83" s="430">
        <f>IF(L83="","",L83/(L83+$L$1/60))</f>
        <v/>
      </c>
      <c r="N83" s="352">
        <f>C83&amp;"全钢"</f>
        <v/>
      </c>
      <c r="O83" s="352">
        <f>IFERROR(_xlfn.XLOOKUP(F83,轮胎重量!J:J,轮胎重量!G:G),"")</f>
        <v/>
      </c>
      <c r="P83" s="358">
        <f>O83*13.9</f>
        <v/>
      </c>
      <c r="Q83" s="352">
        <f>IFERROR(ROUND(1440/L83*(I83)*M83,0),"")</f>
        <v/>
      </c>
      <c r="R83" s="352" t="n">
        <v>70</v>
      </c>
      <c r="S83" s="352" t="n">
        <v>70</v>
      </c>
      <c r="T83" s="352" t="n">
        <v>70</v>
      </c>
      <c r="U83" s="352" t="n">
        <v>70</v>
      </c>
      <c r="V83" s="352" t="n">
        <v>70</v>
      </c>
      <c r="W83" s="352" t="n">
        <v>70</v>
      </c>
      <c r="X83" s="352" t="n">
        <v>70</v>
      </c>
      <c r="Y83" s="352" t="n">
        <v>70</v>
      </c>
      <c r="Z83" s="352" t="n">
        <v>70</v>
      </c>
      <c r="AA83" s="352" t="n">
        <v>70</v>
      </c>
      <c r="AB83" s="352" t="n">
        <v>70</v>
      </c>
      <c r="AC83" s="352" t="n">
        <v>70</v>
      </c>
      <c r="AD83" s="352" t="n">
        <v>70</v>
      </c>
      <c r="AE83" s="352" t="n">
        <v>70</v>
      </c>
      <c r="AF83" s="352" t="n">
        <v>70</v>
      </c>
      <c r="AG83" s="352" t="n">
        <v>70</v>
      </c>
      <c r="AH83" s="352" t="n">
        <v>70</v>
      </c>
      <c r="AI83" s="352" t="n">
        <v>70</v>
      </c>
      <c r="AJ83" s="352" t="n">
        <v>70</v>
      </c>
      <c r="AK83" s="352" t="n">
        <v>70</v>
      </c>
      <c r="AL83" s="352" t="n">
        <v>70</v>
      </c>
      <c r="AM83" s="352" t="n">
        <v>70</v>
      </c>
      <c r="AN83" s="352" t="n">
        <v>70</v>
      </c>
      <c r="AO83" s="352" t="n">
        <v>70</v>
      </c>
      <c r="AP83" s="352" t="n">
        <v>70</v>
      </c>
      <c r="AQ83" s="352" t="n">
        <v>70</v>
      </c>
      <c r="AR83" s="352" t="n">
        <v>70</v>
      </c>
      <c r="AS83" s="352" t="n">
        <v>70</v>
      </c>
      <c r="AT83" s="352" t="n">
        <v>70</v>
      </c>
      <c r="AU83" s="352" t="n">
        <v>70</v>
      </c>
      <c r="AV83" s="352" t="n">
        <v>70</v>
      </c>
      <c r="AW83" s="352">
        <f>IF(SUM(R83:AV83)=0,"",SUM(R83:AV83))</f>
        <v/>
      </c>
      <c r="AX83" s="431">
        <f>IFERROR(AW83*O83/1000,"")</f>
        <v/>
      </c>
      <c r="AY83" s="431">
        <f>IFERROR(ROUND(AW83*P83/10000,3),"")</f>
        <v/>
      </c>
      <c r="AZ83" s="359" t="n"/>
      <c r="BA83" s="362" t="n"/>
      <c r="BB83" s="362" t="n"/>
      <c r="BC83" s="331" t="n"/>
      <c r="BD83" s="331" t="n"/>
      <c r="BE83" s="331">
        <f>AZ83*AW83</f>
        <v/>
      </c>
      <c r="BF83" s="331">
        <f>BA83*AW83</f>
        <v/>
      </c>
      <c r="BG83" s="331">
        <f>BB83*AW83</f>
        <v/>
      </c>
      <c r="BH83" s="331">
        <f>BC83*AW83</f>
        <v/>
      </c>
      <c r="BI83" s="331" t="n"/>
      <c r="BJ83" s="356">
        <f t="array" ref="BJ83:BM83">_xlfn.LET(_xlpm.data,$R83:$AV83,_xlpm.starts,{1,8,16,23},_xlpm.lengths,{7,7,8,9},_xlpm.arr,_xlfn.MAP(_xlpm.starts,_xlpm.lengths,_xlfn.LAMBDA(_xlpm.s,_xlpm.l,SUM(INDEX(_xlpm.data,,_xlfn.SEQUENCE(,_xlpm.l,_xlpm.s))))),ROUND(_xlpm.arr*$O83/1000,2))</f>
        <v/>
      </c>
      <c r="BK83" s="331" t="n">
        <v>14.46</v>
      </c>
      <c r="BL83" s="331" t="n">
        <v>16.52</v>
      </c>
      <c r="BM83" s="331" t="n">
        <v>18.59</v>
      </c>
      <c r="BN83" s="362">
        <f>SUM(BJ83:BM83)</f>
        <v/>
      </c>
      <c r="BO83" s="362" t="n">
        <v>0</v>
      </c>
      <c r="BP83" s="362" t="n">
        <v>0</v>
      </c>
      <c r="BQ83" s="362" t="n">
        <v>0</v>
      </c>
      <c r="BR83" s="362" t="n">
        <v>0</v>
      </c>
      <c r="BS83" s="115" t="n"/>
      <c r="BT83" s="362">
        <f t="array" ref="BT83:BW83">_xlfn.HSTACK(SUM(INDEX($R83:$AV83,1,1):INDEX($R83:$AV83,1,7)),SUM(INDEX($R83:$AV83,1,7):INDEX($R83:$AV83,1,13)),SUM(INDEX($R83:$AV83,1,16):INDEX($R83:$AV83,1,23)),SUM(INDEX($R83:$AV83,1,23):INDEX($R83:$AV83,1,31)))</f>
        <v/>
      </c>
      <c r="BU83" s="362" t="n">
        <v>490</v>
      </c>
      <c r="BV83" s="362" t="n">
        <v>560</v>
      </c>
      <c r="BW83" s="362" t="n">
        <v>630</v>
      </c>
      <c r="BY83" s="362">
        <f>SUM(R83:X83)</f>
        <v/>
      </c>
      <c r="BZ83" s="362">
        <f>SUM(Y83:AE83)</f>
        <v/>
      </c>
      <c r="CA83" s="362">
        <f>SUM(AF83:AM83)</f>
        <v/>
      </c>
      <c r="CB83" s="362">
        <f>SUM(AN83:AV83)</f>
        <v/>
      </c>
      <c r="CC83" s="362" t="n"/>
      <c r="CD83" s="432" t="inlineStr">
        <is>
          <t>ADA</t>
        </is>
      </c>
      <c r="CE83" s="362">
        <f>ROUND(BY83*$O83/1000,2)</f>
        <v/>
      </c>
      <c r="CF83" s="362">
        <f>ROUND(BZ83*$O83/1000,2)</f>
        <v/>
      </c>
      <c r="CG83" s="362">
        <f>ROUND(CA83*$O83/1000,2)</f>
        <v/>
      </c>
      <c r="CH83" s="362">
        <f>ROUND(CB83*$O83/1000,2)</f>
        <v/>
      </c>
      <c r="CI83" s="362">
        <f>SUM(CE83:CH83)</f>
        <v/>
      </c>
      <c r="CJ83" s="390" t="n"/>
      <c r="CK83" s="362">
        <f>IFERROR(ROUND(BY83*$P83,2),"")</f>
        <v/>
      </c>
      <c r="CL83" s="362">
        <f>IFERROR(ROUND(BZ83*$P83,2),"")</f>
        <v/>
      </c>
      <c r="CM83" s="362">
        <f>IFERROR(ROUND(CA83*$P83,2),"")</f>
        <v/>
      </c>
      <c r="CN83" s="362">
        <f>IFERROR(ROUND(CB83*$P83,2),"")</f>
        <v/>
      </c>
      <c r="CO83" s="362">
        <f>SUM(CK83:CN83)</f>
        <v/>
      </c>
    </row>
    <row r="84" ht="15.6" customFormat="1" customHeight="1" s="362">
      <c r="A84" s="331" t="n"/>
      <c r="B84" s="344">
        <f>_xlfn.XLOOKUP(G84,销售需求表!A:A,销售需求表!C:C)</f>
        <v/>
      </c>
      <c r="C84" s="345">
        <f>IFERROR(MID(F84,FIND("R",F84)+1,4),"")</f>
        <v/>
      </c>
      <c r="D84" s="344">
        <f>B84&amp;C84&amp;"寸"</f>
        <v/>
      </c>
      <c r="E84" s="346">
        <f>LEFT(REPLACE(G84,1,2,""),FIND("[",REPLACE(G84,1,2,""))-1)&amp;"-"&amp;MID(REPLACE(G84,1,2,""),FIND("[",REPLACE(G84,1,2,""))+1,FIND("]",REPLACE(G84,1,2,""))-FIND("[",REPLACE(G84,1,2,""))-1)</f>
        <v/>
      </c>
      <c r="F84" s="347">
        <f>IFERROR(MID(G84,3,FIND("(",G84)-3)&amp;"-"&amp;SUBSTITUTE(MID(G84,FIND("[",G84)+1,FIND("]",G84)-FIND("[",G84)-1),"Strong Guard ",""),"")</f>
        <v/>
      </c>
      <c r="G84" s="346" t="inlineStr">
        <is>
          <t>ID235/75R17.5-18PR(143/141L)[Strong Guard H-RA]HERCULES无内</t>
        </is>
      </c>
      <c r="H84" s="344" t="n">
        <v>750</v>
      </c>
      <c r="I84" s="348" t="n">
        <v>2</v>
      </c>
      <c r="J84" s="349">
        <f>IFERROR(LEFT(F84,FIND("-",F84))&amp;MID(F84,FIND("PR",F84,FIND("-",F84))+3,LEN(F84)),F84)</f>
        <v/>
      </c>
      <c r="K84" s="352">
        <f>_xlfn.XLOOKUP(F84,投产规格!E:E,投产规格!D:D,"未投产")</f>
        <v/>
      </c>
      <c r="L84" s="352">
        <f>IFERROR(_xlfn.XLOOKUP(F84,硫化工艺!B:B,硫化工艺!C:C),"")</f>
        <v/>
      </c>
      <c r="M84" s="430">
        <f>IF(L84="","",L84/(L84+$L$1/60))</f>
        <v/>
      </c>
      <c r="N84" s="352">
        <f>C84&amp;"全钢"</f>
        <v/>
      </c>
      <c r="O84" s="352">
        <f>IFERROR(_xlfn.XLOOKUP(F84,轮胎重量!J:J,轮胎重量!G:G),"")</f>
        <v/>
      </c>
      <c r="P84" s="352">
        <f>IFERROR(_xlfn.XLOOKUP(G84,硫化工艺!I:I,硫化工艺!J:J),"")</f>
        <v/>
      </c>
      <c r="Q84" s="352">
        <f>IFERROR(ROUND(1440/L84*(I84)*M84,0),"")</f>
        <v/>
      </c>
      <c r="R84" s="352" t="n">
        <v>70</v>
      </c>
      <c r="S84" s="352" t="n">
        <v>70</v>
      </c>
      <c r="T84" s="352" t="n">
        <v>70</v>
      </c>
      <c r="U84" s="352" t="n">
        <v>70</v>
      </c>
      <c r="V84" s="352" t="n">
        <v>70</v>
      </c>
      <c r="W84" s="352" t="n">
        <v>70</v>
      </c>
      <c r="X84" s="352" t="n">
        <v>70</v>
      </c>
      <c r="Y84" s="352" t="n">
        <v>70</v>
      </c>
      <c r="Z84" s="352" t="n">
        <v>70</v>
      </c>
      <c r="AA84" s="352" t="n">
        <v>70</v>
      </c>
      <c r="AB84" s="352" t="n">
        <v>70</v>
      </c>
      <c r="AC84" s="352" t="n">
        <v>70</v>
      </c>
      <c r="AD84" s="352" t="n">
        <v>70</v>
      </c>
      <c r="AE84" s="352" t="n">
        <v>70</v>
      </c>
      <c r="AF84" s="352" t="n">
        <v>70</v>
      </c>
      <c r="AG84" s="352" t="n"/>
      <c r="AH84" s="352" t="n"/>
      <c r="AI84" s="352" t="n"/>
      <c r="AJ84" s="352" t="n"/>
      <c r="AK84" s="352" t="n"/>
      <c r="AL84" s="352" t="n"/>
      <c r="AM84" s="352" t="n"/>
      <c r="AN84" s="352" t="n"/>
      <c r="AO84" s="352" t="n"/>
      <c r="AP84" s="352" t="n"/>
      <c r="AQ84" s="352" t="n"/>
      <c r="AR84" s="352" t="n"/>
      <c r="AS84" s="352" t="n"/>
      <c r="AT84" s="352" t="n"/>
      <c r="AU84" s="352" t="n"/>
      <c r="AV84" s="352" t="n"/>
      <c r="AW84" s="352">
        <f>IF(SUM(R84:AV84)=0,"",SUM(R84:AV84))</f>
        <v/>
      </c>
      <c r="AX84" s="431">
        <f>IFERROR(AW84*O84/1000,"")</f>
        <v/>
      </c>
      <c r="AY84" s="431">
        <f>IFERROR(ROUND(AW84*P84/10000,3),"")</f>
        <v/>
      </c>
      <c r="AZ84" s="359" t="n"/>
      <c r="BA84" s="362" t="n"/>
      <c r="BB84" s="362" t="n"/>
      <c r="BC84" s="331" t="n"/>
      <c r="BD84" s="331" t="n"/>
      <c r="BE84" s="331">
        <f>AZ84*AW84</f>
        <v/>
      </c>
      <c r="BF84" s="331">
        <f>BA84*AW84</f>
        <v/>
      </c>
      <c r="BG84" s="331">
        <f>BB84*AW84</f>
        <v/>
      </c>
      <c r="BH84" s="331">
        <f>BC84*AW84</f>
        <v/>
      </c>
      <c r="BI84" s="331" t="n"/>
      <c r="BJ84" s="356">
        <f t="array" ref="BJ84:BM84">_xlfn.LET(_xlpm.data,$R84:$AV84,_xlpm.starts,{1,8,16,23},_xlpm.lengths,{7,7,8,9},_xlpm.arr,_xlfn.MAP(_xlpm.starts,_xlpm.lengths,_xlfn.LAMBDA(_xlpm.s,_xlpm.l,SUM(INDEX(_xlpm.data,,_xlfn.SEQUENCE(,_xlpm.l,_xlpm.s))))),ROUND(_xlpm.arr*$O84/1000,2))</f>
        <v/>
      </c>
      <c r="BK84" s="331" t="n">
        <v>14.45</v>
      </c>
      <c r="BL84" s="331" t="n">
        <v>0</v>
      </c>
      <c r="BM84" s="331" t="n">
        <v>0</v>
      </c>
      <c r="BN84" s="362">
        <f>SUM(BJ84:BM84)</f>
        <v/>
      </c>
      <c r="BO84" s="362" t="n">
        <v>0</v>
      </c>
      <c r="BP84" s="362" t="n">
        <v>0</v>
      </c>
      <c r="BQ84" s="362" t="n">
        <v>0</v>
      </c>
      <c r="BR84" s="362" t="n">
        <v>0</v>
      </c>
      <c r="BS84" s="115" t="n"/>
      <c r="BT84" s="362">
        <f t="array" ref="BT84:BW84">_xlfn.HSTACK(SUM(INDEX($R84:$AV84,1,1):INDEX($R84:$AV84,1,7)),SUM(INDEX($R84:$AV84,1,7):INDEX($R84:$AV84,1,13)),SUM(INDEX($R84:$AV84,1,16):INDEX($R84:$AV84,1,23)),SUM(INDEX($R84:$AV84,1,23):INDEX($R84:$AV84,1,31)))</f>
        <v/>
      </c>
      <c r="BU84" s="362" t="n">
        <v>490</v>
      </c>
      <c r="BV84" s="362" t="n">
        <v>0</v>
      </c>
      <c r="BW84" s="362" t="n">
        <v>0</v>
      </c>
      <c r="BY84" s="362">
        <f>SUM(R84:X84)</f>
        <v/>
      </c>
      <c r="BZ84" s="362">
        <f>SUM(Y84:AE84)</f>
        <v/>
      </c>
      <c r="CA84" s="362">
        <f>SUM(AF84:AM84)</f>
        <v/>
      </c>
      <c r="CB84" s="362">
        <f>SUM(AN84:AV84)</f>
        <v/>
      </c>
      <c r="CD84" s="432" t="inlineStr">
        <is>
          <t>ADA</t>
        </is>
      </c>
      <c r="CE84" s="362">
        <f>ROUND(BY84*$O84/1000,2)</f>
        <v/>
      </c>
      <c r="CF84" s="362">
        <f>ROUND(BZ84*$O84/1000,2)</f>
        <v/>
      </c>
      <c r="CG84" s="362">
        <f>ROUND(CA84*$O84/1000,2)</f>
        <v/>
      </c>
      <c r="CH84" s="362">
        <f>ROUND(CB84*$O84/1000,2)</f>
        <v/>
      </c>
      <c r="CI84" s="362">
        <f>SUM(CE84:CH84)</f>
        <v/>
      </c>
      <c r="CJ84" s="390" t="n"/>
      <c r="CK84" s="362">
        <f>IFERROR(ROUND(BY84*$P84,2),"")</f>
        <v/>
      </c>
      <c r="CL84" s="362">
        <f>IFERROR(ROUND(BZ84*$P84,2),"")</f>
        <v/>
      </c>
      <c r="CM84" s="362">
        <f>IFERROR(ROUND(CA84*$P84,2),"")</f>
        <v/>
      </c>
      <c r="CN84" s="362">
        <f>IFERROR(ROUND(CB84*$P84,2),"")</f>
        <v/>
      </c>
      <c r="CO84" s="362">
        <f>SUM(CK84:CN84)</f>
        <v/>
      </c>
    </row>
    <row r="85" ht="15.6" customFormat="1" customHeight="1" s="362">
      <c r="A85" s="331" t="n"/>
      <c r="B85" s="344">
        <f>_xlfn.XLOOKUP(G85,销售需求表!A:A,销售需求表!C:C)</f>
        <v/>
      </c>
      <c r="C85" s="345">
        <f>IFERROR(MID(F85,FIND("R",F85)+1,4),"")</f>
        <v/>
      </c>
      <c r="D85" s="344">
        <f>B85&amp;C85&amp;"寸"</f>
        <v/>
      </c>
      <c r="E85" s="346">
        <f>LEFT(REPLACE(G85,1,2,""),FIND("[",REPLACE(G85,1,2,""))-1)&amp;"-"&amp;MID(REPLACE(G85,1,2,""),FIND("[",REPLACE(G85,1,2,""))+1,FIND("]",REPLACE(G85,1,2,""))-FIND("[",REPLACE(G85,1,2,""))-1)</f>
        <v/>
      </c>
      <c r="F85" s="347">
        <f>IFERROR(MID(G85,3,FIND("(",G85)-3)&amp;"-"&amp;SUBSTITUTE(MID(G85,FIND("[",G85)+1,FIND("]",G85)-FIND("[",G85)-1),"Strong Guard ",""),"")</f>
        <v/>
      </c>
      <c r="G85" s="346" t="inlineStr">
        <is>
          <t>ID235/75R17.5-18PR(143/141L)[VA933]VITOUR无内</t>
        </is>
      </c>
      <c r="H85" s="344" t="n">
        <v>500</v>
      </c>
      <c r="I85" s="348" t="n">
        <v>2</v>
      </c>
      <c r="J85" s="349">
        <f>IFERROR(LEFT(F85,FIND("-",F85))&amp;MID(F85,FIND("PR",F85,FIND("-",F85))+3,LEN(F85)),F85)</f>
        <v/>
      </c>
      <c r="K85" s="352">
        <f>_xlfn.XLOOKUP(F85,投产规格!E:E,投产规格!D:D,"未投产")</f>
        <v/>
      </c>
      <c r="L85" s="352">
        <f>IFERROR(_xlfn.XLOOKUP(F85,硫化工艺!B:B,硫化工艺!C:C),"")</f>
        <v/>
      </c>
      <c r="M85" s="430">
        <f>IF(L85="","",L85/(L85+$L$1/60))</f>
        <v/>
      </c>
      <c r="N85" s="352">
        <f>C85&amp;"全钢"</f>
        <v/>
      </c>
      <c r="O85" s="352">
        <f>IFERROR(_xlfn.XLOOKUP(F85,轮胎重量!J:J,轮胎重量!G:G),"")</f>
        <v/>
      </c>
      <c r="P85" s="352">
        <f>IFERROR(_xlfn.XLOOKUP(G85,硫化工艺!I:I,硫化工艺!J:J),"")</f>
        <v/>
      </c>
      <c r="Q85" s="352">
        <f>IFERROR(ROUND(1440/L85*(I85)*M85,0),"")</f>
        <v/>
      </c>
      <c r="R85" s="352" t="n">
        <v>70</v>
      </c>
      <c r="S85" s="352" t="n">
        <v>70</v>
      </c>
      <c r="T85" s="352" t="n">
        <v>70</v>
      </c>
      <c r="U85" s="352" t="n">
        <v>70</v>
      </c>
      <c r="V85" s="352" t="n">
        <v>70</v>
      </c>
      <c r="W85" s="352" t="n">
        <v>70</v>
      </c>
      <c r="X85" s="352" t="n">
        <v>70</v>
      </c>
      <c r="Y85" s="352" t="n">
        <v>70</v>
      </c>
      <c r="Z85" s="352" t="n">
        <v>70</v>
      </c>
      <c r="AA85" s="352" t="n">
        <v>70</v>
      </c>
      <c r="AB85" s="352" t="n">
        <v>70</v>
      </c>
      <c r="AC85" s="352" t="n">
        <v>70</v>
      </c>
      <c r="AD85" s="352" t="n">
        <v>70</v>
      </c>
      <c r="AE85" s="352" t="n"/>
      <c r="AF85" s="352" t="n"/>
      <c r="AG85" s="352" t="n"/>
      <c r="AH85" s="352" t="n"/>
      <c r="AI85" s="352" t="n"/>
      <c r="AJ85" s="352" t="n"/>
      <c r="AK85" s="352" t="n"/>
      <c r="AL85" s="352" t="n"/>
      <c r="AM85" s="352" t="n"/>
      <c r="AN85" s="352" t="n"/>
      <c r="AO85" s="352" t="n"/>
      <c r="AP85" s="352" t="n"/>
      <c r="AQ85" s="352" t="n"/>
      <c r="AR85" s="352" t="n"/>
      <c r="AS85" s="352" t="n"/>
      <c r="AT85" s="352" t="n"/>
      <c r="AU85" s="352" t="n"/>
      <c r="AV85" s="352" t="n"/>
      <c r="AW85" s="352">
        <f>IF(SUM(R85:AV85)=0,"",SUM(R85:AV85))</f>
        <v/>
      </c>
      <c r="AX85" s="431">
        <f>IFERROR(AW85*O85/1000,"")</f>
        <v/>
      </c>
      <c r="AY85" s="431">
        <f>IFERROR(ROUND(AW85*P85/10000,3),"")</f>
        <v/>
      </c>
      <c r="AZ85" s="354" t="n">
        <v>449.18</v>
      </c>
      <c r="BA85" s="355" t="n">
        <v>29.42</v>
      </c>
      <c r="BB85" s="355" t="n">
        <v>49.09</v>
      </c>
      <c r="BC85" s="355" t="n">
        <v>52.13</v>
      </c>
      <c r="BD85" s="331" t="n"/>
      <c r="BE85" s="331">
        <f>AZ85*AW85</f>
        <v/>
      </c>
      <c r="BF85" s="331">
        <f>BA85*AW85</f>
        <v/>
      </c>
      <c r="BG85" s="331">
        <f>BB85*AW85</f>
        <v/>
      </c>
      <c r="BH85" s="331">
        <f>BC85*AW85</f>
        <v/>
      </c>
      <c r="BI85" s="331" t="n"/>
      <c r="BJ85" s="356">
        <f t="array" ref="BJ85:BM85">_xlfn.LET(_xlpm.data,$R85:$AV85,_xlpm.starts,{1,8,16,23},_xlpm.lengths,{7,7,8,9},_xlpm.arr,_xlfn.MAP(_xlpm.starts,_xlpm.lengths,_xlfn.LAMBDA(_xlpm.s,_xlpm.l,SUM(INDEX(_xlpm.data,,_xlfn.SEQUENCE(,_xlpm.l,_xlpm.s))))),ROUND(_xlpm.arr*$O85/1000,2))</f>
        <v/>
      </c>
      <c r="BK85" s="331" t="n">
        <v>12.98</v>
      </c>
      <c r="BL85" s="331" t="n">
        <v>0</v>
      </c>
      <c r="BM85" s="331" t="n">
        <v>0</v>
      </c>
      <c r="BN85" s="362">
        <f>SUM(BJ85:BM85)</f>
        <v/>
      </c>
      <c r="BO85" s="362" t="n">
        <v>22.38</v>
      </c>
      <c r="BP85" s="362" t="n">
        <v>22.38</v>
      </c>
      <c r="BQ85" s="362" t="n">
        <v>25.58</v>
      </c>
      <c r="BR85" s="362" t="n">
        <v>28.77</v>
      </c>
      <c r="BS85" s="115" t="n"/>
      <c r="BT85" s="362">
        <f t="array" ref="BT85:BW85">_xlfn.HSTACK(SUM(INDEX($R85:$AV85,1,1):INDEX($R85:$AV85,1,7)),SUM(INDEX($R85:$AV85,1,7):INDEX($R85:$AV85,1,13)),SUM(INDEX($R85:$AV85,1,16):INDEX($R85:$AV85,1,23)),SUM(INDEX($R85:$AV85,1,23):INDEX($R85:$AV85,1,31)))</f>
        <v/>
      </c>
      <c r="BU85" s="362" t="n">
        <v>490</v>
      </c>
      <c r="BV85" s="362" t="n">
        <v>0</v>
      </c>
      <c r="BW85" s="362" t="n">
        <v>0</v>
      </c>
      <c r="BY85" s="362">
        <f>SUM(R85:X85)</f>
        <v/>
      </c>
      <c r="BZ85" s="362">
        <f>SUM(Y85:AE85)</f>
        <v/>
      </c>
      <c r="CA85" s="362">
        <f>SUM(AF85:AM85)</f>
        <v/>
      </c>
      <c r="CB85" s="362">
        <f>SUM(AN85:AV85)</f>
        <v/>
      </c>
      <c r="CD85" s="432" t="inlineStr">
        <is>
          <t>ADA</t>
        </is>
      </c>
      <c r="CE85" s="362">
        <f>ROUND(BY85*$O85/1000,2)</f>
        <v/>
      </c>
      <c r="CF85" s="362">
        <f>ROUND(BZ85*$O85/1000,2)</f>
        <v/>
      </c>
      <c r="CG85" s="362">
        <f>ROUND(CA85*$O85/1000,2)</f>
        <v/>
      </c>
      <c r="CH85" s="362">
        <f>ROUND(CB85*$O85/1000,2)</f>
        <v/>
      </c>
      <c r="CI85" s="362">
        <f>SUM(CE85:CH85)</f>
        <v/>
      </c>
      <c r="CJ85" s="390" t="n"/>
      <c r="CK85" s="362">
        <f>IFERROR(ROUND(BY85*$P85,2),"")</f>
        <v/>
      </c>
      <c r="CL85" s="362">
        <f>IFERROR(ROUND(BZ85*$P85,2),"")</f>
        <v/>
      </c>
      <c r="CM85" s="362">
        <f>IFERROR(ROUND(CA85*$P85,2),"")</f>
        <v/>
      </c>
      <c r="CN85" s="362">
        <f>IFERROR(ROUND(CB85*$P85,2),"")</f>
        <v/>
      </c>
      <c r="CO85" s="362">
        <f>SUM(CK85:CN85)</f>
        <v/>
      </c>
    </row>
    <row r="86" ht="15.6" customFormat="1" customHeight="1" s="362">
      <c r="A86" s="331" t="n"/>
      <c r="B86" s="344">
        <f>_xlfn.XLOOKUP(G86,销售需求表!A:A,销售需求表!C:C)</f>
        <v/>
      </c>
      <c r="C86" s="345">
        <f>IFERROR(MID(F86,FIND("R",F86)+1,4),"")</f>
        <v/>
      </c>
      <c r="D86" s="344">
        <f>B86&amp;C86&amp;"寸"</f>
        <v/>
      </c>
      <c r="E86" s="346">
        <f>LEFT(REPLACE(G86,1,2,""),FIND("[",REPLACE(G86,1,2,""))-1)&amp;"-"&amp;MID(REPLACE(G86,1,2,""),FIND("[",REPLACE(G86,1,2,""))+1,FIND("]",REPLACE(G86,1,2,""))-FIND("[",REPLACE(G86,1,2,""))-1)</f>
        <v/>
      </c>
      <c r="F86" s="347">
        <f>IFERROR(MID(G86,3,FIND("(",G86)-3)&amp;"-"&amp;SUBSTITUTE(MID(G86,FIND("[",G86)+1,FIND("]",G86)-FIND("[",G86)-1),"Strong Guard ",""),"")</f>
        <v/>
      </c>
      <c r="G86" s="346" t="inlineStr">
        <is>
          <t>ID245/70R17.5-18PR(143/141J)[AP-7318]VANTAGE无内</t>
        </is>
      </c>
      <c r="H86" s="344" t="n">
        <v>1000</v>
      </c>
      <c r="I86" s="348" t="n"/>
      <c r="J86" s="349">
        <f>IFERROR(LEFT(F86,FIND("-",F86))&amp;MID(F86,FIND("PR",F86,FIND("-",F86))+3,LEN(F86)),F86)</f>
        <v/>
      </c>
      <c r="K86" s="352">
        <f>_xlfn.XLOOKUP(F86,投产规格!E:E,投产规格!D:D,"未投产")</f>
        <v/>
      </c>
      <c r="L86" s="352">
        <f>IFERROR(_xlfn.XLOOKUP(F86,硫化工艺!B:B,硫化工艺!C:C),"")</f>
        <v/>
      </c>
      <c r="M86" s="430">
        <f>IF(L86="","",L86/(L86+$L$1/60))</f>
        <v/>
      </c>
      <c r="N86" s="352">
        <f>C86&amp;"全钢"</f>
        <v/>
      </c>
      <c r="O86" s="352">
        <f>IFERROR(_xlfn.XLOOKUP(F86,轮胎重量!J:J,轮胎重量!G:G),"")</f>
        <v/>
      </c>
      <c r="P86" s="352">
        <f>IFERROR(_xlfn.XLOOKUP(G86,硫化工艺!I:I,硫化工艺!J:J),"")</f>
        <v/>
      </c>
      <c r="Q86" s="352">
        <f>IFERROR(ROUND(1440/L86*(I86)*M86,0),"")</f>
        <v/>
      </c>
      <c r="R86" s="352" t="n"/>
      <c r="S86" s="352" t="n"/>
      <c r="T86" s="352" t="n"/>
      <c r="U86" s="352" t="n"/>
      <c r="V86" s="352" t="n"/>
      <c r="W86" s="352" t="n"/>
      <c r="X86" s="352" t="n"/>
      <c r="Y86" s="352" t="n"/>
      <c r="Z86" s="352" t="n"/>
      <c r="AA86" s="352" t="n"/>
      <c r="AB86" s="352" t="n"/>
      <c r="AC86" s="352" t="n"/>
      <c r="AD86" s="352" t="n"/>
      <c r="AE86" s="352" t="n">
        <v>70</v>
      </c>
      <c r="AF86" s="352" t="n">
        <v>70</v>
      </c>
      <c r="AG86" s="352" t="n">
        <v>70</v>
      </c>
      <c r="AH86" s="352" t="n">
        <v>70</v>
      </c>
      <c r="AI86" s="352" t="n">
        <v>70</v>
      </c>
      <c r="AJ86" s="352" t="n">
        <v>70</v>
      </c>
      <c r="AK86" s="352" t="n">
        <v>70</v>
      </c>
      <c r="AL86" s="352" t="n">
        <v>70</v>
      </c>
      <c r="AM86" s="352" t="n">
        <v>70</v>
      </c>
      <c r="AN86" s="352" t="n">
        <v>70</v>
      </c>
      <c r="AO86" s="352" t="n">
        <v>70</v>
      </c>
      <c r="AP86" s="352" t="n">
        <v>70</v>
      </c>
      <c r="AQ86" s="352" t="n">
        <v>70</v>
      </c>
      <c r="AR86" s="352" t="n">
        <v>70</v>
      </c>
      <c r="AS86" s="352" t="n">
        <v>70</v>
      </c>
      <c r="AT86" s="352" t="n">
        <v>70</v>
      </c>
      <c r="AU86" s="352" t="n">
        <v>70</v>
      </c>
      <c r="AV86" s="352" t="n">
        <v>70</v>
      </c>
      <c r="AW86" s="352">
        <f>IF(SUM(R86:AV86)=0,"",SUM(R86:AV86))</f>
        <v/>
      </c>
      <c r="AX86" s="431">
        <f>IFERROR(AW86*O86/1000,"")</f>
        <v/>
      </c>
      <c r="AY86" s="431">
        <f>IFERROR(ROUND(AW86*P86/10000,3),"")</f>
        <v/>
      </c>
      <c r="AZ86" s="354" t="n">
        <v>449.18</v>
      </c>
      <c r="BA86" s="355" t="n">
        <v>29.42</v>
      </c>
      <c r="BB86" s="355" t="n">
        <v>49.09</v>
      </c>
      <c r="BC86" s="355" t="n">
        <v>52.13</v>
      </c>
      <c r="BD86" s="331" t="n"/>
      <c r="BE86" s="331">
        <f>AZ86*AW86</f>
        <v/>
      </c>
      <c r="BF86" s="331">
        <f>BA86*AW86</f>
        <v/>
      </c>
      <c r="BG86" s="331">
        <f>BB86*AW86</f>
        <v/>
      </c>
      <c r="BH86" s="331">
        <f>BC86*AW86</f>
        <v/>
      </c>
      <c r="BI86" s="331" t="n"/>
      <c r="BJ86" s="356">
        <f t="array" ref="BJ86:BM86">_xlfn.LET(_xlpm.data,$R86:$AV86,_xlpm.starts,{1,8,16,23},_xlpm.lengths,{7,7,8,9},_xlpm.arr,_xlfn.MAP(_xlpm.starts,_xlpm.lengths,_xlfn.LAMBDA(_xlpm.s,_xlpm.l,SUM(INDEX(_xlpm.data,,_xlfn.SEQUENCE(,_xlpm.l,_xlpm.s))))),ROUND(_xlpm.arr*$O86/1000,2))</f>
        <v/>
      </c>
      <c r="BK86" s="331" t="n">
        <v>2.41</v>
      </c>
      <c r="BL86" s="331" t="n">
        <v>19.29</v>
      </c>
      <c r="BM86" s="331" t="n">
        <v>21.7</v>
      </c>
      <c r="BN86" s="362">
        <f>SUM(BJ86:BM86)</f>
        <v/>
      </c>
      <c r="BO86" s="362" t="n">
        <v>20.87</v>
      </c>
      <c r="BP86" s="362" t="n">
        <v>20.87</v>
      </c>
      <c r="BQ86" s="362" t="n">
        <v>23.85</v>
      </c>
      <c r="BR86" s="362" t="n">
        <v>26.84</v>
      </c>
      <c r="BS86" s="115" t="n"/>
      <c r="BT86" s="362">
        <f t="array" ref="BT86:BW86">_xlfn.HSTACK(SUM(INDEX($R86:$AV86,1,1):INDEX($R86:$AV86,1,7)),SUM(INDEX($R86:$AV86,1,7):INDEX($R86:$AV86,1,13)),SUM(INDEX($R86:$AV86,1,16):INDEX($R86:$AV86,1,23)),SUM(INDEX($R86:$AV86,1,23):INDEX($R86:$AV86,1,31)))</f>
        <v/>
      </c>
      <c r="BU86" s="362" t="n">
        <v>0</v>
      </c>
      <c r="BV86" s="362" t="n">
        <v>560</v>
      </c>
      <c r="BW86" s="362" t="n">
        <v>630</v>
      </c>
      <c r="BY86" s="362">
        <f>SUM(R86:X86)</f>
        <v/>
      </c>
      <c r="BZ86" s="362">
        <f>SUM(Y86:AE86)</f>
        <v/>
      </c>
      <c r="CA86" s="362">
        <f>SUM(AF86:AM86)</f>
        <v/>
      </c>
      <c r="CB86" s="362">
        <f>SUM(AN86:AV86)</f>
        <v/>
      </c>
      <c r="CD86" s="432" t="inlineStr">
        <is>
          <t>ADA</t>
        </is>
      </c>
      <c r="CE86" s="362">
        <f>ROUND(BY86*$O86/1000,2)</f>
        <v/>
      </c>
      <c r="CF86" s="362">
        <f>ROUND(BZ86*$O86/1000,2)</f>
        <v/>
      </c>
      <c r="CG86" s="362">
        <f>ROUND(CA86*$O86/1000,2)</f>
        <v/>
      </c>
      <c r="CH86" s="362">
        <f>ROUND(CB86*$O86/1000,2)</f>
        <v/>
      </c>
      <c r="CI86" s="362">
        <f>SUM(CE86:CH86)</f>
        <v/>
      </c>
      <c r="CJ86" s="390" t="n"/>
      <c r="CK86" s="362">
        <f>IFERROR(ROUND(BY86*$P86,2),"")</f>
        <v/>
      </c>
      <c r="CL86" s="362">
        <f>IFERROR(ROUND(BZ86*$P86,2),"")</f>
        <v/>
      </c>
      <c r="CM86" s="362">
        <f>IFERROR(ROUND(CA86*$P86,2),"")</f>
        <v/>
      </c>
      <c r="CN86" s="362">
        <f>IFERROR(ROUND(CB86*$P86,2),"")</f>
        <v/>
      </c>
      <c r="CO86" s="362">
        <f>SUM(CK86:CN86)</f>
        <v/>
      </c>
    </row>
    <row r="87" ht="15.6" customFormat="1" customHeight="1" s="362">
      <c r="A87" s="331" t="n"/>
      <c r="B87" s="344">
        <f>_xlfn.XLOOKUP(G87,销售需求表!A:A,销售需求表!C:C)</f>
        <v/>
      </c>
      <c r="C87" s="345">
        <f>IFERROR(MID(F87,FIND("R",F87)+1,4),"")</f>
        <v/>
      </c>
      <c r="D87" s="344">
        <f>B87&amp;C87&amp;"寸"</f>
        <v/>
      </c>
      <c r="E87" s="346">
        <f>LEFT(REPLACE(G87,1,2,""),FIND("[",REPLACE(G87,1,2,""))-1)&amp;"-"&amp;MID(REPLACE(G87,1,2,""),FIND("[",REPLACE(G87,1,2,""))+1,FIND("]",REPLACE(G87,1,2,""))-FIND("[",REPLACE(G87,1,2,""))-1)</f>
        <v/>
      </c>
      <c r="F87" s="347">
        <f>IFERROR(MID(G87,3,FIND("(",G87)-3)&amp;"-"&amp;SUBSTITUTE(MID(G87,FIND("[",G87)+1,FIND("]",G87)-FIND("[",G87)-1),"Strong Guard ",""),"")</f>
        <v/>
      </c>
      <c r="G87" s="346" t="inlineStr">
        <is>
          <t>ID245/70R17.5-18PR(143/141J)[I-19A]IRONMAN无内</t>
        </is>
      </c>
      <c r="H87" s="344" t="n">
        <v>500</v>
      </c>
      <c r="I87" s="348" t="n"/>
      <c r="J87" s="349">
        <f>IFERROR(LEFT(F87,FIND("-",F87))&amp;MID(F87,FIND("PR",F87,FIND("-",F87))+3,LEN(F87)),F87)</f>
        <v/>
      </c>
      <c r="K87" s="352">
        <f>_xlfn.XLOOKUP(F87,投产规格!E:E,投产规格!D:D,"未投产")</f>
        <v/>
      </c>
      <c r="L87" s="352">
        <f>IFERROR(_xlfn.XLOOKUP(F87,硫化工艺!B:B,硫化工艺!C:C),"")</f>
        <v/>
      </c>
      <c r="M87" s="430">
        <f>IF(L87="","",L87/(L87+$L$1/60))</f>
        <v/>
      </c>
      <c r="N87" s="352">
        <f>C87&amp;"全钢"</f>
        <v/>
      </c>
      <c r="O87" s="352">
        <f>IFERROR(_xlfn.XLOOKUP(F87,轮胎重量!J:J,轮胎重量!G:G),"")</f>
        <v/>
      </c>
      <c r="P87" s="352">
        <f>IFERROR(_xlfn.XLOOKUP(G87,硫化工艺!I:I,硫化工艺!J:J),"")</f>
        <v/>
      </c>
      <c r="Q87" s="352">
        <f>IFERROR(ROUND(1440/L87*(I87)*M87,0),"")</f>
        <v/>
      </c>
      <c r="R87" s="352" t="n"/>
      <c r="S87" s="352" t="n"/>
      <c r="T87" s="352" t="n"/>
      <c r="U87" s="352" t="n"/>
      <c r="V87" s="352" t="n"/>
      <c r="W87" s="352" t="n"/>
      <c r="X87" s="352" t="n"/>
      <c r="Y87" s="352" t="n"/>
      <c r="Z87" s="352" t="n"/>
      <c r="AA87" s="352" t="n"/>
      <c r="AB87" s="352" t="n"/>
      <c r="AC87" s="352" t="n"/>
      <c r="AD87" s="352" t="n"/>
      <c r="AE87" s="352" t="n"/>
      <c r="AF87" s="352" t="n"/>
      <c r="AG87" s="352" t="n">
        <v>70</v>
      </c>
      <c r="AH87" s="352" t="n">
        <v>70</v>
      </c>
      <c r="AI87" s="352" t="n">
        <v>70</v>
      </c>
      <c r="AJ87" s="352" t="n">
        <v>70</v>
      </c>
      <c r="AK87" s="352" t="n">
        <v>70</v>
      </c>
      <c r="AL87" s="352" t="n">
        <v>70</v>
      </c>
      <c r="AM87" s="352" t="n">
        <v>70</v>
      </c>
      <c r="AN87" s="352" t="n">
        <v>70</v>
      </c>
      <c r="AO87" s="352" t="n">
        <v>70</v>
      </c>
      <c r="AP87" s="352" t="n">
        <v>70</v>
      </c>
      <c r="AQ87" s="352" t="n">
        <v>70</v>
      </c>
      <c r="AR87" s="352" t="n">
        <v>70</v>
      </c>
      <c r="AS87" s="352" t="n">
        <v>70</v>
      </c>
      <c r="AT87" s="352" t="n">
        <v>70</v>
      </c>
      <c r="AU87" s="352" t="n">
        <v>70</v>
      </c>
      <c r="AV87" s="352" t="n">
        <v>70</v>
      </c>
      <c r="AW87" s="352">
        <f>IF(SUM(R87:AV87)=0,"",SUM(R87:AV87))</f>
        <v/>
      </c>
      <c r="AX87" s="431">
        <f>IFERROR(AW87*O87/1000,"")</f>
        <v/>
      </c>
      <c r="AY87" s="431">
        <f>IFERROR(ROUND(AW87*P87/10000,3),"")</f>
        <v/>
      </c>
      <c r="AZ87" s="354" t="n">
        <v>449.18</v>
      </c>
      <c r="BA87" s="355" t="n">
        <v>29.42</v>
      </c>
      <c r="BB87" s="355" t="n">
        <v>49.09</v>
      </c>
      <c r="BC87" s="355" t="n">
        <v>52.13</v>
      </c>
      <c r="BD87" s="331" t="n"/>
      <c r="BE87" s="331">
        <f>AZ87*AW87</f>
        <v/>
      </c>
      <c r="BF87" s="331">
        <f>BA87*AW87</f>
        <v/>
      </c>
      <c r="BG87" s="331">
        <f>BB87*AW87</f>
        <v/>
      </c>
      <c r="BH87" s="331">
        <f>BC87*AW87</f>
        <v/>
      </c>
      <c r="BI87" s="331" t="n"/>
      <c r="BJ87" s="356">
        <f t="array" ref="BJ87:BM87">_xlfn.LET(_xlpm.data,$R87:$AV87,_xlpm.starts,{1,8,16,23},_xlpm.lengths,{7,7,8,9},_xlpm.arr,_xlfn.MAP(_xlpm.starts,_xlpm.lengths,_xlfn.LAMBDA(_xlpm.s,_xlpm.l,SUM(INDEX(_xlpm.data,,_xlfn.SEQUENCE(,_xlpm.l,_xlpm.s))))),ROUND(_xlpm.arr*$O87/1000,2))</f>
        <v/>
      </c>
      <c r="BK87" s="331" t="n">
        <v>0</v>
      </c>
      <c r="BL87" s="331" t="n">
        <v>18.69</v>
      </c>
      <c r="BM87" s="331" t="n">
        <v>21.03</v>
      </c>
      <c r="BN87" s="362">
        <f>SUM(BJ87:BM87)</f>
        <v/>
      </c>
      <c r="BO87" s="362" t="n">
        <v>22.38</v>
      </c>
      <c r="BP87" s="362" t="n">
        <v>22.38</v>
      </c>
      <c r="BQ87" s="362" t="n">
        <v>25.58</v>
      </c>
      <c r="BR87" s="362" t="n">
        <v>28.77</v>
      </c>
      <c r="BS87" s="115" t="n"/>
      <c r="BT87" s="362">
        <f t="array" ref="BT87:BW87">_xlfn.HSTACK(SUM(INDEX($R87:$AV87,1,1):INDEX($R87:$AV87,1,7)),SUM(INDEX($R87:$AV87,1,7):INDEX($R87:$AV87,1,13)),SUM(INDEX($R87:$AV87,1,16):INDEX($R87:$AV87,1,23)),SUM(INDEX($R87:$AV87,1,23):INDEX($R87:$AV87,1,31)))</f>
        <v/>
      </c>
      <c r="BU87" s="362" t="n">
        <v>0</v>
      </c>
      <c r="BV87" s="362" t="n">
        <v>560</v>
      </c>
      <c r="BW87" s="362" t="n">
        <v>630</v>
      </c>
      <c r="BY87" s="362">
        <f>SUM(R87:X87)</f>
        <v/>
      </c>
      <c r="BZ87" s="362">
        <f>SUM(Y87:AE87)</f>
        <v/>
      </c>
      <c r="CA87" s="362">
        <f>SUM(AF87:AM87)</f>
        <v/>
      </c>
      <c r="CB87" s="362">
        <f>SUM(AN87:AV87)</f>
        <v/>
      </c>
      <c r="CD87" s="432" t="inlineStr">
        <is>
          <t>ADA</t>
        </is>
      </c>
      <c r="CE87" s="362">
        <f>ROUND(BY87*$O87/1000,2)</f>
        <v/>
      </c>
      <c r="CF87" s="362">
        <f>ROUND(BZ87*$O87/1000,2)</f>
        <v/>
      </c>
      <c r="CG87" s="362">
        <f>ROUND(CA87*$O87/1000,2)</f>
        <v/>
      </c>
      <c r="CH87" s="362">
        <f>ROUND(CB87*$O87/1000,2)</f>
        <v/>
      </c>
      <c r="CI87" s="362">
        <f>SUM(CE87:CH87)</f>
        <v/>
      </c>
      <c r="CJ87" s="390" t="n"/>
      <c r="CK87" s="362">
        <f>IFERROR(ROUND(BY87*$P87,2),"")</f>
        <v/>
      </c>
      <c r="CL87" s="362">
        <f>IFERROR(ROUND(BZ87*$P87,2),"")</f>
        <v/>
      </c>
      <c r="CM87" s="362">
        <f>IFERROR(ROUND(CA87*$P87,2),"")</f>
        <v/>
      </c>
      <c r="CN87" s="362">
        <f>IFERROR(ROUND(CB87*$P87,2),"")</f>
        <v/>
      </c>
      <c r="CO87" s="362">
        <f>SUM(CK87:CN87)</f>
        <v/>
      </c>
    </row>
    <row r="88" ht="15.6" customFormat="1" customHeight="1" s="362">
      <c r="A88" s="331" t="n"/>
      <c r="B88" s="344">
        <f>_xlfn.XLOOKUP(G88,销售需求表!A:A,销售需求表!C:C)</f>
        <v/>
      </c>
      <c r="C88" s="345">
        <f>IFERROR(MID(F88,FIND("R",F88)+1,4),"")</f>
        <v/>
      </c>
      <c r="D88" s="344">
        <f>B88&amp;C88&amp;"寸"</f>
        <v/>
      </c>
      <c r="E88" s="346">
        <f>LEFT(REPLACE(G88,1,2,""),FIND("[",REPLACE(G88,1,2,""))-1)&amp;"-"&amp;MID(REPLACE(G88,1,2,""),FIND("[",REPLACE(G88,1,2,""))+1,FIND("]",REPLACE(G88,1,2,""))-FIND("[",REPLACE(G88,1,2,""))-1)</f>
        <v/>
      </c>
      <c r="F88" s="347">
        <f>IFERROR(MID(G88,3,FIND("(",G88)-3)&amp;"-"&amp;SUBSTITUTE(MID(G88,FIND("[",G88)+1,FIND("]",G88)-FIND("[",G88)-1),"Strong Guard ",""),"")</f>
        <v/>
      </c>
      <c r="G88" s="361" t="inlineStr">
        <is>
          <t>ID225/70R19.5-14PR(128/126L)[CM983]威狮无内</t>
        </is>
      </c>
      <c r="H88" s="344" t="n">
        <v>220</v>
      </c>
      <c r="I88" s="348" t="n"/>
      <c r="J88" s="349">
        <f>IFERROR(LEFT(F88,FIND("-",F88))&amp;MID(F88,FIND("PR",F88,FIND("-",F88))+3,LEN(F88)),F88)</f>
        <v/>
      </c>
      <c r="K88" s="352">
        <f>_xlfn.XLOOKUP(F88,投产规格!E:E,投产规格!D:D,"未投产")</f>
        <v/>
      </c>
      <c r="L88" s="352">
        <f>IFERROR(_xlfn.XLOOKUP(F88,硫化工艺!B:B,硫化工艺!C:C),"")</f>
        <v/>
      </c>
      <c r="M88" s="430">
        <f>IF(L88="","",L88/(L88+$L$1/60))</f>
        <v/>
      </c>
      <c r="N88" s="352">
        <f>C88&amp;"全钢"</f>
        <v/>
      </c>
      <c r="O88" s="352">
        <f>IFERROR(_xlfn.XLOOKUP(F88,轮胎重量!J:J,轮胎重量!G:G),"")</f>
        <v/>
      </c>
      <c r="P88" s="358">
        <f>O88*13.9</f>
        <v/>
      </c>
      <c r="Q88" s="352">
        <f>IFERROR(ROUND(1440/L88*(I88)*M88,0),"")</f>
        <v/>
      </c>
      <c r="R88" s="352" t="n"/>
      <c r="S88" s="352" t="n"/>
      <c r="T88" s="352" t="n"/>
      <c r="U88" s="352" t="n"/>
      <c r="V88" s="352" t="n"/>
      <c r="W88" s="352" t="n"/>
      <c r="X88" s="352" t="n"/>
      <c r="Y88" s="352" t="n"/>
      <c r="Z88" s="352" t="n"/>
      <c r="AA88" s="352" t="n"/>
      <c r="AB88" s="352" t="n"/>
      <c r="AC88" s="352" t="n"/>
      <c r="AD88" s="352" t="n"/>
      <c r="AE88" s="352" t="n"/>
      <c r="AF88" s="352" t="n"/>
      <c r="AG88" s="352" t="n">
        <v>70</v>
      </c>
      <c r="AH88" s="352" t="n">
        <v>70</v>
      </c>
      <c r="AI88" s="352" t="n">
        <v>70</v>
      </c>
      <c r="AJ88" s="352" t="n">
        <v>70</v>
      </c>
      <c r="AK88" s="352" t="n"/>
      <c r="AL88" s="352" t="n"/>
      <c r="AM88" s="352" t="n"/>
      <c r="AN88" s="352" t="n"/>
      <c r="AO88" s="352" t="n"/>
      <c r="AP88" s="352" t="n"/>
      <c r="AQ88" s="352" t="n"/>
      <c r="AR88" s="352" t="n"/>
      <c r="AS88" s="352" t="n"/>
      <c r="AT88" s="352" t="n"/>
      <c r="AU88" s="352" t="n"/>
      <c r="AV88" s="352" t="n"/>
      <c r="AW88" s="352">
        <f>IF(SUM(R88:AV88)=0,"",SUM(R88:AV88))</f>
        <v/>
      </c>
      <c r="AX88" s="431">
        <f>IFERROR(AW88*O88/1000,"")</f>
        <v/>
      </c>
      <c r="AY88" s="431">
        <f>IFERROR(ROUND(AW88*P88/10000,3),"")</f>
        <v/>
      </c>
      <c r="AZ88" s="354" t="n">
        <v>449.18</v>
      </c>
      <c r="BA88" s="355" t="n">
        <v>29.42</v>
      </c>
      <c r="BB88" s="355" t="n">
        <v>49.09</v>
      </c>
      <c r="BC88" s="355" t="n">
        <v>52.13</v>
      </c>
      <c r="BD88" s="331" t="n"/>
      <c r="BE88" s="331">
        <f>AZ88*AW88</f>
        <v/>
      </c>
      <c r="BF88" s="331">
        <f>BA88*AW88</f>
        <v/>
      </c>
      <c r="BG88" s="331">
        <f>BB88*AW88</f>
        <v/>
      </c>
      <c r="BH88" s="331">
        <f>BC88*AW88</f>
        <v/>
      </c>
      <c r="BI88" s="331" t="n"/>
      <c r="BJ88" s="356">
        <f t="array" ref="BJ88:BM88">_xlfn.LET(_xlpm.data,$R88:$AV88,_xlpm.starts,{1,8,16,23},_xlpm.lengths,{7,7,8,9},_xlpm.arr,_xlfn.MAP(_xlpm.starts,_xlpm.lengths,_xlfn.LAMBDA(_xlpm.s,_xlpm.l,SUM(INDEX(_xlpm.data,,_xlfn.SEQUENCE(,_xlpm.l,_xlpm.s))))),ROUND(_xlpm.arr*$O88/1000,2))</f>
        <v/>
      </c>
      <c r="BK88" s="331" t="n">
        <v>0</v>
      </c>
      <c r="BL88" s="331" t="n">
        <v>8.34</v>
      </c>
      <c r="BM88" s="331" t="n">
        <v>0</v>
      </c>
      <c r="BN88" s="362">
        <f>SUM(BJ88:BM88)</f>
        <v/>
      </c>
      <c r="BO88" s="362" t="n">
        <v>20.87</v>
      </c>
      <c r="BP88" s="362" t="n">
        <v>20.87</v>
      </c>
      <c r="BQ88" s="362" t="n">
        <v>23.85</v>
      </c>
      <c r="BR88" s="362" t="n">
        <v>26.84</v>
      </c>
      <c r="BS88" s="115" t="n"/>
      <c r="BT88" s="362">
        <f t="array" ref="BT88:BW88">_xlfn.HSTACK(SUM(INDEX($R88:$AV88,1,1):INDEX($R88:$AV88,1,7)),SUM(INDEX($R88:$AV88,1,7):INDEX($R88:$AV88,1,13)),SUM(INDEX($R88:$AV88,1,16):INDEX($R88:$AV88,1,23)),SUM(INDEX($R88:$AV88,1,23):INDEX($R88:$AV88,1,31)))</f>
        <v/>
      </c>
      <c r="BU88" s="362" t="n">
        <v>0</v>
      </c>
      <c r="BV88" s="362" t="n">
        <v>280</v>
      </c>
      <c r="BW88" s="362" t="n">
        <v>0</v>
      </c>
      <c r="BY88" s="362">
        <f>SUM(R88:X88)</f>
        <v/>
      </c>
      <c r="BZ88" s="362">
        <f>SUM(Y88:AE88)</f>
        <v/>
      </c>
      <c r="CA88" s="362">
        <f>SUM(AF88:AM88)</f>
        <v/>
      </c>
      <c r="CB88" s="362">
        <f>SUM(AN88:AV88)</f>
        <v/>
      </c>
      <c r="CD88" s="432" t="inlineStr">
        <is>
          <t>ADA</t>
        </is>
      </c>
      <c r="CE88" s="362">
        <f>ROUND(BY88*$O88/1000,2)</f>
        <v/>
      </c>
      <c r="CF88" s="362">
        <f>ROUND(BZ88*$O88/1000,2)</f>
        <v/>
      </c>
      <c r="CG88" s="362">
        <f>ROUND(CA88*$O88/1000,2)</f>
        <v/>
      </c>
      <c r="CH88" s="362">
        <f>ROUND(CB88*$O88/1000,2)</f>
        <v/>
      </c>
      <c r="CI88" s="362">
        <f>SUM(CE88:CH88)</f>
        <v/>
      </c>
      <c r="CJ88" s="390" t="n"/>
      <c r="CK88" s="362">
        <f>IFERROR(ROUND(BY88*$P88,2),"")</f>
        <v/>
      </c>
      <c r="CL88" s="362">
        <f>IFERROR(ROUND(BZ88*$P88,2),"")</f>
        <v/>
      </c>
      <c r="CM88" s="362">
        <f>IFERROR(ROUND(CA88*$P88,2),"")</f>
        <v/>
      </c>
      <c r="CN88" s="362">
        <f>IFERROR(ROUND(CB88*$P88,2),"")</f>
        <v/>
      </c>
      <c r="CO88" s="362">
        <f>SUM(CK88:CN88)</f>
        <v/>
      </c>
    </row>
    <row r="89" ht="15.6" customFormat="1" customHeight="1" s="362">
      <c r="A89" s="331" t="n"/>
      <c r="B89" s="344">
        <f>_xlfn.XLOOKUP(G89,销售需求表!A:A,销售需求表!C:C)</f>
        <v/>
      </c>
      <c r="C89" s="345">
        <f>IFERROR(MID(F89,FIND("R",F89)+1,4),"")</f>
        <v/>
      </c>
      <c r="D89" s="344">
        <f>B89&amp;C89&amp;"寸"</f>
        <v/>
      </c>
      <c r="E89" s="346">
        <f>LEFT(REPLACE(G89,1,2,""),FIND("[",REPLACE(G89,1,2,""))-1)&amp;"-"&amp;MID(REPLACE(G89,1,2,""),FIND("[",REPLACE(G89,1,2,""))+1,FIND("]",REPLACE(G89,1,2,""))-FIND("[",REPLACE(G89,1,2,""))-1)</f>
        <v/>
      </c>
      <c r="F89" s="347">
        <f>IFERROR(MID(G89,3,FIND("(",G89)-3)&amp;"-"&amp;SUBSTITUTE(MID(G89,FIND("[",G89)+1,FIND("]",G89)-FIND("[",G89)-1),"Strong Guard ",""),"")</f>
        <v/>
      </c>
      <c r="G89" s="361" t="inlineStr">
        <is>
          <t>ID225/70R19.5-14PR(128/126L)[I-208]IRONMAN无内</t>
        </is>
      </c>
      <c r="H89" s="344" t="n">
        <v>2900</v>
      </c>
      <c r="I89" s="348" t="n"/>
      <c r="J89" s="349">
        <f>IFERROR(LEFT(F89,FIND("-",F89))&amp;MID(F89,FIND("PR",F89,FIND("-",F89))+3,LEN(F89)),F89)</f>
        <v/>
      </c>
      <c r="K89" s="352">
        <f>_xlfn.XLOOKUP(F89,投产规格!E:E,投产规格!D:D,"未投产")</f>
        <v/>
      </c>
      <c r="L89" s="352">
        <f>IFERROR(_xlfn.XLOOKUP(F89,硫化工艺!B:B,硫化工艺!C:C),"")</f>
        <v/>
      </c>
      <c r="M89" s="430">
        <f>IF(L89="","",L89/(L89+$L$1/60))</f>
        <v/>
      </c>
      <c r="N89" s="352">
        <f>C89&amp;"全钢"</f>
        <v/>
      </c>
      <c r="O89" s="352">
        <f>IFERROR(_xlfn.XLOOKUP(F89,轮胎重量!J:J,轮胎重量!G:G),"")</f>
        <v/>
      </c>
      <c r="P89" s="352">
        <f>IFERROR(_xlfn.XLOOKUP(G89,硫化工艺!I:I,硫化工艺!J:J),"")</f>
        <v/>
      </c>
      <c r="Q89" s="352">
        <f>IFERROR(ROUND(1440/L89*(I89)*M89,0),"")</f>
        <v/>
      </c>
      <c r="R89" s="352" t="n"/>
      <c r="S89" s="352" t="n"/>
      <c r="T89" s="352" t="n"/>
      <c r="U89" s="352" t="n"/>
      <c r="V89" s="352" t="n"/>
      <c r="W89" s="352" t="n"/>
      <c r="X89" s="352" t="n"/>
      <c r="Y89" s="352" t="n"/>
      <c r="Z89" s="352" t="n"/>
      <c r="AA89" s="352" t="n"/>
      <c r="AB89" s="352" t="n"/>
      <c r="AC89" s="352" t="n"/>
      <c r="AD89" s="352" t="n"/>
      <c r="AE89" s="352" t="n"/>
      <c r="AF89" s="352" t="n"/>
      <c r="AG89" s="352" t="n">
        <v>70</v>
      </c>
      <c r="AH89" s="352" t="n">
        <v>70</v>
      </c>
      <c r="AI89" s="352" t="n">
        <v>70</v>
      </c>
      <c r="AJ89" s="352" t="n">
        <v>70</v>
      </c>
      <c r="AK89" s="352" t="n">
        <v>70</v>
      </c>
      <c r="AL89" s="352" t="n">
        <v>70</v>
      </c>
      <c r="AM89" s="352" t="n">
        <v>70</v>
      </c>
      <c r="AN89" s="352" t="n">
        <v>70</v>
      </c>
      <c r="AO89" s="352" t="n">
        <v>70</v>
      </c>
      <c r="AP89" s="352" t="n">
        <v>70</v>
      </c>
      <c r="AQ89" s="352" t="n">
        <v>70</v>
      </c>
      <c r="AR89" s="352" t="n">
        <v>70</v>
      </c>
      <c r="AS89" s="352" t="n">
        <v>70</v>
      </c>
      <c r="AT89" s="352" t="n">
        <v>70</v>
      </c>
      <c r="AU89" s="352" t="n">
        <v>70</v>
      </c>
      <c r="AV89" s="352" t="n">
        <v>70</v>
      </c>
      <c r="AW89" s="352">
        <f>IF(SUM(R89:AV89)=0,"",SUM(R89:AV89))</f>
        <v/>
      </c>
      <c r="AX89" s="431">
        <f>IFERROR(AW89*O89/1000,"")</f>
        <v/>
      </c>
      <c r="AY89" s="431">
        <f>IFERROR(ROUND(AW89*P89/10000,3),"")</f>
        <v/>
      </c>
      <c r="AZ89" s="359" t="n"/>
      <c r="BA89" s="362" t="n"/>
      <c r="BB89" s="362" t="n"/>
      <c r="BC89" s="331" t="n"/>
      <c r="BD89" s="331" t="n"/>
      <c r="BE89" s="331" t="n"/>
      <c r="BF89" s="331" t="n"/>
      <c r="BG89" s="331" t="n"/>
      <c r="BH89" s="331" t="n"/>
      <c r="BI89" s="331" t="n"/>
      <c r="BJ89" s="356">
        <f t="array" ref="BJ89:BM89">_xlfn.LET(_xlpm.data,$R89:$AV89,_xlpm.starts,{1,8,16,23},_xlpm.lengths,{7,7,8,9},_xlpm.arr,_xlfn.MAP(_xlpm.starts,_xlpm.lengths,_xlfn.LAMBDA(_xlpm.s,_xlpm.l,SUM(INDEX(_xlpm.data,,_xlfn.SEQUENCE(,_xlpm.l,_xlpm.s))))),ROUND(_xlpm.arr*$O89/1000,2))</f>
        <v/>
      </c>
      <c r="BK89" s="331" t="n">
        <v>0</v>
      </c>
      <c r="BL89" s="331" t="n">
        <v>16.67</v>
      </c>
      <c r="BM89" s="331" t="n">
        <v>18.75</v>
      </c>
      <c r="BN89" s="362">
        <f>SUM(BJ89:BM89)</f>
        <v/>
      </c>
      <c r="BO89" s="362" t="n">
        <v>0</v>
      </c>
      <c r="BP89" s="362" t="n">
        <v>0.5</v>
      </c>
      <c r="BQ89" s="362" t="n">
        <v>0</v>
      </c>
      <c r="BR89" s="362" t="n">
        <v>11.08</v>
      </c>
      <c r="BS89" s="115" t="n"/>
      <c r="BT89" s="362">
        <f t="array" ref="BT89:BW89">_xlfn.HSTACK(SUM(INDEX($R89:$AV89,1,1):INDEX($R89:$AV89,1,7)),SUM(INDEX($R89:$AV89,1,7):INDEX($R89:$AV89,1,13)),SUM(INDEX($R89:$AV89,1,16):INDEX($R89:$AV89,1,23)),SUM(INDEX($R89:$AV89,1,23):INDEX($R89:$AV89,1,31)))</f>
        <v/>
      </c>
      <c r="BU89" s="362" t="n">
        <v>0</v>
      </c>
      <c r="BV89" s="362" t="n">
        <v>560</v>
      </c>
      <c r="BW89" s="362" t="n">
        <v>630</v>
      </c>
      <c r="BY89" s="362">
        <f>SUM(R89:X89)</f>
        <v/>
      </c>
      <c r="BZ89" s="362">
        <f>SUM(Y89:AE89)</f>
        <v/>
      </c>
      <c r="CA89" s="362">
        <f>SUM(AF89:AM89)</f>
        <v/>
      </c>
      <c r="CB89" s="362">
        <f>SUM(AN89:AV89)</f>
        <v/>
      </c>
      <c r="CD89" s="432" t="inlineStr">
        <is>
          <t>ADA</t>
        </is>
      </c>
      <c r="CE89" s="362">
        <f>ROUND(BY89*$O89/1000,2)</f>
        <v/>
      </c>
      <c r="CF89" s="362">
        <f>ROUND(BZ89*$O89/1000,2)</f>
        <v/>
      </c>
      <c r="CG89" s="362">
        <f>ROUND(CA89*$O89/1000,2)</f>
        <v/>
      </c>
      <c r="CH89" s="362">
        <f>ROUND(CB89*$O89/1000,2)</f>
        <v/>
      </c>
      <c r="CI89" s="362">
        <f>SUM(CE89:CH89)</f>
        <v/>
      </c>
      <c r="CJ89" s="390" t="n"/>
      <c r="CK89" s="362">
        <f>IFERROR(ROUND(BY89*$P89,2),"")</f>
        <v/>
      </c>
      <c r="CL89" s="362">
        <f>IFERROR(ROUND(BZ89*$P89,2),"")</f>
        <v/>
      </c>
      <c r="CM89" s="362">
        <f>IFERROR(ROUND(CA89*$P89,2),"")</f>
        <v/>
      </c>
      <c r="CN89" s="362">
        <f>IFERROR(ROUND(CB89*$P89,2),"")</f>
        <v/>
      </c>
      <c r="CO89" s="362">
        <f>SUM(CK89:CN89)</f>
        <v/>
      </c>
    </row>
    <row r="90" ht="15.6" customFormat="1" customHeight="1" s="362">
      <c r="A90" s="433" t="n"/>
      <c r="B90" s="434">
        <f>_xlfn.XLOOKUP(G90,销售需求表!A:A,销售需求表!C:C)</f>
        <v/>
      </c>
      <c r="C90" s="435">
        <f>IFERROR(MID(F90,FIND("R",F90)+1,4),"")</f>
        <v/>
      </c>
      <c r="D90" s="434">
        <f>B90&amp;C90&amp;"寸"</f>
        <v/>
      </c>
      <c r="E90" s="436">
        <f>LEFT(REPLACE(G90,1,2,""),FIND("[",REPLACE(G90,1,2,""))-1)&amp;"-"&amp;MID(REPLACE(G90,1,2,""),FIND("[",REPLACE(G90,1,2,""))+1,FIND("]",REPLACE(G90,1,2,""))-FIND("[",REPLACE(G90,1,2,""))-1)</f>
        <v/>
      </c>
      <c r="F90" s="437">
        <f>IFERROR(MID(G90,3,FIND("(",G90)-3)&amp;"-"&amp;SUBSTITUTE(MID(G90,FIND("[",G90)+1,FIND("]",G90)-FIND("[",G90)-1),"Strong Guard ",""),"")</f>
        <v/>
      </c>
      <c r="G90" s="436" t="inlineStr">
        <is>
          <t>ID225/70R19.5-14PR(128/126L)[Strong Guard H-RA]HERCULES无内</t>
        </is>
      </c>
      <c r="H90" s="434" t="n">
        <v>3200</v>
      </c>
      <c r="I90" s="434" t="n"/>
      <c r="J90" s="435">
        <f>IFERROR(LEFT(F90,FIND("-",F90))&amp;MID(F90,FIND("PR",F90,FIND("-",F90))+3,LEN(F90)),F90)</f>
        <v/>
      </c>
      <c r="K90" s="434">
        <f>_xlfn.XLOOKUP(F90,投产规格!E:E,投产规格!D:D,"未投产")</f>
        <v/>
      </c>
      <c r="L90" s="434">
        <f>IFERROR(_xlfn.XLOOKUP(F90,硫化工艺!B:B,硫化工艺!C:C),"")</f>
        <v/>
      </c>
      <c r="M90" s="438">
        <f>IF(L90="","",L90/(L90+$L$1/60))</f>
        <v/>
      </c>
      <c r="N90" s="434">
        <f>C90&amp;"全钢"</f>
        <v/>
      </c>
      <c r="O90" s="434">
        <f>IFERROR(_xlfn.XLOOKUP(F90,轮胎重量!J:J,轮胎重量!G:G),"")</f>
        <v/>
      </c>
      <c r="P90" s="434">
        <f>IFERROR(_xlfn.XLOOKUP(G90,硫化工艺!I:I,硫化工艺!J:J),"")</f>
        <v/>
      </c>
      <c r="Q90" s="434">
        <f>IFERROR(ROUND(1440/L90*(I90)*M90,0),"")</f>
        <v/>
      </c>
      <c r="R90" s="352" t="n"/>
      <c r="S90" s="352" t="n"/>
      <c r="T90" s="352" t="n"/>
      <c r="U90" s="352" t="n"/>
      <c r="V90" s="352" t="n"/>
      <c r="W90" s="352" t="n"/>
      <c r="X90" s="352" t="n"/>
      <c r="Y90" s="352" t="n"/>
      <c r="Z90" s="352" t="n"/>
      <c r="AA90" s="352" t="n"/>
      <c r="AB90" s="352" t="n"/>
      <c r="AC90" s="352" t="n"/>
      <c r="AD90" s="352" t="n"/>
      <c r="AE90" s="352" t="n"/>
      <c r="AF90" s="352" t="n"/>
      <c r="AG90" s="352" t="n">
        <v>140</v>
      </c>
      <c r="AH90" s="352" t="n">
        <v>140</v>
      </c>
      <c r="AI90" s="352" t="n">
        <v>140</v>
      </c>
      <c r="AJ90" s="352" t="n">
        <v>140</v>
      </c>
      <c r="AK90" s="352" t="n">
        <v>210</v>
      </c>
      <c r="AL90" s="352" t="n">
        <v>210</v>
      </c>
      <c r="AM90" s="352" t="n">
        <v>210</v>
      </c>
      <c r="AN90" s="352" t="n">
        <v>210</v>
      </c>
      <c r="AO90" s="352" t="n">
        <v>210</v>
      </c>
      <c r="AP90" s="352" t="n">
        <v>210</v>
      </c>
      <c r="AQ90" s="352" t="n">
        <v>210</v>
      </c>
      <c r="AR90" s="352" t="n">
        <v>210</v>
      </c>
      <c r="AS90" s="352" t="n">
        <v>280</v>
      </c>
      <c r="AT90" s="352" t="n">
        <v>280</v>
      </c>
      <c r="AU90" s="352" t="n">
        <v>280</v>
      </c>
      <c r="AV90" s="352" t="n">
        <v>280</v>
      </c>
      <c r="AW90" s="352">
        <f>IF(SUM(R90:AV90)=0,"",SUM(R90:AV90))</f>
        <v/>
      </c>
      <c r="AX90" s="431">
        <f>IFERROR(AW90*O90/1000,"")</f>
        <v/>
      </c>
      <c r="AY90" s="431">
        <f>IFERROR(ROUND(AW90*P90/10000,3),"")</f>
        <v/>
      </c>
      <c r="AZ90" s="359" t="n"/>
      <c r="BA90" s="362" t="n"/>
      <c r="BB90" s="362" t="n"/>
      <c r="BC90" s="331" t="n"/>
      <c r="BD90" s="331" t="n"/>
      <c r="BE90" s="331" t="n"/>
      <c r="BF90" s="331" t="n"/>
      <c r="BG90" s="331" t="n"/>
      <c r="BH90" s="331" t="n"/>
      <c r="BI90" s="331" t="n"/>
      <c r="BJ90" s="356">
        <f t="array" ref="BJ90:BM90">_xlfn.LET(_xlpm.data,$R90:$AV90,_xlpm.starts,{1,8,16,23},_xlpm.lengths,{7,7,8,9},_xlpm.arr,_xlfn.MAP(_xlpm.starts,_xlpm.lengths,_xlfn.LAMBDA(_xlpm.s,_xlpm.l,SUM(INDEX(_xlpm.data,,_xlfn.SEQUENCE(,_xlpm.l,_xlpm.s))))),ROUND(_xlpm.arr*$O90/1000,2))</f>
        <v/>
      </c>
      <c r="BK90" s="331" t="n">
        <v>0</v>
      </c>
      <c r="BL90" s="331" t="n">
        <v>40.11</v>
      </c>
      <c r="BM90" s="331" t="n">
        <v>62.17</v>
      </c>
      <c r="BN90" s="362">
        <f>SUM(BJ90:BM90)</f>
        <v/>
      </c>
      <c r="BO90" s="362" t="e">
        <v>#VALUE!</v>
      </c>
      <c r="BP90" s="362" t="e">
        <v>#VALUE!</v>
      </c>
      <c r="BQ90" s="362" t="e">
        <v>#VALUE!</v>
      </c>
      <c r="BR90" s="362" t="e">
        <v>#VALUE!</v>
      </c>
      <c r="BS90" s="115" t="n"/>
      <c r="BT90" s="362">
        <f t="array" ref="BT90:BW90">_xlfn.HSTACK(SUM(INDEX($R90:$AV90,1,1):INDEX($R90:$AV90,1,7)),SUM(INDEX($R90:$AV90,1,7):INDEX($R90:$AV90,1,13)),SUM(INDEX($R90:$AV90,1,16):INDEX($R90:$AV90,1,23)),SUM(INDEX($R90:$AV90,1,23):INDEX($R90:$AV90,1,31)))</f>
        <v/>
      </c>
      <c r="BU90" s="362" t="n">
        <v>0</v>
      </c>
      <c r="BV90" s="362" t="n">
        <v>1400</v>
      </c>
      <c r="BW90" s="362" t="n">
        <v>2170</v>
      </c>
      <c r="BY90" s="362">
        <f>SUM(R90:X90)</f>
        <v/>
      </c>
      <c r="BZ90" s="362">
        <f>SUM(Y90:AE90)</f>
        <v/>
      </c>
      <c r="CA90" s="362">
        <f>SUM(AF90:AM90)</f>
        <v/>
      </c>
      <c r="CB90" s="362">
        <f>SUM(AN90:AV90)</f>
        <v/>
      </c>
      <c r="CD90" s="440" t="inlineStr">
        <is>
          <t>TIDAK ADA</t>
        </is>
      </c>
      <c r="CE90" s="362">
        <f>ROUND(BY90*$O90/1000,2)</f>
        <v/>
      </c>
      <c r="CF90" s="362">
        <f>ROUND(BZ90*$O90/1000,2)</f>
        <v/>
      </c>
      <c r="CG90" s="362">
        <f>ROUND(CA90*$O90/1000,2)</f>
        <v/>
      </c>
      <c r="CH90" s="362">
        <f>ROUND(CB90*$O90/1000,2)</f>
        <v/>
      </c>
      <c r="CI90" s="362">
        <f>SUM(CE90:CH90)</f>
        <v/>
      </c>
      <c r="CJ90" s="390" t="n"/>
      <c r="CK90" s="362">
        <f>IFERROR(ROUND(BY90*$P90,2),"")</f>
        <v/>
      </c>
      <c r="CL90" s="362">
        <f>IFERROR(ROUND(BZ90*$P90,2),"")</f>
        <v/>
      </c>
      <c r="CM90" s="362">
        <f>IFERROR(ROUND(CA90*$P90,2),"")</f>
        <v/>
      </c>
      <c r="CN90" s="362">
        <f>IFERROR(ROUND(CB90*$P90,2),"")</f>
        <v/>
      </c>
      <c r="CO90" s="362">
        <f>SUM(CK90:CN90)</f>
        <v/>
      </c>
    </row>
    <row r="91" hidden="1" ht="15.6" customFormat="1" customHeight="1" s="362">
      <c r="A91" s="331" t="n"/>
      <c r="B91" s="344">
        <f>_xlfn.XLOOKUP(G91,销售需求表!A:A,销售需求表!C:C)</f>
        <v/>
      </c>
      <c r="C91" s="345">
        <f>IFERROR(MID(F91,FIND("R",F91)+1,4),"")</f>
        <v/>
      </c>
      <c r="D91" s="344">
        <f>B91&amp;C91&amp;"寸"</f>
        <v/>
      </c>
      <c r="E91" s="346">
        <f>LEFT(REPLACE(G91,1,2,""),FIND("[",REPLACE(G91,1,2,""))-1)&amp;"-"&amp;MID(REPLACE(G91,1,2,""),FIND("[",REPLACE(G91,1,2,""))+1,FIND("]",REPLACE(G91,1,2,""))-FIND("[",REPLACE(G91,1,2,""))-1)</f>
        <v/>
      </c>
      <c r="F91" s="347">
        <f>IFERROR(MID(G91,3,FIND("(",G91)-3)&amp;"-"&amp;SUBSTITUTE(MID(G91,FIND("[",G91)+1,FIND("]",G91)-FIND("[",G91)-1),"Strong Guard ",""),"")</f>
        <v/>
      </c>
      <c r="G91" s="361" t="inlineStr">
        <is>
          <t>ID225/70R19.5-14PR(128/126M)[ECO-MILE RDW]TRAVELSTAR无内</t>
        </is>
      </c>
      <c r="H91" s="344" t="n">
        <v>280</v>
      </c>
      <c r="I91" s="348" t="n"/>
      <c r="J91" s="349">
        <f>IFERROR(LEFT(F91,FIND("-",F91))&amp;MID(F91,FIND("PR",F91,FIND("-",F91))+3,LEN(F91)),F91)</f>
        <v/>
      </c>
      <c r="K91" s="352">
        <f>_xlfn.XLOOKUP(F91,投产规格!E:E,投产规格!D:D,"未投产")</f>
        <v/>
      </c>
      <c r="L91" s="352">
        <f>IFERROR(_xlfn.XLOOKUP(F91,硫化工艺!B:B,硫化工艺!C:C),"")</f>
        <v/>
      </c>
      <c r="M91" s="430">
        <f>IF(L91="","",L91/(L91+$L$1/60))</f>
        <v/>
      </c>
      <c r="N91" s="352">
        <f>C91&amp;"全钢"</f>
        <v/>
      </c>
      <c r="O91" s="352">
        <f>IFERROR(_xlfn.XLOOKUP(F91,轮胎重量!J:J,轮胎重量!G:G),"")</f>
        <v/>
      </c>
      <c r="P91" s="358">
        <f>O91*13.9</f>
        <v/>
      </c>
      <c r="Q91" s="352">
        <f>IFERROR(ROUND(1440/L91*(I91)*M91,0),"")</f>
        <v/>
      </c>
      <c r="R91" s="352" t="n"/>
      <c r="S91" s="352" t="n"/>
      <c r="T91" s="352" t="n"/>
      <c r="U91" s="352" t="n"/>
      <c r="V91" s="352" t="n"/>
      <c r="W91" s="352" t="n"/>
      <c r="X91" s="352" t="n"/>
      <c r="Y91" s="352" t="n"/>
      <c r="Z91" s="352" t="n"/>
      <c r="AA91" s="352" t="n"/>
      <c r="AB91" s="352" t="n"/>
      <c r="AC91" s="352" t="n"/>
      <c r="AD91" s="352" t="n"/>
      <c r="AE91" s="352" t="n"/>
      <c r="AF91" s="352" t="n"/>
      <c r="AG91" s="352" t="n"/>
      <c r="AH91" s="352" t="n"/>
      <c r="AI91" s="352" t="n"/>
      <c r="AJ91" s="352" t="n"/>
      <c r="AK91" s="352" t="n"/>
      <c r="AL91" s="352" t="n"/>
      <c r="AM91" s="352" t="n"/>
      <c r="AN91" s="352" t="n"/>
      <c r="AO91" s="352" t="n"/>
      <c r="AP91" s="352" t="n"/>
      <c r="AQ91" s="352" t="n"/>
      <c r="AR91" s="352" t="n"/>
      <c r="AS91" s="352" t="n"/>
      <c r="AT91" s="352" t="n"/>
      <c r="AU91" s="352" t="n"/>
      <c r="AV91" s="352" t="n"/>
      <c r="AW91" s="352">
        <f>IF(SUM(R91:AV91)=0,"",SUM(R91:AV91))</f>
        <v/>
      </c>
      <c r="AX91" s="431">
        <f>IFERROR(AW91*O91/1000,"")</f>
        <v/>
      </c>
      <c r="AY91" s="431">
        <f>IFERROR(ROUND(AW91*P91/10000,3),"")</f>
        <v/>
      </c>
      <c r="AZ91" s="359" t="n"/>
      <c r="BA91" s="362" t="n"/>
      <c r="BB91" s="362" t="n"/>
      <c r="BC91" s="331" t="n"/>
      <c r="BD91" s="331" t="n"/>
      <c r="BE91" s="331" t="n"/>
      <c r="BF91" s="331" t="n"/>
      <c r="BG91" s="331" t="n"/>
      <c r="BH91" s="331" t="n"/>
      <c r="BI91" s="331" t="n"/>
      <c r="BJ91" s="356">
        <f t="array" ref="BJ91:BM91">_xlfn.LET(_xlpm.data,$R91:$AV91,_xlpm.starts,{1,8,16,23},_xlpm.lengths,{7,7,8,9},_xlpm.arr,_xlfn.MAP(_xlpm.starts,_xlpm.lengths,_xlfn.LAMBDA(_xlpm.s,_xlpm.l,SUM(INDEX(_xlpm.data,,_xlfn.SEQUENCE(,_xlpm.l,_xlpm.s))))),ROUND(_xlpm.arr*$O91/1000,2))</f>
        <v/>
      </c>
      <c r="BK91" s="331" t="n">
        <v>0</v>
      </c>
      <c r="BL91" s="331" t="n">
        <v>0</v>
      </c>
      <c r="BM91" s="331" t="n">
        <v>0</v>
      </c>
      <c r="BN91" s="362">
        <f>SUM(BJ91:BM91)</f>
        <v/>
      </c>
      <c r="BO91" s="362" t="e">
        <v>#VALUE!</v>
      </c>
      <c r="BP91" s="362" t="e">
        <v>#VALUE!</v>
      </c>
      <c r="BQ91" s="362" t="e">
        <v>#VALUE!</v>
      </c>
      <c r="BR91" s="362" t="e">
        <v>#VALUE!</v>
      </c>
      <c r="BS91" s="115" t="n"/>
      <c r="BT91" s="362">
        <f t="array" ref="BT91:BW91">_xlfn.HSTACK(SUM(INDEX($R91:$AV91,1,1):INDEX($R91:$AV91,1,7)),SUM(INDEX($R91:$AV91,1,7):INDEX($R91:$AV91,1,13)),SUM(INDEX($R91:$AV91,1,16):INDEX($R91:$AV91,1,23)),SUM(INDEX($R91:$AV91,1,23):INDEX($R91:$AV91,1,31)))</f>
        <v/>
      </c>
      <c r="BU91" s="362" t="n">
        <v>0</v>
      </c>
      <c r="BV91" s="362" t="n">
        <v>0</v>
      </c>
      <c r="BW91" s="362" t="n">
        <v>0</v>
      </c>
      <c r="BY91" s="362">
        <f>SUM(R91:X91)</f>
        <v/>
      </c>
      <c r="BZ91" s="362">
        <f>SUM(Y91:AE91)</f>
        <v/>
      </c>
      <c r="CA91" s="362">
        <f>SUM(AF91:AM91)</f>
        <v/>
      </c>
      <c r="CB91" s="362">
        <f>SUM(AN91:AV91)</f>
        <v/>
      </c>
      <c r="CD91" s="432" t="inlineStr">
        <is>
          <t>ADA</t>
        </is>
      </c>
      <c r="CE91" s="362">
        <f>ROUND(BY91*$O91/1000,2)</f>
        <v/>
      </c>
      <c r="CF91" s="362">
        <f>ROUND(BZ91*$O91/1000,2)</f>
        <v/>
      </c>
      <c r="CG91" s="362">
        <f>ROUND(CA91*$O91/1000,2)</f>
        <v/>
      </c>
      <c r="CH91" s="362">
        <f>ROUND(CB91*$O91/1000,2)</f>
        <v/>
      </c>
      <c r="CI91" s="362">
        <f>SUM(CE91:CH91)</f>
        <v/>
      </c>
      <c r="CJ91" s="390" t="n"/>
      <c r="CK91" s="362">
        <f>IFERROR(ROUND(BY91*$P91,2),"")</f>
        <v/>
      </c>
      <c r="CL91" s="362">
        <f>IFERROR(ROUND(BZ91*$P91,2),"")</f>
        <v/>
      </c>
      <c r="CM91" s="362">
        <f>IFERROR(ROUND(CA91*$P91,2),"")</f>
        <v/>
      </c>
      <c r="CN91" s="362">
        <f>IFERROR(ROUND(CB91*$P91,2),"")</f>
        <v/>
      </c>
      <c r="CO91" s="362">
        <f>SUM(CK91:CN91)</f>
        <v/>
      </c>
    </row>
    <row r="92" hidden="1" ht="15.6" customFormat="1" customHeight="1" s="362">
      <c r="A92" s="433" t="n"/>
      <c r="B92" s="434">
        <f>_xlfn.XLOOKUP(G92,销售需求表!A:A,销售需求表!C:C)</f>
        <v/>
      </c>
      <c r="C92" s="435">
        <f>IFERROR(MID(F92,FIND("R",F92)+1,4),"")</f>
        <v/>
      </c>
      <c r="D92" s="434">
        <f>B92&amp;C92&amp;"寸"</f>
        <v/>
      </c>
      <c r="E92" s="436">
        <f>LEFT(REPLACE(G92,1,2,""),FIND("[",REPLACE(G92,1,2,""))-1)&amp;"-"&amp;MID(REPLACE(G92,1,2,""),FIND("[",REPLACE(G92,1,2,""))+1,FIND("]",REPLACE(G92,1,2,""))-FIND("[",REPLACE(G92,1,2,""))-1)</f>
        <v/>
      </c>
      <c r="F92" s="437">
        <f>IFERROR(MID(G92,3,FIND("(",G92)-3)&amp;"-"&amp;SUBSTITUTE(MID(G92,FIND("[",G92)+1,FIND("]",G92)-FIND("[",G92)-1),"Strong Guard ",""),"")</f>
        <v/>
      </c>
      <c r="G92" s="436" t="inlineStr">
        <is>
          <t>ID225/70R19.5-14PR(128/126M)[M-TRAC RDW]MASTERTRACK无内</t>
        </is>
      </c>
      <c r="H92" s="434" t="n">
        <v>400</v>
      </c>
      <c r="I92" s="434" t="n"/>
      <c r="J92" s="435">
        <f>IFERROR(LEFT(F92,FIND("-",F92))&amp;MID(F92,FIND("PR",F92,FIND("-",F92))+3,LEN(F92)),F92)</f>
        <v/>
      </c>
      <c r="K92" s="434">
        <f>_xlfn.XLOOKUP(F92,投产规格!E:E,投产规格!D:D,"未投产")</f>
        <v/>
      </c>
      <c r="L92" s="434">
        <f>IFERROR(_xlfn.XLOOKUP(F92,硫化工艺!B:B,硫化工艺!C:C),"")</f>
        <v/>
      </c>
      <c r="M92" s="438">
        <f>IF(L92="","",L92/(L92+$L$1/60))</f>
        <v/>
      </c>
      <c r="N92" s="434">
        <f>C92&amp;"全钢"</f>
        <v/>
      </c>
      <c r="O92" s="434">
        <f>IFERROR(_xlfn.XLOOKUP(F92,轮胎重量!J:J,轮胎重量!G:G),"")</f>
        <v/>
      </c>
      <c r="P92" s="439">
        <f>O92*13.9</f>
        <v/>
      </c>
      <c r="Q92" s="434">
        <f>IFERROR(ROUND(1440/L92*(I92)*M92,0),"")</f>
        <v/>
      </c>
      <c r="R92" s="352" t="n"/>
      <c r="S92" s="352" t="n"/>
      <c r="T92" s="352" t="n"/>
      <c r="U92" s="352" t="n"/>
      <c r="V92" s="352" t="n"/>
      <c r="W92" s="352" t="n"/>
      <c r="X92" s="352" t="n"/>
      <c r="Y92" s="352" t="n"/>
      <c r="Z92" s="352" t="n"/>
      <c r="AA92" s="352" t="n"/>
      <c r="AB92" s="352" t="n"/>
      <c r="AC92" s="352" t="n"/>
      <c r="AD92" s="352" t="n"/>
      <c r="AE92" s="352" t="n"/>
      <c r="AF92" s="352" t="n"/>
      <c r="AG92" s="352" t="n"/>
      <c r="AH92" s="352" t="n"/>
      <c r="AI92" s="352" t="n"/>
      <c r="AJ92" s="352" t="n"/>
      <c r="AK92" s="352" t="n"/>
      <c r="AL92" s="352" t="n"/>
      <c r="AM92" s="352" t="n"/>
      <c r="AN92" s="352" t="n"/>
      <c r="AO92" s="352" t="n"/>
      <c r="AP92" s="352" t="n"/>
      <c r="AQ92" s="352" t="n"/>
      <c r="AR92" s="352" t="n"/>
      <c r="AS92" s="352" t="n"/>
      <c r="AT92" s="352" t="n"/>
      <c r="AU92" s="352" t="n"/>
      <c r="AV92" s="352" t="n"/>
      <c r="AW92" s="352">
        <f>IF(SUM(R92:AV92)=0,"",SUM(R92:AV92))</f>
        <v/>
      </c>
      <c r="AX92" s="431">
        <f>IFERROR(AW92*O92/1000,"")</f>
        <v/>
      </c>
      <c r="AY92" s="431">
        <f>IFERROR(ROUND(AW92*P92/10000,3),"")</f>
        <v/>
      </c>
      <c r="AZ92" s="359" t="n"/>
      <c r="BA92" s="362" t="n"/>
      <c r="BB92" s="362" t="n"/>
      <c r="BC92" s="331" t="n"/>
      <c r="BD92" s="331" t="n"/>
      <c r="BE92" s="331" t="n"/>
      <c r="BF92" s="331" t="n"/>
      <c r="BG92" s="331" t="n"/>
      <c r="BH92" s="331" t="n"/>
      <c r="BI92" s="331" t="n"/>
      <c r="BJ92" s="356">
        <f t="array" ref="BJ92:BM92">_xlfn.LET(_xlpm.data,$R92:$AV92,_xlpm.starts,{1,8,16,23},_xlpm.lengths,{7,7,8,9},_xlpm.arr,_xlfn.MAP(_xlpm.starts,_xlpm.lengths,_xlfn.LAMBDA(_xlpm.s,_xlpm.l,SUM(INDEX(_xlpm.data,,_xlfn.SEQUENCE(,_xlpm.l,_xlpm.s))))),ROUND(_xlpm.arr*$O92/1000,2))</f>
        <v/>
      </c>
      <c r="BK92" s="331" t="n">
        <v>0</v>
      </c>
      <c r="BL92" s="331" t="n">
        <v>0</v>
      </c>
      <c r="BM92" s="331" t="n">
        <v>0</v>
      </c>
      <c r="BN92" s="362">
        <f>SUM(BJ92:BM92)</f>
        <v/>
      </c>
      <c r="BO92" s="362" t="n">
        <v>15.01</v>
      </c>
      <c r="BP92" s="362" t="n">
        <v>15.01</v>
      </c>
      <c r="BQ92" s="362" t="n">
        <v>17.15</v>
      </c>
      <c r="BR92" s="362" t="n">
        <v>19.29</v>
      </c>
      <c r="BS92" s="115" t="n"/>
      <c r="BT92" s="362">
        <f t="array" ref="BT92:BW92">_xlfn.HSTACK(SUM(INDEX($R92:$AV92,1,1):INDEX($R92:$AV92,1,7)),SUM(INDEX($R92:$AV92,1,7):INDEX($R92:$AV92,1,13)),SUM(INDEX($R92:$AV92,1,16):INDEX($R92:$AV92,1,23)),SUM(INDEX($R92:$AV92,1,23):INDEX($R92:$AV92,1,31)))</f>
        <v/>
      </c>
      <c r="BU92" s="362" t="n">
        <v>0</v>
      </c>
      <c r="BV92" s="362" t="n">
        <v>0</v>
      </c>
      <c r="BW92" s="362" t="n">
        <v>0</v>
      </c>
      <c r="BY92" s="362">
        <f>SUM(R92:X92)</f>
        <v/>
      </c>
      <c r="BZ92" s="362">
        <f>SUM(Y92:AE92)</f>
        <v/>
      </c>
      <c r="CA92" s="362">
        <f>SUM(AF92:AM92)</f>
        <v/>
      </c>
      <c r="CB92" s="362">
        <f>SUM(AN92:AV92)</f>
        <v/>
      </c>
      <c r="CD92" s="440" t="inlineStr">
        <is>
          <t>TIDAK ADA</t>
        </is>
      </c>
      <c r="CE92" s="362">
        <f>ROUND(BY92*$O92/1000,2)</f>
        <v/>
      </c>
      <c r="CF92" s="362">
        <f>ROUND(BZ92*$O92/1000,2)</f>
        <v/>
      </c>
      <c r="CG92" s="362">
        <f>ROUND(CA92*$O92/1000,2)</f>
        <v/>
      </c>
      <c r="CH92" s="362">
        <f>ROUND(CB92*$O92/1000,2)</f>
        <v/>
      </c>
      <c r="CI92" s="362">
        <f>SUM(CE92:CH92)</f>
        <v/>
      </c>
      <c r="CJ92" s="390" t="n"/>
      <c r="CK92" s="362">
        <f>IFERROR(ROUND(BY92*$P92,2),"")</f>
        <v/>
      </c>
      <c r="CL92" s="362">
        <f>IFERROR(ROUND(BZ92*$P92,2),"")</f>
        <v/>
      </c>
      <c r="CM92" s="362">
        <f>IFERROR(ROUND(CA92*$P92,2),"")</f>
        <v/>
      </c>
      <c r="CN92" s="362">
        <f>IFERROR(ROUND(CB92*$P92,2),"")</f>
        <v/>
      </c>
      <c r="CO92" s="362">
        <f>SUM(CK92:CN92)</f>
        <v/>
      </c>
    </row>
    <row r="93" ht="15.6" customFormat="1" customHeight="1" s="362">
      <c r="A93" s="331" t="n"/>
      <c r="B93" s="344">
        <f>_xlfn.XLOOKUP(G93,销售需求表!A:A,销售需求表!C:C)</f>
        <v/>
      </c>
      <c r="C93" s="345">
        <f>IFERROR(MID(F93,FIND("R",F93)+1,4),"")</f>
        <v/>
      </c>
      <c r="D93" s="344">
        <f>B93&amp;C93&amp;"寸"</f>
        <v/>
      </c>
      <c r="E93" s="346">
        <f>LEFT(REPLACE(G93,1,2,""),FIND("[",REPLACE(G93,1,2,""))-1)&amp;"-"&amp;MID(REPLACE(G93,1,2,""),FIND("[",REPLACE(G93,1,2,""))+1,FIND("]",REPLACE(G93,1,2,""))-FIND("[",REPLACE(G93,1,2,""))-1)</f>
        <v/>
      </c>
      <c r="F93" s="347">
        <f>IFERROR(MID(G93,3,FIND("(",G93)-3)&amp;"-"&amp;SUBSTITUTE(MID(G93,FIND("[",G93)+1,FIND("]",G93)-FIND("[",G93)-1),"Strong Guard ",""),"")</f>
        <v/>
      </c>
      <c r="G93" s="361" t="inlineStr">
        <is>
          <t>ID225/70R19.5-14PR(128/126N)[AP-7318]VANTAGE无内</t>
        </is>
      </c>
      <c r="H93" s="344" t="n">
        <v>1400</v>
      </c>
      <c r="I93" s="348" t="n">
        <v>2</v>
      </c>
      <c r="J93" s="349">
        <f>IFERROR(LEFT(F93,FIND("-",F93))&amp;MID(F93,FIND("PR",F93,FIND("-",F93))+3,LEN(F93)),F93)</f>
        <v/>
      </c>
      <c r="K93" s="352">
        <f>_xlfn.XLOOKUP(F93,投产规格!E:E,投产规格!D:D,"未投产")</f>
        <v/>
      </c>
      <c r="L93" s="352">
        <f>IFERROR(_xlfn.XLOOKUP(F93,硫化工艺!B:B,硫化工艺!C:C),"")</f>
        <v/>
      </c>
      <c r="M93" s="430">
        <f>IF(L93="","",L93/(L93+$L$1/60))</f>
        <v/>
      </c>
      <c r="N93" s="352">
        <f>C93&amp;"全钢"</f>
        <v/>
      </c>
      <c r="O93" s="352">
        <f>IFERROR(_xlfn.XLOOKUP(F93,轮胎重量!J:J,轮胎重量!G:G),"")</f>
        <v/>
      </c>
      <c r="P93" s="352">
        <f>IFERROR(_xlfn.XLOOKUP(G93,硫化工艺!I:I,硫化工艺!J:J),"")</f>
        <v/>
      </c>
      <c r="Q93" s="352">
        <f>IFERROR(ROUND(1440/L93*(I93)*M93,0),"")</f>
        <v/>
      </c>
      <c r="R93" s="352" t="n">
        <v>70</v>
      </c>
      <c r="S93" s="352" t="n">
        <v>70</v>
      </c>
      <c r="T93" s="352" t="n">
        <v>70</v>
      </c>
      <c r="U93" s="352" t="n">
        <v>70</v>
      </c>
      <c r="V93" s="352" t="n">
        <v>70</v>
      </c>
      <c r="W93" s="352" t="n">
        <v>70</v>
      </c>
      <c r="X93" s="352" t="n">
        <v>70</v>
      </c>
      <c r="Y93" s="352" t="n">
        <v>70</v>
      </c>
      <c r="Z93" s="352" t="n">
        <v>70</v>
      </c>
      <c r="AA93" s="352" t="n">
        <v>70</v>
      </c>
      <c r="AB93" s="352" t="n">
        <v>70</v>
      </c>
      <c r="AC93" s="352" t="n">
        <v>70</v>
      </c>
      <c r="AD93" s="352" t="n">
        <v>70</v>
      </c>
      <c r="AE93" s="352" t="n">
        <v>70</v>
      </c>
      <c r="AF93" s="352" t="n">
        <v>70</v>
      </c>
      <c r="AG93" s="352" t="n">
        <v>70</v>
      </c>
      <c r="AH93" s="352" t="n">
        <v>70</v>
      </c>
      <c r="AI93" s="352" t="n">
        <v>70</v>
      </c>
      <c r="AJ93" s="352" t="n"/>
      <c r="AK93" s="352" t="n"/>
      <c r="AL93" s="352" t="n"/>
      <c r="AM93" s="352" t="n"/>
      <c r="AN93" s="352" t="n"/>
      <c r="AO93" s="352" t="n"/>
      <c r="AP93" s="352" t="n"/>
      <c r="AQ93" s="352" t="n"/>
      <c r="AR93" s="352" t="n"/>
      <c r="AS93" s="352" t="n"/>
      <c r="AT93" s="352" t="n"/>
      <c r="AU93" s="352" t="n"/>
      <c r="AV93" s="352" t="n"/>
      <c r="AW93" s="352">
        <f>IF(SUM(R93:AV93)=0,"",SUM(R93:AV93))</f>
        <v/>
      </c>
      <c r="AX93" s="431">
        <f>IFERROR(AW93*O93/1000,"")</f>
        <v/>
      </c>
      <c r="AY93" s="431">
        <f>IFERROR(ROUND(AW93*P93/10000,3),"")</f>
        <v/>
      </c>
      <c r="AZ93" s="359" t="n"/>
      <c r="BA93" s="362" t="n"/>
      <c r="BB93" s="362" t="n"/>
      <c r="BC93" s="331" t="n"/>
      <c r="BD93" s="331" t="n"/>
      <c r="BE93" s="331" t="n"/>
      <c r="BF93" s="331" t="n"/>
      <c r="BG93" s="331" t="n"/>
      <c r="BH93" s="331" t="n"/>
      <c r="BI93" s="331" t="n"/>
      <c r="BJ93" s="356">
        <f t="array" ref="BJ93:BM93">_xlfn.LET(_xlpm.data,$R93:$AV93,_xlpm.starts,{1,8,16,23},_xlpm.lengths,{7,7,8,9},_xlpm.arr,_xlfn.MAP(_xlpm.starts,_xlpm.lengths,_xlfn.LAMBDA(_xlpm.s,_xlpm.l,SUM(INDEX(_xlpm.data,,_xlfn.SEQUENCE(,_xlpm.l,_xlpm.s))))),ROUND(_xlpm.arr*$O93/1000,2))</f>
        <v/>
      </c>
      <c r="BK93" s="331" t="n">
        <v>14.44</v>
      </c>
      <c r="BL93" s="331" t="n">
        <v>6.19</v>
      </c>
      <c r="BM93" s="331" t="n">
        <v>0</v>
      </c>
      <c r="BN93" s="362">
        <f>SUM(BJ93:BM93)</f>
        <v/>
      </c>
      <c r="BO93" s="362" t="n">
        <v>8.02</v>
      </c>
      <c r="BP93" s="362" t="n">
        <v>14.04</v>
      </c>
      <c r="BQ93" s="362" t="n">
        <v>16.04</v>
      </c>
      <c r="BR93" s="362" t="n">
        <v>18.05</v>
      </c>
      <c r="BS93" s="115" t="n"/>
      <c r="BT93" s="362">
        <f t="array" ref="BT93:BW93">_xlfn.HSTACK(SUM(INDEX($R93:$AV93,1,1):INDEX($R93:$AV93,1,7)),SUM(INDEX($R93:$AV93,1,7):INDEX($R93:$AV93,1,13)),SUM(INDEX($R93:$AV93,1,16):INDEX($R93:$AV93,1,23)),SUM(INDEX($R93:$AV93,1,23):INDEX($R93:$AV93,1,31)))</f>
        <v/>
      </c>
      <c r="BU93" s="362" t="n">
        <v>490</v>
      </c>
      <c r="BV93" s="362" t="n">
        <v>210</v>
      </c>
      <c r="BW93" s="362" t="n">
        <v>0</v>
      </c>
      <c r="BY93" s="362">
        <f>SUM(R93:X93)</f>
        <v/>
      </c>
      <c r="BZ93" s="362">
        <f>SUM(Y93:AE93)</f>
        <v/>
      </c>
      <c r="CA93" s="362">
        <f>SUM(AF93:AM93)</f>
        <v/>
      </c>
      <c r="CB93" s="362">
        <f>SUM(AN93:AV93)</f>
        <v/>
      </c>
      <c r="CD93" s="432" t="inlineStr">
        <is>
          <t>ADA</t>
        </is>
      </c>
      <c r="CE93" s="362">
        <f>ROUND(BY93*$O93/1000,2)</f>
        <v/>
      </c>
      <c r="CF93" s="362">
        <f>ROUND(BZ93*$O93/1000,2)</f>
        <v/>
      </c>
      <c r="CG93" s="362">
        <f>ROUND(CA93*$O93/1000,2)</f>
        <v/>
      </c>
      <c r="CH93" s="362">
        <f>ROUND(CB93*$O93/1000,2)</f>
        <v/>
      </c>
      <c r="CI93" s="362">
        <f>SUM(CE93:CH93)</f>
        <v/>
      </c>
      <c r="CJ93" s="390" t="n"/>
      <c r="CK93" s="362">
        <f>IFERROR(ROUND(BY93*$P93,2),"")</f>
        <v/>
      </c>
      <c r="CL93" s="362">
        <f>IFERROR(ROUND(BZ93*$P93,2),"")</f>
        <v/>
      </c>
      <c r="CM93" s="362">
        <f>IFERROR(ROUND(CA93*$P93,2),"")</f>
        <v/>
      </c>
      <c r="CN93" s="362">
        <f>IFERROR(ROUND(CB93*$P93,2),"")</f>
        <v/>
      </c>
      <c r="CO93" s="362">
        <f>SUM(CK93:CN93)</f>
        <v/>
      </c>
    </row>
    <row r="94" hidden="1" ht="15.6" customFormat="1" customHeight="1" s="362">
      <c r="A94" s="331" t="n"/>
      <c r="B94" s="344">
        <f>_xlfn.XLOOKUP(G94,销售需求表!A:A,销售需求表!C:C)</f>
        <v/>
      </c>
      <c r="C94" s="345">
        <f>IFERROR(MID(F94,FIND("R",F94)+1,4),"")</f>
        <v/>
      </c>
      <c r="D94" s="344">
        <f>B94&amp;C94&amp;"寸"</f>
        <v/>
      </c>
      <c r="E94" s="346">
        <f>LEFT(REPLACE(G94,1,2,""),FIND("[",REPLACE(G94,1,2,""))-1)&amp;"-"&amp;MID(REPLACE(G94,1,2,""),FIND("[",REPLACE(G94,1,2,""))+1,FIND("]",REPLACE(G94,1,2,""))-FIND("[",REPLACE(G94,1,2,""))-1)</f>
        <v/>
      </c>
      <c r="F94" s="347">
        <f>IFERROR(MID(G94,3,FIND("(",G94)-3)&amp;"-"&amp;SUBSTITUTE(MID(G94,FIND("[",G94)+1,FIND("]",G94)-FIND("[",G94)-1),"Strong Guard ",""),"")</f>
        <v/>
      </c>
      <c r="G94" s="361" t="inlineStr">
        <is>
          <t>ID225/70R19.5-14PR(128/126N)[DR-7318]VANTAGE无内</t>
        </is>
      </c>
      <c r="H94" s="344" t="n">
        <v>600</v>
      </c>
      <c r="I94" s="348" t="n"/>
      <c r="J94" s="349">
        <f>IFERROR(LEFT(F94,FIND("-",F94))&amp;MID(F94,FIND("PR",F94,FIND("-",F94))+3,LEN(F94)),F94)</f>
        <v/>
      </c>
      <c r="K94" s="352">
        <f>_xlfn.XLOOKUP(F94,投产规格!E:E,投产规格!D:D,"未投产")</f>
        <v/>
      </c>
      <c r="L94" s="352">
        <f>IFERROR(_xlfn.XLOOKUP(F94,硫化工艺!B:B,硫化工艺!C:C),"")</f>
        <v/>
      </c>
      <c r="M94" s="430">
        <f>IF(L94="","",L94/(L94+$L$1/60))</f>
        <v/>
      </c>
      <c r="N94" s="352">
        <f>C94&amp;"全钢"</f>
        <v/>
      </c>
      <c r="O94" s="352">
        <f>IFERROR(_xlfn.XLOOKUP(F94,轮胎重量!J:J,轮胎重量!G:G),"")</f>
        <v/>
      </c>
      <c r="P94" s="352">
        <f>IFERROR(_xlfn.XLOOKUP(G94,硫化工艺!I:I,硫化工艺!J:J),"")</f>
        <v/>
      </c>
      <c r="Q94" s="352">
        <f>IFERROR(ROUND(1440/L94*(I94)*M94,0),"")</f>
        <v/>
      </c>
      <c r="R94" s="352" t="n"/>
      <c r="S94" s="352" t="n"/>
      <c r="T94" s="352" t="n"/>
      <c r="U94" s="352" t="n"/>
      <c r="V94" s="352" t="n"/>
      <c r="W94" s="352" t="n"/>
      <c r="X94" s="352" t="n"/>
      <c r="Y94" s="352" t="n"/>
      <c r="Z94" s="352" t="n"/>
      <c r="AA94" s="352" t="n"/>
      <c r="AB94" s="352" t="n"/>
      <c r="AC94" s="352" t="n"/>
      <c r="AD94" s="352" t="n"/>
      <c r="AE94" s="352" t="n"/>
      <c r="AF94" s="352" t="n"/>
      <c r="AG94" s="352" t="n"/>
      <c r="AH94" s="352" t="n"/>
      <c r="AI94" s="352" t="n"/>
      <c r="AJ94" s="352" t="n"/>
      <c r="AK94" s="352" t="n"/>
      <c r="AL94" s="352" t="n"/>
      <c r="AM94" s="352" t="n"/>
      <c r="AN94" s="352" t="n"/>
      <c r="AO94" s="352" t="n"/>
      <c r="AP94" s="352" t="n"/>
      <c r="AQ94" s="352" t="n"/>
      <c r="AR94" s="352" t="n"/>
      <c r="AS94" s="352" t="n"/>
      <c r="AT94" s="352" t="n"/>
      <c r="AU94" s="352" t="n"/>
      <c r="AV94" s="352" t="n"/>
      <c r="AW94" s="352">
        <f>IF(SUM(R94:AV94)=0,"",SUM(R94:AV94))</f>
        <v/>
      </c>
      <c r="AX94" s="431">
        <f>IFERROR(AW94*O94/1000,"")</f>
        <v/>
      </c>
      <c r="AY94" s="431">
        <f>IFERROR(ROUND(AW94*P94/10000,3),"")</f>
        <v/>
      </c>
      <c r="AZ94" s="359" t="n"/>
      <c r="BA94" s="362" t="n"/>
      <c r="BB94" s="362" t="n"/>
      <c r="BC94" s="331" t="n"/>
      <c r="BD94" s="331" t="n"/>
      <c r="BE94" s="331" t="n"/>
      <c r="BF94" s="331" t="n"/>
      <c r="BG94" s="331" t="n"/>
      <c r="BH94" s="331" t="n"/>
      <c r="BI94" s="331" t="n"/>
      <c r="BJ94" s="356">
        <f t="array" ref="BJ94:BM94">_xlfn.LET(_xlpm.data,$R94:$AV94,_xlpm.starts,{1,8,16,23},_xlpm.lengths,{7,7,8,9},_xlpm.arr,_xlfn.MAP(_xlpm.starts,_xlpm.lengths,_xlfn.LAMBDA(_xlpm.s,_xlpm.l,SUM(INDEX(_xlpm.data,,_xlfn.SEQUENCE(,_xlpm.l,_xlpm.s))))),ROUND(_xlpm.arr*$O94/1000,2))</f>
        <v/>
      </c>
      <c r="BK94" s="331" t="n">
        <v>0</v>
      </c>
      <c r="BL94" s="331" t="n">
        <v>0</v>
      </c>
      <c r="BM94" s="331" t="n">
        <v>0</v>
      </c>
      <c r="BN94" s="362">
        <f>SUM(BJ94:BM94)</f>
        <v/>
      </c>
      <c r="BO94" s="362" t="n">
        <v>0.24</v>
      </c>
      <c r="BP94" s="362" t="n">
        <v>14.82</v>
      </c>
      <c r="BQ94" s="362" t="n">
        <v>16.94</v>
      </c>
      <c r="BR94" s="362" t="n">
        <v>19.06</v>
      </c>
      <c r="BS94" s="115" t="n"/>
      <c r="BT94" s="362">
        <f t="array" ref="BT94:BW94">_xlfn.HSTACK(SUM(INDEX($R94:$AV94,1,1):INDEX($R94:$AV94,1,7)),SUM(INDEX($R94:$AV94,1,7):INDEX($R94:$AV94,1,13)),SUM(INDEX($R94:$AV94,1,16):INDEX($R94:$AV94,1,23)),SUM(INDEX($R94:$AV94,1,23):INDEX($R94:$AV94,1,31)))</f>
        <v/>
      </c>
      <c r="BU94" s="362" t="n">
        <v>0</v>
      </c>
      <c r="BV94" s="362" t="n">
        <v>0</v>
      </c>
      <c r="BW94" s="362" t="n">
        <v>0</v>
      </c>
      <c r="BY94" s="362">
        <f>SUM(R94:X94)</f>
        <v/>
      </c>
      <c r="BZ94" s="362">
        <f>SUM(Y94:AE94)</f>
        <v/>
      </c>
      <c r="CA94" s="362">
        <f>SUM(AF94:AM94)</f>
        <v/>
      </c>
      <c r="CB94" s="362">
        <f>SUM(AN94:AV94)</f>
        <v/>
      </c>
      <c r="CD94" s="432" t="inlineStr">
        <is>
          <t>ADA</t>
        </is>
      </c>
      <c r="CE94" s="362">
        <f>ROUND(BY94*$O94/1000,2)</f>
        <v/>
      </c>
      <c r="CF94" s="362">
        <f>ROUND(BZ94*$O94/1000,2)</f>
        <v/>
      </c>
      <c r="CG94" s="362">
        <f>ROUND(CA94*$O94/1000,2)</f>
        <v/>
      </c>
      <c r="CH94" s="362">
        <f>ROUND(CB94*$O94/1000,2)</f>
        <v/>
      </c>
      <c r="CI94" s="362">
        <f>SUM(CE94:CH94)</f>
        <v/>
      </c>
      <c r="CJ94" s="390" t="n"/>
      <c r="CK94" s="362">
        <f>IFERROR(ROUND(BY94*$P94,2),"")</f>
        <v/>
      </c>
      <c r="CL94" s="362">
        <f>IFERROR(ROUND(BZ94*$P94,2),"")</f>
        <v/>
      </c>
      <c r="CM94" s="362">
        <f>IFERROR(ROUND(CA94*$P94,2),"")</f>
        <v/>
      </c>
      <c r="CN94" s="362">
        <f>IFERROR(ROUND(CB94*$P94,2),"")</f>
        <v/>
      </c>
      <c r="CO94" s="362">
        <f>SUM(CK94:CN94)</f>
        <v/>
      </c>
    </row>
    <row r="95" hidden="1" ht="15.6" customFormat="1" customHeight="1" s="362">
      <c r="A95" s="331" t="n"/>
      <c r="B95" s="344">
        <f>_xlfn.XLOOKUP(G95,销售需求表!A:A,销售需求表!C:C)</f>
        <v/>
      </c>
      <c r="C95" s="345">
        <f>IFERROR(MID(F95,FIND("R",F95)+1,4),"")</f>
        <v/>
      </c>
      <c r="D95" s="344">
        <f>B95&amp;C95&amp;"寸"</f>
        <v/>
      </c>
      <c r="E95" s="346">
        <f>LEFT(REPLACE(G95,1,2,""),FIND("[",REPLACE(G95,1,2,""))-1)&amp;"-"&amp;MID(REPLACE(G95,1,2,""),FIND("[",REPLACE(G95,1,2,""))+1,FIND("]",REPLACE(G95,1,2,""))-FIND("[",REPLACE(G95,1,2,""))-1)</f>
        <v/>
      </c>
      <c r="F95" s="347">
        <f>IFERROR(MID(G95,3,FIND("(",G95)-3)&amp;"-"&amp;SUBSTITUTE(MID(G95,FIND("[",G95)+1,FIND("]",G95)-FIND("[",G95)-1),"Strong Guard ",""),"")</f>
        <v/>
      </c>
      <c r="G95" s="361" t="inlineStr">
        <is>
          <t>ID225/70R19.5-14PR(128/126N)[ECO-MILE AP]TRAVELSTAR无内</t>
        </is>
      </c>
      <c r="H95" s="344" t="n">
        <v>1200</v>
      </c>
      <c r="I95" s="348" t="n"/>
      <c r="J95" s="349">
        <f>IFERROR(LEFT(F95,FIND("-",F95))&amp;MID(F95,FIND("PR",F95,FIND("-",F95))+3,LEN(F95)),F95)</f>
        <v/>
      </c>
      <c r="K95" s="352">
        <f>_xlfn.XLOOKUP(F95,投产规格!E:E,投产规格!D:D,"未投产")</f>
        <v/>
      </c>
      <c r="L95" s="352">
        <f>IFERROR(_xlfn.XLOOKUP(F95,硫化工艺!B:B,硫化工艺!C:C),"")</f>
        <v/>
      </c>
      <c r="M95" s="430">
        <f>IF(L95="","",L95/(L95+$L$1/60))</f>
        <v/>
      </c>
      <c r="N95" s="352">
        <f>C95&amp;"全钢"</f>
        <v/>
      </c>
      <c r="O95" s="352">
        <f>IFERROR(_xlfn.XLOOKUP(F95,轮胎重量!J:J,轮胎重量!G:G),"")</f>
        <v/>
      </c>
      <c r="P95" s="358">
        <f>O95*13.9</f>
        <v/>
      </c>
      <c r="Q95" s="352">
        <f>IFERROR(ROUND(1440/L95*(I95)*M95,0),"")</f>
        <v/>
      </c>
      <c r="R95" s="352" t="n"/>
      <c r="S95" s="352" t="n"/>
      <c r="T95" s="352" t="n"/>
      <c r="U95" s="352" t="n"/>
      <c r="V95" s="352" t="n"/>
      <c r="W95" s="352" t="n"/>
      <c r="X95" s="352" t="n"/>
      <c r="Y95" s="352" t="n"/>
      <c r="Z95" s="352" t="n"/>
      <c r="AA95" s="352" t="n"/>
      <c r="AB95" s="352" t="n"/>
      <c r="AC95" s="352" t="n"/>
      <c r="AD95" s="352" t="n"/>
      <c r="AE95" s="352" t="n"/>
      <c r="AF95" s="352" t="n"/>
      <c r="AG95" s="352" t="n"/>
      <c r="AH95" s="352" t="n"/>
      <c r="AI95" s="352" t="n"/>
      <c r="AJ95" s="352" t="n"/>
      <c r="AK95" s="352" t="n"/>
      <c r="AL95" s="352" t="n"/>
      <c r="AM95" s="352" t="n"/>
      <c r="AN95" s="352" t="n"/>
      <c r="AO95" s="352" t="n"/>
      <c r="AP95" s="352" t="n"/>
      <c r="AQ95" s="352" t="n"/>
      <c r="AR95" s="352" t="n"/>
      <c r="AS95" s="352" t="n"/>
      <c r="AT95" s="352" t="n"/>
      <c r="AU95" s="352" t="n"/>
      <c r="AV95" s="352" t="n"/>
      <c r="AW95" s="352">
        <f>IF(SUM(R95:AV95)=0,"",SUM(R95:AV95))</f>
        <v/>
      </c>
      <c r="AX95" s="431">
        <f>IFERROR(AW95*O95/1000,"")</f>
        <v/>
      </c>
      <c r="AY95" s="431">
        <f>IFERROR(ROUND(AW95*P95/10000,3),"")</f>
        <v/>
      </c>
      <c r="AZ95" s="359" t="n"/>
      <c r="BA95" s="362" t="n"/>
      <c r="BB95" s="362" t="n"/>
      <c r="BC95" s="331" t="n"/>
      <c r="BD95" s="331" t="n"/>
      <c r="BE95" s="331" t="n"/>
      <c r="BF95" s="331" t="n"/>
      <c r="BG95" s="331" t="n"/>
      <c r="BH95" s="331" t="n"/>
      <c r="BI95" s="331" t="n"/>
      <c r="BJ95" s="356">
        <f t="array" ref="BJ95:BM95">_xlfn.LET(_xlpm.data,$R95:$AV95,_xlpm.starts,{1,8,16,23},_xlpm.lengths,{7,7,8,9},_xlpm.arr,_xlfn.MAP(_xlpm.starts,_xlpm.lengths,_xlfn.LAMBDA(_xlpm.s,_xlpm.l,SUM(INDEX(_xlpm.data,,_xlfn.SEQUENCE(,_xlpm.l,_xlpm.s))))),ROUND(_xlpm.arr*$O95/1000,2))</f>
        <v/>
      </c>
      <c r="BK95" s="331" t="n">
        <v>0</v>
      </c>
      <c r="BL95" s="331" t="n">
        <v>0</v>
      </c>
      <c r="BM95" s="331" t="n">
        <v>0</v>
      </c>
      <c r="BN95" s="362">
        <f>SUM(BJ95:BM95)</f>
        <v/>
      </c>
      <c r="BO95" s="362" t="e">
        <v>#VALUE!</v>
      </c>
      <c r="BP95" s="362" t="e">
        <v>#VALUE!</v>
      </c>
      <c r="BQ95" s="362" t="e">
        <v>#VALUE!</v>
      </c>
      <c r="BR95" s="362" t="e">
        <v>#VALUE!</v>
      </c>
      <c r="BS95" s="115" t="n"/>
      <c r="BT95" s="362">
        <f t="array" ref="BT95:BW95">_xlfn.HSTACK(SUM(INDEX($R95:$AV95,1,1):INDEX($R95:$AV95,1,7)),SUM(INDEX($R95:$AV95,1,7):INDEX($R95:$AV95,1,13)),SUM(INDEX($R95:$AV95,1,16):INDEX($R95:$AV95,1,23)),SUM(INDEX($R95:$AV95,1,23):INDEX($R95:$AV95,1,31)))</f>
        <v/>
      </c>
      <c r="BU95" s="362" t="n">
        <v>0</v>
      </c>
      <c r="BV95" s="362" t="n">
        <v>0</v>
      </c>
      <c r="BW95" s="362" t="n">
        <v>0</v>
      </c>
      <c r="BY95" s="362">
        <f>SUM(R95:X95)</f>
        <v/>
      </c>
      <c r="BZ95" s="362">
        <f>SUM(Y95:AE95)</f>
        <v/>
      </c>
      <c r="CA95" s="362">
        <f>SUM(AF95:AM95)</f>
        <v/>
      </c>
      <c r="CB95" s="362">
        <f>SUM(AN95:AV95)</f>
        <v/>
      </c>
      <c r="CD95" s="432" t="inlineStr">
        <is>
          <t>ADA</t>
        </is>
      </c>
      <c r="CE95" s="362">
        <f>ROUND(BY95*$O95/1000,2)</f>
        <v/>
      </c>
      <c r="CF95" s="362">
        <f>ROUND(BZ95*$O95/1000,2)</f>
        <v/>
      </c>
      <c r="CG95" s="362">
        <f>ROUND(CA95*$O95/1000,2)</f>
        <v/>
      </c>
      <c r="CH95" s="362">
        <f>ROUND(CB95*$O95/1000,2)</f>
        <v/>
      </c>
      <c r="CI95" s="362">
        <f>SUM(CE95:CH95)</f>
        <v/>
      </c>
      <c r="CJ95" s="390" t="n"/>
      <c r="CK95" s="362">
        <f>IFERROR(ROUND(BY95*$P95,2),"")</f>
        <v/>
      </c>
      <c r="CL95" s="362">
        <f>IFERROR(ROUND(BZ95*$P95,2),"")</f>
        <v/>
      </c>
      <c r="CM95" s="362">
        <f>IFERROR(ROUND(CA95*$P95,2),"")</f>
        <v/>
      </c>
      <c r="CN95" s="362">
        <f>IFERROR(ROUND(CB95*$P95,2),"")</f>
        <v/>
      </c>
      <c r="CO95" s="362">
        <f>SUM(CK95:CN95)</f>
        <v/>
      </c>
    </row>
    <row r="96" ht="15.6" customHeight="1" s="428">
      <c r="B96" s="344">
        <f>_xlfn.XLOOKUP(G96,销售需求表!A:A,销售需求表!C:C)</f>
        <v/>
      </c>
      <c r="C96" s="345">
        <f>IFERROR(MID(F96,FIND("R",F96)+1,4),"")</f>
        <v/>
      </c>
      <c r="D96" s="344">
        <f>B96&amp;C96&amp;"寸"</f>
        <v/>
      </c>
      <c r="E96" s="346">
        <f>LEFT(REPLACE(G96,1,2,""),FIND("[",REPLACE(G96,1,2,""))-1)&amp;"-"&amp;MID(REPLACE(G96,1,2,""),FIND("[",REPLACE(G96,1,2,""))+1,FIND("]",REPLACE(G96,1,2,""))-FIND("[",REPLACE(G96,1,2,""))-1)</f>
        <v/>
      </c>
      <c r="F96" s="347">
        <f>IFERROR(MID(G96,3,FIND("(",G96)-3)&amp;"-"&amp;SUBSTITUTE(MID(G96,FIND("[",G96)+1,FIND("]",G96)-FIND("[",G96)-1),"Strong Guard ",""),"")</f>
        <v/>
      </c>
      <c r="G96" s="361" t="inlineStr">
        <is>
          <t>ID225/70R19.5-14PR(128/126N)[ECO-MILE HTD]TRAVELSTAR无内</t>
        </is>
      </c>
      <c r="H96" s="344" t="n">
        <v>800</v>
      </c>
      <c r="I96" s="348" t="n"/>
      <c r="J96" s="349">
        <f>IFERROR(LEFT(F96,FIND("-",F96))&amp;MID(F96,FIND("PR",F96,FIND("-",F96))+3,LEN(F96)),F96)</f>
        <v/>
      </c>
      <c r="K96" s="352">
        <f>_xlfn.XLOOKUP(F96,投产规格!E:E,投产规格!D:D,"未投产")</f>
        <v/>
      </c>
      <c r="L96" s="352">
        <f>IFERROR(_xlfn.XLOOKUP(F96,硫化工艺!B:B,硫化工艺!C:C),"")</f>
        <v/>
      </c>
      <c r="M96" s="430">
        <f>IF(L96="","",L96/(L96+$L$1/60))</f>
        <v/>
      </c>
      <c r="N96" s="352">
        <f>C96&amp;"全钢"</f>
        <v/>
      </c>
      <c r="O96" s="352">
        <f>IFERROR(_xlfn.XLOOKUP(F96,轮胎重量!J:J,轮胎重量!G:G),"")</f>
        <v/>
      </c>
      <c r="P96" s="358">
        <f>O96*13.9</f>
        <v/>
      </c>
      <c r="Q96" s="352">
        <f>IFERROR(ROUND(1440/L96*(I96)*M96,0),"")</f>
        <v/>
      </c>
      <c r="R96" s="352" t="n"/>
      <c r="S96" s="352" t="n"/>
      <c r="T96" s="352" t="n"/>
      <c r="U96" s="352" t="n"/>
      <c r="V96" s="352" t="n"/>
      <c r="W96" s="352" t="n"/>
      <c r="X96" s="352" t="n"/>
      <c r="Y96" s="352" t="n"/>
      <c r="Z96" s="352" t="n"/>
      <c r="AA96" s="352" t="n"/>
      <c r="AB96" s="352" t="n"/>
      <c r="AC96" s="352" t="n"/>
      <c r="AD96" s="352" t="n"/>
      <c r="AE96" s="352" t="n"/>
      <c r="AF96" s="352" t="n"/>
      <c r="AG96" s="352" t="n"/>
      <c r="AH96" s="352" t="n"/>
      <c r="AI96" s="352" t="n"/>
      <c r="AJ96" s="352" t="n">
        <v>70</v>
      </c>
      <c r="AK96" s="352" t="n">
        <v>70</v>
      </c>
      <c r="AL96" s="352" t="n">
        <v>70</v>
      </c>
      <c r="AM96" s="352" t="n">
        <v>70</v>
      </c>
      <c r="AN96" s="352" t="n">
        <v>70</v>
      </c>
      <c r="AO96" s="352" t="n">
        <v>70</v>
      </c>
      <c r="AP96" s="352" t="n">
        <v>70</v>
      </c>
      <c r="AQ96" s="352" t="n">
        <v>70</v>
      </c>
      <c r="AR96" s="352" t="n">
        <v>70</v>
      </c>
      <c r="AS96" s="352" t="n">
        <v>70</v>
      </c>
      <c r="AT96" s="352" t="n">
        <v>70</v>
      </c>
      <c r="AU96" s="352" t="n">
        <v>70</v>
      </c>
      <c r="AV96" s="352" t="n">
        <v>70</v>
      </c>
      <c r="AW96" s="352">
        <f>IF(SUM(R96:AV96)=0,"",SUM(R96:AV96))</f>
        <v/>
      </c>
      <c r="AX96" s="431">
        <f>IFERROR(AW96*O96/1000,"")</f>
        <v/>
      </c>
      <c r="AY96" s="431">
        <f>IFERROR(ROUND(AW96*P96/10000,3),"")</f>
        <v/>
      </c>
      <c r="AZ96" s="359" t="n"/>
      <c r="BA96" s="362" t="n"/>
      <c r="BB96" s="362" t="n"/>
      <c r="BJ96" s="356">
        <f t="array" ref="BJ96:BM96">_xlfn.LET(_xlpm.data,$R96:$AV96,_xlpm.starts,{1,8,16,23},_xlpm.lengths,{7,7,8,9},_xlpm.arr,_xlfn.MAP(_xlpm.starts,_xlpm.lengths,_xlfn.LAMBDA(_xlpm.s,_xlpm.l,SUM(INDEX(_xlpm.data,,_xlfn.SEQUENCE(,_xlpm.l,_xlpm.s))))),ROUND(_xlpm.arr*$O96/1000,2))</f>
        <v/>
      </c>
      <c r="BK96" s="331" t="n">
        <v>0</v>
      </c>
      <c r="BL96" s="331" t="n">
        <v>10.57</v>
      </c>
      <c r="BM96" s="331" t="n">
        <v>19.03</v>
      </c>
      <c r="BN96" s="362">
        <f>SUM(BJ96:BM96)</f>
        <v/>
      </c>
      <c r="BO96" s="362" t="e">
        <v>#VALUE!</v>
      </c>
      <c r="BP96" s="362" t="e">
        <v>#VALUE!</v>
      </c>
      <c r="BQ96" s="362" t="e">
        <v>#VALUE!</v>
      </c>
      <c r="BR96" s="362" t="e">
        <v>#VALUE!</v>
      </c>
      <c r="BT96" s="362">
        <f t="array" ref="BT96:BW96">_xlfn.HSTACK(SUM(INDEX($R96:$AV96,1,1):INDEX($R96:$AV96,1,7)),SUM(INDEX($R96:$AV96,1,7):INDEX($R96:$AV96,1,13)),SUM(INDEX($R96:$AV96,1,16):INDEX($R96:$AV96,1,23)),SUM(INDEX($R96:$AV96,1,23):INDEX($R96:$AV96,1,31)))</f>
        <v/>
      </c>
      <c r="BU96" s="362" t="n">
        <v>0</v>
      </c>
      <c r="BV96" s="362" t="n">
        <v>350</v>
      </c>
      <c r="BW96" s="362" t="n">
        <v>630</v>
      </c>
      <c r="BY96" s="362">
        <f>SUM(R96:X96)</f>
        <v/>
      </c>
      <c r="BZ96" s="362">
        <f>SUM(Y96:AE96)</f>
        <v/>
      </c>
      <c r="CA96" s="362">
        <f>SUM(AF96:AM96)</f>
        <v/>
      </c>
      <c r="CB96" s="362">
        <f>SUM(AN96:AV96)</f>
        <v/>
      </c>
      <c r="CD96" s="432" t="inlineStr">
        <is>
          <t>ADA</t>
        </is>
      </c>
      <c r="CE96" s="362">
        <f>ROUND(BY96*$O96/1000,2)</f>
        <v/>
      </c>
      <c r="CF96" s="362">
        <f>ROUND(BZ96*$O96/1000,2)</f>
        <v/>
      </c>
      <c r="CG96" s="362">
        <f>ROUND(CA96*$O96/1000,2)</f>
        <v/>
      </c>
      <c r="CH96" s="362">
        <f>ROUND(CB96*$O96/1000,2)</f>
        <v/>
      </c>
      <c r="CI96" s="362">
        <f>SUM(CE96:CH96)</f>
        <v/>
      </c>
      <c r="CK96" s="362">
        <f>IFERROR(ROUND(BY96*$P96,2),"")</f>
        <v/>
      </c>
      <c r="CL96" s="362">
        <f>IFERROR(ROUND(BZ96*$P96,2),"")</f>
        <v/>
      </c>
      <c r="CM96" s="362">
        <f>IFERROR(ROUND(CA96*$P96,2),"")</f>
        <v/>
      </c>
      <c r="CN96" s="362">
        <f>IFERROR(ROUND(CB96*$P96,2),"")</f>
        <v/>
      </c>
      <c r="CO96" s="362">
        <f>SUM(CK96:CN96)</f>
        <v/>
      </c>
    </row>
    <row r="97" ht="15.6" customHeight="1" s="428">
      <c r="A97" s="441" t="n"/>
      <c r="B97" s="434">
        <f>_xlfn.XLOOKUP(G97,销售需求表!A:A,销售需求表!C:C)</f>
        <v/>
      </c>
      <c r="C97" s="435">
        <f>IFERROR(MID(F97,FIND("R",F97)+1,4),"")</f>
        <v/>
      </c>
      <c r="D97" s="434">
        <f>B97&amp;C97&amp;"寸"</f>
        <v/>
      </c>
      <c r="E97" s="436">
        <f>LEFT(REPLACE(G97,1,2,""),FIND("[",REPLACE(G97,1,2,""))-1)&amp;"-"&amp;MID(REPLACE(G97,1,2,""),FIND("[",REPLACE(G97,1,2,""))+1,FIND("]",REPLACE(G97,1,2,""))-FIND("[",REPLACE(G97,1,2,""))-1)</f>
        <v/>
      </c>
      <c r="F97" s="437">
        <f>IFERROR(MID(G97,3,FIND("(",G97)-3)&amp;"-"&amp;SUBSTITUTE(MID(G97,FIND("[",G97)+1,FIND("]",G97)-FIND("[",G97)-1),"Strong Guard ",""),"")</f>
        <v/>
      </c>
      <c r="G97" s="436" t="inlineStr">
        <is>
          <t>ID225/70R19.5-14PR(128/126N)[I-19A]IRONMAN无内</t>
        </is>
      </c>
      <c r="H97" s="434" t="n">
        <v>8000</v>
      </c>
      <c r="I97" s="434" t="n">
        <v>8</v>
      </c>
      <c r="J97" s="435">
        <f>IFERROR(LEFT(F97,FIND("-",F97))&amp;MID(F97,FIND("PR",F97,FIND("-",F97))+3,LEN(F97)),F97)</f>
        <v/>
      </c>
      <c r="K97" s="434">
        <f>_xlfn.XLOOKUP(F97,投产规格!E:E,投产规格!D:D,"未投产")</f>
        <v/>
      </c>
      <c r="L97" s="434">
        <f>IFERROR(_xlfn.XLOOKUP(F97,硫化工艺!B:B,硫化工艺!C:C),"")</f>
        <v/>
      </c>
      <c r="M97" s="438">
        <f>IF(L97="","",L97/(L97+$L$1/60))</f>
        <v/>
      </c>
      <c r="N97" s="434">
        <f>C97&amp;"全钢"</f>
        <v/>
      </c>
      <c r="O97" s="434">
        <f>IFERROR(_xlfn.XLOOKUP(F97,轮胎重量!J:J,轮胎重量!G:G),"")</f>
        <v/>
      </c>
      <c r="P97" s="434">
        <f>IFERROR(_xlfn.XLOOKUP(G97,硫化工艺!I:I,硫化工艺!J:J),"")</f>
        <v/>
      </c>
      <c r="Q97" s="434">
        <f>IFERROR(ROUND(1440/L97*(I97)*M97,0),"")</f>
        <v/>
      </c>
      <c r="R97" s="352" t="n">
        <v>310</v>
      </c>
      <c r="S97" s="352" t="n">
        <v>310</v>
      </c>
      <c r="T97" s="352" t="n">
        <v>310</v>
      </c>
      <c r="U97" s="352" t="n">
        <v>310</v>
      </c>
      <c r="V97" s="352" t="n">
        <v>310</v>
      </c>
      <c r="W97" s="352" t="n">
        <v>310</v>
      </c>
      <c r="X97" s="352" t="n">
        <v>310</v>
      </c>
      <c r="Y97" s="352" t="n">
        <v>310</v>
      </c>
      <c r="Z97" s="352" t="n">
        <v>310</v>
      </c>
      <c r="AA97" s="352" t="n">
        <v>310</v>
      </c>
      <c r="AB97" s="352" t="n">
        <v>310</v>
      </c>
      <c r="AC97" s="352" t="n">
        <v>310</v>
      </c>
      <c r="AD97" s="352" t="n">
        <v>310</v>
      </c>
      <c r="AE97" s="352" t="n">
        <v>310</v>
      </c>
      <c r="AF97" s="352" t="n">
        <v>310</v>
      </c>
      <c r="AG97" s="352" t="n">
        <v>310</v>
      </c>
      <c r="AH97" s="352" t="n">
        <v>310</v>
      </c>
      <c r="AI97" s="352" t="n">
        <v>310</v>
      </c>
      <c r="AJ97" s="352" t="n"/>
      <c r="AK97" s="352" t="n"/>
      <c r="AL97" s="352" t="n"/>
      <c r="AM97" s="352" t="n"/>
      <c r="AN97" s="352" t="n"/>
      <c r="AO97" s="352" t="n"/>
      <c r="AP97" s="352" t="n"/>
      <c r="AQ97" s="352" t="n"/>
      <c r="AR97" s="352" t="n"/>
      <c r="AS97" s="352" t="n"/>
      <c r="AT97" s="352" t="n"/>
      <c r="AU97" s="352" t="n"/>
      <c r="AV97" s="352" t="n"/>
      <c r="AW97" s="352">
        <f>IF(SUM(R97:AV97)=0,"",SUM(R97:AV97))</f>
        <v/>
      </c>
      <c r="AX97" s="431">
        <f>IFERROR(AW97*O97/1000,"")</f>
        <v/>
      </c>
      <c r="AY97" s="431">
        <f>IFERROR(ROUND(AW97*P97/10000,3),"")</f>
        <v/>
      </c>
      <c r="AZ97" s="359" t="n"/>
      <c r="BA97" s="362" t="n"/>
      <c r="BB97" s="362" t="n"/>
      <c r="BJ97" s="356">
        <f t="array" ref="BJ97:BM97">_xlfn.LET(_xlpm.data,$R97:$AV97,_xlpm.starts,{1,8,16,23},_xlpm.lengths,{7,7,8,9},_xlpm.arr,_xlfn.MAP(_xlpm.starts,_xlpm.lengths,_xlfn.LAMBDA(_xlpm.s,_xlpm.l,SUM(INDEX(_xlpm.data,,_xlfn.SEQUENCE(,_xlpm.l,_xlpm.s))))),ROUND(_xlpm.arr*$O97/1000,2))</f>
        <v/>
      </c>
      <c r="BK97" s="331" t="n">
        <v>63.93</v>
      </c>
      <c r="BL97" s="331" t="n">
        <v>27.4</v>
      </c>
      <c r="BM97" s="331" t="n">
        <v>0</v>
      </c>
      <c r="BN97" s="362">
        <f>SUM(BJ97:BM97)</f>
        <v/>
      </c>
      <c r="BO97" s="362" t="n">
        <v>15.01</v>
      </c>
      <c r="BP97" s="362" t="n">
        <v>15.01</v>
      </c>
      <c r="BQ97" s="362" t="n">
        <v>17.15</v>
      </c>
      <c r="BR97" s="362" t="n">
        <v>19.29</v>
      </c>
      <c r="BT97" s="362">
        <f t="array" ref="BT97:BW97">_xlfn.HSTACK(SUM(INDEX($R97:$AV97,1,1):INDEX($R97:$AV97,1,7)),SUM(INDEX($R97:$AV97,1,7):INDEX($R97:$AV97,1,13)),SUM(INDEX($R97:$AV97,1,16):INDEX($R97:$AV97,1,23)),SUM(INDEX($R97:$AV97,1,23):INDEX($R97:$AV97,1,31)))</f>
        <v/>
      </c>
      <c r="BU97" s="362" t="n">
        <v>2170</v>
      </c>
      <c r="BV97" s="362" t="n">
        <v>930</v>
      </c>
      <c r="BW97" s="362" t="n">
        <v>0</v>
      </c>
      <c r="BY97" s="362">
        <f>SUM(R97:X97)</f>
        <v/>
      </c>
      <c r="BZ97" s="362">
        <f>SUM(Y97:AE97)</f>
        <v/>
      </c>
      <c r="CA97" s="362">
        <f>SUM(AF97:AM97)</f>
        <v/>
      </c>
      <c r="CB97" s="362">
        <f>SUM(AN97:AV97)</f>
        <v/>
      </c>
      <c r="CD97" s="440" t="inlineStr">
        <is>
          <t>TIDAK ADA</t>
        </is>
      </c>
      <c r="CE97" s="362">
        <f>ROUND(BY97*$O97/1000,2)</f>
        <v/>
      </c>
      <c r="CF97" s="362">
        <f>ROUND(BZ97*$O97/1000,2)</f>
        <v/>
      </c>
      <c r="CG97" s="362">
        <f>ROUND(CA97*$O97/1000,2)</f>
        <v/>
      </c>
      <c r="CH97" s="362">
        <f>ROUND(CB97*$O97/1000,2)</f>
        <v/>
      </c>
      <c r="CI97" s="362">
        <f>SUM(CE97:CH97)</f>
        <v/>
      </c>
      <c r="CK97" s="362">
        <f>IFERROR(ROUND(BY97*$P97,2),"")</f>
        <v/>
      </c>
      <c r="CL97" s="362">
        <f>IFERROR(ROUND(BZ97*$P97,2),"")</f>
        <v/>
      </c>
      <c r="CM97" s="362">
        <f>IFERROR(ROUND(CA97*$P97,2),"")</f>
        <v/>
      </c>
      <c r="CN97" s="362">
        <f>IFERROR(ROUND(CB97*$P97,2),"")</f>
        <v/>
      </c>
      <c r="CO97" s="362">
        <f>SUM(CK97:CN97)</f>
        <v/>
      </c>
    </row>
    <row r="98" ht="15.6" customFormat="1" customHeight="1" s="362">
      <c r="A98" s="331" t="n"/>
      <c r="B98" s="344">
        <f>_xlfn.XLOOKUP(G98,销售需求表!A:A,销售需求表!C:C)</f>
        <v/>
      </c>
      <c r="C98" s="345">
        <f>IFERROR(MID(F98,FIND("R",F98)+1,4),"")</f>
        <v/>
      </c>
      <c r="D98" s="344">
        <f>B98&amp;C98&amp;"寸"</f>
        <v/>
      </c>
      <c r="E98" s="346">
        <f>LEFT(REPLACE(G98,1,2,""),FIND("[",REPLACE(G98,1,2,""))-1)&amp;"-"&amp;MID(REPLACE(G98,1,2,""),FIND("[",REPLACE(G98,1,2,""))+1,FIND("]",REPLACE(G98,1,2,""))-FIND("[",REPLACE(G98,1,2,""))-1)</f>
        <v/>
      </c>
      <c r="F98" s="347">
        <f>IFERROR(MID(G98,3,FIND("(",G98)-3)&amp;"-"&amp;SUBSTITUTE(MID(G98,FIND("[",G98)+1,FIND("]",G98)-FIND("[",G98)-1),"Strong Guard ",""),"")</f>
        <v/>
      </c>
      <c r="G98" s="361" t="inlineStr">
        <is>
          <t>ID225/70R19.5-14PR(128/126N)[I-37D]IRONMAN无内</t>
        </is>
      </c>
      <c r="H98" s="344" t="n">
        <v>600</v>
      </c>
      <c r="I98" s="348" t="n">
        <v>2</v>
      </c>
      <c r="J98" s="349">
        <f>IFERROR(LEFT(F98,FIND("-",F98))&amp;MID(F98,FIND("PR",F98,FIND("-",F98))+3,LEN(F98)),F98)</f>
        <v/>
      </c>
      <c r="K98" s="352">
        <f>_xlfn.XLOOKUP(F98,投产规格!E:E,投产规格!D:D,"未投产")</f>
        <v/>
      </c>
      <c r="L98" s="352">
        <f>IFERROR(_xlfn.XLOOKUP(F98,硫化工艺!B:B,硫化工艺!C:C),"")</f>
        <v/>
      </c>
      <c r="M98" s="430">
        <f>IF(L98="","",L98/(L98+$L$1/60))</f>
        <v/>
      </c>
      <c r="N98" s="352">
        <f>C98&amp;"全钢"</f>
        <v/>
      </c>
      <c r="O98" s="352">
        <f>IFERROR(_xlfn.XLOOKUP(F98,轮胎重量!J:J,轮胎重量!G:G),"")</f>
        <v/>
      </c>
      <c r="P98" s="352">
        <f>IFERROR(_xlfn.XLOOKUP(G98,硫化工艺!I:I,硫化工艺!J:J),"")</f>
        <v/>
      </c>
      <c r="Q98" s="352">
        <f>IFERROR(ROUND(1440/L98*(I98)*M98,0),"")</f>
        <v/>
      </c>
      <c r="R98" s="352" t="n"/>
      <c r="S98" s="352" t="n"/>
      <c r="T98" s="352" t="n"/>
      <c r="U98" s="352" t="n"/>
      <c r="V98" s="352" t="n"/>
      <c r="W98" s="352" t="n"/>
      <c r="X98" s="352" t="n"/>
      <c r="Y98" s="352" t="n"/>
      <c r="Z98" s="352" t="n"/>
      <c r="AA98" s="352" t="n"/>
      <c r="AB98" s="352" t="n"/>
      <c r="AC98" s="352" t="n"/>
      <c r="AD98" s="352" t="n"/>
      <c r="AE98" s="352" t="n"/>
      <c r="AF98" s="352" t="n"/>
      <c r="AG98" s="352" t="n"/>
      <c r="AH98" s="352" t="n"/>
      <c r="AI98" s="352" t="n"/>
      <c r="AJ98" s="352" t="n">
        <v>80</v>
      </c>
      <c r="AK98" s="352" t="n">
        <v>80</v>
      </c>
      <c r="AL98" s="352" t="n">
        <v>80</v>
      </c>
      <c r="AM98" s="352" t="n">
        <v>80</v>
      </c>
      <c r="AN98" s="352" t="n">
        <v>80</v>
      </c>
      <c r="AO98" s="352" t="n">
        <v>80</v>
      </c>
      <c r="AP98" s="352" t="n">
        <v>80</v>
      </c>
      <c r="AQ98" s="352" t="n">
        <v>80</v>
      </c>
      <c r="AR98" s="352" t="n">
        <v>80</v>
      </c>
      <c r="AS98" s="352" t="n"/>
      <c r="AT98" s="352" t="n"/>
      <c r="AU98" s="352" t="n"/>
      <c r="AV98" s="352" t="n"/>
      <c r="AW98" s="352">
        <f>IF(SUM(R98:AV98)=0,"",SUM(R98:AV98))</f>
        <v/>
      </c>
      <c r="AX98" s="431">
        <f>IFERROR(AW98*O98/1000,"")</f>
        <v/>
      </c>
      <c r="AY98" s="431">
        <f>IFERROR(ROUND(AW98*P98/10000,3),"")</f>
        <v/>
      </c>
      <c r="AZ98" s="359" t="n"/>
      <c r="BA98" s="362" t="n"/>
      <c r="BB98" s="362" t="n"/>
      <c r="BC98" s="331" t="n"/>
      <c r="BD98" s="331" t="n"/>
      <c r="BE98" s="331" t="n"/>
      <c r="BF98" s="331" t="n"/>
      <c r="BG98" s="331" t="n"/>
      <c r="BH98" s="331" t="n"/>
      <c r="BI98" s="331" t="n"/>
      <c r="BJ98" s="356">
        <f t="array" ref="BJ98:BM98">_xlfn.LET(_xlpm.data,$R98:$AV98,_xlpm.starts,{1,8,16,23},_xlpm.lengths,{7,7,8,9},_xlpm.arr,_xlfn.MAP(_xlpm.starts,_xlpm.lengths,_xlfn.LAMBDA(_xlpm.s,_xlpm.l,SUM(INDEX(_xlpm.data,,_xlfn.SEQUENCE(,_xlpm.l,_xlpm.s))))),ROUND(_xlpm.arr*$O98/1000,2))</f>
        <v/>
      </c>
      <c r="BK98" s="331" t="n">
        <v>0</v>
      </c>
      <c r="BL98" s="331" t="n">
        <v>12.26</v>
      </c>
      <c r="BM98" s="331" t="n">
        <v>12.26</v>
      </c>
      <c r="BN98" s="362">
        <f>SUM(BJ98:BM98)</f>
        <v/>
      </c>
      <c r="BO98" s="362" t="n">
        <v>8.02</v>
      </c>
      <c r="BP98" s="362" t="n">
        <v>14.04</v>
      </c>
      <c r="BQ98" s="362" t="n">
        <v>16.04</v>
      </c>
      <c r="BR98" s="362" t="n">
        <v>18.05</v>
      </c>
      <c r="BS98" s="115" t="n"/>
      <c r="BT98" s="362">
        <f t="array" ref="BT98:BW98">_xlfn.HSTACK(SUM(INDEX($R98:$AV98,1,1):INDEX($R98:$AV98,1,7)),SUM(INDEX($R98:$AV98,1,7):INDEX($R98:$AV98,1,13)),SUM(INDEX($R98:$AV98,1,16):INDEX($R98:$AV98,1,23)),SUM(INDEX($R98:$AV98,1,23):INDEX($R98:$AV98,1,31)))</f>
        <v/>
      </c>
      <c r="BU98" s="362" t="n">
        <v>0</v>
      </c>
      <c r="BV98" s="362" t="n">
        <v>400</v>
      </c>
      <c r="BW98" s="362" t="n">
        <v>400</v>
      </c>
      <c r="BY98" s="362">
        <f>SUM(R98:X98)</f>
        <v/>
      </c>
      <c r="BZ98" s="362">
        <f>SUM(Y98:AE98)</f>
        <v/>
      </c>
      <c r="CA98" s="362">
        <f>SUM(AF98:AM98)</f>
        <v/>
      </c>
      <c r="CB98" s="362">
        <f>SUM(AN98:AV98)</f>
        <v/>
      </c>
      <c r="CD98" s="432" t="inlineStr">
        <is>
          <t>ADA</t>
        </is>
      </c>
      <c r="CE98" s="362">
        <f>ROUND(BY98*$O98/1000,2)</f>
        <v/>
      </c>
      <c r="CF98" s="362">
        <f>ROUND(BZ98*$O98/1000,2)</f>
        <v/>
      </c>
      <c r="CG98" s="362">
        <f>ROUND(CA98*$O98/1000,2)</f>
        <v/>
      </c>
      <c r="CH98" s="362">
        <f>ROUND(CB98*$O98/1000,2)</f>
        <v/>
      </c>
      <c r="CI98" s="362">
        <f>SUM(CE98:CH98)</f>
        <v/>
      </c>
      <c r="CJ98" s="390" t="n"/>
      <c r="CK98" s="362">
        <f>IFERROR(ROUND(BY98*$P98,2),"")</f>
        <v/>
      </c>
      <c r="CL98" s="362">
        <f>IFERROR(ROUND(BZ98*$P98,2),"")</f>
        <v/>
      </c>
      <c r="CM98" s="362">
        <f>IFERROR(ROUND(CA98*$P98,2),"")</f>
        <v/>
      </c>
      <c r="CN98" s="362">
        <f>IFERROR(ROUND(CB98*$P98,2),"")</f>
        <v/>
      </c>
      <c r="CO98" s="362">
        <f>SUM(CK98:CN98)</f>
        <v/>
      </c>
    </row>
    <row r="99" ht="15.6" customFormat="1" customHeight="1" s="362">
      <c r="A99" s="331" t="n"/>
      <c r="B99" s="344">
        <f>_xlfn.XLOOKUP(G99,销售需求表!A:A,销售需求表!C:C)</f>
        <v/>
      </c>
      <c r="C99" s="345">
        <f>IFERROR(MID(F99,FIND("R",F99)+1,4),"")</f>
        <v/>
      </c>
      <c r="D99" s="344">
        <f>B99&amp;C99&amp;"寸"</f>
        <v/>
      </c>
      <c r="E99" s="346">
        <f>LEFT(REPLACE(G99,1,2,""),FIND("[",REPLACE(G99,1,2,""))-1)&amp;"-"&amp;MID(REPLACE(G99,1,2,""),FIND("[",REPLACE(G99,1,2,""))+1,FIND("]",REPLACE(G99,1,2,""))-FIND("[",REPLACE(G99,1,2,""))-1)</f>
        <v/>
      </c>
      <c r="F99" s="347">
        <f>IFERROR(MID(G99,3,FIND("(",G99)-3)&amp;"-"&amp;SUBSTITUTE(MID(G99,FIND("[",G99)+1,FIND("]",G99)-FIND("[",G99)-1),"Strong Guard ",""),"")</f>
        <v/>
      </c>
      <c r="G99" s="361" t="inlineStr">
        <is>
          <t>ID225/70R19.5-14PR(128/126N)[M-TRAC AP]MASTERTRACK无内</t>
        </is>
      </c>
      <c r="H99" s="344" t="n">
        <v>3300</v>
      </c>
      <c r="I99" s="348" t="n">
        <v>2</v>
      </c>
      <c r="J99" s="349">
        <f>IFERROR(LEFT(F99,FIND("-",F99))&amp;MID(F99,FIND("PR",F99,FIND("-",F99))+3,LEN(F99)),F99)</f>
        <v/>
      </c>
      <c r="K99" s="352">
        <f>_xlfn.XLOOKUP(F99,投产规格!E:E,投产规格!D:D,"未投产")</f>
        <v/>
      </c>
      <c r="L99" s="352">
        <f>IFERROR(_xlfn.XLOOKUP(F99,硫化工艺!B:B,硫化工艺!C:C),"")</f>
        <v/>
      </c>
      <c r="M99" s="430">
        <f>IF(L99="","",L99/(L99+$L$1/60))</f>
        <v/>
      </c>
      <c r="N99" s="352">
        <f>C99&amp;"全钢"</f>
        <v/>
      </c>
      <c r="O99" s="352">
        <f>IFERROR(_xlfn.XLOOKUP(F99,轮胎重量!J:J,轮胎重量!G:G),"")</f>
        <v/>
      </c>
      <c r="P99" s="352">
        <f>IFERROR(_xlfn.XLOOKUP(G99,硫化工艺!I:I,硫化工艺!J:J),"")</f>
        <v/>
      </c>
      <c r="Q99" s="352">
        <f>IFERROR(ROUND(1440/L99*(I99)*M99,0),"")</f>
        <v/>
      </c>
      <c r="R99" s="352" t="n"/>
      <c r="S99" s="352" t="n"/>
      <c r="T99" s="352" t="n"/>
      <c r="U99" s="352" t="n"/>
      <c r="V99" s="352" t="n"/>
      <c r="W99" s="352" t="n"/>
      <c r="X99" s="352" t="n"/>
      <c r="Y99" s="352" t="n"/>
      <c r="Z99" s="352" t="n"/>
      <c r="AA99" s="352" t="n"/>
      <c r="AB99" s="352" t="n"/>
      <c r="AC99" s="352" t="n"/>
      <c r="AD99" s="352" t="n"/>
      <c r="AE99" s="352" t="n"/>
      <c r="AF99" s="352" t="n"/>
      <c r="AG99" s="352" t="n"/>
      <c r="AH99" s="352" t="n"/>
      <c r="AI99" s="352" t="n"/>
      <c r="AJ99" s="352" t="n">
        <v>80</v>
      </c>
      <c r="AK99" s="352" t="n">
        <v>80</v>
      </c>
      <c r="AL99" s="352" t="n">
        <v>80</v>
      </c>
      <c r="AM99" s="352" t="n">
        <v>80</v>
      </c>
      <c r="AN99" s="352" t="n">
        <v>80</v>
      </c>
      <c r="AO99" s="352" t="n">
        <v>80</v>
      </c>
      <c r="AP99" s="352" t="n">
        <v>80</v>
      </c>
      <c r="AQ99" s="352" t="n">
        <v>80</v>
      </c>
      <c r="AR99" s="352" t="n">
        <v>80</v>
      </c>
      <c r="AS99" s="352" t="n">
        <v>80</v>
      </c>
      <c r="AT99" s="352" t="n">
        <v>80</v>
      </c>
      <c r="AU99" s="352" t="n">
        <v>80</v>
      </c>
      <c r="AV99" s="352" t="n">
        <v>80</v>
      </c>
      <c r="AW99" s="352">
        <f>IF(SUM(R99:AV99)=0,"",SUM(R99:AV99))</f>
        <v/>
      </c>
      <c r="AX99" s="431">
        <f>IFERROR(AW99*O99/1000,"")</f>
        <v/>
      </c>
      <c r="AY99" s="431">
        <f>IFERROR(ROUND(AW99*P99/10000,3),"")</f>
        <v/>
      </c>
      <c r="AZ99" s="359" t="n"/>
      <c r="BA99" s="362" t="n"/>
      <c r="BB99" s="362" t="n"/>
      <c r="BC99" s="331" t="n"/>
      <c r="BD99" s="331" t="n"/>
      <c r="BE99" s="331" t="n"/>
      <c r="BF99" s="331" t="n"/>
      <c r="BG99" s="331" t="n"/>
      <c r="BH99" s="331" t="n"/>
      <c r="BI99" s="331" t="n"/>
      <c r="BJ99" s="356">
        <f t="array" ref="BJ99:BM99">_xlfn.LET(_xlpm.data,$R99:$AV99,_xlpm.starts,{1,8,16,23},_xlpm.lengths,{7,7,8,9},_xlpm.arr,_xlfn.MAP(_xlpm.starts,_xlpm.lengths,_xlfn.LAMBDA(_xlpm.s,_xlpm.l,SUM(INDEX(_xlpm.data,,_xlfn.SEQUENCE(,_xlpm.l,_xlpm.s))))),ROUND(_xlpm.arr*$O99/1000,2))</f>
        <v/>
      </c>
      <c r="BK99" s="331" t="n">
        <v>0</v>
      </c>
      <c r="BL99" s="331" t="n">
        <v>11.78</v>
      </c>
      <c r="BM99" s="331" t="n">
        <v>21.21</v>
      </c>
      <c r="BN99" s="362">
        <f>SUM(BJ99:BM99)</f>
        <v/>
      </c>
      <c r="BO99" s="362" t="n">
        <v>0.24</v>
      </c>
      <c r="BP99" s="362" t="n">
        <v>14.82</v>
      </c>
      <c r="BQ99" s="362" t="n">
        <v>16.94</v>
      </c>
      <c r="BR99" s="362" t="n">
        <v>19.06</v>
      </c>
      <c r="BS99" s="115" t="n"/>
      <c r="BT99" s="362">
        <f t="array" ref="BT99:BW99">_xlfn.HSTACK(SUM(INDEX($R99:$AV99,1,1):INDEX($R99:$AV99,1,7)),SUM(INDEX($R99:$AV99,1,7):INDEX($R99:$AV99,1,13)),SUM(INDEX($R99:$AV99,1,16):INDEX($R99:$AV99,1,23)),SUM(INDEX($R99:$AV99,1,23):INDEX($R99:$AV99,1,31)))</f>
        <v/>
      </c>
      <c r="BU99" s="362" t="n">
        <v>0</v>
      </c>
      <c r="BV99" s="362" t="n">
        <v>400</v>
      </c>
      <c r="BW99" s="362" t="n">
        <v>720</v>
      </c>
      <c r="BY99" s="362">
        <f>SUM(R99:X99)</f>
        <v/>
      </c>
      <c r="BZ99" s="362">
        <f>SUM(Y99:AE99)</f>
        <v/>
      </c>
      <c r="CA99" s="362">
        <f>SUM(AF99:AM99)</f>
        <v/>
      </c>
      <c r="CB99" s="362">
        <f>SUM(AN99:AV99)</f>
        <v/>
      </c>
      <c r="CD99" s="432" t="inlineStr">
        <is>
          <t>ADA</t>
        </is>
      </c>
      <c r="CE99" s="362">
        <f>ROUND(BY99*$O99/1000,2)</f>
        <v/>
      </c>
      <c r="CF99" s="362">
        <f>ROUND(BZ99*$O99/1000,2)</f>
        <v/>
      </c>
      <c r="CG99" s="362">
        <f>ROUND(CA99*$O99/1000,2)</f>
        <v/>
      </c>
      <c r="CH99" s="362">
        <f>ROUND(CB99*$O99/1000,2)</f>
        <v/>
      </c>
      <c r="CI99" s="362">
        <f>SUM(CE99:CH99)</f>
        <v/>
      </c>
      <c r="CJ99" s="390" t="n"/>
      <c r="CK99" s="362">
        <f>IFERROR(ROUND(BY99*$P99,2),"")</f>
        <v/>
      </c>
      <c r="CL99" s="362">
        <f>IFERROR(ROUND(BZ99*$P99,2),"")</f>
        <v/>
      </c>
      <c r="CM99" s="362">
        <f>IFERROR(ROUND(CA99*$P99,2),"")</f>
        <v/>
      </c>
      <c r="CN99" s="362">
        <f>IFERROR(ROUND(CB99*$P99,2),"")</f>
        <v/>
      </c>
      <c r="CO99" s="362">
        <f>SUM(CK99:CN99)</f>
        <v/>
      </c>
    </row>
    <row r="100" ht="15.6" customFormat="1" customHeight="1" s="362">
      <c r="A100" s="331" t="n"/>
      <c r="B100" s="344">
        <f>_xlfn.XLOOKUP(G100,销售需求表!A:A,销售需求表!C:C)</f>
        <v/>
      </c>
      <c r="C100" s="345">
        <f>IFERROR(MID(F100,FIND("R",F100)+1,4),"")</f>
        <v/>
      </c>
      <c r="D100" s="344">
        <f>B100&amp;C100&amp;"寸"</f>
        <v/>
      </c>
      <c r="E100" s="346">
        <f>LEFT(REPLACE(G100,1,2,""),FIND("[",REPLACE(G100,1,2,""))-1)&amp;"-"&amp;MID(REPLACE(G100,1,2,""),FIND("[",REPLACE(G100,1,2,""))+1,FIND("]",REPLACE(G100,1,2,""))-FIND("[",REPLACE(G100,1,2,""))-1)</f>
        <v/>
      </c>
      <c r="F100" s="347">
        <f>IFERROR(MID(G100,3,FIND("(",G100)-3)&amp;"-"&amp;SUBSTITUTE(MID(G100,FIND("[",G100)+1,FIND("]",G100)-FIND("[",G100)-1),"Strong Guard ",""),"")</f>
        <v/>
      </c>
      <c r="G100" s="361" t="inlineStr">
        <is>
          <t>ID225/70R19.5-14PR(128/126N)[M-TRAC HTD]MASTERTRACK无内</t>
        </is>
      </c>
      <c r="H100" s="344" t="n">
        <v>1100</v>
      </c>
      <c r="I100" s="348" t="n">
        <v>2</v>
      </c>
      <c r="J100" s="349">
        <f>IFERROR(LEFT(F100,FIND("-",F100))&amp;MID(F100,FIND("PR",F100,FIND("-",F100))+3,LEN(F100)),F100)</f>
        <v/>
      </c>
      <c r="K100" s="352">
        <f>_xlfn.XLOOKUP(F100,投产规格!E:E,投产规格!D:D,"未投产")</f>
        <v/>
      </c>
      <c r="L100" s="352">
        <f>IFERROR(_xlfn.XLOOKUP(F100,硫化工艺!B:B,硫化工艺!C:C),"")</f>
        <v/>
      </c>
      <c r="M100" s="430">
        <f>IF(L100="","",L100/(L100+$L$1/60))</f>
        <v/>
      </c>
      <c r="N100" s="352">
        <f>C100&amp;"全钢"</f>
        <v/>
      </c>
      <c r="O100" s="352">
        <f>IFERROR(_xlfn.XLOOKUP(F100,轮胎重量!J:J,轮胎重量!G:G),"")</f>
        <v/>
      </c>
      <c r="P100" s="352">
        <f>IFERROR(_xlfn.XLOOKUP(G100,硫化工艺!I:I,硫化工艺!J:J),"")</f>
        <v/>
      </c>
      <c r="Q100" s="352">
        <f>IFERROR(ROUND(1440/L100*(I100)*M100,0),"")</f>
        <v/>
      </c>
      <c r="R100" s="352" t="n"/>
      <c r="S100" s="352" t="n"/>
      <c r="T100" s="352" t="n"/>
      <c r="U100" s="352" t="n"/>
      <c r="V100" s="352" t="n"/>
      <c r="W100" s="352" t="n"/>
      <c r="X100" s="352" t="n"/>
      <c r="Y100" s="352" t="n"/>
      <c r="Z100" s="352" t="n"/>
      <c r="AA100" s="352" t="n"/>
      <c r="AB100" s="352" t="n"/>
      <c r="AC100" s="352" t="n"/>
      <c r="AD100" s="352" t="n"/>
      <c r="AE100" s="352" t="n"/>
      <c r="AF100" s="352" t="n"/>
      <c r="AG100" s="352" t="n"/>
      <c r="AH100" s="352" t="n"/>
      <c r="AI100" s="352" t="n"/>
      <c r="AJ100" s="352" t="n">
        <v>80</v>
      </c>
      <c r="AK100" s="352" t="n">
        <v>80</v>
      </c>
      <c r="AL100" s="352" t="n">
        <v>80</v>
      </c>
      <c r="AM100" s="352" t="n">
        <v>80</v>
      </c>
      <c r="AN100" s="352" t="n">
        <v>80</v>
      </c>
      <c r="AO100" s="352" t="n">
        <v>80</v>
      </c>
      <c r="AP100" s="352" t="n">
        <v>80</v>
      </c>
      <c r="AQ100" s="352" t="n">
        <v>80</v>
      </c>
      <c r="AR100" s="352" t="n">
        <v>80</v>
      </c>
      <c r="AS100" s="352" t="n">
        <v>80</v>
      </c>
      <c r="AT100" s="352" t="n">
        <v>80</v>
      </c>
      <c r="AU100" s="352" t="n">
        <v>80</v>
      </c>
      <c r="AV100" s="352" t="n">
        <v>80</v>
      </c>
      <c r="AW100" s="352">
        <f>IF(SUM(R100:AV100)=0,"",SUM(R100:AV100))</f>
        <v/>
      </c>
      <c r="AX100" s="431">
        <f>IFERROR(AW100*O100/1000,"")</f>
        <v/>
      </c>
      <c r="AY100" s="431">
        <f>IFERROR(ROUND(AW100*P100/10000,3),"")</f>
        <v/>
      </c>
      <c r="AZ100" s="359" t="n"/>
      <c r="BA100" s="362" t="n"/>
      <c r="BB100" s="362" t="n"/>
      <c r="BC100" s="331" t="n"/>
      <c r="BD100" s="331" t="n"/>
      <c r="BE100" s="331" t="n"/>
      <c r="BF100" s="331" t="n"/>
      <c r="BG100" s="331" t="n"/>
      <c r="BH100" s="331" t="n"/>
      <c r="BI100" s="331" t="n"/>
      <c r="BJ100" s="356">
        <f t="array" ref="BJ100:BM100">_xlfn.LET(_xlpm.data,$R100:$AV100,_xlpm.starts,{1,8,16,23},_xlpm.lengths,{7,7,8,9},_xlpm.arr,_xlfn.MAP(_xlpm.starts,_xlpm.lengths,_xlfn.LAMBDA(_xlpm.s,_xlpm.l,SUM(INDEX(_xlpm.data,,_xlfn.SEQUENCE(,_xlpm.l,_xlpm.s))))),ROUND(_xlpm.arr*$O100/1000,2))</f>
        <v/>
      </c>
      <c r="BK100" s="331" t="n">
        <v>0</v>
      </c>
      <c r="BL100" s="331" t="n">
        <v>12.34</v>
      </c>
      <c r="BM100" s="331" t="n">
        <v>22.21</v>
      </c>
      <c r="BN100" s="362">
        <f>SUM(BJ100:BM100)</f>
        <v/>
      </c>
      <c r="BO100" s="362" t="n">
        <v>0</v>
      </c>
      <c r="BP100" s="362" t="n">
        <v>0</v>
      </c>
      <c r="BQ100" s="362" t="n">
        <v>2.69</v>
      </c>
      <c r="BR100" s="362" t="n">
        <v>20.9</v>
      </c>
      <c r="BS100" s="115" t="n"/>
      <c r="BT100" s="362">
        <f t="array" ref="BT100:BW100">_xlfn.HSTACK(SUM(INDEX($R100:$AV100,1,1):INDEX($R100:$AV100,1,7)),SUM(INDEX($R100:$AV100,1,7):INDEX($R100:$AV100,1,13)),SUM(INDEX($R100:$AV100,1,16):INDEX($R100:$AV100,1,23)),SUM(INDEX($R100:$AV100,1,23):INDEX($R100:$AV100,1,31)))</f>
        <v/>
      </c>
      <c r="BU100" s="362" t="n">
        <v>0</v>
      </c>
      <c r="BV100" s="362" t="n">
        <v>400</v>
      </c>
      <c r="BW100" s="362" t="n">
        <v>720</v>
      </c>
      <c r="BY100" s="362">
        <f>SUM(R100:X100)</f>
        <v/>
      </c>
      <c r="BZ100" s="362">
        <f>SUM(Y100:AE100)</f>
        <v/>
      </c>
      <c r="CA100" s="362">
        <f>SUM(AF100:AM100)</f>
        <v/>
      </c>
      <c r="CB100" s="362">
        <f>SUM(AN100:AV100)</f>
        <v/>
      </c>
      <c r="CD100" s="432" t="inlineStr">
        <is>
          <t>ADA</t>
        </is>
      </c>
      <c r="CE100" s="362">
        <f>ROUND(BY100*$O100/1000,2)</f>
        <v/>
      </c>
      <c r="CF100" s="362">
        <f>ROUND(BZ100*$O100/1000,2)</f>
        <v/>
      </c>
      <c r="CG100" s="362">
        <f>ROUND(CA100*$O100/1000,2)</f>
        <v/>
      </c>
      <c r="CH100" s="362">
        <f>ROUND(CB100*$O100/1000,2)</f>
        <v/>
      </c>
      <c r="CI100" s="362">
        <f>SUM(CE100:CH100)</f>
        <v/>
      </c>
      <c r="CJ100" s="390" t="n"/>
      <c r="CK100" s="362">
        <f>IFERROR(ROUND(BY100*$P100,2),"")</f>
        <v/>
      </c>
      <c r="CL100" s="362">
        <f>IFERROR(ROUND(BZ100*$P100,2),"")</f>
        <v/>
      </c>
      <c r="CM100" s="362">
        <f>IFERROR(ROUND(CA100*$P100,2),"")</f>
        <v/>
      </c>
      <c r="CN100" s="362">
        <f>IFERROR(ROUND(CB100*$P100,2),"")</f>
        <v/>
      </c>
      <c r="CO100" s="362">
        <f>SUM(CK100:CN100)</f>
        <v/>
      </c>
    </row>
    <row r="101" ht="15.6" customFormat="1" customHeight="1" s="362">
      <c r="A101" s="331" t="n"/>
      <c r="B101" s="344">
        <f>_xlfn.XLOOKUP(G101,销售需求表!A:A,销售需求表!C:C)</f>
        <v/>
      </c>
      <c r="C101" s="345">
        <f>IFERROR(MID(F101,FIND("R",F101)+1,4),"")</f>
        <v/>
      </c>
      <c r="D101" s="344">
        <f>B101&amp;C101&amp;"寸"</f>
        <v/>
      </c>
      <c r="E101" s="346">
        <f>LEFT(REPLACE(G101,1,2,""),FIND("[",REPLACE(G101,1,2,""))-1)&amp;"-"&amp;MID(REPLACE(G101,1,2,""),FIND("[",REPLACE(G101,1,2,""))+1,FIND("]",REPLACE(G101,1,2,""))-FIND("[",REPLACE(G101,1,2,""))-1)</f>
        <v/>
      </c>
      <c r="F101" s="347">
        <f>IFERROR(MID(G101,3,FIND("(",G101)-3)&amp;"-"&amp;SUBSTITUTE(MID(G101,FIND("[",G101)+1,FIND("]",G101)-FIND("[",G101)-1),"Strong Guard ",""),"")</f>
        <v/>
      </c>
      <c r="G101" s="361" t="inlineStr">
        <is>
          <t>ID225/70R19.5-14PR(128/126M)[VD935]VITOUR无内</t>
        </is>
      </c>
      <c r="H101" s="344" t="n">
        <v>1000</v>
      </c>
      <c r="I101" s="348" t="n"/>
      <c r="J101" s="349">
        <f>IFERROR(LEFT(F101,FIND("-",F101))&amp;MID(F101,FIND("PR",F101,FIND("-",F101))+3,LEN(F101)),F101)</f>
        <v/>
      </c>
      <c r="K101" s="352" t="inlineStr">
        <is>
          <t>✔</t>
        </is>
      </c>
      <c r="L101" s="352">
        <f>IFERROR(_xlfn.XLOOKUP(F101,硫化工艺!B:B,硫化工艺!C:C),"")</f>
        <v/>
      </c>
      <c r="M101" s="430">
        <f>IF(L101="","",L101/(L101+$L$1/60))</f>
        <v/>
      </c>
      <c r="N101" s="352">
        <f>C101&amp;"全钢"</f>
        <v/>
      </c>
      <c r="O101" s="352">
        <f>IFERROR(_xlfn.XLOOKUP(F101,轮胎重量!J:J,轮胎重量!G:G),"")</f>
        <v/>
      </c>
      <c r="P101" s="352">
        <f>IFERROR(_xlfn.XLOOKUP(G101,硫化工艺!I:I,硫化工艺!J:J),"")</f>
        <v/>
      </c>
      <c r="Q101" s="352">
        <f>IFERROR(ROUND(1440/L101*(I101)*M101,0),"")</f>
        <v/>
      </c>
      <c r="R101" s="352" t="n"/>
      <c r="S101" s="352" t="n"/>
      <c r="T101" s="352" t="n"/>
      <c r="U101" s="352" t="n"/>
      <c r="V101" s="352" t="n"/>
      <c r="W101" s="352" t="n"/>
      <c r="X101" s="352" t="n"/>
      <c r="Y101" s="352" t="n"/>
      <c r="Z101" s="352" t="n"/>
      <c r="AA101" s="352" t="n"/>
      <c r="AB101" s="352" t="n"/>
      <c r="AC101" s="352" t="n"/>
      <c r="AD101" s="352" t="n"/>
      <c r="AE101" s="352" t="n"/>
      <c r="AF101" s="352" t="n"/>
      <c r="AG101" s="352" t="n"/>
      <c r="AH101" s="352" t="n"/>
      <c r="AI101" s="352" t="n"/>
      <c r="AJ101" s="352" t="n">
        <v>80</v>
      </c>
      <c r="AK101" s="352" t="n">
        <v>80</v>
      </c>
      <c r="AL101" s="352" t="n">
        <v>80</v>
      </c>
      <c r="AM101" s="352" t="n">
        <v>80</v>
      </c>
      <c r="AN101" s="352" t="n">
        <v>80</v>
      </c>
      <c r="AO101" s="352" t="n">
        <v>80</v>
      </c>
      <c r="AP101" s="352" t="n">
        <v>80</v>
      </c>
      <c r="AQ101" s="352" t="n">
        <v>80</v>
      </c>
      <c r="AR101" s="352" t="n">
        <v>80</v>
      </c>
      <c r="AS101" s="352" t="n">
        <v>80</v>
      </c>
      <c r="AT101" s="352" t="n">
        <v>80</v>
      </c>
      <c r="AU101" s="352" t="n">
        <v>80</v>
      </c>
      <c r="AV101" s="352" t="n">
        <v>80</v>
      </c>
      <c r="AW101" s="352">
        <f>IF(SUM(R101:AV101)=0,"",SUM(R101:AV101))</f>
        <v/>
      </c>
      <c r="AX101" s="431">
        <f>IFERROR(AW101*O101/1000,"")</f>
        <v/>
      </c>
      <c r="AY101" s="431">
        <f>IFERROR(ROUND(AW101*P101/10000,3),"")</f>
        <v/>
      </c>
      <c r="AZ101" s="359" t="n"/>
      <c r="BA101" s="362" t="n"/>
      <c r="BB101" s="362" t="n"/>
      <c r="BC101" s="331" t="n"/>
      <c r="BD101" s="331" t="n"/>
      <c r="BE101" s="331" t="n"/>
      <c r="BF101" s="331" t="n"/>
      <c r="BG101" s="331" t="n"/>
      <c r="BH101" s="331" t="n"/>
      <c r="BI101" s="331" t="n"/>
      <c r="BJ101" s="356">
        <f t="array" ref="BJ101:BM101">_xlfn.LET(_xlpm.data,$R101:$AV101,_xlpm.starts,{1,8,16,23},_xlpm.lengths,{7,7,8,9},_xlpm.arr,_xlfn.MAP(_xlpm.starts,_xlpm.lengths,_xlfn.LAMBDA(_xlpm.s,_xlpm.l,SUM(INDEX(_xlpm.data,,_xlfn.SEQUENCE(,_xlpm.l,_xlpm.s))))),ROUND(_xlpm.arr*$O101/1000,2))</f>
        <v/>
      </c>
      <c r="BK101" s="331" t="n">
        <v>0</v>
      </c>
      <c r="BL101" s="331" t="n">
        <v>12.41</v>
      </c>
      <c r="BM101" s="331" t="n">
        <v>22.34</v>
      </c>
      <c r="BN101" s="362">
        <f>SUM(BJ101:BM101)</f>
        <v/>
      </c>
      <c r="BO101" s="362" t="n">
        <v>15.49</v>
      </c>
      <c r="BP101" s="362" t="n">
        <v>15.49</v>
      </c>
      <c r="BQ101" s="362" t="n">
        <v>17.71</v>
      </c>
      <c r="BR101" s="362" t="n">
        <v>19.92</v>
      </c>
      <c r="BS101" s="115" t="n"/>
      <c r="BT101" s="362">
        <f t="array" ref="BT101:BW101">_xlfn.HSTACK(SUM(INDEX($R101:$AV101,1,1):INDEX($R101:$AV101,1,7)),SUM(INDEX($R101:$AV101,1,7):INDEX($R101:$AV101,1,13)),SUM(INDEX($R101:$AV101,1,16):INDEX($R101:$AV101,1,23)),SUM(INDEX($R101:$AV101,1,23):INDEX($R101:$AV101,1,31)))</f>
        <v/>
      </c>
      <c r="BU101" s="362" t="n">
        <v>0</v>
      </c>
      <c r="BV101" s="362" t="n">
        <v>400</v>
      </c>
      <c r="BW101" s="362" t="n">
        <v>720</v>
      </c>
      <c r="BY101" s="362">
        <f>SUM(R101:X101)</f>
        <v/>
      </c>
      <c r="BZ101" s="362">
        <f>SUM(Y101:AE101)</f>
        <v/>
      </c>
      <c r="CA101" s="362">
        <f>SUM(AF101:AM101)</f>
        <v/>
      </c>
      <c r="CB101" s="362">
        <f>SUM(AN101:AV101)</f>
        <v/>
      </c>
      <c r="CD101" s="432" t="inlineStr">
        <is>
          <t>ADA</t>
        </is>
      </c>
      <c r="CE101" s="362">
        <f>ROUND(BY101*$O101/1000,2)</f>
        <v/>
      </c>
      <c r="CF101" s="362">
        <f>ROUND(BZ101*$O101/1000,2)</f>
        <v/>
      </c>
      <c r="CG101" s="362">
        <f>ROUND(CA101*$O101/1000,2)</f>
        <v/>
      </c>
      <c r="CH101" s="362">
        <f>ROUND(CB101*$O101/1000,2)</f>
        <v/>
      </c>
      <c r="CI101" s="362">
        <f>SUM(CE101:CH101)</f>
        <v/>
      </c>
      <c r="CJ101" s="390" t="n"/>
      <c r="CK101" s="362">
        <f>IFERROR(ROUND(BY101*$P101,2),"")</f>
        <v/>
      </c>
      <c r="CL101" s="362">
        <f>IFERROR(ROUND(BZ101*$P101,2),"")</f>
        <v/>
      </c>
      <c r="CM101" s="362">
        <f>IFERROR(ROUND(CA101*$P101,2),"")</f>
        <v/>
      </c>
      <c r="CN101" s="362">
        <f>IFERROR(ROUND(CB101*$P101,2),"")</f>
        <v/>
      </c>
      <c r="CO101" s="362">
        <f>SUM(CK101:CN101)</f>
        <v/>
      </c>
    </row>
    <row r="102" hidden="1" ht="15.6" customFormat="1" customHeight="1" s="362">
      <c r="A102" s="433" t="n"/>
      <c r="B102" s="434">
        <f>_xlfn.XLOOKUP(G102,销售需求表!A:A,销售需求表!C:C)</f>
        <v/>
      </c>
      <c r="C102" s="435">
        <f>IFERROR(MID(F102,FIND("R",F102)+1,4),"")</f>
        <v/>
      </c>
      <c r="D102" s="434">
        <f>B102&amp;C102&amp;"寸"</f>
        <v/>
      </c>
      <c r="E102" s="436">
        <f>LEFT(REPLACE(G102,1,2,""),FIND("[",REPLACE(G102,1,2,""))-1)&amp;"-"&amp;MID(REPLACE(G102,1,2,""),FIND("[",REPLACE(G102,1,2,""))+1,FIND("]",REPLACE(G102,1,2,""))-FIND("[",REPLACE(G102,1,2,""))-1)</f>
        <v/>
      </c>
      <c r="F102" s="437">
        <f>IFERROR(MID(G102,3,FIND("(",G102)-3)&amp;"-"&amp;SUBSTITUTE(MID(G102,FIND("[",G102)+1,FIND("]",G102)-FIND("[",G102)-1),"Strong Guard ",""),"")</f>
        <v/>
      </c>
      <c r="G102" s="436" t="inlineStr">
        <is>
          <t>ID245/70R19.5-16PR(136/134J)[ECO-MILE RDW]TRAVELSTAR无内</t>
        </is>
      </c>
      <c r="H102" s="434" t="n">
        <v>120</v>
      </c>
      <c r="I102" s="434" t="n"/>
      <c r="J102" s="435">
        <f>IFERROR(LEFT(F102,FIND("-",F102))&amp;MID(F102,FIND("PR",F102,FIND("-",F102))+3,LEN(F102)),F102)</f>
        <v/>
      </c>
      <c r="K102" s="434">
        <f>_xlfn.XLOOKUP(F102,投产规格!E:E,投产规格!D:D,"未投产")</f>
        <v/>
      </c>
      <c r="L102" s="434">
        <f>IFERROR(_xlfn.XLOOKUP(F102,硫化工艺!B:B,硫化工艺!C:C),"")</f>
        <v/>
      </c>
      <c r="M102" s="438">
        <f>IF(L102="","",L102/(L102+$L$1/60))</f>
        <v/>
      </c>
      <c r="N102" s="434">
        <f>C102&amp;"全钢"</f>
        <v/>
      </c>
      <c r="O102" s="434">
        <f>IFERROR(_xlfn.XLOOKUP(F102,轮胎重量!J:J,轮胎重量!G:G),"")</f>
        <v/>
      </c>
      <c r="P102" s="439">
        <f>O102*13.9</f>
        <v/>
      </c>
      <c r="Q102" s="434">
        <f>IFERROR(ROUND(1440/L102*(I102)*M102,0),"")</f>
        <v/>
      </c>
      <c r="R102" s="352" t="n"/>
      <c r="S102" s="352" t="n"/>
      <c r="T102" s="352" t="n"/>
      <c r="U102" s="352" t="n"/>
      <c r="V102" s="352" t="n"/>
      <c r="W102" s="352" t="n"/>
      <c r="X102" s="352" t="n"/>
      <c r="Y102" s="352" t="n"/>
      <c r="Z102" s="352" t="n"/>
      <c r="AA102" s="352" t="n"/>
      <c r="AB102" s="352" t="n"/>
      <c r="AC102" s="352" t="n"/>
      <c r="AD102" s="352" t="n"/>
      <c r="AE102" s="352" t="n"/>
      <c r="AF102" s="352" t="n"/>
      <c r="AG102" s="352" t="n"/>
      <c r="AH102" s="352" t="n"/>
      <c r="AI102" s="352" t="n"/>
      <c r="AJ102" s="352" t="n"/>
      <c r="AK102" s="352" t="n"/>
      <c r="AL102" s="352" t="n"/>
      <c r="AM102" s="352" t="n"/>
      <c r="AN102" s="352" t="n"/>
      <c r="AO102" s="352" t="n"/>
      <c r="AP102" s="352" t="n"/>
      <c r="AQ102" s="352" t="n"/>
      <c r="AR102" s="352" t="n"/>
      <c r="AS102" s="352" t="n"/>
      <c r="AT102" s="352" t="n"/>
      <c r="AU102" s="352" t="n"/>
      <c r="AV102" s="352" t="n"/>
      <c r="AW102" s="352">
        <f>IF(SUM(R102:AV102)=0,"",SUM(R102:AV102))</f>
        <v/>
      </c>
      <c r="AX102" s="431">
        <f>IFERROR(AW102*O102/1000,"")</f>
        <v/>
      </c>
      <c r="AY102" s="431">
        <f>IFERROR(ROUND(AW102*P102/10000,3),"")</f>
        <v/>
      </c>
      <c r="AZ102" s="359" t="n"/>
      <c r="BA102" s="362" t="n"/>
      <c r="BB102" s="362" t="n"/>
      <c r="BC102" s="331" t="n"/>
      <c r="BD102" s="331" t="n"/>
      <c r="BE102" s="331" t="n"/>
      <c r="BF102" s="331" t="n"/>
      <c r="BG102" s="331" t="n"/>
      <c r="BH102" s="331" t="n"/>
      <c r="BI102" s="331" t="n"/>
      <c r="BJ102" s="356">
        <f t="array" ref="BJ102:BM102">_xlfn.LET(_xlpm.data,$R102:$AV102,_xlpm.starts,{1,8,16,23},_xlpm.lengths,{7,7,8,9},_xlpm.arr,_xlfn.MAP(_xlpm.starts,_xlpm.lengths,_xlfn.LAMBDA(_xlpm.s,_xlpm.l,SUM(INDEX(_xlpm.data,,_xlfn.SEQUENCE(,_xlpm.l,_xlpm.s))))),ROUND(_xlpm.arr*$O102/1000,2))</f>
        <v/>
      </c>
      <c r="BK102" s="331" t="n">
        <v>0</v>
      </c>
      <c r="BL102" s="331" t="n">
        <v>0</v>
      </c>
      <c r="BM102" s="331" t="n">
        <v>0</v>
      </c>
      <c r="BN102" s="362">
        <f>SUM(BJ102:BM102)</f>
        <v/>
      </c>
      <c r="BO102" s="362" t="n">
        <v>0</v>
      </c>
      <c r="BP102" s="362" t="n">
        <v>0.37</v>
      </c>
      <c r="BQ102" s="362" t="n">
        <v>18.79</v>
      </c>
      <c r="BR102" s="362" t="n">
        <v>21.14</v>
      </c>
      <c r="BS102" s="115" t="n"/>
      <c r="BT102" s="362">
        <f t="array" ref="BT102:BW102">_xlfn.HSTACK(SUM(INDEX($R102:$AV102,1,1):INDEX($R102:$AV102,1,7)),SUM(INDEX($R102:$AV102,1,7):INDEX($R102:$AV102,1,13)),SUM(INDEX($R102:$AV102,1,16):INDEX($R102:$AV102,1,23)),SUM(INDEX($R102:$AV102,1,23):INDEX($R102:$AV102,1,31)))</f>
        <v/>
      </c>
      <c r="BU102" s="362" t="n">
        <v>0</v>
      </c>
      <c r="BV102" s="362" t="n">
        <v>0</v>
      </c>
      <c r="BW102" s="362" t="n">
        <v>0</v>
      </c>
      <c r="BY102" s="362">
        <f>SUM(R102:X102)</f>
        <v/>
      </c>
      <c r="BZ102" s="362">
        <f>SUM(Y102:AE102)</f>
        <v/>
      </c>
      <c r="CA102" s="362">
        <f>SUM(AF102:AM102)</f>
        <v/>
      </c>
      <c r="CB102" s="362">
        <f>SUM(AN102:AV102)</f>
        <v/>
      </c>
      <c r="CD102" s="440" t="inlineStr">
        <is>
          <t>TIDAK ADA</t>
        </is>
      </c>
      <c r="CE102" s="362">
        <f>ROUND(BY102*$O102/1000,2)</f>
        <v/>
      </c>
      <c r="CF102" s="362">
        <f>ROUND(BZ102*$O102/1000,2)</f>
        <v/>
      </c>
      <c r="CG102" s="362">
        <f>ROUND(CA102*$O102/1000,2)</f>
        <v/>
      </c>
      <c r="CH102" s="362">
        <f>ROUND(CB102*$O102/1000,2)</f>
        <v/>
      </c>
      <c r="CI102" s="362">
        <f>SUM(CE102:CH102)</f>
        <v/>
      </c>
      <c r="CJ102" s="390" t="n"/>
      <c r="CK102" s="362">
        <f>IFERROR(ROUND(BY102*$P102,2),"")</f>
        <v/>
      </c>
      <c r="CL102" s="362">
        <f>IFERROR(ROUND(BZ102*$P102,2),"")</f>
        <v/>
      </c>
      <c r="CM102" s="362">
        <f>IFERROR(ROUND(CA102*$P102,2),"")</f>
        <v/>
      </c>
      <c r="CN102" s="362">
        <f>IFERROR(ROUND(CB102*$P102,2),"")</f>
        <v/>
      </c>
      <c r="CO102" s="362">
        <f>SUM(CK102:CN102)</f>
        <v/>
      </c>
    </row>
    <row r="103" ht="15.6" customFormat="1" customHeight="1" s="362">
      <c r="A103" s="331" t="n"/>
      <c r="B103" s="344">
        <f>_xlfn.XLOOKUP(G103,销售需求表!A:A,销售需求表!C:C)</f>
        <v/>
      </c>
      <c r="C103" s="345">
        <f>IFERROR(MID(F103,FIND("R",F103)+1,4),"")</f>
        <v/>
      </c>
      <c r="D103" s="344">
        <f>B103&amp;C103&amp;"寸"</f>
        <v/>
      </c>
      <c r="E103" s="346">
        <f>LEFT(REPLACE(G103,1,2,""),FIND("[",REPLACE(G103,1,2,""))-1)&amp;"-"&amp;MID(REPLACE(G103,1,2,""),FIND("[",REPLACE(G103,1,2,""))+1,FIND("]",REPLACE(G103,1,2,""))-FIND("[",REPLACE(G103,1,2,""))-1)</f>
        <v/>
      </c>
      <c r="F103" s="347">
        <f>IFERROR(MID(G103,3,FIND("(",G103)-3)&amp;"-"&amp;SUBSTITUTE(MID(G103,FIND("[",G103)+1,FIND("]",G103)-FIND("[",G103)-1),"Strong Guard ",""),"")</f>
        <v/>
      </c>
      <c r="G103" s="346" t="inlineStr">
        <is>
          <t>ID245/70R19.5-16PR(136/134M)[AP-7318]VANTAGE无内</t>
        </is>
      </c>
      <c r="H103" s="344" t="n">
        <v>500</v>
      </c>
      <c r="I103" s="348" t="n">
        <v>2</v>
      </c>
      <c r="J103" s="349">
        <f>IFERROR(LEFT(F103,FIND("-",F103))&amp;MID(F103,FIND("PR",F103,FIND("-",F103))+3,LEN(F103)),F103)</f>
        <v/>
      </c>
      <c r="K103" s="352">
        <f>_xlfn.XLOOKUP(F103,投产规格!E:E,投产规格!D:D,"未投产")</f>
        <v/>
      </c>
      <c r="L103" s="352">
        <f>IFERROR(_xlfn.XLOOKUP(F103,硫化工艺!B:B,硫化工艺!C:C),"")</f>
        <v/>
      </c>
      <c r="M103" s="430">
        <f>IF(L103="","",L103/(L103+$L$1/60))</f>
        <v/>
      </c>
      <c r="N103" s="352">
        <f>C103&amp;"全钢"</f>
        <v/>
      </c>
      <c r="O103" s="352">
        <f>IFERROR(_xlfn.XLOOKUP(F103,轮胎重量!J:J,轮胎重量!G:G),"")</f>
        <v/>
      </c>
      <c r="P103" s="352">
        <f>IFERROR(_xlfn.XLOOKUP(G103,硫化工艺!I:I,硫化工艺!J:J),"")</f>
        <v/>
      </c>
      <c r="Q103" s="352">
        <f>IFERROR(ROUND(1440/L103*(I103)*M103,0),"")</f>
        <v/>
      </c>
      <c r="R103" s="352" t="n">
        <v>60</v>
      </c>
      <c r="S103" s="352" t="n">
        <v>60</v>
      </c>
      <c r="T103" s="352" t="n">
        <v>60</v>
      </c>
      <c r="U103" s="352" t="n"/>
      <c r="V103" s="352" t="n"/>
      <c r="W103" s="352" t="n"/>
      <c r="X103" s="352" t="n"/>
      <c r="Y103" s="352" t="n"/>
      <c r="Z103" s="352" t="n"/>
      <c r="AA103" s="352" t="n"/>
      <c r="AB103" s="352" t="n"/>
      <c r="AC103" s="352" t="n"/>
      <c r="AD103" s="352" t="n"/>
      <c r="AE103" s="352" t="n"/>
      <c r="AF103" s="352" t="n"/>
      <c r="AG103" s="352" t="n"/>
      <c r="AH103" s="352" t="n"/>
      <c r="AI103" s="352" t="n"/>
      <c r="AJ103" s="352" t="n"/>
      <c r="AK103" s="352" t="n"/>
      <c r="AL103" s="352" t="n"/>
      <c r="AM103" s="352" t="n"/>
      <c r="AN103" s="352" t="n"/>
      <c r="AO103" s="352" t="n"/>
      <c r="AP103" s="352" t="n"/>
      <c r="AQ103" s="352" t="n"/>
      <c r="AR103" s="352" t="n"/>
      <c r="AS103" s="352" t="n"/>
      <c r="AT103" s="352" t="n"/>
      <c r="AU103" s="352" t="n"/>
      <c r="AV103" s="352" t="n"/>
      <c r="AW103" s="352">
        <f>IF(SUM(R103:AV103)=0,"",SUM(R103:AV103))</f>
        <v/>
      </c>
      <c r="AX103" s="431">
        <f>IFERROR(AW103*O103/1000,"")</f>
        <v/>
      </c>
      <c r="AY103" s="431">
        <f>IFERROR(ROUND(AW103*P103/10000,3),"")</f>
        <v/>
      </c>
      <c r="AZ103" s="359" t="n"/>
      <c r="BA103" s="362" t="n"/>
      <c r="BB103" s="362" t="n"/>
      <c r="BC103" s="331" t="n"/>
      <c r="BD103" s="331" t="n"/>
      <c r="BE103" s="331" t="n"/>
      <c r="BF103" s="331" t="n"/>
      <c r="BG103" s="331" t="n"/>
      <c r="BH103" s="331" t="n"/>
      <c r="BI103" s="331" t="n"/>
      <c r="BJ103" s="356">
        <f t="array" ref="BJ103:BM103">_xlfn.LET(_xlpm.data,$R103:$AV103,_xlpm.starts,{1,8,16,23},_xlpm.lengths,{7,7,8,9},_xlpm.arr,_xlfn.MAP(_xlpm.starts,_xlpm.lengths,_xlfn.LAMBDA(_xlpm.s,_xlpm.l,SUM(INDEX(_xlpm.data,,_xlfn.SEQUENCE(,_xlpm.l,_xlpm.s))))),ROUND(_xlpm.arr*$O103/1000,2))</f>
        <v/>
      </c>
      <c r="BK103" s="331" t="n">
        <v>0</v>
      </c>
      <c r="BL103" s="331" t="n">
        <v>0</v>
      </c>
      <c r="BM103" s="331" t="n">
        <v>0</v>
      </c>
      <c r="BN103" s="362">
        <f>SUM(BJ103:BM103)</f>
        <v/>
      </c>
      <c r="BO103" s="362" t="n">
        <v>0.25</v>
      </c>
      <c r="BP103" s="362" t="n">
        <v>0.13</v>
      </c>
      <c r="BQ103" s="362" t="n">
        <v>0</v>
      </c>
      <c r="BR103" s="362" t="n">
        <v>0</v>
      </c>
      <c r="BS103" s="115" t="n"/>
      <c r="BT103" s="362">
        <f t="array" ref="BT103:BW103">_xlfn.HSTACK(SUM(INDEX($R103:$AV103,1,1):INDEX($R103:$AV103,1,7)),SUM(INDEX($R103:$AV103,1,7):INDEX($R103:$AV103,1,13)),SUM(INDEX($R103:$AV103,1,16):INDEX($R103:$AV103,1,23)),SUM(INDEX($R103:$AV103,1,23):INDEX($R103:$AV103,1,31)))</f>
        <v/>
      </c>
      <c r="BU103" s="362" t="n">
        <v>0</v>
      </c>
      <c r="BV103" s="362" t="n">
        <v>0</v>
      </c>
      <c r="BW103" s="362" t="n">
        <v>0</v>
      </c>
      <c r="BY103" s="362">
        <f>SUM(R103:X103)</f>
        <v/>
      </c>
      <c r="BZ103" s="362">
        <f>SUM(Y103:AE103)</f>
        <v/>
      </c>
      <c r="CA103" s="362">
        <f>SUM(AF103:AM103)</f>
        <v/>
      </c>
      <c r="CB103" s="362">
        <f>SUM(AN103:AV103)</f>
        <v/>
      </c>
      <c r="CD103" s="432" t="inlineStr">
        <is>
          <t>ADA</t>
        </is>
      </c>
      <c r="CE103" s="362">
        <f>ROUND(BY103*$O103/1000,2)</f>
        <v/>
      </c>
      <c r="CF103" s="362">
        <f>ROUND(BZ103*$O103/1000,2)</f>
        <v/>
      </c>
      <c r="CG103" s="362">
        <f>ROUND(CA103*$O103/1000,2)</f>
        <v/>
      </c>
      <c r="CH103" s="362">
        <f>ROUND(CB103*$O103/1000,2)</f>
        <v/>
      </c>
      <c r="CI103" s="362">
        <f>SUM(CE103:CH103)</f>
        <v/>
      </c>
      <c r="CJ103" s="390" t="n"/>
      <c r="CK103" s="362">
        <f>IFERROR(ROUND(BY103*$P103,2),"")</f>
        <v/>
      </c>
      <c r="CL103" s="362">
        <f>IFERROR(ROUND(BZ103*$P103,2),"")</f>
        <v/>
      </c>
      <c r="CM103" s="362">
        <f>IFERROR(ROUND(CA103*$P103,2),"")</f>
        <v/>
      </c>
      <c r="CN103" s="362">
        <f>IFERROR(ROUND(CB103*$P103,2),"")</f>
        <v/>
      </c>
      <c r="CO103" s="362">
        <f>SUM(CK103:CN103)</f>
        <v/>
      </c>
    </row>
    <row r="104" ht="15.6" customFormat="1" customHeight="1" s="362">
      <c r="A104" s="331" t="n"/>
      <c r="B104" s="344">
        <f>_xlfn.XLOOKUP(G104,销售需求表!A:A,销售需求表!C:C)</f>
        <v/>
      </c>
      <c r="C104" s="345">
        <f>IFERROR(MID(F104,FIND("R",F104)+1,4),"")</f>
        <v/>
      </c>
      <c r="D104" s="344">
        <f>B104&amp;C104&amp;"寸"</f>
        <v/>
      </c>
      <c r="E104" s="346">
        <f>LEFT(REPLACE(G104,1,2,""),FIND("[",REPLACE(G104,1,2,""))-1)&amp;"-"&amp;MID(REPLACE(G104,1,2,""),FIND("[",REPLACE(G104,1,2,""))+1,FIND("]",REPLACE(G104,1,2,""))-FIND("[",REPLACE(G104,1,2,""))-1)</f>
        <v/>
      </c>
      <c r="F104" s="347">
        <f>IFERROR(MID(G104,3,FIND("(",G104)-3)&amp;"-"&amp;SUBSTITUTE(MID(G104,FIND("[",G104)+1,FIND("]",G104)-FIND("[",G104)-1),"Strong Guard ",""),"")</f>
        <v/>
      </c>
      <c r="G104" s="346" t="inlineStr">
        <is>
          <t>ID245/70R19.5-16PR(136/134M)[DR-7318]VANTAGE无内</t>
        </is>
      </c>
      <c r="H104" s="344" t="n">
        <v>220</v>
      </c>
      <c r="I104" s="348" t="n">
        <v>2</v>
      </c>
      <c r="J104" s="349">
        <f>IFERROR(LEFT(F104,FIND("-",F104))&amp;MID(F104,FIND("PR",F104,FIND("-",F104))+3,LEN(F104)),F104)</f>
        <v/>
      </c>
      <c r="K104" s="352">
        <f>_xlfn.XLOOKUP(F104,投产规格!E:E,投产规格!D:D,"未投产")</f>
        <v/>
      </c>
      <c r="L104" s="352">
        <f>IFERROR(_xlfn.XLOOKUP(F104,硫化工艺!B:B,硫化工艺!C:C),"")</f>
        <v/>
      </c>
      <c r="M104" s="430">
        <f>IF(L104="","",L104/(L104+$L$1/60))</f>
        <v/>
      </c>
      <c r="N104" s="352">
        <f>C104&amp;"全钢"</f>
        <v/>
      </c>
      <c r="O104" s="352">
        <f>IFERROR(_xlfn.XLOOKUP(F104,轮胎重量!J:J,轮胎重量!G:G),"")</f>
        <v/>
      </c>
      <c r="P104" s="352">
        <f>IFERROR(_xlfn.XLOOKUP(G104,硫化工艺!I:I,硫化工艺!J:J),"")</f>
        <v/>
      </c>
      <c r="Q104" s="352">
        <f>IFERROR(ROUND(1440/L104*(I104)*M104,0),"")</f>
        <v/>
      </c>
      <c r="R104" s="352" t="n">
        <v>60</v>
      </c>
      <c r="S104" s="352" t="n">
        <v>60</v>
      </c>
      <c r="T104" s="352" t="n">
        <v>60</v>
      </c>
      <c r="U104" s="352" t="n"/>
      <c r="V104" s="352" t="n"/>
      <c r="W104" s="352" t="n"/>
      <c r="X104" s="352" t="n"/>
      <c r="Y104" s="352" t="n"/>
      <c r="Z104" s="352" t="n"/>
      <c r="AA104" s="352" t="n"/>
      <c r="AB104" s="352" t="n"/>
      <c r="AC104" s="352" t="n"/>
      <c r="AD104" s="352" t="n"/>
      <c r="AE104" s="352" t="n"/>
      <c r="AF104" s="352" t="n"/>
      <c r="AG104" s="352" t="n"/>
      <c r="AH104" s="352" t="n"/>
      <c r="AI104" s="352" t="n"/>
      <c r="AJ104" s="352" t="n"/>
      <c r="AK104" s="352" t="n"/>
      <c r="AL104" s="352" t="n"/>
      <c r="AM104" s="352" t="n"/>
      <c r="AN104" s="352" t="n"/>
      <c r="AO104" s="352" t="n"/>
      <c r="AP104" s="352" t="n"/>
      <c r="AQ104" s="352" t="n"/>
      <c r="AR104" s="352" t="n"/>
      <c r="AS104" s="352" t="n"/>
      <c r="AT104" s="352" t="n"/>
      <c r="AU104" s="352" t="n"/>
      <c r="AV104" s="352" t="n"/>
      <c r="AW104" s="352">
        <f>IF(SUM(R104:AV104)=0,"",SUM(R104:AV104))</f>
        <v/>
      </c>
      <c r="AX104" s="431">
        <f>IFERROR(AW104*O104/1000,"")</f>
        <v/>
      </c>
      <c r="AY104" s="431">
        <f>IFERROR(ROUND(AW104*P104/10000,3),"")</f>
        <v/>
      </c>
      <c r="AZ104" s="359" t="n"/>
      <c r="BA104" s="362" t="n"/>
      <c r="BB104" s="362" t="n"/>
      <c r="BC104" s="331" t="n"/>
      <c r="BD104" s="331" t="n"/>
      <c r="BE104" s="331" t="n"/>
      <c r="BF104" s="331" t="n"/>
      <c r="BG104" s="331" t="n"/>
      <c r="BH104" s="331" t="n"/>
      <c r="BI104" s="331" t="n"/>
      <c r="BJ104" s="356">
        <f t="array" ref="BJ104:BM104">_xlfn.LET(_xlpm.data,$R104:$AV104,_xlpm.starts,{1,8,16,23},_xlpm.lengths,{7,7,8,9},_xlpm.arr,_xlfn.MAP(_xlpm.starts,_xlpm.lengths,_xlfn.LAMBDA(_xlpm.s,_xlpm.l,SUM(INDEX(_xlpm.data,,_xlfn.SEQUENCE(,_xlpm.l,_xlpm.s))))),ROUND(_xlpm.arr*$O104/1000,2))</f>
        <v/>
      </c>
      <c r="BK104" s="331" t="n">
        <v>0</v>
      </c>
      <c r="BL104" s="331" t="n">
        <v>0</v>
      </c>
      <c r="BM104" s="331" t="n">
        <v>0</v>
      </c>
      <c r="BN104" s="362">
        <f>SUM(BJ104:BM104)</f>
        <v/>
      </c>
      <c r="BO104" s="362" t="n">
        <v>0</v>
      </c>
      <c r="BP104" s="362" t="n">
        <v>0</v>
      </c>
      <c r="BQ104" s="362" t="n">
        <v>0</v>
      </c>
      <c r="BR104" s="362" t="n">
        <v>0</v>
      </c>
      <c r="BS104" s="115" t="n"/>
      <c r="BT104" s="362">
        <f t="array" ref="BT104:BW104">_xlfn.HSTACK(SUM(INDEX($R104:$AV104,1,1):INDEX($R104:$AV104,1,7)),SUM(INDEX($R104:$AV104,1,7):INDEX($R104:$AV104,1,13)),SUM(INDEX($R104:$AV104,1,16):INDEX($R104:$AV104,1,23)),SUM(INDEX($R104:$AV104,1,23):INDEX($R104:$AV104,1,31)))</f>
        <v/>
      </c>
      <c r="BU104" s="362" t="n">
        <v>0</v>
      </c>
      <c r="BV104" s="362" t="n">
        <v>0</v>
      </c>
      <c r="BW104" s="362" t="n">
        <v>0</v>
      </c>
      <c r="BY104" s="362">
        <f>SUM(R104:X104)</f>
        <v/>
      </c>
      <c r="BZ104" s="362">
        <f>SUM(Y104:AE104)</f>
        <v/>
      </c>
      <c r="CA104" s="362">
        <f>SUM(AF104:AM104)</f>
        <v/>
      </c>
      <c r="CB104" s="362">
        <f>SUM(AN104:AV104)</f>
        <v/>
      </c>
      <c r="CD104" s="432" t="inlineStr">
        <is>
          <t>ADA</t>
        </is>
      </c>
      <c r="CE104" s="362">
        <f>ROUND(BY104*$O104/1000,2)</f>
        <v/>
      </c>
      <c r="CF104" s="362">
        <f>ROUND(BZ104*$O104/1000,2)</f>
        <v/>
      </c>
      <c r="CG104" s="362">
        <f>ROUND(CA104*$O104/1000,2)</f>
        <v/>
      </c>
      <c r="CH104" s="362">
        <f>ROUND(CB104*$O104/1000,2)</f>
        <v/>
      </c>
      <c r="CI104" s="362">
        <f>SUM(CE104:CH104)</f>
        <v/>
      </c>
      <c r="CJ104" s="390" t="n"/>
      <c r="CK104" s="362">
        <f>IFERROR(ROUND(BY104*$P104,2),"")</f>
        <v/>
      </c>
      <c r="CL104" s="362">
        <f>IFERROR(ROUND(BZ104*$P104,2),"")</f>
        <v/>
      </c>
      <c r="CM104" s="362">
        <f>IFERROR(ROUND(CA104*$P104,2),"")</f>
        <v/>
      </c>
      <c r="CN104" s="362">
        <f>IFERROR(ROUND(CB104*$P104,2),"")</f>
        <v/>
      </c>
      <c r="CO104" s="362">
        <f>SUM(CK104:CN104)</f>
        <v/>
      </c>
    </row>
    <row r="105" hidden="1" ht="15.6" customFormat="1" customHeight="1" s="362">
      <c r="A105" s="331" t="n"/>
      <c r="B105" s="344">
        <f>_xlfn.XLOOKUP(G105,销售需求表!A:A,销售需求表!C:C)</f>
        <v/>
      </c>
      <c r="C105" s="345">
        <f>IFERROR(MID(F105,FIND("R",F105)+1,4),"")</f>
        <v/>
      </c>
      <c r="D105" s="344">
        <f>B105&amp;C105&amp;"寸"</f>
        <v/>
      </c>
      <c r="E105" s="346">
        <f>LEFT(REPLACE(G105,1,2,""),FIND("[",REPLACE(G105,1,2,""))-1)&amp;"-"&amp;MID(REPLACE(G105,1,2,""),FIND("[",REPLACE(G105,1,2,""))+1,FIND("]",REPLACE(G105,1,2,""))-FIND("[",REPLACE(G105,1,2,""))-1)</f>
        <v/>
      </c>
      <c r="F105" s="347">
        <f>IFERROR(MID(G105,3,FIND("(",G105)-3)&amp;"-"&amp;SUBSTITUTE(MID(G105,FIND("[",G105)+1,FIND("]",G105)-FIND("[",G105)-1),"Strong Guard ",""),"")</f>
        <v/>
      </c>
      <c r="G105" s="346" t="inlineStr">
        <is>
          <t>ID245/70R19.5-16PR(136/134M)[ECO-MILE AP]TRAVELSTAR无内</t>
        </is>
      </c>
      <c r="H105" s="344" t="n">
        <v>320</v>
      </c>
      <c r="I105" s="348" t="n"/>
      <c r="J105" s="349">
        <f>IFERROR(LEFT(F105,FIND("-",F105))&amp;MID(F105,FIND("PR",F105,FIND("-",F105))+3,LEN(F105)),F105)</f>
        <v/>
      </c>
      <c r="K105" s="352">
        <f>_xlfn.XLOOKUP(F105,投产规格!E:E,投产规格!D:D,"未投产")</f>
        <v/>
      </c>
      <c r="L105" s="352">
        <f>IFERROR(_xlfn.XLOOKUP(F105,硫化工艺!B:B,硫化工艺!C:C),"")</f>
        <v/>
      </c>
      <c r="M105" s="430">
        <f>IF(L105="","",L105/(L105+$L$1/60))</f>
        <v/>
      </c>
      <c r="N105" s="352">
        <f>C105&amp;"全钢"</f>
        <v/>
      </c>
      <c r="O105" s="352">
        <f>IFERROR(_xlfn.XLOOKUP(F105,轮胎重量!J:J,轮胎重量!G:G),"")</f>
        <v/>
      </c>
      <c r="P105" s="358">
        <f>O105*13.9</f>
        <v/>
      </c>
      <c r="Q105" s="352">
        <f>IFERROR(ROUND(1440/L105*(I105)*M105,0),"")</f>
        <v/>
      </c>
      <c r="R105" s="352" t="n"/>
      <c r="S105" s="352" t="n"/>
      <c r="T105" s="352" t="n"/>
      <c r="U105" s="352" t="n"/>
      <c r="V105" s="352" t="n"/>
      <c r="W105" s="352" t="n"/>
      <c r="X105" s="352" t="n"/>
      <c r="Y105" s="352" t="n"/>
      <c r="Z105" s="352" t="n"/>
      <c r="AA105" s="352" t="n"/>
      <c r="AB105" s="352" t="n"/>
      <c r="AC105" s="352" t="n"/>
      <c r="AD105" s="352" t="n"/>
      <c r="AE105" s="352" t="n"/>
      <c r="AF105" s="352" t="n"/>
      <c r="AG105" s="352" t="n"/>
      <c r="AH105" s="352" t="n"/>
      <c r="AI105" s="352" t="n"/>
      <c r="AJ105" s="352" t="n"/>
      <c r="AK105" s="352" t="n"/>
      <c r="AL105" s="352" t="n"/>
      <c r="AM105" s="352" t="n"/>
      <c r="AN105" s="352" t="n"/>
      <c r="AO105" s="352" t="n"/>
      <c r="AP105" s="352" t="n"/>
      <c r="AQ105" s="352" t="n"/>
      <c r="AR105" s="352" t="n"/>
      <c r="AS105" s="352" t="n"/>
      <c r="AT105" s="352" t="n"/>
      <c r="AU105" s="352" t="n"/>
      <c r="AV105" s="352" t="n"/>
      <c r="AW105" s="352">
        <f>IF(SUM(R105:AV105)=0,"",SUM(R105:AV105))</f>
        <v/>
      </c>
      <c r="AX105" s="431">
        <f>IFERROR(AW105*O105/1000,"")</f>
        <v/>
      </c>
      <c r="AY105" s="431">
        <f>IFERROR(ROUND(AW105*P105/10000,3),"")</f>
        <v/>
      </c>
      <c r="AZ105" s="359" t="n"/>
      <c r="BA105" s="362" t="n"/>
      <c r="BB105" s="362" t="n"/>
      <c r="BC105" s="331" t="n"/>
      <c r="BD105" s="331" t="n"/>
      <c r="BE105" s="331" t="n"/>
      <c r="BF105" s="331" t="n"/>
      <c r="BG105" s="331" t="n"/>
      <c r="BH105" s="331" t="n"/>
      <c r="BI105" s="331" t="n"/>
      <c r="BJ105" s="356">
        <f t="array" ref="BJ105:BM105">_xlfn.LET(_xlpm.data,$R105:$AV105,_xlpm.starts,{1,8,16,23},_xlpm.lengths,{7,7,8,9},_xlpm.arr,_xlfn.MAP(_xlpm.starts,_xlpm.lengths,_xlfn.LAMBDA(_xlpm.s,_xlpm.l,SUM(INDEX(_xlpm.data,,_xlfn.SEQUENCE(,_xlpm.l,_xlpm.s))))),ROUND(_xlpm.arr*$O105/1000,2))</f>
        <v/>
      </c>
      <c r="BK105" s="331" t="n">
        <v>0</v>
      </c>
      <c r="BL105" s="331" t="n">
        <v>0</v>
      </c>
      <c r="BM105" s="331" t="n">
        <v>0</v>
      </c>
      <c r="BN105" s="362">
        <f>SUM(BJ105:BM105)</f>
        <v/>
      </c>
      <c r="BO105" s="362" t="n">
        <v>0</v>
      </c>
      <c r="BP105" s="362" t="n">
        <v>0</v>
      </c>
      <c r="BQ105" s="362" t="n">
        <v>0</v>
      </c>
      <c r="BR105" s="362" t="n">
        <v>0</v>
      </c>
      <c r="BS105" s="115" t="n"/>
      <c r="BT105" s="362">
        <f t="array" ref="BT105:BW105">_xlfn.HSTACK(SUM(INDEX($R105:$AV105,1,1):INDEX($R105:$AV105,1,7)),SUM(INDEX($R105:$AV105,1,7):INDEX($R105:$AV105,1,13)),SUM(INDEX($R105:$AV105,1,16):INDEX($R105:$AV105,1,23)),SUM(INDEX($R105:$AV105,1,23):INDEX($R105:$AV105,1,31)))</f>
        <v/>
      </c>
      <c r="BU105" s="362" t="n">
        <v>0</v>
      </c>
      <c r="BV105" s="362" t="n">
        <v>0</v>
      </c>
      <c r="BW105" s="362" t="n">
        <v>0</v>
      </c>
      <c r="BY105" s="362">
        <f>SUM(R105:X105)</f>
        <v/>
      </c>
      <c r="BZ105" s="362">
        <f>SUM(Y105:AE105)</f>
        <v/>
      </c>
      <c r="CA105" s="362">
        <f>SUM(AF105:AM105)</f>
        <v/>
      </c>
      <c r="CB105" s="362">
        <f>SUM(AN105:AV105)</f>
        <v/>
      </c>
      <c r="CD105" s="432" t="inlineStr">
        <is>
          <t>ADA</t>
        </is>
      </c>
      <c r="CE105" s="362">
        <f>ROUND(BY105*$O105/1000,2)</f>
        <v/>
      </c>
      <c r="CF105" s="362">
        <f>ROUND(BZ105*$O105/1000,2)</f>
        <v/>
      </c>
      <c r="CG105" s="362">
        <f>ROUND(CA105*$O105/1000,2)</f>
        <v/>
      </c>
      <c r="CH105" s="362">
        <f>ROUND(CB105*$O105/1000,2)</f>
        <v/>
      </c>
      <c r="CI105" s="362">
        <f>SUM(CE105:CH105)</f>
        <v/>
      </c>
      <c r="CJ105" s="390" t="n"/>
      <c r="CK105" s="362">
        <f>IFERROR(ROUND(BY105*$P105,2),"")</f>
        <v/>
      </c>
      <c r="CL105" s="362">
        <f>IFERROR(ROUND(BZ105*$P105,2),"")</f>
        <v/>
      </c>
      <c r="CM105" s="362">
        <f>IFERROR(ROUND(CA105*$P105,2),"")</f>
        <v/>
      </c>
      <c r="CN105" s="362">
        <f>IFERROR(ROUND(CB105*$P105,2),"")</f>
        <v/>
      </c>
      <c r="CO105" s="362">
        <f>SUM(CK105:CN105)</f>
        <v/>
      </c>
    </row>
    <row r="106" ht="15.6" customHeight="1" s="428">
      <c r="B106" s="344">
        <f>_xlfn.XLOOKUP(G106,销售需求表!A:A,销售需求表!C:C)</f>
        <v/>
      </c>
      <c r="C106" s="345">
        <f>IFERROR(MID(F106,FIND("R",F106)+1,4),"")</f>
        <v/>
      </c>
      <c r="D106" s="344">
        <f>B106&amp;C106&amp;"寸"</f>
        <v/>
      </c>
      <c r="E106" s="346">
        <f>LEFT(REPLACE(G106,1,2,""),FIND("[",REPLACE(G106,1,2,""))-1)&amp;"-"&amp;MID(REPLACE(G106,1,2,""),FIND("[",REPLACE(G106,1,2,""))+1,FIND("]",REPLACE(G106,1,2,""))-FIND("[",REPLACE(G106,1,2,""))-1)</f>
        <v/>
      </c>
      <c r="F106" s="347">
        <f>IFERROR(MID(G106,3,FIND("(",G106)-3)&amp;"-"&amp;SUBSTITUTE(MID(G106,FIND("[",G106)+1,FIND("]",G106)-FIND("[",G106)-1),"Strong Guard ",""),"")</f>
        <v/>
      </c>
      <c r="G106" s="346" t="inlineStr">
        <is>
          <t>ID245/70R19.5-16PR(136/134M)[M-TRAC AP]MASTERTRACK无内</t>
        </is>
      </c>
      <c r="H106" s="344" t="n">
        <v>1500</v>
      </c>
      <c r="I106" s="348" t="n">
        <v>2</v>
      </c>
      <c r="J106" s="349">
        <f>IFERROR(LEFT(F106,FIND("-",F106))&amp;MID(F106,FIND("PR",F106,FIND("-",F106))+3,LEN(F106)),F106)</f>
        <v/>
      </c>
      <c r="K106" s="352">
        <f>_xlfn.XLOOKUP(F106,投产规格!E:E,投产规格!D:D,"未投产")</f>
        <v/>
      </c>
      <c r="L106" s="352">
        <f>IFERROR(_xlfn.XLOOKUP(F106,硫化工艺!B:B,硫化工艺!C:C),"")</f>
        <v/>
      </c>
      <c r="M106" s="430">
        <f>IF(L106="","",L106/(L106+$L$1/60))</f>
        <v/>
      </c>
      <c r="N106" s="352">
        <f>C106&amp;"全钢"</f>
        <v/>
      </c>
      <c r="O106" s="352">
        <f>IFERROR(_xlfn.XLOOKUP(F106,轮胎重量!J:J,轮胎重量!G:G),"")</f>
        <v/>
      </c>
      <c r="P106" s="358">
        <f>O106*13.9</f>
        <v/>
      </c>
      <c r="Q106" s="352">
        <f>IFERROR(ROUND(1440/L106*(I106)*M106,0),"")</f>
        <v/>
      </c>
      <c r="R106" s="352" t="n">
        <v>60</v>
      </c>
      <c r="S106" s="352" t="n">
        <v>60</v>
      </c>
      <c r="T106" s="352" t="n">
        <v>60</v>
      </c>
      <c r="U106" s="352" t="n">
        <v>60</v>
      </c>
      <c r="V106" s="352" t="n">
        <v>60</v>
      </c>
      <c r="W106" s="352" t="n">
        <v>60</v>
      </c>
      <c r="X106" s="352" t="n">
        <v>60</v>
      </c>
      <c r="Y106" s="352" t="n">
        <v>60</v>
      </c>
      <c r="Z106" s="352" t="n">
        <v>60</v>
      </c>
      <c r="AA106" s="352" t="n">
        <v>60</v>
      </c>
      <c r="AB106" s="352" t="n">
        <v>60</v>
      </c>
      <c r="AC106" s="352" t="n">
        <v>60</v>
      </c>
      <c r="AD106" s="352" t="n">
        <v>60</v>
      </c>
      <c r="AE106" s="352" t="n">
        <v>60</v>
      </c>
      <c r="AF106" s="352" t="n">
        <v>60</v>
      </c>
      <c r="AG106" s="352" t="n"/>
      <c r="AH106" s="352" t="n"/>
      <c r="AI106" s="352" t="n"/>
      <c r="AJ106" s="352" t="n"/>
      <c r="AK106" s="352" t="n"/>
      <c r="AL106" s="352" t="n"/>
      <c r="AM106" s="352" t="n"/>
      <c r="AN106" s="352" t="n"/>
      <c r="AO106" s="352" t="n"/>
      <c r="AP106" s="352" t="n"/>
      <c r="AQ106" s="352" t="n"/>
      <c r="AR106" s="352" t="n"/>
      <c r="AS106" s="352" t="n"/>
      <c r="AT106" s="352" t="n"/>
      <c r="AU106" s="352" t="n"/>
      <c r="AV106" s="352" t="n"/>
      <c r="AW106" s="352">
        <f>IF(SUM(R106:AV106)=0,"",SUM(R106:AV106))</f>
        <v/>
      </c>
      <c r="AX106" s="431">
        <f>IFERROR(AW106*O106/1000,"")</f>
        <v/>
      </c>
      <c r="AY106" s="431">
        <f>IFERROR(ROUND(AW106*P106/10000,3),"")</f>
        <v/>
      </c>
      <c r="AZ106" s="359" t="n"/>
      <c r="BA106" s="362" t="n"/>
      <c r="BB106" s="362" t="n"/>
      <c r="BJ106" s="356">
        <f t="array" ref="BJ106:BM106">_xlfn.LET(_xlpm.data,$R106:$AV106,_xlpm.starts,{1,8,16,23},_xlpm.lengths,{7,7,8,9},_xlpm.arr,_xlfn.MAP(_xlpm.starts,_xlpm.lengths,_xlfn.LAMBDA(_xlpm.s,_xlpm.l,SUM(INDEX(_xlpm.data,,_xlfn.SEQUENCE(,_xlpm.l,_xlpm.s))))),ROUND(_xlpm.arr*$O106/1000,2))</f>
        <v/>
      </c>
      <c r="BK106" s="331" t="n">
        <v>14.53</v>
      </c>
      <c r="BL106" s="331" t="n">
        <v>0</v>
      </c>
      <c r="BM106" s="331" t="n">
        <v>0</v>
      </c>
      <c r="BN106" s="362">
        <f>SUM(BJ106:BM106)</f>
        <v/>
      </c>
      <c r="BO106" s="362" t="n">
        <v>0</v>
      </c>
      <c r="BP106" s="362" t="n">
        <v>0</v>
      </c>
      <c r="BQ106" s="362" t="n">
        <v>0</v>
      </c>
      <c r="BR106" s="362" t="n">
        <v>0</v>
      </c>
      <c r="BT106" s="362">
        <f t="array" ref="BT106:BW106">_xlfn.HSTACK(SUM(INDEX($R106:$AV106,1,1):INDEX($R106:$AV106,1,7)),SUM(INDEX($R106:$AV106,1,7):INDEX($R106:$AV106,1,13)),SUM(INDEX($R106:$AV106,1,16):INDEX($R106:$AV106,1,23)),SUM(INDEX($R106:$AV106,1,23):INDEX($R106:$AV106,1,31)))</f>
        <v/>
      </c>
      <c r="BU106" s="362" t="n">
        <v>420</v>
      </c>
      <c r="BV106" s="362" t="n">
        <v>0</v>
      </c>
      <c r="BW106" s="362" t="n">
        <v>0</v>
      </c>
      <c r="BY106" s="362">
        <f>SUM(R106:X106)</f>
        <v/>
      </c>
      <c r="BZ106" s="362">
        <f>SUM(Y106:AE106)</f>
        <v/>
      </c>
      <c r="CA106" s="362">
        <f>SUM(AF106:AM106)</f>
        <v/>
      </c>
      <c r="CB106" s="362">
        <f>SUM(AN106:AV106)</f>
        <v/>
      </c>
      <c r="CD106" s="432" t="inlineStr">
        <is>
          <t>ADA</t>
        </is>
      </c>
      <c r="CE106" s="362">
        <f>ROUND(BY106*$O106/1000,2)</f>
        <v/>
      </c>
      <c r="CF106" s="362">
        <f>ROUND(BZ106*$O106/1000,2)</f>
        <v/>
      </c>
      <c r="CG106" s="362">
        <f>ROUND(CA106*$O106/1000,2)</f>
        <v/>
      </c>
      <c r="CH106" s="362">
        <f>ROUND(CB106*$O106/1000,2)</f>
        <v/>
      </c>
      <c r="CI106" s="362">
        <f>SUM(CE106:CH106)</f>
        <v/>
      </c>
      <c r="CK106" s="362">
        <f>IFERROR(ROUND(BY106*$P106,2),"")</f>
        <v/>
      </c>
      <c r="CL106" s="362">
        <f>IFERROR(ROUND(BZ106*$P106,2),"")</f>
        <v/>
      </c>
      <c r="CM106" s="362">
        <f>IFERROR(ROUND(CA106*$P106,2),"")</f>
        <v/>
      </c>
      <c r="CN106" s="362">
        <f>IFERROR(ROUND(CB106*$P106,2),"")</f>
        <v/>
      </c>
      <c r="CO106" s="362">
        <f>SUM(CK106:CN106)</f>
        <v/>
      </c>
    </row>
    <row r="107" ht="15.6" customFormat="1" customHeight="1" s="362">
      <c r="A107" s="331" t="n"/>
      <c r="B107" s="344">
        <f>_xlfn.XLOOKUP(G107,销售需求表!A:A,销售需求表!C:C)</f>
        <v/>
      </c>
      <c r="C107" s="345">
        <f>IFERROR(MID(F107,FIND("R",F107)+1,4),"")</f>
        <v/>
      </c>
      <c r="D107" s="344">
        <f>B107&amp;C107&amp;"寸"</f>
        <v/>
      </c>
      <c r="E107" s="346">
        <f>LEFT(REPLACE(G107,1,2,""),FIND("[",REPLACE(G107,1,2,""))-1)&amp;"-"&amp;MID(REPLACE(G107,1,2,""),FIND("[",REPLACE(G107,1,2,""))+1,FIND("]",REPLACE(G107,1,2,""))-FIND("[",REPLACE(G107,1,2,""))-1)</f>
        <v/>
      </c>
      <c r="F107" s="347">
        <f>IFERROR(MID(G107,3,FIND("(",G107)-3)&amp;"-"&amp;SUBSTITUTE(MID(G107,FIND("[",G107)+1,FIND("]",G107)-FIND("[",G107)-1),"Strong Guard ",""),"")</f>
        <v/>
      </c>
      <c r="G107" s="346" t="inlineStr">
        <is>
          <t>ID245/70R19.5-16PR(136/134M)[M-TRAC HTD]MASTERTRACK无内</t>
        </is>
      </c>
      <c r="H107" s="344" t="n">
        <v>1000</v>
      </c>
      <c r="I107" s="348" t="n"/>
      <c r="J107" s="349">
        <f>IFERROR(LEFT(F107,FIND("-",F107))&amp;MID(F107,FIND("PR",F107,FIND("-",F107))+3,LEN(F107)),F107)</f>
        <v/>
      </c>
      <c r="K107" s="352">
        <f>_xlfn.XLOOKUP(F107,投产规格!E:E,投产规格!D:D,"未投产")</f>
        <v/>
      </c>
      <c r="L107" s="352">
        <f>IFERROR(_xlfn.XLOOKUP(F107,硫化工艺!B:B,硫化工艺!C:C),"")</f>
        <v/>
      </c>
      <c r="M107" s="430">
        <f>IF(L107="","",L107/(L107+$L$1/60))</f>
        <v/>
      </c>
      <c r="N107" s="352">
        <f>C107&amp;"全钢"</f>
        <v/>
      </c>
      <c r="O107" s="352">
        <f>IFERROR(_xlfn.XLOOKUP(F107,轮胎重量!J:J,轮胎重量!G:G),"")</f>
        <v/>
      </c>
      <c r="P107" s="358">
        <f>O107*13.9</f>
        <v/>
      </c>
      <c r="Q107" s="352">
        <f>IFERROR(ROUND(1440/L107*(I107)*M107,0),"")</f>
        <v/>
      </c>
      <c r="R107" s="352" t="n"/>
      <c r="S107" s="352" t="n"/>
      <c r="T107" s="352" t="n"/>
      <c r="U107" s="352" t="n">
        <v>60</v>
      </c>
      <c r="V107" s="352" t="n">
        <v>60</v>
      </c>
      <c r="W107" s="352" t="n">
        <v>60</v>
      </c>
      <c r="X107" s="352" t="n">
        <v>60</v>
      </c>
      <c r="Y107" s="352" t="n">
        <v>60</v>
      </c>
      <c r="Z107" s="352" t="n">
        <v>60</v>
      </c>
      <c r="AA107" s="352" t="n">
        <v>60</v>
      </c>
      <c r="AB107" s="352" t="n">
        <v>60</v>
      </c>
      <c r="AC107" s="352" t="n">
        <v>60</v>
      </c>
      <c r="AD107" s="352" t="n">
        <v>60</v>
      </c>
      <c r="AE107" s="352" t="n">
        <v>60</v>
      </c>
      <c r="AF107" s="352" t="n">
        <v>60</v>
      </c>
      <c r="AG107" s="352" t="n"/>
      <c r="AH107" s="352" t="n"/>
      <c r="AI107" s="352" t="n"/>
      <c r="AJ107" s="352" t="n"/>
      <c r="AK107" s="352" t="n"/>
      <c r="AL107" s="352" t="n"/>
      <c r="AM107" s="352" t="n"/>
      <c r="AN107" s="352" t="n"/>
      <c r="AO107" s="352" t="n"/>
      <c r="AP107" s="352" t="n"/>
      <c r="AQ107" s="352" t="n"/>
      <c r="AR107" s="352" t="n"/>
      <c r="AS107" s="352" t="n"/>
      <c r="AT107" s="352" t="n"/>
      <c r="AU107" s="352" t="n"/>
      <c r="AV107" s="352" t="n"/>
      <c r="AW107" s="352">
        <f>IF(SUM(R107:AV107)=0,"",SUM(R107:AV107))</f>
        <v/>
      </c>
      <c r="AX107" s="431">
        <f>IFERROR(AW107*O107/1000,"")</f>
        <v/>
      </c>
      <c r="AY107" s="431">
        <f>IFERROR(ROUND(AW107*P107/10000,3),"")</f>
        <v/>
      </c>
      <c r="AZ107" s="359" t="n"/>
      <c r="BA107" s="362" t="n"/>
      <c r="BB107" s="362" t="n"/>
      <c r="BC107" s="331" t="n"/>
      <c r="BD107" s="331" t="n"/>
      <c r="BE107" s="331" t="n"/>
      <c r="BF107" s="331" t="n"/>
      <c r="BG107" s="331" t="n"/>
      <c r="BH107" s="331" t="n"/>
      <c r="BI107" s="331" t="n"/>
      <c r="BJ107" s="356">
        <f t="array" ref="BJ107:BM107">_xlfn.LET(_xlpm.data,$R107:$AV107,_xlpm.starts,{1,8,16,23},_xlpm.lengths,{7,7,8,9},_xlpm.arr,_xlfn.MAP(_xlpm.starts,_xlpm.lengths,_xlfn.LAMBDA(_xlpm.s,_xlpm.l,SUM(INDEX(_xlpm.data,,_xlfn.SEQUENCE(,_xlpm.l,_xlpm.s))))),ROUND(_xlpm.arr*$O107/1000,2))</f>
        <v/>
      </c>
      <c r="BK107" s="331" t="n">
        <v>14.53</v>
      </c>
      <c r="BL107" s="331" t="n">
        <v>0</v>
      </c>
      <c r="BM107" s="331" t="n">
        <v>0</v>
      </c>
      <c r="BN107" s="362">
        <f>SUM(BJ107:BM107)</f>
        <v/>
      </c>
      <c r="BO107" s="362" t="n">
        <v>0</v>
      </c>
      <c r="BP107" s="362" t="n">
        <v>0</v>
      </c>
      <c r="BQ107" s="362" t="n">
        <v>0</v>
      </c>
      <c r="BR107" s="362" t="n">
        <v>0</v>
      </c>
      <c r="BS107" s="115" t="n"/>
      <c r="BT107" s="362">
        <f t="array" ref="BT107:BW107">_xlfn.HSTACK(SUM(INDEX($R107:$AV107,1,1):INDEX($R107:$AV107,1,7)),SUM(INDEX($R107:$AV107,1,7):INDEX($R107:$AV107,1,13)),SUM(INDEX($R107:$AV107,1,16):INDEX($R107:$AV107,1,23)),SUM(INDEX($R107:$AV107,1,23):INDEX($R107:$AV107,1,31)))</f>
        <v/>
      </c>
      <c r="BU107" s="362" t="n">
        <v>420</v>
      </c>
      <c r="BV107" s="362" t="n">
        <v>0</v>
      </c>
      <c r="BW107" s="362" t="n">
        <v>0</v>
      </c>
      <c r="BY107" s="362">
        <f>SUM(R107:X107)</f>
        <v/>
      </c>
      <c r="BZ107" s="362">
        <f>SUM(Y107:AE107)</f>
        <v/>
      </c>
      <c r="CA107" s="362">
        <f>SUM(AF107:AM107)</f>
        <v/>
      </c>
      <c r="CB107" s="362">
        <f>SUM(AN107:AV107)</f>
        <v/>
      </c>
      <c r="CD107" s="432" t="inlineStr">
        <is>
          <t>ADA</t>
        </is>
      </c>
      <c r="CE107" s="362">
        <f>ROUND(BY107*$O107/1000,2)</f>
        <v/>
      </c>
      <c r="CF107" s="362">
        <f>ROUND(BZ107*$O107/1000,2)</f>
        <v/>
      </c>
      <c r="CG107" s="362">
        <f>ROUND(CA107*$O107/1000,2)</f>
        <v/>
      </c>
      <c r="CH107" s="362">
        <f>ROUND(CB107*$O107/1000,2)</f>
        <v/>
      </c>
      <c r="CI107" s="362">
        <f>SUM(CE107:CH107)</f>
        <v/>
      </c>
      <c r="CJ107" s="390" t="n"/>
      <c r="CK107" s="362">
        <f>IFERROR(ROUND(BY107*$P107,2),"")</f>
        <v/>
      </c>
      <c r="CL107" s="362">
        <f>IFERROR(ROUND(BZ107*$P107,2),"")</f>
        <v/>
      </c>
      <c r="CM107" s="362">
        <f>IFERROR(ROUND(CA107*$P107,2),"")</f>
        <v/>
      </c>
      <c r="CN107" s="362">
        <f>IFERROR(ROUND(CB107*$P107,2),"")</f>
        <v/>
      </c>
      <c r="CO107" s="362">
        <f>SUM(CK107:CN107)</f>
        <v/>
      </c>
    </row>
    <row r="108" ht="15.6" customFormat="1" customHeight="1" s="362">
      <c r="A108" s="331" t="n"/>
      <c r="B108" s="344">
        <f>_xlfn.XLOOKUP(G108,销售需求表!A:A,销售需求表!C:C)</f>
        <v/>
      </c>
      <c r="C108" s="345">
        <f>IFERROR(MID(F108,FIND("R",F108)+1,4),"")</f>
        <v/>
      </c>
      <c r="D108" s="344">
        <f>B108&amp;C108&amp;"寸"</f>
        <v/>
      </c>
      <c r="E108" s="346">
        <f>LEFT(REPLACE(G108,1,2,""),FIND("[",REPLACE(G108,1,2,""))-1)&amp;"-"&amp;MID(REPLACE(G108,1,2,""),FIND("[",REPLACE(G108,1,2,""))+1,FIND("]",REPLACE(G108,1,2,""))-FIND("[",REPLACE(G108,1,2,""))-1)</f>
        <v/>
      </c>
      <c r="F108" s="347">
        <f>IFERROR(MID(G108,3,FIND("(",G108)-3)&amp;"-"&amp;SUBSTITUTE(MID(G108,FIND("[",G108)+1,FIND("]",G108)-FIND("[",G108)-1),"Strong Guard ",""),"")</f>
        <v/>
      </c>
      <c r="G108" s="346" t="inlineStr">
        <is>
          <t>ID245/70R19.5-16PR(136/134N)[I-19A]IRONMAN无内</t>
        </is>
      </c>
      <c r="H108" s="344" t="n">
        <v>1400</v>
      </c>
      <c r="I108" s="348" t="n"/>
      <c r="J108" s="349">
        <f>IFERROR(LEFT(F108,FIND("-",F108))&amp;MID(F108,FIND("PR",F108,FIND("-",F108))+3,LEN(F108)),F108)</f>
        <v/>
      </c>
      <c r="K108" s="352">
        <f>_xlfn.XLOOKUP(F108,投产规格!E:E,投产规格!D:D,"未投产")</f>
        <v/>
      </c>
      <c r="L108" s="352">
        <f>IFERROR(_xlfn.XLOOKUP(F108,硫化工艺!B:B,硫化工艺!C:C),"")</f>
        <v/>
      </c>
      <c r="M108" s="430">
        <f>IF(L108="","",L108/(L108+$L$1/60))</f>
        <v/>
      </c>
      <c r="N108" s="352">
        <f>C108&amp;"全钢"</f>
        <v/>
      </c>
      <c r="O108" s="352">
        <f>IFERROR(_xlfn.XLOOKUP(F108,轮胎重量!J:J,轮胎重量!G:G),"")</f>
        <v/>
      </c>
      <c r="P108" s="352">
        <f>IFERROR(_xlfn.XLOOKUP(G108,硫化工艺!I:I,硫化工艺!J:J),"")</f>
        <v/>
      </c>
      <c r="Q108" s="352">
        <f>IFERROR(ROUND(1440/L108*(I108)*M108,0),"")</f>
        <v/>
      </c>
      <c r="R108" s="352" t="n">
        <v>60</v>
      </c>
      <c r="S108" s="352" t="n">
        <v>60</v>
      </c>
      <c r="T108" s="352" t="n">
        <v>60</v>
      </c>
      <c r="U108" s="352" t="n">
        <v>120</v>
      </c>
      <c r="V108" s="352" t="n">
        <v>120</v>
      </c>
      <c r="W108" s="352" t="n">
        <v>120</v>
      </c>
      <c r="X108" s="352" t="n">
        <v>120</v>
      </c>
      <c r="Y108" s="352" t="n">
        <v>120</v>
      </c>
      <c r="Z108" s="352" t="n">
        <v>120</v>
      </c>
      <c r="AA108" s="352" t="n">
        <v>120</v>
      </c>
      <c r="AB108" s="352" t="n">
        <v>120</v>
      </c>
      <c r="AC108" s="352" t="n">
        <v>120</v>
      </c>
      <c r="AD108" s="352" t="n">
        <v>120</v>
      </c>
      <c r="AE108" s="352" t="n">
        <v>120</v>
      </c>
      <c r="AF108" s="352" t="n">
        <v>120</v>
      </c>
      <c r="AG108" s="352" t="n"/>
      <c r="AH108" s="352" t="n"/>
      <c r="AI108" s="352" t="n"/>
      <c r="AJ108" s="352" t="n"/>
      <c r="AK108" s="352" t="n"/>
      <c r="AL108" s="352" t="n"/>
      <c r="AM108" s="352" t="n"/>
      <c r="AN108" s="352" t="n"/>
      <c r="AO108" s="352" t="n"/>
      <c r="AP108" s="352" t="n"/>
      <c r="AQ108" s="352" t="n"/>
      <c r="AR108" s="352" t="n"/>
      <c r="AS108" s="352" t="n"/>
      <c r="AT108" s="352" t="n"/>
      <c r="AU108" s="352" t="n"/>
      <c r="AV108" s="352" t="n"/>
      <c r="AW108" s="352">
        <f>IF(SUM(R108:AV108)=0,"",SUM(R108:AV108))</f>
        <v/>
      </c>
      <c r="AX108" s="431">
        <f>IFERROR(AW108*O108/1000,"")</f>
        <v/>
      </c>
      <c r="AY108" s="431">
        <f>IFERROR(ROUND(AW108*P108/10000,3),"")</f>
        <v/>
      </c>
      <c r="AZ108" s="359" t="n"/>
      <c r="BA108" s="362" t="n"/>
      <c r="BB108" s="362" t="n"/>
      <c r="BC108" s="331" t="n"/>
      <c r="BD108" s="331" t="n"/>
      <c r="BE108" s="331" t="n"/>
      <c r="BF108" s="331" t="n"/>
      <c r="BG108" s="331" t="n"/>
      <c r="BH108" s="331" t="n"/>
      <c r="BI108" s="331" t="n"/>
      <c r="BJ108" s="356">
        <f t="array" ref="BJ108:BM108">_xlfn.LET(_xlpm.data,$R108:$AV108,_xlpm.starts,{1,8,16,23},_xlpm.lengths,{7,7,8,9},_xlpm.arr,_xlfn.MAP(_xlpm.starts,_xlpm.lengths,_xlfn.LAMBDA(_xlpm.s,_xlpm.l,SUM(INDEX(_xlpm.data,,_xlfn.SEQUENCE(,_xlpm.l,_xlpm.s))))),ROUND(_xlpm.arr*$O108/1000,2))</f>
        <v/>
      </c>
      <c r="BK108" s="331" t="n">
        <v>29.62</v>
      </c>
      <c r="BL108" s="331" t="n">
        <v>0</v>
      </c>
      <c r="BM108" s="331" t="n">
        <v>0</v>
      </c>
      <c r="BN108" s="362">
        <f>SUM(BJ108:BM108)</f>
        <v/>
      </c>
      <c r="BO108" s="362" t="n">
        <v>0</v>
      </c>
      <c r="BP108" s="362" t="n">
        <v>0</v>
      </c>
      <c r="BQ108" s="362" t="n">
        <v>0</v>
      </c>
      <c r="BR108" s="362" t="n">
        <v>0</v>
      </c>
      <c r="BS108" s="115" t="n"/>
      <c r="BT108" s="362">
        <f t="array" ref="BT108:BW108">_xlfn.HSTACK(SUM(INDEX($R108:$AV108,1,1):INDEX($R108:$AV108,1,7)),SUM(INDEX($R108:$AV108,1,7):INDEX($R108:$AV108,1,13)),SUM(INDEX($R108:$AV108,1,16):INDEX($R108:$AV108,1,23)),SUM(INDEX($R108:$AV108,1,23):INDEX($R108:$AV108,1,31)))</f>
        <v/>
      </c>
      <c r="BU108" s="362" t="n">
        <v>840</v>
      </c>
      <c r="BV108" s="362" t="n">
        <v>0</v>
      </c>
      <c r="BW108" s="362" t="n">
        <v>0</v>
      </c>
      <c r="BY108" s="362">
        <f>SUM(R108:X108)</f>
        <v/>
      </c>
      <c r="BZ108" s="362">
        <f>SUM(Y108:AE108)</f>
        <v/>
      </c>
      <c r="CA108" s="362">
        <f>SUM(AF108:AM108)</f>
        <v/>
      </c>
      <c r="CB108" s="362">
        <f>SUM(AN108:AV108)</f>
        <v/>
      </c>
      <c r="CD108" s="432" t="inlineStr">
        <is>
          <t>ADA</t>
        </is>
      </c>
      <c r="CE108" s="362">
        <f>ROUND(BY108*$O108/1000,2)</f>
        <v/>
      </c>
      <c r="CF108" s="362">
        <f>ROUND(BZ108*$O108/1000,2)</f>
        <v/>
      </c>
      <c r="CG108" s="362">
        <f>ROUND(CA108*$O108/1000,2)</f>
        <v/>
      </c>
      <c r="CH108" s="362">
        <f>ROUND(CB108*$O108/1000,2)</f>
        <v/>
      </c>
      <c r="CI108" s="362">
        <f>SUM(CE108:CH108)</f>
        <v/>
      </c>
      <c r="CJ108" s="390" t="n"/>
      <c r="CK108" s="362">
        <f>IFERROR(ROUND(BY108*$P108,2),"")</f>
        <v/>
      </c>
      <c r="CL108" s="362">
        <f>IFERROR(ROUND(BZ108*$P108,2),"")</f>
        <v/>
      </c>
      <c r="CM108" s="362">
        <f>IFERROR(ROUND(CA108*$P108,2),"")</f>
        <v/>
      </c>
      <c r="CN108" s="362">
        <f>IFERROR(ROUND(CB108*$P108,2),"")</f>
        <v/>
      </c>
      <c r="CO108" s="362">
        <f>SUM(CK108:CN108)</f>
        <v/>
      </c>
    </row>
    <row r="109" hidden="1" ht="15.6" customFormat="1" customHeight="1" s="362">
      <c r="A109" s="331" t="n"/>
      <c r="B109" s="344">
        <f>_xlfn.XLOOKUP(G109,销售需求表!A:A,销售需求表!C:C)</f>
        <v/>
      </c>
      <c r="C109" s="345">
        <f>IFERROR(MID(F109,FIND("R",F109)+1,4),"")</f>
        <v/>
      </c>
      <c r="D109" s="344">
        <f>B109&amp;C109&amp;"寸"</f>
        <v/>
      </c>
      <c r="E109" s="346">
        <f>LEFT(REPLACE(G109,1,2,""),FIND("[",REPLACE(G109,1,2,""))-1)&amp;"-"&amp;MID(REPLACE(G109,1,2,""),FIND("[",REPLACE(G109,1,2,""))+1,FIND("]",REPLACE(G109,1,2,""))-FIND("[",REPLACE(G109,1,2,""))-1)</f>
        <v/>
      </c>
      <c r="F109" s="347">
        <f>IFERROR(MID(G109,3,FIND("(",G109)-3)&amp;"-"&amp;SUBSTITUTE(MID(G109,FIND("[",G109)+1,FIND("]",G109)-FIND("[",G109)-1),"Strong Guard ",""),"")</f>
        <v/>
      </c>
      <c r="G109" s="346" t="inlineStr">
        <is>
          <t>ID245/70R19.5-16PR(136/134N)[I-37D]IRONMAN无内</t>
        </is>
      </c>
      <c r="H109" s="344" t="n">
        <v>220</v>
      </c>
      <c r="I109" s="348" t="n"/>
      <c r="J109" s="349">
        <f>IFERROR(LEFT(F109,FIND("-",F109))&amp;MID(F109,FIND("PR",F109,FIND("-",F109))+3,LEN(F109)),F109)</f>
        <v/>
      </c>
      <c r="K109" s="352">
        <f>_xlfn.XLOOKUP(F109,投产规格!E:E,投产规格!D:D,"未投产")</f>
        <v/>
      </c>
      <c r="L109" s="352">
        <f>IFERROR(_xlfn.XLOOKUP(F109,硫化工艺!B:B,硫化工艺!C:C),"")</f>
        <v/>
      </c>
      <c r="M109" s="430">
        <f>IF(L109="","",L109/(L109+$L$1/60))</f>
        <v/>
      </c>
      <c r="N109" s="352">
        <f>C109&amp;"全钢"</f>
        <v/>
      </c>
      <c r="O109" s="352">
        <f>IFERROR(_xlfn.XLOOKUP(F109,轮胎重量!J:J,轮胎重量!G:G),"")</f>
        <v/>
      </c>
      <c r="P109" s="352">
        <f>IFERROR(_xlfn.XLOOKUP(G109,硫化工艺!I:I,硫化工艺!J:J),"")</f>
        <v/>
      </c>
      <c r="Q109" s="352">
        <f>IFERROR(ROUND(1440/L109*(I109)*M109,0),"")</f>
        <v/>
      </c>
      <c r="R109" s="352" t="n"/>
      <c r="S109" s="352" t="n"/>
      <c r="T109" s="352" t="n"/>
      <c r="U109" s="352" t="n"/>
      <c r="V109" s="352" t="n"/>
      <c r="W109" s="352" t="n"/>
      <c r="X109" s="352" t="n"/>
      <c r="Y109" s="352" t="n"/>
      <c r="Z109" s="352" t="n"/>
      <c r="AA109" s="352" t="n"/>
      <c r="AB109" s="352" t="n"/>
      <c r="AC109" s="352" t="n"/>
      <c r="AD109" s="352" t="n"/>
      <c r="AE109" s="352" t="n"/>
      <c r="AF109" s="352" t="n"/>
      <c r="AG109" s="352" t="n"/>
      <c r="AH109" s="352" t="n"/>
      <c r="AI109" s="352" t="n"/>
      <c r="AJ109" s="352" t="n"/>
      <c r="AK109" s="352" t="n"/>
      <c r="AL109" s="352" t="n"/>
      <c r="AM109" s="352" t="n"/>
      <c r="AN109" s="352" t="n"/>
      <c r="AO109" s="352" t="n"/>
      <c r="AP109" s="352" t="n"/>
      <c r="AQ109" s="352" t="n"/>
      <c r="AR109" s="352" t="n"/>
      <c r="AS109" s="352" t="n"/>
      <c r="AT109" s="352" t="n"/>
      <c r="AU109" s="352" t="n"/>
      <c r="AV109" s="352" t="n"/>
      <c r="AW109" s="352">
        <f>IF(SUM(R109:AV109)=0,"",SUM(R109:AV109))</f>
        <v/>
      </c>
      <c r="AX109" s="431">
        <f>IFERROR(AW109*O109/1000,"")</f>
        <v/>
      </c>
      <c r="AY109" s="431">
        <f>IFERROR(ROUND(AW109*P109/10000,3),"")</f>
        <v/>
      </c>
      <c r="AZ109" s="359" t="n"/>
      <c r="BA109" s="362" t="n"/>
      <c r="BB109" s="362" t="n"/>
      <c r="BC109" s="331" t="n"/>
      <c r="BD109" s="331" t="n"/>
      <c r="BE109" s="331" t="n"/>
      <c r="BF109" s="331" t="n"/>
      <c r="BG109" s="331" t="n"/>
      <c r="BH109" s="331" t="n"/>
      <c r="BI109" s="331" t="n"/>
      <c r="BJ109" s="356">
        <f t="array" ref="BJ109:BM109">_xlfn.LET(_xlpm.data,$R109:$AV109,_xlpm.starts,{1,8,16,23},_xlpm.lengths,{7,7,8,9},_xlpm.arr,_xlfn.MAP(_xlpm.starts,_xlpm.lengths,_xlfn.LAMBDA(_xlpm.s,_xlpm.l,SUM(INDEX(_xlpm.data,,_xlfn.SEQUENCE(,_xlpm.l,_xlpm.s))))),ROUND(_xlpm.arr*$O109/1000,2))</f>
        <v/>
      </c>
      <c r="BK109" s="331" t="n">
        <v>0</v>
      </c>
      <c r="BL109" s="331" t="n">
        <v>0</v>
      </c>
      <c r="BM109" s="331" t="n">
        <v>0</v>
      </c>
      <c r="BN109" s="362">
        <f>SUM(BJ109:BM109)</f>
        <v/>
      </c>
      <c r="BO109" s="362" t="n">
        <v>0</v>
      </c>
      <c r="BP109" s="362" t="n">
        <v>0</v>
      </c>
      <c r="BQ109" s="362" t="n">
        <v>0</v>
      </c>
      <c r="BR109" s="362" t="n">
        <v>0</v>
      </c>
      <c r="BS109" s="115" t="n"/>
      <c r="BT109" s="362">
        <f t="array" ref="BT109:BW109">_xlfn.HSTACK(SUM(INDEX($R109:$AV109,1,1):INDEX($R109:$AV109,1,7)),SUM(INDEX($R109:$AV109,1,7):INDEX($R109:$AV109,1,13)),SUM(INDEX($R109:$AV109,1,16):INDEX($R109:$AV109,1,23)),SUM(INDEX($R109:$AV109,1,23):INDEX($R109:$AV109,1,31)))</f>
        <v/>
      </c>
      <c r="BU109" s="362" t="n">
        <v>0</v>
      </c>
      <c r="BV109" s="362" t="n">
        <v>0</v>
      </c>
      <c r="BW109" s="362" t="n">
        <v>0</v>
      </c>
      <c r="BY109" s="362">
        <f>SUM(R109:X109)</f>
        <v/>
      </c>
      <c r="BZ109" s="362">
        <f>SUM(Y109:AE109)</f>
        <v/>
      </c>
      <c r="CA109" s="362">
        <f>SUM(AF109:AM109)</f>
        <v/>
      </c>
      <c r="CB109" s="362">
        <f>SUM(AN109:AV109)</f>
        <v/>
      </c>
      <c r="CD109" s="432" t="inlineStr">
        <is>
          <t>ADA</t>
        </is>
      </c>
      <c r="CE109" s="362">
        <f>ROUND(BY109*$O109/1000,2)</f>
        <v/>
      </c>
      <c r="CF109" s="362">
        <f>ROUND(BZ109*$O109/1000,2)</f>
        <v/>
      </c>
      <c r="CG109" s="362">
        <f>ROUND(CA109*$O109/1000,2)</f>
        <v/>
      </c>
      <c r="CH109" s="362">
        <f>ROUND(CB109*$O109/1000,2)</f>
        <v/>
      </c>
      <c r="CI109" s="362">
        <f>SUM(CE109:CH109)</f>
        <v/>
      </c>
      <c r="CJ109" s="390" t="n"/>
      <c r="CK109" s="362">
        <f>IFERROR(ROUND(BY109*$P109,2),"")</f>
        <v/>
      </c>
      <c r="CL109" s="362">
        <f>IFERROR(ROUND(BZ109*$P109,2),"")</f>
        <v/>
      </c>
      <c r="CM109" s="362">
        <f>IFERROR(ROUND(CA109*$P109,2),"")</f>
        <v/>
      </c>
      <c r="CN109" s="362">
        <f>IFERROR(ROUND(CB109*$P109,2),"")</f>
        <v/>
      </c>
      <c r="CO109" s="362">
        <f>SUM(CK109:CN109)</f>
        <v/>
      </c>
    </row>
    <row r="110" hidden="1" ht="15.6" customFormat="1" customHeight="1" s="362">
      <c r="A110" s="331" t="n"/>
      <c r="B110" s="344">
        <f>_xlfn.XLOOKUP(G110,销售需求表!A:A,销售需求表!C:C)</f>
        <v/>
      </c>
      <c r="C110" s="345">
        <f>IFERROR(MID(F110,FIND("R",F110)+1,4),"")</f>
        <v/>
      </c>
      <c r="D110" s="344">
        <f>B110&amp;C110&amp;"寸"</f>
        <v/>
      </c>
      <c r="E110" s="346">
        <f>LEFT(REPLACE(G110,1,2,""),FIND("[",REPLACE(G110,1,2,""))-1)&amp;"-"&amp;MID(REPLACE(G110,1,2,""),FIND("[",REPLACE(G110,1,2,""))+1,FIND("]",REPLACE(G110,1,2,""))-FIND("[",REPLACE(G110,1,2,""))-1)</f>
        <v/>
      </c>
      <c r="F110" s="347">
        <f>IFERROR(MID(G110,3,FIND("(",G110)-3)&amp;"-"&amp;SUBSTITUTE(MID(G110,FIND("[",G110)+1,FIND("]",G110)-FIND("[",G110)-1),"Strong Guard ",""),"")</f>
        <v/>
      </c>
      <c r="G110" s="363" t="inlineStr">
        <is>
          <t>ID265/70R19.5-18PR(143/141K)[I-19A]IRONMAN无内</t>
        </is>
      </c>
      <c r="H110" s="344" t="n">
        <v>900</v>
      </c>
      <c r="I110" s="348" t="n"/>
      <c r="J110" s="349">
        <f>IFERROR(LEFT(F110,FIND("-",F110))&amp;MID(F110,FIND("PR",F110,FIND("-",F110))+3,LEN(F110)),F110)</f>
        <v/>
      </c>
      <c r="K110" s="352">
        <f>_xlfn.XLOOKUP(F110,投产规格!E:E,投产规格!D:D,"未投产")</f>
        <v/>
      </c>
      <c r="L110" s="352">
        <f>IFERROR(_xlfn.XLOOKUP(F110,硫化工艺!B:B,硫化工艺!C:C),"")</f>
        <v/>
      </c>
      <c r="M110" s="430">
        <f>IF(L110="","",L110/(L110+$L$1/60))</f>
        <v/>
      </c>
      <c r="N110" s="352">
        <f>C110&amp;"全钢"</f>
        <v/>
      </c>
      <c r="O110" s="352">
        <f>IFERROR(_xlfn.XLOOKUP(F110,轮胎重量!J:J,轮胎重量!G:G),"")</f>
        <v/>
      </c>
      <c r="P110" s="352">
        <f>IFERROR(_xlfn.XLOOKUP(G110,硫化工艺!I:I,硫化工艺!J:J),"")</f>
        <v/>
      </c>
      <c r="Q110" s="352">
        <f>IFERROR(ROUND(1440/L110*(I110)*M110,0),"")</f>
        <v/>
      </c>
      <c r="R110" s="352" t="n"/>
      <c r="S110" s="352" t="n"/>
      <c r="T110" s="352" t="n"/>
      <c r="U110" s="352" t="n"/>
      <c r="V110" s="352" t="n"/>
      <c r="W110" s="352" t="n"/>
      <c r="X110" s="352" t="n"/>
      <c r="Y110" s="352" t="n"/>
      <c r="Z110" s="352" t="n"/>
      <c r="AA110" s="352" t="n"/>
      <c r="AB110" s="352" t="n"/>
      <c r="AC110" s="352" t="n"/>
      <c r="AD110" s="352" t="n"/>
      <c r="AE110" s="352" t="n"/>
      <c r="AF110" s="352" t="n"/>
      <c r="AG110" s="352" t="n"/>
      <c r="AH110" s="352" t="n"/>
      <c r="AI110" s="352" t="n"/>
      <c r="AJ110" s="352" t="n"/>
      <c r="AK110" s="352" t="n"/>
      <c r="AL110" s="352" t="n"/>
      <c r="AM110" s="352" t="n"/>
      <c r="AN110" s="352" t="n"/>
      <c r="AO110" s="352" t="n"/>
      <c r="AP110" s="352" t="n"/>
      <c r="AQ110" s="352" t="n"/>
      <c r="AR110" s="352" t="n"/>
      <c r="AS110" s="352" t="n"/>
      <c r="AT110" s="352" t="n"/>
      <c r="AU110" s="352" t="n"/>
      <c r="AV110" s="352" t="n"/>
      <c r="AW110" s="352">
        <f>IF(SUM(R110:AV110)=0,"",SUM(R110:AV110))</f>
        <v/>
      </c>
      <c r="AX110" s="431">
        <f>IFERROR(AW110*O110/1000,"")</f>
        <v/>
      </c>
      <c r="AY110" s="431">
        <f>IFERROR(ROUND(AW110*P110/10000,3),"")</f>
        <v/>
      </c>
      <c r="AZ110" s="359" t="n"/>
      <c r="BA110" s="362" t="n"/>
      <c r="BB110" s="362" t="n"/>
      <c r="BC110" s="331" t="n"/>
      <c r="BD110" s="331" t="n"/>
      <c r="BE110" s="331" t="n"/>
      <c r="BF110" s="331" t="n"/>
      <c r="BG110" s="331" t="n"/>
      <c r="BH110" s="331" t="n"/>
      <c r="BI110" s="331" t="n"/>
      <c r="BJ110" s="356">
        <f t="array" ref="BJ110:BM110">_xlfn.LET(_xlpm.data,$R110:$AV110,_xlpm.starts,{1,8,16,23},_xlpm.lengths,{7,7,8,9},_xlpm.arr,_xlfn.MAP(_xlpm.starts,_xlpm.lengths,_xlfn.LAMBDA(_xlpm.s,_xlpm.l,SUM(INDEX(_xlpm.data,,_xlfn.SEQUENCE(,_xlpm.l,_xlpm.s))))),ROUND(_xlpm.arr*$O110/1000,2))</f>
        <v/>
      </c>
      <c r="BK110" s="331" t="n">
        <v>0</v>
      </c>
      <c r="BL110" s="331" t="n">
        <v>0</v>
      </c>
      <c r="BM110" s="331" t="n">
        <v>0</v>
      </c>
      <c r="BN110" s="362">
        <f>SUM(BJ110:BM110)</f>
        <v/>
      </c>
      <c r="BO110" s="362" t="n">
        <v>0</v>
      </c>
      <c r="BP110" s="362" t="n">
        <v>0</v>
      </c>
      <c r="BQ110" s="362" t="n">
        <v>0</v>
      </c>
      <c r="BR110" s="362" t="n">
        <v>0</v>
      </c>
      <c r="BS110" s="115" t="n"/>
      <c r="BT110" s="362">
        <f t="array" ref="BT110:BW110">_xlfn.HSTACK(SUM(INDEX($R110:$AV110,1,1):INDEX($R110:$AV110,1,7)),SUM(INDEX($R110:$AV110,1,7):INDEX($R110:$AV110,1,13)),SUM(INDEX($R110:$AV110,1,16):INDEX($R110:$AV110,1,23)),SUM(INDEX($R110:$AV110,1,23):INDEX($R110:$AV110,1,31)))</f>
        <v/>
      </c>
      <c r="BU110" s="362" t="n">
        <v>0</v>
      </c>
      <c r="BV110" s="362" t="n">
        <v>0</v>
      </c>
      <c r="BW110" s="362" t="n">
        <v>0</v>
      </c>
      <c r="BY110" s="362">
        <f>SUM(R110:X110)</f>
        <v/>
      </c>
      <c r="BZ110" s="362">
        <f>SUM(Y110:AE110)</f>
        <v/>
      </c>
      <c r="CA110" s="362">
        <f>SUM(AF110:AM110)</f>
        <v/>
      </c>
      <c r="CB110" s="362">
        <f>SUM(AN110:AV110)</f>
        <v/>
      </c>
      <c r="CD110" s="432" t="inlineStr">
        <is>
          <t>ADA</t>
        </is>
      </c>
      <c r="CE110" s="362">
        <f>ROUND(BY110*$O110/1000,2)</f>
        <v/>
      </c>
      <c r="CF110" s="362">
        <f>ROUND(BZ110*$O110/1000,2)</f>
        <v/>
      </c>
      <c r="CG110" s="362">
        <f>ROUND(CA110*$O110/1000,2)</f>
        <v/>
      </c>
      <c r="CH110" s="362">
        <f>ROUND(CB110*$O110/1000,2)</f>
        <v/>
      </c>
      <c r="CI110" s="362">
        <f>SUM(CE110:CH110)</f>
        <v/>
      </c>
      <c r="CJ110" s="390" t="n"/>
      <c r="CK110" s="362">
        <f>IFERROR(ROUND(BY110*$P110,2),"")</f>
        <v/>
      </c>
      <c r="CL110" s="362">
        <f>IFERROR(ROUND(BZ110*$P110,2),"")</f>
        <v/>
      </c>
      <c r="CM110" s="362">
        <f>IFERROR(ROUND(CA110*$P110,2),"")</f>
        <v/>
      </c>
      <c r="CN110" s="362">
        <f>IFERROR(ROUND(CB110*$P110,2),"")</f>
        <v/>
      </c>
      <c r="CO110" s="362">
        <f>SUM(CK110:CN110)</f>
        <v/>
      </c>
    </row>
    <row r="111" hidden="1" ht="15.6" customFormat="1" customHeight="1" s="362">
      <c r="A111" s="331" t="n"/>
      <c r="B111" s="344">
        <f>_xlfn.XLOOKUP(G111,销售需求表!A:A,销售需求表!C:C)</f>
        <v/>
      </c>
      <c r="C111" s="345">
        <f>IFERROR(MID(F111,FIND("R",F111)+1,4),"")</f>
        <v/>
      </c>
      <c r="D111" s="344">
        <f>B111&amp;C111&amp;"寸"</f>
        <v/>
      </c>
      <c r="E111" s="346">
        <f>LEFT(REPLACE(G111,1,2,""),FIND("[",REPLACE(G111,1,2,""))-1)&amp;"-"&amp;MID(REPLACE(G111,1,2,""),FIND("[",REPLACE(G111,1,2,""))+1,FIND("]",REPLACE(G111,1,2,""))-FIND("[",REPLACE(G111,1,2,""))-1)</f>
        <v/>
      </c>
      <c r="F111" s="347">
        <f>IFERROR(MID(G111,3,FIND("(",G111)-3)&amp;"-"&amp;SUBSTITUTE(MID(G111,FIND("[",G111)+1,FIND("]",G111)-FIND("[",G111)-1),"Strong Guard ",""),"")</f>
        <v/>
      </c>
      <c r="G111" s="361" t="inlineStr">
        <is>
          <t>ID245/75R22.5-14PR(134/131L)[Strong Guard H-RA]HERCULES无内</t>
        </is>
      </c>
      <c r="H111" s="344" t="n">
        <v>1700</v>
      </c>
      <c r="I111" s="348" t="n"/>
      <c r="J111" s="349">
        <f>IFERROR(LEFT(F111,FIND("-",F111))&amp;MID(F111,FIND("PR",F111,FIND("-",F111))+3,LEN(F111)),F111)</f>
        <v/>
      </c>
      <c r="K111" s="352">
        <f>_xlfn.XLOOKUP(F111,投产规格!E:E,投产规格!D:D,"未投产")</f>
        <v/>
      </c>
      <c r="L111" s="352">
        <f>IFERROR(_xlfn.XLOOKUP(F111,硫化工艺!B:B,硫化工艺!C:C),"")</f>
        <v/>
      </c>
      <c r="M111" s="430">
        <f>IF(L111="","",L111/(L111+$L$1/60))</f>
        <v/>
      </c>
      <c r="N111" s="352">
        <f>C111&amp;"全钢"</f>
        <v/>
      </c>
      <c r="O111" s="352">
        <f>IFERROR(_xlfn.XLOOKUP(F111,轮胎重量!J:J,轮胎重量!G:G),"")</f>
        <v/>
      </c>
      <c r="P111" s="358">
        <f>O111*13.9</f>
        <v/>
      </c>
      <c r="Q111" s="352">
        <f>IFERROR(ROUND(1440/L111*(I111)*M111,0),"")</f>
        <v/>
      </c>
      <c r="R111" s="352" t="n"/>
      <c r="S111" s="352" t="n"/>
      <c r="T111" s="352" t="n"/>
      <c r="U111" s="352" t="n"/>
      <c r="V111" s="352" t="n"/>
      <c r="W111" s="352" t="n"/>
      <c r="X111" s="352" t="n"/>
      <c r="Y111" s="352" t="n"/>
      <c r="Z111" s="352" t="n"/>
      <c r="AA111" s="352" t="n"/>
      <c r="AB111" s="352" t="n"/>
      <c r="AC111" s="352" t="n"/>
      <c r="AD111" s="352" t="n"/>
      <c r="AE111" s="352" t="n"/>
      <c r="AF111" s="352" t="n"/>
      <c r="AG111" s="352" t="n"/>
      <c r="AH111" s="352" t="n"/>
      <c r="AI111" s="352" t="n"/>
      <c r="AJ111" s="352" t="n"/>
      <c r="AK111" s="352" t="n"/>
      <c r="AL111" s="352" t="n"/>
      <c r="AM111" s="352" t="n"/>
      <c r="AN111" s="352" t="n"/>
      <c r="AO111" s="352" t="n"/>
      <c r="AP111" s="352" t="n"/>
      <c r="AQ111" s="352" t="n"/>
      <c r="AR111" s="352" t="n"/>
      <c r="AS111" s="352" t="n"/>
      <c r="AT111" s="352" t="n"/>
      <c r="AU111" s="352" t="n"/>
      <c r="AV111" s="352" t="n"/>
      <c r="AW111" s="352">
        <f>IF(SUM(R111:AV111)=0,"",SUM(R111:AV111))</f>
        <v/>
      </c>
      <c r="AX111" s="431">
        <f>IFERROR(AW111*O111/1000,"")</f>
        <v/>
      </c>
      <c r="AY111" s="431">
        <f>IFERROR(ROUND(AW111*P111/10000,3),"")</f>
        <v/>
      </c>
      <c r="AZ111" s="359" t="n"/>
      <c r="BA111" s="362" t="n"/>
      <c r="BB111" s="362" t="n"/>
      <c r="BC111" s="331" t="n"/>
      <c r="BD111" s="331" t="n"/>
      <c r="BE111" s="331" t="n"/>
      <c r="BF111" s="331" t="n"/>
      <c r="BG111" s="331" t="n"/>
      <c r="BH111" s="331" t="n"/>
      <c r="BI111" s="331" t="n"/>
      <c r="BJ111" s="356">
        <f t="array" ref="BJ111:BM111">_xlfn.LET(_xlpm.data,$R111:$AV111,_xlpm.starts,{1,8,16,23},_xlpm.lengths,{7,7,8,9},_xlpm.arr,_xlfn.MAP(_xlpm.starts,_xlpm.lengths,_xlfn.LAMBDA(_xlpm.s,_xlpm.l,SUM(INDEX(_xlpm.data,,_xlfn.SEQUENCE(,_xlpm.l,_xlpm.s))))),ROUND(_xlpm.arr*$O111/1000,2))</f>
        <v/>
      </c>
      <c r="BK111" s="331" t="n">
        <v>0</v>
      </c>
      <c r="BL111" s="331" t="n">
        <v>0</v>
      </c>
      <c r="BM111" s="331" t="n">
        <v>0</v>
      </c>
      <c r="BN111" s="362">
        <f>SUM(BJ111:BM111)</f>
        <v/>
      </c>
      <c r="BO111" s="362" t="n">
        <v>0.42</v>
      </c>
      <c r="BP111" s="362" t="n">
        <v>0</v>
      </c>
      <c r="BQ111" s="362" t="n">
        <v>0</v>
      </c>
      <c r="BR111" s="362" t="n">
        <v>0</v>
      </c>
      <c r="BS111" s="115" t="n"/>
      <c r="BT111" s="362">
        <f t="array" ref="BT111:BW111">_xlfn.HSTACK(SUM(INDEX($R111:$AV111,1,1):INDEX($R111:$AV111,1,7)),SUM(INDEX($R111:$AV111,1,7):INDEX($R111:$AV111,1,13)),SUM(INDEX($R111:$AV111,1,16):INDEX($R111:$AV111,1,23)),SUM(INDEX($R111:$AV111,1,23):INDEX($R111:$AV111,1,31)))</f>
        <v/>
      </c>
      <c r="BU111" s="362" t="n">
        <v>0</v>
      </c>
      <c r="BV111" s="362" t="n">
        <v>0</v>
      </c>
      <c r="BW111" s="362" t="n">
        <v>0</v>
      </c>
      <c r="BY111" s="362">
        <f>SUM(R111:X111)</f>
        <v/>
      </c>
      <c r="BZ111" s="362">
        <f>SUM(Y111:AE111)</f>
        <v/>
      </c>
      <c r="CA111" s="362">
        <f>SUM(AF111:AM111)</f>
        <v/>
      </c>
      <c r="CB111" s="362">
        <f>SUM(AN111:AV111)</f>
        <v/>
      </c>
      <c r="CD111" s="432" t="inlineStr">
        <is>
          <t>ADA</t>
        </is>
      </c>
      <c r="CE111" s="362">
        <f>ROUND(BY111*$O111/1000,2)</f>
        <v/>
      </c>
      <c r="CF111" s="362">
        <f>ROUND(BZ111*$O111/1000,2)</f>
        <v/>
      </c>
      <c r="CG111" s="362">
        <f>ROUND(CA111*$O111/1000,2)</f>
        <v/>
      </c>
      <c r="CH111" s="362">
        <f>ROUND(CB111*$O111/1000,2)</f>
        <v/>
      </c>
      <c r="CI111" s="362">
        <f>SUM(CE111:CH111)</f>
        <v/>
      </c>
      <c r="CJ111" s="390" t="n"/>
      <c r="CK111" s="362">
        <f>IFERROR(ROUND(BY111*$P111,2),"")</f>
        <v/>
      </c>
      <c r="CL111" s="362">
        <f>IFERROR(ROUND(BZ111*$P111,2),"")</f>
        <v/>
      </c>
      <c r="CM111" s="362">
        <f>IFERROR(ROUND(CA111*$P111,2),"")</f>
        <v/>
      </c>
      <c r="CN111" s="362">
        <f>IFERROR(ROUND(CB111*$P111,2),"")</f>
        <v/>
      </c>
      <c r="CO111" s="362">
        <f>SUM(CK111:CN111)</f>
        <v/>
      </c>
    </row>
    <row r="112" hidden="1" ht="15.6" customFormat="1" customHeight="1" s="362">
      <c r="A112" s="331" t="n"/>
      <c r="B112" s="344">
        <f>_xlfn.XLOOKUP(G112,销售需求表!A:A,销售需求表!C:C)</f>
        <v/>
      </c>
      <c r="C112" s="345">
        <f>IFERROR(MID(F112,FIND("R",F112)+1,4),"")</f>
        <v/>
      </c>
      <c r="D112" s="344">
        <f>B112&amp;C112&amp;"寸"</f>
        <v/>
      </c>
      <c r="E112" s="346">
        <f>LEFT(REPLACE(G112,1,2,""),FIND("[",REPLACE(G112,1,2,""))-1)&amp;"-"&amp;MID(REPLACE(G112,1,2,""),FIND("[",REPLACE(G112,1,2,""))+1,FIND("]",REPLACE(G112,1,2,""))-FIND("[",REPLACE(G112,1,2,""))-1)</f>
        <v/>
      </c>
      <c r="F112" s="347">
        <f>IFERROR(MID(G112,3,FIND("(",G112)-3)&amp;"-"&amp;SUBSTITUTE(MID(G112,FIND("[",G112)+1,FIND("]",G112)-FIND("[",G112)-1),"Strong Guard ",""),"")</f>
        <v/>
      </c>
      <c r="G112" s="361" t="inlineStr">
        <is>
          <t>ID255/70R22.5-16PR(140/137L)[Strong Guard H-RA]HERCULES无内</t>
        </is>
      </c>
      <c r="H112" s="344" t="n">
        <v>3600</v>
      </c>
      <c r="I112" s="348" t="n"/>
      <c r="J112" s="349">
        <f>IFERROR(LEFT(F112,FIND("-",F112))&amp;MID(F112,FIND("PR",F112,FIND("-",F112))+3,LEN(F112)),F112)</f>
        <v/>
      </c>
      <c r="K112" s="352">
        <f>_xlfn.XLOOKUP(F112,投产规格!E:E,投产规格!D:D,"未投产")</f>
        <v/>
      </c>
      <c r="L112" s="352">
        <f>IFERROR(_xlfn.XLOOKUP(F112,硫化工艺!B:B,硫化工艺!C:C),"")</f>
        <v/>
      </c>
      <c r="M112" s="430">
        <f>IF(L112="","",L112/(L112+$L$1/60))</f>
        <v/>
      </c>
      <c r="N112" s="352">
        <f>C112&amp;"全钢"</f>
        <v/>
      </c>
      <c r="O112" s="352">
        <f>IFERROR(_xlfn.XLOOKUP(F112,轮胎重量!J:J,轮胎重量!G:G),"")</f>
        <v/>
      </c>
      <c r="P112" s="352">
        <f>IFERROR(_xlfn.XLOOKUP(G112,硫化工艺!I:I,硫化工艺!J:J),"")</f>
        <v/>
      </c>
      <c r="Q112" s="352">
        <f>IFERROR(ROUND(1440/L112*(I112)*M112,0),"")</f>
        <v/>
      </c>
      <c r="R112" s="352" t="n"/>
      <c r="S112" s="352" t="n"/>
      <c r="T112" s="352" t="n"/>
      <c r="U112" s="352" t="n"/>
      <c r="V112" s="352" t="n"/>
      <c r="W112" s="352" t="n"/>
      <c r="X112" s="352" t="n"/>
      <c r="Y112" s="352" t="n"/>
      <c r="Z112" s="352" t="n"/>
      <c r="AA112" s="352" t="n"/>
      <c r="AB112" s="352" t="n"/>
      <c r="AC112" s="352" t="n"/>
      <c r="AD112" s="352" t="n"/>
      <c r="AE112" s="352" t="n"/>
      <c r="AF112" s="352" t="n"/>
      <c r="AG112" s="352" t="n"/>
      <c r="AH112" s="352" t="n"/>
      <c r="AI112" s="352" t="n"/>
      <c r="AJ112" s="352" t="n"/>
      <c r="AK112" s="352" t="n"/>
      <c r="AL112" s="352" t="n"/>
      <c r="AM112" s="352" t="n"/>
      <c r="AN112" s="352" t="n"/>
      <c r="AO112" s="352" t="n"/>
      <c r="AP112" s="352" t="n"/>
      <c r="AQ112" s="352" t="n"/>
      <c r="AR112" s="352" t="n"/>
      <c r="AS112" s="352" t="n"/>
      <c r="AT112" s="352" t="n"/>
      <c r="AU112" s="352" t="n"/>
      <c r="AV112" s="352" t="n"/>
      <c r="AW112" s="352">
        <f>IF(SUM(R112:AV112)=0,"",SUM(R112:AV112))</f>
        <v/>
      </c>
      <c r="AX112" s="431">
        <f>IFERROR(AW112*O112/1000,"")</f>
        <v/>
      </c>
      <c r="AY112" s="431">
        <f>IFERROR(ROUND(AW112*P112/10000,3),"")</f>
        <v/>
      </c>
      <c r="AZ112" s="359" t="n"/>
      <c r="BA112" s="362" t="n"/>
      <c r="BB112" s="362" t="n"/>
      <c r="BC112" s="331" t="n"/>
      <c r="BD112" s="331" t="n"/>
      <c r="BE112" s="331" t="n"/>
      <c r="BF112" s="331" t="n"/>
      <c r="BG112" s="331" t="n"/>
      <c r="BH112" s="331" t="n"/>
      <c r="BI112" s="331" t="n"/>
      <c r="BJ112" s="356">
        <f t="array" ref="BJ112:BM112">_xlfn.LET(_xlpm.data,$R112:$AV112,_xlpm.starts,{1,8,16,23},_xlpm.lengths,{7,7,8,9},_xlpm.arr,_xlfn.MAP(_xlpm.starts,_xlpm.lengths,_xlfn.LAMBDA(_xlpm.s,_xlpm.l,SUM(INDEX(_xlpm.data,,_xlfn.SEQUENCE(,_xlpm.l,_xlpm.s))))),ROUND(_xlpm.arr*$O112/1000,2))</f>
        <v/>
      </c>
      <c r="BK112" s="331" t="n">
        <v>0</v>
      </c>
      <c r="BL112" s="331" t="n">
        <v>0</v>
      </c>
      <c r="BM112" s="331" t="n">
        <v>0</v>
      </c>
      <c r="BN112" s="362">
        <f>SUM(BJ112:BM112)</f>
        <v/>
      </c>
      <c r="BO112" s="362" t="n">
        <v>0.42</v>
      </c>
      <c r="BP112" s="362" t="n">
        <v>0</v>
      </c>
      <c r="BQ112" s="362" t="n">
        <v>0</v>
      </c>
      <c r="BR112" s="362" t="n">
        <v>0</v>
      </c>
      <c r="BS112" s="115" t="n"/>
      <c r="BT112" s="362">
        <f t="array" ref="BT112:BW112">_xlfn.HSTACK(SUM(INDEX($R112:$AV112,1,1):INDEX($R112:$AV112,1,7)),SUM(INDEX($R112:$AV112,1,7):INDEX($R112:$AV112,1,13)),SUM(INDEX($R112:$AV112,1,16):INDEX($R112:$AV112,1,23)),SUM(INDEX($R112:$AV112,1,23):INDEX($R112:$AV112,1,31)))</f>
        <v/>
      </c>
      <c r="BU112" s="362" t="n">
        <v>0</v>
      </c>
      <c r="BV112" s="362" t="n">
        <v>0</v>
      </c>
      <c r="BW112" s="362" t="n">
        <v>0</v>
      </c>
      <c r="BY112" s="362">
        <f>SUM(R112:X112)</f>
        <v/>
      </c>
      <c r="BZ112" s="362">
        <f>SUM(Y112:AE112)</f>
        <v/>
      </c>
      <c r="CA112" s="362">
        <f>SUM(AF112:AM112)</f>
        <v/>
      </c>
      <c r="CB112" s="362">
        <f>SUM(AN112:AV112)</f>
        <v/>
      </c>
      <c r="CD112" s="432" t="inlineStr">
        <is>
          <t>ADA</t>
        </is>
      </c>
      <c r="CE112" s="362">
        <f>ROUND(BY112*$O112/1000,2)</f>
        <v/>
      </c>
      <c r="CF112" s="362">
        <f>ROUND(BZ112*$O112/1000,2)</f>
        <v/>
      </c>
      <c r="CG112" s="362">
        <f>ROUND(CA112*$O112/1000,2)</f>
        <v/>
      </c>
      <c r="CH112" s="362">
        <f>ROUND(CB112*$O112/1000,2)</f>
        <v/>
      </c>
      <c r="CI112" s="362">
        <f>SUM(CE112:CH112)</f>
        <v/>
      </c>
      <c r="CJ112" s="390" t="n"/>
      <c r="CK112" s="362">
        <f>IFERROR(ROUND(BY112*$P112,2),"")</f>
        <v/>
      </c>
      <c r="CL112" s="362">
        <f>IFERROR(ROUND(BZ112*$P112,2),"")</f>
        <v/>
      </c>
      <c r="CM112" s="362">
        <f>IFERROR(ROUND(CA112*$P112,2),"")</f>
        <v/>
      </c>
      <c r="CN112" s="362">
        <f>IFERROR(ROUND(CB112*$P112,2),"")</f>
        <v/>
      </c>
      <c r="CO112" s="362">
        <f>SUM(CK112:CN112)</f>
        <v/>
      </c>
    </row>
    <row r="113" hidden="1" ht="15.6" customFormat="1" customHeight="1" s="362">
      <c r="A113" s="331" t="n"/>
      <c r="B113" s="344">
        <f>_xlfn.XLOOKUP(G113,销售需求表!A:A,销售需求表!C:C)</f>
        <v/>
      </c>
      <c r="C113" s="345">
        <f>IFERROR(MID(F113,FIND("R",F113)+1,4),"")</f>
        <v/>
      </c>
      <c r="D113" s="344">
        <f>B113&amp;C113&amp;"寸"</f>
        <v/>
      </c>
      <c r="E113" s="346">
        <f>LEFT(REPLACE(G113,1,2,""),FIND("[",REPLACE(G113,1,2,""))-1)&amp;"-"&amp;MID(REPLACE(G113,1,2,""),FIND("[",REPLACE(G113,1,2,""))+1,FIND("]",REPLACE(G113,1,2,""))-FIND("[",REPLACE(G113,1,2,""))-1)</f>
        <v/>
      </c>
      <c r="F113" s="347">
        <f>IFERROR(MID(G113,3,FIND("(",G113)-3)&amp;"-"&amp;SUBSTITUTE(MID(G113,FIND("[",G113)+1,FIND("]",G113)-FIND("[",G113)-1),"Strong Guard ",""),"")</f>
        <v/>
      </c>
      <c r="G113" s="361" t="inlineStr">
        <is>
          <t>ID255/70R22.5-16PR(140/137M)[AZ599]威狮无内</t>
        </is>
      </c>
      <c r="H113" s="344" t="n">
        <v>120</v>
      </c>
      <c r="I113" s="348" t="n"/>
      <c r="J113" s="349">
        <f>IFERROR(LEFT(F113,FIND("-",F113))&amp;MID(F113,FIND("PR",F113,FIND("-",F113))+3,LEN(F113)),F113)</f>
        <v/>
      </c>
      <c r="K113" s="352">
        <f>_xlfn.XLOOKUP(F113,投产规格!E:E,投产规格!D:D,"未投产")</f>
        <v/>
      </c>
      <c r="L113" s="352">
        <f>IFERROR(_xlfn.XLOOKUP(F113,硫化工艺!B:B,硫化工艺!C:C),"")</f>
        <v/>
      </c>
      <c r="M113" s="430">
        <f>IF(L113="","",L113/(L113+$L$1/60))</f>
        <v/>
      </c>
      <c r="N113" s="352">
        <f>C113&amp;"全钢"</f>
        <v/>
      </c>
      <c r="O113" s="352">
        <f>IFERROR(_xlfn.XLOOKUP(F113,轮胎重量!J:J,轮胎重量!G:G),"")</f>
        <v/>
      </c>
      <c r="P113" s="352">
        <f>IFERROR(_xlfn.XLOOKUP(G113,硫化工艺!I:I,硫化工艺!J:J),"")</f>
        <v/>
      </c>
      <c r="Q113" s="352">
        <f>IFERROR(ROUND(1440/L113*(I113)*M113,0),"")</f>
        <v/>
      </c>
      <c r="R113" s="352" t="n"/>
      <c r="S113" s="352" t="n"/>
      <c r="T113" s="352" t="n"/>
      <c r="U113" s="352" t="n"/>
      <c r="V113" s="352" t="n"/>
      <c r="W113" s="352" t="n"/>
      <c r="X113" s="352" t="n"/>
      <c r="Y113" s="352" t="n"/>
      <c r="Z113" s="352" t="n"/>
      <c r="AA113" s="352" t="n"/>
      <c r="AB113" s="352" t="n"/>
      <c r="AC113" s="352" t="n"/>
      <c r="AD113" s="352" t="n"/>
      <c r="AE113" s="352" t="n"/>
      <c r="AF113" s="352" t="n"/>
      <c r="AG113" s="352" t="n"/>
      <c r="AH113" s="352" t="n"/>
      <c r="AI113" s="352" t="n"/>
      <c r="AJ113" s="352" t="n"/>
      <c r="AK113" s="352" t="n"/>
      <c r="AL113" s="352" t="n"/>
      <c r="AM113" s="352" t="n"/>
      <c r="AN113" s="352" t="n"/>
      <c r="AO113" s="352" t="n"/>
      <c r="AP113" s="352" t="n"/>
      <c r="AQ113" s="352" t="n"/>
      <c r="AR113" s="352" t="n"/>
      <c r="AS113" s="352" t="n"/>
      <c r="AT113" s="352" t="n"/>
      <c r="AU113" s="352" t="n"/>
      <c r="AV113" s="352" t="n"/>
      <c r="AW113" s="352">
        <f>IF(SUM(R113:AV113)=0,"",SUM(R113:AV113))</f>
        <v/>
      </c>
      <c r="AX113" s="431">
        <f>IFERROR(AW113*O113/1000,"")</f>
        <v/>
      </c>
      <c r="AY113" s="431">
        <f>IFERROR(ROUND(AW113*P113/10000,3),"")</f>
        <v/>
      </c>
      <c r="AZ113" s="359" t="n"/>
      <c r="BA113" s="362" t="n"/>
      <c r="BB113" s="362" t="n"/>
      <c r="BC113" s="331" t="n"/>
      <c r="BD113" s="331" t="n"/>
      <c r="BE113" s="331" t="n"/>
      <c r="BF113" s="331" t="n"/>
      <c r="BG113" s="331" t="n"/>
      <c r="BH113" s="331" t="n"/>
      <c r="BI113" s="331" t="n"/>
      <c r="BJ113" s="356">
        <f t="array" ref="BJ113:BM113">_xlfn.LET(_xlpm.data,$R113:$AV113,_xlpm.starts,{1,8,16,23},_xlpm.lengths,{7,7,8,9},_xlpm.arr,_xlfn.MAP(_xlpm.starts,_xlpm.lengths,_xlfn.LAMBDA(_xlpm.s,_xlpm.l,SUM(INDEX(_xlpm.data,,_xlfn.SEQUENCE(,_xlpm.l,_xlpm.s))))),ROUND(_xlpm.arr*$O113/1000,2))</f>
        <v/>
      </c>
      <c r="BK113" s="331" t="n">
        <v>0</v>
      </c>
      <c r="BL113" s="331" t="n">
        <v>0</v>
      </c>
      <c r="BM113" s="331" t="n">
        <v>0</v>
      </c>
      <c r="BN113" s="362">
        <f>SUM(BJ113:BM113)</f>
        <v/>
      </c>
      <c r="BO113" s="362" t="n">
        <v>0.42</v>
      </c>
      <c r="BP113" s="362" t="n">
        <v>0</v>
      </c>
      <c r="BQ113" s="362" t="n">
        <v>0</v>
      </c>
      <c r="BR113" s="362" t="n">
        <v>0</v>
      </c>
      <c r="BS113" s="115" t="n"/>
      <c r="BT113" s="362">
        <f t="array" ref="BT113:BW113">_xlfn.HSTACK(SUM(INDEX($R113:$AV113,1,1):INDEX($R113:$AV113,1,7)),SUM(INDEX($R113:$AV113,1,7):INDEX($R113:$AV113,1,13)),SUM(INDEX($R113:$AV113,1,16):INDEX($R113:$AV113,1,23)),SUM(INDEX($R113:$AV113,1,23):INDEX($R113:$AV113,1,31)))</f>
        <v/>
      </c>
      <c r="BU113" s="362" t="n">
        <v>0</v>
      </c>
      <c r="BV113" s="362" t="n">
        <v>0</v>
      </c>
      <c r="BW113" s="362" t="n">
        <v>0</v>
      </c>
      <c r="BY113" s="362">
        <f>SUM(R113:X113)</f>
        <v/>
      </c>
      <c r="BZ113" s="362">
        <f>SUM(Y113:AE113)</f>
        <v/>
      </c>
      <c r="CA113" s="362">
        <f>SUM(AF113:AM113)</f>
        <v/>
      </c>
      <c r="CB113" s="362">
        <f>SUM(AN113:AV113)</f>
        <v/>
      </c>
      <c r="CD113" s="432" t="inlineStr">
        <is>
          <t>ADA</t>
        </is>
      </c>
      <c r="CE113" s="362">
        <f>ROUND(BY113*$O113/1000,2)</f>
        <v/>
      </c>
      <c r="CF113" s="362">
        <f>ROUND(BZ113*$O113/1000,2)</f>
        <v/>
      </c>
      <c r="CG113" s="362">
        <f>ROUND(CA113*$O113/1000,2)</f>
        <v/>
      </c>
      <c r="CH113" s="362">
        <f>ROUND(CB113*$O113/1000,2)</f>
        <v/>
      </c>
      <c r="CI113" s="362">
        <f>SUM(CE113:CH113)</f>
        <v/>
      </c>
      <c r="CJ113" s="390" t="n"/>
      <c r="CK113" s="362">
        <f>IFERROR(ROUND(BY113*$P113,2),"")</f>
        <v/>
      </c>
      <c r="CL113" s="362">
        <f>IFERROR(ROUND(BZ113*$P113,2),"")</f>
        <v/>
      </c>
      <c r="CM113" s="362">
        <f>IFERROR(ROUND(CA113*$P113,2),"")</f>
        <v/>
      </c>
      <c r="CN113" s="362">
        <f>IFERROR(ROUND(CB113*$P113,2),"")</f>
        <v/>
      </c>
      <c r="CO113" s="362">
        <f>SUM(CK113:CN113)</f>
        <v/>
      </c>
    </row>
    <row r="114" hidden="1" ht="15.6" customFormat="1" customHeight="1" s="362">
      <c r="A114" s="331" t="n"/>
      <c r="B114" s="344">
        <f>_xlfn.XLOOKUP(G114,销售需求表!A:A,销售需求表!C:C)</f>
        <v/>
      </c>
      <c r="C114" s="345">
        <f>IFERROR(MID(F114,FIND("R",F114)+1,4),"")</f>
        <v/>
      </c>
      <c r="D114" s="344">
        <f>B114&amp;C114&amp;"寸"</f>
        <v/>
      </c>
      <c r="E114" s="346">
        <f>LEFT(REPLACE(G114,1,2,""),FIND("[",REPLACE(G114,1,2,""))-1)&amp;"-"&amp;MID(REPLACE(G114,1,2,""),FIND("[",REPLACE(G114,1,2,""))+1,FIND("]",REPLACE(G114,1,2,""))-FIND("[",REPLACE(G114,1,2,""))-1)</f>
        <v/>
      </c>
      <c r="F114" s="347">
        <f>IFERROR(MID(G114,3,FIND("(",G114)-3)&amp;"-"&amp;SUBSTITUTE(MID(G114,FIND("[",G114)+1,FIND("]",G114)-FIND("[",G114)-1),"Strong Guard ",""),"")</f>
        <v/>
      </c>
      <c r="G114" s="361" t="inlineStr">
        <is>
          <t>ID255/70R22.5-16PR(140/137M)[ECO-MILE AP]TRAVELSTAR无内</t>
        </is>
      </c>
      <c r="H114" s="344" t="n">
        <v>650</v>
      </c>
      <c r="I114" s="348" t="n"/>
      <c r="J114" s="349">
        <f>IFERROR(LEFT(F114,FIND("-",F114))&amp;MID(F114,FIND("PR",F114,FIND("-",F114))+3,LEN(F114)),F114)</f>
        <v/>
      </c>
      <c r="K114" s="352">
        <f>_xlfn.XLOOKUP(F114,投产规格!E:E,投产规格!D:D,"未投产")</f>
        <v/>
      </c>
      <c r="L114" s="352">
        <f>IFERROR(_xlfn.XLOOKUP(F114,硫化工艺!B:B,硫化工艺!C:C),"")</f>
        <v/>
      </c>
      <c r="M114" s="430">
        <f>IF(L114="","",L114/(L114+$L$1/60))</f>
        <v/>
      </c>
      <c r="N114" s="352">
        <f>C114&amp;"全钢"</f>
        <v/>
      </c>
      <c r="O114" s="352">
        <f>IFERROR(_xlfn.XLOOKUP(F114,轮胎重量!J:J,轮胎重量!G:G),"")</f>
        <v/>
      </c>
      <c r="P114" s="358">
        <f>O114*13.9</f>
        <v/>
      </c>
      <c r="Q114" s="352">
        <f>IFERROR(ROUND(1440/L114*(I114)*M114,0),"")</f>
        <v/>
      </c>
      <c r="R114" s="352" t="n"/>
      <c r="S114" s="352" t="n"/>
      <c r="T114" s="352" t="n"/>
      <c r="U114" s="352" t="n"/>
      <c r="V114" s="352" t="n"/>
      <c r="W114" s="352" t="n"/>
      <c r="X114" s="352" t="n"/>
      <c r="Y114" s="352" t="n"/>
      <c r="Z114" s="352" t="n"/>
      <c r="AA114" s="352" t="n"/>
      <c r="AB114" s="352" t="n"/>
      <c r="AC114" s="352" t="n"/>
      <c r="AD114" s="352" t="n"/>
      <c r="AE114" s="352" t="n"/>
      <c r="AF114" s="352" t="n"/>
      <c r="AG114" s="352" t="n"/>
      <c r="AH114" s="352" t="n"/>
      <c r="AI114" s="352" t="n"/>
      <c r="AJ114" s="352" t="n"/>
      <c r="AK114" s="352" t="n"/>
      <c r="AL114" s="352" t="n"/>
      <c r="AM114" s="352" t="n"/>
      <c r="AN114" s="352" t="n"/>
      <c r="AO114" s="352" t="n"/>
      <c r="AP114" s="352" t="n"/>
      <c r="AQ114" s="352" t="n"/>
      <c r="AR114" s="352" t="n"/>
      <c r="AS114" s="352" t="n"/>
      <c r="AT114" s="352" t="n"/>
      <c r="AU114" s="352" t="n"/>
      <c r="AV114" s="352" t="n"/>
      <c r="AW114" s="352">
        <f>IF(SUM(R114:AV114)=0,"",SUM(R114:AV114))</f>
        <v/>
      </c>
      <c r="AX114" s="431">
        <f>IFERROR(AW114*O114/1000,"")</f>
        <v/>
      </c>
      <c r="AY114" s="431">
        <f>IFERROR(ROUND(AW114*P114/10000,3),"")</f>
        <v/>
      </c>
      <c r="AZ114" s="359" t="n"/>
      <c r="BA114" s="362" t="n"/>
      <c r="BB114" s="362" t="n"/>
      <c r="BC114" s="331" t="n"/>
      <c r="BD114" s="331" t="n"/>
      <c r="BE114" s="331" t="n"/>
      <c r="BF114" s="331" t="n"/>
      <c r="BG114" s="331" t="n"/>
      <c r="BH114" s="331" t="n"/>
      <c r="BI114" s="331" t="n"/>
      <c r="BJ114" s="356">
        <f t="array" ref="BJ114:BM114">_xlfn.LET(_xlpm.data,$R114:$AV114,_xlpm.starts,{1,8,16,23},_xlpm.lengths,{7,7,8,9},_xlpm.arr,_xlfn.MAP(_xlpm.starts,_xlpm.lengths,_xlfn.LAMBDA(_xlpm.s,_xlpm.l,SUM(INDEX(_xlpm.data,,_xlfn.SEQUENCE(,_xlpm.l,_xlpm.s))))),ROUND(_xlpm.arr*$O114/1000,2))</f>
        <v/>
      </c>
      <c r="BK114" s="331" t="n">
        <v>0</v>
      </c>
      <c r="BL114" s="331" t="n">
        <v>0</v>
      </c>
      <c r="BM114" s="331" t="n">
        <v>0</v>
      </c>
      <c r="BN114" s="362">
        <f>SUM(BJ114:BM114)</f>
        <v/>
      </c>
      <c r="BO114" s="362" t="n">
        <v>0.42</v>
      </c>
      <c r="BP114" s="362" t="n">
        <v>0</v>
      </c>
      <c r="BQ114" s="362" t="n">
        <v>0</v>
      </c>
      <c r="BR114" s="362" t="n">
        <v>0</v>
      </c>
      <c r="BS114" s="115" t="n"/>
      <c r="BT114" s="362">
        <f t="array" ref="BT114:BW114">_xlfn.HSTACK(SUM(INDEX($R114:$AV114,1,1):INDEX($R114:$AV114,1,7)),SUM(INDEX($R114:$AV114,1,7):INDEX($R114:$AV114,1,13)),SUM(INDEX($R114:$AV114,1,16):INDEX($R114:$AV114,1,23)),SUM(INDEX($R114:$AV114,1,23):INDEX($R114:$AV114,1,31)))</f>
        <v/>
      </c>
      <c r="BU114" s="362" t="n">
        <v>0</v>
      </c>
      <c r="BV114" s="362" t="n">
        <v>0</v>
      </c>
      <c r="BW114" s="362" t="n">
        <v>0</v>
      </c>
      <c r="BY114" s="362">
        <f>SUM(R114:X114)</f>
        <v/>
      </c>
      <c r="BZ114" s="362">
        <f>SUM(Y114:AE114)</f>
        <v/>
      </c>
      <c r="CA114" s="362">
        <f>SUM(AF114:AM114)</f>
        <v/>
      </c>
      <c r="CB114" s="362">
        <f>SUM(AN114:AV114)</f>
        <v/>
      </c>
      <c r="CD114" s="432" t="inlineStr">
        <is>
          <t>ADA</t>
        </is>
      </c>
      <c r="CE114" s="362">
        <f>ROUND(BY114*$O114/1000,2)</f>
        <v/>
      </c>
      <c r="CF114" s="362">
        <f>ROUND(BZ114*$O114/1000,2)</f>
        <v/>
      </c>
      <c r="CG114" s="362">
        <f>ROUND(CA114*$O114/1000,2)</f>
        <v/>
      </c>
      <c r="CH114" s="362">
        <f>ROUND(CB114*$O114/1000,2)</f>
        <v/>
      </c>
      <c r="CI114" s="362">
        <f>SUM(CE114:CH114)</f>
        <v/>
      </c>
      <c r="CJ114" s="390" t="n"/>
      <c r="CK114" s="362">
        <f>IFERROR(ROUND(BY114*$P114,2),"")</f>
        <v/>
      </c>
      <c r="CL114" s="362">
        <f>IFERROR(ROUND(BZ114*$P114,2),"")</f>
        <v/>
      </c>
      <c r="CM114" s="362">
        <f>IFERROR(ROUND(CA114*$P114,2),"")</f>
        <v/>
      </c>
      <c r="CN114" s="362">
        <f>IFERROR(ROUND(CB114*$P114,2),"")</f>
        <v/>
      </c>
      <c r="CO114" s="362">
        <f>SUM(CK114:CN114)</f>
        <v/>
      </c>
    </row>
    <row r="115" ht="15.6" customFormat="1" customHeight="1" s="362">
      <c r="A115" s="433" t="n"/>
      <c r="B115" s="434">
        <f>_xlfn.XLOOKUP(G115,销售需求表!A:A,销售需求表!C:C)</f>
        <v/>
      </c>
      <c r="C115" s="435">
        <f>IFERROR(MID(F115,FIND("R",F115)+1,4),"")</f>
        <v/>
      </c>
      <c r="D115" s="434">
        <f>B115&amp;C115&amp;"寸"</f>
        <v/>
      </c>
      <c r="E115" s="436">
        <f>LEFT(REPLACE(G115,1,2,""),FIND("[",REPLACE(G115,1,2,""))-1)&amp;"-"&amp;MID(REPLACE(G115,1,2,""),FIND("[",REPLACE(G115,1,2,""))+1,FIND("]",REPLACE(G115,1,2,""))-FIND("[",REPLACE(G115,1,2,""))-1)</f>
        <v/>
      </c>
      <c r="F115" s="437">
        <f>IFERROR(MID(G115,3,FIND("(",G115)-3)&amp;"-"&amp;SUBSTITUTE(MID(G115,FIND("[",G115)+1,FIND("]",G115)-FIND("[",G115)-1),"Strong Guard ",""),"")</f>
        <v/>
      </c>
      <c r="G115" s="436" t="inlineStr">
        <is>
          <t>ID255/70R22.5-16PR(140/137M)[I-19A]IRONMAN无内</t>
        </is>
      </c>
      <c r="H115" s="434" t="n">
        <v>8000</v>
      </c>
      <c r="I115" s="434" t="n">
        <v>6</v>
      </c>
      <c r="J115" s="435">
        <f>IFERROR(LEFT(F115,FIND("-",F115))&amp;MID(F115,FIND("PR",F115,FIND("-",F115))+3,LEN(F115)),F115)</f>
        <v/>
      </c>
      <c r="K115" s="434">
        <f>_xlfn.XLOOKUP(F115,投产规格!E:E,投产规格!D:D,"未投产")</f>
        <v/>
      </c>
      <c r="L115" s="434">
        <f>IFERROR(_xlfn.XLOOKUP(F115,硫化工艺!B:B,硫化工艺!C:C),"")</f>
        <v/>
      </c>
      <c r="M115" s="438">
        <f>IF(L115="","",L115/(L115+$L$1/60))</f>
        <v/>
      </c>
      <c r="N115" s="434">
        <f>C115&amp;"全钢"</f>
        <v/>
      </c>
      <c r="O115" s="434">
        <f>IFERROR(_xlfn.XLOOKUP(F115,轮胎重量!J:J,轮胎重量!G:G),"")</f>
        <v/>
      </c>
      <c r="P115" s="434">
        <f>IFERROR(_xlfn.XLOOKUP(G115,硫化工艺!I:I,硫化工艺!J:J),"")</f>
        <v/>
      </c>
      <c r="Q115" s="434">
        <f>IFERROR(ROUND(1440/L115*(I115)*M115,0),"")</f>
        <v/>
      </c>
      <c r="R115" s="352" t="n">
        <v>210</v>
      </c>
      <c r="S115" s="352" t="n">
        <v>210</v>
      </c>
      <c r="T115" s="352" t="n">
        <v>210</v>
      </c>
      <c r="U115" s="352" t="n">
        <v>210</v>
      </c>
      <c r="V115" s="352" t="n">
        <v>210</v>
      </c>
      <c r="W115" s="352" t="n">
        <v>210</v>
      </c>
      <c r="X115" s="352" t="n">
        <v>210</v>
      </c>
      <c r="Y115" s="352" t="n">
        <v>210</v>
      </c>
      <c r="Z115" s="352" t="n">
        <v>210</v>
      </c>
      <c r="AA115" s="352" t="n">
        <v>210</v>
      </c>
      <c r="AB115" s="352" t="n">
        <v>210</v>
      </c>
      <c r="AC115" s="352" t="n">
        <v>210</v>
      </c>
      <c r="AD115" s="352" t="n">
        <v>210</v>
      </c>
      <c r="AE115" s="352" t="n">
        <v>210</v>
      </c>
      <c r="AF115" s="352" t="n">
        <v>210</v>
      </c>
      <c r="AG115" s="352" t="n">
        <v>210</v>
      </c>
      <c r="AH115" s="352" t="n">
        <v>210</v>
      </c>
      <c r="AI115" s="352" t="n">
        <v>210</v>
      </c>
      <c r="AJ115" s="352" t="n">
        <v>210</v>
      </c>
      <c r="AK115" s="352" t="n">
        <v>210</v>
      </c>
      <c r="AL115" s="352" t="n">
        <v>210</v>
      </c>
      <c r="AM115" s="352" t="n">
        <v>210</v>
      </c>
      <c r="AN115" s="352" t="n">
        <v>210</v>
      </c>
      <c r="AO115" s="352" t="n">
        <v>210</v>
      </c>
      <c r="AP115" s="352" t="n">
        <v>210</v>
      </c>
      <c r="AQ115" s="352" t="n">
        <v>210</v>
      </c>
      <c r="AR115" s="352" t="n">
        <v>210</v>
      </c>
      <c r="AS115" s="352" t="n">
        <v>210</v>
      </c>
      <c r="AT115" s="352" t="n">
        <v>210</v>
      </c>
      <c r="AU115" s="352" t="n">
        <v>210</v>
      </c>
      <c r="AV115" s="352" t="n">
        <v>210</v>
      </c>
      <c r="AW115" s="352">
        <f>IF(SUM(R115:AV115)=0,"",SUM(R115:AV115))</f>
        <v/>
      </c>
      <c r="AX115" s="431">
        <f>IFERROR(AW115*O115/1000,"")</f>
        <v/>
      </c>
      <c r="AY115" s="431">
        <f>IFERROR(ROUND(AW115*P115/10000,3),"")</f>
        <v/>
      </c>
      <c r="AZ115" s="359" t="n"/>
      <c r="BA115" s="362" t="n"/>
      <c r="BB115" s="362" t="n"/>
      <c r="BC115" s="331" t="n"/>
      <c r="BD115" s="331" t="n"/>
      <c r="BE115" s="331" t="n"/>
      <c r="BF115" s="331" t="n"/>
      <c r="BG115" s="331" t="n"/>
      <c r="BH115" s="331" t="n"/>
      <c r="BI115" s="331" t="n"/>
      <c r="BJ115" s="356">
        <f t="array" ref="BJ115:BM115">_xlfn.LET(_xlpm.data,$R115:$AV115,_xlpm.starts,{1,8,16,23},_xlpm.lengths,{7,7,8,9},_xlpm.arr,_xlfn.MAP(_xlpm.starts,_xlpm.lengths,_xlfn.LAMBDA(_xlpm.s,_xlpm.l,SUM(INDEX(_xlpm.data,,_xlfn.SEQUENCE(,_xlpm.l,_xlpm.s))))),ROUND(_xlpm.arr*$O115/1000,2))</f>
        <v/>
      </c>
      <c r="BK115" s="331" t="n">
        <v>61.43</v>
      </c>
      <c r="BL115" s="331" t="n">
        <v>70.20999999999999</v>
      </c>
      <c r="BM115" s="331" t="n">
        <v>78.98</v>
      </c>
      <c r="BN115" s="362">
        <f>SUM(BJ115:BM115)</f>
        <v/>
      </c>
      <c r="BO115" s="362" t="n">
        <v>0.42</v>
      </c>
      <c r="BP115" s="362" t="n">
        <v>0</v>
      </c>
      <c r="BQ115" s="362" t="n">
        <v>0</v>
      </c>
      <c r="BR115" s="362" t="n">
        <v>0</v>
      </c>
      <c r="BS115" s="115" t="n"/>
      <c r="BT115" s="362">
        <f t="array" ref="BT115:BW115">_xlfn.HSTACK(SUM(INDEX($R115:$AV115,1,1):INDEX($R115:$AV115,1,7)),SUM(INDEX($R115:$AV115,1,7):INDEX($R115:$AV115,1,13)),SUM(INDEX($R115:$AV115,1,16):INDEX($R115:$AV115,1,23)),SUM(INDEX($R115:$AV115,1,23):INDEX($R115:$AV115,1,31)))</f>
        <v/>
      </c>
      <c r="BU115" s="362" t="n">
        <v>1470</v>
      </c>
      <c r="BV115" s="362" t="n">
        <v>1680</v>
      </c>
      <c r="BW115" s="362" t="n">
        <v>1890</v>
      </c>
      <c r="BY115" s="362">
        <f>SUM(R115:X115)</f>
        <v/>
      </c>
      <c r="BZ115" s="362">
        <f>SUM(Y115:AE115)</f>
        <v/>
      </c>
      <c r="CA115" s="362">
        <f>SUM(AF115:AM115)</f>
        <v/>
      </c>
      <c r="CB115" s="362">
        <f>SUM(AN115:AV115)</f>
        <v/>
      </c>
      <c r="CD115" s="440" t="inlineStr">
        <is>
          <t>TIDAK ADA</t>
        </is>
      </c>
      <c r="CE115" s="362">
        <f>ROUND(BY115*$O115/1000,2)</f>
        <v/>
      </c>
      <c r="CF115" s="362">
        <f>ROUND(BZ115*$O115/1000,2)</f>
        <v/>
      </c>
      <c r="CG115" s="362">
        <f>ROUND(CA115*$O115/1000,2)</f>
        <v/>
      </c>
      <c r="CH115" s="362">
        <f>ROUND(CB115*$O115/1000,2)</f>
        <v/>
      </c>
      <c r="CI115" s="362">
        <f>SUM(CE115:CH115)</f>
        <v/>
      </c>
      <c r="CJ115" s="390" t="n"/>
      <c r="CK115" s="362">
        <f>IFERROR(ROUND(BY115*$P115,2),"")</f>
        <v/>
      </c>
      <c r="CL115" s="362">
        <f>IFERROR(ROUND(BZ115*$P115,2),"")</f>
        <v/>
      </c>
      <c r="CM115" s="362">
        <f>IFERROR(ROUND(CA115*$P115,2),"")</f>
        <v/>
      </c>
      <c r="CN115" s="362">
        <f>IFERROR(ROUND(CB115*$P115,2),"")</f>
        <v/>
      </c>
      <c r="CO115" s="362">
        <f>SUM(CK115:CN115)</f>
        <v/>
      </c>
    </row>
    <row r="116" ht="15.6" customFormat="1" customHeight="1" s="362">
      <c r="A116" s="331" t="n"/>
      <c r="B116" s="344">
        <f>_xlfn.XLOOKUP(G116,销售需求表!A:A,销售需求表!C:C)</f>
        <v/>
      </c>
      <c r="C116" s="345">
        <f>IFERROR(MID(F116,FIND("R",F116)+1,4),"")</f>
        <v/>
      </c>
      <c r="D116" s="344">
        <f>B116&amp;C116&amp;"寸"</f>
        <v/>
      </c>
      <c r="E116" s="346">
        <f>LEFT(REPLACE(G116,1,2,""),FIND("[",REPLACE(G116,1,2,""))-1)&amp;"-"&amp;MID(REPLACE(G116,1,2,""),FIND("[",REPLACE(G116,1,2,""))+1,FIND("]",REPLACE(G116,1,2,""))-FIND("[",REPLACE(G116,1,2,""))-1)</f>
        <v/>
      </c>
      <c r="F116" s="347">
        <f>IFERROR(MID(G116,3,FIND("(",G116)-3)&amp;"-"&amp;SUBSTITUTE(MID(G116,FIND("[",G116)+1,FIND("]",G116)-FIND("[",G116)-1),"Strong Guard ",""),"")</f>
        <v/>
      </c>
      <c r="G116" s="361" t="inlineStr">
        <is>
          <t>ID255/70R22.5-16PR(140/137M)[M-TRAC AP]MASTERTRACK无内</t>
        </is>
      </c>
      <c r="H116" s="344" t="n">
        <v>2700</v>
      </c>
      <c r="I116" s="348" t="n">
        <v>2</v>
      </c>
      <c r="J116" s="349">
        <f>IFERROR(LEFT(F116,FIND("-",F116))&amp;MID(F116,FIND("PR",F116,FIND("-",F116))+3,LEN(F116)),F116)</f>
        <v/>
      </c>
      <c r="K116" s="352">
        <f>_xlfn.XLOOKUP(F116,投产规格!E:E,投产规格!D:D,"未投产")</f>
        <v/>
      </c>
      <c r="L116" s="352">
        <f>IFERROR(_xlfn.XLOOKUP(F116,硫化工艺!B:B,硫化工艺!C:C),"")</f>
        <v/>
      </c>
      <c r="M116" s="430">
        <f>IF(L116="","",L116/(L116+$L$1/60))</f>
        <v/>
      </c>
      <c r="N116" s="352">
        <f>C116&amp;"全钢"</f>
        <v/>
      </c>
      <c r="O116" s="352">
        <f>IFERROR(_xlfn.XLOOKUP(F116,轮胎重量!J:J,轮胎重量!G:G),"")</f>
        <v/>
      </c>
      <c r="P116" s="352">
        <f>IFERROR(_xlfn.XLOOKUP(G116,硫化工艺!I:I,硫化工艺!J:J),"")</f>
        <v/>
      </c>
      <c r="Q116" s="352">
        <f>IFERROR(ROUND(1440/L116*(I116)*M116,0),"")</f>
        <v/>
      </c>
      <c r="R116" s="352" t="n">
        <v>70</v>
      </c>
      <c r="S116" s="352" t="n">
        <v>70</v>
      </c>
      <c r="T116" s="352" t="n">
        <v>70</v>
      </c>
      <c r="U116" s="352" t="n">
        <v>70</v>
      </c>
      <c r="V116" s="352" t="n">
        <v>70</v>
      </c>
      <c r="W116" s="352" t="n">
        <v>70</v>
      </c>
      <c r="X116" s="352" t="n">
        <v>70</v>
      </c>
      <c r="Y116" s="352" t="n">
        <v>70</v>
      </c>
      <c r="Z116" s="352" t="n">
        <v>70</v>
      </c>
      <c r="AA116" s="352" t="n">
        <v>70</v>
      </c>
      <c r="AB116" s="352" t="n">
        <v>70</v>
      </c>
      <c r="AC116" s="352" t="n">
        <v>70</v>
      </c>
      <c r="AD116" s="352" t="n">
        <v>70</v>
      </c>
      <c r="AE116" s="352" t="n">
        <v>70</v>
      </c>
      <c r="AF116" s="352" t="n">
        <v>70</v>
      </c>
      <c r="AG116" s="352" t="n">
        <v>70</v>
      </c>
      <c r="AH116" s="352" t="n">
        <v>70</v>
      </c>
      <c r="AI116" s="352" t="n">
        <v>70</v>
      </c>
      <c r="AJ116" s="352" t="n">
        <v>70</v>
      </c>
      <c r="AK116" s="352" t="n">
        <v>70</v>
      </c>
      <c r="AL116" s="352" t="n">
        <v>70</v>
      </c>
      <c r="AM116" s="352" t="n">
        <v>70</v>
      </c>
      <c r="AN116" s="352" t="n">
        <v>70</v>
      </c>
      <c r="AO116" s="352" t="n">
        <v>70</v>
      </c>
      <c r="AP116" s="352" t="n">
        <v>70</v>
      </c>
      <c r="AQ116" s="352" t="n">
        <v>70</v>
      </c>
      <c r="AR116" s="352" t="n">
        <v>70</v>
      </c>
      <c r="AS116" s="352" t="n">
        <v>70</v>
      </c>
      <c r="AT116" s="352" t="n">
        <v>70</v>
      </c>
      <c r="AU116" s="352" t="n">
        <v>70</v>
      </c>
      <c r="AV116" s="352" t="n">
        <v>70</v>
      </c>
      <c r="AW116" s="352">
        <f>IF(SUM(R116:AV116)=0,"",SUM(R116:AV116))</f>
        <v/>
      </c>
      <c r="AX116" s="431">
        <f>IFERROR(AW116*O116/1000,"")</f>
        <v/>
      </c>
      <c r="AY116" s="431">
        <f>IFERROR(ROUND(AW116*P116/10000,3),"")</f>
        <v/>
      </c>
      <c r="AZ116" s="359" t="n"/>
      <c r="BA116" s="362" t="n"/>
      <c r="BB116" s="362" t="n"/>
      <c r="BC116" s="331" t="n"/>
      <c r="BD116" s="331" t="n"/>
      <c r="BE116" s="331" t="n"/>
      <c r="BF116" s="331" t="n"/>
      <c r="BG116" s="331" t="n"/>
      <c r="BH116" s="331" t="n"/>
      <c r="BI116" s="331" t="n"/>
      <c r="BJ116" s="356">
        <f t="array" ref="BJ116:BM116">_xlfn.LET(_xlpm.data,$R116:$AV116,_xlpm.starts,{1,8,16,23},_xlpm.lengths,{7,7,8,9},_xlpm.arr,_xlfn.MAP(_xlpm.starts,_xlpm.lengths,_xlfn.LAMBDA(_xlpm.s,_xlpm.l,SUM(INDEX(_xlpm.data,,_xlfn.SEQUENCE(,_xlpm.l,_xlpm.s))))),ROUND(_xlpm.arr*$O116/1000,2))</f>
        <v/>
      </c>
      <c r="BK116" s="331" t="n">
        <v>20.34</v>
      </c>
      <c r="BL116" s="331" t="n">
        <v>23.25</v>
      </c>
      <c r="BM116" s="331" t="n">
        <v>26.16</v>
      </c>
      <c r="BN116" s="362">
        <f>SUM(BJ116:BM116)</f>
        <v/>
      </c>
      <c r="BO116" s="362" t="n">
        <v>0.42</v>
      </c>
      <c r="BP116" s="362" t="n">
        <v>0</v>
      </c>
      <c r="BQ116" s="362" t="n">
        <v>0</v>
      </c>
      <c r="BR116" s="362" t="n">
        <v>0</v>
      </c>
      <c r="BS116" s="115" t="n"/>
      <c r="BT116" s="362">
        <f t="array" ref="BT116:BW116">_xlfn.HSTACK(SUM(INDEX($R116:$AV116,1,1):INDEX($R116:$AV116,1,7)),SUM(INDEX($R116:$AV116,1,7):INDEX($R116:$AV116,1,13)),SUM(INDEX($R116:$AV116,1,16):INDEX($R116:$AV116,1,23)),SUM(INDEX($R116:$AV116,1,23):INDEX($R116:$AV116,1,31)))</f>
        <v/>
      </c>
      <c r="BU116" s="362" t="n">
        <v>490</v>
      </c>
      <c r="BV116" s="362" t="n">
        <v>560</v>
      </c>
      <c r="BW116" s="362" t="n">
        <v>630</v>
      </c>
      <c r="BY116" s="362">
        <f>SUM(R116:X116)</f>
        <v/>
      </c>
      <c r="BZ116" s="362">
        <f>SUM(Y116:AE116)</f>
        <v/>
      </c>
      <c r="CA116" s="362">
        <f>SUM(AF116:AM116)</f>
        <v/>
      </c>
      <c r="CB116" s="362">
        <f>SUM(AN116:AV116)</f>
        <v/>
      </c>
      <c r="CD116" s="432" t="inlineStr">
        <is>
          <t>ADA</t>
        </is>
      </c>
      <c r="CE116" s="362">
        <f>ROUND(BY116*$O116/1000,2)</f>
        <v/>
      </c>
      <c r="CF116" s="362">
        <f>ROUND(BZ116*$O116/1000,2)</f>
        <v/>
      </c>
      <c r="CG116" s="362">
        <f>ROUND(CA116*$O116/1000,2)</f>
        <v/>
      </c>
      <c r="CH116" s="362">
        <f>ROUND(CB116*$O116/1000,2)</f>
        <v/>
      </c>
      <c r="CI116" s="362">
        <f>SUM(CE116:CH116)</f>
        <v/>
      </c>
      <c r="CJ116" s="390" t="n"/>
      <c r="CK116" s="362">
        <f>IFERROR(ROUND(BY116*$P116,2),"")</f>
        <v/>
      </c>
      <c r="CL116" s="362">
        <f>IFERROR(ROUND(BZ116*$P116,2),"")</f>
        <v/>
      </c>
      <c r="CM116" s="362">
        <f>IFERROR(ROUND(CA116*$P116,2),"")</f>
        <v/>
      </c>
      <c r="CN116" s="362">
        <f>IFERROR(ROUND(CB116*$P116,2),"")</f>
        <v/>
      </c>
      <c r="CO116" s="362">
        <f>SUM(CK116:CN116)</f>
        <v/>
      </c>
    </row>
    <row r="117" ht="15.6" customHeight="1" s="428">
      <c r="B117" s="344">
        <f>_xlfn.XLOOKUP(G117,销售需求表!A:A,销售需求表!C:C)</f>
        <v/>
      </c>
      <c r="C117" s="345">
        <f>IFERROR(MID(F117,FIND("R",F117)+1,4),"")</f>
        <v/>
      </c>
      <c r="D117" s="344">
        <f>B117&amp;C117&amp;"寸"</f>
        <v/>
      </c>
      <c r="E117" s="346">
        <f>LEFT(REPLACE(G117,1,2,""),FIND("[",REPLACE(G117,1,2,""))-1)&amp;"-"&amp;MID(REPLACE(G117,1,2,""),FIND("[",REPLACE(G117,1,2,""))+1,FIND("]",REPLACE(G117,1,2,""))-FIND("[",REPLACE(G117,1,2,""))-1)</f>
        <v/>
      </c>
      <c r="F117" s="347">
        <f>IFERROR(MID(G117,3,FIND("(",G117)-3)&amp;"-"&amp;SUBSTITUTE(MID(G117,FIND("[",G117)+1,FIND("]",G117)-FIND("[",G117)-1),"Strong Guard ",""),"")</f>
        <v/>
      </c>
      <c r="G117" s="346" t="inlineStr">
        <is>
          <t>ID295/75R22.5-14PR(144/141L)[AS600]ARISUN无内</t>
        </is>
      </c>
      <c r="H117" s="344" t="n">
        <v>280</v>
      </c>
      <c r="I117" s="348" t="n"/>
      <c r="J117" s="349">
        <f>IFERROR(LEFT(F117,FIND("-",F117))&amp;MID(F117,FIND("PR",F117,FIND("-",F117))+3,LEN(F117)),F117)</f>
        <v/>
      </c>
      <c r="K117" s="352">
        <f>_xlfn.XLOOKUP(F117,投产规格!E:E,投产规格!D:D,"未投产")</f>
        <v/>
      </c>
      <c r="L117" s="352">
        <f>IFERROR(_xlfn.XLOOKUP(F117,硫化工艺!B:B,硫化工艺!C:C),"")</f>
        <v/>
      </c>
      <c r="M117" s="430">
        <f>IF(L117="","",L117/(L117+$L$1/60))</f>
        <v/>
      </c>
      <c r="N117" s="352">
        <f>C117&amp;"全钢"</f>
        <v/>
      </c>
      <c r="O117" s="352">
        <f>IFERROR(_xlfn.XLOOKUP(F117,轮胎重量!J:J,轮胎重量!G:G),"")</f>
        <v/>
      </c>
      <c r="P117" s="358">
        <f>O117*13.9</f>
        <v/>
      </c>
      <c r="Q117" s="352">
        <f>IFERROR(ROUND(1440/L117*(I117)*M117,0),"")</f>
        <v/>
      </c>
      <c r="R117" s="352" t="n"/>
      <c r="S117" s="352" t="n"/>
      <c r="T117" s="352" t="n"/>
      <c r="U117" s="352" t="n"/>
      <c r="V117" s="352" t="n"/>
      <c r="W117" s="352" t="n"/>
      <c r="X117" s="352" t="n"/>
      <c r="Y117" s="352" t="n"/>
      <c r="Z117" s="352" t="n"/>
      <c r="AA117" s="352" t="n"/>
      <c r="AB117" s="352" t="n"/>
      <c r="AC117" s="352" t="n"/>
      <c r="AD117" s="352" t="n"/>
      <c r="AE117" s="352" t="n"/>
      <c r="AF117" s="352" t="n"/>
      <c r="AG117" s="352" t="n"/>
      <c r="AH117" s="352" t="n"/>
      <c r="AI117" s="352" t="n"/>
      <c r="AJ117" s="352" t="n"/>
      <c r="AK117" s="352" t="n"/>
      <c r="AL117" s="352" t="n"/>
      <c r="AM117" s="352" t="n"/>
      <c r="AN117" s="352" t="n"/>
      <c r="AO117" s="352" t="n"/>
      <c r="AP117" s="352" t="n"/>
      <c r="AQ117" s="352" t="n">
        <v>60</v>
      </c>
      <c r="AR117" s="352" t="n">
        <v>60</v>
      </c>
      <c r="AS117" s="352" t="n">
        <v>60</v>
      </c>
      <c r="AT117" s="352" t="n">
        <v>60</v>
      </c>
      <c r="AU117" s="352" t="n">
        <v>60</v>
      </c>
      <c r="AV117" s="352" t="n">
        <v>60</v>
      </c>
      <c r="AW117" s="352">
        <f>IF(SUM(R117:AV117)=0,"",SUM(R117:AV117))</f>
        <v/>
      </c>
      <c r="AX117" s="431">
        <f>IFERROR(AW117*O117/1000,"")</f>
        <v/>
      </c>
      <c r="AY117" s="431">
        <f>IFERROR(ROUND(AW117*P117/10000,3),"")</f>
        <v/>
      </c>
      <c r="AZ117" s="359" t="n"/>
      <c r="BA117" s="362" t="n"/>
      <c r="BB117" s="362" t="n"/>
      <c r="BJ117" s="356">
        <f t="array" ref="BJ117:BM117">_xlfn.LET(_xlpm.data,$R117:$AV117,_xlpm.starts,{1,8,16,23},_xlpm.lengths,{7,7,8,9},_xlpm.arr,_xlfn.MAP(_xlpm.starts,_xlpm.lengths,_xlfn.LAMBDA(_xlpm.s,_xlpm.l,SUM(INDEX(_xlpm.data,,_xlfn.SEQUENCE(,_xlpm.l,_xlpm.s))))),ROUND(_xlpm.arr*$O117/1000,2))</f>
        <v/>
      </c>
      <c r="BK117" s="331" t="n">
        <v>0</v>
      </c>
      <c r="BL117" s="331" t="n">
        <v>0</v>
      </c>
      <c r="BM117" s="331" t="n">
        <v>18.72</v>
      </c>
      <c r="BN117" s="362">
        <f>SUM(BJ117:BM117)</f>
        <v/>
      </c>
      <c r="BO117" s="362" t="n">
        <v>8.34</v>
      </c>
      <c r="BP117" s="362" t="n">
        <v>29.18</v>
      </c>
      <c r="BQ117" s="362" t="n">
        <v>33.35</v>
      </c>
      <c r="BR117" s="362" t="n">
        <v>37.52</v>
      </c>
      <c r="BT117" s="362">
        <f t="array" ref="BT117:BW117">_xlfn.HSTACK(SUM(INDEX($R117:$AV117,1,1):INDEX($R117:$AV117,1,7)),SUM(INDEX($R117:$AV117,1,7):INDEX($R117:$AV117,1,13)),SUM(INDEX($R117:$AV117,1,16):INDEX($R117:$AV117,1,23)),SUM(INDEX($R117:$AV117,1,23):INDEX($R117:$AV117,1,31)))</f>
        <v/>
      </c>
      <c r="BU117" s="362" t="n">
        <v>0</v>
      </c>
      <c r="BV117" s="362" t="n">
        <v>0</v>
      </c>
      <c r="BW117" s="362" t="n">
        <v>360</v>
      </c>
      <c r="BY117" s="362">
        <f>SUM(R117:X117)</f>
        <v/>
      </c>
      <c r="BZ117" s="362">
        <f>SUM(Y117:AE117)</f>
        <v/>
      </c>
      <c r="CA117" s="362">
        <f>SUM(AF117:AM117)</f>
        <v/>
      </c>
      <c r="CB117" s="362">
        <f>SUM(AN117:AV117)</f>
        <v/>
      </c>
      <c r="CD117" s="432" t="inlineStr">
        <is>
          <t>ADA</t>
        </is>
      </c>
      <c r="CE117" s="362">
        <f>ROUND(BY117*$O117/1000,2)</f>
        <v/>
      </c>
      <c r="CF117" s="362">
        <f>ROUND(BZ117*$O117/1000,2)</f>
        <v/>
      </c>
      <c r="CG117" s="362">
        <f>ROUND(CA117*$O117/1000,2)</f>
        <v/>
      </c>
      <c r="CH117" s="362">
        <f>ROUND(CB117*$O117/1000,2)</f>
        <v/>
      </c>
      <c r="CI117" s="362">
        <f>SUM(CE117:CH117)</f>
        <v/>
      </c>
      <c r="CK117" s="362">
        <f>IFERROR(ROUND(BY117*$P117,2),"")</f>
        <v/>
      </c>
      <c r="CL117" s="362">
        <f>IFERROR(ROUND(BZ117*$P117,2),"")</f>
        <v/>
      </c>
      <c r="CM117" s="362">
        <f>IFERROR(ROUND(CA117*$P117,2),"")</f>
        <v/>
      </c>
      <c r="CN117" s="362">
        <f>IFERROR(ROUND(CB117*$P117,2),"")</f>
        <v/>
      </c>
      <c r="CO117" s="362">
        <f>SUM(CK117:CN117)</f>
        <v/>
      </c>
    </row>
    <row r="118" ht="15.6" customHeight="1" s="428">
      <c r="A118" s="331" t="n"/>
      <c r="B118" s="344">
        <f>_xlfn.XLOOKUP(G118,销售需求表!A:A,销售需求表!C:C)</f>
        <v/>
      </c>
      <c r="C118" s="345">
        <f>IFERROR(MID(F118,FIND("R",F118)+1,4),"")</f>
        <v/>
      </c>
      <c r="D118" s="344">
        <f>B118&amp;C118&amp;"寸"</f>
        <v/>
      </c>
      <c r="E118" s="346">
        <f>LEFT(REPLACE(G118,1,2,""),FIND("[",REPLACE(G118,1,2,""))-1)&amp;"-"&amp;MID(REPLACE(G118,1,2,""),FIND("[",REPLACE(G118,1,2,""))+1,FIND("]",REPLACE(G118,1,2,""))-FIND("[",REPLACE(G118,1,2,""))-1)</f>
        <v/>
      </c>
      <c r="F118" s="347">
        <f>IFERROR(MID(G118,3,FIND("(",G118)-3)&amp;"-"&amp;SUBSTITUTE(MID(G118,FIND("[",G118)+1,FIND("]",G118)-FIND("[",G118)-1),"Strong Guard ",""),"")</f>
        <v/>
      </c>
      <c r="G118" s="346" t="inlineStr">
        <is>
          <t>ID295/75R22.5-14PR(144/141L)[HD1 Plus]SUPERMAX无内</t>
        </is>
      </c>
      <c r="H118" s="344" t="n">
        <v>250</v>
      </c>
      <c r="I118" s="348" t="n"/>
      <c r="J118" s="349">
        <f>IFERROR(LEFT(F118,FIND("-",F118))&amp;MID(F118,FIND("PR",F118,FIND("-",F118))+3,LEN(F118)),F118)</f>
        <v/>
      </c>
      <c r="K118" s="352">
        <f>_xlfn.XLOOKUP(F118,投产规格!E:E,投产规格!D:D,"未投产")</f>
        <v/>
      </c>
      <c r="L118" s="352">
        <f>IFERROR(_xlfn.XLOOKUP(F118,硫化工艺!B:B,硫化工艺!C:C),"")</f>
        <v/>
      </c>
      <c r="M118" s="430">
        <f>IF(L118="","",L118/(L118+$L$1/60))</f>
        <v/>
      </c>
      <c r="N118" s="352">
        <f>C118&amp;"全钢"</f>
        <v/>
      </c>
      <c r="O118" s="352">
        <f>IFERROR(_xlfn.XLOOKUP(F118,轮胎重量!J:J,轮胎重量!G:G),"")</f>
        <v/>
      </c>
      <c r="P118" s="352">
        <f>IFERROR(_xlfn.XLOOKUP(G118,硫化工艺!I:I,硫化工艺!J:J),"")</f>
        <v/>
      </c>
      <c r="Q118" s="352">
        <f>IFERROR(ROUND(1440/L118*(I118)*M118,0),"")</f>
        <v/>
      </c>
      <c r="R118" s="352" t="n"/>
      <c r="S118" s="352" t="n"/>
      <c r="T118" s="352" t="n"/>
      <c r="U118" s="352" t="n"/>
      <c r="V118" s="352" t="n"/>
      <c r="W118" s="352" t="n"/>
      <c r="X118" s="352" t="n"/>
      <c r="Y118" s="352" t="n"/>
      <c r="Z118" s="352" t="n"/>
      <c r="AA118" s="352" t="n"/>
      <c r="AB118" s="352" t="n"/>
      <c r="AC118" s="352" t="n"/>
      <c r="AD118" s="352" t="n"/>
      <c r="AE118" s="352" t="n"/>
      <c r="AF118" s="352" t="n"/>
      <c r="AG118" s="352" t="n"/>
      <c r="AH118" s="352" t="n"/>
      <c r="AI118" s="352" t="n"/>
      <c r="AJ118" s="352" t="n"/>
      <c r="AK118" s="352" t="n">
        <v>60</v>
      </c>
      <c r="AL118" s="352" t="n">
        <v>60</v>
      </c>
      <c r="AM118" s="352" t="n">
        <v>60</v>
      </c>
      <c r="AN118" s="352" t="n">
        <v>60</v>
      </c>
      <c r="AO118" s="352" t="n">
        <v>60</v>
      </c>
      <c r="AP118" s="352" t="n">
        <v>60</v>
      </c>
      <c r="AQ118" s="352" t="n"/>
      <c r="AR118" s="352" t="n"/>
      <c r="AS118" s="352" t="n"/>
      <c r="AT118" s="352" t="n"/>
      <c r="AU118" s="352" t="n"/>
      <c r="AV118" s="352" t="n"/>
      <c r="AW118" s="352">
        <f>IF(SUM(R118:AV118)=0,"",SUM(R118:AV118))</f>
        <v/>
      </c>
      <c r="AX118" s="431">
        <f>IFERROR(AW118*O118/1000,"")</f>
        <v/>
      </c>
      <c r="AY118" s="431">
        <f>IFERROR(ROUND(AW118*P118/10000,3),"")</f>
        <v/>
      </c>
      <c r="AZ118" s="359" t="n"/>
      <c r="BA118" s="362" t="n"/>
      <c r="BB118" s="362" t="n"/>
      <c r="BC118" s="331" t="n"/>
      <c r="BD118" s="331" t="n"/>
      <c r="BE118" s="331" t="n"/>
      <c r="BF118" s="331" t="n"/>
      <c r="BG118" s="331" t="n"/>
      <c r="BH118" s="331" t="n"/>
      <c r="BI118" s="331" t="n"/>
      <c r="BJ118" s="356">
        <f t="array" ref="BJ118:BM118">_xlfn.LET(_xlpm.data,$R118:$AV118,_xlpm.starts,{1,8,16,23},_xlpm.lengths,{7,7,8,9},_xlpm.arr,_xlfn.MAP(_xlpm.starts,_xlpm.lengths,_xlfn.LAMBDA(_xlpm.s,_xlpm.l,SUM(INDEX(_xlpm.data,,_xlfn.SEQUENCE(,_xlpm.l,_xlpm.s))))),ROUND(_xlpm.arr*$O118/1000,2))</f>
        <v/>
      </c>
      <c r="BK118" s="331" t="n">
        <v>0</v>
      </c>
      <c r="BL118" s="331" t="n">
        <v>12.84</v>
      </c>
      <c r="BM118" s="331" t="n">
        <v>9.630000000000001</v>
      </c>
      <c r="BN118" s="362">
        <f>SUM(BJ118:BM118)</f>
        <v/>
      </c>
      <c r="BO118" s="362" t="n">
        <v>8.34</v>
      </c>
      <c r="BP118" s="362" t="n">
        <v>29.18</v>
      </c>
      <c r="BQ118" s="362" t="n">
        <v>33.35</v>
      </c>
      <c r="BR118" s="362" t="n">
        <v>37.52</v>
      </c>
      <c r="BS118" s="115" t="n"/>
      <c r="BT118" s="362">
        <f t="array" ref="BT118:BW118">_xlfn.HSTACK(SUM(INDEX($R118:$AV118,1,1):INDEX($R118:$AV118,1,7)),SUM(INDEX($R118:$AV118,1,7):INDEX($R118:$AV118,1,13)),SUM(INDEX($R118:$AV118,1,16):INDEX($R118:$AV118,1,23)),SUM(INDEX($R118:$AV118,1,23):INDEX($R118:$AV118,1,31)))</f>
        <v/>
      </c>
      <c r="BU118" s="362" t="n">
        <v>0</v>
      </c>
      <c r="BV118" s="362" t="n">
        <v>240</v>
      </c>
      <c r="BW118" s="362" t="n">
        <v>180</v>
      </c>
      <c r="BY118" s="362">
        <f>SUM(R118:X118)</f>
        <v/>
      </c>
      <c r="BZ118" s="362">
        <f>SUM(Y118:AE118)</f>
        <v/>
      </c>
      <c r="CA118" s="362">
        <f>SUM(AF118:AM118)</f>
        <v/>
      </c>
      <c r="CB118" s="362">
        <f>SUM(AN118:AV118)</f>
        <v/>
      </c>
      <c r="CC118" s="362" t="n"/>
      <c r="CD118" s="432" t="inlineStr">
        <is>
          <t>ADA</t>
        </is>
      </c>
      <c r="CE118" s="362">
        <f>ROUND(BY118*$O118/1000,2)</f>
        <v/>
      </c>
      <c r="CF118" s="362">
        <f>ROUND(BZ118*$O118/1000,2)</f>
        <v/>
      </c>
      <c r="CG118" s="362">
        <f>ROUND(CA118*$O118/1000,2)</f>
        <v/>
      </c>
      <c r="CH118" s="362">
        <f>ROUND(CB118*$O118/1000,2)</f>
        <v/>
      </c>
      <c r="CI118" s="362">
        <f>SUM(CE118:CH118)</f>
        <v/>
      </c>
      <c r="CJ118" s="390" t="n"/>
      <c r="CK118" s="362">
        <f>IFERROR(ROUND(BY118*$P118,2),"")</f>
        <v/>
      </c>
      <c r="CL118" s="362">
        <f>IFERROR(ROUND(BZ118*$P118,2),"")</f>
        <v/>
      </c>
      <c r="CM118" s="362">
        <f>IFERROR(ROUND(CA118*$P118,2),"")</f>
        <v/>
      </c>
      <c r="CN118" s="362">
        <f>IFERROR(ROUND(CB118*$P118,2),"")</f>
        <v/>
      </c>
      <c r="CO118" s="362">
        <f>SUM(CK118:CN118)</f>
        <v/>
      </c>
    </row>
    <row r="119" ht="15.6" customFormat="1" customHeight="1" s="362">
      <c r="A119" s="331" t="n"/>
      <c r="B119" s="344">
        <f>_xlfn.XLOOKUP(G119,销售需求表!A:A,销售需求表!C:C)</f>
        <v/>
      </c>
      <c r="C119" s="345">
        <f>IFERROR(MID(F119,FIND("R",F119)+1,4),"")</f>
        <v/>
      </c>
      <c r="D119" s="344">
        <f>B119&amp;C119&amp;"寸"</f>
        <v/>
      </c>
      <c r="E119" s="346">
        <f>LEFT(REPLACE(G119,1,2,""),FIND("[",REPLACE(G119,1,2,""))-1)&amp;"-"&amp;MID(REPLACE(G119,1,2,""),FIND("[",REPLACE(G119,1,2,""))+1,FIND("]",REPLACE(G119,1,2,""))-FIND("[",REPLACE(G119,1,2,""))-1)</f>
        <v/>
      </c>
      <c r="F119" s="347">
        <f>IFERROR(MID(G119,3,FIND("(",G119)-3)&amp;"-"&amp;SUBSTITUTE(MID(G119,FIND("[",G119)+1,FIND("]",G119)-FIND("[",G119)-1),"Strong Guard ",""),"")</f>
        <v/>
      </c>
      <c r="G119" s="346" t="inlineStr">
        <is>
          <t>ID295/75R22.5-14PR(144/141L)[HT1 Plus]SUPERMAX无内</t>
        </is>
      </c>
      <c r="H119" s="344" t="n">
        <v>900</v>
      </c>
      <c r="I119" s="364" t="n"/>
      <c r="J119" s="349">
        <f>IFERROR(LEFT(F119,FIND("-",F119))&amp;MID(F119,FIND("PR",F119,FIND("-",F119))+3,LEN(F119)),F119)</f>
        <v/>
      </c>
      <c r="K119" s="352">
        <f>_xlfn.XLOOKUP(F119,投产规格!E:E,投产规格!D:D,"未投产")</f>
        <v/>
      </c>
      <c r="L119" s="352">
        <f>IFERROR(_xlfn.XLOOKUP(F119,硫化工艺!B:B,硫化工艺!C:C),"")</f>
        <v/>
      </c>
      <c r="M119" s="430">
        <f>IF(L119="","",L119/(L119+$L$1/60))</f>
        <v/>
      </c>
      <c r="N119" s="352">
        <f>C119&amp;"全钢"</f>
        <v/>
      </c>
      <c r="O119" s="352">
        <f>IFERROR(_xlfn.XLOOKUP(F119,轮胎重量!J:J,轮胎重量!G:G),"")</f>
        <v/>
      </c>
      <c r="P119" s="352">
        <f>IFERROR(_xlfn.XLOOKUP(G119,硫化工艺!I:I,硫化工艺!J:J),"")</f>
        <v/>
      </c>
      <c r="Q119" s="352">
        <f>IFERROR(ROUND(1440/L119*(I119)*M119,0),"")</f>
        <v/>
      </c>
      <c r="R119" s="352" t="n"/>
      <c r="S119" s="352" t="n"/>
      <c r="T119" s="352" t="n"/>
      <c r="U119" s="352" t="n"/>
      <c r="V119" s="352" t="n"/>
      <c r="W119" s="352" t="n"/>
      <c r="X119" s="352" t="n"/>
      <c r="Y119" s="352" t="n"/>
      <c r="Z119" s="352" t="n"/>
      <c r="AA119" s="352" t="n"/>
      <c r="AB119" s="352" t="n"/>
      <c r="AC119" s="352" t="n"/>
      <c r="AD119" s="352" t="n">
        <v>220</v>
      </c>
      <c r="AE119" s="352" t="n">
        <v>220</v>
      </c>
      <c r="AF119" s="352" t="n">
        <v>220</v>
      </c>
      <c r="AG119" s="352" t="n">
        <v>220</v>
      </c>
      <c r="AH119" s="352" t="n"/>
      <c r="AI119" s="352" t="n"/>
      <c r="AJ119" s="352" t="n"/>
      <c r="AK119" s="352" t="n"/>
      <c r="AL119" s="352" t="n"/>
      <c r="AM119" s="352" t="n"/>
      <c r="AN119" s="352" t="n"/>
      <c r="AO119" s="352" t="n"/>
      <c r="AP119" s="352" t="n"/>
      <c r="AQ119" s="352" t="n"/>
      <c r="AR119" s="352" t="n"/>
      <c r="AS119" s="352" t="n"/>
      <c r="AT119" s="352" t="n"/>
      <c r="AU119" s="352" t="n"/>
      <c r="AV119" s="352" t="n"/>
      <c r="AW119" s="352">
        <f>IF(SUM(R119:AV119)=0,"",SUM(R119:AV119))</f>
        <v/>
      </c>
      <c r="AX119" s="431">
        <f>IFERROR(AW119*O119/1000,"")</f>
        <v/>
      </c>
      <c r="AY119" s="431">
        <f>IFERROR(ROUND(AW119*P119/10000,3),"")</f>
        <v/>
      </c>
      <c r="AZ119" s="359" t="n"/>
      <c r="BA119" s="362" t="n"/>
      <c r="BB119" s="362" t="n"/>
      <c r="BC119" s="331" t="n"/>
      <c r="BD119" s="331" t="n"/>
      <c r="BE119" s="331" t="n"/>
      <c r="BF119" s="331" t="n"/>
      <c r="BG119" s="331" t="n"/>
      <c r="BH119" s="331" t="n"/>
      <c r="BI119" s="331" t="n"/>
      <c r="BJ119" s="356">
        <f t="array" ref="BJ119:BM119">_xlfn.LET(_xlpm.data,$R119:$AV119,_xlpm.starts,{1,8,16,23},_xlpm.lengths,{7,7,8,9},_xlpm.arr,_xlfn.MAP(_xlpm.starts,_xlpm.lengths,_xlfn.LAMBDA(_xlpm.s,_xlpm.l,SUM(INDEX(_xlpm.data,,_xlfn.SEQUENCE(,_xlpm.l,_xlpm.s))))),ROUND(_xlpm.arr*$O119/1000,2))</f>
        <v/>
      </c>
      <c r="BK119" s="331" t="n">
        <v>20.71</v>
      </c>
      <c r="BL119" s="331" t="n">
        <v>10.36</v>
      </c>
      <c r="BM119" s="331" t="n">
        <v>0</v>
      </c>
      <c r="BN119" s="362">
        <f>SUM(BJ119:BM119)</f>
        <v/>
      </c>
      <c r="BO119" s="362" t="n">
        <v>6.64</v>
      </c>
      <c r="BP119" s="362" t="n">
        <v>23.26</v>
      </c>
      <c r="BQ119" s="362" t="n">
        <v>26.58</v>
      </c>
      <c r="BR119" s="362" t="n">
        <v>29.9</v>
      </c>
      <c r="BS119" s="115" t="n"/>
      <c r="BT119" s="362">
        <f t="array" ref="BT119:BW119">_xlfn.HSTACK(SUM(INDEX($R119:$AV119,1,1):INDEX($R119:$AV119,1,7)),SUM(INDEX($R119:$AV119,1,7):INDEX($R119:$AV119,1,13)),SUM(INDEX($R119:$AV119,1,16):INDEX($R119:$AV119,1,23)),SUM(INDEX($R119:$AV119,1,23):INDEX($R119:$AV119,1,31)))</f>
        <v/>
      </c>
      <c r="BU119" s="362" t="n">
        <v>220</v>
      </c>
      <c r="BV119" s="362" t="n">
        <v>220</v>
      </c>
      <c r="BW119" s="362" t="n">
        <v>0</v>
      </c>
      <c r="BY119" s="362">
        <f>SUM(R119:X119)</f>
        <v/>
      </c>
      <c r="BZ119" s="362">
        <f>SUM(Y119:AE119)</f>
        <v/>
      </c>
      <c r="CA119" s="362">
        <f>SUM(AF119:AM119)</f>
        <v/>
      </c>
      <c r="CB119" s="362">
        <f>SUM(AN119:AV119)</f>
        <v/>
      </c>
      <c r="CD119" s="432" t="inlineStr">
        <is>
          <t>ADA</t>
        </is>
      </c>
      <c r="CE119" s="362">
        <f>ROUND(BY119*$O119/1000,2)</f>
        <v/>
      </c>
      <c r="CF119" s="362">
        <f>ROUND(BZ119*$O119/1000,2)</f>
        <v/>
      </c>
      <c r="CG119" s="362">
        <f>ROUND(CA119*$O119/1000,2)</f>
        <v/>
      </c>
      <c r="CH119" s="362">
        <f>ROUND(CB119*$O119/1000,2)</f>
        <v/>
      </c>
      <c r="CI119" s="362">
        <f>SUM(CE119:CH119)</f>
        <v/>
      </c>
      <c r="CJ119" s="390" t="n"/>
      <c r="CK119" s="362">
        <f>IFERROR(ROUND(BY119*$P119,2),"")</f>
        <v/>
      </c>
      <c r="CL119" s="362">
        <f>IFERROR(ROUND(BZ119*$P119,2),"")</f>
        <v/>
      </c>
      <c r="CM119" s="362">
        <f>IFERROR(ROUND(CA119*$P119,2),"")</f>
        <v/>
      </c>
      <c r="CN119" s="362">
        <f>IFERROR(ROUND(CB119*$P119,2),"")</f>
        <v/>
      </c>
      <c r="CO119" s="362">
        <f>SUM(CK119:CN119)</f>
        <v/>
      </c>
    </row>
    <row r="120" ht="15.6" customFormat="1" customHeight="1" s="362">
      <c r="A120" s="331" t="n"/>
      <c r="B120" s="344">
        <f>_xlfn.XLOOKUP(G120,销售需求表!A:A,销售需求表!C:C)</f>
        <v/>
      </c>
      <c r="C120" s="345">
        <f>IFERROR(MID(F120,FIND("R",F120)+1,4),"")</f>
        <v/>
      </c>
      <c r="D120" s="344">
        <f>B120&amp;C120&amp;"寸"</f>
        <v/>
      </c>
      <c r="E120" s="346">
        <f>LEFT(REPLACE(G120,1,2,""),FIND("[",REPLACE(G120,1,2,""))-1)&amp;"-"&amp;MID(REPLACE(G120,1,2,""),FIND("[",REPLACE(G120,1,2,""))+1,FIND("]",REPLACE(G120,1,2,""))-FIND("[",REPLACE(G120,1,2,""))-1)</f>
        <v/>
      </c>
      <c r="F120" s="347">
        <f>IFERROR(MID(G120,3,FIND("(",G120)-3)&amp;"-"&amp;SUBSTITUTE(MID(G120,FIND("[",G120)+1,FIND("]",G120)-FIND("[",G120)-1),"Strong Guard ",""),"")</f>
        <v/>
      </c>
      <c r="G120" s="346" t="inlineStr">
        <is>
          <t>ID295/75R22.5-14PR(144/141L)[I-28D]IRONMAN无内 SMARTWAY</t>
        </is>
      </c>
      <c r="H120" s="344" t="n">
        <v>2600</v>
      </c>
      <c r="I120" s="364" t="n"/>
      <c r="J120" s="349">
        <f>IFERROR(LEFT(F120,FIND("-",F120))&amp;MID(F120,FIND("PR",F120,FIND("-",F120))+3,LEN(F120)),F120)</f>
        <v/>
      </c>
      <c r="K120" s="352">
        <f>_xlfn.XLOOKUP(F120,投产规格!E:E,投产规格!D:D,"未投产")</f>
        <v/>
      </c>
      <c r="L120" s="352">
        <f>IFERROR(_xlfn.XLOOKUP(F120,硫化工艺!B:B,硫化工艺!C:C),"")</f>
        <v/>
      </c>
      <c r="M120" s="430">
        <f>IF(L120="","",L120/(L120+$L$1/60))</f>
        <v/>
      </c>
      <c r="N120" s="352">
        <f>C120&amp;"全钢"</f>
        <v/>
      </c>
      <c r="O120" s="352">
        <f>IFERROR(_xlfn.XLOOKUP(F120,轮胎重量!J:J,轮胎重量!G:G),"")</f>
        <v/>
      </c>
      <c r="P120" s="352">
        <f>IFERROR(_xlfn.XLOOKUP(G120,硫化工艺!I:I,硫化工艺!J:J),"")</f>
        <v/>
      </c>
      <c r="Q120" s="352">
        <f>IFERROR(ROUND(1440/L120*(I120)*M120,0),"")</f>
        <v/>
      </c>
      <c r="R120" s="352" t="n"/>
      <c r="S120" s="352" t="n"/>
      <c r="T120" s="352" t="n"/>
      <c r="U120" s="352" t="n"/>
      <c r="V120" s="352" t="n"/>
      <c r="W120" s="352" t="n"/>
      <c r="X120" s="352" t="n"/>
      <c r="Y120" s="352" t="n"/>
      <c r="Z120" s="352" t="n"/>
      <c r="AA120" s="352" t="n"/>
      <c r="AB120" s="352" t="n"/>
      <c r="AC120" s="352" t="n"/>
      <c r="AD120" s="352" t="n"/>
      <c r="AE120" s="352" t="n"/>
      <c r="AF120" s="352" t="n"/>
      <c r="AG120" s="352" t="n"/>
      <c r="AH120" s="352" t="n">
        <v>170</v>
      </c>
      <c r="AI120" s="352" t="n">
        <v>170</v>
      </c>
      <c r="AJ120" s="352" t="n">
        <v>170</v>
      </c>
      <c r="AK120" s="352" t="n">
        <v>170</v>
      </c>
      <c r="AL120" s="352" t="n">
        <v>170</v>
      </c>
      <c r="AM120" s="352" t="n">
        <v>170</v>
      </c>
      <c r="AN120" s="352" t="n">
        <v>170</v>
      </c>
      <c r="AO120" s="352" t="n">
        <v>170</v>
      </c>
      <c r="AP120" s="352" t="n">
        <v>170</v>
      </c>
      <c r="AQ120" s="352" t="n">
        <v>170</v>
      </c>
      <c r="AR120" s="352" t="n">
        <v>170</v>
      </c>
      <c r="AS120" s="352" t="n">
        <v>170</v>
      </c>
      <c r="AT120" s="352" t="n">
        <v>170</v>
      </c>
      <c r="AU120" s="352" t="n">
        <v>170</v>
      </c>
      <c r="AV120" s="352" t="n">
        <v>170</v>
      </c>
      <c r="AW120" s="352">
        <f>IF(SUM(R120:AV120)=0,"",SUM(R120:AV120))</f>
        <v/>
      </c>
      <c r="AX120" s="431">
        <f>IFERROR(AW120*O120/1000,"")</f>
        <v/>
      </c>
      <c r="AY120" s="431">
        <f>IFERROR(ROUND(AW120*P120/10000,3),"")</f>
        <v/>
      </c>
      <c r="AZ120" s="359" t="n"/>
      <c r="BA120" s="362" t="n"/>
      <c r="BB120" s="362" t="n"/>
      <c r="BC120" s="331" t="n"/>
      <c r="BD120" s="331" t="n"/>
      <c r="BE120" s="331" t="n"/>
      <c r="BF120" s="331" t="n"/>
      <c r="BG120" s="331" t="n"/>
      <c r="BH120" s="331" t="n"/>
      <c r="BI120" s="331" t="n"/>
      <c r="BJ120" s="356">
        <f t="array" ref="BJ120:BM120">_xlfn.LET(_xlpm.data,$R120:$AV120,_xlpm.starts,{1,8,16,23},_xlpm.lengths,{7,7,8,9},_xlpm.arr,_xlfn.MAP(_xlpm.starts,_xlpm.lengths,_xlfn.LAMBDA(_xlpm.s,_xlpm.l,SUM(INDEX(_xlpm.data,,_xlfn.SEQUENCE(,_xlpm.l,_xlpm.s))))),ROUND(_xlpm.arr*$O120/1000,2))</f>
        <v/>
      </c>
      <c r="BK120" s="331" t="n">
        <v>0</v>
      </c>
      <c r="BL120" s="331" t="n">
        <v>67.78</v>
      </c>
      <c r="BM120" s="331" t="n">
        <v>87.14</v>
      </c>
      <c r="BN120" s="362">
        <f>SUM(BJ120:BM120)</f>
        <v/>
      </c>
      <c r="BO120" s="362" t="n">
        <v>6.83</v>
      </c>
      <c r="BP120" s="362" t="n">
        <v>23.92</v>
      </c>
      <c r="BQ120" s="362" t="n">
        <v>27.34</v>
      </c>
      <c r="BR120" s="362" t="n">
        <v>30.75</v>
      </c>
      <c r="BS120" s="115" t="n"/>
      <c r="BT120" s="362">
        <f t="array" ref="BT120:BW120">_xlfn.HSTACK(SUM(INDEX($R120:$AV120,1,1):INDEX($R120:$AV120,1,7)),SUM(INDEX($R120:$AV120,1,7):INDEX($R120:$AV120,1,13)),SUM(INDEX($R120:$AV120,1,16):INDEX($R120:$AV120,1,23)),SUM(INDEX($R120:$AV120,1,23):INDEX($R120:$AV120,1,31)))</f>
        <v/>
      </c>
      <c r="BU120" s="362" t="n">
        <v>0</v>
      </c>
      <c r="BV120" s="362" t="n">
        <v>1190</v>
      </c>
      <c r="BW120" s="362" t="n">
        <v>1530</v>
      </c>
      <c r="BY120" s="362">
        <f>SUM(R120:X120)</f>
        <v/>
      </c>
      <c r="BZ120" s="362">
        <f>SUM(Y120:AE120)</f>
        <v/>
      </c>
      <c r="CA120" s="362">
        <f>SUM(AF120:AM120)</f>
        <v/>
      </c>
      <c r="CB120" s="362">
        <f>SUM(AN120:AV120)</f>
        <v/>
      </c>
      <c r="CD120" s="432" t="inlineStr">
        <is>
          <t>ADA</t>
        </is>
      </c>
      <c r="CE120" s="362">
        <f>ROUND(BY120*$O120/1000,2)</f>
        <v/>
      </c>
      <c r="CF120" s="362">
        <f>ROUND(BZ120*$O120/1000,2)</f>
        <v/>
      </c>
      <c r="CG120" s="362">
        <f>ROUND(CA120*$O120/1000,2)</f>
        <v/>
      </c>
      <c r="CH120" s="362">
        <f>ROUND(CB120*$O120/1000,2)</f>
        <v/>
      </c>
      <c r="CI120" s="362">
        <f>SUM(CE120:CH120)</f>
        <v/>
      </c>
      <c r="CJ120" s="390" t="n"/>
      <c r="CK120" s="362">
        <f>IFERROR(ROUND(BY120*$P120,2),"")</f>
        <v/>
      </c>
      <c r="CL120" s="362">
        <f>IFERROR(ROUND(BZ120*$P120,2),"")</f>
        <v/>
      </c>
      <c r="CM120" s="362">
        <f>IFERROR(ROUND(CA120*$P120,2),"")</f>
        <v/>
      </c>
      <c r="CN120" s="362">
        <f>IFERROR(ROUND(CB120*$P120,2),"")</f>
        <v/>
      </c>
      <c r="CO120" s="362">
        <f>SUM(CK120:CN120)</f>
        <v/>
      </c>
    </row>
    <row r="121" ht="15.6" customFormat="1" customHeight="1" s="362">
      <c r="A121" s="331" t="n"/>
      <c r="B121" s="344">
        <f>_xlfn.XLOOKUP(G121,销售需求表!A:A,销售需求表!C:C)</f>
        <v/>
      </c>
      <c r="C121" s="345">
        <f>IFERROR(MID(F121,FIND("R",F121)+1,4),"")</f>
        <v/>
      </c>
      <c r="D121" s="344">
        <f>B121&amp;C121&amp;"寸"</f>
        <v/>
      </c>
      <c r="E121" s="346">
        <f>LEFT(REPLACE(G121,1,2,""),FIND("[",REPLACE(G121,1,2,""))-1)&amp;"-"&amp;MID(REPLACE(G121,1,2,""),FIND("[",REPLACE(G121,1,2,""))+1,FIND("]",REPLACE(G121,1,2,""))-FIND("[",REPLACE(G121,1,2,""))-1)</f>
        <v/>
      </c>
      <c r="F121" s="347">
        <f>IFERROR(MID(G121,3,FIND("(",G121)-3)&amp;"-"&amp;SUBSTITUTE(MID(G121,FIND("[",G121)+1,FIND("]",G121)-FIND("[",G121)-1),"Strong Guard ",""),"")</f>
        <v/>
      </c>
      <c r="G121" s="346" t="inlineStr">
        <is>
          <t>ID295/75R22.5-14PR(144/141L)[M-TRAC AP]MASTERTRACK无内</t>
        </is>
      </c>
      <c r="H121" s="344" t="n">
        <v>450</v>
      </c>
      <c r="I121" s="348" t="n">
        <v>2</v>
      </c>
      <c r="J121" s="349">
        <f>IFERROR(LEFT(F121,FIND("-",F121))&amp;MID(F121,FIND("PR",F121,FIND("-",F121))+3,LEN(F121)),F121)</f>
        <v/>
      </c>
      <c r="K121" s="352">
        <f>_xlfn.XLOOKUP(F121,投产规格!E:E,投产规格!D:D,"未投产")</f>
        <v/>
      </c>
      <c r="L121" s="352">
        <f>IFERROR(_xlfn.XLOOKUP(F121,硫化工艺!B:B,硫化工艺!C:C),"")</f>
        <v/>
      </c>
      <c r="M121" s="430">
        <f>IF(L121="","",L121/(L121+$L$1/60))</f>
        <v/>
      </c>
      <c r="N121" s="352">
        <f>C121&amp;"全钢"</f>
        <v/>
      </c>
      <c r="O121" s="352">
        <f>IFERROR(_xlfn.XLOOKUP(F121,轮胎重量!J:J,轮胎重量!G:G),"")</f>
        <v/>
      </c>
      <c r="P121" s="358">
        <f>O121*13.9</f>
        <v/>
      </c>
      <c r="Q121" s="352">
        <f>IFERROR(ROUND(1440/L121*(I121)*M121,0),"")</f>
        <v/>
      </c>
      <c r="R121" s="352" t="n">
        <v>60</v>
      </c>
      <c r="S121" s="352" t="n">
        <v>60</v>
      </c>
      <c r="T121" s="352" t="n">
        <v>60</v>
      </c>
      <c r="U121" s="352" t="n">
        <v>60</v>
      </c>
      <c r="V121" s="352" t="n">
        <v>60</v>
      </c>
      <c r="W121" s="352" t="n">
        <v>60</v>
      </c>
      <c r="X121" s="352" t="n">
        <v>60</v>
      </c>
      <c r="Y121" s="352" t="n"/>
      <c r="Z121" s="352" t="n"/>
      <c r="AA121" s="352" t="n"/>
      <c r="AB121" s="352" t="n"/>
      <c r="AC121" s="352" t="n"/>
      <c r="AD121" s="352" t="n"/>
      <c r="AE121" s="352" t="n"/>
      <c r="AF121" s="352" t="n"/>
      <c r="AG121" s="352" t="n"/>
      <c r="AH121" s="352" t="n"/>
      <c r="AI121" s="352" t="n"/>
      <c r="AJ121" s="352" t="n"/>
      <c r="AK121" s="352" t="n"/>
      <c r="AL121" s="352" t="n"/>
      <c r="AM121" s="352" t="n"/>
      <c r="AN121" s="352" t="n"/>
      <c r="AO121" s="352" t="n"/>
      <c r="AP121" s="352" t="n"/>
      <c r="AQ121" s="352" t="n"/>
      <c r="AR121" s="352" t="n"/>
      <c r="AS121" s="352" t="n"/>
      <c r="AT121" s="352" t="n"/>
      <c r="AU121" s="352" t="n"/>
      <c r="AV121" s="352" t="n"/>
      <c r="AW121" s="352">
        <f>IF(SUM(R121:AV121)=0,"",SUM(R121:AV121))</f>
        <v/>
      </c>
      <c r="AX121" s="431">
        <f>IFERROR(AW121*O121/1000,"")</f>
        <v/>
      </c>
      <c r="AY121" s="431">
        <f>IFERROR(ROUND(AW121*P121/10000,3),"")</f>
        <v/>
      </c>
      <c r="AZ121" s="359" t="n"/>
      <c r="BA121" s="362" t="n"/>
      <c r="BB121" s="362" t="n"/>
      <c r="BC121" s="331" t="n"/>
      <c r="BD121" s="331" t="n"/>
      <c r="BE121" s="331" t="n"/>
      <c r="BF121" s="331" t="n"/>
      <c r="BG121" s="331" t="n"/>
      <c r="BH121" s="331" t="n"/>
      <c r="BI121" s="331" t="n"/>
      <c r="BJ121" s="356">
        <f t="array" ref="BJ121:BM121">_xlfn.LET(_xlpm.data,$R121:$AV121,_xlpm.starts,{1,8,16,23},_xlpm.lengths,{7,7,8,9},_xlpm.arr,_xlfn.MAP(_xlpm.starts,_xlpm.lengths,_xlfn.LAMBDA(_xlpm.s,_xlpm.l,SUM(INDEX(_xlpm.data,,_xlfn.SEQUENCE(,_xlpm.l,_xlpm.s))))),ROUND(_xlpm.arr*$O121/1000,2))</f>
        <v/>
      </c>
      <c r="BK121" s="331" t="n">
        <v>0</v>
      </c>
      <c r="BL121" s="331" t="n">
        <v>0</v>
      </c>
      <c r="BM121" s="331" t="n">
        <v>0</v>
      </c>
      <c r="BN121" s="362">
        <f>SUM(BJ121:BM121)</f>
        <v/>
      </c>
      <c r="BO121" s="362" t="n">
        <v>6.83</v>
      </c>
      <c r="BP121" s="362" t="n">
        <v>23.92</v>
      </c>
      <c r="BQ121" s="362" t="n">
        <v>27.34</v>
      </c>
      <c r="BR121" s="362" t="n">
        <v>30.75</v>
      </c>
      <c r="BS121" s="115" t="n"/>
      <c r="BT121" s="362">
        <f t="array" ref="BT121:BW121">_xlfn.HSTACK(SUM(INDEX($R121:$AV121,1,1):INDEX($R121:$AV121,1,7)),SUM(INDEX($R121:$AV121,1,7):INDEX($R121:$AV121,1,13)),SUM(INDEX($R121:$AV121,1,16):INDEX($R121:$AV121,1,23)),SUM(INDEX($R121:$AV121,1,23):INDEX($R121:$AV121,1,31)))</f>
        <v/>
      </c>
      <c r="BU121" s="362" t="n">
        <v>60</v>
      </c>
      <c r="BV121" s="362" t="n">
        <v>0</v>
      </c>
      <c r="BW121" s="362" t="n">
        <v>0</v>
      </c>
      <c r="BY121" s="362">
        <f>SUM(R121:X121)</f>
        <v/>
      </c>
      <c r="BZ121" s="362">
        <f>SUM(Y121:AE121)</f>
        <v/>
      </c>
      <c r="CA121" s="362">
        <f>SUM(AF121:AM121)</f>
        <v/>
      </c>
      <c r="CB121" s="362">
        <f>SUM(AN121:AV121)</f>
        <v/>
      </c>
      <c r="CD121" s="432" t="inlineStr">
        <is>
          <t>ADA</t>
        </is>
      </c>
      <c r="CE121" s="362">
        <f>ROUND(BY121*$O121/1000,2)</f>
        <v/>
      </c>
      <c r="CF121" s="362">
        <f>ROUND(BZ121*$O121/1000,2)</f>
        <v/>
      </c>
      <c r="CG121" s="362">
        <f>ROUND(CA121*$O121/1000,2)</f>
        <v/>
      </c>
      <c r="CH121" s="362">
        <f>ROUND(CB121*$O121/1000,2)</f>
        <v/>
      </c>
      <c r="CI121" s="362">
        <f>SUM(CE121:CH121)</f>
        <v/>
      </c>
      <c r="CJ121" s="390" t="n"/>
      <c r="CK121" s="362">
        <f>IFERROR(ROUND(BY121*$P121,2),"")</f>
        <v/>
      </c>
      <c r="CL121" s="362">
        <f>IFERROR(ROUND(BZ121*$P121,2),"")</f>
        <v/>
      </c>
      <c r="CM121" s="362">
        <f>IFERROR(ROUND(CA121*$P121,2),"")</f>
        <v/>
      </c>
      <c r="CN121" s="362">
        <f>IFERROR(ROUND(CB121*$P121,2),"")</f>
        <v/>
      </c>
      <c r="CO121" s="362">
        <f>SUM(CK121:CN121)</f>
        <v/>
      </c>
    </row>
    <row r="122" ht="15.6" customFormat="1" customHeight="1" s="362">
      <c r="A122" s="331" t="n"/>
      <c r="B122" s="344">
        <f>_xlfn.XLOOKUP(G122,销售需求表!A:A,销售需求表!C:C)</f>
        <v/>
      </c>
      <c r="C122" s="345">
        <f>IFERROR(MID(F122,FIND("R",F122)+1,4),"")</f>
        <v/>
      </c>
      <c r="D122" s="344">
        <f>B122&amp;C122&amp;"寸"</f>
        <v/>
      </c>
      <c r="E122" s="346">
        <f>LEFT(REPLACE(G122,1,2,""),FIND("[",REPLACE(G122,1,2,""))-1)&amp;"-"&amp;MID(REPLACE(G122,1,2,""),FIND("[",REPLACE(G122,1,2,""))+1,FIND("]",REPLACE(G122,1,2,""))-FIND("[",REPLACE(G122,1,2,""))-1)</f>
        <v/>
      </c>
      <c r="F122" s="347">
        <f>IFERROR(MID(G122,3,FIND("(",G122)-3)&amp;"-"&amp;SUBSTITUTE(MID(G122,FIND("[",G122)+1,FIND("]",G122)-FIND("[",G122)-1),"Strong Guard ",""),"")</f>
        <v/>
      </c>
      <c r="G122" s="346" t="inlineStr">
        <is>
          <t>ID295/75R22.5-14PR(144/141L)[M-TRAC CSD]MASTERTRACK无内</t>
        </is>
      </c>
      <c r="H122" s="344" t="n">
        <v>900</v>
      </c>
      <c r="I122" s="348" t="n"/>
      <c r="J122" s="349">
        <f>IFERROR(LEFT(F122,FIND("-",F122))&amp;MID(F122,FIND("PR",F122,FIND("-",F122))+3,LEN(F122)),F122)</f>
        <v/>
      </c>
      <c r="K122" s="352">
        <f>_xlfn.XLOOKUP(F122,投产规格!E:E,投产规格!D:D,"未投产")</f>
        <v/>
      </c>
      <c r="L122" s="352">
        <f>IFERROR(_xlfn.XLOOKUP(F122,硫化工艺!B:B,硫化工艺!C:C),"")</f>
        <v/>
      </c>
      <c r="M122" s="430">
        <f>IF(L122="","",L122/(L122+$L$1/60))</f>
        <v/>
      </c>
      <c r="N122" s="352">
        <f>C122&amp;"全钢"</f>
        <v/>
      </c>
      <c r="O122" s="352">
        <f>IFERROR(_xlfn.XLOOKUP(F122,轮胎重量!J:J,轮胎重量!G:G),"")</f>
        <v/>
      </c>
      <c r="P122" s="358">
        <f>O122*13.9</f>
        <v/>
      </c>
      <c r="Q122" s="352">
        <f>IFERROR(ROUND(1440/L122*(I122)*M122,0),"")</f>
        <v/>
      </c>
      <c r="R122" s="352" t="n"/>
      <c r="S122" s="352" t="n"/>
      <c r="T122" s="352" t="n"/>
      <c r="U122" s="352" t="n"/>
      <c r="V122" s="352" t="n"/>
      <c r="W122" s="352" t="n"/>
      <c r="X122" s="352" t="n"/>
      <c r="Y122" s="352" t="n"/>
      <c r="Z122" s="352" t="n"/>
      <c r="AA122" s="352" t="n"/>
      <c r="AB122" s="352" t="n"/>
      <c r="AC122" s="352" t="n"/>
      <c r="AD122" s="352" t="n"/>
      <c r="AE122" s="352" t="n"/>
      <c r="AF122" s="352" t="n"/>
      <c r="AG122" s="352" t="n"/>
      <c r="AH122" s="352" t="n"/>
      <c r="AI122" s="352" t="n">
        <v>120</v>
      </c>
      <c r="AJ122" s="352" t="n">
        <v>120</v>
      </c>
      <c r="AK122" s="352" t="n">
        <v>120</v>
      </c>
      <c r="AL122" s="352" t="n">
        <v>120</v>
      </c>
      <c r="AM122" s="352" t="n">
        <v>120</v>
      </c>
      <c r="AN122" s="352" t="n">
        <v>120</v>
      </c>
      <c r="AO122" s="352" t="n">
        <v>120</v>
      </c>
      <c r="AP122" s="352" t="n">
        <v>120</v>
      </c>
      <c r="AQ122" s="352" t="n">
        <v>120</v>
      </c>
      <c r="AR122" s="352" t="n"/>
      <c r="AS122" s="352" t="n"/>
      <c r="AT122" s="352" t="n"/>
      <c r="AU122" s="352" t="n"/>
      <c r="AV122" s="352" t="n"/>
      <c r="AW122" s="352">
        <f>IF(SUM(R122:AV122)=0,"",SUM(R122:AV122))</f>
        <v/>
      </c>
      <c r="AX122" s="431">
        <f>IFERROR(AW122*O122/1000,"")</f>
        <v/>
      </c>
      <c r="AY122" s="431">
        <f>IFERROR(ROUND(AW122*P122/10000,3),"")</f>
        <v/>
      </c>
      <c r="AZ122" s="359" t="n"/>
      <c r="BA122" s="362" t="n"/>
      <c r="BB122" s="362" t="n"/>
      <c r="BC122" s="331" t="n"/>
      <c r="BD122" s="331" t="n"/>
      <c r="BE122" s="331" t="n"/>
      <c r="BF122" s="331" t="n"/>
      <c r="BG122" s="331" t="n"/>
      <c r="BH122" s="331" t="n"/>
      <c r="BI122" s="331" t="n"/>
      <c r="BJ122" s="356">
        <f t="array" ref="BJ122:BM122">_xlfn.LET(_xlpm.data,$R122:$AV122,_xlpm.starts,{1,8,16,23},_xlpm.lengths,{7,7,8,9},_xlpm.arr,_xlfn.MAP(_xlpm.starts,_xlpm.lengths,_xlfn.LAMBDA(_xlpm.s,_xlpm.l,SUM(INDEX(_xlpm.data,,_xlfn.SEQUENCE(,_xlpm.l,_xlpm.s))))),ROUND(_xlpm.arr*$O122/1000,2))</f>
        <v/>
      </c>
      <c r="BK122" s="331" t="n">
        <v>0</v>
      </c>
      <c r="BL122" s="331" t="n">
        <v>38.12</v>
      </c>
      <c r="BM122" s="331" t="n">
        <v>25.42</v>
      </c>
      <c r="BN122" s="362">
        <f>SUM(BJ122:BM122)</f>
        <v/>
      </c>
      <c r="BO122" s="362" t="n">
        <v>6.83</v>
      </c>
      <c r="BP122" s="362" t="n">
        <v>23.92</v>
      </c>
      <c r="BQ122" s="362" t="n">
        <v>27.34</v>
      </c>
      <c r="BR122" s="362" t="n">
        <v>30.75</v>
      </c>
      <c r="BS122" s="115" t="n"/>
      <c r="BT122" s="362">
        <f t="array" ref="BT122:BW122">_xlfn.HSTACK(SUM(INDEX($R122:$AV122,1,1):INDEX($R122:$AV122,1,7)),SUM(INDEX($R122:$AV122,1,7):INDEX($R122:$AV122,1,13)),SUM(INDEX($R122:$AV122,1,16):INDEX($R122:$AV122,1,23)),SUM(INDEX($R122:$AV122,1,23):INDEX($R122:$AV122,1,31)))</f>
        <v/>
      </c>
      <c r="BU122" s="362" t="n">
        <v>0</v>
      </c>
      <c r="BV122" s="362" t="n">
        <v>720</v>
      </c>
      <c r="BW122" s="362" t="n">
        <v>480</v>
      </c>
      <c r="BY122" s="362">
        <f>SUM(R122:X122)</f>
        <v/>
      </c>
      <c r="BZ122" s="362">
        <f>SUM(Y122:AE122)</f>
        <v/>
      </c>
      <c r="CA122" s="362">
        <f>SUM(AF122:AM122)</f>
        <v/>
      </c>
      <c r="CB122" s="362">
        <f>SUM(AN122:AV122)</f>
        <v/>
      </c>
      <c r="CD122" s="432" t="inlineStr">
        <is>
          <t>ADA</t>
        </is>
      </c>
      <c r="CE122" s="362">
        <f>ROUND(BY122*$O122/1000,2)</f>
        <v/>
      </c>
      <c r="CF122" s="362">
        <f>ROUND(BZ122*$O122/1000,2)</f>
        <v/>
      </c>
      <c r="CG122" s="362">
        <f>ROUND(CA122*$O122/1000,2)</f>
        <v/>
      </c>
      <c r="CH122" s="362">
        <f>ROUND(CB122*$O122/1000,2)</f>
        <v/>
      </c>
      <c r="CI122" s="362">
        <f>SUM(CE122:CH122)</f>
        <v/>
      </c>
      <c r="CJ122" s="390" t="n"/>
      <c r="CK122" s="362">
        <f>IFERROR(ROUND(BY122*$P122,2),"")</f>
        <v/>
      </c>
      <c r="CL122" s="362">
        <f>IFERROR(ROUND(BZ122*$P122,2),"")</f>
        <v/>
      </c>
      <c r="CM122" s="362">
        <f>IFERROR(ROUND(CA122*$P122,2),"")</f>
        <v/>
      </c>
      <c r="CN122" s="362">
        <f>IFERROR(ROUND(CB122*$P122,2),"")</f>
        <v/>
      </c>
      <c r="CO122" s="362">
        <f>SUM(CK122:CN122)</f>
        <v/>
      </c>
    </row>
    <row r="123" ht="15.6" customFormat="1" customHeight="1" s="362">
      <c r="A123" s="331" t="n"/>
      <c r="B123" s="344">
        <f>_xlfn.XLOOKUP(G123,销售需求表!A:A,销售需求表!C:C)</f>
        <v/>
      </c>
      <c r="C123" s="345">
        <f>IFERROR(MID(F123,FIND("R",F123)+1,4),"")</f>
        <v/>
      </c>
      <c r="D123" s="344">
        <f>B123&amp;C123&amp;"寸"</f>
        <v/>
      </c>
      <c r="E123" s="346">
        <f>LEFT(REPLACE(G123,1,2,""),FIND("[",REPLACE(G123,1,2,""))-1)&amp;"-"&amp;MID(REPLACE(G123,1,2,""),FIND("[",REPLACE(G123,1,2,""))+1,FIND("]",REPLACE(G123,1,2,""))-FIND("[",REPLACE(G123,1,2,""))-1)</f>
        <v/>
      </c>
      <c r="F123" s="347">
        <f>IFERROR(MID(G123,3,FIND("(",G123)-3)&amp;"-"&amp;SUBSTITUTE(MID(G123,FIND("[",G123)+1,FIND("]",G123)-FIND("[",G123)-1),"Strong Guard ",""),"")</f>
        <v/>
      </c>
      <c r="G123" s="346" t="inlineStr">
        <is>
          <t>ID295/75R22.5-14PR(144/141L)[M-TRAC OSD]MASTERTRACK无内</t>
        </is>
      </c>
      <c r="H123" s="344" t="n">
        <v>850</v>
      </c>
      <c r="I123" s="348" t="n"/>
      <c r="J123" s="349">
        <f>IFERROR(LEFT(F123,FIND("-",F123))&amp;MID(F123,FIND("PR",F123,FIND("-",F123))+3,LEN(F123)),F123)</f>
        <v/>
      </c>
      <c r="K123" s="352">
        <f>_xlfn.XLOOKUP(F123,投产规格!E:E,投产规格!D:D,"未投产")</f>
        <v/>
      </c>
      <c r="L123" s="352">
        <f>IFERROR(_xlfn.XLOOKUP(F123,硫化工艺!B:B,硫化工艺!C:C),"")</f>
        <v/>
      </c>
      <c r="M123" s="430">
        <f>IF(L123="","",L123/(L123+$L$1/60))</f>
        <v/>
      </c>
      <c r="N123" s="352">
        <f>C123&amp;"全钢"</f>
        <v/>
      </c>
      <c r="O123" s="352">
        <f>IFERROR(_xlfn.XLOOKUP(F123,轮胎重量!J:J,轮胎重量!G:G),"")</f>
        <v/>
      </c>
      <c r="P123" s="358">
        <f>O123*13.9</f>
        <v/>
      </c>
      <c r="Q123" s="352">
        <f>IFERROR(ROUND(1440/L123*(I123)*M123,0),"")</f>
        <v/>
      </c>
      <c r="R123" s="352" t="n"/>
      <c r="S123" s="352" t="n"/>
      <c r="T123" s="352" t="n"/>
      <c r="U123" s="352" t="n"/>
      <c r="V123" s="352" t="n"/>
      <c r="W123" s="352" t="n"/>
      <c r="X123" s="352" t="n"/>
      <c r="Y123" s="352" t="n"/>
      <c r="Z123" s="352" t="n"/>
      <c r="AA123" s="352" t="n"/>
      <c r="AB123" s="352" t="n"/>
      <c r="AC123" s="352" t="n"/>
      <c r="AD123" s="352" t="n"/>
      <c r="AE123" s="352" t="n"/>
      <c r="AF123" s="352" t="n"/>
      <c r="AG123" s="352" t="n"/>
      <c r="AH123" s="352" t="n"/>
      <c r="AI123" s="352" t="n"/>
      <c r="AJ123" s="352" t="n"/>
      <c r="AK123" s="352" t="n"/>
      <c r="AL123" s="352" t="n"/>
      <c r="AM123" s="352" t="n"/>
      <c r="AN123" s="352" t="n">
        <v>130</v>
      </c>
      <c r="AO123" s="352" t="n">
        <v>130</v>
      </c>
      <c r="AP123" s="352" t="n">
        <v>130</v>
      </c>
      <c r="AQ123" s="352" t="n">
        <v>130</v>
      </c>
      <c r="AR123" s="352" t="n">
        <v>130</v>
      </c>
      <c r="AS123" s="352" t="n">
        <v>130</v>
      </c>
      <c r="AT123" s="352" t="n">
        <v>130</v>
      </c>
      <c r="AU123" s="352" t="n">
        <v>130</v>
      </c>
      <c r="AV123" s="352" t="n">
        <v>130</v>
      </c>
      <c r="AW123" s="352">
        <f>IF(SUM(R123:AV123)=0,"",SUM(R123:AV123))</f>
        <v/>
      </c>
      <c r="AX123" s="431">
        <f>IFERROR(AW123*O123/1000,"")</f>
        <v/>
      </c>
      <c r="AY123" s="431">
        <f>IFERROR(ROUND(AW123*P123/10000,3),"")</f>
        <v/>
      </c>
      <c r="AZ123" s="359" t="n"/>
      <c r="BA123" s="362" t="n"/>
      <c r="BB123" s="362" t="n"/>
      <c r="BC123" s="331" t="n"/>
      <c r="BD123" s="331" t="n"/>
      <c r="BE123" s="331" t="n"/>
      <c r="BF123" s="331" t="n"/>
      <c r="BG123" s="331" t="n"/>
      <c r="BH123" s="331" t="n"/>
      <c r="BI123" s="331" t="n"/>
      <c r="BJ123" s="356">
        <f t="array" ref="BJ123:BM123">_xlfn.LET(_xlpm.data,$R123:$AV123,_xlpm.starts,{1,8,16,23},_xlpm.lengths,{7,7,8,9},_xlpm.arr,_xlfn.MAP(_xlpm.starts,_xlpm.lengths,_xlfn.LAMBDA(_xlpm.s,_xlpm.l,SUM(INDEX(_xlpm.data,,_xlfn.SEQUENCE(,_xlpm.l,_xlpm.s))))),ROUND(_xlpm.arr*$O123/1000,2))</f>
        <v/>
      </c>
      <c r="BK123" s="331" t="n">
        <v>0</v>
      </c>
      <c r="BL123" s="331" t="n">
        <v>6.88</v>
      </c>
      <c r="BM123" s="331" t="n">
        <v>61.95</v>
      </c>
      <c r="BN123" s="362">
        <f>SUM(BJ123:BM123)</f>
        <v/>
      </c>
      <c r="BO123" s="362" t="n">
        <v>6.83</v>
      </c>
      <c r="BP123" s="362" t="n">
        <v>23.92</v>
      </c>
      <c r="BQ123" s="362" t="n">
        <v>27.34</v>
      </c>
      <c r="BR123" s="362" t="n">
        <v>30.75</v>
      </c>
      <c r="BS123" s="115" t="n"/>
      <c r="BT123" s="362">
        <f t="array" ref="BT123:BW123">_xlfn.HSTACK(SUM(INDEX($R123:$AV123,1,1):INDEX($R123:$AV123,1,7)),SUM(INDEX($R123:$AV123,1,7):INDEX($R123:$AV123,1,13)),SUM(INDEX($R123:$AV123,1,16):INDEX($R123:$AV123,1,23)),SUM(INDEX($R123:$AV123,1,23):INDEX($R123:$AV123,1,31)))</f>
        <v/>
      </c>
      <c r="BU123" s="362" t="n">
        <v>0</v>
      </c>
      <c r="BV123" s="362" t="n">
        <v>130</v>
      </c>
      <c r="BW123" s="362" t="n">
        <v>1170</v>
      </c>
      <c r="BY123" s="362">
        <f>SUM(R123:X123)</f>
        <v/>
      </c>
      <c r="BZ123" s="362">
        <f>SUM(Y123:AE123)</f>
        <v/>
      </c>
      <c r="CA123" s="362">
        <f>SUM(AF123:AM123)</f>
        <v/>
      </c>
      <c r="CB123" s="362">
        <f>SUM(AN123:AV123)</f>
        <v/>
      </c>
      <c r="CD123" s="432" t="inlineStr">
        <is>
          <t>ADA</t>
        </is>
      </c>
      <c r="CE123" s="362">
        <f>ROUND(BY123*$O123/1000,2)</f>
        <v/>
      </c>
      <c r="CF123" s="362">
        <f>ROUND(BZ123*$O123/1000,2)</f>
        <v/>
      </c>
      <c r="CG123" s="362">
        <f>ROUND(CA123*$O123/1000,2)</f>
        <v/>
      </c>
      <c r="CH123" s="362">
        <f>ROUND(CB123*$O123/1000,2)</f>
        <v/>
      </c>
      <c r="CI123" s="362">
        <f>SUM(CE123:CH123)</f>
        <v/>
      </c>
      <c r="CJ123" s="390" t="n"/>
      <c r="CK123" s="362">
        <f>IFERROR(ROUND(BY123*$P123,2),"")</f>
        <v/>
      </c>
      <c r="CL123" s="362">
        <f>IFERROR(ROUND(BZ123*$P123,2),"")</f>
        <v/>
      </c>
      <c r="CM123" s="362">
        <f>IFERROR(ROUND(CA123*$P123,2),"")</f>
        <v/>
      </c>
      <c r="CN123" s="362">
        <f>IFERROR(ROUND(CB123*$P123,2),"")</f>
        <v/>
      </c>
      <c r="CO123" s="362">
        <f>SUM(CK123:CN123)</f>
        <v/>
      </c>
    </row>
    <row r="124" ht="15.6" customFormat="1" customHeight="1" s="362">
      <c r="A124" s="331" t="n"/>
      <c r="B124" s="344">
        <f>_xlfn.XLOOKUP(G124,销售需求表!A:A,销售需求表!C:C)</f>
        <v/>
      </c>
      <c r="C124" s="345">
        <f>IFERROR(MID(F124,FIND("R",F124)+1,4),"")</f>
        <v/>
      </c>
      <c r="D124" s="344">
        <f>B124&amp;C124&amp;"寸"</f>
        <v/>
      </c>
      <c r="E124" s="346">
        <f>LEFT(REPLACE(G124,1,2,""),FIND("[",REPLACE(G124,1,2,""))-1)&amp;"-"&amp;MID(REPLACE(G124,1,2,""),FIND("[",REPLACE(G124,1,2,""))+1,FIND("]",REPLACE(G124,1,2,""))-FIND("[",REPLACE(G124,1,2,""))-1)</f>
        <v/>
      </c>
      <c r="F124" s="347">
        <f>IFERROR(MID(G124,3,FIND("(",G124)-3)&amp;"-"&amp;SUBSTITUTE(MID(G124,FIND("[",G124)+1,FIND("]",G124)-FIND("[",G124)-1),"Strong Guard ",""),"")</f>
        <v/>
      </c>
      <c r="G124" s="346" t="inlineStr">
        <is>
          <t>ID295/75R22.5-14PR(144/141L)[M-TRAC TR]MASTERTRACK无内</t>
        </is>
      </c>
      <c r="H124" s="344" t="n">
        <v>2000</v>
      </c>
      <c r="I124" s="348" t="n">
        <v>2</v>
      </c>
      <c r="J124" s="349">
        <f>IFERROR(LEFT(F124,FIND("-",F124))&amp;MID(F124,FIND("PR",F124,FIND("-",F124))+3,LEN(F124)),F124)</f>
        <v/>
      </c>
      <c r="K124" s="352">
        <f>_xlfn.XLOOKUP(F124,投产规格!E:E,投产规格!D:D,"未投产")</f>
        <v/>
      </c>
      <c r="L124" s="352">
        <f>IFERROR(_xlfn.XLOOKUP(F124,硫化工艺!B:B,硫化工艺!C:C),"")</f>
        <v/>
      </c>
      <c r="M124" s="430">
        <f>IF(L124="","",L124/(L124+$L$1/60))</f>
        <v/>
      </c>
      <c r="N124" s="352">
        <f>C124&amp;"全钢"</f>
        <v/>
      </c>
      <c r="O124" s="352">
        <f>IFERROR(_xlfn.XLOOKUP(F124,轮胎重量!J:J,轮胎重量!G:G),"")</f>
        <v/>
      </c>
      <c r="P124" s="358">
        <f>O124*13.9</f>
        <v/>
      </c>
      <c r="Q124" s="352">
        <f>IFERROR(ROUND(1440/L124*(I124)*M124,0),"")</f>
        <v/>
      </c>
      <c r="R124" s="352" t="n">
        <v>60</v>
      </c>
      <c r="S124" s="352" t="n">
        <v>60</v>
      </c>
      <c r="T124" s="352" t="n">
        <v>60</v>
      </c>
      <c r="U124" s="352" t="n">
        <v>60</v>
      </c>
      <c r="V124" s="352" t="n">
        <v>60</v>
      </c>
      <c r="W124" s="352" t="n">
        <v>60</v>
      </c>
      <c r="X124" s="352" t="n">
        <v>60</v>
      </c>
      <c r="Y124" s="352" t="n">
        <v>60</v>
      </c>
      <c r="Z124" s="352" t="n">
        <v>60</v>
      </c>
      <c r="AA124" s="352" t="n">
        <v>60</v>
      </c>
      <c r="AB124" s="352" t="n">
        <v>60</v>
      </c>
      <c r="AC124" s="352" t="n">
        <v>60</v>
      </c>
      <c r="AD124" s="352" t="n">
        <v>60</v>
      </c>
      <c r="AE124" s="352" t="n">
        <v>60</v>
      </c>
      <c r="AF124" s="352" t="n">
        <v>60</v>
      </c>
      <c r="AG124" s="352" t="n">
        <v>60</v>
      </c>
      <c r="AH124" s="352" t="n">
        <v>60</v>
      </c>
      <c r="AI124" s="352" t="n">
        <v>60</v>
      </c>
      <c r="AJ124" s="352" t="n">
        <v>60</v>
      </c>
      <c r="AK124" s="352" t="n">
        <v>60</v>
      </c>
      <c r="AL124" s="352" t="n">
        <v>60</v>
      </c>
      <c r="AM124" s="352" t="n">
        <v>60</v>
      </c>
      <c r="AN124" s="352" t="n">
        <v>60</v>
      </c>
      <c r="AO124" s="352" t="n">
        <v>60</v>
      </c>
      <c r="AP124" s="352" t="n">
        <v>60</v>
      </c>
      <c r="AQ124" s="352" t="n">
        <v>60</v>
      </c>
      <c r="AR124" s="352" t="n">
        <v>60</v>
      </c>
      <c r="AS124" s="352" t="n">
        <v>60</v>
      </c>
      <c r="AT124" s="352" t="n">
        <v>60</v>
      </c>
      <c r="AU124" s="352" t="n">
        <v>60</v>
      </c>
      <c r="AV124" s="352" t="n">
        <v>60</v>
      </c>
      <c r="AW124" s="352">
        <f>IF(SUM(R124:AV124)=0,"",SUM(R124:AV124))</f>
        <v/>
      </c>
      <c r="AX124" s="431">
        <f>IFERROR(AW124*O124/1000,"")</f>
        <v/>
      </c>
      <c r="AY124" s="431">
        <f>IFERROR(ROUND(AW124*P124/10000,3),"")</f>
        <v/>
      </c>
      <c r="AZ124" s="359" t="n"/>
      <c r="BA124" s="362" t="n"/>
      <c r="BB124" s="362" t="n"/>
      <c r="BC124" s="331" t="n"/>
      <c r="BD124" s="331" t="n"/>
      <c r="BE124" s="331" t="n"/>
      <c r="BF124" s="331" t="n"/>
      <c r="BG124" s="331" t="n"/>
      <c r="BH124" s="331" t="n"/>
      <c r="BI124" s="331" t="n"/>
      <c r="BJ124" s="356">
        <f t="array" ref="BJ124:BM124">_xlfn.LET(_xlpm.data,$R124:$AV124,_xlpm.starts,{1,8,16,23},_xlpm.lengths,{7,7,8,9},_xlpm.arr,_xlfn.MAP(_xlpm.starts,_xlpm.lengths,_xlfn.LAMBDA(_xlpm.s,_xlpm.l,SUM(INDEX(_xlpm.data,,_xlfn.SEQUENCE(,_xlpm.l,_xlpm.s))))),ROUND(_xlpm.arr*$O124/1000,2))</f>
        <v/>
      </c>
      <c r="BK124" s="331" t="n">
        <v>22.24</v>
      </c>
      <c r="BL124" s="331" t="n">
        <v>25.42</v>
      </c>
      <c r="BM124" s="331" t="n">
        <v>28.59</v>
      </c>
      <c r="BN124" s="362">
        <f>SUM(BJ124:BM124)</f>
        <v/>
      </c>
      <c r="BO124" s="362" t="n">
        <v>6.83</v>
      </c>
      <c r="BP124" s="362" t="n">
        <v>23.92</v>
      </c>
      <c r="BQ124" s="362" t="n">
        <v>27.34</v>
      </c>
      <c r="BR124" s="362" t="n">
        <v>30.75</v>
      </c>
      <c r="BS124" s="115" t="n"/>
      <c r="BT124" s="362">
        <f t="array" ref="BT124:BW124">_xlfn.HSTACK(SUM(INDEX($R124:$AV124,1,1):INDEX($R124:$AV124,1,7)),SUM(INDEX($R124:$AV124,1,7):INDEX($R124:$AV124,1,13)),SUM(INDEX($R124:$AV124,1,16):INDEX($R124:$AV124,1,23)),SUM(INDEX($R124:$AV124,1,23):INDEX($R124:$AV124,1,31)))</f>
        <v/>
      </c>
      <c r="BU124" s="362" t="n">
        <v>420</v>
      </c>
      <c r="BV124" s="362" t="n">
        <v>480</v>
      </c>
      <c r="BW124" s="362" t="n">
        <v>540</v>
      </c>
      <c r="BY124" s="362">
        <f>SUM(R124:X124)</f>
        <v/>
      </c>
      <c r="BZ124" s="362">
        <f>SUM(Y124:AE124)</f>
        <v/>
      </c>
      <c r="CA124" s="362">
        <f>SUM(AF124:AM124)</f>
        <v/>
      </c>
      <c r="CB124" s="362">
        <f>SUM(AN124:AV124)</f>
        <v/>
      </c>
      <c r="CD124" s="432" t="inlineStr">
        <is>
          <t>ADA</t>
        </is>
      </c>
      <c r="CE124" s="362">
        <f>ROUND(BY124*$O124/1000,2)</f>
        <v/>
      </c>
      <c r="CF124" s="362">
        <f>ROUND(BZ124*$O124/1000,2)</f>
        <v/>
      </c>
      <c r="CG124" s="362">
        <f>ROUND(CA124*$O124/1000,2)</f>
        <v/>
      </c>
      <c r="CH124" s="362">
        <f>ROUND(CB124*$O124/1000,2)</f>
        <v/>
      </c>
      <c r="CI124" s="362">
        <f>SUM(CE124:CH124)</f>
        <v/>
      </c>
      <c r="CJ124" s="390" t="n"/>
      <c r="CK124" s="362">
        <f>IFERROR(ROUND(BY124*$P124,2),"")</f>
        <v/>
      </c>
      <c r="CL124" s="362">
        <f>IFERROR(ROUND(BZ124*$P124,2),"")</f>
        <v/>
      </c>
      <c r="CM124" s="362">
        <f>IFERROR(ROUND(CA124*$P124,2),"")</f>
        <v/>
      </c>
      <c r="CN124" s="362">
        <f>IFERROR(ROUND(CB124*$P124,2),"")</f>
        <v/>
      </c>
      <c r="CO124" s="362">
        <f>SUM(CK124:CN124)</f>
        <v/>
      </c>
    </row>
    <row r="125" ht="15.6" customFormat="1" customHeight="1" s="362">
      <c r="A125" s="331" t="n"/>
      <c r="B125" s="344">
        <f>_xlfn.XLOOKUP(G125,销售需求表!A:A,销售需求表!C:C)</f>
        <v/>
      </c>
      <c r="C125" s="345">
        <f>IFERROR(MID(F125,FIND("R",F125)+1,4),"")</f>
        <v/>
      </c>
      <c r="D125" s="344">
        <f>B125&amp;C125&amp;"寸"</f>
        <v/>
      </c>
      <c r="E125" s="346">
        <f>LEFT(REPLACE(G125,1,2,""),FIND("[",REPLACE(G125,1,2,""))-1)&amp;"-"&amp;MID(REPLACE(G125,1,2,""),FIND("[",REPLACE(G125,1,2,""))+1,FIND("]",REPLACE(G125,1,2,""))-FIND("[",REPLACE(G125,1,2,""))-1)</f>
        <v/>
      </c>
      <c r="F125" s="347">
        <f>IFERROR(MID(G125,3,FIND("(",G125)-3)&amp;"-"&amp;SUBSTITUTE(MID(G125,FIND("[",G125)+1,FIND("]",G125)-FIND("[",G125)-1),"Strong Guard ",""),"")</f>
        <v/>
      </c>
      <c r="G125" s="346" t="inlineStr">
        <is>
          <t>ID295/75R22.5-14PR(144/141L)[Strong Guard H-RD]HERCULES无内</t>
        </is>
      </c>
      <c r="H125" s="344" t="n">
        <v>250</v>
      </c>
      <c r="I125" s="348" t="n"/>
      <c r="J125" s="349">
        <f>IFERROR(LEFT(F125,FIND("-",F125))&amp;MID(F125,FIND("PR",F125,FIND("-",F125))+3,LEN(F125)),F125)</f>
        <v/>
      </c>
      <c r="K125" s="352">
        <f>_xlfn.XLOOKUP(F125,投产规格!E:E,投产规格!D:D,"未投产")</f>
        <v/>
      </c>
      <c r="L125" s="352">
        <f>IFERROR(_xlfn.XLOOKUP(F125,硫化工艺!B:B,硫化工艺!C:C),"")</f>
        <v/>
      </c>
      <c r="M125" s="430">
        <f>IF(L125="","",L125/(L125+$L$1/60))</f>
        <v/>
      </c>
      <c r="N125" s="352">
        <f>C125&amp;"全钢"</f>
        <v/>
      </c>
      <c r="O125" s="352">
        <f>IFERROR(_xlfn.XLOOKUP(F125,轮胎重量!J:J,轮胎重量!G:G),"")</f>
        <v/>
      </c>
      <c r="P125" s="352">
        <f>IFERROR(_xlfn.XLOOKUP(G125,硫化工艺!I:I,硫化工艺!J:J),"")</f>
        <v/>
      </c>
      <c r="Q125" s="352">
        <f>IFERROR(ROUND(1440/L125*(I125)*M125,0),"")</f>
        <v/>
      </c>
      <c r="R125" s="352" t="n"/>
      <c r="S125" s="352" t="n"/>
      <c r="T125" s="352" t="n"/>
      <c r="U125" s="352" t="n"/>
      <c r="V125" s="352" t="n"/>
      <c r="W125" s="352" t="n"/>
      <c r="X125" s="352" t="n"/>
      <c r="Y125" s="352" t="n">
        <v>60</v>
      </c>
      <c r="Z125" s="352" t="n">
        <v>60</v>
      </c>
      <c r="AA125" s="352" t="n">
        <v>60</v>
      </c>
      <c r="AB125" s="352" t="n">
        <v>60</v>
      </c>
      <c r="AC125" s="352" t="n">
        <v>60</v>
      </c>
      <c r="AD125" s="352" t="n"/>
      <c r="AE125" s="352" t="n"/>
      <c r="AF125" s="352" t="n"/>
      <c r="AG125" s="352" t="n"/>
      <c r="AH125" s="352" t="n"/>
      <c r="AI125" s="352" t="n"/>
      <c r="AJ125" s="352" t="n"/>
      <c r="AK125" s="352" t="n"/>
      <c r="AL125" s="352" t="n"/>
      <c r="AM125" s="352" t="n"/>
      <c r="AN125" s="352" t="n"/>
      <c r="AO125" s="352" t="n"/>
      <c r="AP125" s="352" t="n"/>
      <c r="AQ125" s="352" t="n"/>
      <c r="AR125" s="352" t="n"/>
      <c r="AS125" s="352" t="n"/>
      <c r="AT125" s="352" t="n"/>
      <c r="AU125" s="352" t="n"/>
      <c r="AV125" s="352" t="n"/>
      <c r="AW125" s="352">
        <f>IF(SUM(R125:AV125)=0,"",SUM(R125:AV125))</f>
        <v/>
      </c>
      <c r="AX125" s="431">
        <f>IFERROR(AW125*O125/1000,"")</f>
        <v/>
      </c>
      <c r="AY125" s="431">
        <f>IFERROR(ROUND(AW125*P125/10000,3),"")</f>
        <v/>
      </c>
      <c r="AZ125" s="359" t="n"/>
      <c r="BA125" s="362" t="n"/>
      <c r="BB125" s="362" t="n"/>
      <c r="BC125" s="331" t="n"/>
      <c r="BD125" s="331" t="n"/>
      <c r="BE125" s="331" t="n"/>
      <c r="BF125" s="331" t="n"/>
      <c r="BG125" s="331" t="n"/>
      <c r="BH125" s="331" t="n"/>
      <c r="BI125" s="331" t="n"/>
      <c r="BJ125" s="356">
        <f t="array" ref="BJ125:BM125">_xlfn.LET(_xlpm.data,$R125:$AV125,_xlpm.starts,{1,8,16,23},_xlpm.lengths,{7,7,8,9},_xlpm.arr,_xlfn.MAP(_xlpm.starts,_xlpm.lengths,_xlfn.LAMBDA(_xlpm.s,_xlpm.l,SUM(INDEX(_xlpm.data,,_xlfn.SEQUENCE(,_xlpm.l,_xlpm.s))))),ROUND(_xlpm.arr*$O125/1000,2))</f>
        <v/>
      </c>
      <c r="BK125" s="331" t="n">
        <v>16.1</v>
      </c>
      <c r="BL125" s="331" t="n">
        <v>0</v>
      </c>
      <c r="BM125" s="331" t="n">
        <v>0</v>
      </c>
      <c r="BN125" s="362">
        <f>SUM(BJ125:BM125)</f>
        <v/>
      </c>
      <c r="BO125" s="362" t="n">
        <v>6.83</v>
      </c>
      <c r="BP125" s="362" t="n">
        <v>23.92</v>
      </c>
      <c r="BQ125" s="362" t="n">
        <v>27.34</v>
      </c>
      <c r="BR125" s="362" t="n">
        <v>30.75</v>
      </c>
      <c r="BS125" s="115" t="n"/>
      <c r="BT125" s="362">
        <f t="array" ref="BT125:BW125">_xlfn.HSTACK(SUM(INDEX($R125:$AV125,1,1):INDEX($R125:$AV125,1,7)),SUM(INDEX($R125:$AV125,1,7):INDEX($R125:$AV125,1,13)),SUM(INDEX($R125:$AV125,1,16):INDEX($R125:$AV125,1,23)),SUM(INDEX($R125:$AV125,1,23):INDEX($R125:$AV125,1,31)))</f>
        <v/>
      </c>
      <c r="BU125" s="362" t="n">
        <v>300</v>
      </c>
      <c r="BV125" s="362" t="n">
        <v>0</v>
      </c>
      <c r="BW125" s="362" t="n">
        <v>0</v>
      </c>
      <c r="BY125" s="362">
        <f>SUM(R125:X125)</f>
        <v/>
      </c>
      <c r="BZ125" s="362">
        <f>SUM(Y125:AE125)</f>
        <v/>
      </c>
      <c r="CA125" s="362">
        <f>SUM(AF125:AM125)</f>
        <v/>
      </c>
      <c r="CB125" s="362">
        <f>SUM(AN125:AV125)</f>
        <v/>
      </c>
      <c r="CD125" s="432" t="inlineStr">
        <is>
          <t>ADA</t>
        </is>
      </c>
      <c r="CE125" s="362">
        <f>ROUND(BY125*$O125/1000,2)</f>
        <v/>
      </c>
      <c r="CF125" s="362">
        <f>ROUND(BZ125*$O125/1000,2)</f>
        <v/>
      </c>
      <c r="CG125" s="362">
        <f>ROUND(CA125*$O125/1000,2)</f>
        <v/>
      </c>
      <c r="CH125" s="362">
        <f>ROUND(CB125*$O125/1000,2)</f>
        <v/>
      </c>
      <c r="CI125" s="362">
        <f>SUM(CE125:CH125)</f>
        <v/>
      </c>
      <c r="CJ125" s="390" t="n"/>
      <c r="CK125" s="362">
        <f>IFERROR(ROUND(BY125*$P125,2),"")</f>
        <v/>
      </c>
      <c r="CL125" s="362">
        <f>IFERROR(ROUND(BZ125*$P125,2),"")</f>
        <v/>
      </c>
      <c r="CM125" s="362">
        <f>IFERROR(ROUND(CA125*$P125,2),"")</f>
        <v/>
      </c>
      <c r="CN125" s="362">
        <f>IFERROR(ROUND(CB125*$P125,2),"")</f>
        <v/>
      </c>
      <c r="CO125" s="362">
        <f>SUM(CK125:CN125)</f>
        <v/>
      </c>
    </row>
    <row r="126" ht="15.6" customFormat="1" customHeight="1" s="362">
      <c r="A126" s="331" t="n"/>
      <c r="B126" s="344">
        <f>_xlfn.XLOOKUP(G126,销售需求表!A:A,销售需求表!C:C)</f>
        <v/>
      </c>
      <c r="C126" s="345">
        <f>IFERROR(MID(F126,FIND("R",F126)+1,4),"")</f>
        <v/>
      </c>
      <c r="D126" s="344">
        <f>B126&amp;C126&amp;"寸"</f>
        <v/>
      </c>
      <c r="E126" s="346">
        <f>LEFT(REPLACE(G126,1,2,""),FIND("[",REPLACE(G126,1,2,""))-1)&amp;"-"&amp;MID(REPLACE(G126,1,2,""),FIND("[",REPLACE(G126,1,2,""))+1,FIND("]",REPLACE(G126,1,2,""))-FIND("[",REPLACE(G126,1,2,""))-1)</f>
        <v/>
      </c>
      <c r="F126" s="347">
        <f>IFERROR(MID(G126,3,FIND("(",G126)-3)&amp;"-"&amp;SUBSTITUTE(MID(G126,FIND("[",G126)+1,FIND("]",G126)-FIND("[",G126)-1),"Strong Guard ",""),"")</f>
        <v/>
      </c>
      <c r="G126" s="346" t="inlineStr">
        <is>
          <t>ID295/75R22.5-14PR(144/141M)[AT552]ARISUN无内</t>
        </is>
      </c>
      <c r="H126" s="344" t="n">
        <v>420</v>
      </c>
      <c r="I126" s="348" t="n"/>
      <c r="J126" s="349">
        <f>IFERROR(LEFT(F126,FIND("-",F126))&amp;MID(F126,FIND("PR",F126,FIND("-",F126))+3,LEN(F126)),F126)</f>
        <v/>
      </c>
      <c r="K126" s="352">
        <f>_xlfn.XLOOKUP(F126,投产规格!E:E,投产规格!D:D,"未投产")</f>
        <v/>
      </c>
      <c r="L126" s="352">
        <f>IFERROR(_xlfn.XLOOKUP(F126,硫化工艺!B:B,硫化工艺!C:C),"")</f>
        <v/>
      </c>
      <c r="M126" s="430">
        <f>IF(L126="","",L126/(L126+$L$1/60))</f>
        <v/>
      </c>
      <c r="N126" s="352">
        <f>C126&amp;"全钢"</f>
        <v/>
      </c>
      <c r="O126" s="352">
        <f>IFERROR(_xlfn.XLOOKUP(F126,轮胎重量!J:J,轮胎重量!G:G),"")</f>
        <v/>
      </c>
      <c r="P126" s="352">
        <f>IFERROR(_xlfn.XLOOKUP(G126,硫化工艺!I:I,硫化工艺!J:J),"")</f>
        <v/>
      </c>
      <c r="Q126" s="352">
        <f>IFERROR(ROUND(1440/L126*(I126)*M126,0),"")</f>
        <v/>
      </c>
      <c r="R126" s="352" t="n"/>
      <c r="S126" s="352" t="n"/>
      <c r="T126" s="352" t="n"/>
      <c r="U126" s="352" t="n"/>
      <c r="V126" s="352" t="n"/>
      <c r="W126" s="352" t="n"/>
      <c r="X126" s="352" t="n"/>
      <c r="Y126" s="352" t="n"/>
      <c r="Z126" s="352" t="n"/>
      <c r="AA126" s="352" t="n"/>
      <c r="AB126" s="352" t="n"/>
      <c r="AC126" s="352" t="n"/>
      <c r="AD126" s="352" t="n"/>
      <c r="AE126" s="352" t="n"/>
      <c r="AF126" s="352" t="n"/>
      <c r="AG126" s="352" t="n"/>
      <c r="AH126" s="352" t="n"/>
      <c r="AI126" s="352" t="n"/>
      <c r="AJ126" s="352" t="n"/>
      <c r="AK126" s="352" t="n"/>
      <c r="AL126" s="352" t="n"/>
      <c r="AM126" s="352" t="n"/>
      <c r="AN126" s="352" t="n"/>
      <c r="AO126" s="352" t="n"/>
      <c r="AP126" s="352" t="n"/>
      <c r="AQ126" s="352" t="n"/>
      <c r="AR126" s="352" t="n">
        <v>120</v>
      </c>
      <c r="AS126" s="352" t="n">
        <v>120</v>
      </c>
      <c r="AT126" s="352" t="n">
        <v>120</v>
      </c>
      <c r="AU126" s="352" t="n">
        <v>120</v>
      </c>
      <c r="AV126" s="352" t="n">
        <v>120</v>
      </c>
      <c r="AW126" s="352">
        <f>IF(SUM(R126:AV126)=0,"",SUM(R126:AV126))</f>
        <v/>
      </c>
      <c r="AX126" s="431">
        <f>IFERROR(AW126*O126/1000,"")</f>
        <v/>
      </c>
      <c r="AY126" s="431">
        <f>IFERROR(ROUND(AW126*P126/10000,3),"")</f>
        <v/>
      </c>
      <c r="AZ126" s="359" t="n"/>
      <c r="BA126" s="362" t="n"/>
      <c r="BB126" s="362" t="n"/>
      <c r="BC126" s="331" t="n"/>
      <c r="BD126" s="331" t="n"/>
      <c r="BE126" s="331" t="n"/>
      <c r="BF126" s="331" t="n"/>
      <c r="BG126" s="331" t="n"/>
      <c r="BH126" s="331" t="n"/>
      <c r="BI126" s="331" t="n"/>
      <c r="BJ126" s="356">
        <f t="array" ref="BJ126:BM126">_xlfn.LET(_xlpm.data,$R126:$AV126,_xlpm.starts,{1,8,16,23},_xlpm.lengths,{7,7,8,9},_xlpm.arr,_xlfn.MAP(_xlpm.starts,_xlpm.lengths,_xlfn.LAMBDA(_xlpm.s,_xlpm.l,SUM(INDEX(_xlpm.data,,_xlfn.SEQUENCE(,_xlpm.l,_xlpm.s))))),ROUND(_xlpm.arr*$O126/1000,2))</f>
        <v/>
      </c>
      <c r="BK126" s="331" t="n">
        <v>0</v>
      </c>
      <c r="BL126" s="331" t="n">
        <v>0</v>
      </c>
      <c r="BM126" s="331" t="n">
        <v>28.16</v>
      </c>
      <c r="BN126" s="362">
        <f>SUM(BJ126:BM126)</f>
        <v/>
      </c>
      <c r="BO126" s="362" t="n">
        <v>6.83</v>
      </c>
      <c r="BP126" s="362" t="n">
        <v>23.92</v>
      </c>
      <c r="BQ126" s="362" t="n">
        <v>27.34</v>
      </c>
      <c r="BR126" s="362" t="n">
        <v>30.75</v>
      </c>
      <c r="BS126" s="115" t="n"/>
      <c r="BT126" s="362">
        <f t="array" ref="BT126:BW126">_xlfn.HSTACK(SUM(INDEX($R126:$AV126,1,1):INDEX($R126:$AV126,1,7)),SUM(INDEX($R126:$AV126,1,7):INDEX($R126:$AV126,1,13)),SUM(INDEX($R126:$AV126,1,16):INDEX($R126:$AV126,1,23)),SUM(INDEX($R126:$AV126,1,23):INDEX($R126:$AV126,1,31)))</f>
        <v/>
      </c>
      <c r="BU126" s="362" t="n">
        <v>0</v>
      </c>
      <c r="BV126" s="362" t="n">
        <v>0</v>
      </c>
      <c r="BW126" s="362" t="n">
        <v>600</v>
      </c>
      <c r="BY126" s="362">
        <f>SUM(R126:X126)</f>
        <v/>
      </c>
      <c r="BZ126" s="362">
        <f>SUM(Y126:AE126)</f>
        <v/>
      </c>
      <c r="CA126" s="362">
        <f>SUM(AF126:AM126)</f>
        <v/>
      </c>
      <c r="CB126" s="362">
        <f>SUM(AN126:AV126)</f>
        <v/>
      </c>
      <c r="CD126" s="432" t="inlineStr">
        <is>
          <t>ADA</t>
        </is>
      </c>
      <c r="CE126" s="362">
        <f>ROUND(BY126*$O126/1000,2)</f>
        <v/>
      </c>
      <c r="CF126" s="362">
        <f>ROUND(BZ126*$O126/1000,2)</f>
        <v/>
      </c>
      <c r="CG126" s="362">
        <f>ROUND(CA126*$O126/1000,2)</f>
        <v/>
      </c>
      <c r="CH126" s="362">
        <f>ROUND(CB126*$O126/1000,2)</f>
        <v/>
      </c>
      <c r="CI126" s="362">
        <f>SUM(CE126:CH126)</f>
        <v/>
      </c>
      <c r="CJ126" s="390" t="n"/>
      <c r="CK126" s="362">
        <f>IFERROR(ROUND(BY126*$P126,2),"")</f>
        <v/>
      </c>
      <c r="CL126" s="362">
        <f>IFERROR(ROUND(BZ126*$P126,2),"")</f>
        <v/>
      </c>
      <c r="CM126" s="362">
        <f>IFERROR(ROUND(CA126*$P126,2),"")</f>
        <v/>
      </c>
      <c r="CN126" s="362">
        <f>IFERROR(ROUND(CB126*$P126,2),"")</f>
        <v/>
      </c>
      <c r="CO126" s="362">
        <f>SUM(CK126:CN126)</f>
        <v/>
      </c>
    </row>
    <row r="127" ht="15.6" customFormat="1" customHeight="1" s="362">
      <c r="A127" s="331" t="n"/>
      <c r="B127" s="344">
        <f>_xlfn.XLOOKUP(G127,销售需求表!A:A,销售需求表!C:C)</f>
        <v/>
      </c>
      <c r="C127" s="345">
        <f>IFERROR(MID(F127,FIND("R",F127)+1,4),"")</f>
        <v/>
      </c>
      <c r="D127" s="344">
        <f>B127&amp;C127&amp;"寸"</f>
        <v/>
      </c>
      <c r="E127" s="346">
        <f>LEFT(REPLACE(G127,1,2,""),FIND("[",REPLACE(G127,1,2,""))-1)&amp;"-"&amp;MID(REPLACE(G127,1,2,""),FIND("[",REPLACE(G127,1,2,""))+1,FIND("]",REPLACE(G127,1,2,""))-FIND("[",REPLACE(G127,1,2,""))-1)</f>
        <v/>
      </c>
      <c r="F127" s="347">
        <f>IFERROR(MID(G127,3,FIND("(",G127)-3)&amp;"-"&amp;SUBSTITUTE(MID(G127,FIND("[",G127)+1,FIND("]",G127)-FIND("[",G127)-1),"Strong Guard ",""),"")</f>
        <v/>
      </c>
      <c r="G127" s="346" t="inlineStr">
        <is>
          <t>ID295/75R22.5-14PR(144/141M)[CR915]TRAZANO(全诺)无内</t>
        </is>
      </c>
      <c r="H127" s="344" t="n">
        <v>950</v>
      </c>
      <c r="I127" s="348" t="n"/>
      <c r="J127" s="349">
        <f>IFERROR(LEFT(F127,FIND("-",F127))&amp;MID(F127,FIND("PR",F127,FIND("-",F127))+3,LEN(F127)),F127)</f>
        <v/>
      </c>
      <c r="K127" s="352">
        <f>_xlfn.XLOOKUP(F127,投产规格!E:E,投产规格!D:D,"未投产")</f>
        <v/>
      </c>
      <c r="L127" s="352">
        <f>IFERROR(_xlfn.XLOOKUP(F127,硫化工艺!B:B,硫化工艺!C:C),"")</f>
        <v/>
      </c>
      <c r="M127" s="430">
        <f>IF(L127="","",L127/(L127+$L$1/60))</f>
        <v/>
      </c>
      <c r="N127" s="352">
        <f>C127&amp;"全钢"</f>
        <v/>
      </c>
      <c r="O127" s="352">
        <f>IFERROR(_xlfn.XLOOKUP(F127,轮胎重量!J:J,轮胎重量!G:G),"")</f>
        <v/>
      </c>
      <c r="P127" s="352">
        <f>IFERROR(_xlfn.XLOOKUP(G127,硫化工艺!I:I,硫化工艺!J:J),"")</f>
        <v/>
      </c>
      <c r="Q127" s="352">
        <f>IFERROR(ROUND(1440/L127*(I127)*M127,0),"")</f>
        <v/>
      </c>
      <c r="R127" s="352" t="n"/>
      <c r="S127" s="352" t="n"/>
      <c r="T127" s="352" t="n"/>
      <c r="U127" s="352" t="n"/>
      <c r="V127" s="352" t="n"/>
      <c r="W127" s="352" t="n"/>
      <c r="X127" s="352" t="n"/>
      <c r="Y127" s="352" t="n">
        <v>220</v>
      </c>
      <c r="Z127" s="352" t="n">
        <v>220</v>
      </c>
      <c r="AA127" s="352" t="n">
        <v>220</v>
      </c>
      <c r="AB127" s="352" t="n">
        <v>220</v>
      </c>
      <c r="AC127" s="352" t="n">
        <v>220</v>
      </c>
      <c r="AD127" s="352" t="n"/>
      <c r="AE127" s="352" t="n"/>
      <c r="AF127" s="352" t="n"/>
      <c r="AG127" s="352" t="n"/>
      <c r="AH127" s="352" t="n"/>
      <c r="AI127" s="352" t="n"/>
      <c r="AJ127" s="352" t="n"/>
      <c r="AK127" s="352" t="n"/>
      <c r="AL127" s="352" t="n"/>
      <c r="AM127" s="352" t="n"/>
      <c r="AN127" s="352" t="n"/>
      <c r="AO127" s="352" t="n"/>
      <c r="AP127" s="352" t="n"/>
      <c r="AQ127" s="352" t="n"/>
      <c r="AR127" s="352" t="n"/>
      <c r="AS127" s="352" t="n"/>
      <c r="AT127" s="352" t="n"/>
      <c r="AU127" s="352" t="n"/>
      <c r="AV127" s="352" t="n"/>
      <c r="AW127" s="352">
        <f>IF(SUM(R127:AV127)=0,"",SUM(R127:AV127))</f>
        <v/>
      </c>
      <c r="AX127" s="431">
        <f>IFERROR(AW127*O127/1000,"")</f>
        <v/>
      </c>
      <c r="AY127" s="431">
        <f>IFERROR(ROUND(AW127*P127/10000,3),"")</f>
        <v/>
      </c>
      <c r="AZ127" s="359" t="n"/>
      <c r="BA127" s="362" t="n"/>
      <c r="BB127" s="362" t="n"/>
      <c r="BC127" s="331" t="n"/>
      <c r="BD127" s="331" t="n"/>
      <c r="BE127" s="331" t="n"/>
      <c r="BF127" s="331" t="n"/>
      <c r="BG127" s="331" t="n"/>
      <c r="BH127" s="331" t="n"/>
      <c r="BI127" s="331" t="n"/>
      <c r="BJ127" s="356">
        <f t="array" ref="BJ127:BM127">_xlfn.LET(_xlpm.data,$R127:$AV127,_xlpm.starts,{1,8,16,23},_xlpm.lengths,{7,7,8,9},_xlpm.arr,_xlfn.MAP(_xlpm.starts,_xlpm.lengths,_xlfn.LAMBDA(_xlpm.s,_xlpm.l,SUM(INDEX(_xlpm.data,,_xlfn.SEQUENCE(,_xlpm.l,_xlpm.s))))),ROUND(_xlpm.arr*$O127/1000,2))</f>
        <v/>
      </c>
      <c r="BK127" s="331" t="n">
        <v>52.62</v>
      </c>
      <c r="BL127" s="331" t="n">
        <v>0</v>
      </c>
      <c r="BM127" s="331" t="n">
        <v>0</v>
      </c>
      <c r="BN127" s="362">
        <f>SUM(BJ127:BM127)</f>
        <v/>
      </c>
      <c r="BO127" s="362" t="n">
        <v>6.83</v>
      </c>
      <c r="BP127" s="362" t="n">
        <v>23.92</v>
      </c>
      <c r="BQ127" s="362" t="n">
        <v>27.34</v>
      </c>
      <c r="BR127" s="362" t="n">
        <v>30.75</v>
      </c>
      <c r="BS127" s="115" t="n"/>
      <c r="BT127" s="362">
        <f t="array" ref="BT127:BW127">_xlfn.HSTACK(SUM(INDEX($R127:$AV127,1,1):INDEX($R127:$AV127,1,7)),SUM(INDEX($R127:$AV127,1,7):INDEX($R127:$AV127,1,13)),SUM(INDEX($R127:$AV127,1,16):INDEX($R127:$AV127,1,23)),SUM(INDEX($R127:$AV127,1,23):INDEX($R127:$AV127,1,31)))</f>
        <v/>
      </c>
      <c r="BU127" s="362" t="n">
        <v>1100</v>
      </c>
      <c r="BV127" s="362" t="n">
        <v>0</v>
      </c>
      <c r="BW127" s="362" t="n">
        <v>0</v>
      </c>
      <c r="BY127" s="362">
        <f>SUM(R127:X127)</f>
        <v/>
      </c>
      <c r="BZ127" s="362">
        <f>SUM(Y127:AE127)</f>
        <v/>
      </c>
      <c r="CA127" s="362">
        <f>SUM(AF127:AM127)</f>
        <v/>
      </c>
      <c r="CB127" s="362">
        <f>SUM(AN127:AV127)</f>
        <v/>
      </c>
      <c r="CD127" s="432" t="inlineStr">
        <is>
          <t>ADA</t>
        </is>
      </c>
      <c r="CE127" s="362">
        <f>ROUND(BY127*$O127/1000,2)</f>
        <v/>
      </c>
      <c r="CF127" s="362">
        <f>ROUND(BZ127*$O127/1000,2)</f>
        <v/>
      </c>
      <c r="CG127" s="362">
        <f>ROUND(CA127*$O127/1000,2)</f>
        <v/>
      </c>
      <c r="CH127" s="362">
        <f>ROUND(CB127*$O127/1000,2)</f>
        <v/>
      </c>
      <c r="CI127" s="362">
        <f>SUM(CE127:CH127)</f>
        <v/>
      </c>
      <c r="CJ127" s="390" t="n"/>
      <c r="CK127" s="362">
        <f>IFERROR(ROUND(BY127*$P127,2),"")</f>
        <v/>
      </c>
      <c r="CL127" s="362">
        <f>IFERROR(ROUND(BZ127*$P127,2),"")</f>
        <v/>
      </c>
      <c r="CM127" s="362">
        <f>IFERROR(ROUND(CA127*$P127,2),"")</f>
        <v/>
      </c>
      <c r="CN127" s="362">
        <f>IFERROR(ROUND(CB127*$P127,2),"")</f>
        <v/>
      </c>
      <c r="CO127" s="362">
        <f>SUM(CK127:CN127)</f>
        <v/>
      </c>
    </row>
    <row r="128" ht="15.6" customFormat="1" customHeight="1" s="362">
      <c r="A128" s="331" t="n"/>
      <c r="B128" s="344">
        <f>_xlfn.XLOOKUP(G128,销售需求表!A:A,销售需求表!C:C)</f>
        <v/>
      </c>
      <c r="C128" s="345">
        <f>IFERROR(MID(F128,FIND("R",F128)+1,4),"")</f>
        <v/>
      </c>
      <c r="D128" s="344">
        <f>B128&amp;C128&amp;"寸"</f>
        <v/>
      </c>
      <c r="E128" s="346">
        <f>LEFT(REPLACE(G128,1,2,""),FIND("[",REPLACE(G128,1,2,""))-1)&amp;"-"&amp;MID(REPLACE(G128,1,2,""),FIND("[",REPLACE(G128,1,2,""))+1,FIND("]",REPLACE(G128,1,2,""))-FIND("[",REPLACE(G128,1,2,""))-1)</f>
        <v/>
      </c>
      <c r="F128" s="347">
        <f>IFERROR(MID(G128,3,FIND("(",G128)-3)&amp;"-"&amp;SUBSTITUTE(MID(G128,FIND("[",G128)+1,FIND("]",G128)-FIND("[",G128)-1),"Strong Guard ",""),"")</f>
        <v/>
      </c>
      <c r="G128" s="346" t="inlineStr">
        <is>
          <t>ID295/75R22.5-14PR(144/141M)[I-19A]IRONMAN无内 SMARTWAY</t>
        </is>
      </c>
      <c r="H128" s="344" t="n">
        <v>1500</v>
      </c>
      <c r="I128" s="348" t="n"/>
      <c r="J128" s="349">
        <f>IFERROR(LEFT(F128,FIND("-",F128))&amp;MID(F128,FIND("PR",F128,FIND("-",F128))+3,LEN(F128)),F128)</f>
        <v/>
      </c>
      <c r="K128" s="352">
        <f>_xlfn.XLOOKUP(F128,投产规格!E:E,投产规格!D:D,"未投产")</f>
        <v/>
      </c>
      <c r="L128" s="352">
        <f>IFERROR(_xlfn.XLOOKUP(F128,硫化工艺!B:B,硫化工艺!C:C),"")</f>
        <v/>
      </c>
      <c r="M128" s="430">
        <f>IF(L128="","",L128/(L128+$L$1/60))</f>
        <v/>
      </c>
      <c r="N128" s="352">
        <f>C128&amp;"全钢"</f>
        <v/>
      </c>
      <c r="O128" s="352">
        <f>IFERROR(_xlfn.XLOOKUP(F128,轮胎重量!J:J,轮胎重量!G:G),"")</f>
        <v/>
      </c>
      <c r="P128" s="352">
        <f>IFERROR(_xlfn.XLOOKUP(G128,硫化工艺!I:I,硫化工艺!J:J),"")</f>
        <v/>
      </c>
      <c r="Q128" s="352">
        <f>IFERROR(ROUND(1440/L128*(I128)*M128,0),"")</f>
        <v/>
      </c>
      <c r="R128" s="352" t="n"/>
      <c r="S128" s="352" t="n"/>
      <c r="T128" s="352" t="n"/>
      <c r="U128" s="352" t="n"/>
      <c r="V128" s="352" t="n"/>
      <c r="W128" s="352" t="n"/>
      <c r="X128" s="352" t="n"/>
      <c r="Y128" s="352" t="n"/>
      <c r="Z128" s="352" t="n"/>
      <c r="AA128" s="352" t="n"/>
      <c r="AB128" s="352" t="n"/>
      <c r="AC128" s="352" t="n"/>
      <c r="AD128" s="352" t="n">
        <v>60</v>
      </c>
      <c r="AE128" s="352" t="n">
        <v>60</v>
      </c>
      <c r="AF128" s="352" t="n">
        <v>60</v>
      </c>
      <c r="AG128" s="352" t="n">
        <v>60</v>
      </c>
      <c r="AH128" s="352" t="n">
        <v>60</v>
      </c>
      <c r="AI128" s="352" t="n">
        <v>60</v>
      </c>
      <c r="AJ128" s="352" t="n">
        <v>60</v>
      </c>
      <c r="AK128" s="352" t="n">
        <v>60</v>
      </c>
      <c r="AL128" s="352" t="n">
        <v>60</v>
      </c>
      <c r="AM128" s="352" t="n">
        <v>130</v>
      </c>
      <c r="AN128" s="352" t="n">
        <v>130</v>
      </c>
      <c r="AO128" s="352" t="n">
        <v>130</v>
      </c>
      <c r="AP128" s="352" t="n">
        <v>130</v>
      </c>
      <c r="AQ128" s="352" t="n">
        <v>130</v>
      </c>
      <c r="AR128" s="352" t="n">
        <v>130</v>
      </c>
      <c r="AS128" s="352" t="n"/>
      <c r="AT128" s="352" t="n"/>
      <c r="AU128" s="352" t="n"/>
      <c r="AV128" s="352" t="n"/>
      <c r="AW128" s="352">
        <f>IF(SUM(R128:AV128)=0,"",SUM(R128:AV128))</f>
        <v/>
      </c>
      <c r="AX128" s="431">
        <f>IFERROR(AW128*O128/1000,"")</f>
        <v/>
      </c>
      <c r="AY128" s="431">
        <f>IFERROR(ROUND(AW128*P128/10000,3),"")</f>
        <v/>
      </c>
      <c r="AZ128" s="359" t="n"/>
      <c r="BA128" s="362" t="n"/>
      <c r="BB128" s="362" t="n"/>
      <c r="BC128" s="331" t="n"/>
      <c r="BD128" s="331" t="n"/>
      <c r="BE128" s="331" t="n"/>
      <c r="BF128" s="331" t="n"/>
      <c r="BG128" s="331" t="n"/>
      <c r="BH128" s="331" t="n"/>
      <c r="BI128" s="331" t="n"/>
      <c r="BJ128" s="356">
        <f t="array" ref="BJ128:BM128">_xlfn.LET(_xlpm.data,$R128:$AV128,_xlpm.starts,{1,8,16,23},_xlpm.lengths,{7,7,8,9},_xlpm.arr,_xlfn.MAP(_xlpm.starts,_xlpm.lengths,_xlfn.LAMBDA(_xlpm.s,_xlpm.l,SUM(INDEX(_xlpm.data,,_xlfn.SEQUENCE(,_xlpm.l,_xlpm.s))))),ROUND(_xlpm.arr*$O128/1000,2))</f>
        <v/>
      </c>
      <c r="BK128" s="331" t="n">
        <v>6.13</v>
      </c>
      <c r="BL128" s="331" t="n">
        <v>31.68</v>
      </c>
      <c r="BM128" s="331" t="n">
        <v>33.21</v>
      </c>
      <c r="BN128" s="362">
        <f>SUM(BJ128:BM128)</f>
        <v/>
      </c>
      <c r="BO128" s="362" t="n">
        <v>6.64</v>
      </c>
      <c r="BP128" s="362" t="n">
        <v>23.26</v>
      </c>
      <c r="BQ128" s="362" t="n">
        <v>26.58</v>
      </c>
      <c r="BR128" s="362" t="n">
        <v>29.9</v>
      </c>
      <c r="BS128" s="115" t="n"/>
      <c r="BT128" s="362">
        <f t="array" ref="BT128:BW128">_xlfn.HSTACK(SUM(INDEX($R128:$AV128,1,1):INDEX($R128:$AV128,1,7)),SUM(INDEX($R128:$AV128,1,7):INDEX($R128:$AV128,1,13)),SUM(INDEX($R128:$AV128,1,16):INDEX($R128:$AV128,1,23)),SUM(INDEX($R128:$AV128,1,23):INDEX($R128:$AV128,1,31)))</f>
        <v/>
      </c>
      <c r="BU128" s="362" t="n">
        <v>60</v>
      </c>
      <c r="BV128" s="362" t="n">
        <v>620</v>
      </c>
      <c r="BW128" s="362" t="n">
        <v>650</v>
      </c>
      <c r="BY128" s="362">
        <f>SUM(R128:X128)</f>
        <v/>
      </c>
      <c r="BZ128" s="362">
        <f>SUM(Y128:AE128)</f>
        <v/>
      </c>
      <c r="CA128" s="362">
        <f>SUM(AF128:AM128)</f>
        <v/>
      </c>
      <c r="CB128" s="362">
        <f>SUM(AN128:AV128)</f>
        <v/>
      </c>
      <c r="CD128" s="432" t="inlineStr">
        <is>
          <t>ADA</t>
        </is>
      </c>
      <c r="CE128" s="362">
        <f>ROUND(BY128*$O128/1000,2)</f>
        <v/>
      </c>
      <c r="CF128" s="362">
        <f>ROUND(BZ128*$O128/1000,2)</f>
        <v/>
      </c>
      <c r="CG128" s="362">
        <f>ROUND(CA128*$O128/1000,2)</f>
        <v/>
      </c>
      <c r="CH128" s="362">
        <f>ROUND(CB128*$O128/1000,2)</f>
        <v/>
      </c>
      <c r="CI128" s="362">
        <f>SUM(CE128:CH128)</f>
        <v/>
      </c>
      <c r="CJ128" s="390" t="n"/>
      <c r="CK128" s="362">
        <f>IFERROR(ROUND(BY128*$P128,2),"")</f>
        <v/>
      </c>
      <c r="CL128" s="362">
        <f>IFERROR(ROUND(BZ128*$P128,2),"")</f>
        <v/>
      </c>
      <c r="CM128" s="362">
        <f>IFERROR(ROUND(CA128*$P128,2),"")</f>
        <v/>
      </c>
      <c r="CN128" s="362">
        <f>IFERROR(ROUND(CB128*$P128,2),"")</f>
        <v/>
      </c>
      <c r="CO128" s="362">
        <f>SUM(CK128:CN128)</f>
        <v/>
      </c>
    </row>
    <row r="129" ht="15.6" customFormat="1" customHeight="1" s="362">
      <c r="A129" s="331" t="n"/>
      <c r="B129" s="344">
        <f>_xlfn.XLOOKUP(G129,销售需求表!A:A,销售需求表!C:C)</f>
        <v/>
      </c>
      <c r="C129" s="345">
        <f>IFERROR(MID(F129,FIND("R",F129)+1,4),"")</f>
        <v/>
      </c>
      <c r="D129" s="344">
        <f>B129&amp;C129&amp;"寸"</f>
        <v/>
      </c>
      <c r="E129" s="346">
        <f>LEFT(REPLACE(G129,1,2,""),FIND("[",REPLACE(G129,1,2,""))-1)&amp;"-"&amp;MID(REPLACE(G129,1,2,""),FIND("[",REPLACE(G129,1,2,""))+1,FIND("]",REPLACE(G129,1,2,""))-FIND("[",REPLACE(G129,1,2,""))-1)</f>
        <v/>
      </c>
      <c r="F129" s="347">
        <f>IFERROR(MID(G129,3,FIND("(",G129)-3)&amp;"-"&amp;SUBSTITUTE(MID(G129,FIND("[",G129)+1,FIND("]",G129)-FIND("[",G129)-1),"Strong Guard ",""),"")</f>
        <v/>
      </c>
      <c r="G129" s="346" t="inlineStr">
        <is>
          <t>ID295/75R22.5-14PR(144/141M)[I-48T]IRONMAN无内 SMARTWAY</t>
        </is>
      </c>
      <c r="H129" s="344" t="n">
        <v>6000</v>
      </c>
      <c r="I129" s="348" t="n">
        <v>8</v>
      </c>
      <c r="J129" s="349">
        <f>IFERROR(LEFT(F129,FIND("-",F129))&amp;MID(F129,FIND("PR",F129,FIND("-",F129))+3,LEN(F129)),F129)</f>
        <v/>
      </c>
      <c r="K129" s="352">
        <f>_xlfn.XLOOKUP(F129,投产规格!E:E,投产规格!D:D,"未投产")</f>
        <v/>
      </c>
      <c r="L129" s="352">
        <f>IFERROR(_xlfn.XLOOKUP(F129,硫化工艺!B:B,硫化工艺!C:C),"")</f>
        <v/>
      </c>
      <c r="M129" s="430">
        <f>IF(L129="","",L129/(L129+$L$1/60))</f>
        <v/>
      </c>
      <c r="N129" s="352">
        <f>C129&amp;"全钢"</f>
        <v/>
      </c>
      <c r="O129" s="352">
        <f>IFERROR(_xlfn.XLOOKUP(F129,轮胎重量!J:J,轮胎重量!G:G),"")</f>
        <v/>
      </c>
      <c r="P129" s="352">
        <f>IFERROR(_xlfn.XLOOKUP(G129,硫化工艺!I:I,硫化工艺!J:J),"")</f>
        <v/>
      </c>
      <c r="Q129" s="352">
        <f>IFERROR(ROUND(1440/L129*(I129)*M129,0),"")</f>
        <v/>
      </c>
      <c r="R129" s="352" t="n">
        <v>280</v>
      </c>
      <c r="S129" s="352" t="n">
        <v>280</v>
      </c>
      <c r="T129" s="352" t="n">
        <v>280</v>
      </c>
      <c r="U129" s="352" t="n">
        <v>280</v>
      </c>
      <c r="V129" s="352" t="n">
        <v>280</v>
      </c>
      <c r="W129" s="352" t="n">
        <v>280</v>
      </c>
      <c r="X129" s="352" t="n">
        <v>280</v>
      </c>
      <c r="Y129" s="352" t="n">
        <v>280</v>
      </c>
      <c r="Z129" s="352" t="n">
        <v>280</v>
      </c>
      <c r="AA129" s="352" t="n">
        <v>280</v>
      </c>
      <c r="AB129" s="352" t="n">
        <v>280</v>
      </c>
      <c r="AC129" s="352" t="n">
        <v>280</v>
      </c>
      <c r="AD129" s="352" t="n">
        <v>280</v>
      </c>
      <c r="AE129" s="352" t="n">
        <v>280</v>
      </c>
      <c r="AF129" s="352" t="n">
        <v>280</v>
      </c>
      <c r="AG129" s="352" t="n">
        <v>280</v>
      </c>
      <c r="AH129" s="352" t="n">
        <v>280</v>
      </c>
      <c r="AI129" s="352" t="n">
        <v>280</v>
      </c>
      <c r="AJ129" s="352" t="n">
        <v>280</v>
      </c>
      <c r="AK129" s="352" t="n">
        <v>280</v>
      </c>
      <c r="AL129" s="352" t="n"/>
      <c r="AM129" s="352" t="n"/>
      <c r="AN129" s="352" t="n"/>
      <c r="AO129" s="352" t="n"/>
      <c r="AP129" s="352" t="n"/>
      <c r="AQ129" s="352" t="n"/>
      <c r="AR129" s="352" t="n"/>
      <c r="AS129" s="352" t="n"/>
      <c r="AT129" s="352" t="n"/>
      <c r="AU129" s="352" t="n"/>
      <c r="AV129" s="352" t="n"/>
      <c r="AW129" s="352">
        <f>IF(SUM(R129:AV129)=0,"",SUM(R129:AV129))</f>
        <v/>
      </c>
      <c r="AX129" s="431">
        <f>IFERROR(AW129*O129/1000,"")</f>
        <v/>
      </c>
      <c r="AY129" s="431">
        <f>IFERROR(ROUND(AW129*P129/10000,3),"")</f>
        <v/>
      </c>
      <c r="AZ129" s="359" t="n"/>
      <c r="BA129" s="362" t="n"/>
      <c r="BB129" s="362" t="n"/>
      <c r="BC129" s="331" t="n"/>
      <c r="BD129" s="331" t="n"/>
      <c r="BE129" s="331" t="n"/>
      <c r="BF129" s="331" t="n"/>
      <c r="BG129" s="331" t="n"/>
      <c r="BH129" s="331" t="n"/>
      <c r="BI129" s="331" t="n"/>
      <c r="BJ129" s="356">
        <f t="array" ref="BJ129:BM129">_xlfn.LET(_xlpm.data,$R129:$AV129,_xlpm.starts,{1,8,16,23},_xlpm.lengths,{7,7,8,9},_xlpm.arr,_xlfn.MAP(_xlpm.starts,_xlpm.lengths,_xlfn.LAMBDA(_xlpm.s,_xlpm.l,SUM(INDEX(_xlpm.data,,_xlfn.SEQUENCE(,_xlpm.l,_xlpm.s))))),ROUND(_xlpm.arr*$O129/1000,2))</f>
        <v/>
      </c>
      <c r="BK129" s="331" t="n">
        <v>94.56999999999999</v>
      </c>
      <c r="BL129" s="331" t="n">
        <v>67.55</v>
      </c>
      <c r="BM129" s="331" t="n">
        <v>0</v>
      </c>
      <c r="BN129" s="362">
        <f>SUM(BJ129:BM129)</f>
        <v/>
      </c>
      <c r="BO129" s="362" t="n">
        <v>6.83</v>
      </c>
      <c r="BP129" s="362" t="n">
        <v>23.92</v>
      </c>
      <c r="BQ129" s="362" t="n">
        <v>27.34</v>
      </c>
      <c r="BR129" s="362" t="n">
        <v>30.75</v>
      </c>
      <c r="BS129" s="115" t="n"/>
      <c r="BT129" s="362">
        <f t="array" ref="BT129:BW129">_xlfn.HSTACK(SUM(INDEX($R129:$AV129,1,1):INDEX($R129:$AV129,1,7)),SUM(INDEX($R129:$AV129,1,7):INDEX($R129:$AV129,1,13)),SUM(INDEX($R129:$AV129,1,16):INDEX($R129:$AV129,1,23)),SUM(INDEX($R129:$AV129,1,23):INDEX($R129:$AV129,1,31)))</f>
        <v/>
      </c>
      <c r="BU129" s="362" t="n">
        <v>1960</v>
      </c>
      <c r="BV129" s="362" t="n">
        <v>1400</v>
      </c>
      <c r="BW129" s="362" t="n">
        <v>0</v>
      </c>
      <c r="BY129" s="362">
        <f>SUM(R129:X129)</f>
        <v/>
      </c>
      <c r="BZ129" s="362">
        <f>SUM(Y129:AE129)</f>
        <v/>
      </c>
      <c r="CA129" s="362">
        <f>SUM(AF129:AM129)</f>
        <v/>
      </c>
      <c r="CB129" s="362">
        <f>SUM(AN129:AV129)</f>
        <v/>
      </c>
      <c r="CD129" s="432" t="inlineStr">
        <is>
          <t>ADA</t>
        </is>
      </c>
      <c r="CE129" s="362">
        <f>ROUND(BY129*$O129/1000,2)</f>
        <v/>
      </c>
      <c r="CF129" s="362">
        <f>ROUND(BZ129*$O129/1000,2)</f>
        <v/>
      </c>
      <c r="CG129" s="362">
        <f>ROUND(CA129*$O129/1000,2)</f>
        <v/>
      </c>
      <c r="CH129" s="362">
        <f>ROUND(CB129*$O129/1000,2)</f>
        <v/>
      </c>
      <c r="CI129" s="362">
        <f>SUM(CE129:CH129)</f>
        <v/>
      </c>
      <c r="CJ129" s="390" t="n"/>
      <c r="CK129" s="362">
        <f>IFERROR(ROUND(BY129*$P129,2),"")</f>
        <v/>
      </c>
      <c r="CL129" s="362">
        <f>IFERROR(ROUND(BZ129*$P129,2),"")</f>
        <v/>
      </c>
      <c r="CM129" s="362">
        <f>IFERROR(ROUND(CA129*$P129,2),"")</f>
        <v/>
      </c>
      <c r="CN129" s="362">
        <f>IFERROR(ROUND(CB129*$P129,2),"")</f>
        <v/>
      </c>
      <c r="CO129" s="362">
        <f>SUM(CK129:CN129)</f>
        <v/>
      </c>
    </row>
    <row r="130" hidden="1" ht="15.6" customFormat="1" customHeight="1" s="362">
      <c r="A130" s="331" t="n"/>
      <c r="B130" s="344">
        <f>_xlfn.XLOOKUP(G130,销售需求表!A:A,销售需求表!C:C)</f>
        <v/>
      </c>
      <c r="C130" s="345">
        <f>IFERROR(MID(F130,FIND("R",F130)+1,4),"")</f>
        <v/>
      </c>
      <c r="D130" s="344">
        <f>B130&amp;C130&amp;"寸"</f>
        <v/>
      </c>
      <c r="E130" s="346">
        <f>LEFT(REPLACE(G130,1,2,""),FIND("[",REPLACE(G130,1,2,""))-1)&amp;"-"&amp;MID(REPLACE(G130,1,2,""),FIND("[",REPLACE(G130,1,2,""))+1,FIND("]",REPLACE(G130,1,2,""))-FIND("[",REPLACE(G130,1,2,""))-1)</f>
        <v/>
      </c>
      <c r="F130" s="347">
        <f>IFERROR(MID(G130,3,FIND("(",G130)-3)&amp;"-"&amp;SUBSTITUTE(MID(G130,FIND("[",G130)+1,FIND("]",G130)-FIND("[",G130)-1),"Strong Guard ",""),"")</f>
        <v/>
      </c>
      <c r="G130" s="346" t="inlineStr">
        <is>
          <t>ID295/75R22.5-16PR(146/143L)[DOMINATE D01]BLACKARROW无内</t>
        </is>
      </c>
      <c r="H130" s="344" t="n">
        <v>800</v>
      </c>
      <c r="I130" s="348" t="n"/>
      <c r="J130" s="349">
        <f>IFERROR(LEFT(F130,FIND("-",F130))&amp;MID(F130,FIND("PR",F130,FIND("-",F130))+3,LEN(F130)),F130)</f>
        <v/>
      </c>
      <c r="K130" s="352">
        <f>_xlfn.XLOOKUP(F130,投产规格!E:E,投产规格!D:D,"未投产")</f>
        <v/>
      </c>
      <c r="L130" s="352">
        <f>IFERROR(_xlfn.XLOOKUP(F130,硫化工艺!B:B,硫化工艺!C:C),"")</f>
        <v/>
      </c>
      <c r="M130" s="430">
        <f>IF(L130="","",L130/(L130+$L$1/60))</f>
        <v/>
      </c>
      <c r="N130" s="352">
        <f>C130&amp;"全钢"</f>
        <v/>
      </c>
      <c r="O130" s="352">
        <f>IFERROR(_xlfn.XLOOKUP(F130,轮胎重量!J:J,轮胎重量!G:G),"")</f>
        <v/>
      </c>
      <c r="P130" s="358">
        <f>O130*13.9</f>
        <v/>
      </c>
      <c r="Q130" s="352">
        <f>IFERROR(ROUND(1440/L130*(I130)*M130,0),"")</f>
        <v/>
      </c>
      <c r="R130" s="352" t="n"/>
      <c r="S130" s="352" t="n"/>
      <c r="T130" s="352" t="n"/>
      <c r="U130" s="352" t="n"/>
      <c r="V130" s="352" t="n"/>
      <c r="W130" s="352" t="n"/>
      <c r="X130" s="352" t="n"/>
      <c r="Y130" s="352" t="n"/>
      <c r="Z130" s="352" t="n"/>
      <c r="AA130" s="352" t="n"/>
      <c r="AB130" s="352" t="n"/>
      <c r="AC130" s="352" t="n"/>
      <c r="AD130" s="352" t="n"/>
      <c r="AE130" s="352" t="n"/>
      <c r="AF130" s="352" t="n"/>
      <c r="AG130" s="352" t="n"/>
      <c r="AH130" s="352" t="n"/>
      <c r="AI130" s="352" t="n"/>
      <c r="AJ130" s="352" t="n"/>
      <c r="AK130" s="352" t="n"/>
      <c r="AL130" s="352" t="n"/>
      <c r="AM130" s="352" t="n"/>
      <c r="AN130" s="352" t="n"/>
      <c r="AO130" s="352" t="n"/>
      <c r="AP130" s="352" t="n"/>
      <c r="AQ130" s="352" t="n"/>
      <c r="AR130" s="352" t="n"/>
      <c r="AS130" s="352" t="n"/>
      <c r="AT130" s="352" t="n"/>
      <c r="AU130" s="352" t="n"/>
      <c r="AV130" s="352" t="n"/>
      <c r="AW130" s="352">
        <f>IF(SUM(R130:AV130)=0,"",SUM(R130:AV130))</f>
        <v/>
      </c>
      <c r="AX130" s="431">
        <f>IFERROR(AW130*O130/1000,"")</f>
        <v/>
      </c>
      <c r="AY130" s="431">
        <f>IFERROR(ROUND(AW130*P130/10000,3),"")</f>
        <v/>
      </c>
      <c r="AZ130" s="359" t="n"/>
      <c r="BA130" s="362" t="n"/>
      <c r="BB130" s="362" t="n"/>
      <c r="BC130" s="331" t="n"/>
      <c r="BD130" s="331" t="n"/>
      <c r="BE130" s="331" t="n"/>
      <c r="BF130" s="331" t="n"/>
      <c r="BG130" s="331" t="n"/>
      <c r="BH130" s="331" t="n"/>
      <c r="BI130" s="331" t="n"/>
      <c r="BJ130" s="356">
        <f t="array" ref="BJ130:BM130">_xlfn.LET(_xlpm.data,$R130:$AV130,_xlpm.starts,{1,8,16,23},_xlpm.lengths,{7,7,8,9},_xlpm.arr,_xlfn.MAP(_xlpm.starts,_xlpm.lengths,_xlfn.LAMBDA(_xlpm.s,_xlpm.l,SUM(INDEX(_xlpm.data,,_xlfn.SEQUENCE(,_xlpm.l,_xlpm.s))))),ROUND(_xlpm.arr*$O130/1000,2))</f>
        <v/>
      </c>
      <c r="BK130" s="331" t="n">
        <v>0</v>
      </c>
      <c r="BL130" s="331" t="n">
        <v>0</v>
      </c>
      <c r="BM130" s="331" t="n">
        <v>0</v>
      </c>
      <c r="BN130" s="362">
        <f>SUM(BJ130:BM130)</f>
        <v/>
      </c>
      <c r="BO130" s="362" t="n">
        <v>6.64</v>
      </c>
      <c r="BP130" s="362" t="n">
        <v>23.26</v>
      </c>
      <c r="BQ130" s="362" t="n">
        <v>26.58</v>
      </c>
      <c r="BR130" s="362" t="n">
        <v>29.9</v>
      </c>
      <c r="BS130" s="115" t="n"/>
      <c r="BT130" s="362">
        <f t="array" ref="BT130:BW130">_xlfn.HSTACK(SUM(INDEX($R130:$AV130,1,1):INDEX($R130:$AV130,1,7)),SUM(INDEX($R130:$AV130,1,7):INDEX($R130:$AV130,1,13)),SUM(INDEX($R130:$AV130,1,16):INDEX($R130:$AV130,1,23)),SUM(INDEX($R130:$AV130,1,23):INDEX($R130:$AV130,1,31)))</f>
        <v/>
      </c>
      <c r="BU130" s="362" t="n">
        <v>0</v>
      </c>
      <c r="BV130" s="362" t="n">
        <v>0</v>
      </c>
      <c r="BW130" s="362" t="n">
        <v>0</v>
      </c>
      <c r="BY130" s="362">
        <f>SUM(R130:X130)</f>
        <v/>
      </c>
      <c r="BZ130" s="362">
        <f>SUM(Y130:AE130)</f>
        <v/>
      </c>
      <c r="CA130" s="362">
        <f>SUM(AF130:AM130)</f>
        <v/>
      </c>
      <c r="CB130" s="362">
        <f>SUM(AN130:AV130)</f>
        <v/>
      </c>
      <c r="CD130" s="432" t="inlineStr">
        <is>
          <t>ADA</t>
        </is>
      </c>
      <c r="CE130" s="362">
        <f>ROUND(BY130*$O130/1000,2)</f>
        <v/>
      </c>
      <c r="CF130" s="362">
        <f>ROUND(BZ130*$O130/1000,2)</f>
        <v/>
      </c>
      <c r="CG130" s="362">
        <f>ROUND(CA130*$O130/1000,2)</f>
        <v/>
      </c>
      <c r="CH130" s="362">
        <f>ROUND(CB130*$O130/1000,2)</f>
        <v/>
      </c>
      <c r="CI130" s="362">
        <f>SUM(CE130:CH130)</f>
        <v/>
      </c>
      <c r="CJ130" s="390" t="n"/>
      <c r="CK130" s="362">
        <f>IFERROR(ROUND(BY130*$P130,2),"")</f>
        <v/>
      </c>
      <c r="CL130" s="362">
        <f>IFERROR(ROUND(BZ130*$P130,2),"")</f>
        <v/>
      </c>
      <c r="CM130" s="362">
        <f>IFERROR(ROUND(CA130*$P130,2),"")</f>
        <v/>
      </c>
      <c r="CN130" s="362">
        <f>IFERROR(ROUND(CB130*$P130,2),"")</f>
        <v/>
      </c>
      <c r="CO130" s="362">
        <f>SUM(CK130:CN130)</f>
        <v/>
      </c>
    </row>
    <row r="131" hidden="1" ht="15.6" customFormat="1" customHeight="1" s="362">
      <c r="A131" s="331" t="n"/>
      <c r="B131" s="344">
        <f>_xlfn.XLOOKUP(G131,销售需求表!A:A,销售需求表!C:C)</f>
        <v/>
      </c>
      <c r="C131" s="345">
        <f>IFERROR(MID(F131,FIND("R",F131)+1,4),"")</f>
        <v/>
      </c>
      <c r="D131" s="344">
        <f>B131&amp;C131&amp;"寸"</f>
        <v/>
      </c>
      <c r="E131" s="346">
        <f>LEFT(REPLACE(G131,1,2,""),FIND("[",REPLACE(G131,1,2,""))-1)&amp;"-"&amp;MID(REPLACE(G131,1,2,""),FIND("[",REPLACE(G131,1,2,""))+1,FIND("]",REPLACE(G131,1,2,""))-FIND("[",REPLACE(G131,1,2,""))-1)</f>
        <v/>
      </c>
      <c r="F131" s="347">
        <f>IFERROR(MID(G131,3,FIND("(",G131)-3)&amp;"-"&amp;SUBSTITUTE(MID(G131,FIND("[",G131)+1,FIND("]",G131)-FIND("[",G131)-1),"Strong Guard ",""),"")</f>
        <v/>
      </c>
      <c r="G131" s="346" t="inlineStr">
        <is>
          <t>ID295/75R22.5-16PR(146/143L)[ECO-MILE CSD]TRAVELSTAR无内</t>
        </is>
      </c>
      <c r="H131" s="344" t="n">
        <v>360</v>
      </c>
      <c r="I131" s="348" t="n"/>
      <c r="J131" s="349">
        <f>IFERROR(LEFT(F131,FIND("-",F131))&amp;MID(F131,FIND("PR",F131,FIND("-",F131))+3,LEN(F131)),F131)</f>
        <v/>
      </c>
      <c r="K131" s="352">
        <f>_xlfn.XLOOKUP(F131,投产规格!E:E,投产规格!D:D,"未投产")</f>
        <v/>
      </c>
      <c r="L131" s="352">
        <f>IFERROR(_xlfn.XLOOKUP(F131,硫化工艺!B:B,硫化工艺!C:C),"")</f>
        <v/>
      </c>
      <c r="M131" s="430">
        <f>IF(L131="","",L131/(L131+$L$1/60))</f>
        <v/>
      </c>
      <c r="N131" s="352">
        <f>C131&amp;"全钢"</f>
        <v/>
      </c>
      <c r="O131" s="352">
        <f>IFERROR(_xlfn.XLOOKUP(F131,轮胎重量!J:J,轮胎重量!G:G),"")</f>
        <v/>
      </c>
      <c r="P131" s="358">
        <f>O131*13.9</f>
        <v/>
      </c>
      <c r="Q131" s="352">
        <f>IFERROR(ROUND(1440/L131*(I131)*M131,0),"")</f>
        <v/>
      </c>
      <c r="R131" s="352" t="n"/>
      <c r="S131" s="352" t="n"/>
      <c r="T131" s="352" t="n"/>
      <c r="U131" s="352" t="n"/>
      <c r="V131" s="352" t="n"/>
      <c r="W131" s="352" t="n"/>
      <c r="X131" s="352" t="n"/>
      <c r="Y131" s="352" t="n"/>
      <c r="Z131" s="352" t="n"/>
      <c r="AA131" s="352" t="n"/>
      <c r="AB131" s="352" t="n"/>
      <c r="AC131" s="352" t="n"/>
      <c r="AD131" s="352" t="n"/>
      <c r="AE131" s="352" t="n"/>
      <c r="AF131" s="352" t="n"/>
      <c r="AG131" s="352" t="n"/>
      <c r="AH131" s="352" t="n"/>
      <c r="AI131" s="352" t="n"/>
      <c r="AJ131" s="352" t="n"/>
      <c r="AK131" s="352" t="n"/>
      <c r="AL131" s="352" t="n"/>
      <c r="AM131" s="352" t="n"/>
      <c r="AN131" s="352" t="n"/>
      <c r="AO131" s="352" t="n"/>
      <c r="AP131" s="352" t="n"/>
      <c r="AQ131" s="352" t="n"/>
      <c r="AR131" s="352" t="n"/>
      <c r="AS131" s="352" t="n"/>
      <c r="AT131" s="352" t="n"/>
      <c r="AU131" s="352" t="n"/>
      <c r="AV131" s="352" t="n"/>
      <c r="AW131" s="352">
        <f>IF(SUM(R131:AV131)=0,"",SUM(R131:AV131))</f>
        <v/>
      </c>
      <c r="AX131" s="431">
        <f>IFERROR(AW131*O131/1000,"")</f>
        <v/>
      </c>
      <c r="AY131" s="431">
        <f>IFERROR(ROUND(AW131*P131/10000,3),"")</f>
        <v/>
      </c>
      <c r="AZ131" s="359" t="n"/>
      <c r="BA131" s="362" t="n"/>
      <c r="BB131" s="362" t="n"/>
      <c r="BC131" s="331" t="n"/>
      <c r="BD131" s="331" t="n"/>
      <c r="BE131" s="331" t="n"/>
      <c r="BF131" s="331" t="n"/>
      <c r="BG131" s="331" t="n"/>
      <c r="BH131" s="331" t="n"/>
      <c r="BI131" s="331" t="n"/>
      <c r="BJ131" s="356">
        <f t="array" ref="BJ131:BM131">_xlfn.LET(_xlpm.data,$R131:$AV131,_xlpm.starts,{1,8,16,23},_xlpm.lengths,{7,7,8,9},_xlpm.arr,_xlfn.MAP(_xlpm.starts,_xlpm.lengths,_xlfn.LAMBDA(_xlpm.s,_xlpm.l,SUM(INDEX(_xlpm.data,,_xlfn.SEQUENCE(,_xlpm.l,_xlpm.s))))),ROUND(_xlpm.arr*$O131/1000,2))</f>
        <v/>
      </c>
      <c r="BK131" s="331" t="n">
        <v>0</v>
      </c>
      <c r="BL131" s="331" t="n">
        <v>0</v>
      </c>
      <c r="BM131" s="331" t="n">
        <v>0</v>
      </c>
      <c r="BN131" s="362">
        <f>SUM(BJ131:BM131)</f>
        <v/>
      </c>
      <c r="BO131" s="362" t="n">
        <v>6.83</v>
      </c>
      <c r="BP131" s="362" t="n">
        <v>23.92</v>
      </c>
      <c r="BQ131" s="362" t="n">
        <v>27.34</v>
      </c>
      <c r="BR131" s="362" t="n">
        <v>30.75</v>
      </c>
      <c r="BS131" s="115" t="n"/>
      <c r="BT131" s="362">
        <f t="array" ref="BT131:BW131">_xlfn.HSTACK(SUM(INDEX($R131:$AV131,1,1):INDEX($R131:$AV131,1,7)),SUM(INDEX($R131:$AV131,1,7):INDEX($R131:$AV131,1,13)),SUM(INDEX($R131:$AV131,1,16):INDEX($R131:$AV131,1,23)),SUM(INDEX($R131:$AV131,1,23):INDEX($R131:$AV131,1,31)))</f>
        <v/>
      </c>
      <c r="BU131" s="362" t="n">
        <v>0</v>
      </c>
      <c r="BV131" s="362" t="n">
        <v>0</v>
      </c>
      <c r="BW131" s="362" t="n">
        <v>0</v>
      </c>
      <c r="BY131" s="362">
        <f>SUM(R131:X131)</f>
        <v/>
      </c>
      <c r="BZ131" s="362">
        <f>SUM(Y131:AE131)</f>
        <v/>
      </c>
      <c r="CA131" s="362">
        <f>SUM(AF131:AM131)</f>
        <v/>
      </c>
      <c r="CB131" s="362">
        <f>SUM(AN131:AV131)</f>
        <v/>
      </c>
      <c r="CD131" s="432" t="inlineStr">
        <is>
          <t>ADA</t>
        </is>
      </c>
      <c r="CE131" s="362">
        <f>ROUND(BY131*$O131/1000,2)</f>
        <v/>
      </c>
      <c r="CF131" s="362">
        <f>ROUND(BZ131*$O131/1000,2)</f>
        <v/>
      </c>
      <c r="CG131" s="362">
        <f>ROUND(CA131*$O131/1000,2)</f>
        <v/>
      </c>
      <c r="CH131" s="362">
        <f>ROUND(CB131*$O131/1000,2)</f>
        <v/>
      </c>
      <c r="CI131" s="362">
        <f>SUM(CE131:CH131)</f>
        <v/>
      </c>
      <c r="CJ131" s="390" t="n"/>
      <c r="CK131" s="362">
        <f>IFERROR(ROUND(BY131*$P131,2),"")</f>
        <v/>
      </c>
      <c r="CL131" s="362">
        <f>IFERROR(ROUND(BZ131*$P131,2),"")</f>
        <v/>
      </c>
      <c r="CM131" s="362">
        <f>IFERROR(ROUND(CA131*$P131,2),"")</f>
        <v/>
      </c>
      <c r="CN131" s="362">
        <f>IFERROR(ROUND(CB131*$P131,2),"")</f>
        <v/>
      </c>
      <c r="CO131" s="362">
        <f>SUM(CK131:CN131)</f>
        <v/>
      </c>
    </row>
    <row r="132" ht="15.6" customFormat="1" customHeight="1" s="362">
      <c r="A132" s="331" t="n"/>
      <c r="B132" s="344">
        <f>_xlfn.XLOOKUP(G132,销售需求表!A:A,销售需求表!C:C)</f>
        <v/>
      </c>
      <c r="C132" s="345">
        <f>IFERROR(MID(F132,FIND("R",F132)+1,4),"")</f>
        <v/>
      </c>
      <c r="D132" s="344">
        <f>B132&amp;C132&amp;"寸"</f>
        <v/>
      </c>
      <c r="E132" s="346">
        <f>LEFT(REPLACE(G132,1,2,""),FIND("[",REPLACE(G132,1,2,""))-1)&amp;"-"&amp;MID(REPLACE(G132,1,2,""),FIND("[",REPLACE(G132,1,2,""))+1,FIND("]",REPLACE(G132,1,2,""))-FIND("[",REPLACE(G132,1,2,""))-1)</f>
        <v/>
      </c>
      <c r="F132" s="347">
        <f>IFERROR(MID(G132,3,FIND("(",G132)-3)&amp;"-"&amp;SUBSTITUTE(MID(G132,FIND("[",G132)+1,FIND("]",G132)-FIND("[",G132)-1),"Strong Guard ",""),"")</f>
        <v/>
      </c>
      <c r="G132" s="346" t="inlineStr">
        <is>
          <t>ID295/75R22.5-16PR(146/143L)[HD1 PlusX]SUPERMAX ECO无内</t>
        </is>
      </c>
      <c r="H132" s="344" t="n">
        <v>800</v>
      </c>
      <c r="I132" s="348" t="n"/>
      <c r="J132" s="349">
        <f>IFERROR(LEFT(F132,FIND("-",F132))&amp;MID(F132,FIND("PR",F132,FIND("-",F132))+3,LEN(F132)),F132)</f>
        <v/>
      </c>
      <c r="K132" s="352">
        <f>_xlfn.XLOOKUP(F132,投产规格!E:E,投产规格!D:D,"未投产")</f>
        <v/>
      </c>
      <c r="L132" s="352">
        <f>IFERROR(_xlfn.XLOOKUP(F132,硫化工艺!B:B,硫化工艺!C:C),"")</f>
        <v/>
      </c>
      <c r="M132" s="430">
        <f>IF(L132="","",L132/(L132+$L$1/60))</f>
        <v/>
      </c>
      <c r="N132" s="352">
        <f>C132&amp;"全钢"</f>
        <v/>
      </c>
      <c r="O132" s="352">
        <f>IFERROR(_xlfn.XLOOKUP(F132,轮胎重量!J:J,轮胎重量!G:G),"")</f>
        <v/>
      </c>
      <c r="P132" s="358">
        <f>O132*13.9</f>
        <v/>
      </c>
      <c r="Q132" s="352">
        <f>IFERROR(ROUND(1440/L132*(I132)*M132,0),"")</f>
        <v/>
      </c>
      <c r="R132" s="352" t="n"/>
      <c r="S132" s="352" t="n"/>
      <c r="T132" s="352" t="n"/>
      <c r="U132" s="352" t="n"/>
      <c r="V132" s="352" t="n"/>
      <c r="W132" s="352" t="n"/>
      <c r="X132" s="352" t="n"/>
      <c r="Y132" s="352" t="n"/>
      <c r="Z132" s="352" t="n"/>
      <c r="AA132" s="352" t="n"/>
      <c r="AB132" s="352" t="n"/>
      <c r="AC132" s="352" t="n"/>
      <c r="AD132" s="352" t="n"/>
      <c r="AE132" s="352" t="n"/>
      <c r="AF132" s="352" t="n"/>
      <c r="AG132" s="352" t="n"/>
      <c r="AH132" s="352" t="n"/>
      <c r="AI132" s="352" t="n"/>
      <c r="AJ132" s="352" t="n"/>
      <c r="AK132" s="352" t="n"/>
      <c r="AL132" s="352" t="n"/>
      <c r="AM132" s="352" t="n">
        <v>60</v>
      </c>
      <c r="AN132" s="352" t="n">
        <v>60</v>
      </c>
      <c r="AO132" s="352" t="n">
        <v>60</v>
      </c>
      <c r="AP132" s="352" t="n">
        <v>60</v>
      </c>
      <c r="AQ132" s="352" t="n">
        <v>60</v>
      </c>
      <c r="AR132" s="352" t="n">
        <v>60</v>
      </c>
      <c r="AS132" s="352" t="n">
        <v>60</v>
      </c>
      <c r="AT132" s="352" t="n">
        <v>60</v>
      </c>
      <c r="AU132" s="352" t="n">
        <v>60</v>
      </c>
      <c r="AV132" s="352" t="n">
        <v>60</v>
      </c>
      <c r="AW132" s="352">
        <f>IF(SUM(R132:AV132)=0,"",SUM(R132:AV132))</f>
        <v/>
      </c>
      <c r="AX132" s="431">
        <f>IFERROR(AW132*O132/1000,"")</f>
        <v/>
      </c>
      <c r="AY132" s="431">
        <f>IFERROR(ROUND(AW132*P132/10000,3),"")</f>
        <v/>
      </c>
      <c r="AZ132" s="359" t="n"/>
      <c r="BA132" s="362" t="n"/>
      <c r="BB132" s="362" t="n"/>
      <c r="BC132" s="331" t="n"/>
      <c r="BD132" s="331" t="n"/>
      <c r="BE132" s="331" t="n"/>
      <c r="BF132" s="331" t="n"/>
      <c r="BG132" s="331" t="n"/>
      <c r="BH132" s="331" t="n"/>
      <c r="BI132" s="331" t="n"/>
      <c r="BJ132" s="356">
        <f t="array" ref="BJ132:BM132">_xlfn.LET(_xlpm.data,$R132:$AV132,_xlpm.starts,{1,8,16,23},_xlpm.lengths,{7,7,8,9},_xlpm.arr,_xlfn.MAP(_xlpm.starts,_xlpm.lengths,_xlfn.LAMBDA(_xlpm.s,_xlpm.l,SUM(INDEX(_xlpm.data,,_xlfn.SEQUENCE(,_xlpm.l,_xlpm.s))))),ROUND(_xlpm.arr*$O132/1000,2))</f>
        <v/>
      </c>
      <c r="BK132" s="331" t="n">
        <v>0</v>
      </c>
      <c r="BL132" s="331" t="n">
        <v>6.39</v>
      </c>
      <c r="BM132" s="331" t="n">
        <v>28.76</v>
      </c>
      <c r="BN132" s="362">
        <f>SUM(BJ132:BM132)</f>
        <v/>
      </c>
      <c r="BO132" s="362" t="n">
        <v>6.64</v>
      </c>
      <c r="BP132" s="362" t="n">
        <v>23.26</v>
      </c>
      <c r="BQ132" s="362" t="n">
        <v>26.58</v>
      </c>
      <c r="BR132" s="362" t="n">
        <v>29.9</v>
      </c>
      <c r="BS132" s="115" t="n"/>
      <c r="BT132" s="362">
        <f t="array" ref="BT132:BW132">_xlfn.HSTACK(SUM(INDEX($R132:$AV132,1,1):INDEX($R132:$AV132,1,7)),SUM(INDEX($R132:$AV132,1,7):INDEX($R132:$AV132,1,13)),SUM(INDEX($R132:$AV132,1,16):INDEX($R132:$AV132,1,23)),SUM(INDEX($R132:$AV132,1,23):INDEX($R132:$AV132,1,31)))</f>
        <v/>
      </c>
      <c r="BU132" s="362" t="n">
        <v>0</v>
      </c>
      <c r="BV132" s="362" t="n">
        <v>120</v>
      </c>
      <c r="BW132" s="362" t="n">
        <v>540</v>
      </c>
      <c r="BY132" s="362">
        <f>SUM(R132:X132)</f>
        <v/>
      </c>
      <c r="BZ132" s="362">
        <f>SUM(Y132:AE132)</f>
        <v/>
      </c>
      <c r="CA132" s="362">
        <f>SUM(AF132:AM132)</f>
        <v/>
      </c>
      <c r="CB132" s="362">
        <f>SUM(AN132:AV132)</f>
        <v/>
      </c>
      <c r="CD132" s="432" t="inlineStr">
        <is>
          <t>ADA</t>
        </is>
      </c>
      <c r="CE132" s="362">
        <f>ROUND(BY132*$O132/1000,2)</f>
        <v/>
      </c>
      <c r="CF132" s="362">
        <f>ROUND(BZ132*$O132/1000,2)</f>
        <v/>
      </c>
      <c r="CG132" s="362">
        <f>ROUND(CA132*$O132/1000,2)</f>
        <v/>
      </c>
      <c r="CH132" s="362">
        <f>ROUND(CB132*$O132/1000,2)</f>
        <v/>
      </c>
      <c r="CI132" s="362">
        <f>SUM(CE132:CH132)</f>
        <v/>
      </c>
      <c r="CJ132" s="390" t="n"/>
      <c r="CK132" s="362">
        <f>IFERROR(ROUND(BY132*$P132,2),"")</f>
        <v/>
      </c>
      <c r="CL132" s="362">
        <f>IFERROR(ROUND(BZ132*$P132,2),"")</f>
        <v/>
      </c>
      <c r="CM132" s="362">
        <f>IFERROR(ROUND(CA132*$P132,2),"")</f>
        <v/>
      </c>
      <c r="CN132" s="362">
        <f>IFERROR(ROUND(CB132*$P132,2),"")</f>
        <v/>
      </c>
      <c r="CO132" s="362">
        <f>SUM(CK132:CN132)</f>
        <v/>
      </c>
    </row>
    <row r="133" ht="15.6" customFormat="1" customHeight="1" s="362">
      <c r="A133" s="331" t="n"/>
      <c r="B133" s="344">
        <f>_xlfn.XLOOKUP(G133,销售需求表!A:A,销售需求表!C:C)</f>
        <v/>
      </c>
      <c r="C133" s="345">
        <f>IFERROR(MID(F133,FIND("R",F133)+1,4),"")</f>
        <v/>
      </c>
      <c r="D133" s="344">
        <f>B133&amp;C133&amp;"寸"</f>
        <v/>
      </c>
      <c r="E133" s="346">
        <f>LEFT(REPLACE(G133,1,2,""),FIND("[",REPLACE(G133,1,2,""))-1)&amp;"-"&amp;MID(REPLACE(G133,1,2,""),FIND("[",REPLACE(G133,1,2,""))+1,FIND("]",REPLACE(G133,1,2,""))-FIND("[",REPLACE(G133,1,2,""))-1)</f>
        <v/>
      </c>
      <c r="F133" s="347">
        <f>IFERROR(MID(G133,3,FIND("(",G133)-3)&amp;"-"&amp;SUBSTITUTE(MID(G133,FIND("[",G133)+1,FIND("]",G133)-FIND("[",G133)-1),"Strong Guard ",""),"")</f>
        <v/>
      </c>
      <c r="G133" s="346" t="inlineStr">
        <is>
          <t>ID295/75R22.5-16PR(146/143L)[HF1 PlusX]SUPERMAX ECO无内</t>
        </is>
      </c>
      <c r="H133" s="344" t="n">
        <v>180</v>
      </c>
      <c r="I133" s="348" t="n"/>
      <c r="J133" s="349">
        <f>IFERROR(LEFT(F133,FIND("-",F133))&amp;MID(F133,FIND("PR",F133,FIND("-",F133))+3,LEN(F133)),F133)</f>
        <v/>
      </c>
      <c r="K133" s="352">
        <f>_xlfn.XLOOKUP(F133,投产规格!E:E,投产规格!D:D,"未投产")</f>
        <v/>
      </c>
      <c r="L133" s="352">
        <f>IFERROR(_xlfn.XLOOKUP(F133,硫化工艺!B:B,硫化工艺!C:C),"")</f>
        <v/>
      </c>
      <c r="M133" s="430">
        <f>IF(L133="","",L133/(L133+$L$1/60))</f>
        <v/>
      </c>
      <c r="N133" s="352">
        <f>C133&amp;"全钢"</f>
        <v/>
      </c>
      <c r="O133" s="352">
        <f>IFERROR(_xlfn.XLOOKUP(F133,轮胎重量!J:J,轮胎重量!G:G),"")</f>
        <v/>
      </c>
      <c r="P133" s="352">
        <f>IFERROR(_xlfn.XLOOKUP(G133,硫化工艺!I:I,硫化工艺!J:J),"")</f>
        <v/>
      </c>
      <c r="Q133" s="352">
        <f>IFERROR(ROUND(1440/L133*(I133)*M133,0),"")</f>
        <v/>
      </c>
      <c r="R133" s="352" t="n"/>
      <c r="S133" s="352" t="n"/>
      <c r="T133" s="352" t="n"/>
      <c r="U133" s="352" t="n"/>
      <c r="V133" s="352" t="n"/>
      <c r="W133" s="352" t="n"/>
      <c r="X133" s="352" t="n"/>
      <c r="Y133" s="352" t="n"/>
      <c r="Z133" s="352" t="n"/>
      <c r="AA133" s="352" t="n"/>
      <c r="AB133" s="352" t="n"/>
      <c r="AC133" s="352" t="n"/>
      <c r="AD133" s="352" t="n"/>
      <c r="AE133" s="352" t="n"/>
      <c r="AF133" s="352" t="n"/>
      <c r="AG133" s="352" t="n"/>
      <c r="AH133" s="352" t="n"/>
      <c r="AI133" s="352" t="n"/>
      <c r="AJ133" s="352" t="n"/>
      <c r="AK133" s="352" t="n">
        <v>60</v>
      </c>
      <c r="AL133" s="352" t="n">
        <v>60</v>
      </c>
      <c r="AM133" s="352" t="n">
        <v>60</v>
      </c>
      <c r="AN133" s="352" t="n">
        <v>60</v>
      </c>
      <c r="AO133" s="352" t="n">
        <v>60</v>
      </c>
      <c r="AP133" s="352" t="n">
        <v>60</v>
      </c>
      <c r="AQ133" s="352" t="n"/>
      <c r="AR133" s="352" t="n"/>
      <c r="AS133" s="352" t="n"/>
      <c r="AT133" s="352" t="n"/>
      <c r="AU133" s="352" t="n"/>
      <c r="AV133" s="352" t="n"/>
      <c r="AW133" s="352">
        <f>IF(SUM(R133:AV133)=0,"",SUM(R133:AV133))</f>
        <v/>
      </c>
      <c r="AX133" s="431">
        <f>IFERROR(AW133*O133/1000,"")</f>
        <v/>
      </c>
      <c r="AY133" s="431">
        <f>IFERROR(ROUND(AW133*P133/10000,3),"")</f>
        <v/>
      </c>
      <c r="AZ133" s="359" t="n"/>
      <c r="BA133" s="362" t="n"/>
      <c r="BB133" s="362" t="n"/>
      <c r="BC133" s="331" t="n"/>
      <c r="BD133" s="331" t="n"/>
      <c r="BE133" s="331" t="n"/>
      <c r="BF133" s="331" t="n"/>
      <c r="BG133" s="331" t="n"/>
      <c r="BH133" s="331" t="n"/>
      <c r="BI133" s="331" t="n"/>
      <c r="BJ133" s="356">
        <f t="array" ref="BJ133:BM133">_xlfn.LET(_xlpm.data,$R133:$AV133,_xlpm.starts,{1,8,16,23},_xlpm.lengths,{7,7,8,9},_xlpm.arr,_xlfn.MAP(_xlpm.starts,_xlpm.lengths,_xlfn.LAMBDA(_xlpm.s,_xlpm.l,SUM(INDEX(_xlpm.data,,_xlfn.SEQUENCE(,_xlpm.l,_xlpm.s))))),ROUND(_xlpm.arr*$O133/1000,2))</f>
        <v/>
      </c>
      <c r="BK133" s="331" t="n">
        <v>0</v>
      </c>
      <c r="BL133" s="331" t="n">
        <v>11.86</v>
      </c>
      <c r="BM133" s="331" t="n">
        <v>8.9</v>
      </c>
      <c r="BN133" s="362">
        <f>SUM(BJ133:BM133)</f>
        <v/>
      </c>
      <c r="BO133" s="362" t="n">
        <v>6.83</v>
      </c>
      <c r="BP133" s="362" t="n">
        <v>23.92</v>
      </c>
      <c r="BQ133" s="362" t="n">
        <v>27.34</v>
      </c>
      <c r="BR133" s="362" t="n">
        <v>30.75</v>
      </c>
      <c r="BS133" s="115" t="n"/>
      <c r="BT133" s="362">
        <f t="array" ref="BT133:BW133">_xlfn.HSTACK(SUM(INDEX($R133:$AV133,1,1):INDEX($R133:$AV133,1,7)),SUM(INDEX($R133:$AV133,1,7):INDEX($R133:$AV133,1,13)),SUM(INDEX($R133:$AV133,1,16):INDEX($R133:$AV133,1,23)),SUM(INDEX($R133:$AV133,1,23):INDEX($R133:$AV133,1,31)))</f>
        <v/>
      </c>
      <c r="BU133" s="362" t="n">
        <v>0</v>
      </c>
      <c r="BV133" s="362" t="n">
        <v>240</v>
      </c>
      <c r="BW133" s="362" t="n">
        <v>180</v>
      </c>
      <c r="BY133" s="362">
        <f>SUM(R133:X133)</f>
        <v/>
      </c>
      <c r="BZ133" s="362">
        <f>SUM(Y133:AE133)</f>
        <v/>
      </c>
      <c r="CA133" s="362">
        <f>SUM(AF133:AM133)</f>
        <v/>
      </c>
      <c r="CB133" s="362">
        <f>SUM(AN133:AV133)</f>
        <v/>
      </c>
      <c r="CD133" s="432" t="inlineStr">
        <is>
          <t>ADA</t>
        </is>
      </c>
      <c r="CE133" s="362">
        <f>ROUND(BY133*$O133/1000,2)</f>
        <v/>
      </c>
      <c r="CF133" s="362">
        <f>ROUND(BZ133*$O133/1000,2)</f>
        <v/>
      </c>
      <c r="CG133" s="362">
        <f>ROUND(CA133*$O133/1000,2)</f>
        <v/>
      </c>
      <c r="CH133" s="362">
        <f>ROUND(CB133*$O133/1000,2)</f>
        <v/>
      </c>
      <c r="CI133" s="362">
        <f>SUM(CE133:CH133)</f>
        <v/>
      </c>
      <c r="CJ133" s="390" t="n"/>
      <c r="CK133" s="362">
        <f>IFERROR(ROUND(BY133*$P133,2),"")</f>
        <v/>
      </c>
      <c r="CL133" s="362">
        <f>IFERROR(ROUND(BZ133*$P133,2),"")</f>
        <v/>
      </c>
      <c r="CM133" s="362">
        <f>IFERROR(ROUND(CA133*$P133,2),"")</f>
        <v/>
      </c>
      <c r="CN133" s="362">
        <f>IFERROR(ROUND(CB133*$P133,2),"")</f>
        <v/>
      </c>
      <c r="CO133" s="362">
        <f>SUM(CK133:CN133)</f>
        <v/>
      </c>
    </row>
    <row r="134" ht="15.6" customFormat="1" customHeight="1" s="362">
      <c r="A134" s="331" t="n"/>
      <c r="B134" s="344">
        <f>_xlfn.XLOOKUP(G134,销售需求表!A:A,销售需求表!C:C)</f>
        <v/>
      </c>
      <c r="C134" s="345">
        <f>IFERROR(MID(F134,FIND("R",F134)+1,4),"")</f>
        <v/>
      </c>
      <c r="D134" s="344">
        <f>B134&amp;C134&amp;"寸"</f>
        <v/>
      </c>
      <c r="E134" s="346">
        <f>LEFT(REPLACE(G134,1,2,""),FIND("[",REPLACE(G134,1,2,""))-1)&amp;"-"&amp;MID(REPLACE(G134,1,2,""),FIND("[",REPLACE(G134,1,2,""))+1,FIND("]",REPLACE(G134,1,2,""))-FIND("[",REPLACE(G134,1,2,""))-1)</f>
        <v/>
      </c>
      <c r="F134" s="347">
        <f>IFERROR(MID(G134,3,FIND("(",G134)-3)&amp;"-"&amp;SUBSTITUTE(MID(G134,FIND("[",G134)+1,FIND("]",G134)-FIND("[",G134)-1),"Strong Guard ",""),"")</f>
        <v/>
      </c>
      <c r="G134" s="346" t="inlineStr">
        <is>
          <t>ID295/75R22.5-16PR(146/143L)[I-52A]IRONMAN无内 SMARTWAY</t>
        </is>
      </c>
      <c r="H134" s="344" t="n">
        <v>300</v>
      </c>
      <c r="I134" s="348" t="n"/>
      <c r="J134" s="349">
        <f>IFERROR(LEFT(F134,FIND("-",F134))&amp;MID(F134,FIND("PR",F134,FIND("-",F134))+3,LEN(F134)),F134)</f>
        <v/>
      </c>
      <c r="K134" s="352">
        <f>_xlfn.XLOOKUP(F134,投产规格!E:E,投产规格!D:D,"未投产")</f>
        <v/>
      </c>
      <c r="L134" s="352">
        <f>IFERROR(_xlfn.XLOOKUP(F134,硫化工艺!B:B,硫化工艺!C:C),"")</f>
        <v/>
      </c>
      <c r="M134" s="430">
        <f>IF(L134="","",L134/(L134+$L$1/60))</f>
        <v/>
      </c>
      <c r="N134" s="352">
        <f>C134&amp;"全钢"</f>
        <v/>
      </c>
      <c r="O134" s="352">
        <f>IFERROR(_xlfn.XLOOKUP(F134,轮胎重量!J:J,轮胎重量!G:G),"")</f>
        <v/>
      </c>
      <c r="P134" s="352">
        <f>IFERROR(_xlfn.XLOOKUP(G134,硫化工艺!I:I,硫化工艺!J:J),"")</f>
        <v/>
      </c>
      <c r="Q134" s="352">
        <f>IFERROR(ROUND(1440/L134*(I134)*M134,0),"")</f>
        <v/>
      </c>
      <c r="R134" s="352" t="n"/>
      <c r="S134" s="352" t="n"/>
      <c r="T134" s="352" t="n"/>
      <c r="U134" s="352" t="n"/>
      <c r="V134" s="352" t="n"/>
      <c r="W134" s="352" t="n"/>
      <c r="X134" s="352" t="n"/>
      <c r="Y134" s="352" t="n"/>
      <c r="Z134" s="352" t="n"/>
      <c r="AA134" s="352" t="n"/>
      <c r="AB134" s="352" t="n"/>
      <c r="AC134" s="352" t="n"/>
      <c r="AD134" s="352" t="n"/>
      <c r="AE134" s="352" t="n"/>
      <c r="AF134" s="352" t="n"/>
      <c r="AG134" s="352" t="n"/>
      <c r="AH134" s="352" t="n"/>
      <c r="AI134" s="352" t="n"/>
      <c r="AJ134" s="352" t="n"/>
      <c r="AK134" s="352" t="n"/>
      <c r="AL134" s="352" t="n"/>
      <c r="AM134" s="352" t="n"/>
      <c r="AN134" s="352" t="n"/>
      <c r="AO134" s="352" t="n"/>
      <c r="AP134" s="352" t="n"/>
      <c r="AQ134" s="352" t="n">
        <v>60</v>
      </c>
      <c r="AR134" s="352" t="n">
        <v>60</v>
      </c>
      <c r="AS134" s="352" t="n">
        <v>60</v>
      </c>
      <c r="AT134" s="352" t="n">
        <v>60</v>
      </c>
      <c r="AU134" s="352" t="n">
        <v>60</v>
      </c>
      <c r="AV134" s="352" t="n">
        <v>60</v>
      </c>
      <c r="AW134" s="352">
        <f>IF(SUM(R134:AV134)=0,"",SUM(R134:AV134))</f>
        <v/>
      </c>
      <c r="AX134" s="431">
        <f>IFERROR(AW134*O134/1000,"")</f>
        <v/>
      </c>
      <c r="AY134" s="431">
        <f>IFERROR(ROUND(AW134*P134/10000,3),"")</f>
        <v/>
      </c>
      <c r="AZ134" s="359" t="n"/>
      <c r="BA134" s="362" t="n"/>
      <c r="BB134" s="362" t="n"/>
      <c r="BC134" s="331" t="n"/>
      <c r="BD134" s="331" t="n"/>
      <c r="BE134" s="331" t="n"/>
      <c r="BF134" s="331" t="n"/>
      <c r="BG134" s="331" t="n"/>
      <c r="BH134" s="331" t="n"/>
      <c r="BI134" s="331" t="n"/>
      <c r="BJ134" s="356">
        <f t="array" ref="BJ134:BM134">_xlfn.LET(_xlpm.data,$R134:$AV134,_xlpm.starts,{1,8,16,23},_xlpm.lengths,{7,7,8,9},_xlpm.arr,_xlfn.MAP(_xlpm.starts,_xlpm.lengths,_xlfn.LAMBDA(_xlpm.s,_xlpm.l,SUM(INDEX(_xlpm.data,,_xlfn.SEQUENCE(,_xlpm.l,_xlpm.s))))),ROUND(_xlpm.arr*$O134/1000,2))</f>
        <v/>
      </c>
      <c r="BK134" s="331" t="n">
        <v>0</v>
      </c>
      <c r="BL134" s="331" t="n">
        <v>0</v>
      </c>
      <c r="BM134" s="331" t="n">
        <v>20.07</v>
      </c>
      <c r="BN134" s="362">
        <f>SUM(BJ134:BM134)</f>
        <v/>
      </c>
      <c r="BO134" s="362" t="n">
        <v>6.64</v>
      </c>
      <c r="BP134" s="362" t="n">
        <v>23.26</v>
      </c>
      <c r="BQ134" s="362" t="n">
        <v>26.58</v>
      </c>
      <c r="BR134" s="362" t="n">
        <v>29.9</v>
      </c>
      <c r="BS134" s="115" t="n"/>
      <c r="BT134" s="362">
        <f t="array" ref="BT134:BW134">_xlfn.HSTACK(SUM(INDEX($R134:$AV134,1,1):INDEX($R134:$AV134,1,7)),SUM(INDEX($R134:$AV134,1,7):INDEX($R134:$AV134,1,13)),SUM(INDEX($R134:$AV134,1,16):INDEX($R134:$AV134,1,23)),SUM(INDEX($R134:$AV134,1,23):INDEX($R134:$AV134,1,31)))</f>
        <v/>
      </c>
      <c r="BU134" s="362" t="n">
        <v>0</v>
      </c>
      <c r="BV134" s="362" t="n">
        <v>0</v>
      </c>
      <c r="BW134" s="362" t="n">
        <v>360</v>
      </c>
      <c r="BY134" s="362">
        <f>SUM(R134:X134)</f>
        <v/>
      </c>
      <c r="BZ134" s="362">
        <f>SUM(Y134:AE134)</f>
        <v/>
      </c>
      <c r="CA134" s="362">
        <f>SUM(AF134:AM134)</f>
        <v/>
      </c>
      <c r="CB134" s="362">
        <f>SUM(AN134:AV134)</f>
        <v/>
      </c>
      <c r="CD134" s="432" t="inlineStr">
        <is>
          <t>ADA</t>
        </is>
      </c>
      <c r="CE134" s="362">
        <f>ROUND(BY134*$O134/1000,2)</f>
        <v/>
      </c>
      <c r="CF134" s="362">
        <f>ROUND(BZ134*$O134/1000,2)</f>
        <v/>
      </c>
      <c r="CG134" s="362">
        <f>ROUND(CA134*$O134/1000,2)</f>
        <v/>
      </c>
      <c r="CH134" s="362">
        <f>ROUND(CB134*$O134/1000,2)</f>
        <v/>
      </c>
      <c r="CI134" s="362">
        <f>SUM(CE134:CH134)</f>
        <v/>
      </c>
      <c r="CJ134" s="390" t="n"/>
      <c r="CK134" s="362">
        <f>IFERROR(ROUND(BY134*$P134,2),"")</f>
        <v/>
      </c>
      <c r="CL134" s="362">
        <f>IFERROR(ROUND(BZ134*$P134,2),"")</f>
        <v/>
      </c>
      <c r="CM134" s="362">
        <f>IFERROR(ROUND(CA134*$P134,2),"")</f>
        <v/>
      </c>
      <c r="CN134" s="362">
        <f>IFERROR(ROUND(CB134*$P134,2),"")</f>
        <v/>
      </c>
      <c r="CO134" s="362">
        <f>SUM(CK134:CN134)</f>
        <v/>
      </c>
    </row>
    <row r="135" ht="15.6" customFormat="1" customHeight="1" s="362">
      <c r="A135" s="331" t="n"/>
      <c r="B135" s="344">
        <f>_xlfn.XLOOKUP(G135,销售需求表!A:A,销售需求表!C:C)</f>
        <v/>
      </c>
      <c r="C135" s="345">
        <f>IFERROR(MID(F135,FIND("R",F135)+1,4),"")</f>
        <v/>
      </c>
      <c r="D135" s="344">
        <f>B135&amp;C135&amp;"寸"</f>
        <v/>
      </c>
      <c r="E135" s="346">
        <f>LEFT(REPLACE(G135,1,2,""),FIND("[",REPLACE(G135,1,2,""))-1)&amp;"-"&amp;MID(REPLACE(G135,1,2,""),FIND("[",REPLACE(G135,1,2,""))+1,FIND("]",REPLACE(G135,1,2,""))-FIND("[",REPLACE(G135,1,2,""))-1)</f>
        <v/>
      </c>
      <c r="F135" s="347">
        <f>IFERROR(MID(G135,3,FIND("(",G135)-3)&amp;"-"&amp;SUBSTITUTE(MID(G135,FIND("[",G135)+1,FIND("]",G135)-FIND("[",G135)-1),"Strong Guard ",""),"")</f>
        <v/>
      </c>
      <c r="G135" s="346" t="inlineStr">
        <is>
          <t>ID295/75R22.5-16PR(146/143L)[KOBE APM]ITARO无内</t>
        </is>
      </c>
      <c r="H135" s="344" t="n">
        <v>2000</v>
      </c>
      <c r="I135" s="348" t="n">
        <v>4</v>
      </c>
      <c r="J135" s="349">
        <f>IFERROR(LEFT(F135,FIND("-",F135))&amp;MID(F135,FIND("PR",F135,FIND("-",F135))+3,LEN(F135)),F135)</f>
        <v/>
      </c>
      <c r="K135" s="352">
        <f>_xlfn.XLOOKUP(F135,投产规格!E:E,投产规格!D:D,"未投产")</f>
        <v/>
      </c>
      <c r="L135" s="352">
        <f>IFERROR(_xlfn.XLOOKUP(F135,硫化工艺!B:B,硫化工艺!C:C),"")</f>
        <v/>
      </c>
      <c r="M135" s="430">
        <f>IF(L135="","",L135/(L135+$L$1/60))</f>
        <v/>
      </c>
      <c r="N135" s="352">
        <f>C135&amp;"全钢"</f>
        <v/>
      </c>
      <c r="O135" s="352">
        <f>IFERROR(_xlfn.XLOOKUP(F135,轮胎重量!J:J,轮胎重量!G:G),"")</f>
        <v/>
      </c>
      <c r="P135" s="352">
        <f>IFERROR(_xlfn.XLOOKUP(G135,硫化工艺!I:I,硫化工艺!J:J),"")</f>
        <v/>
      </c>
      <c r="Q135" s="352">
        <f>IFERROR(ROUND(1440/L135*(I135)*M135,0),"")</f>
        <v/>
      </c>
      <c r="R135" s="352" t="n">
        <v>130</v>
      </c>
      <c r="S135" s="352" t="n">
        <v>130</v>
      </c>
      <c r="T135" s="352" t="n">
        <v>130</v>
      </c>
      <c r="U135" s="352" t="n">
        <v>130</v>
      </c>
      <c r="V135" s="352" t="n">
        <v>130</v>
      </c>
      <c r="W135" s="352" t="n">
        <v>130</v>
      </c>
      <c r="X135" s="352" t="n">
        <v>130</v>
      </c>
      <c r="Y135" s="352" t="n">
        <v>130</v>
      </c>
      <c r="Z135" s="352" t="n">
        <v>130</v>
      </c>
      <c r="AA135" s="352" t="n">
        <v>130</v>
      </c>
      <c r="AB135" s="352" t="n">
        <v>130</v>
      </c>
      <c r="AC135" s="352" t="n">
        <v>130</v>
      </c>
      <c r="AD135" s="352" t="n">
        <v>130</v>
      </c>
      <c r="AE135" s="352" t="n">
        <v>130</v>
      </c>
      <c r="AF135" s="352" t="n">
        <v>130</v>
      </c>
      <c r="AG135" s="352" t="n">
        <v>130</v>
      </c>
      <c r="AH135" s="352" t="n"/>
      <c r="AI135" s="352" t="n"/>
      <c r="AJ135" s="352" t="n"/>
      <c r="AK135" s="352" t="n"/>
      <c r="AL135" s="352" t="n"/>
      <c r="AM135" s="352" t="n"/>
      <c r="AN135" s="352" t="n"/>
      <c r="AO135" s="352" t="n"/>
      <c r="AP135" s="352" t="n"/>
      <c r="AQ135" s="352" t="n"/>
      <c r="AR135" s="352" t="n"/>
      <c r="AS135" s="352" t="n"/>
      <c r="AT135" s="352" t="n"/>
      <c r="AU135" s="352" t="n"/>
      <c r="AV135" s="352" t="n"/>
      <c r="AW135" s="352">
        <f>IF(SUM(R135:AV135)=0,"",SUM(R135:AV135))</f>
        <v/>
      </c>
      <c r="AX135" s="431">
        <f>IFERROR(AW135*O135/1000,"")</f>
        <v/>
      </c>
      <c r="AY135" s="431">
        <f>IFERROR(ROUND(AW135*P135/10000,3),"")</f>
        <v/>
      </c>
      <c r="AZ135" s="359" t="n"/>
      <c r="BA135" s="362" t="n"/>
      <c r="BB135" s="362" t="n"/>
      <c r="BC135" s="331" t="n"/>
      <c r="BD135" s="331" t="n"/>
      <c r="BE135" s="331" t="n"/>
      <c r="BF135" s="331" t="n"/>
      <c r="BG135" s="331" t="n"/>
      <c r="BH135" s="331" t="n"/>
      <c r="BI135" s="331" t="n"/>
      <c r="BJ135" s="356">
        <f t="array" ref="BJ135:BM135">_xlfn.LET(_xlpm.data,$R135:$AV135,_xlpm.starts,{1,8,16,23},_xlpm.lengths,{7,7,8,9},_xlpm.arr,_xlfn.MAP(_xlpm.starts,_xlpm.lengths,_xlfn.LAMBDA(_xlpm.s,_xlpm.l,SUM(INDEX(_xlpm.data,,_xlfn.SEQUENCE(,_xlpm.l,_xlpm.s))))),ROUND(_xlpm.arr*$O135/1000,2))</f>
        <v/>
      </c>
      <c r="BK135" s="331" t="n">
        <v>45.16</v>
      </c>
      <c r="BL135" s="331" t="n">
        <v>6.45</v>
      </c>
      <c r="BM135" s="331" t="n">
        <v>0</v>
      </c>
      <c r="BN135" s="362">
        <f>SUM(BJ135:BM135)</f>
        <v/>
      </c>
      <c r="BO135" s="362" t="n">
        <v>6.64</v>
      </c>
      <c r="BP135" s="362" t="n">
        <v>23.26</v>
      </c>
      <c r="BQ135" s="362" t="n">
        <v>26.58</v>
      </c>
      <c r="BR135" s="362" t="n">
        <v>29.9</v>
      </c>
      <c r="BS135" s="115" t="n"/>
      <c r="BT135" s="362">
        <f t="array" ref="BT135:BW135">_xlfn.HSTACK(SUM(INDEX($R135:$AV135,1,1):INDEX($R135:$AV135,1,7)),SUM(INDEX($R135:$AV135,1,7):INDEX($R135:$AV135,1,13)),SUM(INDEX($R135:$AV135,1,16):INDEX($R135:$AV135,1,23)),SUM(INDEX($R135:$AV135,1,23):INDEX($R135:$AV135,1,31)))</f>
        <v/>
      </c>
      <c r="BU135" s="362" t="n">
        <v>910</v>
      </c>
      <c r="BV135" s="362" t="n">
        <v>130</v>
      </c>
      <c r="BW135" s="362" t="n">
        <v>0</v>
      </c>
      <c r="BY135" s="362">
        <f>SUM(R135:X135)</f>
        <v/>
      </c>
      <c r="BZ135" s="362">
        <f>SUM(Y135:AE135)</f>
        <v/>
      </c>
      <c r="CA135" s="362">
        <f>SUM(AF135:AM135)</f>
        <v/>
      </c>
      <c r="CB135" s="362">
        <f>SUM(AN135:AV135)</f>
        <v/>
      </c>
      <c r="CD135" s="432" t="inlineStr">
        <is>
          <t>ADA</t>
        </is>
      </c>
      <c r="CE135" s="362">
        <f>ROUND(BY135*$O135/1000,2)</f>
        <v/>
      </c>
      <c r="CF135" s="362">
        <f>ROUND(BZ135*$O135/1000,2)</f>
        <v/>
      </c>
      <c r="CG135" s="362">
        <f>ROUND(CA135*$O135/1000,2)</f>
        <v/>
      </c>
      <c r="CH135" s="362">
        <f>ROUND(CB135*$O135/1000,2)</f>
        <v/>
      </c>
      <c r="CI135" s="362">
        <f>SUM(CE135:CH135)</f>
        <v/>
      </c>
      <c r="CJ135" s="390" t="n"/>
      <c r="CK135" s="362">
        <f>IFERROR(ROUND(BY135*$P135,2),"")</f>
        <v/>
      </c>
      <c r="CL135" s="362">
        <f>IFERROR(ROUND(BZ135*$P135,2),"")</f>
        <v/>
      </c>
      <c r="CM135" s="362">
        <f>IFERROR(ROUND(CA135*$P135,2),"")</f>
        <v/>
      </c>
      <c r="CN135" s="362">
        <f>IFERROR(ROUND(CB135*$P135,2),"")</f>
        <v/>
      </c>
      <c r="CO135" s="362">
        <f>SUM(CK135:CN135)</f>
        <v/>
      </c>
    </row>
    <row r="136" ht="15.6" customFormat="1" customHeight="1" s="362">
      <c r="A136" s="331" t="n"/>
      <c r="B136" s="344">
        <f>_xlfn.XLOOKUP(G136,销售需求表!A:A,销售需求表!C:C)</f>
        <v/>
      </c>
      <c r="C136" s="345">
        <f>IFERROR(MID(F136,FIND("R",F136)+1,4),"")</f>
        <v/>
      </c>
      <c r="D136" s="344">
        <f>B136&amp;C136&amp;"寸"</f>
        <v/>
      </c>
      <c r="E136" s="346">
        <f>LEFT(REPLACE(G136,1,2,""),FIND("[",REPLACE(G136,1,2,""))-1)&amp;"-"&amp;MID(REPLACE(G136,1,2,""),FIND("[",REPLACE(G136,1,2,""))+1,FIND("]",REPLACE(G136,1,2,""))-FIND("[",REPLACE(G136,1,2,""))-1)</f>
        <v/>
      </c>
      <c r="F136" s="347">
        <f>IFERROR(MID(G136,3,FIND("(",G136)-3)&amp;"-"&amp;SUBSTITUTE(MID(G136,FIND("[",G136)+1,FIND("]",G136)-FIND("[",G136)-1),"Strong Guard ",""),"")</f>
        <v/>
      </c>
      <c r="G136" s="346" t="inlineStr">
        <is>
          <t>ID295/75R22.5-16PR(146/143L)[KOBE DPM]ITARO无内</t>
        </is>
      </c>
      <c r="H136" s="344" t="n">
        <v>2400</v>
      </c>
      <c r="I136" s="348" t="n">
        <v>4</v>
      </c>
      <c r="J136" s="349">
        <f>IFERROR(LEFT(F136,FIND("-",F136))&amp;MID(F136,FIND("PR",F136,FIND("-",F136))+3,LEN(F136)),F136)</f>
        <v/>
      </c>
      <c r="K136" s="352">
        <f>_xlfn.XLOOKUP(F136,投产规格!E:E,投产规格!D:D,"未投产")</f>
        <v/>
      </c>
      <c r="L136" s="352">
        <f>IFERROR(_xlfn.XLOOKUP(F136,硫化工艺!B:B,硫化工艺!C:C),"")</f>
        <v/>
      </c>
      <c r="M136" s="430">
        <f>IF(L136="","",L136/(L136+$L$1/60))</f>
        <v/>
      </c>
      <c r="N136" s="352">
        <f>C136&amp;"全钢"</f>
        <v/>
      </c>
      <c r="O136" s="352">
        <f>IFERROR(_xlfn.XLOOKUP(F136,轮胎重量!J:J,轮胎重量!G:G),"")</f>
        <v/>
      </c>
      <c r="P136" s="352">
        <f>IFERROR(_xlfn.XLOOKUP(G136,硫化工艺!I:I,硫化工艺!J:J),"")</f>
        <v/>
      </c>
      <c r="Q136" s="352">
        <f>IFERROR(ROUND(1440/L136*(I136)*M136,0),"")</f>
        <v/>
      </c>
      <c r="R136" s="352" t="n">
        <v>130</v>
      </c>
      <c r="S136" s="352" t="n">
        <v>130</v>
      </c>
      <c r="T136" s="352" t="n">
        <v>130</v>
      </c>
      <c r="U136" s="352" t="n">
        <v>130</v>
      </c>
      <c r="V136" s="352" t="n">
        <v>130</v>
      </c>
      <c r="W136" s="352" t="n">
        <v>130</v>
      </c>
      <c r="X136" s="352" t="n">
        <v>130</v>
      </c>
      <c r="Y136" s="352" t="n">
        <v>130</v>
      </c>
      <c r="Z136" s="352" t="n">
        <v>130</v>
      </c>
      <c r="AA136" s="352" t="n">
        <v>130</v>
      </c>
      <c r="AB136" s="352" t="n">
        <v>130</v>
      </c>
      <c r="AC136" s="352" t="n">
        <v>130</v>
      </c>
      <c r="AD136" s="352" t="n">
        <v>130</v>
      </c>
      <c r="AE136" s="352" t="n">
        <v>130</v>
      </c>
      <c r="AF136" s="352" t="n">
        <v>130</v>
      </c>
      <c r="AG136" s="352" t="n">
        <v>130</v>
      </c>
      <c r="AH136" s="352" t="n">
        <v>130</v>
      </c>
      <c r="AI136" s="352" t="n">
        <v>130</v>
      </c>
      <c r="AJ136" s="352" t="n">
        <v>130</v>
      </c>
      <c r="AK136" s="352" t="n"/>
      <c r="AL136" s="352" t="n"/>
      <c r="AM136" s="352" t="n"/>
      <c r="AN136" s="352" t="n"/>
      <c r="AO136" s="352" t="n"/>
      <c r="AP136" s="352" t="n"/>
      <c r="AQ136" s="352" t="n"/>
      <c r="AR136" s="352" t="n"/>
      <c r="AS136" s="352" t="n"/>
      <c r="AT136" s="352" t="n"/>
      <c r="AU136" s="352" t="n"/>
      <c r="AV136" s="352" t="n"/>
      <c r="AW136" s="352">
        <f>IF(SUM(R136:AV136)=0,"",SUM(R136:AV136))</f>
        <v/>
      </c>
      <c r="AX136" s="431">
        <f>IFERROR(AW136*O136/1000,"")</f>
        <v/>
      </c>
      <c r="AY136" s="431">
        <f>IFERROR(ROUND(AW136*P136/10000,3),"")</f>
        <v/>
      </c>
      <c r="AZ136" s="359" t="n"/>
      <c r="BA136" s="362" t="n"/>
      <c r="BB136" s="362" t="n"/>
      <c r="BC136" s="331" t="n"/>
      <c r="BD136" s="331" t="n"/>
      <c r="BE136" s="331" t="n"/>
      <c r="BF136" s="331" t="n"/>
      <c r="BG136" s="331" t="n"/>
      <c r="BH136" s="331" t="n"/>
      <c r="BI136" s="331" t="n"/>
      <c r="BJ136" s="356">
        <f t="array" ref="BJ136:BM136">_xlfn.LET(_xlpm.data,$R136:$AV136,_xlpm.starts,{1,8,16,23},_xlpm.lengths,{7,7,8,9},_xlpm.arr,_xlfn.MAP(_xlpm.starts,_xlpm.lengths,_xlfn.LAMBDA(_xlpm.s,_xlpm.l,SUM(INDEX(_xlpm.data,,_xlfn.SEQUENCE(,_xlpm.l,_xlpm.s))))),ROUND(_xlpm.arr*$O136/1000,2))</f>
        <v/>
      </c>
      <c r="BK136" s="331" t="n">
        <v>48.33</v>
      </c>
      <c r="BL136" s="331" t="n">
        <v>27.62</v>
      </c>
      <c r="BM136" s="331" t="n">
        <v>0</v>
      </c>
      <c r="BN136" s="362">
        <f>SUM(BJ136:BM136)</f>
        <v/>
      </c>
      <c r="BO136" s="362" t="n">
        <v>6.83</v>
      </c>
      <c r="BP136" s="362" t="n">
        <v>23.92</v>
      </c>
      <c r="BQ136" s="362" t="n">
        <v>27.34</v>
      </c>
      <c r="BR136" s="362" t="n">
        <v>30.75</v>
      </c>
      <c r="BS136" s="115" t="n"/>
      <c r="BT136" s="362">
        <f t="array" ref="BT136:BW136">_xlfn.HSTACK(SUM(INDEX($R136:$AV136,1,1):INDEX($R136:$AV136,1,7)),SUM(INDEX($R136:$AV136,1,7):INDEX($R136:$AV136,1,13)),SUM(INDEX($R136:$AV136,1,16):INDEX($R136:$AV136,1,23)),SUM(INDEX($R136:$AV136,1,23):INDEX($R136:$AV136,1,31)))</f>
        <v/>
      </c>
      <c r="BU136" s="362" t="n">
        <v>910</v>
      </c>
      <c r="BV136" s="362" t="n">
        <v>520</v>
      </c>
      <c r="BW136" s="362" t="n">
        <v>0</v>
      </c>
      <c r="BY136" s="362">
        <f>SUM(R136:X136)</f>
        <v/>
      </c>
      <c r="BZ136" s="362">
        <f>SUM(Y136:AE136)</f>
        <v/>
      </c>
      <c r="CA136" s="362">
        <f>SUM(AF136:AM136)</f>
        <v/>
      </c>
      <c r="CB136" s="362">
        <f>SUM(AN136:AV136)</f>
        <v/>
      </c>
      <c r="CD136" s="432" t="inlineStr">
        <is>
          <t>ADA</t>
        </is>
      </c>
      <c r="CE136" s="362">
        <f>ROUND(BY136*$O136/1000,2)</f>
        <v/>
      </c>
      <c r="CF136" s="362">
        <f>ROUND(BZ136*$O136/1000,2)</f>
        <v/>
      </c>
      <c r="CG136" s="362">
        <f>ROUND(CA136*$O136/1000,2)</f>
        <v/>
      </c>
      <c r="CH136" s="362">
        <f>ROUND(CB136*$O136/1000,2)</f>
        <v/>
      </c>
      <c r="CI136" s="362">
        <f>SUM(CE136:CH136)</f>
        <v/>
      </c>
      <c r="CJ136" s="390" t="n"/>
      <c r="CK136" s="362">
        <f>IFERROR(ROUND(BY136*$P136,2),"")</f>
        <v/>
      </c>
      <c r="CL136" s="362">
        <f>IFERROR(ROUND(BZ136*$P136,2),"")</f>
        <v/>
      </c>
      <c r="CM136" s="362">
        <f>IFERROR(ROUND(CA136*$P136,2),"")</f>
        <v/>
      </c>
      <c r="CN136" s="362">
        <f>IFERROR(ROUND(CB136*$P136,2),"")</f>
        <v/>
      </c>
      <c r="CO136" s="362">
        <f>SUM(CK136:CN136)</f>
        <v/>
      </c>
    </row>
    <row r="137" ht="15.6" customFormat="1" customHeight="1" s="362">
      <c r="A137" s="331" t="n"/>
      <c r="B137" s="344">
        <f>_xlfn.XLOOKUP(G137,销售需求表!A:A,销售需求表!C:C)</f>
        <v/>
      </c>
      <c r="C137" s="345">
        <f>IFERROR(MID(F137,FIND("R",F137)+1,4),"")</f>
        <v/>
      </c>
      <c r="D137" s="344">
        <f>B137&amp;C137&amp;"寸"</f>
        <v/>
      </c>
      <c r="E137" s="346">
        <f>LEFT(REPLACE(G137,1,2,""),FIND("[",REPLACE(G137,1,2,""))-1)&amp;"-"&amp;MID(REPLACE(G137,1,2,""),FIND("[",REPLACE(G137,1,2,""))+1,FIND("]",REPLACE(G137,1,2,""))-FIND("[",REPLACE(G137,1,2,""))-1)</f>
        <v/>
      </c>
      <c r="F137" s="347">
        <f>IFERROR(MID(G137,3,FIND("(",G137)-3)&amp;"-"&amp;SUBSTITUTE(MID(G137,FIND("[",G137)+1,FIND("]",G137)-FIND("[",G137)-1),"Strong Guard ",""),"")</f>
        <v/>
      </c>
      <c r="G137" s="346" t="inlineStr">
        <is>
          <t>ID295/75R22.5-16PR(146/143L)[M-TRAC AP]MASTERTRACK无内</t>
        </is>
      </c>
      <c r="H137" s="344" t="n">
        <v>750</v>
      </c>
      <c r="I137" s="348" t="n"/>
      <c r="J137" s="349">
        <f>IFERROR(LEFT(F137,FIND("-",F137))&amp;MID(F137,FIND("PR",F137,FIND("-",F137))+3,LEN(F137)),F137)</f>
        <v/>
      </c>
      <c r="K137" s="352">
        <f>_xlfn.XLOOKUP(F137,投产规格!E:E,投产规格!D:D,"未投产")</f>
        <v/>
      </c>
      <c r="L137" s="352">
        <f>IFERROR(_xlfn.XLOOKUP(F137,硫化工艺!B:B,硫化工艺!C:C),"")</f>
        <v/>
      </c>
      <c r="M137" s="430">
        <f>IF(L137="","",L137/(L137+$L$1/60))</f>
        <v/>
      </c>
      <c r="N137" s="352">
        <f>C137&amp;"全钢"</f>
        <v/>
      </c>
      <c r="O137" s="352">
        <f>IFERROR(_xlfn.XLOOKUP(F137,轮胎重量!J:J,轮胎重量!G:G),"")</f>
        <v/>
      </c>
      <c r="P137" s="352">
        <f>IFERROR(_xlfn.XLOOKUP(G137,硫化工艺!I:I,硫化工艺!J:J),"")</f>
        <v/>
      </c>
      <c r="Q137" s="352">
        <f>IFERROR(ROUND(1440/L137*(I137)*M137,0),"")</f>
        <v/>
      </c>
      <c r="R137" s="352" t="n"/>
      <c r="S137" s="352" t="n"/>
      <c r="T137" s="352" t="n"/>
      <c r="U137" s="352" t="n"/>
      <c r="V137" s="352" t="n"/>
      <c r="W137" s="352" t="n"/>
      <c r="X137" s="352" t="n"/>
      <c r="Y137" s="352" t="n"/>
      <c r="Z137" s="352" t="n"/>
      <c r="AA137" s="352" t="n"/>
      <c r="AB137" s="352" t="n"/>
      <c r="AC137" s="352" t="n"/>
      <c r="AD137" s="352" t="n"/>
      <c r="AE137" s="352" t="n"/>
      <c r="AF137" s="352" t="n"/>
      <c r="AG137" s="352" t="n"/>
      <c r="AH137" s="352" t="n">
        <v>130</v>
      </c>
      <c r="AI137" s="352" t="n">
        <v>130</v>
      </c>
      <c r="AJ137" s="352" t="n">
        <v>130</v>
      </c>
      <c r="AK137" s="352" t="n">
        <v>130</v>
      </c>
      <c r="AL137" s="352" t="n">
        <v>130</v>
      </c>
      <c r="AM137" s="352" t="n">
        <v>130</v>
      </c>
      <c r="AN137" s="352" t="n"/>
      <c r="AO137" s="352" t="n"/>
      <c r="AP137" s="352" t="n"/>
      <c r="AQ137" s="352" t="n"/>
      <c r="AR137" s="352" t="n"/>
      <c r="AS137" s="352" t="n"/>
      <c r="AT137" s="352" t="n"/>
      <c r="AU137" s="352" t="n"/>
      <c r="AV137" s="352" t="n"/>
      <c r="AW137" s="352">
        <f>IF(SUM(R137:AV137)=0,"",SUM(R137:AV137))</f>
        <v/>
      </c>
      <c r="AX137" s="431">
        <f>IFERROR(AW137*O137/1000,"")</f>
        <v/>
      </c>
      <c r="AY137" s="431">
        <f>IFERROR(ROUND(AW137*P137/10000,3),"")</f>
        <v/>
      </c>
      <c r="AZ137" s="359" t="n"/>
      <c r="BA137" s="362" t="n"/>
      <c r="BB137" s="362" t="n"/>
      <c r="BC137" s="331" t="n"/>
      <c r="BD137" s="331" t="n"/>
      <c r="BE137" s="331" t="n"/>
      <c r="BF137" s="331" t="n"/>
      <c r="BG137" s="331" t="n"/>
      <c r="BH137" s="331" t="n"/>
      <c r="BI137" s="331" t="n"/>
      <c r="BJ137" s="356">
        <f t="array" ref="BJ137:BM137">_xlfn.LET(_xlpm.data,$R137:$AV137,_xlpm.starts,{1,8,16,23},_xlpm.lengths,{7,7,8,9},_xlpm.arr,_xlfn.MAP(_xlpm.starts,_xlpm.lengths,_xlfn.LAMBDA(_xlpm.s,_xlpm.l,SUM(INDEX(_xlpm.data,,_xlfn.SEQUENCE(,_xlpm.l,_xlpm.s))))),ROUND(_xlpm.arr*$O137/1000,2))</f>
        <v/>
      </c>
      <c r="BK137" s="331" t="n">
        <v>0</v>
      </c>
      <c r="BL137" s="331" t="n">
        <v>40.01</v>
      </c>
      <c r="BM137" s="331" t="n">
        <v>0</v>
      </c>
      <c r="BN137" s="362">
        <f>SUM(BJ137:BM137)</f>
        <v/>
      </c>
      <c r="BO137" s="362" t="n">
        <v>6.64</v>
      </c>
      <c r="BP137" s="362" t="n">
        <v>23.26</v>
      </c>
      <c r="BQ137" s="362" t="n">
        <v>26.58</v>
      </c>
      <c r="BR137" s="362" t="n">
        <v>29.9</v>
      </c>
      <c r="BS137" s="115" t="n"/>
      <c r="BT137" s="362">
        <f t="array" ref="BT137:BW137">_xlfn.HSTACK(SUM(INDEX($R137:$AV137,1,1):INDEX($R137:$AV137,1,7)),SUM(INDEX($R137:$AV137,1,7):INDEX($R137:$AV137,1,13)),SUM(INDEX($R137:$AV137,1,16):INDEX($R137:$AV137,1,23)),SUM(INDEX($R137:$AV137,1,23):INDEX($R137:$AV137,1,31)))</f>
        <v/>
      </c>
      <c r="BU137" s="362" t="n">
        <v>0</v>
      </c>
      <c r="BV137" s="362" t="n">
        <v>780</v>
      </c>
      <c r="BW137" s="362" t="n">
        <v>0</v>
      </c>
      <c r="BY137" s="362">
        <f>SUM(R137:X137)</f>
        <v/>
      </c>
      <c r="BZ137" s="362">
        <f>SUM(Y137:AE137)</f>
        <v/>
      </c>
      <c r="CA137" s="362">
        <f>SUM(AF137:AM137)</f>
        <v/>
      </c>
      <c r="CB137" s="362">
        <f>SUM(AN137:AV137)</f>
        <v/>
      </c>
      <c r="CD137" s="432" t="inlineStr">
        <is>
          <t>ADA</t>
        </is>
      </c>
      <c r="CE137" s="362">
        <f>ROUND(BY137*$O137/1000,2)</f>
        <v/>
      </c>
      <c r="CF137" s="362">
        <f>ROUND(BZ137*$O137/1000,2)</f>
        <v/>
      </c>
      <c r="CG137" s="362">
        <f>ROUND(CA137*$O137/1000,2)</f>
        <v/>
      </c>
      <c r="CH137" s="362">
        <f>ROUND(CB137*$O137/1000,2)</f>
        <v/>
      </c>
      <c r="CI137" s="362">
        <f>SUM(CE137:CH137)</f>
        <v/>
      </c>
      <c r="CJ137" s="390" t="n"/>
      <c r="CK137" s="362">
        <f>IFERROR(ROUND(BY137*$P137,2),"")</f>
        <v/>
      </c>
      <c r="CL137" s="362">
        <f>IFERROR(ROUND(BZ137*$P137,2),"")</f>
        <v/>
      </c>
      <c r="CM137" s="362">
        <f>IFERROR(ROUND(CA137*$P137,2),"")</f>
        <v/>
      </c>
      <c r="CN137" s="362">
        <f>IFERROR(ROUND(CB137*$P137,2),"")</f>
        <v/>
      </c>
      <c r="CO137" s="362">
        <f>SUM(CK137:CN137)</f>
        <v/>
      </c>
    </row>
    <row r="138" ht="15.6" customFormat="1" customHeight="1" s="362">
      <c r="A138" s="331" t="n"/>
      <c r="B138" s="344">
        <f>_xlfn.XLOOKUP(G138,销售需求表!A:A,销售需求表!C:C)</f>
        <v/>
      </c>
      <c r="C138" s="345">
        <f>IFERROR(MID(F138,FIND("R",F138)+1,4),"")</f>
        <v/>
      </c>
      <c r="D138" s="344">
        <f>B138&amp;C138&amp;"寸"</f>
        <v/>
      </c>
      <c r="E138" s="346">
        <f>LEFT(REPLACE(G138,1,2,""),FIND("[",REPLACE(G138,1,2,""))-1)&amp;"-"&amp;MID(REPLACE(G138,1,2,""),FIND("[",REPLACE(G138,1,2,""))+1,FIND("]",REPLACE(G138,1,2,""))-FIND("[",REPLACE(G138,1,2,""))-1)</f>
        <v/>
      </c>
      <c r="F138" s="347">
        <f>IFERROR(MID(G138,3,FIND("(",G138)-3)&amp;"-"&amp;SUBSTITUTE(MID(G138,FIND("[",G138)+1,FIND("]",G138)-FIND("[",G138)-1),"Strong Guard ",""),"")</f>
        <v/>
      </c>
      <c r="G138" s="346" t="inlineStr">
        <is>
          <t>ID295/75R22.5-16PR(146/143L)[M-TRAC CSD]MASTERTRACK无内</t>
        </is>
      </c>
      <c r="H138" s="344" t="n">
        <v>2000</v>
      </c>
      <c r="I138" s="348" t="n">
        <v>4</v>
      </c>
      <c r="J138" s="349">
        <f>IFERROR(LEFT(F138,FIND("-",F138))&amp;MID(F138,FIND("PR",F138,FIND("-",F138))+3,LEN(F138)),F138)</f>
        <v/>
      </c>
      <c r="K138" s="352">
        <f>_xlfn.XLOOKUP(F138,投产规格!E:E,投产规格!D:D,"未投产")</f>
        <v/>
      </c>
      <c r="L138" s="352">
        <f>IFERROR(_xlfn.XLOOKUP(F138,硫化工艺!B:B,硫化工艺!C:C),"")</f>
        <v/>
      </c>
      <c r="M138" s="430">
        <f>IF(L138="","",L138/(L138+$L$1/60))</f>
        <v/>
      </c>
      <c r="N138" s="352">
        <f>C138&amp;"全钢"</f>
        <v/>
      </c>
      <c r="O138" s="352">
        <f>IFERROR(_xlfn.XLOOKUP(F138,轮胎重量!J:J,轮胎重量!G:G),"")</f>
        <v/>
      </c>
      <c r="P138" s="358">
        <f>O138*13.9</f>
        <v/>
      </c>
      <c r="Q138" s="352">
        <f>IFERROR(ROUND(1440/L138*(I138)*M138,0),"")</f>
        <v/>
      </c>
      <c r="R138" s="352" t="n">
        <v>120</v>
      </c>
      <c r="S138" s="352" t="n">
        <v>120</v>
      </c>
      <c r="T138" s="352" t="n">
        <v>120</v>
      </c>
      <c r="U138" s="352" t="n">
        <v>120</v>
      </c>
      <c r="V138" s="352" t="n">
        <v>120</v>
      </c>
      <c r="W138" s="352" t="n">
        <v>120</v>
      </c>
      <c r="X138" s="352" t="n">
        <v>120</v>
      </c>
      <c r="Y138" s="352" t="n">
        <v>120</v>
      </c>
      <c r="Z138" s="352" t="n">
        <v>120</v>
      </c>
      <c r="AA138" s="352" t="n">
        <v>120</v>
      </c>
      <c r="AB138" s="352" t="n">
        <v>120</v>
      </c>
      <c r="AC138" s="352" t="n">
        <v>120</v>
      </c>
      <c r="AD138" s="352" t="n">
        <v>120</v>
      </c>
      <c r="AE138" s="352" t="n">
        <v>120</v>
      </c>
      <c r="AF138" s="352" t="n">
        <v>120</v>
      </c>
      <c r="AG138" s="352" t="n">
        <v>120</v>
      </c>
      <c r="AH138" s="352" t="n">
        <v>120</v>
      </c>
      <c r="AI138" s="352" t="n"/>
      <c r="AJ138" s="352" t="n"/>
      <c r="AK138" s="352" t="n"/>
      <c r="AL138" s="352" t="n"/>
      <c r="AM138" s="352" t="n"/>
      <c r="AN138" s="352" t="n"/>
      <c r="AO138" s="352" t="n"/>
      <c r="AP138" s="352" t="n"/>
      <c r="AQ138" s="352" t="n"/>
      <c r="AR138" s="352" t="n"/>
      <c r="AS138" s="352" t="n"/>
      <c r="AT138" s="352" t="n"/>
      <c r="AU138" s="352" t="n"/>
      <c r="AV138" s="352" t="n"/>
      <c r="AW138" s="352">
        <f>IF(SUM(R138:AV138)=0,"",SUM(R138:AV138))</f>
        <v/>
      </c>
      <c r="AX138" s="431">
        <f>IFERROR(AW138*O138/1000,"")</f>
        <v/>
      </c>
      <c r="AY138" s="431">
        <f>IFERROR(ROUND(AW138*P138/10000,3),"")</f>
        <v/>
      </c>
      <c r="AZ138" s="359" t="n"/>
      <c r="BA138" s="362" t="n"/>
      <c r="BB138" s="362" t="n"/>
      <c r="BC138" s="331" t="n"/>
      <c r="BD138" s="331" t="n"/>
      <c r="BE138" s="331" t="n"/>
      <c r="BF138" s="331" t="n"/>
      <c r="BG138" s="331" t="n"/>
      <c r="BH138" s="331" t="n"/>
      <c r="BI138" s="331" t="n"/>
      <c r="BJ138" s="356">
        <f t="array" ref="BJ138:BM138">_xlfn.LET(_xlpm.data,$R138:$AV138,_xlpm.starts,{1,8,16,23},_xlpm.lengths,{7,7,8,9},_xlpm.arr,_xlfn.MAP(_xlpm.starts,_xlpm.lengths,_xlfn.LAMBDA(_xlpm.s,_xlpm.l,SUM(INDEX(_xlpm.data,,_xlfn.SEQUENCE(,_xlpm.l,_xlpm.s))))),ROUND(_xlpm.arr*$O138/1000,2))</f>
        <v/>
      </c>
      <c r="BK138" s="331" t="n">
        <v>44.48</v>
      </c>
      <c r="BL138" s="331" t="n">
        <v>12.71</v>
      </c>
      <c r="BM138" s="331" t="n">
        <v>0</v>
      </c>
      <c r="BN138" s="362">
        <f>SUM(BJ138:BM138)</f>
        <v/>
      </c>
      <c r="BO138" s="362" t="n">
        <v>6.83</v>
      </c>
      <c r="BP138" s="362" t="n">
        <v>23.92</v>
      </c>
      <c r="BQ138" s="362" t="n">
        <v>27.34</v>
      </c>
      <c r="BR138" s="362" t="n">
        <v>30.75</v>
      </c>
      <c r="BS138" s="115" t="n"/>
      <c r="BT138" s="362">
        <f t="array" ref="BT138:BW138">_xlfn.HSTACK(SUM(INDEX($R138:$AV138,1,1):INDEX($R138:$AV138,1,7)),SUM(INDEX($R138:$AV138,1,7):INDEX($R138:$AV138,1,13)),SUM(INDEX($R138:$AV138,1,16):INDEX($R138:$AV138,1,23)),SUM(INDEX($R138:$AV138,1,23):INDEX($R138:$AV138,1,31)))</f>
        <v/>
      </c>
      <c r="BU138" s="362" t="n">
        <v>840</v>
      </c>
      <c r="BV138" s="362" t="n">
        <v>240</v>
      </c>
      <c r="BW138" s="362" t="n">
        <v>0</v>
      </c>
      <c r="BY138" s="362">
        <f>SUM(R138:X138)</f>
        <v/>
      </c>
      <c r="BZ138" s="362">
        <f>SUM(Y138:AE138)</f>
        <v/>
      </c>
      <c r="CA138" s="362">
        <f>SUM(AF138:AM138)</f>
        <v/>
      </c>
      <c r="CB138" s="362">
        <f>SUM(AN138:AV138)</f>
        <v/>
      </c>
      <c r="CD138" s="432" t="inlineStr">
        <is>
          <t>ADA</t>
        </is>
      </c>
      <c r="CE138" s="362">
        <f>ROUND(BY138*$O138/1000,2)</f>
        <v/>
      </c>
      <c r="CF138" s="362">
        <f>ROUND(BZ138*$O138/1000,2)</f>
        <v/>
      </c>
      <c r="CG138" s="362">
        <f>ROUND(CA138*$O138/1000,2)</f>
        <v/>
      </c>
      <c r="CH138" s="362">
        <f>ROUND(CB138*$O138/1000,2)</f>
        <v/>
      </c>
      <c r="CI138" s="362">
        <f>SUM(CE138:CH138)</f>
        <v/>
      </c>
      <c r="CJ138" s="390" t="n"/>
      <c r="CK138" s="362">
        <f>IFERROR(ROUND(BY138*$P138,2),"")</f>
        <v/>
      </c>
      <c r="CL138" s="362">
        <f>IFERROR(ROUND(BZ138*$P138,2),"")</f>
        <v/>
      </c>
      <c r="CM138" s="362">
        <f>IFERROR(ROUND(CA138*$P138,2),"")</f>
        <v/>
      </c>
      <c r="CN138" s="362">
        <f>IFERROR(ROUND(CB138*$P138,2),"")</f>
        <v/>
      </c>
      <c r="CO138" s="362">
        <f>SUM(CK138:CN138)</f>
        <v/>
      </c>
    </row>
    <row r="139" hidden="1" ht="15.6" customFormat="1" customHeight="1" s="362">
      <c r="A139" s="433" t="n"/>
      <c r="B139" s="434">
        <f>_xlfn.XLOOKUP(G139,销售需求表!A:A,销售需求表!C:C)</f>
        <v/>
      </c>
      <c r="C139" s="435">
        <f>IFERROR(MID(F139,FIND("R",F139)+1,4),"")</f>
        <v/>
      </c>
      <c r="D139" s="434">
        <f>B139&amp;C139&amp;"寸"</f>
        <v/>
      </c>
      <c r="E139" s="436">
        <f>LEFT(REPLACE(G139,1,2,""),FIND("[",REPLACE(G139,1,2,""))-1)&amp;"-"&amp;MID(REPLACE(G139,1,2,""),FIND("[",REPLACE(G139,1,2,""))+1,FIND("]",REPLACE(G139,1,2,""))-FIND("[",REPLACE(G139,1,2,""))-1)</f>
        <v/>
      </c>
      <c r="F139" s="437">
        <f>IFERROR(MID(G139,3,FIND("(",G139)-3)&amp;"-"&amp;SUBSTITUTE(MID(G139,FIND("[",G139)+1,FIND("]",G139)-FIND("[",G139)-1),"Strong Guard ",""),"")</f>
        <v/>
      </c>
      <c r="G139" s="436" t="inlineStr">
        <is>
          <t>ID295/75R22.5-16PR(146/143L)[M-TRAC CSD+]MASTERTRACK无内</t>
        </is>
      </c>
      <c r="H139" s="434" t="n">
        <v>250</v>
      </c>
      <c r="I139" s="434" t="n"/>
      <c r="J139" s="435">
        <f>IFERROR(LEFT(F139,FIND("-",F139))&amp;MID(F139,FIND("PR",F139,FIND("-",F139))+3,LEN(F139)),F139)</f>
        <v/>
      </c>
      <c r="K139" s="434">
        <f>_xlfn.XLOOKUP(F139,投产规格!E:E,投产规格!D:D,"未投产")</f>
        <v/>
      </c>
      <c r="L139" s="434">
        <f>IFERROR(_xlfn.XLOOKUP(F139,硫化工艺!B:B,硫化工艺!C:C),"")</f>
        <v/>
      </c>
      <c r="M139" s="438">
        <f>IF(L139="","",L139/(L139+$L$1/60))</f>
        <v/>
      </c>
      <c r="N139" s="434">
        <f>C139&amp;"全钢"</f>
        <v/>
      </c>
      <c r="O139" s="434">
        <f>IFERROR(_xlfn.XLOOKUP(F139,轮胎重量!J:J,轮胎重量!G:G),"")</f>
        <v/>
      </c>
      <c r="P139" s="439">
        <f>O139*13.9</f>
        <v/>
      </c>
      <c r="Q139" s="434">
        <f>IFERROR(ROUND(1440/L139*(I139)*M139,0),"")</f>
        <v/>
      </c>
      <c r="R139" s="352" t="n"/>
      <c r="S139" s="352" t="n"/>
      <c r="T139" s="352" t="n"/>
      <c r="U139" s="352" t="n"/>
      <c r="V139" s="352" t="n"/>
      <c r="W139" s="352" t="n"/>
      <c r="X139" s="352" t="n"/>
      <c r="Y139" s="352" t="n"/>
      <c r="Z139" s="352" t="n"/>
      <c r="AA139" s="352" t="n"/>
      <c r="AB139" s="352" t="n"/>
      <c r="AC139" s="352" t="n"/>
      <c r="AD139" s="352" t="n"/>
      <c r="AE139" s="352" t="n"/>
      <c r="AF139" s="352" t="n"/>
      <c r="AG139" s="352" t="n"/>
      <c r="AH139" s="352" t="n"/>
      <c r="AI139" s="352" t="n"/>
      <c r="AJ139" s="352" t="n"/>
      <c r="AK139" s="352" t="n"/>
      <c r="AL139" s="352" t="n"/>
      <c r="AM139" s="352" t="n"/>
      <c r="AN139" s="352" t="n"/>
      <c r="AO139" s="352" t="n"/>
      <c r="AP139" s="352" t="n"/>
      <c r="AQ139" s="352" t="n"/>
      <c r="AR139" s="352" t="n"/>
      <c r="AS139" s="352" t="n"/>
      <c r="AT139" s="352" t="n"/>
      <c r="AU139" s="352" t="n"/>
      <c r="AV139" s="352" t="n"/>
      <c r="AW139" s="352">
        <f>IF(SUM(R139:AV139)=0,"",SUM(R139:AV139))</f>
        <v/>
      </c>
      <c r="AX139" s="431">
        <f>IFERROR(AW139*O139/1000,"")</f>
        <v/>
      </c>
      <c r="AY139" s="431">
        <f>IFERROR(ROUND(AW139*P139/10000,3),"")</f>
        <v/>
      </c>
      <c r="AZ139" s="359" t="n"/>
      <c r="BA139" s="362" t="n"/>
      <c r="BB139" s="362" t="n"/>
      <c r="BC139" s="331" t="n"/>
      <c r="BD139" s="331" t="n"/>
      <c r="BE139" s="331" t="n"/>
      <c r="BF139" s="331" t="n"/>
      <c r="BG139" s="331" t="n"/>
      <c r="BH139" s="331" t="n"/>
      <c r="BI139" s="331" t="n"/>
      <c r="BJ139" s="356">
        <f t="array" ref="BJ139:BM139">_xlfn.LET(_xlpm.data,$R139:$AV139,_xlpm.starts,{1,8,16,23},_xlpm.lengths,{7,7,8,9},_xlpm.arr,_xlfn.MAP(_xlpm.starts,_xlpm.lengths,_xlfn.LAMBDA(_xlpm.s,_xlpm.l,SUM(INDEX(_xlpm.data,,_xlfn.SEQUENCE(,_xlpm.l,_xlpm.s))))),ROUND(_xlpm.arr*$O139/1000,2))</f>
        <v/>
      </c>
      <c r="BK139" s="331" t="n">
        <v>0</v>
      </c>
      <c r="BL139" s="331" t="n">
        <v>0</v>
      </c>
      <c r="BM139" s="331" t="n">
        <v>0</v>
      </c>
      <c r="BN139" s="362">
        <f>SUM(BJ139:BM139)</f>
        <v/>
      </c>
      <c r="BO139" s="362" t="n">
        <v>6.64</v>
      </c>
      <c r="BP139" s="362" t="n">
        <v>23.26</v>
      </c>
      <c r="BQ139" s="362" t="n">
        <v>26.58</v>
      </c>
      <c r="BR139" s="362" t="n">
        <v>29.9</v>
      </c>
      <c r="BS139" s="115" t="n"/>
      <c r="BT139" s="362">
        <f t="array" ref="BT139:BW139">_xlfn.HSTACK(SUM(INDEX($R139:$AV139,1,1):INDEX($R139:$AV139,1,7)),SUM(INDEX($R139:$AV139,1,7):INDEX($R139:$AV139,1,13)),SUM(INDEX($R139:$AV139,1,16):INDEX($R139:$AV139,1,23)),SUM(INDEX($R139:$AV139,1,23):INDEX($R139:$AV139,1,31)))</f>
        <v/>
      </c>
      <c r="BU139" s="362" t="n">
        <v>0</v>
      </c>
      <c r="BV139" s="362" t="n">
        <v>0</v>
      </c>
      <c r="BW139" s="362" t="n">
        <v>0</v>
      </c>
      <c r="BY139" s="362">
        <f>SUM(R139:X139)</f>
        <v/>
      </c>
      <c r="BZ139" s="362">
        <f>SUM(Y139:AE139)</f>
        <v/>
      </c>
      <c r="CA139" s="362">
        <f>SUM(AF139:AM139)</f>
        <v/>
      </c>
      <c r="CB139" s="362">
        <f>SUM(AN139:AV139)</f>
        <v/>
      </c>
      <c r="CD139" s="440" t="inlineStr">
        <is>
          <t>TIDAK ADA</t>
        </is>
      </c>
      <c r="CE139" s="362">
        <f>ROUND(BY139*$O139/1000,2)</f>
        <v/>
      </c>
      <c r="CF139" s="362">
        <f>ROUND(BZ139*$O139/1000,2)</f>
        <v/>
      </c>
      <c r="CG139" s="362">
        <f>ROUND(CA139*$O139/1000,2)</f>
        <v/>
      </c>
      <c r="CH139" s="362">
        <f>ROUND(CB139*$O139/1000,2)</f>
        <v/>
      </c>
      <c r="CI139" s="362">
        <f>SUM(CE139:CH139)</f>
        <v/>
      </c>
      <c r="CJ139" s="390" t="n"/>
      <c r="CK139" s="362">
        <f>IFERROR(ROUND(BY139*$P139,2),"")</f>
        <v/>
      </c>
      <c r="CL139" s="362">
        <f>IFERROR(ROUND(BZ139*$P139,2),"")</f>
        <v/>
      </c>
      <c r="CM139" s="362">
        <f>IFERROR(ROUND(CA139*$P139,2),"")</f>
        <v/>
      </c>
      <c r="CN139" s="362">
        <f>IFERROR(ROUND(CB139*$P139,2),"")</f>
        <v/>
      </c>
      <c r="CO139" s="362">
        <f>SUM(CK139:CN139)</f>
        <v/>
      </c>
    </row>
    <row r="140" hidden="1" ht="15.6" customFormat="1" customHeight="1" s="362">
      <c r="A140" s="433" t="n"/>
      <c r="B140" s="434">
        <f>_xlfn.XLOOKUP(G140,销售需求表!A:A,销售需求表!C:C)</f>
        <v/>
      </c>
      <c r="C140" s="435">
        <f>IFERROR(MID(F140,FIND("R",F140)+1,4),"")</f>
        <v/>
      </c>
      <c r="D140" s="434">
        <f>B140&amp;C140&amp;"寸"</f>
        <v/>
      </c>
      <c r="E140" s="436">
        <f>LEFT(REPLACE(G140,1,2,""),FIND("[",REPLACE(G140,1,2,""))-1)&amp;"-"&amp;MID(REPLACE(G140,1,2,""),FIND("[",REPLACE(G140,1,2,""))+1,FIND("]",REPLACE(G140,1,2,""))-FIND("[",REPLACE(G140,1,2,""))-1)</f>
        <v/>
      </c>
      <c r="F140" s="437">
        <f>IFERROR(MID(G140,3,FIND("(",G140)-3)&amp;"-"&amp;SUBSTITUTE(MID(G140,FIND("[",G140)+1,FIND("]",G140)-FIND("[",G140)-1),"Strong Guard ",""),"")</f>
        <v/>
      </c>
      <c r="G140" s="436" t="inlineStr">
        <is>
          <t>ID295/75R22.5-16PR(146/143L)[M-TRAC HS+]MASTERTRACK无内</t>
        </is>
      </c>
      <c r="H140" s="434" t="n">
        <v>280</v>
      </c>
      <c r="I140" s="434" t="n"/>
      <c r="J140" s="435">
        <f>IFERROR(LEFT(F140,FIND("-",F140))&amp;MID(F140,FIND("PR",F140,FIND("-",F140))+3,LEN(F140)),F140)</f>
        <v/>
      </c>
      <c r="K140" s="434">
        <f>_xlfn.XLOOKUP(F140,投产规格!E:E,投产规格!D:D,"未投产")</f>
        <v/>
      </c>
      <c r="L140" s="434">
        <f>IFERROR(_xlfn.XLOOKUP(F140,硫化工艺!B:B,硫化工艺!C:C),"")</f>
        <v/>
      </c>
      <c r="M140" s="438">
        <f>IF(L140="","",L140/(L140+$L$1/60))</f>
        <v/>
      </c>
      <c r="N140" s="434">
        <f>C140&amp;"全钢"</f>
        <v/>
      </c>
      <c r="O140" s="434">
        <f>IFERROR(_xlfn.XLOOKUP(F140,轮胎重量!J:J,轮胎重量!G:G),"")</f>
        <v/>
      </c>
      <c r="P140" s="439">
        <f>O140*13.9</f>
        <v/>
      </c>
      <c r="Q140" s="434">
        <f>IFERROR(ROUND(1440/L140*(I140)*M140,0),"")</f>
        <v/>
      </c>
      <c r="R140" s="352" t="n"/>
      <c r="S140" s="352" t="n"/>
      <c r="T140" s="352" t="n"/>
      <c r="U140" s="352" t="n"/>
      <c r="V140" s="352" t="n"/>
      <c r="W140" s="352" t="n"/>
      <c r="X140" s="352" t="n"/>
      <c r="Y140" s="352" t="n"/>
      <c r="Z140" s="352" t="n"/>
      <c r="AA140" s="352" t="n"/>
      <c r="AB140" s="352" t="n"/>
      <c r="AC140" s="352" t="n"/>
      <c r="AD140" s="352" t="n"/>
      <c r="AE140" s="352" t="n"/>
      <c r="AF140" s="352" t="n"/>
      <c r="AG140" s="352" t="n"/>
      <c r="AH140" s="352" t="n"/>
      <c r="AI140" s="352" t="n"/>
      <c r="AJ140" s="352" t="n"/>
      <c r="AK140" s="352" t="n"/>
      <c r="AL140" s="352" t="n"/>
      <c r="AM140" s="352" t="n"/>
      <c r="AN140" s="352" t="n"/>
      <c r="AO140" s="352" t="n"/>
      <c r="AP140" s="352" t="n"/>
      <c r="AQ140" s="352" t="n"/>
      <c r="AR140" s="352" t="n"/>
      <c r="AS140" s="352" t="n"/>
      <c r="AT140" s="352" t="n"/>
      <c r="AU140" s="352" t="n"/>
      <c r="AV140" s="352" t="n"/>
      <c r="AW140" s="352">
        <f>IF(SUM(R140:AV140)=0,"",SUM(R140:AV140))</f>
        <v/>
      </c>
      <c r="AX140" s="431">
        <f>IFERROR(AW140*O140/1000,"")</f>
        <v/>
      </c>
      <c r="AY140" s="431">
        <f>IFERROR(ROUND(AW140*P140/10000,3),"")</f>
        <v/>
      </c>
      <c r="AZ140" s="359" t="n"/>
      <c r="BA140" s="362" t="n"/>
      <c r="BB140" s="362" t="n"/>
      <c r="BC140" s="331" t="n"/>
      <c r="BD140" s="331" t="n"/>
      <c r="BE140" s="331" t="n"/>
      <c r="BF140" s="331" t="n"/>
      <c r="BG140" s="331" t="n"/>
      <c r="BH140" s="331" t="n"/>
      <c r="BI140" s="331" t="n"/>
      <c r="BJ140" s="356">
        <f t="array" ref="BJ140:BM140">_xlfn.LET(_xlpm.data,$R140:$AV140,_xlpm.starts,{1,8,16,23},_xlpm.lengths,{7,7,8,9},_xlpm.arr,_xlfn.MAP(_xlpm.starts,_xlpm.lengths,_xlfn.LAMBDA(_xlpm.s,_xlpm.l,SUM(INDEX(_xlpm.data,,_xlfn.SEQUENCE(,_xlpm.l,_xlpm.s))))),ROUND(_xlpm.arr*$O140/1000,2))</f>
        <v/>
      </c>
      <c r="BK140" s="331" t="n">
        <v>0</v>
      </c>
      <c r="BL140" s="331" t="n">
        <v>0</v>
      </c>
      <c r="BM140" s="331" t="n">
        <v>0</v>
      </c>
      <c r="BN140" s="362">
        <f>SUM(BJ140:BM140)</f>
        <v/>
      </c>
      <c r="BO140" s="362" t="n">
        <v>6.83</v>
      </c>
      <c r="BP140" s="362" t="n">
        <v>23.92</v>
      </c>
      <c r="BQ140" s="362" t="n">
        <v>27.34</v>
      </c>
      <c r="BR140" s="362" t="n">
        <v>30.75</v>
      </c>
      <c r="BS140" s="115" t="n"/>
      <c r="BT140" s="362">
        <f t="array" ref="BT140:BW140">_xlfn.HSTACK(SUM(INDEX($R140:$AV140,1,1):INDEX($R140:$AV140,1,7)),SUM(INDEX($R140:$AV140,1,7):INDEX($R140:$AV140,1,13)),SUM(INDEX($R140:$AV140,1,16):INDEX($R140:$AV140,1,23)),SUM(INDEX($R140:$AV140,1,23):INDEX($R140:$AV140,1,31)))</f>
        <v/>
      </c>
      <c r="BU140" s="362" t="n">
        <v>0</v>
      </c>
      <c r="BV140" s="362" t="n">
        <v>0</v>
      </c>
      <c r="BW140" s="362" t="n">
        <v>0</v>
      </c>
      <c r="BY140" s="362">
        <f>SUM(R140:X140)</f>
        <v/>
      </c>
      <c r="BZ140" s="362">
        <f>SUM(Y140:AE140)</f>
        <v/>
      </c>
      <c r="CA140" s="362">
        <f>SUM(AF140:AM140)</f>
        <v/>
      </c>
      <c r="CB140" s="362">
        <f>SUM(AN140:AV140)</f>
        <v/>
      </c>
      <c r="CD140" s="440" t="inlineStr">
        <is>
          <t>TIDAK ADA</t>
        </is>
      </c>
      <c r="CE140" s="362">
        <f>ROUND(BY140*$O140/1000,2)</f>
        <v/>
      </c>
      <c r="CF140" s="362">
        <f>ROUND(BZ140*$O140/1000,2)</f>
        <v/>
      </c>
      <c r="CG140" s="362">
        <f>ROUND(CA140*$O140/1000,2)</f>
        <v/>
      </c>
      <c r="CH140" s="362">
        <f>ROUND(CB140*$O140/1000,2)</f>
        <v/>
      </c>
      <c r="CI140" s="362">
        <f>SUM(CE140:CH140)</f>
        <v/>
      </c>
      <c r="CJ140" s="390" t="n"/>
      <c r="CK140" s="362">
        <f>IFERROR(ROUND(BY140*$P140,2),"")</f>
        <v/>
      </c>
      <c r="CL140" s="362">
        <f>IFERROR(ROUND(BZ140*$P140,2),"")</f>
        <v/>
      </c>
      <c r="CM140" s="362">
        <f>IFERROR(ROUND(CA140*$P140,2),"")</f>
        <v/>
      </c>
      <c r="CN140" s="362">
        <f>IFERROR(ROUND(CB140*$P140,2),"")</f>
        <v/>
      </c>
      <c r="CO140" s="362">
        <f>SUM(CK140:CN140)</f>
        <v/>
      </c>
    </row>
    <row r="141" hidden="1" ht="15.6" customFormat="1" customHeight="1" s="362">
      <c r="A141" s="433" t="n"/>
      <c r="B141" s="434">
        <f>_xlfn.XLOOKUP(G141,销售需求表!A:A,销售需求表!C:C)</f>
        <v/>
      </c>
      <c r="C141" s="435">
        <f>IFERROR(MID(F141,FIND("R",F141)+1,4),"")</f>
        <v/>
      </c>
      <c r="D141" s="434">
        <f>B141&amp;C141&amp;"寸"</f>
        <v/>
      </c>
      <c r="E141" s="436">
        <f>LEFT(REPLACE(G141,1,2,""),FIND("[",REPLACE(G141,1,2,""))-1)&amp;"-"&amp;MID(REPLACE(G141,1,2,""),FIND("[",REPLACE(G141,1,2,""))+1,FIND("]",REPLACE(G141,1,2,""))-FIND("[",REPLACE(G141,1,2,""))-1)</f>
        <v/>
      </c>
      <c r="F141" s="437">
        <f>IFERROR(MID(G141,3,FIND("(",G141)-3)&amp;"-"&amp;SUBSTITUTE(MID(G141,FIND("[",G141)+1,FIND("]",G141)-FIND("[",G141)-1),"Strong Guard ",""),"")</f>
        <v/>
      </c>
      <c r="G141" s="436" t="inlineStr">
        <is>
          <t>ID295/75R22.5-16PR(146/143L)[RLINE-S1]REDCLIFF无内</t>
        </is>
      </c>
      <c r="H141" s="434" t="n">
        <v>280</v>
      </c>
      <c r="I141" s="434" t="n"/>
      <c r="J141" s="435">
        <f>IFERROR(LEFT(F141,FIND("-",F141))&amp;MID(F141,FIND("PR",F141,FIND("-",F141))+3,LEN(F141)),F141)</f>
        <v/>
      </c>
      <c r="K141" s="434">
        <f>_xlfn.XLOOKUP(F141,投产规格!E:E,投产规格!D:D,"未投产")</f>
        <v/>
      </c>
      <c r="L141" s="434">
        <f>IFERROR(_xlfn.XLOOKUP(F141,硫化工艺!B:B,硫化工艺!C:C),"")</f>
        <v/>
      </c>
      <c r="M141" s="438">
        <f>IF(L141="","",L141/(L141+$L$1/60))</f>
        <v/>
      </c>
      <c r="N141" s="434">
        <f>C141&amp;"全钢"</f>
        <v/>
      </c>
      <c r="O141" s="434">
        <f>IFERROR(_xlfn.XLOOKUP(F141,轮胎重量!J:J,轮胎重量!G:G),"")</f>
        <v/>
      </c>
      <c r="P141" s="439">
        <f>O141*13.9</f>
        <v/>
      </c>
      <c r="Q141" s="434">
        <f>IFERROR(ROUND(1440/L141*(I141)*M141,0),"")</f>
        <v/>
      </c>
      <c r="R141" s="352" t="n"/>
      <c r="S141" s="352" t="n"/>
      <c r="T141" s="352" t="n"/>
      <c r="U141" s="352" t="n"/>
      <c r="V141" s="352" t="n"/>
      <c r="W141" s="352" t="n"/>
      <c r="X141" s="352" t="n"/>
      <c r="Y141" s="352" t="n"/>
      <c r="Z141" s="352" t="n"/>
      <c r="AA141" s="352" t="n"/>
      <c r="AB141" s="352" t="n"/>
      <c r="AC141" s="352" t="n"/>
      <c r="AD141" s="352" t="n"/>
      <c r="AE141" s="352" t="n"/>
      <c r="AF141" s="352" t="n"/>
      <c r="AG141" s="352" t="n"/>
      <c r="AH141" s="352" t="n"/>
      <c r="AI141" s="352" t="n"/>
      <c r="AJ141" s="352" t="n"/>
      <c r="AK141" s="352" t="n"/>
      <c r="AL141" s="352" t="n"/>
      <c r="AM141" s="352" t="n"/>
      <c r="AN141" s="352" t="n"/>
      <c r="AO141" s="352" t="n"/>
      <c r="AP141" s="352" t="n"/>
      <c r="AQ141" s="352" t="n"/>
      <c r="AR141" s="352" t="n"/>
      <c r="AS141" s="352" t="n"/>
      <c r="AT141" s="352" t="n"/>
      <c r="AU141" s="352" t="n"/>
      <c r="AV141" s="352" t="n"/>
      <c r="AW141" s="352">
        <f>IF(SUM(R141:AV141)=0,"",SUM(R141:AV141))</f>
        <v/>
      </c>
      <c r="AX141" s="431">
        <f>IFERROR(AW141*O141/1000,"")</f>
        <v/>
      </c>
      <c r="AY141" s="431">
        <f>IFERROR(ROUND(AW141*P141/10000,3),"")</f>
        <v/>
      </c>
      <c r="AZ141" s="359" t="n"/>
      <c r="BA141" s="362" t="n"/>
      <c r="BB141" s="362" t="n"/>
      <c r="BC141" s="331" t="n"/>
      <c r="BD141" s="331" t="n"/>
      <c r="BE141" s="331" t="n"/>
      <c r="BF141" s="331" t="n"/>
      <c r="BG141" s="331" t="n"/>
      <c r="BH141" s="331" t="n"/>
      <c r="BI141" s="331" t="n"/>
      <c r="BJ141" s="356">
        <f t="array" ref="BJ141:BM141">_xlfn.LET(_xlpm.data,$R141:$AV141,_xlpm.starts,{1,8,16,23},_xlpm.lengths,{7,7,8,9},_xlpm.arr,_xlfn.MAP(_xlpm.starts,_xlpm.lengths,_xlfn.LAMBDA(_xlpm.s,_xlpm.l,SUM(INDEX(_xlpm.data,,_xlfn.SEQUENCE(,_xlpm.l,_xlpm.s))))),ROUND(_xlpm.arr*$O141/1000,2))</f>
        <v/>
      </c>
      <c r="BK141" s="331" t="n">
        <v>0</v>
      </c>
      <c r="BL141" s="331" t="n">
        <v>0</v>
      </c>
      <c r="BM141" s="331" t="n">
        <v>0</v>
      </c>
      <c r="BN141" s="362">
        <f>SUM(BJ141:BM141)</f>
        <v/>
      </c>
      <c r="BO141" s="362" t="n">
        <v>6.83</v>
      </c>
      <c r="BP141" s="362" t="n">
        <v>23.92</v>
      </c>
      <c r="BQ141" s="362" t="n">
        <v>27.34</v>
      </c>
      <c r="BR141" s="362" t="n">
        <v>30.75</v>
      </c>
      <c r="BS141" s="115" t="n"/>
      <c r="BT141" s="362">
        <f t="array" ref="BT141:BW141">_xlfn.HSTACK(SUM(INDEX($R141:$AV141,1,1):INDEX($R141:$AV141,1,7)),SUM(INDEX($R141:$AV141,1,7):INDEX($R141:$AV141,1,13)),SUM(INDEX($R141:$AV141,1,16):INDEX($R141:$AV141,1,23)),SUM(INDEX($R141:$AV141,1,23):INDEX($R141:$AV141,1,31)))</f>
        <v/>
      </c>
      <c r="BU141" s="362" t="n">
        <v>0</v>
      </c>
      <c r="BV141" s="362" t="n">
        <v>0</v>
      </c>
      <c r="BW141" s="362" t="n">
        <v>0</v>
      </c>
      <c r="BY141" s="362">
        <f>SUM(R141:X141)</f>
        <v/>
      </c>
      <c r="BZ141" s="362">
        <f>SUM(Y141:AE141)</f>
        <v/>
      </c>
      <c r="CA141" s="362">
        <f>SUM(AF141:AM141)</f>
        <v/>
      </c>
      <c r="CB141" s="362">
        <f>SUM(AN141:AV141)</f>
        <v/>
      </c>
      <c r="CD141" s="440" t="inlineStr">
        <is>
          <t>TIDAK ADA</t>
        </is>
      </c>
      <c r="CE141" s="362">
        <f>ROUND(BY141*$O141/1000,2)</f>
        <v/>
      </c>
      <c r="CF141" s="362">
        <f>ROUND(BZ141*$O141/1000,2)</f>
        <v/>
      </c>
      <c r="CG141" s="362">
        <f>ROUND(CA141*$O141/1000,2)</f>
        <v/>
      </c>
      <c r="CH141" s="362">
        <f>ROUND(CB141*$O141/1000,2)</f>
        <v/>
      </c>
      <c r="CI141" s="362">
        <f>SUM(CE141:CH141)</f>
        <v/>
      </c>
      <c r="CJ141" s="390" t="n"/>
      <c r="CK141" s="362">
        <f>IFERROR(ROUND(BY141*$P141,2),"")</f>
        <v/>
      </c>
      <c r="CL141" s="362">
        <f>IFERROR(ROUND(BZ141*$P141,2),"")</f>
        <v/>
      </c>
      <c r="CM141" s="362">
        <f>IFERROR(ROUND(CA141*$P141,2),"")</f>
        <v/>
      </c>
      <c r="CN141" s="362">
        <f>IFERROR(ROUND(CB141*$P141,2),"")</f>
        <v/>
      </c>
      <c r="CO141" s="362">
        <f>SUM(CK141:CN141)</f>
        <v/>
      </c>
    </row>
    <row r="142" ht="15.6" customFormat="1" customHeight="1" s="362">
      <c r="A142" s="331" t="n"/>
      <c r="B142" s="344">
        <f>_xlfn.XLOOKUP(G142,销售需求表!A:A,销售需求表!C:C)</f>
        <v/>
      </c>
      <c r="C142" s="345">
        <f>IFERROR(MID(F142,FIND("R",F142)+1,4),"")</f>
        <v/>
      </c>
      <c r="D142" s="344">
        <f>B142&amp;C142&amp;"寸"</f>
        <v/>
      </c>
      <c r="E142" s="346">
        <f>LEFT(REPLACE(G142,1,2,""),FIND("[",REPLACE(G142,1,2,""))-1)&amp;"-"&amp;MID(REPLACE(G142,1,2,""),FIND("[",REPLACE(G142,1,2,""))+1,FIND("]",REPLACE(G142,1,2,""))-FIND("[",REPLACE(G142,1,2,""))-1)</f>
        <v/>
      </c>
      <c r="F142" s="347">
        <f>IFERROR(MID(G142,3,FIND("(",G142)-3)&amp;"-"&amp;SUBSTITUTE(MID(G142,FIND("[",G142)+1,FIND("]",G142)-FIND("[",G142)-1),"Strong Guard ",""),"")</f>
        <v/>
      </c>
      <c r="G142" s="346" t="inlineStr">
        <is>
          <t>ID295/75R22.5-16PR(146/143M)[CR915]威狮无内 SMARTWAY</t>
        </is>
      </c>
      <c r="H142" s="344" t="n">
        <v>1500</v>
      </c>
      <c r="I142" s="348" t="n">
        <v>6</v>
      </c>
      <c r="J142" s="349">
        <f>IFERROR(LEFT(F142,FIND("-",F142))&amp;MID(F142,FIND("PR",F142,FIND("-",F142))+3,LEN(F142)),F142)</f>
        <v/>
      </c>
      <c r="K142" s="352">
        <f>_xlfn.XLOOKUP(F142,投产规格!E:E,投产规格!D:D,"未投产")</f>
        <v/>
      </c>
      <c r="L142" s="352">
        <f>IFERROR(_xlfn.XLOOKUP(F142,硫化工艺!B:B,硫化工艺!C:C),"")</f>
        <v/>
      </c>
      <c r="M142" s="430">
        <f>IF(L142="","",L142/(L142+$L$1/60))</f>
        <v/>
      </c>
      <c r="N142" s="352">
        <f>C142&amp;"全钢"</f>
        <v/>
      </c>
      <c r="O142" s="352">
        <f>IFERROR(_xlfn.XLOOKUP(F142,轮胎重量!J:J,轮胎重量!G:G),"")</f>
        <v/>
      </c>
      <c r="P142" s="352">
        <f>IFERROR(_xlfn.XLOOKUP(G142,硫化工艺!I:I,硫化工艺!J:J),"")</f>
        <v/>
      </c>
      <c r="Q142" s="352">
        <f>IFERROR(ROUND(1440/L142*(I142)*M142,0),"")</f>
        <v/>
      </c>
      <c r="R142" s="352" t="n">
        <v>220</v>
      </c>
      <c r="S142" s="352" t="n">
        <v>220</v>
      </c>
      <c r="T142" s="352" t="n">
        <v>220</v>
      </c>
      <c r="U142" s="352" t="n">
        <v>220</v>
      </c>
      <c r="V142" s="352" t="n">
        <v>220</v>
      </c>
      <c r="W142" s="352" t="n">
        <v>220</v>
      </c>
      <c r="X142" s="352" t="n">
        <v>220</v>
      </c>
      <c r="Y142" s="352" t="n"/>
      <c r="Z142" s="352" t="n"/>
      <c r="AA142" s="352" t="n"/>
      <c r="AB142" s="352" t="n"/>
      <c r="AC142" s="352" t="n"/>
      <c r="AD142" s="352" t="n"/>
      <c r="AE142" s="352" t="n"/>
      <c r="AF142" s="352" t="n"/>
      <c r="AG142" s="352" t="n"/>
      <c r="AH142" s="352" t="n"/>
      <c r="AI142" s="352" t="n"/>
      <c r="AJ142" s="352" t="n"/>
      <c r="AK142" s="352" t="n"/>
      <c r="AL142" s="352" t="n"/>
      <c r="AM142" s="352" t="n"/>
      <c r="AN142" s="352" t="n"/>
      <c r="AO142" s="352" t="n"/>
      <c r="AP142" s="352" t="n"/>
      <c r="AQ142" s="352" t="n"/>
      <c r="AR142" s="352" t="n"/>
      <c r="AS142" s="352" t="n"/>
      <c r="AT142" s="352" t="n"/>
      <c r="AU142" s="352" t="n"/>
      <c r="AV142" s="352" t="n"/>
      <c r="AW142" s="352">
        <f>IF(SUM(R142:AV142)=0,"",SUM(R142:AV142))</f>
        <v/>
      </c>
      <c r="AX142" s="431">
        <f>IFERROR(AW142*O142/1000,"")</f>
        <v/>
      </c>
      <c r="AY142" s="431">
        <f>IFERROR(ROUND(AW142*P142/10000,3),"")</f>
        <v/>
      </c>
      <c r="AZ142" s="359" t="n"/>
      <c r="BA142" s="362" t="n"/>
      <c r="BB142" s="362" t="n"/>
      <c r="BC142" s="331" t="n"/>
      <c r="BD142" s="331" t="n"/>
      <c r="BE142" s="331" t="n"/>
      <c r="BF142" s="331" t="n"/>
      <c r="BG142" s="331" t="n"/>
      <c r="BH142" s="331" t="n"/>
      <c r="BI142" s="331" t="n"/>
      <c r="BJ142" s="356">
        <f t="array" ref="BJ142:BM142">_xlfn.LET(_xlpm.data,$R142:$AV142,_xlpm.starts,{1,8,16,23},_xlpm.lengths,{7,7,8,9},_xlpm.arr,_xlfn.MAP(_xlpm.starts,_xlpm.lengths,_xlfn.LAMBDA(_xlpm.s,_xlpm.l,SUM(INDEX(_xlpm.data,,_xlfn.SEQUENCE(,_xlpm.l,_xlpm.s))))),ROUND(_xlpm.arr*$O142/1000,2))</f>
        <v/>
      </c>
      <c r="BK142" s="331" t="n">
        <v>0</v>
      </c>
      <c r="BL142" s="331" t="n">
        <v>0</v>
      </c>
      <c r="BM142" s="331" t="n">
        <v>0</v>
      </c>
      <c r="BN142" s="362">
        <f>SUM(BJ142:BM142)</f>
        <v/>
      </c>
      <c r="BO142" s="362" t="n">
        <v>6.83</v>
      </c>
      <c r="BP142" s="362" t="n">
        <v>23.92</v>
      </c>
      <c r="BQ142" s="362" t="n">
        <v>27.34</v>
      </c>
      <c r="BR142" s="362" t="n">
        <v>30.75</v>
      </c>
      <c r="BS142" s="115" t="n"/>
      <c r="BT142" s="362">
        <f t="array" ref="BT142:BW142">_xlfn.HSTACK(SUM(INDEX($R142:$AV142,1,1):INDEX($R142:$AV142,1,7)),SUM(INDEX($R142:$AV142,1,7):INDEX($R142:$AV142,1,13)),SUM(INDEX($R142:$AV142,1,16):INDEX($R142:$AV142,1,23)),SUM(INDEX($R142:$AV142,1,23):INDEX($R142:$AV142,1,31)))</f>
        <v/>
      </c>
      <c r="BU142" s="362" t="n">
        <v>220</v>
      </c>
      <c r="BV142" s="362" t="n">
        <v>0</v>
      </c>
      <c r="BW142" s="362" t="n">
        <v>0</v>
      </c>
      <c r="BY142" s="362">
        <f>SUM(R142:X142)</f>
        <v/>
      </c>
      <c r="BZ142" s="362">
        <f>SUM(Y142:AE142)</f>
        <v/>
      </c>
      <c r="CA142" s="362">
        <f>SUM(AF142:AM142)</f>
        <v/>
      </c>
      <c r="CB142" s="362">
        <f>SUM(AN142:AV142)</f>
        <v/>
      </c>
      <c r="CD142" s="432" t="inlineStr">
        <is>
          <t>ADA</t>
        </is>
      </c>
      <c r="CE142" s="362">
        <f>ROUND(BY142*$O142/1000,2)</f>
        <v/>
      </c>
      <c r="CF142" s="362">
        <f>ROUND(BZ142*$O142/1000,2)</f>
        <v/>
      </c>
      <c r="CG142" s="362">
        <f>ROUND(CA142*$O142/1000,2)</f>
        <v/>
      </c>
      <c r="CH142" s="362">
        <f>ROUND(CB142*$O142/1000,2)</f>
        <v/>
      </c>
      <c r="CI142" s="362">
        <f>SUM(CE142:CH142)</f>
        <v/>
      </c>
      <c r="CJ142" s="390" t="n"/>
      <c r="CK142" s="362">
        <f>IFERROR(ROUND(BY142*$P142,2),"")</f>
        <v/>
      </c>
      <c r="CL142" s="362">
        <f>IFERROR(ROUND(BZ142*$P142,2),"")</f>
        <v/>
      </c>
      <c r="CM142" s="362">
        <f>IFERROR(ROUND(CA142*$P142,2),"")</f>
        <v/>
      </c>
      <c r="CN142" s="362">
        <f>IFERROR(ROUND(CB142*$P142,2),"")</f>
        <v/>
      </c>
      <c r="CO142" s="362">
        <f>SUM(CK142:CN142)</f>
        <v/>
      </c>
    </row>
    <row r="143" ht="15.6" customFormat="1" customHeight="1" s="362">
      <c r="A143" s="331" t="n"/>
      <c r="B143" s="344">
        <f>_xlfn.XLOOKUP(G143,销售需求表!A:A,销售需求表!C:C)</f>
        <v/>
      </c>
      <c r="C143" s="345">
        <f>IFERROR(MID(F143,FIND("R",F143)+1,4),"")</f>
        <v/>
      </c>
      <c r="D143" s="344">
        <f>B143&amp;C143&amp;"寸"</f>
        <v/>
      </c>
      <c r="E143" s="346">
        <f>LEFT(REPLACE(G143,1,2,""),FIND("[",REPLACE(G143,1,2,""))-1)&amp;"-"&amp;MID(REPLACE(G143,1,2,""),FIND("[",REPLACE(G143,1,2,""))+1,FIND("]",REPLACE(G143,1,2,""))-FIND("[",REPLACE(G143,1,2,""))-1)</f>
        <v/>
      </c>
      <c r="F143" s="347">
        <f>IFERROR(MID(G143,3,FIND("(",G143)-3)&amp;"-"&amp;SUBSTITUTE(MID(G143,FIND("[",G143)+1,FIND("]",G143)-FIND("[",G143)-1),"Strong Guard ",""),"")</f>
        <v/>
      </c>
      <c r="G143" s="346" t="inlineStr">
        <is>
          <t>ID295/75R22.5-16PR(146/143M)[I-19A]IRONMAN无内 SMARTWAY</t>
        </is>
      </c>
      <c r="H143" s="344" t="n">
        <v>550</v>
      </c>
      <c r="I143" s="348" t="n"/>
      <c r="J143" s="349">
        <f>IFERROR(LEFT(F143,FIND("-",F143))&amp;MID(F143,FIND("PR",F143,FIND("-",F143))+3,LEN(F143)),F143)</f>
        <v/>
      </c>
      <c r="K143" s="352">
        <f>_xlfn.XLOOKUP(F143,投产规格!E:E,投产规格!D:D,"未投产")</f>
        <v/>
      </c>
      <c r="L143" s="352">
        <f>IFERROR(_xlfn.XLOOKUP(F143,硫化工艺!B:B,硫化工艺!C:C),"")</f>
        <v/>
      </c>
      <c r="M143" s="430">
        <f>IF(L143="","",L143/(L143+$L$1/60))</f>
        <v/>
      </c>
      <c r="N143" s="352">
        <f>C143&amp;"全钢"</f>
        <v/>
      </c>
      <c r="O143" s="352">
        <f>IFERROR(_xlfn.XLOOKUP(F143,轮胎重量!J:J,轮胎重量!G:G),"")</f>
        <v/>
      </c>
      <c r="P143" s="352">
        <f>IFERROR(_xlfn.XLOOKUP(G143,硫化工艺!I:I,硫化工艺!J:J),"")</f>
        <v/>
      </c>
      <c r="Q143" s="352">
        <f>IFERROR(ROUND(1440/L143*(I143)*M143,0),"")</f>
        <v/>
      </c>
      <c r="R143" s="352" t="n"/>
      <c r="S143" s="352" t="n"/>
      <c r="T143" s="352" t="n"/>
      <c r="U143" s="352" t="n"/>
      <c r="V143" s="352" t="n"/>
      <c r="W143" s="352" t="n"/>
      <c r="X143" s="352" t="n"/>
      <c r="Y143" s="352" t="n"/>
      <c r="Z143" s="352" t="n"/>
      <c r="AA143" s="352" t="n"/>
      <c r="AB143" s="352" t="n"/>
      <c r="AC143" s="352" t="n"/>
      <c r="AD143" s="352" t="n"/>
      <c r="AE143" s="352" t="n"/>
      <c r="AF143" s="352" t="n"/>
      <c r="AG143" s="352" t="n"/>
      <c r="AH143" s="352" t="n"/>
      <c r="AI143" s="352" t="n"/>
      <c r="AJ143" s="352" t="n"/>
      <c r="AK143" s="352" t="n"/>
      <c r="AL143" s="352" t="n"/>
      <c r="AM143" s="352" t="n"/>
      <c r="AN143" s="352" t="n"/>
      <c r="AO143" s="352" t="n"/>
      <c r="AP143" s="352" t="n"/>
      <c r="AQ143" s="352" t="n"/>
      <c r="AR143" s="352" t="n"/>
      <c r="AS143" s="352" t="n">
        <v>130</v>
      </c>
      <c r="AT143" s="352" t="n">
        <v>130</v>
      </c>
      <c r="AU143" s="352" t="n">
        <v>130</v>
      </c>
      <c r="AV143" s="352" t="n">
        <v>130</v>
      </c>
      <c r="AW143" s="352">
        <f>IF(SUM(R143:AV143)=0,"",SUM(R143:AV143))</f>
        <v/>
      </c>
      <c r="AX143" s="431">
        <f>IFERROR(AW143*O143/1000,"")</f>
        <v/>
      </c>
      <c r="AY143" s="431">
        <f>IFERROR(ROUND(AW143*P143/10000,3),"")</f>
        <v/>
      </c>
      <c r="AZ143" s="359" t="n"/>
      <c r="BA143" s="362" t="n"/>
      <c r="BB143" s="362" t="n"/>
      <c r="BC143" s="331" t="n"/>
      <c r="BD143" s="331" t="n"/>
      <c r="BE143" s="331" t="n"/>
      <c r="BF143" s="331" t="n"/>
      <c r="BG143" s="331" t="n"/>
      <c r="BH143" s="331" t="n"/>
      <c r="BI143" s="331" t="n"/>
      <c r="BJ143" s="356">
        <f t="array" ref="BJ143:BM143">_xlfn.LET(_xlpm.data,$R143:$AV143,_xlpm.starts,{1,8,16,23},_xlpm.lengths,{7,7,8,9},_xlpm.arr,_xlfn.MAP(_xlpm.starts,_xlpm.lengths,_xlfn.LAMBDA(_xlpm.s,_xlpm.l,SUM(INDEX(_xlpm.data,,_xlfn.SEQUENCE(,_xlpm.l,_xlpm.s))))),ROUND(_xlpm.arr*$O143/1000,2))</f>
        <v/>
      </c>
      <c r="BK143" s="331" t="n">
        <v>0</v>
      </c>
      <c r="BL143" s="331" t="n">
        <v>0</v>
      </c>
      <c r="BM143" s="331" t="n">
        <v>26.74</v>
      </c>
      <c r="BN143" s="362">
        <f>SUM(BJ143:BM143)</f>
        <v/>
      </c>
      <c r="BO143" s="362" t="n">
        <v>6.83</v>
      </c>
      <c r="BP143" s="362" t="n">
        <v>23.92</v>
      </c>
      <c r="BQ143" s="362" t="n">
        <v>27.34</v>
      </c>
      <c r="BR143" s="362" t="n">
        <v>30.75</v>
      </c>
      <c r="BS143" s="115" t="n"/>
      <c r="BT143" s="362">
        <f t="array" ref="BT143:BW143">_xlfn.HSTACK(SUM(INDEX($R143:$AV143,1,1):INDEX($R143:$AV143,1,7)),SUM(INDEX($R143:$AV143,1,7):INDEX($R143:$AV143,1,13)),SUM(INDEX($R143:$AV143,1,16):INDEX($R143:$AV143,1,23)),SUM(INDEX($R143:$AV143,1,23):INDEX($R143:$AV143,1,31)))</f>
        <v/>
      </c>
      <c r="BU143" s="362" t="n">
        <v>0</v>
      </c>
      <c r="BV143" s="362" t="n">
        <v>0</v>
      </c>
      <c r="BW143" s="362" t="n">
        <v>520</v>
      </c>
      <c r="BY143" s="362">
        <f>SUM(R143:X143)</f>
        <v/>
      </c>
      <c r="BZ143" s="362">
        <f>SUM(Y143:AE143)</f>
        <v/>
      </c>
      <c r="CA143" s="362">
        <f>SUM(AF143:AM143)</f>
        <v/>
      </c>
      <c r="CB143" s="362">
        <f>SUM(AN143:AV143)</f>
        <v/>
      </c>
      <c r="CD143" s="432" t="inlineStr">
        <is>
          <t>ADA</t>
        </is>
      </c>
      <c r="CE143" s="362">
        <f>ROUND(BY143*$O143/1000,2)</f>
        <v/>
      </c>
      <c r="CF143" s="362">
        <f>ROUND(BZ143*$O143/1000,2)</f>
        <v/>
      </c>
      <c r="CG143" s="362">
        <f>ROUND(CA143*$O143/1000,2)</f>
        <v/>
      </c>
      <c r="CH143" s="362">
        <f>ROUND(CB143*$O143/1000,2)</f>
        <v/>
      </c>
      <c r="CI143" s="362">
        <f>SUM(CE143:CH143)</f>
        <v/>
      </c>
      <c r="CJ143" s="390" t="n"/>
      <c r="CK143" s="362">
        <f>IFERROR(ROUND(BY143*$P143,2),"")</f>
        <v/>
      </c>
      <c r="CL143" s="362">
        <f>IFERROR(ROUND(BZ143*$P143,2),"")</f>
        <v/>
      </c>
      <c r="CM143" s="362">
        <f>IFERROR(ROUND(CA143*$P143,2),"")</f>
        <v/>
      </c>
      <c r="CN143" s="362">
        <f>IFERROR(ROUND(CB143*$P143,2),"")</f>
        <v/>
      </c>
      <c r="CO143" s="362">
        <f>SUM(CK143:CN143)</f>
        <v/>
      </c>
    </row>
    <row r="144" ht="15.6" customFormat="1" customHeight="1" s="362">
      <c r="A144" s="331" t="n"/>
      <c r="B144" s="344">
        <f>_xlfn.XLOOKUP(G144,销售需求表!A:A,销售需求表!C:C)</f>
        <v/>
      </c>
      <c r="C144" s="345">
        <f>IFERROR(MID(F144,FIND("R",F144)+1,4),"")</f>
        <v/>
      </c>
      <c r="D144" s="344">
        <f>B144&amp;C144&amp;"寸"</f>
        <v/>
      </c>
      <c r="E144" s="346">
        <f>LEFT(REPLACE(G144,1,2,""),FIND("[",REPLACE(G144,1,2,""))-1)&amp;"-"&amp;MID(REPLACE(G144,1,2,""),FIND("[",REPLACE(G144,1,2,""))+1,FIND("]",REPLACE(G144,1,2,""))-FIND("[",REPLACE(G144,1,2,""))-1)</f>
        <v/>
      </c>
      <c r="F144" s="347">
        <f>IFERROR(MID(G144,3,FIND("(",G144)-3)&amp;"-"&amp;SUBSTITUTE(MID(G144,FIND("[",G144)+1,FIND("]",G144)-FIND("[",G144)-1),"Strong Guard ",""),"")</f>
        <v/>
      </c>
      <c r="G144" s="346" t="inlineStr">
        <is>
          <t>ID295/75R22.5-16PR(146/143M)[KOBE TPM]ITARO无内</t>
        </is>
      </c>
      <c r="H144" s="344" t="n">
        <v>2300</v>
      </c>
      <c r="I144" s="348" t="n">
        <v>4</v>
      </c>
      <c r="J144" s="349">
        <f>IFERROR(LEFT(F144,FIND("-",F144))&amp;MID(F144,FIND("PR",F144,FIND("-",F144))+3,LEN(F144)),F144)</f>
        <v/>
      </c>
      <c r="K144" s="352">
        <f>_xlfn.XLOOKUP(F144,投产规格!E:E,投产规格!D:D,"未投产")</f>
        <v/>
      </c>
      <c r="L144" s="352">
        <f>IFERROR(_xlfn.XLOOKUP(F144,硫化工艺!B:B,硫化工艺!C:C),"")</f>
        <v/>
      </c>
      <c r="M144" s="430">
        <f>IF(L144="","",L144/(L144+$L$1/60))</f>
        <v/>
      </c>
      <c r="N144" s="352">
        <f>C144&amp;"全钢"</f>
        <v/>
      </c>
      <c r="O144" s="352">
        <f>IFERROR(_xlfn.XLOOKUP(F144,轮胎重量!J:J,轮胎重量!G:G),"")</f>
        <v/>
      </c>
      <c r="P144" s="352">
        <f>IFERROR(_xlfn.XLOOKUP(G144,硫化工艺!I:I,硫化工艺!J:J),"")</f>
        <v/>
      </c>
      <c r="Q144" s="352">
        <f>IFERROR(ROUND(1440/L144*(I144)*M144,0),"")</f>
        <v/>
      </c>
      <c r="R144" s="352" t="n">
        <v>130</v>
      </c>
      <c r="S144" s="352" t="n">
        <v>130</v>
      </c>
      <c r="T144" s="352" t="n">
        <v>130</v>
      </c>
      <c r="U144" s="352" t="n">
        <v>130</v>
      </c>
      <c r="V144" s="352" t="n">
        <v>130</v>
      </c>
      <c r="W144" s="352" t="n">
        <v>130</v>
      </c>
      <c r="X144" s="352" t="n">
        <v>130</v>
      </c>
      <c r="Y144" s="352" t="n">
        <v>130</v>
      </c>
      <c r="Z144" s="352" t="n">
        <v>130</v>
      </c>
      <c r="AA144" s="352" t="n">
        <v>130</v>
      </c>
      <c r="AB144" s="352" t="n">
        <v>130</v>
      </c>
      <c r="AC144" s="352" t="n">
        <v>130</v>
      </c>
      <c r="AD144" s="352" t="n">
        <v>130</v>
      </c>
      <c r="AE144" s="352" t="n">
        <v>130</v>
      </c>
      <c r="AF144" s="352" t="n">
        <v>130</v>
      </c>
      <c r="AG144" s="352" t="n">
        <v>130</v>
      </c>
      <c r="AH144" s="352" t="n">
        <v>130</v>
      </c>
      <c r="AI144" s="352" t="n">
        <v>130</v>
      </c>
      <c r="AJ144" s="352" t="n">
        <v>130</v>
      </c>
      <c r="AK144" s="352" t="n"/>
      <c r="AL144" s="352" t="n"/>
      <c r="AM144" s="352" t="n"/>
      <c r="AN144" s="352" t="n"/>
      <c r="AO144" s="352" t="n"/>
      <c r="AP144" s="352" t="n"/>
      <c r="AQ144" s="352" t="n"/>
      <c r="AR144" s="352" t="n"/>
      <c r="AS144" s="352" t="n"/>
      <c r="AT144" s="352" t="n"/>
      <c r="AU144" s="352" t="n"/>
      <c r="AV144" s="352" t="n"/>
      <c r="AW144" s="352">
        <f>IF(SUM(R144:AV144)=0,"",SUM(R144:AV144))</f>
        <v/>
      </c>
      <c r="AX144" s="431">
        <f>IFERROR(AW144*O144/1000,"")</f>
        <v/>
      </c>
      <c r="AY144" s="431">
        <f>IFERROR(ROUND(AW144*P144/10000,3),"")</f>
        <v/>
      </c>
      <c r="AZ144" s="359" t="n"/>
      <c r="BA144" s="362" t="n"/>
      <c r="BB144" s="362" t="n"/>
      <c r="BC144" s="331" t="n"/>
      <c r="BD144" s="331" t="n"/>
      <c r="BE144" s="331" t="n"/>
      <c r="BF144" s="331" t="n"/>
      <c r="BG144" s="331" t="n"/>
      <c r="BH144" s="331" t="n"/>
      <c r="BI144" s="331" t="n"/>
      <c r="BJ144" s="356">
        <f t="array" ref="BJ144:BM144">_xlfn.LET(_xlpm.data,$R144:$AV144,_xlpm.starts,{1,8,16,23},_xlpm.lengths,{7,7,8,9},_xlpm.arr,_xlfn.MAP(_xlpm.starts,_xlpm.lengths,_xlfn.LAMBDA(_xlpm.s,_xlpm.l,SUM(INDEX(_xlpm.data,,_xlfn.SEQUENCE(,_xlpm.l,_xlpm.s))))),ROUND(_xlpm.arr*$O144/1000,2))</f>
        <v/>
      </c>
      <c r="BK144" s="331" t="n">
        <v>43.07</v>
      </c>
      <c r="BL144" s="331" t="n">
        <v>24.61</v>
      </c>
      <c r="BM144" s="331" t="n">
        <v>0</v>
      </c>
      <c r="BN144" s="362">
        <f>SUM(BJ144:BM144)</f>
        <v/>
      </c>
      <c r="BO144" s="362" t="n">
        <v>6.83</v>
      </c>
      <c r="BP144" s="362" t="n">
        <v>23.92</v>
      </c>
      <c r="BQ144" s="362" t="n">
        <v>27.34</v>
      </c>
      <c r="BR144" s="362" t="n">
        <v>30.75</v>
      </c>
      <c r="BS144" s="115" t="n"/>
      <c r="BT144" s="362">
        <f t="array" ref="BT144:BW144">_xlfn.HSTACK(SUM(INDEX($R144:$AV144,1,1):INDEX($R144:$AV144,1,7)),SUM(INDEX($R144:$AV144,1,7):INDEX($R144:$AV144,1,13)),SUM(INDEX($R144:$AV144,1,16):INDEX($R144:$AV144,1,23)),SUM(INDEX($R144:$AV144,1,23):INDEX($R144:$AV144,1,31)))</f>
        <v/>
      </c>
      <c r="BU144" s="362" t="n">
        <v>910</v>
      </c>
      <c r="BV144" s="362" t="n">
        <v>520</v>
      </c>
      <c r="BW144" s="362" t="n">
        <v>0</v>
      </c>
      <c r="BY144" s="362">
        <f>SUM(R144:X144)</f>
        <v/>
      </c>
      <c r="BZ144" s="362">
        <f>SUM(Y144:AE144)</f>
        <v/>
      </c>
      <c r="CA144" s="362">
        <f>SUM(AF144:AM144)</f>
        <v/>
      </c>
      <c r="CB144" s="362">
        <f>SUM(AN144:AV144)</f>
        <v/>
      </c>
      <c r="CD144" s="432" t="inlineStr">
        <is>
          <t>ADA</t>
        </is>
      </c>
      <c r="CE144" s="362">
        <f>ROUND(BY144*$O144/1000,2)</f>
        <v/>
      </c>
      <c r="CF144" s="362">
        <f>ROUND(BZ144*$O144/1000,2)</f>
        <v/>
      </c>
      <c r="CG144" s="362">
        <f>ROUND(CA144*$O144/1000,2)</f>
        <v/>
      </c>
      <c r="CH144" s="362">
        <f>ROUND(CB144*$O144/1000,2)</f>
        <v/>
      </c>
      <c r="CI144" s="362">
        <f>SUM(CE144:CH144)</f>
        <v/>
      </c>
      <c r="CJ144" s="390" t="n"/>
      <c r="CK144" s="362">
        <f>IFERROR(ROUND(BY144*$P144,2),"")</f>
        <v/>
      </c>
      <c r="CL144" s="362">
        <f>IFERROR(ROUND(BZ144*$P144,2),"")</f>
        <v/>
      </c>
      <c r="CM144" s="362">
        <f>IFERROR(ROUND(CA144*$P144,2),"")</f>
        <v/>
      </c>
      <c r="CN144" s="362">
        <f>IFERROR(ROUND(CB144*$P144,2),"")</f>
        <v/>
      </c>
      <c r="CO144" s="362">
        <f>SUM(CK144:CN144)</f>
        <v/>
      </c>
    </row>
    <row r="145" ht="15.6" customFormat="1" customHeight="1" s="362">
      <c r="A145" s="331" t="n"/>
      <c r="B145" s="344">
        <f>_xlfn.XLOOKUP(G145,销售需求表!A:A,销售需求表!C:C)</f>
        <v/>
      </c>
      <c r="C145" s="345">
        <f>IFERROR(MID(F145,FIND("R",F145)+1,4),"")</f>
        <v/>
      </c>
      <c r="D145" s="344">
        <f>B145&amp;C145&amp;"寸"</f>
        <v/>
      </c>
      <c r="E145" s="346">
        <f>LEFT(REPLACE(G145,1,2,""),FIND("[",REPLACE(G145,1,2,""))-1)&amp;"-"&amp;MID(REPLACE(G145,1,2,""),FIND("[",REPLACE(G145,1,2,""))+1,FIND("]",REPLACE(G145,1,2,""))-FIND("[",REPLACE(G145,1,2,""))-1)</f>
        <v/>
      </c>
      <c r="F145" s="347">
        <f>IFERROR(MID(G145,3,FIND("(",G145)-3)&amp;"-"&amp;SUBSTITUTE(MID(G145,FIND("[",G145)+1,FIND("]",G145)-FIND("[",G145)-1),"Strong Guard ",""),"")</f>
        <v/>
      </c>
      <c r="G145" s="346" t="inlineStr">
        <is>
          <t>ID295/75R22.5-16PR(146/143M)[RLINE-TⅡ]REDCLIFF无内</t>
        </is>
      </c>
      <c r="H145" s="344" t="n">
        <v>500</v>
      </c>
      <c r="I145" s="348" t="n">
        <v>2</v>
      </c>
      <c r="J145" s="349">
        <f>IFERROR(LEFT(F145,FIND("-",F145))&amp;MID(F145,FIND("PR",F145,FIND("-",F145))+3,LEN(F145)),F145)</f>
        <v/>
      </c>
      <c r="K145" s="352">
        <f>_xlfn.XLOOKUP(F145,投产规格!E:E,投产规格!D:D,"未投产")</f>
        <v/>
      </c>
      <c r="L145" s="352">
        <f>IFERROR(_xlfn.XLOOKUP(F145,硫化工艺!B:B,硫化工艺!C:C),"")</f>
        <v/>
      </c>
      <c r="M145" s="430">
        <f>IF(L145="","",L145/(L145+$L$1/60))</f>
        <v/>
      </c>
      <c r="N145" s="352">
        <f>C145&amp;"全钢"</f>
        <v/>
      </c>
      <c r="O145" s="352">
        <f>IFERROR(_xlfn.XLOOKUP(F145,轮胎重量!J:J,轮胎重量!G:G),"")</f>
        <v/>
      </c>
      <c r="P145" s="358">
        <f>O145*13.9</f>
        <v/>
      </c>
      <c r="Q145" s="352">
        <f>IFERROR(ROUND(1440/L145*(I145)*M145,0),"")</f>
        <v/>
      </c>
      <c r="R145" s="352" t="n">
        <v>70</v>
      </c>
      <c r="S145" s="352" t="n">
        <v>70</v>
      </c>
      <c r="T145" s="352" t="n">
        <v>70</v>
      </c>
      <c r="U145" s="352" t="n">
        <v>70</v>
      </c>
      <c r="V145" s="352" t="n">
        <v>70</v>
      </c>
      <c r="W145" s="352" t="n">
        <v>70</v>
      </c>
      <c r="X145" s="352" t="n">
        <v>70</v>
      </c>
      <c r="Y145" s="352" t="n"/>
      <c r="Z145" s="352" t="n"/>
      <c r="AA145" s="352" t="n"/>
      <c r="AB145" s="352" t="n"/>
      <c r="AC145" s="352" t="n"/>
      <c r="AD145" s="352" t="n"/>
      <c r="AE145" s="352" t="n"/>
      <c r="AF145" s="352" t="n"/>
      <c r="AG145" s="352" t="n"/>
      <c r="AH145" s="352" t="n"/>
      <c r="AI145" s="352" t="n"/>
      <c r="AJ145" s="352" t="n"/>
      <c r="AK145" s="352" t="n"/>
      <c r="AL145" s="352" t="n"/>
      <c r="AM145" s="352" t="n"/>
      <c r="AN145" s="352" t="n"/>
      <c r="AO145" s="352" t="n"/>
      <c r="AP145" s="352" t="n"/>
      <c r="AQ145" s="352" t="n"/>
      <c r="AR145" s="352" t="n"/>
      <c r="AS145" s="352" t="n"/>
      <c r="AT145" s="352" t="n"/>
      <c r="AU145" s="352" t="n"/>
      <c r="AV145" s="352" t="n"/>
      <c r="AW145" s="352">
        <f>IF(SUM(R145:AV145)=0,"",SUM(R145:AV145))</f>
        <v/>
      </c>
      <c r="AX145" s="431">
        <f>IFERROR(AW145*O145/1000,"")</f>
        <v/>
      </c>
      <c r="AY145" s="431">
        <f>IFERROR(ROUND(AW145*P145/10000,3),"")</f>
        <v/>
      </c>
      <c r="AZ145" s="359" t="n"/>
      <c r="BA145" s="362" t="n"/>
      <c r="BB145" s="362" t="n"/>
      <c r="BC145" s="331" t="n"/>
      <c r="BD145" s="331" t="n"/>
      <c r="BE145" s="331" t="n"/>
      <c r="BF145" s="331" t="n"/>
      <c r="BG145" s="331" t="n"/>
      <c r="BH145" s="331" t="n"/>
      <c r="BI145" s="331" t="n"/>
      <c r="BJ145" s="356">
        <f t="array" ref="BJ145:BM145">_xlfn.LET(_xlpm.data,$R145:$AV145,_xlpm.starts,{1,8,16,23},_xlpm.lengths,{7,7,8,9},_xlpm.arr,_xlfn.MAP(_xlpm.starts,_xlpm.lengths,_xlfn.LAMBDA(_xlpm.s,_xlpm.l,SUM(INDEX(_xlpm.data,,_xlfn.SEQUENCE(,_xlpm.l,_xlpm.s))))),ROUND(_xlpm.arr*$O145/1000,2))</f>
        <v/>
      </c>
      <c r="BK145" s="331" t="n">
        <v>0</v>
      </c>
      <c r="BL145" s="331" t="n">
        <v>0</v>
      </c>
      <c r="BM145" s="331" t="n">
        <v>0</v>
      </c>
      <c r="BN145" s="362">
        <f>SUM(BJ145:BM145)</f>
        <v/>
      </c>
      <c r="BO145" s="362" t="n">
        <v>6.83</v>
      </c>
      <c r="BP145" s="362" t="n">
        <v>23.92</v>
      </c>
      <c r="BQ145" s="362" t="n">
        <v>27.34</v>
      </c>
      <c r="BR145" s="362" t="n">
        <v>30.75</v>
      </c>
      <c r="BS145" s="115" t="n"/>
      <c r="BT145" s="362">
        <f t="array" ref="BT145:BW145">_xlfn.HSTACK(SUM(INDEX($R145:$AV145,1,1):INDEX($R145:$AV145,1,7)),SUM(INDEX($R145:$AV145,1,7):INDEX($R145:$AV145,1,13)),SUM(INDEX($R145:$AV145,1,16):INDEX($R145:$AV145,1,23)),SUM(INDEX($R145:$AV145,1,23):INDEX($R145:$AV145,1,31)))</f>
        <v/>
      </c>
      <c r="BU145" s="362" t="n">
        <v>70</v>
      </c>
      <c r="BV145" s="362" t="n">
        <v>0</v>
      </c>
      <c r="BW145" s="362" t="n">
        <v>0</v>
      </c>
      <c r="BY145" s="362">
        <f>SUM(R145:X145)</f>
        <v/>
      </c>
      <c r="BZ145" s="362">
        <f>SUM(Y145:AE145)</f>
        <v/>
      </c>
      <c r="CA145" s="362">
        <f>SUM(AF145:AM145)</f>
        <v/>
      </c>
      <c r="CB145" s="362">
        <f>SUM(AN145:AV145)</f>
        <v/>
      </c>
      <c r="CD145" s="432" t="inlineStr">
        <is>
          <t>ADA</t>
        </is>
      </c>
      <c r="CE145" s="362">
        <f>ROUND(BY145*$O145/1000,2)</f>
        <v/>
      </c>
      <c r="CF145" s="362">
        <f>ROUND(BZ145*$O145/1000,2)</f>
        <v/>
      </c>
      <c r="CG145" s="362">
        <f>ROUND(CA145*$O145/1000,2)</f>
        <v/>
      </c>
      <c r="CH145" s="362">
        <f>ROUND(CB145*$O145/1000,2)</f>
        <v/>
      </c>
      <c r="CI145" s="362">
        <f>SUM(CE145:CH145)</f>
        <v/>
      </c>
      <c r="CJ145" s="390" t="n"/>
      <c r="CK145" s="362">
        <f>IFERROR(ROUND(BY145*$P145,2),"")</f>
        <v/>
      </c>
      <c r="CL145" s="362">
        <f>IFERROR(ROUND(BZ145*$P145,2),"")</f>
        <v/>
      </c>
      <c r="CM145" s="362">
        <f>IFERROR(ROUND(CA145*$P145,2),"")</f>
        <v/>
      </c>
      <c r="CN145" s="362">
        <f>IFERROR(ROUND(CB145*$P145,2),"")</f>
        <v/>
      </c>
      <c r="CO145" s="362">
        <f>SUM(CK145:CN145)</f>
        <v/>
      </c>
    </row>
    <row r="146" ht="15.6" customFormat="1" customHeight="1" s="362">
      <c r="A146" s="331" t="n"/>
      <c r="B146" s="344">
        <f>_xlfn.XLOOKUP(G146,销售需求表!A:A,销售需求表!C:C)</f>
        <v/>
      </c>
      <c r="C146" s="345">
        <f>IFERROR(MID(F146,FIND("R",F146)+1,4),"")</f>
        <v/>
      </c>
      <c r="D146" s="344">
        <f>B146&amp;C146&amp;"寸"</f>
        <v/>
      </c>
      <c r="E146" s="346">
        <f>LEFT(REPLACE(G146,1,2,""),FIND("[",REPLACE(G146,1,2,""))-1)&amp;"-"&amp;MID(REPLACE(G146,1,2,""),FIND("[",REPLACE(G146,1,2,""))+1,FIND("]",REPLACE(G146,1,2,""))-FIND("[",REPLACE(G146,1,2,""))-1)</f>
        <v/>
      </c>
      <c r="F146" s="347">
        <f>IFERROR(MID(G146,3,FIND("(",G146)-3)&amp;"-"&amp;SUBSTITUTE(MID(G146,FIND("[",G146)+1,FIND("]",G146)-FIND("[",G146)-1),"Strong Guard ",""),"")</f>
        <v/>
      </c>
      <c r="G146" s="346" t="inlineStr">
        <is>
          <t>ID295/75R22.5-16PR(146/143M)[Strong Guard H-RA]HERCULES无内</t>
        </is>
      </c>
      <c r="H146" s="344" t="n">
        <v>360</v>
      </c>
      <c r="I146" s="348" t="n">
        <v>2</v>
      </c>
      <c r="J146" s="349">
        <f>IFERROR(LEFT(F146,FIND("-",F146))&amp;MID(F146,FIND("PR",F146,FIND("-",F146))+3,LEN(F146)),F146)</f>
        <v/>
      </c>
      <c r="K146" s="352">
        <f>_xlfn.XLOOKUP(F146,投产规格!E:E,投产规格!D:D,"未投产")</f>
        <v/>
      </c>
      <c r="L146" s="352">
        <f>IFERROR(_xlfn.XLOOKUP(F146,硫化工艺!B:B,硫化工艺!C:C),"")</f>
        <v/>
      </c>
      <c r="M146" s="430">
        <f>IF(L146="","",L146/(L146+$L$1/60))</f>
        <v/>
      </c>
      <c r="N146" s="352">
        <f>C146&amp;"全钢"</f>
        <v/>
      </c>
      <c r="O146" s="352">
        <f>IFERROR(_xlfn.XLOOKUP(F146,轮胎重量!J:J,轮胎重量!G:G),"")</f>
        <v/>
      </c>
      <c r="P146" s="352">
        <f>IFERROR(_xlfn.XLOOKUP(G146,硫化工艺!I:I,硫化工艺!J:J),"")</f>
        <v/>
      </c>
      <c r="Q146" s="352">
        <f>IFERROR(ROUND(1440/L146*(I146)*M146,0),"")</f>
        <v/>
      </c>
      <c r="R146" s="352" t="n">
        <v>70</v>
      </c>
      <c r="S146" s="352" t="n">
        <v>70</v>
      </c>
      <c r="T146" s="352" t="n">
        <v>70</v>
      </c>
      <c r="U146" s="352" t="n">
        <v>70</v>
      </c>
      <c r="V146" s="352" t="n">
        <v>70</v>
      </c>
      <c r="W146" s="352" t="n">
        <v>70</v>
      </c>
      <c r="X146" s="352" t="n"/>
      <c r="Y146" s="352" t="n"/>
      <c r="Z146" s="352" t="n"/>
      <c r="AA146" s="352" t="n"/>
      <c r="AB146" s="352" t="n"/>
      <c r="AC146" s="352" t="n"/>
      <c r="AD146" s="352" t="n"/>
      <c r="AE146" s="352" t="n"/>
      <c r="AF146" s="352" t="n"/>
      <c r="AG146" s="352" t="n"/>
      <c r="AH146" s="352" t="n"/>
      <c r="AI146" s="352" t="n"/>
      <c r="AJ146" s="352" t="n"/>
      <c r="AK146" s="352" t="n"/>
      <c r="AL146" s="352" t="n"/>
      <c r="AM146" s="352" t="n"/>
      <c r="AN146" s="352" t="n"/>
      <c r="AO146" s="352" t="n"/>
      <c r="AP146" s="352" t="n"/>
      <c r="AQ146" s="352" t="n"/>
      <c r="AR146" s="352" t="n"/>
      <c r="AS146" s="352" t="n"/>
      <c r="AT146" s="352" t="n"/>
      <c r="AU146" s="352" t="n"/>
      <c r="AV146" s="352" t="n"/>
      <c r="AW146" s="352">
        <f>IF(SUM(R146:AV146)=0,"",SUM(R146:AV146))</f>
        <v/>
      </c>
      <c r="AX146" s="431">
        <f>IFERROR(AW146*O146/1000,"")</f>
        <v/>
      </c>
      <c r="AY146" s="431">
        <f>IFERROR(ROUND(AW146*P146/10000,3),"")</f>
        <v/>
      </c>
      <c r="AZ146" s="359" t="n"/>
      <c r="BA146" s="362" t="n"/>
      <c r="BB146" s="362" t="n"/>
      <c r="BC146" s="331" t="n"/>
      <c r="BD146" s="331" t="n"/>
      <c r="BE146" s="331" t="n"/>
      <c r="BF146" s="331" t="n"/>
      <c r="BG146" s="331" t="n"/>
      <c r="BH146" s="331" t="n"/>
      <c r="BI146" s="331" t="n"/>
      <c r="BJ146" s="356">
        <f t="array" ref="BJ146:BM146">_xlfn.LET(_xlpm.data,$R146:$AV146,_xlpm.starts,{1,8,16,23},_xlpm.lengths,{7,7,8,9},_xlpm.arr,_xlfn.MAP(_xlpm.starts,_xlpm.lengths,_xlfn.LAMBDA(_xlpm.s,_xlpm.l,SUM(INDEX(_xlpm.data,,_xlfn.SEQUENCE(,_xlpm.l,_xlpm.s))))),ROUND(_xlpm.arr*$O146/1000,2))</f>
        <v/>
      </c>
      <c r="BK146" s="331" t="n">
        <v>0</v>
      </c>
      <c r="BL146" s="331" t="n">
        <v>0</v>
      </c>
      <c r="BM146" s="331" t="n">
        <v>0</v>
      </c>
      <c r="BN146" s="362">
        <f>SUM(BJ146:BM146)</f>
        <v/>
      </c>
      <c r="BO146" s="362" t="n">
        <v>6.83</v>
      </c>
      <c r="BP146" s="362" t="n">
        <v>23.92</v>
      </c>
      <c r="BQ146" s="362" t="n">
        <v>27.34</v>
      </c>
      <c r="BR146" s="362" t="n">
        <v>30.75</v>
      </c>
      <c r="BS146" s="115" t="n"/>
      <c r="BT146" s="362">
        <f t="array" ref="BT146:BW146">_xlfn.HSTACK(SUM(INDEX($R146:$AV146,1,1):INDEX($R146:$AV146,1,7)),SUM(INDEX($R146:$AV146,1,7):INDEX($R146:$AV146,1,13)),SUM(INDEX($R146:$AV146,1,16):INDEX($R146:$AV146,1,23)),SUM(INDEX($R146:$AV146,1,23):INDEX($R146:$AV146,1,31)))</f>
        <v/>
      </c>
      <c r="BU146" s="362" t="n">
        <v>0</v>
      </c>
      <c r="BV146" s="362" t="n">
        <v>0</v>
      </c>
      <c r="BW146" s="362" t="n">
        <v>0</v>
      </c>
      <c r="BY146" s="362">
        <f>SUM(R146:X146)</f>
        <v/>
      </c>
      <c r="BZ146" s="362">
        <f>SUM(Y146:AE146)</f>
        <v/>
      </c>
      <c r="CA146" s="362">
        <f>SUM(AF146:AM146)</f>
        <v/>
      </c>
      <c r="CB146" s="362">
        <f>SUM(AN146:AV146)</f>
        <v/>
      </c>
      <c r="CD146" s="432" t="inlineStr">
        <is>
          <t>ADA</t>
        </is>
      </c>
      <c r="CE146" s="362">
        <f>ROUND(BY146*$O146/1000,2)</f>
        <v/>
      </c>
      <c r="CF146" s="362">
        <f>ROUND(BZ146*$O146/1000,2)</f>
        <v/>
      </c>
      <c r="CG146" s="362">
        <f>ROUND(CA146*$O146/1000,2)</f>
        <v/>
      </c>
      <c r="CH146" s="362">
        <f>ROUND(CB146*$O146/1000,2)</f>
        <v/>
      </c>
      <c r="CI146" s="362">
        <f>SUM(CE146:CH146)</f>
        <v/>
      </c>
      <c r="CJ146" s="390" t="n"/>
      <c r="CK146" s="362">
        <f>IFERROR(ROUND(BY146*$P146,2),"")</f>
        <v/>
      </c>
      <c r="CL146" s="362">
        <f>IFERROR(ROUND(BZ146*$P146,2),"")</f>
        <v/>
      </c>
      <c r="CM146" s="362">
        <f>IFERROR(ROUND(CA146*$P146,2),"")</f>
        <v/>
      </c>
      <c r="CN146" s="362">
        <f>IFERROR(ROUND(CB146*$P146,2),"")</f>
        <v/>
      </c>
      <c r="CO146" s="362">
        <f>SUM(CK146:CN146)</f>
        <v/>
      </c>
    </row>
    <row r="147" ht="15.6" customFormat="1" customHeight="1" s="362">
      <c r="A147" s="331" t="n"/>
      <c r="B147" s="344">
        <f>_xlfn.XLOOKUP(G147,销售需求表!A:A,销售需求表!C:C)</f>
        <v/>
      </c>
      <c r="C147" s="345">
        <f>IFERROR(MID(F147,FIND("R",F147)+1,4),"")</f>
        <v/>
      </c>
      <c r="D147" s="344">
        <f>B147&amp;C147&amp;"寸"</f>
        <v/>
      </c>
      <c r="E147" s="346">
        <f>LEFT(REPLACE(G147,1,2,""),FIND("[",REPLACE(G147,1,2,""))-1)&amp;"-"&amp;MID(REPLACE(G147,1,2,""),FIND("[",REPLACE(G147,1,2,""))+1,FIND("]",REPLACE(G147,1,2,""))-FIND("[",REPLACE(G147,1,2,""))-1)</f>
        <v/>
      </c>
      <c r="F147" s="347">
        <f>IFERROR(MID(G147,3,FIND("(",G147)-3)&amp;"-"&amp;SUBSTITUTE(MID(G147,FIND("[",G147)+1,FIND("]",G147)-FIND("[",G147)-1),"Strong Guard ",""),"")</f>
        <v/>
      </c>
      <c r="G147" s="346" t="inlineStr">
        <is>
          <t>ID295/75R22.5-16PR(146/143M)[STEALTH S01]BLACKARROW无内</t>
        </is>
      </c>
      <c r="H147" s="344" t="n">
        <v>300</v>
      </c>
      <c r="I147" s="348" t="n">
        <v>2</v>
      </c>
      <c r="J147" s="349">
        <f>IFERROR(LEFT(F147,FIND("-",F147))&amp;MID(F147,FIND("PR",F147,FIND("-",F147))+3,LEN(F147)),F147)</f>
        <v/>
      </c>
      <c r="K147" s="352">
        <f>_xlfn.XLOOKUP(F147,投产规格!E:E,投产规格!D:D,"未投产")</f>
        <v/>
      </c>
      <c r="L147" s="352">
        <f>IFERROR(_xlfn.XLOOKUP(F147,硫化工艺!B:B,硫化工艺!C:C),"")</f>
        <v/>
      </c>
      <c r="M147" s="430">
        <f>IF(L147="","",L147/(L147+$L$1/60))</f>
        <v/>
      </c>
      <c r="N147" s="352">
        <f>C147&amp;"全钢"</f>
        <v/>
      </c>
      <c r="O147" s="352">
        <f>IFERROR(_xlfn.XLOOKUP(F147,轮胎重量!J:J,轮胎重量!G:G),"")</f>
        <v/>
      </c>
      <c r="P147" s="352">
        <f>IFERROR(_xlfn.XLOOKUP(G147,硫化工艺!I:I,硫化工艺!J:J),"")</f>
        <v/>
      </c>
      <c r="Q147" s="352">
        <f>IFERROR(ROUND(1440/L147*(I147)*M147,0),"")</f>
        <v/>
      </c>
      <c r="R147" s="352" t="n">
        <v>60</v>
      </c>
      <c r="S147" s="352" t="n">
        <v>60</v>
      </c>
      <c r="T147" s="352" t="n">
        <v>60</v>
      </c>
      <c r="U147" s="352" t="n">
        <v>60</v>
      </c>
      <c r="V147" s="352" t="n">
        <v>60</v>
      </c>
      <c r="W147" s="352" t="n">
        <v>60</v>
      </c>
      <c r="X147" s="352" t="n"/>
      <c r="Y147" s="352" t="n"/>
      <c r="Z147" s="352" t="n"/>
      <c r="AA147" s="352" t="n"/>
      <c r="AB147" s="352" t="n"/>
      <c r="AC147" s="352" t="n"/>
      <c r="AD147" s="352" t="n"/>
      <c r="AE147" s="352" t="n"/>
      <c r="AF147" s="352" t="n"/>
      <c r="AG147" s="352" t="n"/>
      <c r="AH147" s="352" t="n"/>
      <c r="AI147" s="352" t="n"/>
      <c r="AJ147" s="352" t="n"/>
      <c r="AK147" s="352" t="n"/>
      <c r="AL147" s="352" t="n"/>
      <c r="AM147" s="352" t="n"/>
      <c r="AN147" s="352" t="n"/>
      <c r="AO147" s="352" t="n"/>
      <c r="AP147" s="352" t="n"/>
      <c r="AQ147" s="352" t="n"/>
      <c r="AR147" s="352" t="n"/>
      <c r="AS147" s="352" t="n"/>
      <c r="AT147" s="352" t="n"/>
      <c r="AU147" s="352" t="n"/>
      <c r="AV147" s="352" t="n"/>
      <c r="AW147" s="352">
        <f>IF(SUM(R147:AV147)=0,"",SUM(R147:AV147))</f>
        <v/>
      </c>
      <c r="AX147" s="431">
        <f>IFERROR(AW147*O147/1000,"")</f>
        <v/>
      </c>
      <c r="AY147" s="431">
        <f>IFERROR(ROUND(AW147*P147/10000,3),"")</f>
        <v/>
      </c>
      <c r="AZ147" s="359" t="n"/>
      <c r="BA147" s="362" t="n"/>
      <c r="BB147" s="362" t="n"/>
      <c r="BC147" s="331" t="n"/>
      <c r="BD147" s="331" t="n"/>
      <c r="BE147" s="331" t="n"/>
      <c r="BF147" s="331" t="n"/>
      <c r="BG147" s="331" t="n"/>
      <c r="BH147" s="331" t="n"/>
      <c r="BI147" s="331" t="n"/>
      <c r="BJ147" s="356">
        <f t="array" ref="BJ147:BM147">_xlfn.LET(_xlpm.data,$R147:$AV147,_xlpm.starts,{1,8,16,23},_xlpm.lengths,{7,7,8,9},_xlpm.arr,_xlfn.MAP(_xlpm.starts,_xlpm.lengths,_xlfn.LAMBDA(_xlpm.s,_xlpm.l,SUM(INDEX(_xlpm.data,,_xlfn.SEQUENCE(,_xlpm.l,_xlpm.s))))),ROUND(_xlpm.arr*$O147/1000,2))</f>
        <v/>
      </c>
      <c r="BK147" s="331" t="n">
        <v>0</v>
      </c>
      <c r="BL147" s="331" t="n">
        <v>0</v>
      </c>
      <c r="BM147" s="331" t="n">
        <v>0</v>
      </c>
      <c r="BN147" s="362">
        <f>SUM(BJ147:BM147)</f>
        <v/>
      </c>
      <c r="BO147" s="362" t="n">
        <v>6.83</v>
      </c>
      <c r="BP147" s="362" t="n">
        <v>23.92</v>
      </c>
      <c r="BQ147" s="362" t="n">
        <v>27.34</v>
      </c>
      <c r="BR147" s="362" t="n">
        <v>30.75</v>
      </c>
      <c r="BS147" s="115" t="n"/>
      <c r="BT147" s="362">
        <f t="array" ref="BT147:BW147">_xlfn.HSTACK(SUM(INDEX($R147:$AV147,1,1):INDEX($R147:$AV147,1,7)),SUM(INDEX($R147:$AV147,1,7):INDEX($R147:$AV147,1,13)),SUM(INDEX($R147:$AV147,1,16):INDEX($R147:$AV147,1,23)),SUM(INDEX($R147:$AV147,1,23):INDEX($R147:$AV147,1,31)))</f>
        <v/>
      </c>
      <c r="BU147" s="362" t="n">
        <v>0</v>
      </c>
      <c r="BV147" s="362" t="n">
        <v>0</v>
      </c>
      <c r="BW147" s="362" t="n">
        <v>0</v>
      </c>
      <c r="BY147" s="362">
        <f>SUM(R147:X147)</f>
        <v/>
      </c>
      <c r="BZ147" s="362">
        <f>SUM(Y147:AE147)</f>
        <v/>
      </c>
      <c r="CA147" s="362">
        <f>SUM(AF147:AM147)</f>
        <v/>
      </c>
      <c r="CB147" s="362">
        <f>SUM(AN147:AV147)</f>
        <v/>
      </c>
      <c r="CD147" s="432" t="inlineStr">
        <is>
          <t>ADA</t>
        </is>
      </c>
      <c r="CE147" s="362">
        <f>ROUND(BY147*$O147/1000,2)</f>
        <v/>
      </c>
      <c r="CF147" s="362">
        <f>ROUND(BZ147*$O147/1000,2)</f>
        <v/>
      </c>
      <c r="CG147" s="362">
        <f>ROUND(CA147*$O147/1000,2)</f>
        <v/>
      </c>
      <c r="CH147" s="362">
        <f>ROUND(CB147*$O147/1000,2)</f>
        <v/>
      </c>
      <c r="CI147" s="362">
        <f>SUM(CE147:CH147)</f>
        <v/>
      </c>
      <c r="CJ147" s="390" t="n"/>
      <c r="CK147" s="362">
        <f>IFERROR(ROUND(BY147*$P147,2),"")</f>
        <v/>
      </c>
      <c r="CL147" s="362">
        <f>IFERROR(ROUND(BZ147*$P147,2),"")</f>
        <v/>
      </c>
      <c r="CM147" s="362">
        <f>IFERROR(ROUND(CA147*$P147,2),"")</f>
        <v/>
      </c>
      <c r="CN147" s="362">
        <f>IFERROR(ROUND(CB147*$P147,2),"")</f>
        <v/>
      </c>
      <c r="CO147" s="362">
        <f>SUM(CK147:CN147)</f>
        <v/>
      </c>
    </row>
    <row r="148" ht="15.6" customFormat="1" customHeight="1" s="362">
      <c r="A148" s="331" t="n"/>
      <c r="B148" s="344">
        <f>_xlfn.XLOOKUP(G148,销售需求表!A:A,销售需求表!C:C)</f>
        <v/>
      </c>
      <c r="C148" s="345">
        <f>IFERROR(MID(F148,FIND("R",F148)+1,4),"")</f>
        <v/>
      </c>
      <c r="D148" s="344">
        <f>B148&amp;C148&amp;"寸"</f>
        <v/>
      </c>
      <c r="E148" s="346">
        <f>LEFT(REPLACE(G148,1,2,""),FIND("[",REPLACE(G148,1,2,""))-1)&amp;"-"&amp;MID(REPLACE(G148,1,2,""),FIND("[",REPLACE(G148,1,2,""))+1,FIND("]",REPLACE(G148,1,2,""))-FIND("[",REPLACE(G148,1,2,""))-1)</f>
        <v/>
      </c>
      <c r="F148" s="347">
        <f>IFERROR(MID(G148,3,FIND("(",G148)-3)&amp;"-"&amp;SUBSTITUTE(MID(G148,FIND("[",G148)+1,FIND("]",G148)-FIND("[",G148)-1),"Strong Guard ",""),"")</f>
        <v/>
      </c>
      <c r="G148" s="346" t="inlineStr">
        <is>
          <t>ID295/75R22.5-16PR(146/143L)[VXD932]VITOUR无内</t>
        </is>
      </c>
      <c r="H148" s="344" t="n">
        <v>800</v>
      </c>
      <c r="I148" s="348" t="n"/>
      <c r="J148" s="349">
        <f>IFERROR(LEFT(F148,FIND("-",F148))&amp;MID(F148,FIND("PR",F148,FIND("-",F148))+3,LEN(F148)),F148)</f>
        <v/>
      </c>
      <c r="K148" s="352">
        <f>_xlfn.XLOOKUP(F148,投产规格!E:E,投产规格!D:D,"未投产")</f>
        <v/>
      </c>
      <c r="L148" s="352">
        <f>IFERROR(_xlfn.XLOOKUP(F148,硫化工艺!B:B,硫化工艺!C:C),"")</f>
        <v/>
      </c>
      <c r="M148" s="430">
        <f>IF(L148="","",L148/(L148+$L$1/60))</f>
        <v/>
      </c>
      <c r="N148" s="352">
        <f>C148&amp;"全钢"</f>
        <v/>
      </c>
      <c r="O148" s="352">
        <f>IFERROR(_xlfn.XLOOKUP(F148,轮胎重量!J:J,轮胎重量!G:G),"")</f>
        <v/>
      </c>
      <c r="P148" s="352">
        <f>IFERROR(_xlfn.XLOOKUP(G148,硫化工艺!I:I,硫化工艺!J:J),"")</f>
        <v/>
      </c>
      <c r="Q148" s="352">
        <f>IFERROR(ROUND(1440/L148*(I148)*M148,0),"")</f>
        <v/>
      </c>
      <c r="R148" s="352" t="n"/>
      <c r="S148" s="352" t="n"/>
      <c r="T148" s="352" t="n"/>
      <c r="U148" s="352" t="n"/>
      <c r="V148" s="352" t="n"/>
      <c r="W148" s="352" t="n"/>
      <c r="X148" s="352" t="n">
        <v>58</v>
      </c>
      <c r="Y148" s="352" t="n">
        <v>58</v>
      </c>
      <c r="Z148" s="352" t="n">
        <v>58</v>
      </c>
      <c r="AA148" s="352" t="n">
        <v>58</v>
      </c>
      <c r="AB148" s="352" t="n">
        <v>58</v>
      </c>
      <c r="AC148" s="352" t="n">
        <v>58</v>
      </c>
      <c r="AD148" s="352" t="n">
        <v>58</v>
      </c>
      <c r="AE148" s="352" t="n">
        <v>58</v>
      </c>
      <c r="AF148" s="352" t="n">
        <v>58</v>
      </c>
      <c r="AG148" s="352" t="n">
        <v>58</v>
      </c>
      <c r="AH148" s="352" t="n">
        <v>58</v>
      </c>
      <c r="AI148" s="352" t="n">
        <v>58</v>
      </c>
      <c r="AJ148" s="352" t="n">
        <v>58</v>
      </c>
      <c r="AK148" s="352" t="n">
        <v>58</v>
      </c>
      <c r="AL148" s="352" t="n">
        <v>58</v>
      </c>
      <c r="AM148" s="352" t="n"/>
      <c r="AN148" s="352" t="n"/>
      <c r="AO148" s="352" t="n"/>
      <c r="AP148" s="352" t="n"/>
      <c r="AQ148" s="352" t="n"/>
      <c r="AR148" s="352" t="n"/>
      <c r="AS148" s="352" t="n"/>
      <c r="AT148" s="352" t="n"/>
      <c r="AU148" s="352" t="n"/>
      <c r="AV148" s="352" t="n"/>
      <c r="AW148" s="352">
        <f>IF(SUM(R148:AV148)=0,"",SUM(R148:AV148))</f>
        <v/>
      </c>
      <c r="AX148" s="431">
        <f>IFERROR(AW148*O148/1000,"")</f>
        <v/>
      </c>
      <c r="AY148" s="431">
        <f>IFERROR(ROUND(AW148*P148/10000,3),"")</f>
        <v/>
      </c>
      <c r="AZ148" s="359" t="n"/>
      <c r="BA148" s="362" t="n"/>
      <c r="BB148" s="362" t="n"/>
      <c r="BC148" s="331" t="n"/>
      <c r="BD148" s="331" t="n"/>
      <c r="BE148" s="331" t="n"/>
      <c r="BF148" s="331" t="n"/>
      <c r="BG148" s="331" t="n"/>
      <c r="BH148" s="331" t="n"/>
      <c r="BI148" s="331" t="n"/>
      <c r="BJ148" s="356">
        <f t="array" ref="BJ148:BM148">_xlfn.LET(_xlpm.data,$R148:$AV148,_xlpm.starts,{1,8,16,23},_xlpm.lengths,{7,7,8,9},_xlpm.arr,_xlfn.MAP(_xlpm.starts,_xlpm.lengths,_xlfn.LAMBDA(_xlpm.s,_xlpm.l,SUM(INDEX(_xlpm.data,,_xlfn.SEQUENCE(,_xlpm.l,_xlpm.s))))),ROUND(_xlpm.arr*$O148/1000,2))</f>
        <v/>
      </c>
      <c r="BK148" s="331" t="n">
        <v>24.01</v>
      </c>
      <c r="BL148" s="331" t="n">
        <v>20.58</v>
      </c>
      <c r="BM148" s="331" t="n">
        <v>0</v>
      </c>
      <c r="BN148" s="362">
        <f>SUM(BJ148:BM148)</f>
        <v/>
      </c>
      <c r="BO148" s="362" t="n">
        <v>6.83</v>
      </c>
      <c r="BP148" s="362" t="n">
        <v>23.92</v>
      </c>
      <c r="BQ148" s="362" t="n">
        <v>27.34</v>
      </c>
      <c r="BR148" s="362" t="n">
        <v>30.75</v>
      </c>
      <c r="BS148" s="115" t="n"/>
      <c r="BT148" s="362">
        <f t="array" ref="BT148:BW148">_xlfn.HSTACK(SUM(INDEX($R148:$AV148,1,1):INDEX($R148:$AV148,1,7)),SUM(INDEX($R148:$AV148,1,7):INDEX($R148:$AV148,1,13)),SUM(INDEX($R148:$AV148,1,16):INDEX($R148:$AV148,1,23)),SUM(INDEX($R148:$AV148,1,23):INDEX($R148:$AV148,1,31)))</f>
        <v/>
      </c>
      <c r="BU148" s="362" t="n">
        <v>406</v>
      </c>
      <c r="BV148" s="362" t="n">
        <v>348</v>
      </c>
      <c r="BW148" s="362" t="n">
        <v>0</v>
      </c>
      <c r="BY148" s="362">
        <f>SUM(R148:X148)</f>
        <v/>
      </c>
      <c r="BZ148" s="362">
        <f>SUM(Y148:AE148)</f>
        <v/>
      </c>
      <c r="CA148" s="362">
        <f>SUM(AF148:AM148)</f>
        <v/>
      </c>
      <c r="CB148" s="362">
        <f>SUM(AN148:AV148)</f>
        <v/>
      </c>
      <c r="CD148" s="432" t="inlineStr">
        <is>
          <t>ADA</t>
        </is>
      </c>
      <c r="CE148" s="362">
        <f>ROUND(BY148*$O148/1000,2)</f>
        <v/>
      </c>
      <c r="CF148" s="362">
        <f>ROUND(BZ148*$O148/1000,2)</f>
        <v/>
      </c>
      <c r="CG148" s="362">
        <f>ROUND(CA148*$O148/1000,2)</f>
        <v/>
      </c>
      <c r="CH148" s="362">
        <f>ROUND(CB148*$O148/1000,2)</f>
        <v/>
      </c>
      <c r="CI148" s="362">
        <f>SUM(CE148:CH148)</f>
        <v/>
      </c>
      <c r="CJ148" s="390" t="n"/>
      <c r="CK148" s="362">
        <f>IFERROR(ROUND(BY148*$P148,2),"")</f>
        <v/>
      </c>
      <c r="CL148" s="362">
        <f>IFERROR(ROUND(BZ148*$P148,2),"")</f>
        <v/>
      </c>
      <c r="CM148" s="362">
        <f>IFERROR(ROUND(CA148*$P148,2),"")</f>
        <v/>
      </c>
      <c r="CN148" s="362">
        <f>IFERROR(ROUND(CB148*$P148,2),"")</f>
        <v/>
      </c>
      <c r="CO148" s="362">
        <f>SUM(CK148:CN148)</f>
        <v/>
      </c>
    </row>
    <row r="149" ht="15.6" customHeight="1" s="428">
      <c r="B149" s="344">
        <f>_xlfn.XLOOKUP(G149,销售需求表!A:A,销售需求表!C:C)</f>
        <v/>
      </c>
      <c r="C149" s="345">
        <f>IFERROR(MID(F149,FIND("R",F149)+1,4),"")</f>
        <v/>
      </c>
      <c r="D149" s="344">
        <f>B149&amp;C149&amp;"寸"</f>
        <v/>
      </c>
      <c r="E149" s="346">
        <f>LEFT(REPLACE(G149,1,2,""),FIND("[",REPLACE(G149,1,2,""))-1)&amp;"-"&amp;MID(REPLACE(G149,1,2,""),FIND("[",REPLACE(G149,1,2,""))+1,FIND("]",REPLACE(G149,1,2,""))-FIND("[",REPLACE(G149,1,2,""))-1)</f>
        <v/>
      </c>
      <c r="F149" s="347">
        <f>IFERROR(MID(G149,3,FIND("(",G149)-3)&amp;"-"&amp;SUBSTITUTE(MID(G149,FIND("[",G149)+1,FIND("]",G149)-FIND("[",G149)-1),"Strong Guard ",""),"")</f>
        <v/>
      </c>
      <c r="G149" s="346" t="inlineStr">
        <is>
          <t>ID295/75R22.5-16PR(146/143M)[VA996]VITOUR无内</t>
        </is>
      </c>
      <c r="H149" s="344" t="n">
        <v>800</v>
      </c>
      <c r="I149" s="348" t="n"/>
      <c r="J149" s="349">
        <f>IFERROR(LEFT(F149,FIND("-",F149))&amp;MID(F149,FIND("PR",F149,FIND("-",F149))+3,LEN(F149)),F149)</f>
        <v/>
      </c>
      <c r="K149" s="352">
        <f>_xlfn.XLOOKUP(F149,投产规格!E:E,投产规格!D:D,"未投产")</f>
        <v/>
      </c>
      <c r="L149" s="352">
        <f>IFERROR(_xlfn.XLOOKUP(F149,硫化工艺!B:B,硫化工艺!C:C),"")</f>
        <v/>
      </c>
      <c r="M149" s="430">
        <f>IF(L149="","",L149/(L149+$L$1/60))</f>
        <v/>
      </c>
      <c r="N149" s="352">
        <f>C149&amp;"全钢"</f>
        <v/>
      </c>
      <c r="O149" s="352">
        <f>IFERROR(_xlfn.XLOOKUP(F149,轮胎重量!J:J,轮胎重量!G:G),"")</f>
        <v/>
      </c>
      <c r="P149" s="352">
        <f>IFERROR(_xlfn.XLOOKUP(G149,硫化工艺!I:I,硫化工艺!J:J),"")</f>
        <v/>
      </c>
      <c r="Q149" s="352">
        <f>IFERROR(ROUND(1440/L149*(I149)*M149,0),"")</f>
        <v/>
      </c>
      <c r="R149" s="352" t="n"/>
      <c r="S149" s="352" t="n"/>
      <c r="T149" s="352" t="n"/>
      <c r="U149" s="352" t="n"/>
      <c r="V149" s="352" t="n"/>
      <c r="W149" s="352" t="n"/>
      <c r="X149" s="352" t="n"/>
      <c r="Y149" s="352" t="n">
        <v>60</v>
      </c>
      <c r="Z149" s="352" t="n">
        <v>60</v>
      </c>
      <c r="AA149" s="352" t="n">
        <v>60</v>
      </c>
      <c r="AB149" s="352" t="n">
        <v>60</v>
      </c>
      <c r="AC149" s="352" t="n">
        <v>60</v>
      </c>
      <c r="AD149" s="352" t="n">
        <v>60</v>
      </c>
      <c r="AE149" s="352" t="n">
        <v>60</v>
      </c>
      <c r="AF149" s="352" t="n">
        <v>60</v>
      </c>
      <c r="AG149" s="352" t="n">
        <v>60</v>
      </c>
      <c r="AH149" s="352" t="n">
        <v>60</v>
      </c>
      <c r="AI149" s="352" t="n">
        <v>60</v>
      </c>
      <c r="AJ149" s="352" t="n">
        <v>60</v>
      </c>
      <c r="AK149" s="352" t="n">
        <v>60</v>
      </c>
      <c r="AL149" s="352" t="n">
        <v>60</v>
      </c>
      <c r="AM149" s="352" t="n"/>
      <c r="AN149" s="352" t="n"/>
      <c r="AO149" s="352" t="n"/>
      <c r="AP149" s="352" t="n"/>
      <c r="AQ149" s="352" t="n"/>
      <c r="AR149" s="352" t="n"/>
      <c r="AS149" s="352" t="n"/>
      <c r="AT149" s="352" t="n"/>
      <c r="AU149" s="352" t="n"/>
      <c r="AV149" s="352" t="n"/>
      <c r="AW149" s="352">
        <f>IF(SUM(R149:AV149)=0,"",SUM(R149:AV149))</f>
        <v/>
      </c>
      <c r="AX149" s="431">
        <f>IFERROR(AW149*O149/1000,"")</f>
        <v/>
      </c>
      <c r="AY149" s="431">
        <f>IFERROR(ROUND(AW149*P149/10000,3),"")</f>
        <v/>
      </c>
      <c r="AZ149" s="359" t="n"/>
      <c r="BA149" s="362" t="n"/>
      <c r="BB149" s="362" t="n"/>
      <c r="BJ149" s="356">
        <f t="array" ref="BJ149:BM149">_xlfn.LET(_xlpm.data,$R149:$AV149,_xlpm.starts,{1,8,16,23},_xlpm.lengths,{7,7,8,9},_xlpm.arr,_xlfn.MAP(_xlpm.starts,_xlpm.lengths,_xlfn.LAMBDA(_xlpm.s,_xlpm.l,SUM(INDEX(_xlpm.data,,_xlfn.SEQUENCE(,_xlpm.l,_xlpm.s))))),ROUND(_xlpm.arr*$O149/1000,2))</f>
        <v/>
      </c>
      <c r="BK149" s="331" t="n">
        <v>23.17</v>
      </c>
      <c r="BL149" s="331" t="n">
        <v>19.86</v>
      </c>
      <c r="BM149" s="331" t="n">
        <v>0</v>
      </c>
      <c r="BN149" s="362">
        <f>SUM(BJ149:BM149)</f>
        <v/>
      </c>
      <c r="BO149" s="362" t="n">
        <v>12.22</v>
      </c>
      <c r="BP149" s="362" t="n">
        <v>12.22</v>
      </c>
      <c r="BQ149" s="362" t="n">
        <v>13.96</v>
      </c>
      <c r="BR149" s="362" t="n">
        <v>15.71</v>
      </c>
      <c r="BT149" s="362">
        <f t="array" ref="BT149:BW149">_xlfn.HSTACK(SUM(INDEX($R149:$AV149,1,1):INDEX($R149:$AV149,1,7)),SUM(INDEX($R149:$AV149,1,7):INDEX($R149:$AV149,1,13)),SUM(INDEX($R149:$AV149,1,16):INDEX($R149:$AV149,1,23)),SUM(INDEX($R149:$AV149,1,23):INDEX($R149:$AV149,1,31)))</f>
        <v/>
      </c>
      <c r="BU149" s="362" t="n">
        <v>360</v>
      </c>
      <c r="BV149" s="362" t="n">
        <v>360</v>
      </c>
      <c r="BW149" s="362" t="n">
        <v>0</v>
      </c>
      <c r="BY149" s="362">
        <f>SUM(R149:X149)</f>
        <v/>
      </c>
      <c r="BZ149" s="362">
        <f>SUM(Y149:AE149)</f>
        <v/>
      </c>
      <c r="CA149" s="362">
        <f>SUM(AF149:AM149)</f>
        <v/>
      </c>
      <c r="CB149" s="362">
        <f>SUM(AN149:AV149)</f>
        <v/>
      </c>
      <c r="CD149" s="432" t="inlineStr">
        <is>
          <t>ADA</t>
        </is>
      </c>
      <c r="CE149" s="362">
        <f>ROUND(BY149*$O149/1000,2)</f>
        <v/>
      </c>
      <c r="CF149" s="362">
        <f>ROUND(BZ149*$O149/1000,2)</f>
        <v/>
      </c>
      <c r="CG149" s="362">
        <f>ROUND(CA149*$O149/1000,2)</f>
        <v/>
      </c>
      <c r="CH149" s="362">
        <f>ROUND(CB149*$O149/1000,2)</f>
        <v/>
      </c>
      <c r="CI149" s="362">
        <f>SUM(CE149:CH149)</f>
        <v/>
      </c>
      <c r="CK149" s="362">
        <f>IFERROR(ROUND(BY149*$P149,2),"")</f>
        <v/>
      </c>
      <c r="CL149" s="362">
        <f>IFERROR(ROUND(BZ149*$P149,2),"")</f>
        <v/>
      </c>
      <c r="CM149" s="362">
        <f>IFERROR(ROUND(CA149*$P149,2),"")</f>
        <v/>
      </c>
      <c r="CN149" s="362">
        <f>IFERROR(ROUND(CB149*$P149,2),"")</f>
        <v/>
      </c>
      <c r="CO149" s="362">
        <f>SUM(CK149:CN149)</f>
        <v/>
      </c>
    </row>
    <row r="150" ht="15.6" customFormat="1" customHeight="1" s="362">
      <c r="A150" s="331" t="n"/>
      <c r="B150" s="344">
        <f>_xlfn.XLOOKUP(G150,销售需求表!A:A,销售需求表!C:C)</f>
        <v/>
      </c>
      <c r="C150" s="345">
        <f>IFERROR(MID(F150,FIND("R",F150)+1,4),"")</f>
        <v/>
      </c>
      <c r="D150" s="344">
        <f>B150&amp;C150&amp;"寸"</f>
        <v/>
      </c>
      <c r="E150" s="346">
        <f>LEFT(REPLACE(G150,1,2,""),FIND("[",REPLACE(G150,1,2,""))-1)&amp;"-"&amp;MID(REPLACE(G150,1,2,""),FIND("[",REPLACE(G150,1,2,""))+1,FIND("]",REPLACE(G150,1,2,""))-FIND("[",REPLACE(G150,1,2,""))-1)</f>
        <v/>
      </c>
      <c r="F150" s="347">
        <f>IFERROR(MID(G150,3,FIND("(",G150)-3)&amp;"-"&amp;SUBSTITUTE(MID(G150,FIND("[",G150)+1,FIND("]",G150)-FIND("[",G150)-1),"Strong Guard ",""),"")</f>
        <v/>
      </c>
      <c r="G150" s="346" t="inlineStr">
        <is>
          <t>ID295/75R22.5-16PR(146/143M)[VT993]VITOUR无内</t>
        </is>
      </c>
      <c r="H150" s="344" t="n">
        <v>1500</v>
      </c>
      <c r="I150" s="348" t="n"/>
      <c r="J150" s="349">
        <f>IFERROR(LEFT(F150,FIND("-",F150))&amp;MID(F150,FIND("PR",F150,FIND("-",F150))+3,LEN(F150)),F150)</f>
        <v/>
      </c>
      <c r="K150" s="352">
        <f>_xlfn.XLOOKUP(F150,投产规格!E:E,投产规格!D:D,"未投产")</f>
        <v/>
      </c>
      <c r="L150" s="352">
        <f>IFERROR(_xlfn.XLOOKUP(F150,硫化工艺!B:B,硫化工艺!C:C),"")</f>
        <v/>
      </c>
      <c r="M150" s="430">
        <f>IF(L150="","",L150/(L150+$L$1/60))</f>
        <v/>
      </c>
      <c r="N150" s="352">
        <f>C150&amp;"全钢"</f>
        <v/>
      </c>
      <c r="O150" s="352">
        <f>IFERROR(_xlfn.XLOOKUP(F150,轮胎重量!J:J,轮胎重量!G:G),"")</f>
        <v/>
      </c>
      <c r="P150" s="352">
        <f>IFERROR(_xlfn.XLOOKUP(G150,硫化工艺!I:I,硫化工艺!J:J),"")</f>
        <v/>
      </c>
      <c r="Q150" s="352">
        <f>IFERROR(ROUND(1440/L150*(I150)*M150,0),"")</f>
        <v/>
      </c>
      <c r="R150" s="352" t="n"/>
      <c r="S150" s="352" t="n"/>
      <c r="T150" s="352" t="n"/>
      <c r="U150" s="352" t="n"/>
      <c r="V150" s="352" t="n"/>
      <c r="W150" s="352" t="n"/>
      <c r="X150" s="352" t="n">
        <v>60</v>
      </c>
      <c r="Y150" s="352" t="n">
        <v>60</v>
      </c>
      <c r="Z150" s="352" t="n">
        <v>60</v>
      </c>
      <c r="AA150" s="352" t="n">
        <v>60</v>
      </c>
      <c r="AB150" s="352" t="n">
        <v>60</v>
      </c>
      <c r="AC150" s="352" t="n">
        <v>60</v>
      </c>
      <c r="AD150" s="352" t="n">
        <v>60</v>
      </c>
      <c r="AE150" s="352" t="n">
        <v>60</v>
      </c>
      <c r="AF150" s="352" t="n">
        <v>60</v>
      </c>
      <c r="AG150" s="352" t="n">
        <v>60</v>
      </c>
      <c r="AH150" s="352" t="n">
        <v>60</v>
      </c>
      <c r="AI150" s="352" t="n">
        <v>60</v>
      </c>
      <c r="AJ150" s="352" t="n">
        <v>60</v>
      </c>
      <c r="AK150" s="352" t="n">
        <v>60</v>
      </c>
      <c r="AL150" s="352" t="n">
        <v>60</v>
      </c>
      <c r="AM150" s="352" t="n">
        <v>60</v>
      </c>
      <c r="AN150" s="352" t="n">
        <v>60</v>
      </c>
      <c r="AO150" s="352" t="n">
        <v>60</v>
      </c>
      <c r="AP150" s="352" t="n">
        <v>60</v>
      </c>
      <c r="AQ150" s="352" t="n">
        <v>60</v>
      </c>
      <c r="AR150" s="352" t="n">
        <v>60</v>
      </c>
      <c r="AS150" s="352" t="n">
        <v>60</v>
      </c>
      <c r="AT150" s="352" t="n">
        <v>60</v>
      </c>
      <c r="AU150" s="352" t="n">
        <v>60</v>
      </c>
      <c r="AV150" s="352" t="n">
        <v>60</v>
      </c>
      <c r="AW150" s="352">
        <f>IF(SUM(R150:AV150)=0,"",SUM(R150:AV150))</f>
        <v/>
      </c>
      <c r="AX150" s="431">
        <f>IFERROR(AW150*O150/1000,"")</f>
        <v/>
      </c>
      <c r="AY150" s="431">
        <f>IFERROR(ROUND(AW150*P150/10000,3),"")</f>
        <v/>
      </c>
      <c r="AZ150" s="359" t="n"/>
      <c r="BA150" s="362" t="n"/>
      <c r="BB150" s="362" t="n"/>
      <c r="BC150" s="331" t="n"/>
      <c r="BD150" s="331" t="n"/>
      <c r="BE150" s="331" t="n"/>
      <c r="BF150" s="331" t="n"/>
      <c r="BG150" s="331" t="n"/>
      <c r="BH150" s="331" t="n"/>
      <c r="BI150" s="331" t="n"/>
      <c r="BJ150" s="356">
        <f t="array" ref="BJ150:BM150">_xlfn.LET(_xlpm.data,$R150:$AV150,_xlpm.starts,{1,8,16,23},_xlpm.lengths,{7,7,8,9},_xlpm.arr,_xlfn.MAP(_xlpm.starts,_xlpm.lengths,_xlfn.LAMBDA(_xlpm.s,_xlpm.l,SUM(INDEX(_xlpm.data,,_xlfn.SEQUENCE(,_xlpm.l,_xlpm.s))))),ROUND(_xlpm.arr*$O150/1000,2))</f>
        <v/>
      </c>
      <c r="BK150" s="331" t="n">
        <v>19.72</v>
      </c>
      <c r="BL150" s="331" t="n">
        <v>22.54</v>
      </c>
      <c r="BM150" s="331" t="n">
        <v>25.35</v>
      </c>
      <c r="BN150" s="362">
        <f>SUM(BJ150:BM150)</f>
        <v/>
      </c>
      <c r="BO150" s="362" t="n">
        <v>12.22</v>
      </c>
      <c r="BP150" s="362" t="n">
        <v>12.22</v>
      </c>
      <c r="BQ150" s="362" t="n">
        <v>13.96</v>
      </c>
      <c r="BR150" s="362" t="n">
        <v>15.71</v>
      </c>
      <c r="BS150" s="115" t="n"/>
      <c r="BT150" s="362">
        <f t="array" ref="BT150:BW150">_xlfn.HSTACK(SUM(INDEX($R150:$AV150,1,1):INDEX($R150:$AV150,1,7)),SUM(INDEX($R150:$AV150,1,7):INDEX($R150:$AV150,1,13)),SUM(INDEX($R150:$AV150,1,16):INDEX($R150:$AV150,1,23)),SUM(INDEX($R150:$AV150,1,23):INDEX($R150:$AV150,1,31)))</f>
        <v/>
      </c>
      <c r="BU150" s="362" t="n">
        <v>420</v>
      </c>
      <c r="BV150" s="362" t="n">
        <v>480</v>
      </c>
      <c r="BW150" s="362" t="n">
        <v>540</v>
      </c>
      <c r="BY150" s="362">
        <f>SUM(R150:X150)</f>
        <v/>
      </c>
      <c r="BZ150" s="362">
        <f>SUM(Y150:AE150)</f>
        <v/>
      </c>
      <c r="CA150" s="362">
        <f>SUM(AF150:AM150)</f>
        <v/>
      </c>
      <c r="CB150" s="362">
        <f>SUM(AN150:AV150)</f>
        <v/>
      </c>
      <c r="CD150" s="432" t="inlineStr">
        <is>
          <t>ADA</t>
        </is>
      </c>
      <c r="CE150" s="362">
        <f>ROUND(BY150*$O150/1000,2)</f>
        <v/>
      </c>
      <c r="CF150" s="362">
        <f>ROUND(BZ150*$O150/1000,2)</f>
        <v/>
      </c>
      <c r="CG150" s="362">
        <f>ROUND(CA150*$O150/1000,2)</f>
        <v/>
      </c>
      <c r="CH150" s="362">
        <f>ROUND(CB150*$O150/1000,2)</f>
        <v/>
      </c>
      <c r="CI150" s="362">
        <f>SUM(CE150:CH150)</f>
        <v/>
      </c>
      <c r="CJ150" s="390" t="n"/>
      <c r="CK150" s="362">
        <f>IFERROR(ROUND(BY150*$P150,2),"")</f>
        <v/>
      </c>
      <c r="CL150" s="362">
        <f>IFERROR(ROUND(BZ150*$P150,2),"")</f>
        <v/>
      </c>
      <c r="CM150" s="362">
        <f>IFERROR(ROUND(CA150*$P150,2),"")</f>
        <v/>
      </c>
      <c r="CN150" s="362">
        <f>IFERROR(ROUND(CB150*$P150,2),"")</f>
        <v/>
      </c>
      <c r="CO150" s="362">
        <f>SUM(CK150:CN150)</f>
        <v/>
      </c>
    </row>
    <row r="151" hidden="1" ht="15.6" customFormat="1" customHeight="1" s="362">
      <c r="A151" s="331" t="n"/>
      <c r="B151" s="344">
        <f>_xlfn.XLOOKUP(G151,销售需求表!A:A,销售需求表!C:C)</f>
        <v/>
      </c>
      <c r="C151" s="345">
        <f>IFERROR(MID(F151,FIND("R",F151)+1,4),"")</f>
        <v/>
      </c>
      <c r="D151" s="365">
        <f>B151&amp;C151&amp;"寸"</f>
        <v/>
      </c>
      <c r="E151" s="346">
        <f>LEFT(REPLACE(G151,1,2,""),FIND("[",REPLACE(G151,1,2,""))-1)&amp;"-"&amp;MID(REPLACE(G151,1,2,""),FIND("[",REPLACE(G151,1,2,""))+1,FIND("]",REPLACE(G151,1,2,""))-FIND("[",REPLACE(G151,1,2,""))-1)</f>
        <v/>
      </c>
      <c r="F151" s="347">
        <f>IFERROR(MID(G151,3,FIND("(",G151)-3)&amp;"-"&amp;SUBSTITUTE(MID(G151,FIND("[",G151)+1,FIND("]",G151)-FIND("[",G151)-1),"Strong Guard ",""),"")</f>
        <v/>
      </c>
      <c r="G151" s="366" t="inlineStr">
        <is>
          <t>ID275/70R22.5-16PR(148/145L)[M-TRAC AP]MASTERTRACK无内</t>
        </is>
      </c>
      <c r="H151" s="344" t="n">
        <v>1000</v>
      </c>
      <c r="I151" s="348" t="n"/>
      <c r="J151" s="349">
        <f>IFERROR(LEFT(F151,FIND("-",F151))&amp;MID(F151,FIND("PR",F151,FIND("-",F151))+3,LEN(F151)),F151)</f>
        <v/>
      </c>
      <c r="K151" s="352">
        <f>_xlfn.XLOOKUP(F151,投产规格!E:E,投产规格!D:D,"未投产")</f>
        <v/>
      </c>
      <c r="L151" s="352">
        <f>IFERROR(_xlfn.XLOOKUP(F151,硫化工艺!B:B,硫化工艺!C:C),"")</f>
        <v/>
      </c>
      <c r="M151" s="430">
        <f>IF(L151="","",L151/(L151+$L$1/60))</f>
        <v/>
      </c>
      <c r="N151" s="352">
        <f>C151&amp;"全钢"</f>
        <v/>
      </c>
      <c r="O151" s="352">
        <f>IFERROR(_xlfn.XLOOKUP(F151,轮胎重量!J:J,轮胎重量!G:G),"")</f>
        <v/>
      </c>
      <c r="P151" s="358">
        <f>O151*13.9</f>
        <v/>
      </c>
      <c r="Q151" s="352">
        <f>IFERROR(ROUND(1440/L151*(I151)*M151,0),"")</f>
        <v/>
      </c>
      <c r="R151" s="352" t="n"/>
      <c r="S151" s="352" t="n"/>
      <c r="T151" s="352" t="n"/>
      <c r="U151" s="352" t="n"/>
      <c r="V151" s="352" t="n"/>
      <c r="W151" s="352" t="n"/>
      <c r="X151" s="352" t="n"/>
      <c r="Y151" s="352" t="n"/>
      <c r="Z151" s="352" t="n"/>
      <c r="AA151" s="352" t="n"/>
      <c r="AB151" s="352" t="n"/>
      <c r="AC151" s="352" t="n"/>
      <c r="AD151" s="352" t="n"/>
      <c r="AE151" s="352" t="n"/>
      <c r="AF151" s="352" t="n"/>
      <c r="AG151" s="352" t="n"/>
      <c r="AH151" s="352" t="n"/>
      <c r="AI151" s="352" t="n"/>
      <c r="AJ151" s="352" t="n"/>
      <c r="AK151" s="352" t="n"/>
      <c r="AL151" s="352" t="n"/>
      <c r="AM151" s="352" t="n"/>
      <c r="AN151" s="352" t="n"/>
      <c r="AO151" s="352" t="n"/>
      <c r="AP151" s="352" t="n"/>
      <c r="AQ151" s="352" t="n"/>
      <c r="AR151" s="352" t="n"/>
      <c r="AS151" s="352" t="n"/>
      <c r="AT151" s="352" t="n"/>
      <c r="AU151" s="352" t="n"/>
      <c r="AV151" s="352" t="n"/>
      <c r="AW151" s="352">
        <f>IF(SUM(R151:AV151)=0,"",SUM(R151:AV151))</f>
        <v/>
      </c>
      <c r="AX151" s="431">
        <f>IFERROR(AW151*O151/1000,"")</f>
        <v/>
      </c>
      <c r="AY151" s="431">
        <f>IFERROR(ROUND(AW151*P151/10000,3),"")</f>
        <v/>
      </c>
      <c r="AZ151" s="359" t="n"/>
      <c r="BA151" s="362" t="n"/>
      <c r="BB151" s="362" t="n"/>
      <c r="BC151" s="331" t="n"/>
      <c r="BD151" s="331" t="n"/>
      <c r="BE151" s="331" t="n"/>
      <c r="BF151" s="331" t="n"/>
      <c r="BG151" s="331" t="n"/>
      <c r="BH151" s="331" t="n"/>
      <c r="BI151" s="331" t="n"/>
      <c r="BJ151" s="356">
        <f t="array" ref="BJ151:BM151">_xlfn.LET(_xlpm.data,$R151:$AV151,_xlpm.starts,{1,8,16,23},_xlpm.lengths,{7,7,8,9},_xlpm.arr,_xlfn.MAP(_xlpm.starts,_xlpm.lengths,_xlfn.LAMBDA(_xlpm.s,_xlpm.l,SUM(INDEX(_xlpm.data,,_xlfn.SEQUENCE(,_xlpm.l,_xlpm.s))))),ROUND(_xlpm.arr*$O151/1000,2))</f>
        <v/>
      </c>
      <c r="BK151" s="331" t="n">
        <v>0</v>
      </c>
      <c r="BL151" s="331" t="n">
        <v>0</v>
      </c>
      <c r="BM151" s="331" t="n">
        <v>0</v>
      </c>
      <c r="BN151" s="362">
        <f>SUM(BJ151:BM151)</f>
        <v/>
      </c>
      <c r="BO151" s="362" t="n">
        <v>12.22</v>
      </c>
      <c r="BP151" s="362" t="n">
        <v>12.22</v>
      </c>
      <c r="BQ151" s="362" t="n">
        <v>13.96</v>
      </c>
      <c r="BR151" s="362" t="n">
        <v>15.71</v>
      </c>
      <c r="BS151" s="115" t="n"/>
      <c r="BT151" s="362">
        <f t="array" ref="BT151:BW151">_xlfn.HSTACK(SUM(INDEX($R151:$AV151,1,1):INDEX($R151:$AV151,1,7)),SUM(INDEX($R151:$AV151,1,7):INDEX($R151:$AV151,1,13)),SUM(INDEX($R151:$AV151,1,16):INDEX($R151:$AV151,1,23)),SUM(INDEX($R151:$AV151,1,23):INDEX($R151:$AV151,1,31)))</f>
        <v/>
      </c>
      <c r="BU151" s="362" t="n">
        <v>0</v>
      </c>
      <c r="BV151" s="362" t="n">
        <v>0</v>
      </c>
      <c r="BW151" s="362" t="n">
        <v>0</v>
      </c>
      <c r="BY151" s="362">
        <f>SUM(R151:X151)</f>
        <v/>
      </c>
      <c r="BZ151" s="362">
        <f>SUM(Y151:AE151)</f>
        <v/>
      </c>
      <c r="CA151" s="362">
        <f>SUM(AF151:AM151)</f>
        <v/>
      </c>
      <c r="CB151" s="362">
        <f>SUM(AN151:AV151)</f>
        <v/>
      </c>
      <c r="CD151" s="432" t="inlineStr">
        <is>
          <t>ADA</t>
        </is>
      </c>
      <c r="CE151" s="362">
        <f>ROUND(BY151*$O151/1000,2)</f>
        <v/>
      </c>
      <c r="CF151" s="362">
        <f>ROUND(BZ151*$O151/1000,2)</f>
        <v/>
      </c>
      <c r="CG151" s="362">
        <f>ROUND(CA151*$O151/1000,2)</f>
        <v/>
      </c>
      <c r="CH151" s="362">
        <f>ROUND(CB151*$O151/1000,2)</f>
        <v/>
      </c>
      <c r="CI151" s="362">
        <f>SUM(CE151:CH151)</f>
        <v/>
      </c>
      <c r="CJ151" s="390" t="n"/>
      <c r="CK151" s="362">
        <f>IFERROR(ROUND(BY151*$P151,2),"")</f>
        <v/>
      </c>
      <c r="CL151" s="362">
        <f>IFERROR(ROUND(BZ151*$P151,2),"")</f>
        <v/>
      </c>
      <c r="CM151" s="362">
        <f>IFERROR(ROUND(CA151*$P151,2),"")</f>
        <v/>
      </c>
      <c r="CN151" s="362">
        <f>IFERROR(ROUND(CB151*$P151,2),"")</f>
        <v/>
      </c>
      <c r="CO151" s="362">
        <f>SUM(CK151:CN151)</f>
        <v/>
      </c>
    </row>
    <row r="152" hidden="1" ht="15.6" customHeight="1" s="428">
      <c r="B152" s="344">
        <f>_xlfn.XLOOKUP(G152,销售需求表!A:A,销售需求表!C:C)</f>
        <v/>
      </c>
      <c r="C152" s="345">
        <f>IFERROR(MID(F152,FIND("R",F152)+1,4),"")</f>
        <v/>
      </c>
      <c r="D152" s="365">
        <f>B152&amp;C152&amp;"寸"</f>
        <v/>
      </c>
      <c r="E152" s="346">
        <f>LEFT(REPLACE(G152,1,2,""),FIND("[",REPLACE(G152,1,2,""))-1)&amp;"-"&amp;MID(REPLACE(G152,1,2,""),FIND("[",REPLACE(G152,1,2,""))+1,FIND("]",REPLACE(G152,1,2,""))-FIND("[",REPLACE(G152,1,2,""))-1)</f>
        <v/>
      </c>
      <c r="F152" s="347">
        <f>IFERROR(MID(G152,3,FIND("(",G152)-3)&amp;"-"&amp;SUBSTITUTE(MID(G152,FIND("[",G152)+1,FIND("]",G152)-FIND("[",G152)-1),"Strong Guard ",""),"")</f>
        <v/>
      </c>
      <c r="G152" s="366" t="inlineStr">
        <is>
          <t>ID275/70R22.5-16PR(148/145M)[Strong Guard H-RA]HERCULES无内</t>
        </is>
      </c>
      <c r="H152" s="344" t="n">
        <v>900</v>
      </c>
      <c r="I152" s="348" t="n"/>
      <c r="J152" s="349">
        <f>IFERROR(LEFT(F152,FIND("-",F152))&amp;MID(F152,FIND("PR",F152,FIND("-",F152))+3,LEN(F152)),F152)</f>
        <v/>
      </c>
      <c r="K152" s="352">
        <f>_xlfn.XLOOKUP(F152,投产规格!E:E,投产规格!D:D,"未投产")</f>
        <v/>
      </c>
      <c r="L152" s="352">
        <f>IFERROR(_xlfn.XLOOKUP(F152,硫化工艺!B:B,硫化工艺!C:C),"")</f>
        <v/>
      </c>
      <c r="M152" s="430">
        <f>IF(L152="","",L152/(L152+$L$1/60))</f>
        <v/>
      </c>
      <c r="N152" s="352">
        <f>C152&amp;"全钢"</f>
        <v/>
      </c>
      <c r="O152" s="352">
        <f>IFERROR(_xlfn.XLOOKUP(F152,轮胎重量!J:J,轮胎重量!G:G),"")</f>
        <v/>
      </c>
      <c r="P152" s="352">
        <f>IFERROR(_xlfn.XLOOKUP(G152,硫化工艺!I:I,硫化工艺!J:J),"")</f>
        <v/>
      </c>
      <c r="Q152" s="352">
        <f>IFERROR(ROUND(1440/L152*(I152)*M152,0),"")</f>
        <v/>
      </c>
      <c r="R152" s="352" t="n"/>
      <c r="S152" s="352" t="n"/>
      <c r="T152" s="352" t="n"/>
      <c r="U152" s="352" t="n"/>
      <c r="V152" s="352" t="n"/>
      <c r="W152" s="352" t="n"/>
      <c r="X152" s="352" t="n"/>
      <c r="Y152" s="352" t="n"/>
      <c r="Z152" s="352" t="n"/>
      <c r="AA152" s="352" t="n"/>
      <c r="AB152" s="352" t="n"/>
      <c r="AC152" s="352" t="n"/>
      <c r="AD152" s="352" t="n"/>
      <c r="AE152" s="352" t="n"/>
      <c r="AF152" s="352" t="n"/>
      <c r="AG152" s="352" t="n"/>
      <c r="AH152" s="352" t="n"/>
      <c r="AI152" s="352" t="n"/>
      <c r="AJ152" s="352" t="n"/>
      <c r="AK152" s="352" t="n"/>
      <c r="AL152" s="352" t="n"/>
      <c r="AM152" s="352" t="n"/>
      <c r="AN152" s="352" t="n"/>
      <c r="AO152" s="352" t="n"/>
      <c r="AP152" s="352" t="n"/>
      <c r="AQ152" s="352" t="n"/>
      <c r="AR152" s="352" t="n"/>
      <c r="AS152" s="352" t="n"/>
      <c r="AT152" s="352" t="n"/>
      <c r="AU152" s="352" t="n"/>
      <c r="AV152" s="352" t="n"/>
      <c r="AW152" s="352">
        <f>IF(SUM(R152:AV152)=0,"",SUM(R152:AV152))</f>
        <v/>
      </c>
      <c r="AX152" s="431">
        <f>IFERROR(AW152*O152/1000,"")</f>
        <v/>
      </c>
      <c r="AY152" s="431">
        <f>IFERROR(ROUND(AW152*P152/10000,3),"")</f>
        <v/>
      </c>
      <c r="AZ152" s="359" t="n"/>
      <c r="BA152" s="362" t="n"/>
      <c r="BB152" s="362" t="n"/>
      <c r="BJ152" s="356">
        <f t="array" ref="BJ152:BM152">_xlfn.LET(_xlpm.data,$R152:$AV152,_xlpm.starts,{1,8,16,23},_xlpm.lengths,{7,7,8,9},_xlpm.arr,_xlfn.MAP(_xlpm.starts,_xlpm.lengths,_xlfn.LAMBDA(_xlpm.s,_xlpm.l,SUM(INDEX(_xlpm.data,,_xlfn.SEQUENCE(,_xlpm.l,_xlpm.s))))),ROUND(_xlpm.arr*$O152/1000,2))</f>
        <v/>
      </c>
      <c r="BK152" s="331" t="n">
        <v>0</v>
      </c>
      <c r="BL152" s="331" t="n">
        <v>0</v>
      </c>
      <c r="BM152" s="331" t="n">
        <v>0</v>
      </c>
      <c r="BN152" s="362">
        <f>SUM(BJ152:BM152)</f>
        <v/>
      </c>
      <c r="BO152" s="362" t="n">
        <v>12.81</v>
      </c>
      <c r="BP152" s="362" t="n">
        <v>12.81</v>
      </c>
      <c r="BQ152" s="362" t="n">
        <v>14.64</v>
      </c>
      <c r="BR152" s="362" t="n">
        <v>16.47</v>
      </c>
      <c r="BT152" s="362">
        <f t="array" ref="BT152:BW152">_xlfn.HSTACK(SUM(INDEX($R152:$AV152,1,1):INDEX($R152:$AV152,1,7)),SUM(INDEX($R152:$AV152,1,7):INDEX($R152:$AV152,1,13)),SUM(INDEX($R152:$AV152,1,16):INDEX($R152:$AV152,1,23)),SUM(INDEX($R152:$AV152,1,23):INDEX($R152:$AV152,1,31)))</f>
        <v/>
      </c>
      <c r="BU152" s="362" t="n">
        <v>0</v>
      </c>
      <c r="BV152" s="362" t="n">
        <v>0</v>
      </c>
      <c r="BW152" s="362" t="n">
        <v>0</v>
      </c>
      <c r="BY152" s="362">
        <f>SUM(R152:X152)</f>
        <v/>
      </c>
      <c r="BZ152" s="362">
        <f>SUM(Y152:AE152)</f>
        <v/>
      </c>
      <c r="CA152" s="362">
        <f>SUM(AF152:AM152)</f>
        <v/>
      </c>
      <c r="CB152" s="362">
        <f>SUM(AN152:AV152)</f>
        <v/>
      </c>
      <c r="CD152" s="432" t="inlineStr">
        <is>
          <t>ADA</t>
        </is>
      </c>
      <c r="CE152" s="362">
        <f>ROUND(BY152*$O152/1000,2)</f>
        <v/>
      </c>
      <c r="CF152" s="362">
        <f>ROUND(BZ152*$O152/1000,2)</f>
        <v/>
      </c>
      <c r="CG152" s="362">
        <f>ROUND(CA152*$O152/1000,2)</f>
        <v/>
      </c>
      <c r="CH152" s="362">
        <f>ROUND(CB152*$O152/1000,2)</f>
        <v/>
      </c>
      <c r="CI152" s="362">
        <f>SUM(CE152:CH152)</f>
        <v/>
      </c>
      <c r="CK152" s="362">
        <f>IFERROR(ROUND(BY152*$P152,2),"")</f>
        <v/>
      </c>
      <c r="CL152" s="362">
        <f>IFERROR(ROUND(BZ152*$P152,2),"")</f>
        <v/>
      </c>
      <c r="CM152" s="362">
        <f>IFERROR(ROUND(CA152*$P152,2),"")</f>
        <v/>
      </c>
      <c r="CN152" s="362">
        <f>IFERROR(ROUND(CB152*$P152,2),"")</f>
        <v/>
      </c>
      <c r="CO152" s="362">
        <f>SUM(CK152:CN152)</f>
        <v/>
      </c>
    </row>
    <row r="153" hidden="1" ht="15.6" customFormat="1" customHeight="1" s="362">
      <c r="A153" s="331" t="n"/>
      <c r="B153" s="344">
        <f>_xlfn.XLOOKUP(G153,销售需求表!A:A,销售需求表!C:C)</f>
        <v/>
      </c>
      <c r="C153" s="345">
        <f>IFERROR(MID(F153,FIND("R",F153)+1,4),"")</f>
        <v/>
      </c>
      <c r="D153" s="365">
        <f>B153&amp;C153&amp;"寸"</f>
        <v/>
      </c>
      <c r="E153" s="346">
        <f>LEFT(REPLACE(G153,1,2,""),FIND("[",REPLACE(G153,1,2,""))-1)&amp;"-"&amp;MID(REPLACE(G153,1,2,""),FIND("[",REPLACE(G153,1,2,""))+1,FIND("]",REPLACE(G153,1,2,""))-FIND("[",REPLACE(G153,1,2,""))-1)</f>
        <v/>
      </c>
      <c r="F153" s="347">
        <f>IFERROR(MID(G153,3,FIND("(",G153)-3)&amp;"-"&amp;SUBSTITUTE(MID(G153,FIND("[",G153)+1,FIND("]",G153)-FIND("[",G153)-1),"Strong Guard ",""),"")</f>
        <v/>
      </c>
      <c r="G153" s="366" t="inlineStr">
        <is>
          <t>ID275/70R22.5-18PR(152/148L)[I-19A]IRONMAN无内 美国</t>
        </is>
      </c>
      <c r="H153" s="344" t="n">
        <v>1200</v>
      </c>
      <c r="I153" s="348" t="n"/>
      <c r="J153" s="349">
        <f>IFERROR(LEFT(F153,FIND("-",F153))&amp;MID(F153,FIND("PR",F153,FIND("-",F153))+3,LEN(F153)),F153)</f>
        <v/>
      </c>
      <c r="K153" s="352">
        <f>_xlfn.XLOOKUP(F153,投产规格!E:E,投产规格!D:D,"未投产")</f>
        <v/>
      </c>
      <c r="L153" s="352">
        <f>IFERROR(_xlfn.XLOOKUP(F153,硫化工艺!B:B,硫化工艺!C:C),"")</f>
        <v/>
      </c>
      <c r="M153" s="430">
        <f>IF(L153="","",L153/(L153+$L$1/60))</f>
        <v/>
      </c>
      <c r="N153" s="352">
        <f>C153&amp;"全钢"</f>
        <v/>
      </c>
      <c r="O153" s="352">
        <f>IFERROR(_xlfn.XLOOKUP(F153,轮胎重量!J:J,轮胎重量!G:G),"")</f>
        <v/>
      </c>
      <c r="P153" s="352">
        <f>IFERROR(_xlfn.XLOOKUP(G153,硫化工艺!I:I,硫化工艺!J:J),"")</f>
        <v/>
      </c>
      <c r="Q153" s="352">
        <f>IFERROR(ROUND(1440/L153*(I153)*M153,0),"")</f>
        <v/>
      </c>
      <c r="R153" s="352" t="n"/>
      <c r="S153" s="352" t="n"/>
      <c r="T153" s="352" t="n"/>
      <c r="U153" s="352" t="n"/>
      <c r="V153" s="352" t="n"/>
      <c r="W153" s="352" t="n"/>
      <c r="X153" s="352" t="n"/>
      <c r="Y153" s="352" t="n"/>
      <c r="Z153" s="352" t="n"/>
      <c r="AA153" s="352" t="n"/>
      <c r="AB153" s="352" t="n"/>
      <c r="AC153" s="352" t="n"/>
      <c r="AD153" s="352" t="n"/>
      <c r="AE153" s="352" t="n"/>
      <c r="AF153" s="352" t="n"/>
      <c r="AG153" s="352" t="n"/>
      <c r="AH153" s="352" t="n"/>
      <c r="AI153" s="352" t="n"/>
      <c r="AJ153" s="352" t="n"/>
      <c r="AK153" s="352" t="n"/>
      <c r="AL153" s="352" t="n"/>
      <c r="AM153" s="352" t="n"/>
      <c r="AN153" s="352" t="n"/>
      <c r="AO153" s="352" t="n"/>
      <c r="AP153" s="352" t="n"/>
      <c r="AQ153" s="352" t="n"/>
      <c r="AR153" s="352" t="n"/>
      <c r="AS153" s="352" t="n"/>
      <c r="AT153" s="352" t="n"/>
      <c r="AU153" s="352" t="n"/>
      <c r="AV153" s="352" t="n"/>
      <c r="AW153" s="352">
        <f>IF(SUM(R153:AV153)=0,"",SUM(R153:AV153))</f>
        <v/>
      </c>
      <c r="AX153" s="431">
        <f>IFERROR(AW153*O153/1000,"")</f>
        <v/>
      </c>
      <c r="AY153" s="431">
        <f>IFERROR(ROUND(AW153*P153/10000,3),"")</f>
        <v/>
      </c>
      <c r="AZ153" s="359" t="n"/>
      <c r="BA153" s="362" t="n"/>
      <c r="BB153" s="362" t="n"/>
      <c r="BC153" s="331" t="n"/>
      <c r="BD153" s="331" t="n"/>
      <c r="BE153" s="331" t="n"/>
      <c r="BF153" s="331" t="n"/>
      <c r="BG153" s="331" t="n"/>
      <c r="BH153" s="331" t="n"/>
      <c r="BI153" s="331" t="n"/>
      <c r="BJ153" s="356">
        <f t="array" ref="BJ153:BM153">_xlfn.LET(_xlpm.data,$R153:$AV153,_xlpm.starts,{1,8,16,23},_xlpm.lengths,{7,7,8,9},_xlpm.arr,_xlfn.MAP(_xlpm.starts,_xlpm.lengths,_xlfn.LAMBDA(_xlpm.s,_xlpm.l,SUM(INDEX(_xlpm.data,,_xlfn.SEQUENCE(,_xlpm.l,_xlpm.s))))),ROUND(_xlpm.arr*$O153/1000,2))</f>
        <v/>
      </c>
      <c r="BK153" s="331" t="n">
        <v>0</v>
      </c>
      <c r="BL153" s="331" t="n">
        <v>0</v>
      </c>
      <c r="BM153" s="331" t="n">
        <v>0</v>
      </c>
      <c r="BN153" s="362">
        <f>SUM(BJ153:BM153)</f>
        <v/>
      </c>
      <c r="BO153" s="362" t="n">
        <v>12.22</v>
      </c>
      <c r="BP153" s="362" t="n">
        <v>12.22</v>
      </c>
      <c r="BQ153" s="362" t="n">
        <v>13.96</v>
      </c>
      <c r="BR153" s="362" t="n">
        <v>15.71</v>
      </c>
      <c r="BS153" s="115" t="n"/>
      <c r="BT153" s="362">
        <f t="array" ref="BT153:BW153">_xlfn.HSTACK(SUM(INDEX($R153:$AV153,1,1):INDEX($R153:$AV153,1,7)),SUM(INDEX($R153:$AV153,1,7):INDEX($R153:$AV153,1,13)),SUM(INDEX($R153:$AV153,1,16):INDEX($R153:$AV153,1,23)),SUM(INDEX($R153:$AV153,1,23):INDEX($R153:$AV153,1,31)))</f>
        <v/>
      </c>
      <c r="BU153" s="362" t="n">
        <v>0</v>
      </c>
      <c r="BV153" s="362" t="n">
        <v>0</v>
      </c>
      <c r="BW153" s="362" t="n">
        <v>0</v>
      </c>
      <c r="BY153" s="362">
        <f>SUM(R153:X153)</f>
        <v/>
      </c>
      <c r="BZ153" s="362">
        <f>SUM(Y153:AE153)</f>
        <v/>
      </c>
      <c r="CA153" s="362">
        <f>SUM(AF153:AM153)</f>
        <v/>
      </c>
      <c r="CB153" s="362">
        <f>SUM(AN153:AV153)</f>
        <v/>
      </c>
      <c r="CD153" s="432" t="inlineStr">
        <is>
          <t>ADA</t>
        </is>
      </c>
      <c r="CE153" s="362">
        <f>ROUND(BY153*$O153/1000,2)</f>
        <v/>
      </c>
      <c r="CF153" s="362">
        <f>ROUND(BZ153*$O153/1000,2)</f>
        <v/>
      </c>
      <c r="CG153" s="362">
        <f>ROUND(CA153*$O153/1000,2)</f>
        <v/>
      </c>
      <c r="CH153" s="362">
        <f>ROUND(CB153*$O153/1000,2)</f>
        <v/>
      </c>
      <c r="CI153" s="362">
        <f>SUM(CE153:CH153)</f>
        <v/>
      </c>
      <c r="CJ153" s="390" t="n"/>
      <c r="CK153" s="362">
        <f>IFERROR(ROUND(BY153*$P153,2),"")</f>
        <v/>
      </c>
      <c r="CL153" s="362">
        <f>IFERROR(ROUND(BZ153*$P153,2),"")</f>
        <v/>
      </c>
      <c r="CM153" s="362">
        <f>IFERROR(ROUND(CA153*$P153,2),"")</f>
        <v/>
      </c>
      <c r="CN153" s="362">
        <f>IFERROR(ROUND(CB153*$P153,2),"")</f>
        <v/>
      </c>
      <c r="CO153" s="362">
        <f>SUM(CK153:CN153)</f>
        <v/>
      </c>
    </row>
    <row r="154" ht="15.6" customHeight="1" s="428">
      <c r="B154" s="344">
        <f>_xlfn.XLOOKUP(G154,销售需求表!A:A,销售需求表!C:C)</f>
        <v/>
      </c>
      <c r="C154" s="345">
        <f>IFERROR(MID(F154,FIND("R",F154)+1,4),"")</f>
        <v/>
      </c>
      <c r="D154" s="344">
        <f>B154&amp;C154&amp;"寸"</f>
        <v/>
      </c>
      <c r="E154" s="346">
        <f>LEFT(REPLACE(G154,1,2,""),FIND("[",REPLACE(G154,1,2,""))-1)&amp;"-"&amp;MID(REPLACE(G154,1,2,""),FIND("[",REPLACE(G154,1,2,""))+1,FIND("]",REPLACE(G154,1,2,""))-FIND("[",REPLACE(G154,1,2,""))-1)</f>
        <v/>
      </c>
      <c r="F154" s="347">
        <f>IFERROR(MID(G154,3,FIND("(",G154)-3)&amp;"-"&amp;SUBSTITUTE(MID(G154,FIND("[",G154)+1,FIND("]",G154)-FIND("[",G154)-1),"Strong Guard ",""),"")</f>
        <v/>
      </c>
      <c r="G154" s="346" t="inlineStr">
        <is>
          <t>ID275/80R22.5-16PR(149/146L)[AD153]威狮无内</t>
        </is>
      </c>
      <c r="H154" s="344" t="n">
        <v>400</v>
      </c>
      <c r="I154" s="348" t="n">
        <v>2</v>
      </c>
      <c r="J154" s="349">
        <f>IFERROR(LEFT(F154,FIND("-",F154))&amp;MID(F154,FIND("PR",F154,FIND("-",F154))+3,LEN(F154)),F154)</f>
        <v/>
      </c>
      <c r="K154" s="352">
        <f>_xlfn.XLOOKUP(F154,投产规格!E:E,投产规格!D:D,"未投产")</f>
        <v/>
      </c>
      <c r="L154" s="352">
        <f>IFERROR(_xlfn.XLOOKUP(F154,硫化工艺!B:B,硫化工艺!C:C),"")</f>
        <v/>
      </c>
      <c r="M154" s="430">
        <f>IF(L154="","",L154/(L154+$L$1/60))</f>
        <v/>
      </c>
      <c r="N154" s="352">
        <f>C154&amp;"全钢"</f>
        <v/>
      </c>
      <c r="O154" s="352">
        <f>IFERROR(_xlfn.XLOOKUP(F154,轮胎重量!J:J,轮胎重量!G:G),"")</f>
        <v/>
      </c>
      <c r="P154" s="352">
        <f>IFERROR(_xlfn.XLOOKUP(G154,硫化工艺!I:I,硫化工艺!J:J),"")</f>
        <v/>
      </c>
      <c r="Q154" s="352">
        <f>IFERROR(ROUND(1440/L154*(I154)*M154,0),"")</f>
        <v/>
      </c>
      <c r="R154" s="352" t="n">
        <v>60</v>
      </c>
      <c r="S154" s="352" t="n">
        <v>60</v>
      </c>
      <c r="T154" s="352" t="n">
        <v>60</v>
      </c>
      <c r="U154" s="352" t="n">
        <v>60</v>
      </c>
      <c r="V154" s="352" t="n">
        <v>60</v>
      </c>
      <c r="W154" s="352" t="n">
        <v>60</v>
      </c>
      <c r="X154" s="352" t="n">
        <v>60</v>
      </c>
      <c r="Y154" s="352" t="n"/>
      <c r="Z154" s="352" t="n"/>
      <c r="AA154" s="352" t="n"/>
      <c r="AB154" s="352" t="n"/>
      <c r="AC154" s="352" t="n"/>
      <c r="AD154" s="352" t="n"/>
      <c r="AE154" s="352" t="n"/>
      <c r="AF154" s="352" t="n"/>
      <c r="AG154" s="352" t="n"/>
      <c r="AH154" s="352" t="n"/>
      <c r="AI154" s="352" t="n"/>
      <c r="AJ154" s="352" t="n"/>
      <c r="AK154" s="352" t="n"/>
      <c r="AL154" s="352" t="n"/>
      <c r="AM154" s="352" t="n"/>
      <c r="AN154" s="352" t="n"/>
      <c r="AO154" s="352" t="n"/>
      <c r="AP154" s="352" t="n"/>
      <c r="AQ154" s="352" t="n"/>
      <c r="AR154" s="352" t="n"/>
      <c r="AS154" s="352" t="n"/>
      <c r="AT154" s="352" t="n"/>
      <c r="AU154" s="352" t="n"/>
      <c r="AV154" s="352" t="n"/>
      <c r="AW154" s="352">
        <f>IF(SUM(R154:AV154)=0,"",SUM(R154:AV154))</f>
        <v/>
      </c>
      <c r="AX154" s="431">
        <f>IFERROR(AW154*O154/1000,"")</f>
        <v/>
      </c>
      <c r="AY154" s="431">
        <f>IFERROR(ROUND(AW154*P154/10000,3),"")</f>
        <v/>
      </c>
      <c r="AZ154" s="354" t="n">
        <v>516.51</v>
      </c>
      <c r="BA154" s="355" t="n">
        <v>32.43</v>
      </c>
      <c r="BB154" s="355" t="n">
        <v>53.28</v>
      </c>
      <c r="BC154" s="355" t="n">
        <v>55.75</v>
      </c>
      <c r="BE154" s="331">
        <f>AZ154*AW154</f>
        <v/>
      </c>
      <c r="BF154" s="331">
        <f>BA154*AW154</f>
        <v/>
      </c>
      <c r="BG154" s="331">
        <f>BB154*AW154</f>
        <v/>
      </c>
      <c r="BH154" s="331">
        <f>BC154*AW154</f>
        <v/>
      </c>
      <c r="BJ154" s="356">
        <f t="array" ref="BJ154:BM154">_xlfn.LET(_xlpm.data,$R154:$AV154,_xlpm.starts,{1,8,16,23},_xlpm.lengths,{7,7,8,9},_xlpm.arr,_xlfn.MAP(_xlpm.starts,_xlpm.lengths,_xlfn.LAMBDA(_xlpm.s,_xlpm.l,SUM(INDEX(_xlpm.data,,_xlfn.SEQUENCE(,_xlpm.l,_xlpm.s))))),ROUND(_xlpm.arr*$O154/1000,2))</f>
        <v/>
      </c>
      <c r="BK154" s="331" t="n">
        <v>0</v>
      </c>
      <c r="BL154" s="331" t="n">
        <v>0</v>
      </c>
      <c r="BM154" s="331" t="n">
        <v>0</v>
      </c>
      <c r="BN154" s="362">
        <f>SUM(BJ154:BM154)</f>
        <v/>
      </c>
      <c r="BO154" s="362" t="n">
        <v>104.49</v>
      </c>
      <c r="BP154" s="362" t="n">
        <v>104.49</v>
      </c>
      <c r="BQ154" s="362" t="n">
        <v>119.42</v>
      </c>
      <c r="BR154" s="362" t="n">
        <v>134.35</v>
      </c>
      <c r="BT154" s="362">
        <f t="array" ref="BT154:BW154">_xlfn.HSTACK(SUM(INDEX($R154:$AV154,1,1):INDEX($R154:$AV154,1,7)),SUM(INDEX($R154:$AV154,1,7):INDEX($R154:$AV154,1,13)),SUM(INDEX($R154:$AV154,1,16):INDEX($R154:$AV154,1,23)),SUM(INDEX($R154:$AV154,1,23):INDEX($R154:$AV154,1,31)))</f>
        <v/>
      </c>
      <c r="BU154" s="362" t="n">
        <v>60</v>
      </c>
      <c r="BV154" s="362" t="n">
        <v>0</v>
      </c>
      <c r="BW154" s="362" t="n">
        <v>0</v>
      </c>
      <c r="BY154" s="362">
        <f>SUM(R154:X154)</f>
        <v/>
      </c>
      <c r="BZ154" s="362">
        <f>SUM(Y154:AE154)</f>
        <v/>
      </c>
      <c r="CA154" s="362">
        <f>SUM(AF154:AM154)</f>
        <v/>
      </c>
      <c r="CB154" s="362">
        <f>SUM(AN154:AV154)</f>
        <v/>
      </c>
      <c r="CD154" s="432" t="inlineStr">
        <is>
          <t>ADA</t>
        </is>
      </c>
      <c r="CE154" s="362">
        <f>ROUND(BY154*$O154/1000,2)</f>
        <v/>
      </c>
      <c r="CF154" s="362">
        <f>ROUND(BZ154*$O154/1000,2)</f>
        <v/>
      </c>
      <c r="CG154" s="362">
        <f>ROUND(CA154*$O154/1000,2)</f>
        <v/>
      </c>
      <c r="CH154" s="362">
        <f>ROUND(CB154*$O154/1000,2)</f>
        <v/>
      </c>
      <c r="CI154" s="362">
        <f>SUM(CE154:CH154)</f>
        <v/>
      </c>
      <c r="CK154" s="362">
        <f>IFERROR(ROUND(BY154*$P154,2),"")</f>
        <v/>
      </c>
      <c r="CL154" s="362">
        <f>IFERROR(ROUND(BZ154*$P154,2),"")</f>
        <v/>
      </c>
      <c r="CM154" s="362">
        <f>IFERROR(ROUND(CA154*$P154,2),"")</f>
        <v/>
      </c>
      <c r="CN154" s="362">
        <f>IFERROR(ROUND(CB154*$P154,2),"")</f>
        <v/>
      </c>
      <c r="CO154" s="362">
        <f>SUM(CK154:CN154)</f>
        <v/>
      </c>
    </row>
    <row r="155" hidden="1" ht="15.6" customFormat="1" customHeight="1" s="362">
      <c r="A155" s="331" t="n"/>
      <c r="B155" s="344">
        <f>_xlfn.XLOOKUP(G155,销售需求表!A:A,销售需求表!C:C)</f>
        <v/>
      </c>
      <c r="C155" s="345">
        <f>IFERROR(MID(F155,FIND("R",F155)+1,4),"")</f>
        <v/>
      </c>
      <c r="D155" s="344">
        <f>B155&amp;C155&amp;"寸"</f>
        <v/>
      </c>
      <c r="E155" s="346">
        <f>LEFT(REPLACE(G155,1,2,""),FIND("[",REPLACE(G155,1,2,""))-1)&amp;"-"&amp;MID(REPLACE(G155,1,2,""),FIND("[",REPLACE(G155,1,2,""))+1,FIND("]",REPLACE(G155,1,2,""))-FIND("[",REPLACE(G155,1,2,""))-1)</f>
        <v/>
      </c>
      <c r="F155" s="347">
        <f>IFERROR(MID(G155,3,FIND("(",G155)-3)&amp;"-"&amp;SUBSTITUTE(MID(G155,FIND("[",G155)+1,FIND("]",G155)-FIND("[",G155)-1),"Strong Guard ",""),"")</f>
        <v/>
      </c>
      <c r="G155" s="346" t="inlineStr">
        <is>
          <t>ID275/80R22.5-16PR(149/146L)[EZ573A]金冠无内</t>
        </is>
      </c>
      <c r="H155" s="344" t="n">
        <v>650</v>
      </c>
      <c r="I155" s="348" t="n"/>
      <c r="J155" s="349">
        <f>IFERROR(LEFT(F155,FIND("-",F155))&amp;MID(F155,FIND("PR",F155,FIND("-",F155))+3,LEN(F155)),F155)</f>
        <v/>
      </c>
      <c r="K155" s="352">
        <f>_xlfn.XLOOKUP(F155,投产规格!E:E,投产规格!D:D,"未投产")</f>
        <v/>
      </c>
      <c r="L155" s="352">
        <f>IFERROR(_xlfn.XLOOKUP(F155,硫化工艺!B:B,硫化工艺!C:C),"")</f>
        <v/>
      </c>
      <c r="M155" s="430">
        <f>IF(L155="","",L155/(L155+$L$1/60))</f>
        <v/>
      </c>
      <c r="N155" s="352">
        <f>C155&amp;"全钢"</f>
        <v/>
      </c>
      <c r="O155" s="352">
        <f>IFERROR(_xlfn.XLOOKUP(F155,轮胎重量!J:J,轮胎重量!G:G),"")</f>
        <v/>
      </c>
      <c r="P155" s="358">
        <f>O155*13.9</f>
        <v/>
      </c>
      <c r="Q155" s="352">
        <f>IFERROR(ROUND(1440/L155*(I155)*M155,0),"")</f>
        <v/>
      </c>
      <c r="R155" s="352" t="n"/>
      <c r="S155" s="352" t="n"/>
      <c r="T155" s="352" t="n"/>
      <c r="U155" s="352" t="n"/>
      <c r="V155" s="352" t="n"/>
      <c r="W155" s="352" t="n"/>
      <c r="X155" s="352" t="n"/>
      <c r="Y155" s="352" t="n"/>
      <c r="Z155" s="352" t="n"/>
      <c r="AA155" s="352" t="n"/>
      <c r="AB155" s="352" t="n"/>
      <c r="AC155" s="352" t="n"/>
      <c r="AD155" s="352" t="n"/>
      <c r="AE155" s="352" t="n"/>
      <c r="AF155" s="352" t="n"/>
      <c r="AG155" s="352" t="n"/>
      <c r="AH155" s="352" t="n"/>
      <c r="AI155" s="352" t="n"/>
      <c r="AJ155" s="352" t="n"/>
      <c r="AK155" s="352" t="n"/>
      <c r="AL155" s="352" t="n"/>
      <c r="AM155" s="352" t="n"/>
      <c r="AN155" s="352" t="n"/>
      <c r="AO155" s="352" t="n"/>
      <c r="AP155" s="352" t="n"/>
      <c r="AQ155" s="352" t="n"/>
      <c r="AR155" s="352" t="n"/>
      <c r="AS155" s="352" t="n"/>
      <c r="AT155" s="352" t="n"/>
      <c r="AU155" s="352" t="n"/>
      <c r="AV155" s="352" t="n"/>
      <c r="AW155" s="352">
        <f>IF(SUM(R155:AV155)=0,"",SUM(R155:AV155))</f>
        <v/>
      </c>
      <c r="AX155" s="431">
        <f>IFERROR(AW155*O155/1000,"")</f>
        <v/>
      </c>
      <c r="AY155" s="431">
        <f>IFERROR(ROUND(AW155*P155/10000,3),"")</f>
        <v/>
      </c>
      <c r="AZ155" s="354" t="n">
        <v>516.51</v>
      </c>
      <c r="BA155" s="355" t="n">
        <v>32.43</v>
      </c>
      <c r="BB155" s="355" t="n">
        <v>53.28</v>
      </c>
      <c r="BC155" s="355" t="n">
        <v>55.75</v>
      </c>
      <c r="BD155" s="331" t="n"/>
      <c r="BE155" s="331">
        <f>AZ155*AW155</f>
        <v/>
      </c>
      <c r="BF155" s="331">
        <f>BA155*AW155</f>
        <v/>
      </c>
      <c r="BG155" s="331">
        <f>BB155*AW155</f>
        <v/>
      </c>
      <c r="BH155" s="331">
        <f>BC155*AW155</f>
        <v/>
      </c>
      <c r="BI155" s="331" t="n"/>
      <c r="BJ155" s="356">
        <f t="array" ref="BJ155:BM155">_xlfn.LET(_xlpm.data,$R155:$AV155,_xlpm.starts,{1,8,16,23},_xlpm.lengths,{7,7,8,9},_xlpm.arr,_xlfn.MAP(_xlpm.starts,_xlpm.lengths,_xlfn.LAMBDA(_xlpm.s,_xlpm.l,SUM(INDEX(_xlpm.data,,_xlfn.SEQUENCE(,_xlpm.l,_xlpm.s))))),ROUND(_xlpm.arr*$O155/1000,2))</f>
        <v/>
      </c>
      <c r="BK155" s="331" t="n">
        <v>0</v>
      </c>
      <c r="BL155" s="331" t="n">
        <v>0</v>
      </c>
      <c r="BM155" s="331" t="n">
        <v>0</v>
      </c>
      <c r="BN155" s="362">
        <f>SUM(BJ155:BM155)</f>
        <v/>
      </c>
      <c r="BO155" s="362" t="n">
        <v>104.49</v>
      </c>
      <c r="BP155" s="362" t="n">
        <v>104.49</v>
      </c>
      <c r="BQ155" s="362" t="n">
        <v>119.42</v>
      </c>
      <c r="BR155" s="362" t="n">
        <v>134.35</v>
      </c>
      <c r="BS155" s="115" t="n"/>
      <c r="BT155" s="362">
        <f t="array" ref="BT155:BW155">_xlfn.HSTACK(SUM(INDEX($R155:$AV155,1,1):INDEX($R155:$AV155,1,7)),SUM(INDEX($R155:$AV155,1,7):INDEX($R155:$AV155,1,13)),SUM(INDEX($R155:$AV155,1,16):INDEX($R155:$AV155,1,23)),SUM(INDEX($R155:$AV155,1,23):INDEX($R155:$AV155,1,31)))</f>
        <v/>
      </c>
      <c r="BU155" s="362" t="n">
        <v>0</v>
      </c>
      <c r="BV155" s="362" t="n">
        <v>0</v>
      </c>
      <c r="BW155" s="362" t="n">
        <v>0</v>
      </c>
      <c r="BY155" s="362">
        <f>SUM(R155:X155)</f>
        <v/>
      </c>
      <c r="BZ155" s="362">
        <f>SUM(Y155:AE155)</f>
        <v/>
      </c>
      <c r="CA155" s="362">
        <f>SUM(AF155:AM155)</f>
        <v/>
      </c>
      <c r="CB155" s="362">
        <f>SUM(AN155:AV155)</f>
        <v/>
      </c>
      <c r="CD155" s="432" t="inlineStr">
        <is>
          <t>ADA</t>
        </is>
      </c>
      <c r="CE155" s="362">
        <f>ROUND(BY155*$O155/1000,2)</f>
        <v/>
      </c>
      <c r="CF155" s="362">
        <f>ROUND(BZ155*$O155/1000,2)</f>
        <v/>
      </c>
      <c r="CG155" s="362">
        <f>ROUND(CA155*$O155/1000,2)</f>
        <v/>
      </c>
      <c r="CH155" s="362">
        <f>ROUND(CB155*$O155/1000,2)</f>
        <v/>
      </c>
      <c r="CI155" s="362">
        <f>SUM(CE155:CH155)</f>
        <v/>
      </c>
      <c r="CJ155" s="390" t="n"/>
      <c r="CK155" s="362">
        <f>IFERROR(ROUND(BY155*$P155,2),"")</f>
        <v/>
      </c>
      <c r="CL155" s="362">
        <f>IFERROR(ROUND(BZ155*$P155,2),"")</f>
        <v/>
      </c>
      <c r="CM155" s="362">
        <f>IFERROR(ROUND(CA155*$P155,2),"")</f>
        <v/>
      </c>
      <c r="CN155" s="362">
        <f>IFERROR(ROUND(CB155*$P155,2),"")</f>
        <v/>
      </c>
      <c r="CO155" s="362">
        <f>SUM(CK155:CN155)</f>
        <v/>
      </c>
    </row>
    <row r="156" hidden="1" ht="15.6" customFormat="1" customHeight="1" s="362">
      <c r="A156" s="331" t="n"/>
      <c r="B156" s="344">
        <f>_xlfn.XLOOKUP(G156,销售需求表!A:A,销售需求表!C:C)</f>
        <v/>
      </c>
      <c r="C156" s="345">
        <f>IFERROR(MID(F156,FIND("R",F156)+1,4),"")</f>
        <v/>
      </c>
      <c r="D156" s="344">
        <f>B156&amp;C156&amp;"寸"</f>
        <v/>
      </c>
      <c r="E156" s="346">
        <f>LEFT(REPLACE(G156,1,2,""),FIND("[",REPLACE(G156,1,2,""))-1)&amp;"-"&amp;MID(REPLACE(G156,1,2,""),FIND("[",REPLACE(G156,1,2,""))+1,FIND("]",REPLACE(G156,1,2,""))-FIND("[",REPLACE(G156,1,2,""))-1)</f>
        <v/>
      </c>
      <c r="F156" s="347">
        <f>IFERROR(MID(G156,3,FIND("(",G156)-3)&amp;"-"&amp;SUBSTITUTE(MID(G156,FIND("[",G156)+1,FIND("]",G156)-FIND("[",G156)-1),"Strong Guard ",""),"")</f>
        <v/>
      </c>
      <c r="G156" s="346" t="inlineStr">
        <is>
          <t>ID275/80R22.5-16PR(149/146L)[EZ573A]力奔无内</t>
        </is>
      </c>
      <c r="H156" s="344" t="n">
        <v>280</v>
      </c>
      <c r="I156" s="348" t="n"/>
      <c r="J156" s="349">
        <f>IFERROR(LEFT(F156,FIND("-",F156))&amp;MID(F156,FIND("PR",F156,FIND("-",F156))+3,LEN(F156)),F156)</f>
        <v/>
      </c>
      <c r="K156" s="352">
        <f>_xlfn.XLOOKUP(F156,投产规格!E:E,投产规格!D:D,"未投产")</f>
        <v/>
      </c>
      <c r="L156" s="352">
        <f>IFERROR(_xlfn.XLOOKUP(F156,硫化工艺!B:B,硫化工艺!C:C),"")</f>
        <v/>
      </c>
      <c r="M156" s="430">
        <f>IF(L156="","",L156/(L156+$L$1/60))</f>
        <v/>
      </c>
      <c r="N156" s="352">
        <f>C156&amp;"全钢"</f>
        <v/>
      </c>
      <c r="O156" s="352">
        <f>IFERROR(_xlfn.XLOOKUP(F156,轮胎重量!J:J,轮胎重量!G:G),"")</f>
        <v/>
      </c>
      <c r="P156" s="358">
        <f>O156*13.9</f>
        <v/>
      </c>
      <c r="Q156" s="352">
        <f>IFERROR(ROUND(1440/L156*(I156)*M156,0),"")</f>
        <v/>
      </c>
      <c r="R156" s="352" t="n"/>
      <c r="S156" s="352" t="n"/>
      <c r="T156" s="352" t="n"/>
      <c r="U156" s="352" t="n"/>
      <c r="V156" s="352" t="n"/>
      <c r="W156" s="352" t="n"/>
      <c r="X156" s="352" t="n"/>
      <c r="Y156" s="352" t="n"/>
      <c r="Z156" s="352" t="n"/>
      <c r="AA156" s="352" t="n"/>
      <c r="AB156" s="352" t="n"/>
      <c r="AC156" s="352" t="n"/>
      <c r="AD156" s="352" t="n"/>
      <c r="AE156" s="352" t="n"/>
      <c r="AF156" s="352" t="n"/>
      <c r="AG156" s="352" t="n"/>
      <c r="AH156" s="352" t="n"/>
      <c r="AI156" s="352" t="n"/>
      <c r="AJ156" s="352" t="n"/>
      <c r="AK156" s="352" t="n"/>
      <c r="AL156" s="352" t="n"/>
      <c r="AM156" s="352" t="n"/>
      <c r="AN156" s="352" t="n"/>
      <c r="AO156" s="352" t="n"/>
      <c r="AP156" s="352" t="n"/>
      <c r="AQ156" s="352" t="n"/>
      <c r="AR156" s="352" t="n"/>
      <c r="AS156" s="352" t="n"/>
      <c r="AT156" s="352" t="n"/>
      <c r="AU156" s="352" t="n"/>
      <c r="AV156" s="352" t="n"/>
      <c r="AW156" s="352">
        <f>IF(SUM(R156:AV156)=0,"",SUM(R156:AV156))</f>
        <v/>
      </c>
      <c r="AX156" s="431">
        <f>IFERROR(AW156*O156/1000,"")</f>
        <v/>
      </c>
      <c r="AY156" s="431">
        <f>IFERROR(ROUND(AW156*P156/10000,3),"")</f>
        <v/>
      </c>
      <c r="AZ156" s="354" t="n">
        <v>516.51</v>
      </c>
      <c r="BA156" s="355" t="n">
        <v>32.43</v>
      </c>
      <c r="BB156" s="355" t="n">
        <v>53.28</v>
      </c>
      <c r="BC156" s="355" t="n">
        <v>55.75</v>
      </c>
      <c r="BD156" s="331" t="n"/>
      <c r="BE156" s="331">
        <f>AZ156*AW156</f>
        <v/>
      </c>
      <c r="BF156" s="331">
        <f>BA156*AW156</f>
        <v/>
      </c>
      <c r="BG156" s="331">
        <f>BB156*AW156</f>
        <v/>
      </c>
      <c r="BH156" s="331">
        <f>BC156*AW156</f>
        <v/>
      </c>
      <c r="BI156" s="331" t="n"/>
      <c r="BJ156" s="356">
        <f t="array" ref="BJ156:BM156">_xlfn.LET(_xlpm.data,$R156:$AV156,_xlpm.starts,{1,8,16,23},_xlpm.lengths,{7,7,8,9},_xlpm.arr,_xlfn.MAP(_xlpm.starts,_xlpm.lengths,_xlfn.LAMBDA(_xlpm.s,_xlpm.l,SUM(INDEX(_xlpm.data,,_xlfn.SEQUENCE(,_xlpm.l,_xlpm.s))))),ROUND(_xlpm.arr*$O156/1000,2))</f>
        <v/>
      </c>
      <c r="BK156" s="331" t="n">
        <v>0</v>
      </c>
      <c r="BL156" s="331" t="n">
        <v>0</v>
      </c>
      <c r="BM156" s="331" t="n">
        <v>0</v>
      </c>
      <c r="BN156" s="362">
        <f>SUM(BJ156:BM156)</f>
        <v/>
      </c>
      <c r="BO156" s="362" t="n">
        <v>104.49</v>
      </c>
      <c r="BP156" s="362" t="n">
        <v>104.49</v>
      </c>
      <c r="BQ156" s="362" t="n">
        <v>119.42</v>
      </c>
      <c r="BR156" s="362" t="n">
        <v>134.35</v>
      </c>
      <c r="BS156" s="115" t="n"/>
      <c r="BT156" s="362">
        <f t="array" ref="BT156:BW156">_xlfn.HSTACK(SUM(INDEX($R156:$AV156,1,1):INDEX($R156:$AV156,1,7)),SUM(INDEX($R156:$AV156,1,7):INDEX($R156:$AV156,1,13)),SUM(INDEX($R156:$AV156,1,16):INDEX($R156:$AV156,1,23)),SUM(INDEX($R156:$AV156,1,23):INDEX($R156:$AV156,1,31)))</f>
        <v/>
      </c>
      <c r="BU156" s="362" t="n">
        <v>0</v>
      </c>
      <c r="BV156" s="362" t="n">
        <v>0</v>
      </c>
      <c r="BW156" s="362" t="n">
        <v>0</v>
      </c>
      <c r="BY156" s="362">
        <f>SUM(R156:X156)</f>
        <v/>
      </c>
      <c r="BZ156" s="362">
        <f>SUM(Y156:AE156)</f>
        <v/>
      </c>
      <c r="CA156" s="362">
        <f>SUM(AF156:AM156)</f>
        <v/>
      </c>
      <c r="CB156" s="362">
        <f>SUM(AN156:AV156)</f>
        <v/>
      </c>
      <c r="CD156" s="432" t="inlineStr">
        <is>
          <t>ADA</t>
        </is>
      </c>
      <c r="CE156" s="362">
        <f>ROUND(BY156*$O156/1000,2)</f>
        <v/>
      </c>
      <c r="CF156" s="362">
        <f>ROUND(BZ156*$O156/1000,2)</f>
        <v/>
      </c>
      <c r="CG156" s="362">
        <f>ROUND(CA156*$O156/1000,2)</f>
        <v/>
      </c>
      <c r="CH156" s="362">
        <f>ROUND(CB156*$O156/1000,2)</f>
        <v/>
      </c>
      <c r="CI156" s="362">
        <f>SUM(CE156:CH156)</f>
        <v/>
      </c>
      <c r="CJ156" s="390" t="n"/>
      <c r="CK156" s="362">
        <f>IFERROR(ROUND(BY156*$P156,2),"")</f>
        <v/>
      </c>
      <c r="CL156" s="362">
        <f>IFERROR(ROUND(BZ156*$P156,2),"")</f>
        <v/>
      </c>
      <c r="CM156" s="362">
        <f>IFERROR(ROUND(CA156*$P156,2),"")</f>
        <v/>
      </c>
      <c r="CN156" s="362">
        <f>IFERROR(ROUND(CB156*$P156,2),"")</f>
        <v/>
      </c>
      <c r="CO156" s="362">
        <f>SUM(CK156:CN156)</f>
        <v/>
      </c>
    </row>
    <row r="157" ht="15.6" customHeight="1" s="428">
      <c r="B157" s="344">
        <f>_xlfn.XLOOKUP(G157,销售需求表!A:A,销售需求表!C:C)</f>
        <v/>
      </c>
      <c r="C157" s="345">
        <f>IFERROR(MID(F157,FIND("R",F157)+1,4),"")</f>
        <v/>
      </c>
      <c r="D157" s="344">
        <f>B157&amp;C157&amp;"寸"</f>
        <v/>
      </c>
      <c r="E157" s="346">
        <f>LEFT(REPLACE(G157,1,2,""),FIND("[",REPLACE(G157,1,2,""))-1)&amp;"-"&amp;MID(REPLACE(G157,1,2,""),FIND("[",REPLACE(G157,1,2,""))+1,FIND("]",REPLACE(G157,1,2,""))-FIND("[",REPLACE(G157,1,2,""))-1)</f>
        <v/>
      </c>
      <c r="F157" s="347">
        <f>IFERROR(MID(G157,3,FIND("(",G157)-3)&amp;"-"&amp;SUBSTITUTE(MID(G157,FIND("[",G157)+1,FIND("]",G157)-FIND("[",G157)-1),"Strong Guard ",""),"")</f>
        <v/>
      </c>
      <c r="G157" s="346" t="inlineStr">
        <is>
          <t>ID275/80R22.5-16PR(149/146L)[G-PERFORM D]GRIPMASTER无内</t>
        </is>
      </c>
      <c r="H157" s="344" t="n">
        <v>1800</v>
      </c>
      <c r="I157" s="348" t="n">
        <v>4</v>
      </c>
      <c r="J157" s="349">
        <f>IFERROR(LEFT(F157,FIND("-",F157))&amp;MID(F157,FIND("PR",F157,FIND("-",F157))+3,LEN(F157)),F157)</f>
        <v/>
      </c>
      <c r="K157" s="352">
        <f>_xlfn.XLOOKUP(F157,投产规格!E:E,投产规格!D:D,"未投产")</f>
        <v/>
      </c>
      <c r="L157" s="352">
        <f>IFERROR(_xlfn.XLOOKUP(F157,硫化工艺!B:B,硫化工艺!C:C),"")</f>
        <v/>
      </c>
      <c r="M157" s="430">
        <f>IF(L157="","",L157/(L157+$L$1/60))</f>
        <v/>
      </c>
      <c r="N157" s="352">
        <f>C157&amp;"全钢"</f>
        <v/>
      </c>
      <c r="O157" s="352" t="n">
        <v>56.574</v>
      </c>
      <c r="P157" s="352">
        <f>IFERROR(_xlfn.XLOOKUP(G157,硫化工艺!I:I,硫化工艺!J:J),"")</f>
        <v/>
      </c>
      <c r="Q157" s="352">
        <f>IFERROR(ROUND(1440/L157*(I157)*M157,0),"")</f>
        <v/>
      </c>
      <c r="R157" s="352" t="n">
        <v>120</v>
      </c>
      <c r="S157" s="352" t="n">
        <v>120</v>
      </c>
      <c r="T157" s="352" t="n">
        <v>120</v>
      </c>
      <c r="U157" s="352" t="n">
        <v>120</v>
      </c>
      <c r="V157" s="352" t="n">
        <v>120</v>
      </c>
      <c r="W157" s="352" t="n">
        <v>120</v>
      </c>
      <c r="X157" s="352" t="n">
        <v>120</v>
      </c>
      <c r="Y157" s="352" t="n">
        <v>120</v>
      </c>
      <c r="Z157" s="352" t="n">
        <v>120</v>
      </c>
      <c r="AA157" s="352" t="n">
        <v>120</v>
      </c>
      <c r="AB157" s="352" t="n">
        <v>120</v>
      </c>
      <c r="AC157" s="352" t="n">
        <v>120</v>
      </c>
      <c r="AD157" s="352" t="n">
        <v>120</v>
      </c>
      <c r="AE157" s="352" t="n">
        <v>120</v>
      </c>
      <c r="AF157" s="352" t="n">
        <v>120</v>
      </c>
      <c r="AG157" s="352" t="n">
        <v>120</v>
      </c>
      <c r="AH157" s="352" t="n"/>
      <c r="AI157" s="352" t="n"/>
      <c r="AJ157" s="352" t="n"/>
      <c r="AK157" s="352" t="n"/>
      <c r="AL157" s="352" t="n"/>
      <c r="AM157" s="352" t="n"/>
      <c r="AN157" s="352" t="n"/>
      <c r="AO157" s="352" t="n"/>
      <c r="AP157" s="352" t="n"/>
      <c r="AQ157" s="352" t="n"/>
      <c r="AR157" s="352" t="n"/>
      <c r="AS157" s="352" t="n"/>
      <c r="AT157" s="352" t="n"/>
      <c r="AU157" s="352" t="n"/>
      <c r="AV157" s="352" t="n"/>
      <c r="AW157" s="352">
        <f>IF(SUM(R157:AV157)=0,"",SUM(R157:AV157))</f>
        <v/>
      </c>
      <c r="AX157" s="431">
        <f>IFERROR(AW157*O157/1000,"")</f>
        <v/>
      </c>
      <c r="AY157" s="431">
        <f>IFERROR(ROUND(AW157*P157/10000,3),"")</f>
        <v/>
      </c>
      <c r="AZ157" s="354" t="n">
        <v>536</v>
      </c>
      <c r="BA157" s="355" t="n">
        <v>34.09</v>
      </c>
      <c r="BB157" s="355" t="n">
        <v>54.99</v>
      </c>
      <c r="BC157" s="355" t="n">
        <v>58.18</v>
      </c>
      <c r="BE157" s="331">
        <f>AZ157*AW157</f>
        <v/>
      </c>
      <c r="BF157" s="331">
        <f>BA157*AW157</f>
        <v/>
      </c>
      <c r="BG157" s="331">
        <f>BB157*AW157</f>
        <v/>
      </c>
      <c r="BH157" s="331">
        <f>BC157*AW157</f>
        <v/>
      </c>
      <c r="BJ157" s="356">
        <f t="array" ref="BJ157:BM157">_xlfn.LET(_xlpm.data,$R157:$AV157,_xlpm.starts,{1,8,16,23},_xlpm.lengths,{7,7,8,9},_xlpm.arr,_xlfn.MAP(_xlpm.starts,_xlpm.lengths,_xlfn.LAMBDA(_xlpm.s,_xlpm.l,SUM(INDEX(_xlpm.data,,_xlfn.SEQUENCE(,_xlpm.l,_xlpm.s))))),ROUND(_xlpm.arr*$O157/1000,2))</f>
        <v/>
      </c>
      <c r="BK157" s="331" t="n">
        <v>47.52</v>
      </c>
      <c r="BL157" s="331" t="n">
        <v>6.79</v>
      </c>
      <c r="BM157" s="331" t="n">
        <v>0</v>
      </c>
      <c r="BN157" s="362">
        <f>SUM(BJ157:BM157)</f>
        <v/>
      </c>
      <c r="BO157" s="362" t="n">
        <v>0</v>
      </c>
      <c r="BP157" s="362" t="n">
        <v>14.02</v>
      </c>
      <c r="BQ157" s="362" t="n">
        <v>56.07</v>
      </c>
      <c r="BR157" s="362" t="n">
        <v>63.08</v>
      </c>
      <c r="BT157" s="362">
        <f t="array" ref="BT157:BW157">_xlfn.HSTACK(SUM(INDEX($R157:$AV157,1,1):INDEX($R157:$AV157,1,7)),SUM(INDEX($R157:$AV157,1,7):INDEX($R157:$AV157,1,13)),SUM(INDEX($R157:$AV157,1,16):INDEX($R157:$AV157,1,23)),SUM(INDEX($R157:$AV157,1,23):INDEX($R157:$AV157,1,31)))</f>
        <v/>
      </c>
      <c r="BU157" s="362" t="n">
        <v>840</v>
      </c>
      <c r="BV157" s="362" t="n">
        <v>120</v>
      </c>
      <c r="BW157" s="362" t="n">
        <v>0</v>
      </c>
      <c r="BY157" s="362">
        <f>SUM(R157:X157)</f>
        <v/>
      </c>
      <c r="BZ157" s="362">
        <f>SUM(Y157:AE157)</f>
        <v/>
      </c>
      <c r="CA157" s="362">
        <f>SUM(AF157:AM157)</f>
        <v/>
      </c>
      <c r="CB157" s="362">
        <f>SUM(AN157:AV157)</f>
        <v/>
      </c>
      <c r="CD157" s="432" t="inlineStr">
        <is>
          <t>ADA</t>
        </is>
      </c>
      <c r="CE157" s="362">
        <f>ROUND(BY157*$O157/1000,2)</f>
        <v/>
      </c>
      <c r="CF157" s="362">
        <f>ROUND(BZ157*$O157/1000,2)</f>
        <v/>
      </c>
      <c r="CG157" s="362">
        <f>ROUND(CA157*$O157/1000,2)</f>
        <v/>
      </c>
      <c r="CH157" s="362">
        <f>ROUND(CB157*$O157/1000,2)</f>
        <v/>
      </c>
      <c r="CI157" s="362">
        <f>SUM(CE157:CH157)</f>
        <v/>
      </c>
      <c r="CK157" s="362">
        <f>IFERROR(ROUND(BY157*$P157,2),"")</f>
        <v/>
      </c>
      <c r="CL157" s="362">
        <f>IFERROR(ROUND(BZ157*$P157,2),"")</f>
        <v/>
      </c>
      <c r="CM157" s="362">
        <f>IFERROR(ROUND(CA157*$P157,2),"")</f>
        <v/>
      </c>
      <c r="CN157" s="362">
        <f>IFERROR(ROUND(CB157*$P157,2),"")</f>
        <v/>
      </c>
      <c r="CO157" s="362">
        <f>SUM(CK157:CN157)</f>
        <v/>
      </c>
    </row>
    <row r="158" ht="15.6" customHeight="1" s="428">
      <c r="A158" s="331" t="n"/>
      <c r="B158" s="344">
        <f>_xlfn.XLOOKUP(G158,销售需求表!A:A,销售需求表!C:C)</f>
        <v/>
      </c>
      <c r="C158" s="345">
        <f>IFERROR(MID(F158,FIND("R",F158)+1,4),"")</f>
        <v/>
      </c>
      <c r="D158" s="344">
        <f>B158&amp;C158&amp;"寸"</f>
        <v/>
      </c>
      <c r="E158" s="346">
        <f>LEFT(REPLACE(G158,1,2,""),FIND("[",REPLACE(G158,1,2,""))-1)&amp;"-"&amp;MID(REPLACE(G158,1,2,""),FIND("[",REPLACE(G158,1,2,""))+1,FIND("]",REPLACE(G158,1,2,""))-FIND("[",REPLACE(G158,1,2,""))-1)</f>
        <v/>
      </c>
      <c r="F158" s="347">
        <f>IFERROR(MID(G158,3,FIND("(",G158)-3)&amp;"-"&amp;SUBSTITUTE(MID(G158,FIND("[",G158)+1,FIND("]",G158)-FIND("[",G158)-1),"Strong Guard ",""),"")</f>
        <v/>
      </c>
      <c r="G158" s="346" t="inlineStr">
        <is>
          <t>ID275/80R22.5-16PR(149/146L)[G-PRO MSA]GRIPMASTER无内</t>
        </is>
      </c>
      <c r="H158" s="344" t="n">
        <v>700</v>
      </c>
      <c r="I158" s="348" t="n">
        <v>2</v>
      </c>
      <c r="J158" s="349">
        <f>IFERROR(LEFT(F158,FIND("-",F158))&amp;MID(F158,FIND("PR",F158,FIND("-",F158))+3,LEN(F158)),F158)</f>
        <v/>
      </c>
      <c r="K158" s="352">
        <f>_xlfn.XLOOKUP(F158,投产规格!E:E,投产规格!D:D,"未投产")</f>
        <v/>
      </c>
      <c r="L158" s="352">
        <f>IFERROR(_xlfn.XLOOKUP(F158,硫化工艺!B:B,硫化工艺!C:C),"")</f>
        <v/>
      </c>
      <c r="M158" s="430">
        <f>IF(L158="","",L158/(L158+$L$1/60))</f>
        <v/>
      </c>
      <c r="N158" s="352">
        <f>C158&amp;"全钢"</f>
        <v/>
      </c>
      <c r="O158" s="352">
        <f>IFERROR(_xlfn.XLOOKUP(F158,轮胎重量!J:J,轮胎重量!G:G),"")</f>
        <v/>
      </c>
      <c r="P158" s="352">
        <f>IFERROR(_xlfn.XLOOKUP(G158,硫化工艺!I:I,硫化工艺!J:J),"")</f>
        <v/>
      </c>
      <c r="Q158" s="352">
        <f>IFERROR(ROUND(1440/L158*(I158)*M158,0),"")</f>
        <v/>
      </c>
      <c r="R158" s="352" t="n">
        <v>60</v>
      </c>
      <c r="S158" s="352" t="n">
        <v>60</v>
      </c>
      <c r="T158" s="352" t="n">
        <v>60</v>
      </c>
      <c r="U158" s="352" t="n">
        <v>60</v>
      </c>
      <c r="V158" s="352" t="n">
        <v>60</v>
      </c>
      <c r="W158" s="352" t="n">
        <v>60</v>
      </c>
      <c r="X158" s="352" t="n">
        <v>60</v>
      </c>
      <c r="Y158" s="352" t="n"/>
      <c r="Z158" s="352" t="n"/>
      <c r="AA158" s="352" t="n"/>
      <c r="AB158" s="352" t="n"/>
      <c r="AC158" s="352" t="n"/>
      <c r="AD158" s="352" t="n"/>
      <c r="AE158" s="352" t="n"/>
      <c r="AF158" s="352" t="n"/>
      <c r="AG158" s="352" t="n"/>
      <c r="AH158" s="352" t="n"/>
      <c r="AI158" s="352" t="n"/>
      <c r="AJ158" s="352" t="n"/>
      <c r="AK158" s="352" t="n"/>
      <c r="AL158" s="352" t="n"/>
      <c r="AM158" s="352" t="n"/>
      <c r="AN158" s="352" t="n"/>
      <c r="AO158" s="352" t="n"/>
      <c r="AP158" s="352" t="n"/>
      <c r="AQ158" s="352" t="n"/>
      <c r="AR158" s="352" t="n"/>
      <c r="AS158" s="352" t="n"/>
      <c r="AT158" s="352" t="n"/>
      <c r="AU158" s="352" t="n"/>
      <c r="AV158" s="352" t="n"/>
      <c r="AW158" s="352">
        <f>IF(SUM(R158:AV158)=0,"",SUM(R158:AV158))</f>
        <v/>
      </c>
      <c r="AX158" s="431">
        <f>IFERROR(AW158*O158/1000,"")</f>
        <v/>
      </c>
      <c r="AY158" s="431">
        <f>IFERROR(ROUND(AW158*P158/10000,3),"")</f>
        <v/>
      </c>
      <c r="AZ158" s="354" t="n">
        <v>536</v>
      </c>
      <c r="BA158" s="355" t="n">
        <v>34.09</v>
      </c>
      <c r="BB158" s="355" t="n">
        <v>54.99</v>
      </c>
      <c r="BC158" s="355" t="n">
        <v>58.18</v>
      </c>
      <c r="BD158" s="331" t="n"/>
      <c r="BE158" s="331">
        <f>AZ158*AW158</f>
        <v/>
      </c>
      <c r="BF158" s="331">
        <f>BA158*AW158</f>
        <v/>
      </c>
      <c r="BG158" s="331">
        <f>BB158*AW158</f>
        <v/>
      </c>
      <c r="BH158" s="331">
        <f>BC158*AW158</f>
        <v/>
      </c>
      <c r="BI158" s="331" t="n"/>
      <c r="BJ158" s="356">
        <f t="array" ref="BJ158:BM158">_xlfn.LET(_xlpm.data,$R158:$AV158,_xlpm.starts,{1,8,16,23},_xlpm.lengths,{7,7,8,9},_xlpm.arr,_xlfn.MAP(_xlpm.starts,_xlpm.lengths,_xlfn.LAMBDA(_xlpm.s,_xlpm.l,SUM(INDEX(_xlpm.data,,_xlfn.SEQUENCE(,_xlpm.l,_xlpm.s))))),ROUND(_xlpm.arr*$O158/1000,2))</f>
        <v/>
      </c>
      <c r="BK158" s="331" t="n">
        <v>0</v>
      </c>
      <c r="BL158" s="331" t="n">
        <v>0</v>
      </c>
      <c r="BM158" s="331" t="n">
        <v>0</v>
      </c>
      <c r="BN158" s="362">
        <f>SUM(BJ158:BM158)</f>
        <v/>
      </c>
      <c r="BO158" s="362" t="n">
        <v>0</v>
      </c>
      <c r="BP158" s="362" t="n">
        <v>14.02</v>
      </c>
      <c r="BQ158" s="362" t="n">
        <v>56.07</v>
      </c>
      <c r="BR158" s="362" t="n">
        <v>63.08</v>
      </c>
      <c r="BS158" s="115" t="n"/>
      <c r="BT158" s="362">
        <f t="array" ref="BT158:BW158">_xlfn.HSTACK(SUM(INDEX($R158:$AV158,1,1):INDEX($R158:$AV158,1,7)),SUM(INDEX($R158:$AV158,1,7):INDEX($R158:$AV158,1,13)),SUM(INDEX($R158:$AV158,1,16):INDEX($R158:$AV158,1,23)),SUM(INDEX($R158:$AV158,1,23):INDEX($R158:$AV158,1,31)))</f>
        <v/>
      </c>
      <c r="BU158" s="362" t="n">
        <v>60</v>
      </c>
      <c r="BV158" s="362" t="n">
        <v>0</v>
      </c>
      <c r="BW158" s="362" t="n">
        <v>0</v>
      </c>
      <c r="BY158" s="362">
        <f>SUM(R158:X158)</f>
        <v/>
      </c>
      <c r="BZ158" s="362">
        <f>SUM(Y158:AE158)</f>
        <v/>
      </c>
      <c r="CA158" s="362">
        <f>SUM(AF158:AM158)</f>
        <v/>
      </c>
      <c r="CB158" s="362">
        <f>SUM(AN158:AV158)</f>
        <v/>
      </c>
      <c r="CC158" s="362" t="n"/>
      <c r="CD158" s="432" t="inlineStr">
        <is>
          <t>ADA</t>
        </is>
      </c>
      <c r="CE158" s="362">
        <f>ROUND(BY158*$O158/1000,2)</f>
        <v/>
      </c>
      <c r="CF158" s="362">
        <f>ROUND(BZ158*$O158/1000,2)</f>
        <v/>
      </c>
      <c r="CG158" s="362">
        <f>ROUND(CA158*$O158/1000,2)</f>
        <v/>
      </c>
      <c r="CH158" s="362">
        <f>ROUND(CB158*$O158/1000,2)</f>
        <v/>
      </c>
      <c r="CI158" s="362">
        <f>SUM(CE158:CH158)</f>
        <v/>
      </c>
      <c r="CJ158" s="390" t="n"/>
      <c r="CK158" s="362">
        <f>IFERROR(ROUND(BY158*$P158,2),"")</f>
        <v/>
      </c>
      <c r="CL158" s="362">
        <f>IFERROR(ROUND(BZ158*$P158,2),"")</f>
        <v/>
      </c>
      <c r="CM158" s="362">
        <f>IFERROR(ROUND(CA158*$P158,2),"")</f>
        <v/>
      </c>
      <c r="CN158" s="362">
        <f>IFERROR(ROUND(CB158*$P158,2),"")</f>
        <v/>
      </c>
      <c r="CO158" s="362">
        <f>SUM(CK158:CN158)</f>
        <v/>
      </c>
    </row>
    <row r="159" ht="15.6" customFormat="1" customHeight="1" s="362">
      <c r="A159" s="331" t="n"/>
      <c r="B159" s="344">
        <f>_xlfn.XLOOKUP(G159,销售需求表!A:A,销售需求表!C:C)</f>
        <v/>
      </c>
      <c r="C159" s="345">
        <f>IFERROR(MID(F159,FIND("R",F159)+1,4),"")</f>
        <v/>
      </c>
      <c r="D159" s="344">
        <f>B159&amp;C159&amp;"寸"</f>
        <v/>
      </c>
      <c r="E159" s="346">
        <f>LEFT(REPLACE(G159,1,2,""),FIND("[",REPLACE(G159,1,2,""))-1)&amp;"-"&amp;MID(REPLACE(G159,1,2,""),FIND("[",REPLACE(G159,1,2,""))+1,FIND("]",REPLACE(G159,1,2,""))-FIND("[",REPLACE(G159,1,2,""))-1)</f>
        <v/>
      </c>
      <c r="F159" s="347">
        <f>IFERROR(MID(G159,3,FIND("(",G159)-3)&amp;"-"&amp;SUBSTITUTE(MID(G159,FIND("[",G159)+1,FIND("]",G159)-FIND("[",G159)-1),"Strong Guard ",""),"")</f>
        <v/>
      </c>
      <c r="G159" s="346" t="inlineStr">
        <is>
          <t>ID275/80R22.5-16PR(149/146M)[AD528]TRAZANO(全诺)无内</t>
        </is>
      </c>
      <c r="H159" s="344" t="n">
        <v>120</v>
      </c>
      <c r="I159" s="348" t="n"/>
      <c r="J159" s="349">
        <f>IFERROR(LEFT(F159,FIND("-",F159))&amp;MID(F159,FIND("PR",F159,FIND("-",F159))+3,LEN(F159)),F159)</f>
        <v/>
      </c>
      <c r="K159" s="352">
        <f>_xlfn.XLOOKUP(F159,投产规格!E:E,投产规格!D:D,"未投产")</f>
        <v/>
      </c>
      <c r="L159" s="352">
        <f>IFERROR(_xlfn.XLOOKUP(F159,硫化工艺!B:B,硫化工艺!C:C),"")</f>
        <v/>
      </c>
      <c r="M159" s="430">
        <f>IF(L159="","",L159/(L159+$L$1/60))</f>
        <v/>
      </c>
      <c r="N159" s="352">
        <f>C159&amp;"全钢"</f>
        <v/>
      </c>
      <c r="O159" s="352">
        <f>IFERROR(_xlfn.XLOOKUP(F159,轮胎重量!J:J,轮胎重量!G:G),"")</f>
        <v/>
      </c>
      <c r="P159" s="352">
        <f>IFERROR(_xlfn.XLOOKUP(G159,硫化工艺!I:I,硫化工艺!J:J),"")</f>
        <v/>
      </c>
      <c r="Q159" s="352">
        <f>IFERROR(ROUND(1440/L159*(I159)*M159,0),"")</f>
        <v/>
      </c>
      <c r="R159" s="352" t="n"/>
      <c r="S159" s="352" t="n"/>
      <c r="T159" s="352" t="n"/>
      <c r="U159" s="352" t="n"/>
      <c r="V159" s="352" t="n"/>
      <c r="W159" s="352" t="n"/>
      <c r="X159" s="352" t="n"/>
      <c r="Y159" s="352" t="n"/>
      <c r="Z159" s="352" t="n"/>
      <c r="AA159" s="352" t="n"/>
      <c r="AB159" s="352" t="n"/>
      <c r="AC159" s="352" t="n"/>
      <c r="AD159" s="352" t="n"/>
      <c r="AE159" s="352" t="n"/>
      <c r="AF159" s="352" t="n"/>
      <c r="AG159" s="352" t="n"/>
      <c r="AH159" s="352" t="n">
        <v>60</v>
      </c>
      <c r="AI159" s="352" t="n">
        <v>60</v>
      </c>
      <c r="AJ159" s="352" t="n">
        <v>60</v>
      </c>
      <c r="AK159" s="352" t="n">
        <v>60</v>
      </c>
      <c r="AL159" s="352" t="n">
        <v>60</v>
      </c>
      <c r="AM159" s="352" t="n"/>
      <c r="AN159" s="352" t="n"/>
      <c r="AO159" s="352" t="n"/>
      <c r="AP159" s="352" t="n"/>
      <c r="AQ159" s="352" t="n"/>
      <c r="AR159" s="352" t="n"/>
      <c r="AS159" s="352" t="n"/>
      <c r="AT159" s="352" t="n"/>
      <c r="AU159" s="352" t="n"/>
      <c r="AV159" s="352" t="n"/>
      <c r="AW159" s="352">
        <f>IF(SUM(R159:AV159)=0,"",SUM(R159:AV159))</f>
        <v/>
      </c>
      <c r="AX159" s="431">
        <f>IFERROR(AW159*O159/1000,"")</f>
        <v/>
      </c>
      <c r="AY159" s="431">
        <f>IFERROR(ROUND(AW159*P159/10000,3),"")</f>
        <v/>
      </c>
      <c r="AZ159" s="354" t="n">
        <v>536</v>
      </c>
      <c r="BA159" s="355" t="n">
        <v>34.09</v>
      </c>
      <c r="BB159" s="355" t="n">
        <v>54.99</v>
      </c>
      <c r="BC159" s="355" t="n">
        <v>58.18</v>
      </c>
      <c r="BD159" s="331" t="n"/>
      <c r="BE159" s="331">
        <f>AZ159*AW159</f>
        <v/>
      </c>
      <c r="BF159" s="331">
        <f>BA159*AW159</f>
        <v/>
      </c>
      <c r="BG159" s="331">
        <f>BB159*AW159</f>
        <v/>
      </c>
      <c r="BH159" s="331">
        <f>BC159*AW159</f>
        <v/>
      </c>
      <c r="BI159" s="331" t="n"/>
      <c r="BJ159" s="356">
        <f t="array" ref="BJ159:BM159">_xlfn.LET(_xlpm.data,$R159:$AV159,_xlpm.starts,{1,8,16,23},_xlpm.lengths,{7,7,8,9},_xlpm.arr,_xlfn.MAP(_xlpm.starts,_xlpm.lengths,_xlfn.LAMBDA(_xlpm.s,_xlpm.l,SUM(INDEX(_xlpm.data,,_xlfn.SEQUENCE(,_xlpm.l,_xlpm.s))))),ROUND(_xlpm.arr*$O159/1000,2))</f>
        <v/>
      </c>
      <c r="BK159" s="331" t="n">
        <v>0</v>
      </c>
      <c r="BL159" s="331" t="n">
        <v>15.96</v>
      </c>
      <c r="BM159" s="331" t="n">
        <v>0</v>
      </c>
      <c r="BN159" s="362">
        <f>SUM(BJ159:BM159)</f>
        <v/>
      </c>
      <c r="BO159" s="362" t="n">
        <v>0</v>
      </c>
      <c r="BP159" s="362" t="n">
        <v>14.02</v>
      </c>
      <c r="BQ159" s="362" t="n">
        <v>56.07</v>
      </c>
      <c r="BR159" s="362" t="n">
        <v>63.08</v>
      </c>
      <c r="BS159" s="115" t="n"/>
      <c r="BT159" s="362">
        <f t="array" ref="BT159:BW159">_xlfn.HSTACK(SUM(INDEX($R159:$AV159,1,1):INDEX($R159:$AV159,1,7)),SUM(INDEX($R159:$AV159,1,7):INDEX($R159:$AV159,1,13)),SUM(INDEX($R159:$AV159,1,16):INDEX($R159:$AV159,1,23)),SUM(INDEX($R159:$AV159,1,23):INDEX($R159:$AV159,1,31)))</f>
        <v/>
      </c>
      <c r="BU159" s="362" t="n">
        <v>0</v>
      </c>
      <c r="BV159" s="362" t="n">
        <v>300</v>
      </c>
      <c r="BW159" s="362" t="n">
        <v>0</v>
      </c>
      <c r="BY159" s="362">
        <f>SUM(R159:X159)</f>
        <v/>
      </c>
      <c r="BZ159" s="362">
        <f>SUM(Y159:AE159)</f>
        <v/>
      </c>
      <c r="CA159" s="362">
        <f>SUM(AF159:AM159)</f>
        <v/>
      </c>
      <c r="CB159" s="362">
        <f>SUM(AN159:AV159)</f>
        <v/>
      </c>
      <c r="CD159" s="432" t="inlineStr">
        <is>
          <t>ADA</t>
        </is>
      </c>
      <c r="CE159" s="362">
        <f>ROUND(BY159*$O159/1000,2)</f>
        <v/>
      </c>
      <c r="CF159" s="362">
        <f>ROUND(BZ159*$O159/1000,2)</f>
        <v/>
      </c>
      <c r="CG159" s="362">
        <f>ROUND(CA159*$O159/1000,2)</f>
        <v/>
      </c>
      <c r="CH159" s="362">
        <f>ROUND(CB159*$O159/1000,2)</f>
        <v/>
      </c>
      <c r="CI159" s="362">
        <f>SUM(CE159:CH159)</f>
        <v/>
      </c>
      <c r="CJ159" s="390" t="n"/>
      <c r="CK159" s="362">
        <f>IFERROR(ROUND(BY159*$P159,2),"")</f>
        <v/>
      </c>
      <c r="CL159" s="362">
        <f>IFERROR(ROUND(BZ159*$P159,2),"")</f>
        <v/>
      </c>
      <c r="CM159" s="362">
        <f>IFERROR(ROUND(CA159*$P159,2),"")</f>
        <v/>
      </c>
      <c r="CN159" s="362">
        <f>IFERROR(ROUND(CB159*$P159,2),"")</f>
        <v/>
      </c>
      <c r="CO159" s="362">
        <f>SUM(CK159:CN159)</f>
        <v/>
      </c>
    </row>
    <row r="160" ht="15.6" customHeight="1" s="428">
      <c r="B160" s="344">
        <f>_xlfn.XLOOKUP(G160,销售需求表!A:A,销售需求表!C:C)</f>
        <v/>
      </c>
      <c r="C160" s="345">
        <f>IFERROR(MID(F160,FIND("R",F160)+1,4),"")</f>
        <v/>
      </c>
      <c r="D160" s="344">
        <f>B160&amp;C160&amp;"寸"</f>
        <v/>
      </c>
      <c r="E160" s="346">
        <f>LEFT(REPLACE(G160,1,2,""),FIND("[",REPLACE(G160,1,2,""))-1)&amp;"-"&amp;MID(REPLACE(G160,1,2,""),FIND("[",REPLACE(G160,1,2,""))+1,FIND("]",REPLACE(G160,1,2,""))-FIND("[",REPLACE(G160,1,2,""))-1)</f>
        <v/>
      </c>
      <c r="F160" s="347">
        <f>IFERROR(MID(G160,3,FIND("(",G160)-3)&amp;"-"&amp;SUBSTITUTE(MID(G160,FIND("[",G160)+1,FIND("]",G160)-FIND("[",G160)-1),"Strong Guard ",""),"")</f>
        <v/>
      </c>
      <c r="G160" s="346" t="inlineStr">
        <is>
          <t>ID275/80R22.5-16PR(149/146M)[AD528]威狮无内</t>
        </is>
      </c>
      <c r="H160" s="344" t="n">
        <v>120</v>
      </c>
      <c r="I160" s="348" t="n"/>
      <c r="J160" s="349">
        <f>IFERROR(LEFT(F160,FIND("-",F160))&amp;MID(F160,FIND("PR",F160,FIND("-",F160))+3,LEN(F160)),F160)</f>
        <v/>
      </c>
      <c r="K160" s="352">
        <f>_xlfn.XLOOKUP(F160,投产规格!E:E,投产规格!D:D,"未投产")</f>
        <v/>
      </c>
      <c r="L160" s="352">
        <f>IFERROR(_xlfn.XLOOKUP(F160,硫化工艺!B:B,硫化工艺!C:C),"")</f>
        <v/>
      </c>
      <c r="M160" s="430">
        <f>IF(L160="","",L160/(L160+$L$1/60))</f>
        <v/>
      </c>
      <c r="N160" s="352">
        <f>C160&amp;"全钢"</f>
        <v/>
      </c>
      <c r="O160" s="352">
        <f>IFERROR(_xlfn.XLOOKUP(F160,轮胎重量!J:J,轮胎重量!G:G),"")</f>
        <v/>
      </c>
      <c r="P160" s="352">
        <f>IFERROR(_xlfn.XLOOKUP(G160,硫化工艺!I:I,硫化工艺!J:J),"")</f>
        <v/>
      </c>
      <c r="Q160" s="352">
        <f>IFERROR(ROUND(1440/L160*(I160)*M160,0),"")</f>
        <v/>
      </c>
      <c r="R160" s="352" t="n"/>
      <c r="S160" s="352" t="n"/>
      <c r="T160" s="352" t="n"/>
      <c r="U160" s="352" t="n"/>
      <c r="V160" s="352" t="n"/>
      <c r="W160" s="352" t="n"/>
      <c r="X160" s="352" t="n"/>
      <c r="Y160" s="352" t="n"/>
      <c r="Z160" s="352" t="n"/>
      <c r="AA160" s="352" t="n"/>
      <c r="AB160" s="352" t="n"/>
      <c r="AC160" s="352" t="n"/>
      <c r="AD160" s="352" t="n"/>
      <c r="AE160" s="352" t="n"/>
      <c r="AF160" s="352" t="n"/>
      <c r="AG160" s="352" t="n"/>
      <c r="AH160" s="352" t="n">
        <v>60</v>
      </c>
      <c r="AI160" s="352" t="n">
        <v>60</v>
      </c>
      <c r="AJ160" s="352" t="n">
        <v>60</v>
      </c>
      <c r="AK160" s="352" t="n">
        <v>60</v>
      </c>
      <c r="AL160" s="352" t="n">
        <v>60</v>
      </c>
      <c r="AM160" s="352" t="n"/>
      <c r="AN160" s="352" t="n"/>
      <c r="AO160" s="352" t="n"/>
      <c r="AP160" s="352" t="n"/>
      <c r="AQ160" s="352" t="n"/>
      <c r="AR160" s="352" t="n"/>
      <c r="AS160" s="352" t="n"/>
      <c r="AT160" s="352" t="n"/>
      <c r="AU160" s="352" t="n"/>
      <c r="AV160" s="352" t="n"/>
      <c r="AW160" s="352">
        <f>IF(SUM(R160:AV160)=0,"",SUM(R160:AV160))</f>
        <v/>
      </c>
      <c r="AX160" s="431">
        <f>IFERROR(AW160*O160/1000,"")</f>
        <v/>
      </c>
      <c r="AY160" s="431">
        <f>IFERROR(ROUND(AW160*P160/10000,3),"")</f>
        <v/>
      </c>
      <c r="AZ160" s="354" t="n">
        <v>571.4299999999999</v>
      </c>
      <c r="BA160" s="355" t="n">
        <v>35.3</v>
      </c>
      <c r="BB160" s="355" t="n">
        <v>56.33</v>
      </c>
      <c r="BC160" s="355" t="n">
        <v>60.34</v>
      </c>
      <c r="BE160" s="331">
        <f>AZ160*AW160</f>
        <v/>
      </c>
      <c r="BF160" s="331">
        <f>BA160*AW160</f>
        <v/>
      </c>
      <c r="BG160" s="331">
        <f>BB160*AW160</f>
        <v/>
      </c>
      <c r="BH160" s="331">
        <f>BC160*AW160</f>
        <v/>
      </c>
      <c r="BJ160" s="356">
        <f t="array" ref="BJ160:BM160">_xlfn.LET(_xlpm.data,$R160:$AV160,_xlpm.starts,{1,8,16,23},_xlpm.lengths,{7,7,8,9},_xlpm.arr,_xlfn.MAP(_xlpm.starts,_xlpm.lengths,_xlfn.LAMBDA(_xlpm.s,_xlpm.l,SUM(INDEX(_xlpm.data,,_xlfn.SEQUENCE(,_xlpm.l,_xlpm.s))))),ROUND(_xlpm.arr*$O160/1000,2))</f>
        <v/>
      </c>
      <c r="BK160" s="331" t="n">
        <v>0</v>
      </c>
      <c r="BL160" s="331" t="n">
        <v>15.96</v>
      </c>
      <c r="BM160" s="331" t="n">
        <v>0</v>
      </c>
      <c r="BN160" s="362">
        <f>SUM(BJ160:BM160)</f>
        <v/>
      </c>
      <c r="BO160" s="362" t="n">
        <v>0</v>
      </c>
      <c r="BP160" s="362" t="n">
        <v>0</v>
      </c>
      <c r="BQ160" s="362" t="n">
        <v>0</v>
      </c>
      <c r="BR160" s="362" t="n">
        <v>0</v>
      </c>
      <c r="BT160" s="362">
        <f t="array" ref="BT160:BW160">_xlfn.HSTACK(SUM(INDEX($R160:$AV160,1,1):INDEX($R160:$AV160,1,7)),SUM(INDEX($R160:$AV160,1,7):INDEX($R160:$AV160,1,13)),SUM(INDEX($R160:$AV160,1,16):INDEX($R160:$AV160,1,23)),SUM(INDEX($R160:$AV160,1,23):INDEX($R160:$AV160,1,31)))</f>
        <v/>
      </c>
      <c r="BU160" s="362" t="n">
        <v>0</v>
      </c>
      <c r="BV160" s="362" t="n">
        <v>300</v>
      </c>
      <c r="BW160" s="362" t="n">
        <v>0</v>
      </c>
      <c r="BY160" s="362">
        <f>SUM(R160:X160)</f>
        <v/>
      </c>
      <c r="BZ160" s="362">
        <f>SUM(Y160:AE160)</f>
        <v/>
      </c>
      <c r="CA160" s="362">
        <f>SUM(AF160:AM160)</f>
        <v/>
      </c>
      <c r="CB160" s="362">
        <f>SUM(AN160:AV160)</f>
        <v/>
      </c>
      <c r="CD160" s="432" t="inlineStr">
        <is>
          <t>ADA</t>
        </is>
      </c>
      <c r="CE160" s="362">
        <f>ROUND(BY160*$O160/1000,2)</f>
        <v/>
      </c>
      <c r="CF160" s="362">
        <f>ROUND(BZ160*$O160/1000,2)</f>
        <v/>
      </c>
      <c r="CG160" s="362">
        <f>ROUND(CA160*$O160/1000,2)</f>
        <v/>
      </c>
      <c r="CH160" s="362">
        <f>ROUND(CB160*$O160/1000,2)</f>
        <v/>
      </c>
      <c r="CI160" s="362">
        <f>SUM(CE160:CH160)</f>
        <v/>
      </c>
      <c r="CK160" s="362">
        <f>IFERROR(ROUND(BY160*$P160,2),"")</f>
        <v/>
      </c>
      <c r="CL160" s="362">
        <f>IFERROR(ROUND(BZ160*$P160,2),"")</f>
        <v/>
      </c>
      <c r="CM160" s="362">
        <f>IFERROR(ROUND(CA160*$P160,2),"")</f>
        <v/>
      </c>
      <c r="CN160" s="362">
        <f>IFERROR(ROUND(CB160*$P160,2),"")</f>
        <v/>
      </c>
      <c r="CO160" s="362">
        <f>SUM(CK160:CN160)</f>
        <v/>
      </c>
    </row>
    <row r="161" ht="15.6" customHeight="1" s="428">
      <c r="B161" s="344">
        <f>_xlfn.XLOOKUP(G161,销售需求表!A:A,销售需求表!C:C)</f>
        <v/>
      </c>
      <c r="C161" s="345">
        <f>IFERROR(MID(F161,FIND("R",F161)+1,4),"")</f>
        <v/>
      </c>
      <c r="D161" s="344">
        <f>B161&amp;C161&amp;"寸"</f>
        <v/>
      </c>
      <c r="E161" s="346">
        <f>LEFT(REPLACE(G161,1,2,""),FIND("[",REPLACE(G161,1,2,""))-1)&amp;"-"&amp;MID(REPLACE(G161,1,2,""),FIND("[",REPLACE(G161,1,2,""))+1,FIND("]",REPLACE(G161,1,2,""))-FIND("[",REPLACE(G161,1,2,""))-1)</f>
        <v/>
      </c>
      <c r="F161" s="347">
        <f>IFERROR(MID(G161,3,FIND("(",G161)-3)&amp;"-"&amp;SUBSTITUTE(MID(G161,FIND("[",G161)+1,FIND("]",G161)-FIND("[",G161)-1),"Strong Guard ",""),"")</f>
        <v/>
      </c>
      <c r="G161" s="346" t="inlineStr">
        <is>
          <t>ID275/80R22.5-16PR(149/146M)[AD528]雅度无内</t>
        </is>
      </c>
      <c r="H161" s="344" t="n">
        <v>120</v>
      </c>
      <c r="I161" s="348" t="n"/>
      <c r="J161" s="349">
        <f>IFERROR(LEFT(F161,FIND("-",F161))&amp;MID(F161,FIND("PR",F161,FIND("-",F161))+3,LEN(F161)),F161)</f>
        <v/>
      </c>
      <c r="K161" s="352">
        <f>_xlfn.XLOOKUP(F161,投产规格!E:E,投产规格!D:D,"未投产")</f>
        <v/>
      </c>
      <c r="L161" s="352">
        <f>IFERROR(_xlfn.XLOOKUP(F161,硫化工艺!B:B,硫化工艺!C:C),"")</f>
        <v/>
      </c>
      <c r="M161" s="430">
        <f>IF(L161="","",L161/(L161+$L$1/60))</f>
        <v/>
      </c>
      <c r="N161" s="352">
        <f>C161&amp;"全钢"</f>
        <v/>
      </c>
      <c r="O161" s="352">
        <f>IFERROR(_xlfn.XLOOKUP(F161,轮胎重量!J:J,轮胎重量!G:G),"")</f>
        <v/>
      </c>
      <c r="P161" s="358">
        <f>O161*13.9</f>
        <v/>
      </c>
      <c r="Q161" s="352">
        <f>IFERROR(ROUND(1440/L161*(I161)*M161,0),"")</f>
        <v/>
      </c>
      <c r="R161" s="352" t="n"/>
      <c r="S161" s="352" t="n"/>
      <c r="T161" s="352" t="n"/>
      <c r="U161" s="352" t="n"/>
      <c r="V161" s="352" t="n"/>
      <c r="W161" s="352" t="n"/>
      <c r="X161" s="352" t="n"/>
      <c r="Y161" s="352" t="n"/>
      <c r="Z161" s="352" t="n"/>
      <c r="AA161" s="352" t="n"/>
      <c r="AB161" s="352" t="n"/>
      <c r="AC161" s="352" t="n"/>
      <c r="AD161" s="352" t="n"/>
      <c r="AE161" s="352" t="n"/>
      <c r="AF161" s="352" t="n"/>
      <c r="AG161" s="352" t="n"/>
      <c r="AH161" s="352" t="n"/>
      <c r="AI161" s="352" t="n"/>
      <c r="AJ161" s="352" t="n"/>
      <c r="AK161" s="352" t="n"/>
      <c r="AL161" s="352" t="n"/>
      <c r="AM161" s="352" t="n">
        <v>120</v>
      </c>
      <c r="AN161" s="352" t="n">
        <v>120</v>
      </c>
      <c r="AO161" s="352" t="n">
        <v>120</v>
      </c>
      <c r="AP161" s="352" t="n">
        <v>120</v>
      </c>
      <c r="AQ161" s="352" t="n"/>
      <c r="AR161" s="352" t="n"/>
      <c r="AS161" s="352" t="n"/>
      <c r="AT161" s="352" t="n"/>
      <c r="AU161" s="352" t="n"/>
      <c r="AV161" s="352" t="n"/>
      <c r="AW161" s="352">
        <f>IF(SUM(R161:AV161)=0,"",SUM(R161:AV161))</f>
        <v/>
      </c>
      <c r="AX161" s="431">
        <f>IFERROR(AW161*O161/1000,"")</f>
        <v/>
      </c>
      <c r="AY161" s="431">
        <f>IFERROR(ROUND(AW161*P161/10000,3),"")</f>
        <v/>
      </c>
      <c r="AZ161" s="354" t="n">
        <v>525.88</v>
      </c>
      <c r="BA161" s="355" t="n">
        <v>33.46</v>
      </c>
      <c r="BB161" s="355" t="n">
        <v>54.3</v>
      </c>
      <c r="BC161" s="355" t="n">
        <v>57.57</v>
      </c>
      <c r="BE161" s="331">
        <f>AZ161*AW161</f>
        <v/>
      </c>
      <c r="BF161" s="331">
        <f>BA161*AW161</f>
        <v/>
      </c>
      <c r="BG161" s="331">
        <f>BB161*AW161</f>
        <v/>
      </c>
      <c r="BH161" s="331">
        <f>BC161*AW161</f>
        <v/>
      </c>
      <c r="BJ161" s="356">
        <f t="array" ref="BJ161:BM161">_xlfn.LET(_xlpm.data,$R161:$AV161,_xlpm.starts,{1,8,16,23},_xlpm.lengths,{7,7,8,9},_xlpm.arr,_xlfn.MAP(_xlpm.starts,_xlpm.lengths,_xlfn.LAMBDA(_xlpm.s,_xlpm.l,SUM(INDEX(_xlpm.data,,_xlfn.SEQUENCE(,_xlpm.l,_xlpm.s))))),ROUND(_xlpm.arr*$O161/1000,2))</f>
        <v/>
      </c>
      <c r="BK161" s="331" t="n">
        <v>0</v>
      </c>
      <c r="BL161" s="331" t="n">
        <v>12.76</v>
      </c>
      <c r="BM161" s="331" t="n">
        <v>19.15</v>
      </c>
      <c r="BN161" s="362">
        <f>SUM(BJ161:BM161)</f>
        <v/>
      </c>
      <c r="BO161" s="362" t="n">
        <v>0</v>
      </c>
      <c r="BP161" s="362" t="n">
        <v>0</v>
      </c>
      <c r="BQ161" s="362" t="n">
        <v>0</v>
      </c>
      <c r="BR161" s="362" t="n">
        <v>0</v>
      </c>
      <c r="BT161" s="362">
        <f t="array" ref="BT161:BW161">_xlfn.HSTACK(SUM(INDEX($R161:$AV161,1,1):INDEX($R161:$AV161,1,7)),SUM(INDEX($R161:$AV161,1,7):INDEX($R161:$AV161,1,13)),SUM(INDEX($R161:$AV161,1,16):INDEX($R161:$AV161,1,23)),SUM(INDEX($R161:$AV161,1,23):INDEX($R161:$AV161,1,31)))</f>
        <v/>
      </c>
      <c r="BU161" s="362" t="n">
        <v>0</v>
      </c>
      <c r="BV161" s="362" t="n">
        <v>240</v>
      </c>
      <c r="BW161" s="362" t="n">
        <v>360</v>
      </c>
      <c r="BY161" s="362">
        <f>SUM(R161:X161)</f>
        <v/>
      </c>
      <c r="BZ161" s="362">
        <f>SUM(Y161:AE161)</f>
        <v/>
      </c>
      <c r="CA161" s="362">
        <f>SUM(AF161:AM161)</f>
        <v/>
      </c>
      <c r="CB161" s="362">
        <f>SUM(AN161:AV161)</f>
        <v/>
      </c>
      <c r="CD161" s="432" t="inlineStr">
        <is>
          <t>ADA</t>
        </is>
      </c>
      <c r="CE161" s="362">
        <f>ROUND(BY161*$O161/1000,2)</f>
        <v/>
      </c>
      <c r="CF161" s="362">
        <f>ROUND(BZ161*$O161/1000,2)</f>
        <v/>
      </c>
      <c r="CG161" s="362">
        <f>ROUND(CA161*$O161/1000,2)</f>
        <v/>
      </c>
      <c r="CH161" s="362">
        <f>ROUND(CB161*$O161/1000,2)</f>
        <v/>
      </c>
      <c r="CI161" s="362">
        <f>SUM(CE161:CH161)</f>
        <v/>
      </c>
      <c r="CK161" s="362">
        <f>IFERROR(ROUND(BY161*$P161,2),"")</f>
        <v/>
      </c>
      <c r="CL161" s="362">
        <f>IFERROR(ROUND(BZ161*$P161,2),"")</f>
        <v/>
      </c>
      <c r="CM161" s="362">
        <f>IFERROR(ROUND(CA161*$P161,2),"")</f>
        <v/>
      </c>
      <c r="CN161" s="362">
        <f>IFERROR(ROUND(CB161*$P161,2),"")</f>
        <v/>
      </c>
      <c r="CO161" s="362">
        <f>SUM(CK161:CN161)</f>
        <v/>
      </c>
    </row>
    <row r="162" ht="15.6" customFormat="1" customHeight="1" s="362">
      <c r="A162" s="331" t="n"/>
      <c r="B162" s="344">
        <f>_xlfn.XLOOKUP(G162,销售需求表!A:A,销售需求表!C:C)</f>
        <v/>
      </c>
      <c r="C162" s="345">
        <f>IFERROR(MID(F162,FIND("R",F162)+1,4),"")</f>
        <v/>
      </c>
      <c r="D162" s="344">
        <f>B162&amp;C162&amp;"寸"</f>
        <v/>
      </c>
      <c r="E162" s="346">
        <f>LEFT(REPLACE(G162,1,2,""),FIND("[",REPLACE(G162,1,2,""))-1)&amp;"-"&amp;MID(REPLACE(G162,1,2,""),FIND("[",REPLACE(G162,1,2,""))+1,FIND("]",REPLACE(G162,1,2,""))-FIND("[",REPLACE(G162,1,2,""))-1)</f>
        <v/>
      </c>
      <c r="F162" s="347">
        <f>IFERROR(MID(G162,3,FIND("(",G162)-3)&amp;"-"&amp;SUBSTITUTE(MID(G162,FIND("[",G162)+1,FIND("]",G162)-FIND("[",G162)-1),"Strong Guard ",""),"")</f>
        <v/>
      </c>
      <c r="G162" s="346" t="inlineStr">
        <is>
          <t>ID275/80R22.5-16PR(149/146M)[AS678]朝阳无内</t>
        </is>
      </c>
      <c r="H162" s="344" t="n">
        <v>1600</v>
      </c>
      <c r="I162" s="348" t="n"/>
      <c r="J162" s="349">
        <f>IFERROR(LEFT(F162,FIND("-",F162))&amp;MID(F162,FIND("PR",F162,FIND("-",F162))+3,LEN(F162)),F162)</f>
        <v/>
      </c>
      <c r="K162" s="352">
        <f>_xlfn.XLOOKUP(F162,投产规格!E:E,投产规格!D:D,"未投产")</f>
        <v/>
      </c>
      <c r="L162" s="352">
        <f>IFERROR(_xlfn.XLOOKUP(F162,硫化工艺!B:B,硫化工艺!C:C),"")</f>
        <v/>
      </c>
      <c r="M162" s="430">
        <f>IF(L162="","",L162/(L162+$L$1/60))</f>
        <v/>
      </c>
      <c r="N162" s="352">
        <f>C162&amp;"全钢"</f>
        <v/>
      </c>
      <c r="O162" s="352">
        <f>IFERROR(_xlfn.XLOOKUP(F162,轮胎重量!J:J,轮胎重量!G:G),"")</f>
        <v/>
      </c>
      <c r="P162" s="352">
        <f>IFERROR(_xlfn.XLOOKUP(G162,硫化工艺!I:I,硫化工艺!J:J),"")</f>
        <v/>
      </c>
      <c r="Q162" s="352">
        <f>IFERROR(ROUND(1440/L162*(I162)*M162,0),"")</f>
        <v/>
      </c>
      <c r="R162" s="352" t="n"/>
      <c r="S162" s="352" t="n"/>
      <c r="T162" s="352" t="n"/>
      <c r="U162" s="352" t="n"/>
      <c r="V162" s="352" t="n"/>
      <c r="W162" s="352" t="n"/>
      <c r="X162" s="352" t="n"/>
      <c r="Y162" s="352" t="n"/>
      <c r="Z162" s="352" t="n"/>
      <c r="AA162" s="352" t="n"/>
      <c r="AB162" s="352" t="n"/>
      <c r="AC162" s="352" t="n"/>
      <c r="AD162" s="352" t="n"/>
      <c r="AE162" s="352" t="n"/>
      <c r="AF162" s="352" t="n"/>
      <c r="AG162" s="352" t="n"/>
      <c r="AH162" s="352" t="n"/>
      <c r="AI162" s="352" t="n">
        <v>60</v>
      </c>
      <c r="AJ162" s="352" t="n">
        <v>60</v>
      </c>
      <c r="AK162" s="352" t="n">
        <v>60</v>
      </c>
      <c r="AL162" s="352" t="n">
        <v>60</v>
      </c>
      <c r="AM162" s="352" t="n">
        <v>60</v>
      </c>
      <c r="AN162" s="352" t="n">
        <v>60</v>
      </c>
      <c r="AO162" s="352" t="n">
        <v>60</v>
      </c>
      <c r="AP162" s="352" t="n">
        <v>60</v>
      </c>
      <c r="AQ162" s="352" t="n">
        <v>60</v>
      </c>
      <c r="AR162" s="352" t="n">
        <v>60</v>
      </c>
      <c r="AS162" s="352" t="n">
        <v>60</v>
      </c>
      <c r="AT162" s="352" t="n">
        <v>60</v>
      </c>
      <c r="AU162" s="352" t="n">
        <v>60</v>
      </c>
      <c r="AV162" s="352" t="n">
        <v>60</v>
      </c>
      <c r="AW162" s="352">
        <f>IF(SUM(R162:AV162)=0,"",SUM(R162:AV162))</f>
        <v/>
      </c>
      <c r="AX162" s="431">
        <f>IFERROR(AW162*O162/1000,"")</f>
        <v/>
      </c>
      <c r="AY162" s="431">
        <f>IFERROR(ROUND(AW162*P162/10000,3),"")</f>
        <v/>
      </c>
      <c r="AZ162" s="354" t="n">
        <v>525.88</v>
      </c>
      <c r="BA162" s="355" t="n">
        <v>33.46</v>
      </c>
      <c r="BB162" s="355" t="n">
        <v>54.3</v>
      </c>
      <c r="BC162" s="355" t="n">
        <v>57.57</v>
      </c>
      <c r="BD162" s="331" t="n"/>
      <c r="BE162" s="331">
        <f>AZ162*AW162</f>
        <v/>
      </c>
      <c r="BF162" s="331">
        <f>BA162*AW162</f>
        <v/>
      </c>
      <c r="BG162" s="331">
        <f>BB162*AW162</f>
        <v/>
      </c>
      <c r="BH162" s="331">
        <f>BC162*AW162</f>
        <v/>
      </c>
      <c r="BI162" s="331" t="n"/>
      <c r="BJ162" s="356">
        <f t="array" ref="BJ162:BM162">_xlfn.LET(_xlpm.data,$R162:$AV162,_xlpm.starts,{1,8,16,23},_xlpm.lengths,{7,7,8,9},_xlpm.arr,_xlfn.MAP(_xlpm.starts,_xlpm.lengths,_xlfn.LAMBDA(_xlpm.s,_xlpm.l,SUM(INDEX(_xlpm.data,,_xlfn.SEQUENCE(,_xlpm.l,_xlpm.s))))),ROUND(_xlpm.arr*$O162/1000,2))</f>
        <v/>
      </c>
      <c r="BK162" s="331" t="n">
        <v>0</v>
      </c>
      <c r="BL162" s="331" t="n">
        <v>18.23</v>
      </c>
      <c r="BM162" s="331" t="n">
        <v>27.35</v>
      </c>
      <c r="BN162" s="362">
        <f>SUM(BJ162:BM162)</f>
        <v/>
      </c>
      <c r="BO162" s="362" t="n">
        <v>0</v>
      </c>
      <c r="BP162" s="362" t="n">
        <v>0</v>
      </c>
      <c r="BQ162" s="362" t="n">
        <v>0</v>
      </c>
      <c r="BR162" s="362" t="n">
        <v>0</v>
      </c>
      <c r="BS162" s="115" t="n"/>
      <c r="BT162" s="362">
        <f t="array" ref="BT162:BW162">_xlfn.HSTACK(SUM(INDEX($R162:$AV162,1,1):INDEX($R162:$AV162,1,7)),SUM(INDEX($R162:$AV162,1,7):INDEX($R162:$AV162,1,13)),SUM(INDEX($R162:$AV162,1,16):INDEX($R162:$AV162,1,23)),SUM(INDEX($R162:$AV162,1,23):INDEX($R162:$AV162,1,31)))</f>
        <v/>
      </c>
      <c r="BU162" s="362" t="n">
        <v>0</v>
      </c>
      <c r="BV162" s="362" t="n">
        <v>360</v>
      </c>
      <c r="BW162" s="362" t="n">
        <v>540</v>
      </c>
      <c r="BY162" s="362">
        <f>SUM(R162:X162)</f>
        <v/>
      </c>
      <c r="BZ162" s="362">
        <f>SUM(Y162:AE162)</f>
        <v/>
      </c>
      <c r="CA162" s="362">
        <f>SUM(AF162:AM162)</f>
        <v/>
      </c>
      <c r="CB162" s="362">
        <f>SUM(AN162:AV162)</f>
        <v/>
      </c>
      <c r="CD162" s="432" t="inlineStr">
        <is>
          <t>ADA</t>
        </is>
      </c>
      <c r="CE162" s="362">
        <f>ROUND(BY162*$O162/1000,2)</f>
        <v/>
      </c>
      <c r="CF162" s="362">
        <f>ROUND(BZ162*$O162/1000,2)</f>
        <v/>
      </c>
      <c r="CG162" s="362">
        <f>ROUND(CA162*$O162/1000,2)</f>
        <v/>
      </c>
      <c r="CH162" s="362">
        <f>ROUND(CB162*$O162/1000,2)</f>
        <v/>
      </c>
      <c r="CI162" s="362">
        <f>SUM(CE162:CH162)</f>
        <v/>
      </c>
      <c r="CJ162" s="390" t="n"/>
      <c r="CK162" s="362">
        <f>IFERROR(ROUND(BY162*$P162,2),"")</f>
        <v/>
      </c>
      <c r="CL162" s="362">
        <f>IFERROR(ROUND(BZ162*$P162,2),"")</f>
        <v/>
      </c>
      <c r="CM162" s="362">
        <f>IFERROR(ROUND(CA162*$P162,2),"")</f>
        <v/>
      </c>
      <c r="CN162" s="362">
        <f>IFERROR(ROUND(CB162*$P162,2),"")</f>
        <v/>
      </c>
      <c r="CO162" s="362">
        <f>SUM(CK162:CN162)</f>
        <v/>
      </c>
    </row>
    <row r="163" ht="15.6" customFormat="1" customHeight="1" s="362">
      <c r="A163" s="331" t="n"/>
      <c r="B163" s="344">
        <f>_xlfn.XLOOKUP(G163,销售需求表!A:A,销售需求表!C:C)</f>
        <v/>
      </c>
      <c r="C163" s="345">
        <f>IFERROR(MID(F163,FIND("R",F163)+1,4),"")</f>
        <v/>
      </c>
      <c r="D163" s="344">
        <f>B163&amp;C163&amp;"寸"</f>
        <v/>
      </c>
      <c r="E163" s="346">
        <f>LEFT(REPLACE(G163,1,2,""),FIND("[",REPLACE(G163,1,2,""))-1)&amp;"-"&amp;MID(REPLACE(G163,1,2,""),FIND("[",REPLACE(G163,1,2,""))+1,FIND("]",REPLACE(G163,1,2,""))-FIND("[",REPLACE(G163,1,2,""))-1)</f>
        <v/>
      </c>
      <c r="F163" s="347">
        <f>IFERROR(MID(G163,3,FIND("(",G163)-3)&amp;"-"&amp;SUBSTITUTE(MID(G163,FIND("[",G163)+1,FIND("]",G163)-FIND("[",G163)-1),"Strong Guard ",""),"")</f>
        <v/>
      </c>
      <c r="G163" s="346" t="inlineStr">
        <is>
          <t>ID275/80R22.5-16PR(149/146M)[AS678]威狮无内</t>
        </is>
      </c>
      <c r="H163" s="344" t="n">
        <v>1100</v>
      </c>
      <c r="I163" s="348" t="n">
        <v>2</v>
      </c>
      <c r="J163" s="349">
        <f>IFERROR(LEFT(F163,FIND("-",F163))&amp;MID(F163,FIND("PR",F163,FIND("-",F163))+3,LEN(F163)),F163)</f>
        <v/>
      </c>
      <c r="K163" s="352">
        <f>_xlfn.XLOOKUP(F163,投产规格!E:E,投产规格!D:D,"未投产")</f>
        <v/>
      </c>
      <c r="L163" s="352">
        <f>IFERROR(_xlfn.XLOOKUP(F163,硫化工艺!B:B,硫化工艺!C:C),"")</f>
        <v/>
      </c>
      <c r="M163" s="430">
        <f>IF(L163="","",L163/(L163+$L$1/60))</f>
        <v/>
      </c>
      <c r="N163" s="352">
        <f>C163&amp;"全钢"</f>
        <v/>
      </c>
      <c r="O163" s="352">
        <f>IFERROR(_xlfn.XLOOKUP(F163,轮胎重量!J:J,轮胎重量!G:G),"")</f>
        <v/>
      </c>
      <c r="P163" s="358">
        <f>O163*13.9</f>
        <v/>
      </c>
      <c r="Q163" s="352">
        <f>IFERROR(ROUND(1440/L163*(I163)*M163,0),"")</f>
        <v/>
      </c>
      <c r="R163" s="352" t="n">
        <v>60</v>
      </c>
      <c r="S163" s="352" t="n">
        <v>60</v>
      </c>
      <c r="T163" s="352" t="n">
        <v>60</v>
      </c>
      <c r="U163" s="352" t="n">
        <v>60</v>
      </c>
      <c r="V163" s="352" t="n">
        <v>60</v>
      </c>
      <c r="W163" s="352" t="n">
        <v>60</v>
      </c>
      <c r="X163" s="352" t="n">
        <v>60</v>
      </c>
      <c r="Y163" s="352" t="n">
        <v>60</v>
      </c>
      <c r="Z163" s="352" t="n">
        <v>60</v>
      </c>
      <c r="AA163" s="352" t="n">
        <v>60</v>
      </c>
      <c r="AB163" s="352" t="n">
        <v>60</v>
      </c>
      <c r="AC163" s="352" t="n">
        <v>60</v>
      </c>
      <c r="AD163" s="352" t="n">
        <v>60</v>
      </c>
      <c r="AE163" s="352" t="n">
        <v>60</v>
      </c>
      <c r="AF163" s="352" t="n">
        <v>60</v>
      </c>
      <c r="AG163" s="352" t="n">
        <v>60</v>
      </c>
      <c r="AH163" s="352" t="n">
        <v>60</v>
      </c>
      <c r="AI163" s="352" t="n"/>
      <c r="AJ163" s="352" t="n"/>
      <c r="AK163" s="352" t="n"/>
      <c r="AL163" s="352" t="n"/>
      <c r="AM163" s="352" t="n"/>
      <c r="AN163" s="352" t="n"/>
      <c r="AO163" s="352" t="n"/>
      <c r="AP163" s="352" t="n"/>
      <c r="AQ163" s="352" t="n"/>
      <c r="AR163" s="352" t="n"/>
      <c r="AS163" s="352" t="n"/>
      <c r="AT163" s="352" t="n"/>
      <c r="AU163" s="352" t="n"/>
      <c r="AV163" s="352" t="n"/>
      <c r="AW163" s="352">
        <f>IF(SUM(R163:AV163)=0,"",SUM(R163:AV163))</f>
        <v/>
      </c>
      <c r="AX163" s="431">
        <f>IFERROR(AW163*O163/1000,"")</f>
        <v/>
      </c>
      <c r="AY163" s="431">
        <f>IFERROR(ROUND(AW163*P163/10000,3),"")</f>
        <v/>
      </c>
      <c r="AZ163" s="354" t="n">
        <v>525.88</v>
      </c>
      <c r="BA163" s="355" t="n">
        <v>33.46</v>
      </c>
      <c r="BB163" s="355" t="n">
        <v>54.3</v>
      </c>
      <c r="BC163" s="355" t="n">
        <v>57.57</v>
      </c>
      <c r="BD163" s="331" t="n"/>
      <c r="BE163" s="331">
        <f>AZ163*AW163</f>
        <v/>
      </c>
      <c r="BF163" s="331">
        <f>BA163*AW163</f>
        <v/>
      </c>
      <c r="BG163" s="331">
        <f>BB163*AW163</f>
        <v/>
      </c>
      <c r="BH163" s="331">
        <f>BC163*AW163</f>
        <v/>
      </c>
      <c r="BI163" s="331" t="n"/>
      <c r="BJ163" s="356">
        <f t="array" ref="BJ163:BM163">_xlfn.LET(_xlpm.data,$R163:$AV163,_xlpm.starts,{1,8,16,23},_xlpm.lengths,{7,7,8,9},_xlpm.arr,_xlfn.MAP(_xlpm.starts,_xlpm.lengths,_xlfn.LAMBDA(_xlpm.s,_xlpm.l,SUM(INDEX(_xlpm.data,,_xlfn.SEQUENCE(,_xlpm.l,_xlpm.s))))),ROUND(_xlpm.arr*$O163/1000,2))</f>
        <v/>
      </c>
      <c r="BK163" s="331" t="n">
        <v>21.27</v>
      </c>
      <c r="BL163" s="331" t="n">
        <v>6.08</v>
      </c>
      <c r="BM163" s="331" t="n">
        <v>0</v>
      </c>
      <c r="BN163" s="362">
        <f>SUM(BJ163:BM163)</f>
        <v/>
      </c>
      <c r="BO163" s="362" t="n">
        <v>0</v>
      </c>
      <c r="BP163" s="362" t="n">
        <v>0</v>
      </c>
      <c r="BQ163" s="362" t="n">
        <v>0</v>
      </c>
      <c r="BR163" s="362" t="n">
        <v>0</v>
      </c>
      <c r="BS163" s="115" t="n"/>
      <c r="BT163" s="362">
        <f t="array" ref="BT163:BW163">_xlfn.HSTACK(SUM(INDEX($R163:$AV163,1,1):INDEX($R163:$AV163,1,7)),SUM(INDEX($R163:$AV163,1,7):INDEX($R163:$AV163,1,13)),SUM(INDEX($R163:$AV163,1,16):INDEX($R163:$AV163,1,23)),SUM(INDEX($R163:$AV163,1,23):INDEX($R163:$AV163,1,31)))</f>
        <v/>
      </c>
      <c r="BU163" s="362" t="n">
        <v>420</v>
      </c>
      <c r="BV163" s="362" t="n">
        <v>120</v>
      </c>
      <c r="BW163" s="362" t="n">
        <v>0</v>
      </c>
      <c r="BY163" s="362">
        <f>SUM(R163:X163)</f>
        <v/>
      </c>
      <c r="BZ163" s="362">
        <f>SUM(Y163:AE163)</f>
        <v/>
      </c>
      <c r="CA163" s="362">
        <f>SUM(AF163:AM163)</f>
        <v/>
      </c>
      <c r="CB163" s="362">
        <f>SUM(AN163:AV163)</f>
        <v/>
      </c>
      <c r="CD163" s="432" t="inlineStr">
        <is>
          <t>ADA</t>
        </is>
      </c>
      <c r="CE163" s="362">
        <f>ROUND(BY163*$O163/1000,2)</f>
        <v/>
      </c>
      <c r="CF163" s="362">
        <f>ROUND(BZ163*$O163/1000,2)</f>
        <v/>
      </c>
      <c r="CG163" s="362">
        <f>ROUND(CA163*$O163/1000,2)</f>
        <v/>
      </c>
      <c r="CH163" s="362">
        <f>ROUND(CB163*$O163/1000,2)</f>
        <v/>
      </c>
      <c r="CI163" s="362">
        <f>SUM(CE163:CH163)</f>
        <v/>
      </c>
      <c r="CJ163" s="390" t="n"/>
      <c r="CK163" s="362">
        <f>IFERROR(ROUND(BY163*$P163,2),"")</f>
        <v/>
      </c>
      <c r="CL163" s="362">
        <f>IFERROR(ROUND(BZ163*$P163,2),"")</f>
        <v/>
      </c>
      <c r="CM163" s="362">
        <f>IFERROR(ROUND(CA163*$P163,2),"")</f>
        <v/>
      </c>
      <c r="CN163" s="362">
        <f>IFERROR(ROUND(CB163*$P163,2),"")</f>
        <v/>
      </c>
      <c r="CO163" s="362">
        <f>SUM(CK163:CN163)</f>
        <v/>
      </c>
    </row>
    <row r="164" ht="15.6" customFormat="1" customHeight="1" s="362">
      <c r="A164" s="331" t="n"/>
      <c r="B164" s="344">
        <f>_xlfn.XLOOKUP(G164,销售需求表!A:A,销售需求表!C:C)</f>
        <v/>
      </c>
      <c r="C164" s="345">
        <f>IFERROR(MID(F164,FIND("R",F164)+1,4),"")</f>
        <v/>
      </c>
      <c r="D164" s="344">
        <f>B164&amp;C164&amp;"寸"</f>
        <v/>
      </c>
      <c r="E164" s="346">
        <f>LEFT(REPLACE(G164,1,2,""),FIND("[",REPLACE(G164,1,2,""))-1)&amp;"-"&amp;MID(REPLACE(G164,1,2,""),FIND("[",REPLACE(G164,1,2,""))+1,FIND("]",REPLACE(G164,1,2,""))-FIND("[",REPLACE(G164,1,2,""))-1)</f>
        <v/>
      </c>
      <c r="F164" s="347">
        <f>IFERROR(MID(G164,3,FIND("(",G164)-3)&amp;"-"&amp;SUBSTITUTE(MID(G164,FIND("[",G164)+1,FIND("]",G164)-FIND("[",G164)-1),"Strong Guard ",""),"")</f>
        <v/>
      </c>
      <c r="G164" s="346" t="inlineStr">
        <is>
          <t>ID275/80R22.5-16PR(149/146M)[AZ179]金冠无内</t>
        </is>
      </c>
      <c r="H164" s="344" t="n">
        <v>3200</v>
      </c>
      <c r="I164" s="348" t="n"/>
      <c r="J164" s="349">
        <f>IFERROR(LEFT(F164,FIND("-",F164))&amp;MID(F164,FIND("PR",F164,FIND("-",F164))+3,LEN(F164)),F164)</f>
        <v/>
      </c>
      <c r="K164" s="352">
        <f>_xlfn.XLOOKUP(F164,投产规格!E:E,投产规格!D:D,"未投产")</f>
        <v/>
      </c>
      <c r="L164" s="352">
        <f>IFERROR(_xlfn.XLOOKUP(F164,硫化工艺!B:B,硫化工艺!C:C),"")</f>
        <v/>
      </c>
      <c r="M164" s="430">
        <f>IF(L164="","",L164/(L164+$L$1/60))</f>
        <v/>
      </c>
      <c r="N164" s="352">
        <f>C164&amp;"全钢"</f>
        <v/>
      </c>
      <c r="O164" s="352">
        <f>IFERROR(_xlfn.XLOOKUP(F164,轮胎重量!J:J,轮胎重量!G:G),"")</f>
        <v/>
      </c>
      <c r="P164" s="352">
        <f>IFERROR(_xlfn.XLOOKUP(G164,硫化工艺!I:I,硫化工艺!J:J),"")</f>
        <v/>
      </c>
      <c r="Q164" s="352">
        <f>IFERROR(ROUND(1440/L164*(I164)*M164,0),"")</f>
        <v/>
      </c>
      <c r="R164" s="352" t="n"/>
      <c r="S164" s="352" t="n"/>
      <c r="T164" s="352" t="n"/>
      <c r="U164" s="352" t="n"/>
      <c r="V164" s="352" t="n"/>
      <c r="W164" s="352" t="n"/>
      <c r="X164" s="352" t="n"/>
      <c r="Y164" s="352" t="n">
        <v>140</v>
      </c>
      <c r="Z164" s="352" t="n">
        <v>140</v>
      </c>
      <c r="AA164" s="352" t="n">
        <v>140</v>
      </c>
      <c r="AB164" s="352" t="n">
        <v>140</v>
      </c>
      <c r="AC164" s="352" t="n">
        <v>140</v>
      </c>
      <c r="AD164" s="352" t="n">
        <v>140</v>
      </c>
      <c r="AE164" s="352" t="n">
        <v>140</v>
      </c>
      <c r="AF164" s="352" t="n">
        <v>140</v>
      </c>
      <c r="AG164" s="352" t="n">
        <v>140</v>
      </c>
      <c r="AH164" s="352" t="n">
        <v>140</v>
      </c>
      <c r="AI164" s="352" t="n">
        <v>140</v>
      </c>
      <c r="AJ164" s="352" t="n">
        <v>140</v>
      </c>
      <c r="AK164" s="352" t="n">
        <v>140</v>
      </c>
      <c r="AL164" s="352" t="n">
        <v>140</v>
      </c>
      <c r="AM164" s="352" t="n">
        <v>140</v>
      </c>
      <c r="AN164" s="352" t="n">
        <v>140</v>
      </c>
      <c r="AO164" s="352" t="n">
        <v>140</v>
      </c>
      <c r="AP164" s="352" t="n">
        <v>140</v>
      </c>
      <c r="AQ164" s="352" t="n">
        <v>140</v>
      </c>
      <c r="AR164" s="352" t="n">
        <v>140</v>
      </c>
      <c r="AS164" s="352" t="n">
        <v>140</v>
      </c>
      <c r="AT164" s="352" t="n">
        <v>140</v>
      </c>
      <c r="AU164" s="352" t="n">
        <v>140</v>
      </c>
      <c r="AV164" s="352" t="n">
        <v>140</v>
      </c>
      <c r="AW164" s="352">
        <f>IF(SUM(R164:AV164)=0,"",SUM(R164:AV164))</f>
        <v/>
      </c>
      <c r="AX164" s="431">
        <f>IFERROR(AW164*O164/1000,"")</f>
        <v/>
      </c>
      <c r="AY164" s="431">
        <f>IFERROR(ROUND(AW164*P164/10000,3),"")</f>
        <v/>
      </c>
      <c r="AZ164" s="354" t="n">
        <v>525.88</v>
      </c>
      <c r="BA164" s="355" t="n">
        <v>33.46</v>
      </c>
      <c r="BB164" s="355" t="n">
        <v>54.3</v>
      </c>
      <c r="BC164" s="355" t="n">
        <v>57.57</v>
      </c>
      <c r="BD164" s="331" t="n"/>
      <c r="BE164" s="331">
        <f>AZ164*AW164</f>
        <v/>
      </c>
      <c r="BF164" s="331">
        <f>BA164*AW164</f>
        <v/>
      </c>
      <c r="BG164" s="331">
        <f>BB164*AW164</f>
        <v/>
      </c>
      <c r="BH164" s="331">
        <f>BC164*AW164</f>
        <v/>
      </c>
      <c r="BI164" s="331" t="n"/>
      <c r="BJ164" s="356">
        <f t="array" ref="BJ164:BM164">_xlfn.LET(_xlpm.data,$R164:$AV164,_xlpm.starts,{1,8,16,23},_xlpm.lengths,{7,7,8,9},_xlpm.arr,_xlfn.MAP(_xlpm.starts,_xlpm.lengths,_xlfn.LAMBDA(_xlpm.s,_xlpm.l,SUM(INDEX(_xlpm.data,,_xlfn.SEQUENCE(,_xlpm.l,_xlpm.s))))),ROUND(_xlpm.arr*$O164/1000,2))</f>
        <v/>
      </c>
      <c r="BK164" s="331" t="n">
        <v>46.7</v>
      </c>
      <c r="BL164" s="331" t="n">
        <v>53.37</v>
      </c>
      <c r="BM164" s="331" t="n">
        <v>60.04</v>
      </c>
      <c r="BN164" s="362">
        <f>SUM(BJ164:BM164)</f>
        <v/>
      </c>
      <c r="BO164" s="362" t="n">
        <v>0</v>
      </c>
      <c r="BP164" s="362" t="n">
        <v>0</v>
      </c>
      <c r="BQ164" s="362" t="n">
        <v>0</v>
      </c>
      <c r="BR164" s="362" t="n">
        <v>0</v>
      </c>
      <c r="BS164" s="115" t="n"/>
      <c r="BT164" s="362">
        <f t="array" ref="BT164:BW164">_xlfn.HSTACK(SUM(INDEX($R164:$AV164,1,1):INDEX($R164:$AV164,1,7)),SUM(INDEX($R164:$AV164,1,7):INDEX($R164:$AV164,1,13)),SUM(INDEX($R164:$AV164,1,16):INDEX($R164:$AV164,1,23)),SUM(INDEX($R164:$AV164,1,23):INDEX($R164:$AV164,1,31)))</f>
        <v/>
      </c>
      <c r="BU164" s="362" t="n">
        <v>840</v>
      </c>
      <c r="BV164" s="362" t="n">
        <v>1120</v>
      </c>
      <c r="BW164" s="362" t="n">
        <v>1260</v>
      </c>
      <c r="BY164" s="362">
        <f>SUM(R164:X164)</f>
        <v/>
      </c>
      <c r="BZ164" s="362">
        <f>SUM(Y164:AE164)</f>
        <v/>
      </c>
      <c r="CA164" s="362">
        <f>SUM(AF164:AM164)</f>
        <v/>
      </c>
      <c r="CB164" s="362">
        <f>SUM(AN164:AV164)</f>
        <v/>
      </c>
      <c r="CD164" s="432" t="inlineStr">
        <is>
          <t>ADA</t>
        </is>
      </c>
      <c r="CE164" s="362">
        <f>ROUND(BY164*$O164/1000,2)</f>
        <v/>
      </c>
      <c r="CF164" s="362">
        <f>ROUND(BZ164*$O164/1000,2)</f>
        <v/>
      </c>
      <c r="CG164" s="362">
        <f>ROUND(CA164*$O164/1000,2)</f>
        <v/>
      </c>
      <c r="CH164" s="362">
        <f>ROUND(CB164*$O164/1000,2)</f>
        <v/>
      </c>
      <c r="CI164" s="362">
        <f>SUM(CE164:CH164)</f>
        <v/>
      </c>
      <c r="CJ164" s="390" t="n"/>
      <c r="CK164" s="362">
        <f>IFERROR(ROUND(BY164*$P164,2),"")</f>
        <v/>
      </c>
      <c r="CL164" s="362">
        <f>IFERROR(ROUND(BZ164*$P164,2),"")</f>
        <v/>
      </c>
      <c r="CM164" s="362">
        <f>IFERROR(ROUND(CA164*$P164,2),"")</f>
        <v/>
      </c>
      <c r="CN164" s="362">
        <f>IFERROR(ROUND(CB164*$P164,2),"")</f>
        <v/>
      </c>
      <c r="CO164" s="362">
        <f>SUM(CK164:CN164)</f>
        <v/>
      </c>
    </row>
    <row r="165" ht="15.6" customFormat="1" customHeight="1" s="362">
      <c r="A165" s="331" t="n"/>
      <c r="B165" s="344">
        <f>_xlfn.XLOOKUP(G165,销售需求表!A:A,销售需求表!C:C)</f>
        <v/>
      </c>
      <c r="C165" s="345">
        <f>IFERROR(MID(F165,FIND("R",F165)+1,4),"")</f>
        <v/>
      </c>
      <c r="D165" s="344">
        <f>B165&amp;C165&amp;"寸"</f>
        <v/>
      </c>
      <c r="E165" s="346">
        <f>LEFT(REPLACE(G165,1,2,""),FIND("[",REPLACE(G165,1,2,""))-1)&amp;"-"&amp;MID(REPLACE(G165,1,2,""),FIND("[",REPLACE(G165,1,2,""))+1,FIND("]",REPLACE(G165,1,2,""))-FIND("[",REPLACE(G165,1,2,""))-1)</f>
        <v/>
      </c>
      <c r="F165" s="347">
        <f>IFERROR(MID(G165,3,FIND("(",G165)-3)&amp;"-"&amp;SUBSTITUTE(MID(G165,FIND("[",G165)+1,FIND("]",G165)-FIND("[",G165)-1),"Strong Guard ",""),"")</f>
        <v/>
      </c>
      <c r="G165" s="346" t="inlineStr">
        <is>
          <t>ID275/80R22.5-16PR(149/146M)[BMD06 PRO]BRANSALES无内</t>
        </is>
      </c>
      <c r="H165" s="344" t="n">
        <v>400</v>
      </c>
      <c r="I165" s="348" t="n"/>
      <c r="J165" s="349">
        <f>IFERROR(LEFT(F165,FIND("-",F165))&amp;MID(F165,FIND("PR",F165,FIND("-",F165))+3,LEN(F165)),F165)</f>
        <v/>
      </c>
      <c r="K165" s="352">
        <f>_xlfn.XLOOKUP(F165,投产规格!E:E,投产规格!D:D,"未投产")</f>
        <v/>
      </c>
      <c r="L165" s="352">
        <f>IFERROR(_xlfn.XLOOKUP(F165,硫化工艺!B:B,硫化工艺!C:C),"")</f>
        <v/>
      </c>
      <c r="M165" s="430">
        <f>IF(L165="","",L165/(L165+$L$1/60))</f>
        <v/>
      </c>
      <c r="N165" s="352">
        <f>C165&amp;"全钢"</f>
        <v/>
      </c>
      <c r="O165" s="352">
        <f>IFERROR(_xlfn.XLOOKUP(F165,轮胎重量!J:J,轮胎重量!G:G),"")</f>
        <v/>
      </c>
      <c r="P165" s="358">
        <f>O165*13.9</f>
        <v/>
      </c>
      <c r="Q165" s="352">
        <f>IFERROR(ROUND(1440/L165*(I165)*M165,0),"")</f>
        <v/>
      </c>
      <c r="R165" s="352" t="n"/>
      <c r="S165" s="352" t="n"/>
      <c r="T165" s="352" t="n"/>
      <c r="U165" s="352" t="n"/>
      <c r="V165" s="352" t="n"/>
      <c r="W165" s="352" t="n"/>
      <c r="X165" s="352" t="n"/>
      <c r="Y165" s="352" t="n"/>
      <c r="Z165" s="352" t="n"/>
      <c r="AA165" s="352" t="n"/>
      <c r="AB165" s="352" t="n"/>
      <c r="AC165" s="352" t="n"/>
      <c r="AD165" s="352" t="n"/>
      <c r="AE165" s="352" t="n"/>
      <c r="AF165" s="352" t="n"/>
      <c r="AG165" s="352" t="n"/>
      <c r="AH165" s="352" t="n"/>
      <c r="AI165" s="352" t="n"/>
      <c r="AJ165" s="352" t="n"/>
      <c r="AK165" s="352" t="n"/>
      <c r="AL165" s="352" t="n"/>
      <c r="AM165" s="352" t="n"/>
      <c r="AN165" s="352" t="n"/>
      <c r="AO165" s="352" t="n"/>
      <c r="AP165" s="352" t="n"/>
      <c r="AQ165" s="352" t="n">
        <v>60</v>
      </c>
      <c r="AR165" s="352" t="n">
        <v>60</v>
      </c>
      <c r="AS165" s="352" t="n">
        <v>60</v>
      </c>
      <c r="AT165" s="352" t="n">
        <v>60</v>
      </c>
      <c r="AU165" s="352" t="n">
        <v>60</v>
      </c>
      <c r="AV165" s="352" t="n">
        <v>60</v>
      </c>
      <c r="AW165" s="352">
        <f>IF(SUM(R165:AV165)=0,"",SUM(R165:AV165))</f>
        <v/>
      </c>
      <c r="AX165" s="431">
        <f>IFERROR(AW165*O165/1000,"")</f>
        <v/>
      </c>
      <c r="AY165" s="431">
        <f>IFERROR(ROUND(AW165*P165/10000,3),"")</f>
        <v/>
      </c>
      <c r="AZ165" s="354" t="n">
        <v>525.88</v>
      </c>
      <c r="BA165" s="355" t="n">
        <v>33.46</v>
      </c>
      <c r="BB165" s="355" t="n">
        <v>54.3</v>
      </c>
      <c r="BC165" s="355" t="n">
        <v>57.57</v>
      </c>
      <c r="BD165" s="331" t="n"/>
      <c r="BE165" s="331">
        <f>AZ165*AW165</f>
        <v/>
      </c>
      <c r="BF165" s="331">
        <f>BA165*AW165</f>
        <v/>
      </c>
      <c r="BG165" s="331">
        <f>BB165*AW165</f>
        <v/>
      </c>
      <c r="BH165" s="331">
        <f>BC165*AW165</f>
        <v/>
      </c>
      <c r="BI165" s="331" t="n"/>
      <c r="BJ165" s="356">
        <f t="array" ref="BJ165:BM165">_xlfn.LET(_xlpm.data,$R165:$AV165,_xlpm.starts,{1,8,16,23},_xlpm.lengths,{7,7,8,9},_xlpm.arr,_xlfn.MAP(_xlpm.starts,_xlpm.lengths,_xlfn.LAMBDA(_xlpm.s,_xlpm.l,SUM(INDEX(_xlpm.data,,_xlfn.SEQUENCE(,_xlpm.l,_xlpm.s))))),ROUND(_xlpm.arr*$O165/1000,2))</f>
        <v/>
      </c>
      <c r="BK165" s="331" t="n">
        <v>0</v>
      </c>
      <c r="BL165" s="331" t="n">
        <v>0</v>
      </c>
      <c r="BM165" s="331" t="n">
        <v>20.73</v>
      </c>
      <c r="BN165" s="362">
        <f>SUM(BJ165:BM165)</f>
        <v/>
      </c>
      <c r="BO165" s="362" t="n">
        <v>0</v>
      </c>
      <c r="BP165" s="362" t="n">
        <v>0</v>
      </c>
      <c r="BQ165" s="362" t="n">
        <v>0</v>
      </c>
      <c r="BR165" s="362" t="n">
        <v>0</v>
      </c>
      <c r="BS165" s="115" t="n"/>
      <c r="BT165" s="362">
        <f t="array" ref="BT165:BW165">_xlfn.HSTACK(SUM(INDEX($R165:$AV165,1,1):INDEX($R165:$AV165,1,7)),SUM(INDEX($R165:$AV165,1,7):INDEX($R165:$AV165,1,13)),SUM(INDEX($R165:$AV165,1,16):INDEX($R165:$AV165,1,23)),SUM(INDEX($R165:$AV165,1,23):INDEX($R165:$AV165,1,31)))</f>
        <v/>
      </c>
      <c r="BU165" s="362" t="n">
        <v>0</v>
      </c>
      <c r="BV165" s="362" t="n">
        <v>0</v>
      </c>
      <c r="BW165" s="362" t="n">
        <v>360</v>
      </c>
      <c r="BY165" s="362">
        <f>SUM(R165:X165)</f>
        <v/>
      </c>
      <c r="BZ165" s="362">
        <f>SUM(Y165:AE165)</f>
        <v/>
      </c>
      <c r="CA165" s="362">
        <f>SUM(AF165:AM165)</f>
        <v/>
      </c>
      <c r="CB165" s="362">
        <f>SUM(AN165:AV165)</f>
        <v/>
      </c>
      <c r="CD165" s="432" t="inlineStr">
        <is>
          <t>ADA</t>
        </is>
      </c>
      <c r="CE165" s="362">
        <f>ROUND(BY165*$O165/1000,2)</f>
        <v/>
      </c>
      <c r="CF165" s="362">
        <f>ROUND(BZ165*$O165/1000,2)</f>
        <v/>
      </c>
      <c r="CG165" s="362">
        <f>ROUND(CA165*$O165/1000,2)</f>
        <v/>
      </c>
      <c r="CH165" s="362">
        <f>ROUND(CB165*$O165/1000,2)</f>
        <v/>
      </c>
      <c r="CI165" s="362">
        <f>SUM(CE165:CH165)</f>
        <v/>
      </c>
      <c r="CJ165" s="390" t="n"/>
      <c r="CK165" s="362">
        <f>IFERROR(ROUND(BY165*$P165,2),"")</f>
        <v/>
      </c>
      <c r="CL165" s="362">
        <f>IFERROR(ROUND(BZ165*$P165,2),"")</f>
        <v/>
      </c>
      <c r="CM165" s="362">
        <f>IFERROR(ROUND(CA165*$P165,2),"")</f>
        <v/>
      </c>
      <c r="CN165" s="362">
        <f>IFERROR(ROUND(CB165*$P165,2),"")</f>
        <v/>
      </c>
      <c r="CO165" s="362">
        <f>SUM(CK165:CN165)</f>
        <v/>
      </c>
    </row>
    <row r="166" ht="15.6" customHeight="1" s="428">
      <c r="B166" s="344">
        <f>_xlfn.XLOOKUP(G166,销售需求表!A:A,销售需求表!C:C)</f>
        <v/>
      </c>
      <c r="C166" s="345">
        <f>IFERROR(MID(F166,FIND("R",F166)+1,4),"")</f>
        <v/>
      </c>
      <c r="D166" s="344">
        <f>B166&amp;C166&amp;"寸"</f>
        <v/>
      </c>
      <c r="E166" s="346">
        <f>LEFT(REPLACE(G166,1,2,""),FIND("[",REPLACE(G166,1,2,""))-1)&amp;"-"&amp;MID(REPLACE(G166,1,2,""),FIND("[",REPLACE(G166,1,2,""))+1,FIND("]",REPLACE(G166,1,2,""))-FIND("[",REPLACE(G166,1,2,""))-1)</f>
        <v/>
      </c>
      <c r="F166" s="347">
        <f>IFERROR(MID(G166,3,FIND("(",G166)-3)&amp;"-"&amp;SUBSTITUTE(MID(G166,FIND("[",G166)+1,FIND("]",G166)-FIND("[",G166)-1),"Strong Guard ",""),"")</f>
        <v/>
      </c>
      <c r="G166" s="346" t="inlineStr">
        <is>
          <t>ID275/80R22.5-16PR(149/146M)[BRA04]BRANSALES无内</t>
        </is>
      </c>
      <c r="H166" s="344" t="n">
        <v>350</v>
      </c>
      <c r="I166" s="348" t="n"/>
      <c r="J166" s="349">
        <f>IFERROR(LEFT(F166,FIND("-",F166))&amp;MID(F166,FIND("PR",F166,FIND("-",F166))+3,LEN(F166)),F166)</f>
        <v/>
      </c>
      <c r="K166" s="352">
        <f>_xlfn.XLOOKUP(F166,投产规格!E:E,投产规格!D:D,"未投产")</f>
        <v/>
      </c>
      <c r="L166" s="352">
        <f>IFERROR(_xlfn.XLOOKUP(F166,硫化工艺!B:B,硫化工艺!C:C),"")</f>
        <v/>
      </c>
      <c r="M166" s="430">
        <f>IF(L166="","",L166/(L166+$L$1/60))</f>
        <v/>
      </c>
      <c r="N166" s="352">
        <f>C166&amp;"全钢"</f>
        <v/>
      </c>
      <c r="O166" s="352">
        <f>IFERROR(_xlfn.XLOOKUP(F166,轮胎重量!J:J,轮胎重量!G:G),"")</f>
        <v/>
      </c>
      <c r="P166" s="352">
        <f>IFERROR(_xlfn.XLOOKUP(G166,硫化工艺!I:I,硫化工艺!J:J),"")</f>
        <v/>
      </c>
      <c r="Q166" s="352">
        <f>IFERROR(ROUND(1440/L166*(I166)*M166,0),"")</f>
        <v/>
      </c>
      <c r="R166" s="352" t="n"/>
      <c r="S166" s="352" t="n"/>
      <c r="T166" s="352" t="n"/>
      <c r="U166" s="352" t="n"/>
      <c r="V166" s="352" t="n"/>
      <c r="W166" s="352" t="n"/>
      <c r="X166" s="352" t="n"/>
      <c r="Y166" s="352" t="n"/>
      <c r="Z166" s="352" t="n"/>
      <c r="AA166" s="352" t="n"/>
      <c r="AB166" s="352" t="n"/>
      <c r="AC166" s="352" t="n"/>
      <c r="AD166" s="352" t="n"/>
      <c r="AE166" s="352" t="n"/>
      <c r="AF166" s="352" t="n"/>
      <c r="AG166" s="352" t="n"/>
      <c r="AH166" s="352" t="n"/>
      <c r="AI166" s="352" t="n"/>
      <c r="AJ166" s="352" t="n"/>
      <c r="AK166" s="352" t="n"/>
      <c r="AL166" s="352" t="n"/>
      <c r="AM166" s="352" t="n"/>
      <c r="AN166" s="352" t="n"/>
      <c r="AO166" s="352" t="n"/>
      <c r="AP166" s="352" t="n"/>
      <c r="AQ166" s="352" t="n">
        <v>60</v>
      </c>
      <c r="AR166" s="352" t="n">
        <v>60</v>
      </c>
      <c r="AS166" s="352" t="n">
        <v>60</v>
      </c>
      <c r="AT166" s="352" t="n">
        <v>60</v>
      </c>
      <c r="AU166" s="352" t="n">
        <v>60</v>
      </c>
      <c r="AV166" s="352" t="n">
        <v>60</v>
      </c>
      <c r="AW166" s="352">
        <f>IF(SUM(R166:AV166)=0,"",SUM(R166:AV166))</f>
        <v/>
      </c>
      <c r="AX166" s="431">
        <f>IFERROR(AW166*O166/1000,"")</f>
        <v/>
      </c>
      <c r="AY166" s="431">
        <f>IFERROR(ROUND(AW166*P166/10000,3),"")</f>
        <v/>
      </c>
      <c r="AZ166" s="354" t="n">
        <v>525.88</v>
      </c>
      <c r="BA166" s="355" t="n">
        <v>33.46</v>
      </c>
      <c r="BB166" s="355" t="n">
        <v>54.3</v>
      </c>
      <c r="BC166" s="355" t="n">
        <v>57.57</v>
      </c>
      <c r="BE166" s="331">
        <f>AZ166*AW166</f>
        <v/>
      </c>
      <c r="BF166" s="331">
        <f>BA166*AW166</f>
        <v/>
      </c>
      <c r="BG166" s="331">
        <f>BB166*AW166</f>
        <v/>
      </c>
      <c r="BH166" s="331">
        <f>BC166*AW166</f>
        <v/>
      </c>
      <c r="BJ166" s="356">
        <f t="array" ref="BJ166:BM166">_xlfn.LET(_xlpm.data,$R166:$AV166,_xlpm.starts,{1,8,16,23},_xlpm.lengths,{7,7,8,9},_xlpm.arr,_xlfn.MAP(_xlpm.starts,_xlpm.lengths,_xlfn.LAMBDA(_xlpm.s,_xlpm.l,SUM(INDEX(_xlpm.data,,_xlfn.SEQUENCE(,_xlpm.l,_xlpm.s))))),ROUND(_xlpm.arr*$O166/1000,2))</f>
        <v/>
      </c>
      <c r="BK166" s="331" t="n">
        <v>0</v>
      </c>
      <c r="BL166" s="331" t="n">
        <v>0</v>
      </c>
      <c r="BM166" s="331" t="n">
        <v>18.11</v>
      </c>
      <c r="BN166" s="362">
        <f>SUM(BJ166:BM166)</f>
        <v/>
      </c>
      <c r="BO166" s="362" t="n">
        <v>0</v>
      </c>
      <c r="BP166" s="362" t="n">
        <v>0</v>
      </c>
      <c r="BQ166" s="362" t="n">
        <v>0</v>
      </c>
      <c r="BR166" s="362" t="n">
        <v>0</v>
      </c>
      <c r="BT166" s="362">
        <f t="array" ref="BT166:BW166">_xlfn.HSTACK(SUM(INDEX($R166:$AV166,1,1):INDEX($R166:$AV166,1,7)),SUM(INDEX($R166:$AV166,1,7):INDEX($R166:$AV166,1,13)),SUM(INDEX($R166:$AV166,1,16):INDEX($R166:$AV166,1,23)),SUM(INDEX($R166:$AV166,1,23):INDEX($R166:$AV166,1,31)))</f>
        <v/>
      </c>
      <c r="BU166" s="362" t="n">
        <v>0</v>
      </c>
      <c r="BV166" s="362" t="n">
        <v>0</v>
      </c>
      <c r="BW166" s="362" t="n">
        <v>360</v>
      </c>
      <c r="BY166" s="362">
        <f>SUM(R166:X166)</f>
        <v/>
      </c>
      <c r="BZ166" s="362">
        <f>SUM(Y166:AE166)</f>
        <v/>
      </c>
      <c r="CA166" s="362">
        <f>SUM(AF166:AM166)</f>
        <v/>
      </c>
      <c r="CB166" s="362">
        <f>SUM(AN166:AV166)</f>
        <v/>
      </c>
      <c r="CD166" s="432" t="inlineStr">
        <is>
          <t>ADA</t>
        </is>
      </c>
      <c r="CE166" s="362">
        <f>ROUND(BY166*$O166/1000,2)</f>
        <v/>
      </c>
      <c r="CF166" s="362">
        <f>ROUND(BZ166*$O166/1000,2)</f>
        <v/>
      </c>
      <c r="CG166" s="362">
        <f>ROUND(CA166*$O166/1000,2)</f>
        <v/>
      </c>
      <c r="CH166" s="362">
        <f>ROUND(CB166*$O166/1000,2)</f>
        <v/>
      </c>
      <c r="CI166" s="362">
        <f>SUM(CE166:CH166)</f>
        <v/>
      </c>
      <c r="CK166" s="362">
        <f>IFERROR(ROUND(BY166*$P166,2),"")</f>
        <v/>
      </c>
      <c r="CL166" s="362">
        <f>IFERROR(ROUND(BZ166*$P166,2),"")</f>
        <v/>
      </c>
      <c r="CM166" s="362">
        <f>IFERROR(ROUND(CA166*$P166,2),"")</f>
        <v/>
      </c>
      <c r="CN166" s="362">
        <f>IFERROR(ROUND(CB166*$P166,2),"")</f>
        <v/>
      </c>
      <c r="CO166" s="362">
        <f>SUM(CK166:CN166)</f>
        <v/>
      </c>
    </row>
    <row r="167" ht="15.6" customHeight="1" s="428">
      <c r="B167" s="344">
        <f>_xlfn.XLOOKUP(G167,销售需求表!A:A,销售需求表!C:C)</f>
        <v/>
      </c>
      <c r="C167" s="345">
        <f>IFERROR(MID(F167,FIND("R",F167)+1,4),"")</f>
        <v/>
      </c>
      <c r="D167" s="344">
        <f>B167&amp;C167&amp;"寸"</f>
        <v/>
      </c>
      <c r="E167" s="346">
        <f>LEFT(REPLACE(G167,1,2,""),FIND("[",REPLACE(G167,1,2,""))-1)&amp;"-"&amp;MID(REPLACE(G167,1,2,""),FIND("[",REPLACE(G167,1,2,""))+1,FIND("]",REPLACE(G167,1,2,""))-FIND("[",REPLACE(G167,1,2,""))-1)</f>
        <v/>
      </c>
      <c r="F167" s="347">
        <f>IFERROR(MID(G167,3,FIND("(",G167)-3)&amp;"-"&amp;SUBSTITUTE(MID(G167,FIND("[",G167)+1,FIND("]",G167)-FIND("[",G167)-1),"Strong Guard ",""),"")</f>
        <v/>
      </c>
      <c r="G167" s="346" t="inlineStr">
        <is>
          <t>ID275/80R22.5-16PR(149/146M)[CR976A]威狮无内</t>
        </is>
      </c>
      <c r="H167" s="344" t="n">
        <v>850</v>
      </c>
      <c r="I167" s="348" t="n">
        <v>2</v>
      </c>
      <c r="J167" s="349">
        <f>IFERROR(LEFT(F167,FIND("-",F167))&amp;MID(F167,FIND("PR",F167,FIND("-",F167))+3,LEN(F167)),F167)</f>
        <v/>
      </c>
      <c r="K167" s="352">
        <f>_xlfn.XLOOKUP(F167,投产规格!E:E,投产规格!D:D,"未投产")</f>
        <v/>
      </c>
      <c r="L167" s="352">
        <f>IFERROR(_xlfn.XLOOKUP(F167,硫化工艺!B:B,硫化工艺!C:C),"")</f>
        <v/>
      </c>
      <c r="M167" s="430">
        <f>IF(L167="","",L167/(L167+$L$1/60))</f>
        <v/>
      </c>
      <c r="N167" s="352">
        <f>C167&amp;"全钢"</f>
        <v/>
      </c>
      <c r="O167" s="352">
        <f>IFERROR(_xlfn.XLOOKUP(F167,轮胎重量!J:J,轮胎重量!G:G),"")</f>
        <v/>
      </c>
      <c r="P167" s="352">
        <f>IFERROR(_xlfn.XLOOKUP(G167,硫化工艺!I:I,硫化工艺!J:J),"")</f>
        <v/>
      </c>
      <c r="Q167" s="352">
        <f>IFERROR(ROUND(1440/L167*(I167)*M167,0),"")</f>
        <v/>
      </c>
      <c r="R167" s="352" t="n">
        <v>60</v>
      </c>
      <c r="S167" s="352" t="n">
        <v>60</v>
      </c>
      <c r="T167" s="352" t="n">
        <v>60</v>
      </c>
      <c r="U167" s="352" t="n">
        <v>60</v>
      </c>
      <c r="V167" s="352" t="n">
        <v>60</v>
      </c>
      <c r="W167" s="352" t="n">
        <v>60</v>
      </c>
      <c r="X167" s="352" t="n">
        <v>60</v>
      </c>
      <c r="Y167" s="352" t="n">
        <v>60</v>
      </c>
      <c r="Z167" s="352" t="n">
        <v>60</v>
      </c>
      <c r="AA167" s="352" t="n">
        <v>60</v>
      </c>
      <c r="AB167" s="352" t="n">
        <v>60</v>
      </c>
      <c r="AC167" s="352" t="n">
        <v>60</v>
      </c>
      <c r="AD167" s="352" t="n">
        <v>60</v>
      </c>
      <c r="AE167" s="352" t="n"/>
      <c r="AF167" s="352" t="n"/>
      <c r="AG167" s="352" t="n"/>
      <c r="AH167" s="352" t="n"/>
      <c r="AI167" s="352" t="n"/>
      <c r="AJ167" s="352" t="n"/>
      <c r="AK167" s="352" t="n"/>
      <c r="AL167" s="352" t="n"/>
      <c r="AM167" s="352" t="n"/>
      <c r="AN167" s="352" t="n"/>
      <c r="AO167" s="352" t="n"/>
      <c r="AP167" s="352" t="n"/>
      <c r="AQ167" s="352" t="n"/>
      <c r="AR167" s="352" t="n"/>
      <c r="AS167" s="352" t="n"/>
      <c r="AT167" s="352" t="n"/>
      <c r="AU167" s="352" t="n"/>
      <c r="AV167" s="352" t="n"/>
      <c r="AW167" s="352">
        <f>IF(SUM(R167:AV167)=0,"",SUM(R167:AV167))</f>
        <v/>
      </c>
      <c r="AX167" s="431">
        <f>IFERROR(AW167*O167/1000,"")</f>
        <v/>
      </c>
      <c r="AY167" s="431">
        <f>IFERROR(ROUND(AW167*P167/10000,3),"")</f>
        <v/>
      </c>
      <c r="AZ167" s="359" t="n"/>
      <c r="BE167" s="331">
        <f>AZ167*AW167</f>
        <v/>
      </c>
      <c r="BF167" s="331">
        <f>BA167*AW167</f>
        <v/>
      </c>
      <c r="BG167" s="331">
        <f>BB167*AW167</f>
        <v/>
      </c>
      <c r="BH167" s="331">
        <f>BC167*AW167</f>
        <v/>
      </c>
      <c r="BJ167" s="356">
        <f t="array" ref="BJ167:BM167">_xlfn.LET(_xlpm.data,$R167:$AV167,_xlpm.starts,{1,8,16,23},_xlpm.lengths,{7,7,8,9},_xlpm.arr,_xlfn.MAP(_xlpm.starts,_xlpm.lengths,_xlfn.LAMBDA(_xlpm.s,_xlpm.l,SUM(INDEX(_xlpm.data,,_xlfn.SEQUENCE(,_xlpm.l,_xlpm.s))))),ROUND(_xlpm.arr*$O167/1000,2))</f>
        <v/>
      </c>
      <c r="BK167" s="331" t="n">
        <v>18.11</v>
      </c>
      <c r="BL167" s="331" t="n">
        <v>0</v>
      </c>
      <c r="BM167" s="331" t="n">
        <v>0</v>
      </c>
      <c r="BN167" s="362">
        <f>SUM(BJ167:BM167)</f>
        <v/>
      </c>
      <c r="BO167" s="362" t="n">
        <v>47.04</v>
      </c>
      <c r="BP167" s="362" t="n">
        <v>47.04</v>
      </c>
      <c r="BQ167" s="362" t="n">
        <v>53.76</v>
      </c>
      <c r="BR167" s="362" t="n">
        <v>60.48</v>
      </c>
      <c r="BT167" s="362">
        <f t="array" ref="BT167:BW167">_xlfn.HSTACK(SUM(INDEX($R167:$AV167,1,1):INDEX($R167:$AV167,1,7)),SUM(INDEX($R167:$AV167,1,7):INDEX($R167:$AV167,1,13)),SUM(INDEX($R167:$AV167,1,16):INDEX($R167:$AV167,1,23)),SUM(INDEX($R167:$AV167,1,23):INDEX($R167:$AV167,1,31)))</f>
        <v/>
      </c>
      <c r="BU167" s="362" t="n">
        <v>420</v>
      </c>
      <c r="BV167" s="362" t="n">
        <v>0</v>
      </c>
      <c r="BW167" s="362" t="n">
        <v>0</v>
      </c>
      <c r="BY167" s="362">
        <f>SUM(R167:X167)</f>
        <v/>
      </c>
      <c r="BZ167" s="362">
        <f>SUM(Y167:AE167)</f>
        <v/>
      </c>
      <c r="CA167" s="362">
        <f>SUM(AF167:AM167)</f>
        <v/>
      </c>
      <c r="CB167" s="362">
        <f>SUM(AN167:AV167)</f>
        <v/>
      </c>
      <c r="CD167" s="432" t="inlineStr">
        <is>
          <t>ADA</t>
        </is>
      </c>
      <c r="CE167" s="362">
        <f>ROUND(BY167*$O167/1000,2)</f>
        <v/>
      </c>
      <c r="CF167" s="362">
        <f>ROUND(BZ167*$O167/1000,2)</f>
        <v/>
      </c>
      <c r="CG167" s="362">
        <f>ROUND(CA167*$O167/1000,2)</f>
        <v/>
      </c>
      <c r="CH167" s="362">
        <f>ROUND(CB167*$O167/1000,2)</f>
        <v/>
      </c>
      <c r="CI167" s="362">
        <f>SUM(CE167:CH167)</f>
        <v/>
      </c>
      <c r="CK167" s="362">
        <f>IFERROR(ROUND(BY167*$P167,2),"")</f>
        <v/>
      </c>
      <c r="CL167" s="362">
        <f>IFERROR(ROUND(BZ167*$P167,2),"")</f>
        <v/>
      </c>
      <c r="CM167" s="362">
        <f>IFERROR(ROUND(CA167*$P167,2),"")</f>
        <v/>
      </c>
      <c r="CN167" s="362">
        <f>IFERROR(ROUND(CB167*$P167,2),"")</f>
        <v/>
      </c>
      <c r="CO167" s="362">
        <f>SUM(CK167:CN167)</f>
        <v/>
      </c>
    </row>
    <row r="168" ht="15.6" customFormat="1" customHeight="1" s="362">
      <c r="A168" s="331" t="n"/>
      <c r="B168" s="344">
        <f>_xlfn.XLOOKUP(G168,销售需求表!A:A,销售需求表!C:C)</f>
        <v/>
      </c>
      <c r="C168" s="345">
        <f>IFERROR(MID(F168,FIND("R",F168)+1,4),"")</f>
        <v/>
      </c>
      <c r="D168" s="344">
        <f>B168&amp;C168&amp;"寸"</f>
        <v/>
      </c>
      <c r="E168" s="346">
        <f>LEFT(REPLACE(G168,1,2,""),FIND("[",REPLACE(G168,1,2,""))-1)&amp;"-"&amp;MID(REPLACE(G168,1,2,""),FIND("[",REPLACE(G168,1,2,""))+1,FIND("]",REPLACE(G168,1,2,""))-FIND("[",REPLACE(G168,1,2,""))-1)</f>
        <v/>
      </c>
      <c r="F168" s="347">
        <f>IFERROR(MID(G168,3,FIND("(",G168)-3)&amp;"-"&amp;SUBSTITUTE(MID(G168,FIND("[",G168)+1,FIND("]",G168)-FIND("[",G168)-1),"Strong Guard ",""),"")</f>
        <v/>
      </c>
      <c r="G168" s="346" t="inlineStr">
        <is>
          <t>ID275/80R22.5-16PR(149/146M)[G-PRO MSD]GRIPMASTER无内</t>
        </is>
      </c>
      <c r="H168" s="344" t="n">
        <v>1500</v>
      </c>
      <c r="I168" s="348" t="n"/>
      <c r="J168" s="349">
        <f>IFERROR(LEFT(F168,FIND("-",F168))&amp;MID(F168,FIND("PR",F168,FIND("-",F168))+3,LEN(F168)),F168)</f>
        <v/>
      </c>
      <c r="K168" s="352">
        <f>_xlfn.XLOOKUP(F168,投产规格!E:E,投产规格!D:D,"未投产")</f>
        <v/>
      </c>
      <c r="L168" s="352">
        <f>IFERROR(_xlfn.XLOOKUP(F168,硫化工艺!B:B,硫化工艺!C:C),"")</f>
        <v/>
      </c>
      <c r="M168" s="430">
        <f>IF(L168="","",L168/(L168+$L$1/60))</f>
        <v/>
      </c>
      <c r="N168" s="352">
        <f>C168&amp;"全钢"</f>
        <v/>
      </c>
      <c r="O168" s="352">
        <f>IFERROR(_xlfn.XLOOKUP(F168,轮胎重量!J:J,轮胎重量!G:G),"")</f>
        <v/>
      </c>
      <c r="P168" s="352">
        <f>IFERROR(_xlfn.XLOOKUP(G168,硫化工艺!I:I,硫化工艺!J:J),"")</f>
        <v/>
      </c>
      <c r="Q168" s="352">
        <f>IFERROR(ROUND(1440/L168*(I168)*M168,0),"")</f>
        <v/>
      </c>
      <c r="R168" s="352" t="n"/>
      <c r="S168" s="352" t="n"/>
      <c r="T168" s="352" t="n"/>
      <c r="U168" s="352" t="n"/>
      <c r="V168" s="352" t="n"/>
      <c r="W168" s="352" t="n"/>
      <c r="X168" s="352" t="n"/>
      <c r="Y168" s="352" t="n"/>
      <c r="Z168" s="352" t="n"/>
      <c r="AA168" s="352" t="n"/>
      <c r="AB168" s="352" t="n"/>
      <c r="AC168" s="352" t="n"/>
      <c r="AD168" s="352" t="n"/>
      <c r="AE168" s="352" t="n">
        <v>60</v>
      </c>
      <c r="AF168" s="352" t="n">
        <v>60</v>
      </c>
      <c r="AG168" s="352" t="n">
        <v>60</v>
      </c>
      <c r="AH168" s="352" t="n">
        <v>60</v>
      </c>
      <c r="AI168" s="352" t="n">
        <v>60</v>
      </c>
      <c r="AJ168" s="352" t="n">
        <v>60</v>
      </c>
      <c r="AK168" s="352" t="n">
        <v>60</v>
      </c>
      <c r="AL168" s="352" t="n">
        <v>60</v>
      </c>
      <c r="AM168" s="352" t="n">
        <v>60</v>
      </c>
      <c r="AN168" s="352" t="n">
        <v>60</v>
      </c>
      <c r="AO168" s="352" t="n">
        <v>60</v>
      </c>
      <c r="AP168" s="352" t="n">
        <v>60</v>
      </c>
      <c r="AQ168" s="352" t="n">
        <v>60</v>
      </c>
      <c r="AR168" s="352" t="n">
        <v>60</v>
      </c>
      <c r="AS168" s="352" t="n">
        <v>60</v>
      </c>
      <c r="AT168" s="352" t="n">
        <v>60</v>
      </c>
      <c r="AU168" s="352" t="n">
        <v>60</v>
      </c>
      <c r="AV168" s="352" t="n">
        <v>60</v>
      </c>
      <c r="AW168" s="352">
        <f>IF(SUM(R168:AV168)=0,"",SUM(R168:AV168))</f>
        <v/>
      </c>
      <c r="AX168" s="431">
        <f>IFERROR(AW168*O168/1000,"")</f>
        <v/>
      </c>
      <c r="AY168" s="431">
        <f>IFERROR(ROUND(AW168*P168/10000,3),"")</f>
        <v/>
      </c>
      <c r="AZ168" s="359" t="n"/>
      <c r="BC168" s="331" t="n"/>
      <c r="BD168" s="331" t="n"/>
      <c r="BE168" s="331">
        <f>AZ168*AW168</f>
        <v/>
      </c>
      <c r="BF168" s="331">
        <f>BA168*AW168</f>
        <v/>
      </c>
      <c r="BG168" s="331">
        <f>BB168*AW168</f>
        <v/>
      </c>
      <c r="BH168" s="331">
        <f>BC168*AW168</f>
        <v/>
      </c>
      <c r="BI168" s="331" t="n"/>
      <c r="BJ168" s="356">
        <f t="array" ref="BJ168:BM168">_xlfn.LET(_xlpm.data,$R168:$AV168,_xlpm.starts,{1,8,16,23},_xlpm.lengths,{7,7,8,9},_xlpm.arr,_xlfn.MAP(_xlpm.starts,_xlpm.lengths,_xlfn.LAMBDA(_xlpm.s,_xlpm.l,SUM(INDEX(_xlpm.data,,_xlfn.SEQUENCE(,_xlpm.l,_xlpm.s))))),ROUND(_xlpm.arr*$O168/1000,2))</f>
        <v/>
      </c>
      <c r="BK168" s="331" t="n">
        <v>3.45</v>
      </c>
      <c r="BL168" s="331" t="n">
        <v>27.64</v>
      </c>
      <c r="BM168" s="331" t="n">
        <v>31.09</v>
      </c>
      <c r="BN168" s="362">
        <f>SUM(BJ168:BM168)</f>
        <v/>
      </c>
      <c r="BO168" s="362" t="n">
        <v>47.04</v>
      </c>
      <c r="BP168" s="362" t="n">
        <v>47.04</v>
      </c>
      <c r="BQ168" s="362" t="n">
        <v>53.76</v>
      </c>
      <c r="BR168" s="362" t="n">
        <v>60.48</v>
      </c>
      <c r="BS168" s="115" t="n"/>
      <c r="BT168" s="362">
        <f t="array" ref="BT168:BW168">_xlfn.HSTACK(SUM(INDEX($R168:$AV168,1,1):INDEX($R168:$AV168,1,7)),SUM(INDEX($R168:$AV168,1,7):INDEX($R168:$AV168,1,13)),SUM(INDEX($R168:$AV168,1,16):INDEX($R168:$AV168,1,23)),SUM(INDEX($R168:$AV168,1,23):INDEX($R168:$AV168,1,31)))</f>
        <v/>
      </c>
      <c r="BU168" s="362" t="n">
        <v>0</v>
      </c>
      <c r="BV168" s="362" t="n">
        <v>480</v>
      </c>
      <c r="BW168" s="362" t="n">
        <v>540</v>
      </c>
      <c r="BY168" s="362">
        <f>SUM(R168:X168)</f>
        <v/>
      </c>
      <c r="BZ168" s="362">
        <f>SUM(Y168:AE168)</f>
        <v/>
      </c>
      <c r="CA168" s="362">
        <f>SUM(AF168:AM168)</f>
        <v/>
      </c>
      <c r="CB168" s="362">
        <f>SUM(AN168:AV168)</f>
        <v/>
      </c>
      <c r="CD168" s="432" t="inlineStr">
        <is>
          <t>ADA</t>
        </is>
      </c>
      <c r="CE168" s="362">
        <f>ROUND(BY168*$O168/1000,2)</f>
        <v/>
      </c>
      <c r="CF168" s="362">
        <f>ROUND(BZ168*$O168/1000,2)</f>
        <v/>
      </c>
      <c r="CG168" s="362">
        <f>ROUND(CA168*$O168/1000,2)</f>
        <v/>
      </c>
      <c r="CH168" s="362">
        <f>ROUND(CB168*$O168/1000,2)</f>
        <v/>
      </c>
      <c r="CI168" s="362">
        <f>SUM(CE168:CH168)</f>
        <v/>
      </c>
      <c r="CJ168" s="390" t="n"/>
      <c r="CK168" s="362">
        <f>IFERROR(ROUND(BY168*$P168,2),"")</f>
        <v/>
      </c>
      <c r="CL168" s="362">
        <f>IFERROR(ROUND(BZ168*$P168,2),"")</f>
        <v/>
      </c>
      <c r="CM168" s="362">
        <f>IFERROR(ROUND(CA168*$P168,2),"")</f>
        <v/>
      </c>
      <c r="CN168" s="362">
        <f>IFERROR(ROUND(CB168*$P168,2),"")</f>
        <v/>
      </c>
      <c r="CO168" s="362">
        <f>SUM(CK168:CN168)</f>
        <v/>
      </c>
    </row>
    <row r="169" hidden="1" ht="15.6" customFormat="1" customHeight="1" s="362">
      <c r="A169" s="331" t="n"/>
      <c r="B169" s="344">
        <f>_xlfn.XLOOKUP(G169,销售需求表!A:A,销售需求表!C:C)</f>
        <v/>
      </c>
      <c r="C169" s="345">
        <f>IFERROR(MID(F169,FIND("R",F169)+1,4),"")</f>
        <v/>
      </c>
      <c r="D169" s="344">
        <f>B169&amp;C169&amp;"寸"</f>
        <v/>
      </c>
      <c r="E169" s="346">
        <f>LEFT(REPLACE(G169,1,2,""),FIND("[",REPLACE(G169,1,2,""))-1)&amp;"-"&amp;MID(REPLACE(G169,1,2,""),FIND("[",REPLACE(G169,1,2,""))+1,FIND("]",REPLACE(G169,1,2,""))-FIND("[",REPLACE(G169,1,2,""))-1)</f>
        <v/>
      </c>
      <c r="F169" s="347">
        <f>IFERROR(MID(G169,3,FIND("(",G169)-3)&amp;"-"&amp;SUBSTITUTE(MID(G169,FIND("[",G169)+1,FIND("]",G169)-FIND("[",G169)-1),"Strong Guard ",""),"")</f>
        <v/>
      </c>
      <c r="G169" s="346" t="inlineStr">
        <is>
          <t>ID275/80R22.5-18PR(149/146L)[AZ179]金冠无内</t>
        </is>
      </c>
      <c r="H169" s="344" t="n">
        <v>600</v>
      </c>
      <c r="I169" s="348" t="n"/>
      <c r="J169" s="349">
        <f>IFERROR(LEFT(F169,FIND("-",F169))&amp;MID(F169,FIND("PR",F169,FIND("-",F169))+3,LEN(F169)),F169)</f>
        <v/>
      </c>
      <c r="K169" s="352">
        <f>_xlfn.XLOOKUP(F169,投产规格!E:E,投产规格!D:D,"未投产")</f>
        <v/>
      </c>
      <c r="L169" s="352">
        <f>IFERROR(_xlfn.XLOOKUP(F169,硫化工艺!B:B,硫化工艺!C:C),"")</f>
        <v/>
      </c>
      <c r="M169" s="430">
        <f>IF(L169="","",L169/(L169+$L$1/60))</f>
        <v/>
      </c>
      <c r="N169" s="352">
        <f>C169&amp;"全钢"</f>
        <v/>
      </c>
      <c r="O169" s="352">
        <f>IFERROR(_xlfn.XLOOKUP(F169,轮胎重量!J:J,轮胎重量!G:G),"")</f>
        <v/>
      </c>
      <c r="P169" s="352">
        <f>IFERROR(_xlfn.XLOOKUP(G169,硫化工艺!I:I,硫化工艺!J:J),"")</f>
        <v/>
      </c>
      <c r="Q169" s="352">
        <f>IFERROR(ROUND(1440/L169*(I169)*M169,0),"")</f>
        <v/>
      </c>
      <c r="R169" s="352" t="n"/>
      <c r="S169" s="352" t="n"/>
      <c r="T169" s="352" t="n"/>
      <c r="U169" s="352" t="n"/>
      <c r="V169" s="352" t="n"/>
      <c r="W169" s="352" t="n"/>
      <c r="X169" s="352" t="n"/>
      <c r="Y169" s="352" t="n"/>
      <c r="Z169" s="352" t="n"/>
      <c r="AA169" s="352" t="n"/>
      <c r="AB169" s="352" t="n"/>
      <c r="AC169" s="352" t="n"/>
      <c r="AD169" s="352" t="n"/>
      <c r="AE169" s="352" t="n"/>
      <c r="AF169" s="352" t="n"/>
      <c r="AG169" s="352" t="n"/>
      <c r="AH169" s="352" t="n"/>
      <c r="AI169" s="352" t="n"/>
      <c r="AJ169" s="352" t="n"/>
      <c r="AK169" s="352" t="n"/>
      <c r="AL169" s="352" t="n"/>
      <c r="AM169" s="352" t="n"/>
      <c r="AN169" s="352" t="n"/>
      <c r="AO169" s="352" t="n"/>
      <c r="AP169" s="352" t="n"/>
      <c r="AQ169" s="352" t="n"/>
      <c r="AR169" s="352" t="n"/>
      <c r="AS169" s="352" t="n"/>
      <c r="AT169" s="352" t="n"/>
      <c r="AU169" s="352" t="n"/>
      <c r="AV169" s="352" t="n"/>
      <c r="AW169" s="352">
        <f>IF(SUM(R169:AV169)=0,"",SUM(R169:AV169))</f>
        <v/>
      </c>
      <c r="AX169" s="431">
        <f>IFERROR(AW169*O169/1000,"")</f>
        <v/>
      </c>
      <c r="AY169" s="431">
        <f>IFERROR(ROUND(AW169*P169/10000,3),"")</f>
        <v/>
      </c>
      <c r="AZ169" s="359" t="n"/>
      <c r="BC169" s="331" t="n"/>
      <c r="BD169" s="331" t="n"/>
      <c r="BE169" s="331">
        <f>AZ169*AW169</f>
        <v/>
      </c>
      <c r="BF169" s="331">
        <f>BA169*AW169</f>
        <v/>
      </c>
      <c r="BG169" s="331">
        <f>BB169*AW169</f>
        <v/>
      </c>
      <c r="BH169" s="331">
        <f>BC169*AW169</f>
        <v/>
      </c>
      <c r="BI169" s="331" t="n"/>
      <c r="BJ169" s="356">
        <f t="array" ref="BJ169:BM169">_xlfn.LET(_xlpm.data,$R169:$AV169,_xlpm.starts,{1,8,16,23},_xlpm.lengths,{7,7,8,9},_xlpm.arr,_xlfn.MAP(_xlpm.starts,_xlpm.lengths,_xlfn.LAMBDA(_xlpm.s,_xlpm.l,SUM(INDEX(_xlpm.data,,_xlfn.SEQUENCE(,_xlpm.l,_xlpm.s))))),ROUND(_xlpm.arr*$O169/1000,2))</f>
        <v/>
      </c>
      <c r="BK169" s="331" t="n">
        <v>0</v>
      </c>
      <c r="BL169" s="331" t="n">
        <v>0</v>
      </c>
      <c r="BM169" s="331" t="n">
        <v>0</v>
      </c>
      <c r="BN169" s="362">
        <f>SUM(BJ169:BM169)</f>
        <v/>
      </c>
      <c r="BO169" s="362" t="n">
        <v>47.04</v>
      </c>
      <c r="BP169" s="362" t="n">
        <v>47.04</v>
      </c>
      <c r="BQ169" s="362" t="n">
        <v>53.76</v>
      </c>
      <c r="BR169" s="362" t="n">
        <v>60.48</v>
      </c>
      <c r="BS169" s="115" t="n"/>
      <c r="BT169" s="362">
        <f t="array" ref="BT169:BW169">_xlfn.HSTACK(SUM(INDEX($R169:$AV169,1,1):INDEX($R169:$AV169,1,7)),SUM(INDEX($R169:$AV169,1,7):INDEX($R169:$AV169,1,13)),SUM(INDEX($R169:$AV169,1,16):INDEX($R169:$AV169,1,23)),SUM(INDEX($R169:$AV169,1,23):INDEX($R169:$AV169,1,31)))</f>
        <v/>
      </c>
      <c r="BU169" s="362" t="n">
        <v>0</v>
      </c>
      <c r="BV169" s="362" t="n">
        <v>0</v>
      </c>
      <c r="BW169" s="362" t="n">
        <v>0</v>
      </c>
      <c r="BY169" s="362">
        <f>SUM(R169:X169)</f>
        <v/>
      </c>
      <c r="BZ169" s="362">
        <f>SUM(Y169:AE169)</f>
        <v/>
      </c>
      <c r="CA169" s="362">
        <f>SUM(AF169:AM169)</f>
        <v/>
      </c>
      <c r="CB169" s="362">
        <f>SUM(AN169:AV169)</f>
        <v/>
      </c>
      <c r="CD169" s="432" t="inlineStr">
        <is>
          <t>ADA</t>
        </is>
      </c>
      <c r="CE169" s="362">
        <f>ROUND(BY169*$O169/1000,2)</f>
        <v/>
      </c>
      <c r="CF169" s="362">
        <f>ROUND(BZ169*$O169/1000,2)</f>
        <v/>
      </c>
      <c r="CG169" s="362">
        <f>ROUND(CA169*$O169/1000,2)</f>
        <v/>
      </c>
      <c r="CH169" s="362">
        <f>ROUND(CB169*$O169/1000,2)</f>
        <v/>
      </c>
      <c r="CI169" s="362">
        <f>SUM(CE169:CH169)</f>
        <v/>
      </c>
      <c r="CJ169" s="390" t="n"/>
      <c r="CK169" s="362">
        <f>IFERROR(ROUND(BY169*$P169,2),"")</f>
        <v/>
      </c>
      <c r="CL169" s="362">
        <f>IFERROR(ROUND(BZ169*$P169,2),"")</f>
        <v/>
      </c>
      <c r="CM169" s="362">
        <f>IFERROR(ROUND(CA169*$P169,2),"")</f>
        <v/>
      </c>
      <c r="CN169" s="362">
        <f>IFERROR(ROUND(CB169*$P169,2),"")</f>
        <v/>
      </c>
      <c r="CO169" s="362">
        <f>SUM(CK169:CN169)</f>
        <v/>
      </c>
    </row>
    <row r="170" hidden="1" ht="15.6" customHeight="1" s="428">
      <c r="A170" s="441" t="n"/>
      <c r="B170" s="434">
        <f>_xlfn.XLOOKUP(G170,销售需求表!A:A,销售需求表!C:C)</f>
        <v/>
      </c>
      <c r="C170" s="435">
        <f>IFERROR(MID(F170,FIND("R",F170)+1,4),"")</f>
        <v/>
      </c>
      <c r="D170" s="434">
        <f>B170&amp;C170&amp;"寸"</f>
        <v/>
      </c>
      <c r="E170" s="436">
        <f>LEFT(REPLACE(G170,1,2,""),FIND("[",REPLACE(G170,1,2,""))-1)&amp;"-"&amp;MID(REPLACE(G170,1,2,""),FIND("[",REPLACE(G170,1,2,""))+1,FIND("]",REPLACE(G170,1,2,""))-FIND("[",REPLACE(G170,1,2,""))-1)</f>
        <v/>
      </c>
      <c r="F170" s="437">
        <f>IFERROR(MID(G170,3,FIND("(",G170)-3)&amp;"-"&amp;SUBSTITUTE(MID(G170,FIND("[",G170)+1,FIND("]",G170)-FIND("[",G170)-1),"Strong Guard ",""),"")</f>
        <v/>
      </c>
      <c r="G170" s="436" t="inlineStr">
        <is>
          <t>ID275/80R22.5-18PR(149/146L)[AZ179]力奔无内</t>
        </is>
      </c>
      <c r="H170" s="434" t="n">
        <v>1000</v>
      </c>
      <c r="I170" s="434" t="n"/>
      <c r="J170" s="435">
        <f>IFERROR(LEFT(F170,FIND("-",F170))&amp;MID(F170,FIND("PR",F170,FIND("-",F170))+3,LEN(F170)),F170)</f>
        <v/>
      </c>
      <c r="K170" s="434">
        <f>_xlfn.XLOOKUP(F170,投产规格!E:E,投产规格!D:D,"未投产")</f>
        <v/>
      </c>
      <c r="L170" s="434">
        <f>IFERROR(_xlfn.XLOOKUP(F170,硫化工艺!B:B,硫化工艺!C:C),"")</f>
        <v/>
      </c>
      <c r="M170" s="438">
        <f>IF(L170="","",L170/(L170+$L$1/60))</f>
        <v/>
      </c>
      <c r="N170" s="434">
        <f>C170&amp;"全钢"</f>
        <v/>
      </c>
      <c r="O170" s="434">
        <f>IFERROR(_xlfn.XLOOKUP(F170,轮胎重量!J:J,轮胎重量!G:G),"")</f>
        <v/>
      </c>
      <c r="P170" s="439">
        <f>O170*13.9</f>
        <v/>
      </c>
      <c r="Q170" s="434">
        <f>IFERROR(ROUND(1440/L170*(I170)*M170,0),"")</f>
        <v/>
      </c>
      <c r="R170" s="352" t="n"/>
      <c r="S170" s="352" t="n"/>
      <c r="T170" s="352" t="n"/>
      <c r="U170" s="352" t="n"/>
      <c r="V170" s="352" t="n"/>
      <c r="W170" s="352" t="n"/>
      <c r="X170" s="352" t="n"/>
      <c r="Y170" s="352" t="n"/>
      <c r="Z170" s="352" t="n"/>
      <c r="AA170" s="352" t="n"/>
      <c r="AB170" s="352" t="n"/>
      <c r="AC170" s="352" t="n"/>
      <c r="AD170" s="352" t="n"/>
      <c r="AE170" s="352" t="n"/>
      <c r="AF170" s="352" t="n"/>
      <c r="AG170" s="352" t="n"/>
      <c r="AH170" s="352" t="n"/>
      <c r="AI170" s="352" t="n"/>
      <c r="AJ170" s="352" t="n"/>
      <c r="AK170" s="352" t="n"/>
      <c r="AL170" s="352" t="n"/>
      <c r="AM170" s="352" t="n"/>
      <c r="AN170" s="352" t="n"/>
      <c r="AO170" s="352" t="n"/>
      <c r="AP170" s="352" t="n"/>
      <c r="AQ170" s="352" t="n"/>
      <c r="AR170" s="352" t="n"/>
      <c r="AS170" s="352" t="n"/>
      <c r="AT170" s="352" t="n"/>
      <c r="AU170" s="352" t="n"/>
      <c r="AV170" s="352" t="n"/>
      <c r="AW170" s="352">
        <f>IF(SUM(R170:AV170)=0,"",SUM(R170:AV170))</f>
        <v/>
      </c>
      <c r="AX170" s="431">
        <f>IFERROR(AW170*O170/1000,"")</f>
        <v/>
      </c>
      <c r="AY170" s="431">
        <f>IFERROR(ROUND(AW170*P170/10000,3),"")</f>
        <v/>
      </c>
      <c r="AZ170" s="359" t="n"/>
      <c r="BE170" s="331">
        <f>AZ170*AW170</f>
        <v/>
      </c>
      <c r="BF170" s="331">
        <f>BA170*AW170</f>
        <v/>
      </c>
      <c r="BG170" s="331">
        <f>BB170*AW170</f>
        <v/>
      </c>
      <c r="BH170" s="331">
        <f>BC170*AW170</f>
        <v/>
      </c>
      <c r="BJ170" s="356">
        <f t="array" ref="BJ170:BM170">_xlfn.LET(_xlpm.data,$R170:$AV170,_xlpm.starts,{1,8,16,23},_xlpm.lengths,{7,7,8,9},_xlpm.arr,_xlfn.MAP(_xlpm.starts,_xlpm.lengths,_xlfn.LAMBDA(_xlpm.s,_xlpm.l,SUM(INDEX(_xlpm.data,,_xlfn.SEQUENCE(,_xlpm.l,_xlpm.s))))),ROUND(_xlpm.arr*$O170/1000,2))</f>
        <v/>
      </c>
      <c r="BK170" s="331" t="n">
        <v>0</v>
      </c>
      <c r="BL170" s="331" t="n">
        <v>0</v>
      </c>
      <c r="BM170" s="331" t="n">
        <v>0</v>
      </c>
      <c r="BN170" s="362">
        <f>SUM(BJ170:BM170)</f>
        <v/>
      </c>
      <c r="BO170" s="362" t="n">
        <v>50.31</v>
      </c>
      <c r="BP170" s="362" t="n">
        <v>58.05</v>
      </c>
      <c r="BQ170" s="362" t="n">
        <v>88.45999999999999</v>
      </c>
      <c r="BR170" s="362" t="n">
        <v>115</v>
      </c>
      <c r="BT170" s="362">
        <f t="array" ref="BT170:BW170">_xlfn.HSTACK(SUM(INDEX($R170:$AV170,1,1):INDEX($R170:$AV170,1,7)),SUM(INDEX($R170:$AV170,1,7):INDEX($R170:$AV170,1,13)),SUM(INDEX($R170:$AV170,1,16):INDEX($R170:$AV170,1,23)),SUM(INDEX($R170:$AV170,1,23):INDEX($R170:$AV170,1,31)))</f>
        <v/>
      </c>
      <c r="BU170" s="362" t="n">
        <v>0</v>
      </c>
      <c r="BV170" s="362" t="n">
        <v>0</v>
      </c>
      <c r="BW170" s="362" t="n">
        <v>0</v>
      </c>
      <c r="BY170" s="362">
        <f>SUM(R170:X170)</f>
        <v/>
      </c>
      <c r="BZ170" s="362">
        <f>SUM(Y170:AE170)</f>
        <v/>
      </c>
      <c r="CA170" s="362">
        <f>SUM(AF170:AM170)</f>
        <v/>
      </c>
      <c r="CB170" s="362">
        <f>SUM(AN170:AV170)</f>
        <v/>
      </c>
      <c r="CD170" s="440" t="inlineStr">
        <is>
          <t>TIDAK ADA</t>
        </is>
      </c>
      <c r="CE170" s="362">
        <f>ROUND(BY170*$O170/1000,2)</f>
        <v/>
      </c>
      <c r="CF170" s="362">
        <f>ROUND(BZ170*$O170/1000,2)</f>
        <v/>
      </c>
      <c r="CG170" s="362">
        <f>ROUND(CA170*$O170/1000,2)</f>
        <v/>
      </c>
      <c r="CH170" s="362">
        <f>ROUND(CB170*$O170/1000,2)</f>
        <v/>
      </c>
      <c r="CI170" s="362">
        <f>SUM(CE170:CH170)</f>
        <v/>
      </c>
      <c r="CK170" s="362">
        <f>IFERROR(ROUND(BY170*$P170,2),"")</f>
        <v/>
      </c>
      <c r="CL170" s="362">
        <f>IFERROR(ROUND(BZ170*$P170,2),"")</f>
        <v/>
      </c>
      <c r="CM170" s="362">
        <f>IFERROR(ROUND(CA170*$P170,2),"")</f>
        <v/>
      </c>
      <c r="CN170" s="362">
        <f>IFERROR(ROUND(CB170*$P170,2),"")</f>
        <v/>
      </c>
      <c r="CO170" s="362">
        <f>SUM(CK170:CN170)</f>
        <v/>
      </c>
    </row>
    <row r="171" hidden="1" ht="15.6" customHeight="1" s="428">
      <c r="A171" s="433" t="n"/>
      <c r="B171" s="434">
        <f>_xlfn.XLOOKUP(G171,销售需求表!A:A,销售需求表!C:C)</f>
        <v/>
      </c>
      <c r="C171" s="435">
        <f>IFERROR(MID(F171,FIND("R",F171)+1,4),"")</f>
        <v/>
      </c>
      <c r="D171" s="434">
        <f>B171&amp;C171&amp;"寸"</f>
        <v/>
      </c>
      <c r="E171" s="436">
        <f>LEFT(REPLACE(G171,1,2,""),FIND("[",REPLACE(G171,1,2,""))-1)&amp;"-"&amp;MID(REPLACE(G171,1,2,""),FIND("[",REPLACE(G171,1,2,""))+1,FIND("]",REPLACE(G171,1,2,""))-FIND("[",REPLACE(G171,1,2,""))-1)</f>
        <v/>
      </c>
      <c r="F171" s="437">
        <f>IFERROR(MID(G171,3,FIND("(",G171)-3)&amp;"-"&amp;SUBSTITUTE(MID(G171,FIND("[",G171)+1,FIND("]",G171)-FIND("[",G171)-1),"Strong Guard ",""),"")</f>
        <v/>
      </c>
      <c r="G171" s="436" t="inlineStr">
        <is>
          <t>ID275/80R22.5-18PR(149/146L)[AZ179]欧耐特无内</t>
        </is>
      </c>
      <c r="H171" s="434" t="n">
        <v>1000</v>
      </c>
      <c r="I171" s="434" t="n"/>
      <c r="J171" s="435">
        <f>IFERROR(LEFT(F171,FIND("-",F171))&amp;MID(F171,FIND("PR",F171,FIND("-",F171))+3,LEN(F171)),F171)</f>
        <v/>
      </c>
      <c r="K171" s="434">
        <f>_xlfn.XLOOKUP(F171,投产规格!E:E,投产规格!D:D,"未投产")</f>
        <v/>
      </c>
      <c r="L171" s="434">
        <f>IFERROR(_xlfn.XLOOKUP(F171,硫化工艺!B:B,硫化工艺!C:C),"")</f>
        <v/>
      </c>
      <c r="M171" s="438">
        <f>IF(L171="","",L171/(L171+$L$1/60))</f>
        <v/>
      </c>
      <c r="N171" s="434">
        <f>C171&amp;"全钢"</f>
        <v/>
      </c>
      <c r="O171" s="434">
        <f>IFERROR(_xlfn.XLOOKUP(F171,轮胎重量!J:J,轮胎重量!G:G),"")</f>
        <v/>
      </c>
      <c r="P171" s="439">
        <f>O171*13.9</f>
        <v/>
      </c>
      <c r="Q171" s="434">
        <f>IFERROR(ROUND(1440/L171*(I171)*M171,0),"")</f>
        <v/>
      </c>
      <c r="R171" s="352" t="n"/>
      <c r="S171" s="352" t="n"/>
      <c r="T171" s="352" t="n"/>
      <c r="U171" s="352" t="n"/>
      <c r="V171" s="352" t="n"/>
      <c r="W171" s="352" t="n"/>
      <c r="X171" s="352" t="n"/>
      <c r="Y171" s="352" t="n"/>
      <c r="Z171" s="352" t="n"/>
      <c r="AA171" s="352" t="n"/>
      <c r="AB171" s="352" t="n"/>
      <c r="AC171" s="352" t="n"/>
      <c r="AD171" s="352" t="n"/>
      <c r="AE171" s="352" t="n"/>
      <c r="AF171" s="352" t="n"/>
      <c r="AG171" s="352" t="n"/>
      <c r="AH171" s="352" t="n"/>
      <c r="AI171" s="352" t="n"/>
      <c r="AJ171" s="352" t="n"/>
      <c r="AK171" s="352" t="n"/>
      <c r="AL171" s="352" t="n"/>
      <c r="AM171" s="352" t="n"/>
      <c r="AN171" s="352" t="n"/>
      <c r="AO171" s="352" t="n"/>
      <c r="AP171" s="352" t="n"/>
      <c r="AQ171" s="352" t="n"/>
      <c r="AR171" s="352" t="n"/>
      <c r="AS171" s="352" t="n"/>
      <c r="AT171" s="352" t="n"/>
      <c r="AU171" s="352" t="n"/>
      <c r="AV171" s="352" t="n"/>
      <c r="AW171" s="352">
        <f>IF(SUM(R171:AV171)=0,"",SUM(R171:AV171))</f>
        <v/>
      </c>
      <c r="AX171" s="431">
        <f>IFERROR(AW171*O171/1000,"")</f>
        <v/>
      </c>
      <c r="AY171" s="431">
        <f>IFERROR(ROUND(AW171*P171/10000,3),"")</f>
        <v/>
      </c>
      <c r="AZ171" s="359" t="n"/>
      <c r="BA171" s="362" t="n"/>
      <c r="BB171" s="362" t="n"/>
      <c r="BC171" s="331" t="n"/>
      <c r="BD171" s="331" t="n"/>
      <c r="BE171" s="331">
        <f>AZ171*AW171</f>
        <v/>
      </c>
      <c r="BF171" s="331">
        <f>BA171*AW171</f>
        <v/>
      </c>
      <c r="BG171" s="331">
        <f>BB171*AW171</f>
        <v/>
      </c>
      <c r="BH171" s="331">
        <f>BC171*AW171</f>
        <v/>
      </c>
      <c r="BI171" s="331" t="n"/>
      <c r="BJ171" s="356">
        <f t="array" ref="BJ171:BM171">_xlfn.LET(_xlpm.data,$R171:$AV171,_xlpm.starts,{1,8,16,23},_xlpm.lengths,{7,7,8,9},_xlpm.arr,_xlfn.MAP(_xlpm.starts,_xlpm.lengths,_xlfn.LAMBDA(_xlpm.s,_xlpm.l,SUM(INDEX(_xlpm.data,,_xlfn.SEQUENCE(,_xlpm.l,_xlpm.s))))),ROUND(_xlpm.arr*$O171/1000,2))</f>
        <v/>
      </c>
      <c r="BK171" s="331" t="n">
        <v>0</v>
      </c>
      <c r="BL171" s="331" t="n">
        <v>0</v>
      </c>
      <c r="BM171" s="331" t="n">
        <v>0</v>
      </c>
      <c r="BN171" s="362">
        <f>SUM(BJ171:BM171)</f>
        <v/>
      </c>
      <c r="BO171" s="362" t="n">
        <v>50.31</v>
      </c>
      <c r="BP171" s="362" t="n">
        <v>58.05</v>
      </c>
      <c r="BQ171" s="362" t="n">
        <v>88.45999999999999</v>
      </c>
      <c r="BR171" s="362" t="n">
        <v>115</v>
      </c>
      <c r="BS171" s="115" t="n"/>
      <c r="BT171" s="362">
        <f t="array" ref="BT171:BW171">_xlfn.HSTACK(SUM(INDEX($R171:$AV171,1,1):INDEX($R171:$AV171,1,7)),SUM(INDEX($R171:$AV171,1,7):INDEX($R171:$AV171,1,13)),SUM(INDEX($R171:$AV171,1,16):INDEX($R171:$AV171,1,23)),SUM(INDEX($R171:$AV171,1,23):INDEX($R171:$AV171,1,31)))</f>
        <v/>
      </c>
      <c r="BU171" s="362" t="n">
        <v>0</v>
      </c>
      <c r="BV171" s="362" t="n">
        <v>0</v>
      </c>
      <c r="BW171" s="362" t="n">
        <v>0</v>
      </c>
      <c r="BY171" s="362">
        <f>SUM(R171:X171)</f>
        <v/>
      </c>
      <c r="BZ171" s="362">
        <f>SUM(Y171:AE171)</f>
        <v/>
      </c>
      <c r="CA171" s="362">
        <f>SUM(AF171:AM171)</f>
        <v/>
      </c>
      <c r="CB171" s="362">
        <f>SUM(AN171:AV171)</f>
        <v/>
      </c>
      <c r="CC171" s="362" t="n"/>
      <c r="CD171" s="440" t="inlineStr">
        <is>
          <t>TIDAK ADA</t>
        </is>
      </c>
      <c r="CE171" s="362">
        <f>ROUND(BY171*$O171/1000,2)</f>
        <v/>
      </c>
      <c r="CF171" s="362">
        <f>ROUND(BZ171*$O171/1000,2)</f>
        <v/>
      </c>
      <c r="CG171" s="362">
        <f>ROUND(CA171*$O171/1000,2)</f>
        <v/>
      </c>
      <c r="CH171" s="362">
        <f>ROUND(CB171*$O171/1000,2)</f>
        <v/>
      </c>
      <c r="CI171" s="362">
        <f>SUM(CE171:CH171)</f>
        <v/>
      </c>
      <c r="CJ171" s="390" t="n"/>
      <c r="CK171" s="362">
        <f>IFERROR(ROUND(BY171*$P171,2),"")</f>
        <v/>
      </c>
      <c r="CL171" s="362">
        <f>IFERROR(ROUND(BZ171*$P171,2),"")</f>
        <v/>
      </c>
      <c r="CM171" s="362">
        <f>IFERROR(ROUND(CA171*$P171,2),"")</f>
        <v/>
      </c>
      <c r="CN171" s="362">
        <f>IFERROR(ROUND(CB171*$P171,2),"")</f>
        <v/>
      </c>
      <c r="CO171" s="362">
        <f>SUM(CK171:CN171)</f>
        <v/>
      </c>
    </row>
    <row r="172" ht="15.6" customFormat="1" customHeight="1" s="362">
      <c r="A172" s="331" t="n"/>
      <c r="B172" s="344">
        <f>_xlfn.XLOOKUP(G172,销售需求表!A:A,销售需求表!C:C)</f>
        <v/>
      </c>
      <c r="C172" s="345">
        <f>IFERROR(MID(F172,FIND("R",F172)+1,4),"")</f>
        <v/>
      </c>
      <c r="D172" s="365">
        <f>B172&amp;C172&amp;"寸"</f>
        <v/>
      </c>
      <c r="E172" s="346">
        <f>LEFT(REPLACE(G172,1,2,""),FIND("[",REPLACE(G172,1,2,""))-1)&amp;"-"&amp;MID(REPLACE(G172,1,2,""),FIND("[",REPLACE(G172,1,2,""))+1,FIND("]",REPLACE(G172,1,2,""))-FIND("[",REPLACE(G172,1,2,""))-1)</f>
        <v/>
      </c>
      <c r="F172" s="347">
        <f>IFERROR(MID(G172,3,FIND("(",G172)-3)&amp;"-"&amp;SUBSTITUTE(MID(G172,FIND("[",G172)+1,FIND("]",G172)-FIND("[",G172)-1),"Strong Guard ",""),"")</f>
        <v/>
      </c>
      <c r="G172" s="366" t="inlineStr">
        <is>
          <t>ID295/80R22.5-18PR(150/147M)[ECOPLUS]XBRI无内 巴拉圭</t>
        </is>
      </c>
      <c r="H172" s="344" t="n">
        <v>8000</v>
      </c>
      <c r="I172" s="348" t="n">
        <v>8</v>
      </c>
      <c r="J172" s="349">
        <f>IFERROR(LEFT(F172,FIND("-",F172))&amp;MID(F172,FIND("PR",F172,FIND("-",F172))+3,LEN(F172)),F172)</f>
        <v/>
      </c>
      <c r="K172" s="352">
        <f>_xlfn.XLOOKUP(F172,投产规格!E:E,投产规格!D:D,"未投产")</f>
        <v/>
      </c>
      <c r="L172" s="352">
        <f>IFERROR(_xlfn.XLOOKUP(F172,硫化工艺!B:B,硫化工艺!C:C),"")</f>
        <v/>
      </c>
      <c r="M172" s="430">
        <f>IF(L172="","",L172/(L172+$L$1/60))</f>
        <v/>
      </c>
      <c r="N172" s="352">
        <f>C172&amp;"全钢"</f>
        <v/>
      </c>
      <c r="O172" s="352">
        <f>IFERROR(_xlfn.XLOOKUP(F172,轮胎重量!J:J,轮胎重量!G:G),"")</f>
        <v/>
      </c>
      <c r="P172" s="352">
        <f>IFERROR(_xlfn.XLOOKUP(G172,硫化工艺!I:I,硫化工艺!J:J),"")</f>
        <v/>
      </c>
      <c r="Q172" s="352">
        <f>IFERROR(ROUND(1440/L172*(I172)*M172,0),"")</f>
        <v/>
      </c>
      <c r="R172" s="352" t="n">
        <v>260</v>
      </c>
      <c r="S172" s="352" t="n">
        <v>260</v>
      </c>
      <c r="T172" s="352" t="n">
        <v>260</v>
      </c>
      <c r="U172" s="352" t="n">
        <v>260</v>
      </c>
      <c r="V172" s="352" t="n">
        <v>260</v>
      </c>
      <c r="W172" s="352" t="n">
        <v>260</v>
      </c>
      <c r="X172" s="352" t="n">
        <v>260</v>
      </c>
      <c r="Y172" s="352" t="n">
        <v>260</v>
      </c>
      <c r="Z172" s="352" t="n">
        <v>260</v>
      </c>
      <c r="AA172" s="352" t="n">
        <v>260</v>
      </c>
      <c r="AB172" s="352" t="n">
        <v>260</v>
      </c>
      <c r="AC172" s="352" t="n">
        <v>260</v>
      </c>
      <c r="AD172" s="352" t="n">
        <v>260</v>
      </c>
      <c r="AE172" s="352" t="n">
        <v>260</v>
      </c>
      <c r="AF172" s="352" t="n">
        <v>260</v>
      </c>
      <c r="AG172" s="352" t="n">
        <v>260</v>
      </c>
      <c r="AH172" s="352" t="n">
        <v>260</v>
      </c>
      <c r="AI172" s="352" t="n">
        <v>260</v>
      </c>
      <c r="AJ172" s="352" t="n">
        <v>260</v>
      </c>
      <c r="AK172" s="352" t="n">
        <v>260</v>
      </c>
      <c r="AL172" s="352" t="n">
        <v>260</v>
      </c>
      <c r="AM172" s="352" t="n">
        <v>260</v>
      </c>
      <c r="AN172" s="352" t="n">
        <v>260</v>
      </c>
      <c r="AO172" s="352" t="n">
        <v>260</v>
      </c>
      <c r="AP172" s="352" t="n">
        <v>260</v>
      </c>
      <c r="AQ172" s="352" t="n">
        <v>260</v>
      </c>
      <c r="AR172" s="352" t="n">
        <v>260</v>
      </c>
      <c r="AS172" s="352" t="n">
        <v>260</v>
      </c>
      <c r="AT172" s="352" t="n">
        <v>260</v>
      </c>
      <c r="AU172" s="352" t="n">
        <v>260</v>
      </c>
      <c r="AV172" s="352" t="n">
        <v>260</v>
      </c>
      <c r="AW172" s="352">
        <f>IF(SUM(R172:AV172)=0,"",SUM(R172:AV172))</f>
        <v/>
      </c>
      <c r="AX172" s="431">
        <f>IFERROR(AW172*O172/1000,"")</f>
        <v/>
      </c>
      <c r="AY172" s="431">
        <f>IFERROR(ROUND(AW172*P172/10000,3),"")</f>
        <v/>
      </c>
      <c r="AZ172" s="359" t="n"/>
      <c r="BC172" s="331" t="n"/>
      <c r="BD172" s="331" t="n"/>
      <c r="BE172" s="331">
        <f>AZ172*AW172</f>
        <v/>
      </c>
      <c r="BF172" s="331">
        <f>BA172*AW172</f>
        <v/>
      </c>
      <c r="BG172" s="331">
        <f>BB172*AW172</f>
        <v/>
      </c>
      <c r="BH172" s="331">
        <f>BC172*AW172</f>
        <v/>
      </c>
      <c r="BI172" s="331" t="n"/>
      <c r="BJ172" s="356">
        <f t="array" ref="BJ172:BM172">_xlfn.LET(_xlpm.data,$R172:$AV172,_xlpm.starts,{1,8,16,23},_xlpm.lengths,{7,7,8,9},_xlpm.arr,_xlfn.MAP(_xlpm.starts,_xlpm.lengths,_xlfn.LAMBDA(_xlpm.s,_xlpm.l,SUM(INDEX(_xlpm.data,,_xlfn.SEQUENCE(,_xlpm.l,_xlpm.s))))),ROUND(_xlpm.arr*$O172/1000,2))</f>
        <v/>
      </c>
      <c r="BK172" s="331" t="n">
        <v>96.75</v>
      </c>
      <c r="BL172" s="331" t="n">
        <v>110.57</v>
      </c>
      <c r="BM172" s="331" t="n">
        <v>124.39</v>
      </c>
      <c r="BN172" s="362">
        <f>SUM(BJ172:BM172)</f>
        <v/>
      </c>
      <c r="BO172" s="362" t="n">
        <v>50.31</v>
      </c>
      <c r="BP172" s="362" t="n">
        <v>58.05</v>
      </c>
      <c r="BQ172" s="362" t="n">
        <v>88.45999999999999</v>
      </c>
      <c r="BR172" s="362" t="n">
        <v>115</v>
      </c>
      <c r="BS172" s="115" t="n"/>
      <c r="BT172" s="362">
        <f t="array" ref="BT172:BW172">_xlfn.HSTACK(SUM(INDEX($R172:$AV172,1,1):INDEX($R172:$AV172,1,7)),SUM(INDEX($R172:$AV172,1,7):INDEX($R172:$AV172,1,13)),SUM(INDEX($R172:$AV172,1,16):INDEX($R172:$AV172,1,23)),SUM(INDEX($R172:$AV172,1,23):INDEX($R172:$AV172,1,31)))</f>
        <v/>
      </c>
      <c r="BU172" s="362" t="n">
        <v>1820</v>
      </c>
      <c r="BV172" s="362" t="n">
        <v>2080</v>
      </c>
      <c r="BW172" s="362" t="n">
        <v>2340</v>
      </c>
      <c r="BY172" s="362">
        <f>SUM(R172:X172)</f>
        <v/>
      </c>
      <c r="BZ172" s="362">
        <f>SUM(Y172:AE172)</f>
        <v/>
      </c>
      <c r="CA172" s="362">
        <f>SUM(AF172:AM172)</f>
        <v/>
      </c>
      <c r="CB172" s="362">
        <f>SUM(AN172:AV172)</f>
        <v/>
      </c>
      <c r="CD172" s="432" t="inlineStr">
        <is>
          <t>ADA</t>
        </is>
      </c>
      <c r="CE172" s="362">
        <f>ROUND(BY172*$O172/1000,2)</f>
        <v/>
      </c>
      <c r="CF172" s="362">
        <f>ROUND(BZ172*$O172/1000,2)</f>
        <v/>
      </c>
      <c r="CG172" s="362">
        <f>ROUND(CA172*$O172/1000,2)</f>
        <v/>
      </c>
      <c r="CH172" s="362">
        <f>ROUND(CB172*$O172/1000,2)</f>
        <v/>
      </c>
      <c r="CI172" s="362">
        <f>SUM(CE172:CH172)</f>
        <v/>
      </c>
      <c r="CJ172" s="390" t="n"/>
      <c r="CK172" s="362">
        <f>IFERROR(ROUND(BY172*$P172,2),"")</f>
        <v/>
      </c>
      <c r="CL172" s="362">
        <f>IFERROR(ROUND(BZ172*$P172,2),"")</f>
        <v/>
      </c>
      <c r="CM172" s="362">
        <f>IFERROR(ROUND(CA172*$P172,2),"")</f>
        <v/>
      </c>
      <c r="CN172" s="362">
        <f>IFERROR(ROUND(CB172*$P172,2),"")</f>
        <v/>
      </c>
      <c r="CO172" s="362">
        <f>SUM(CK172:CN172)</f>
        <v/>
      </c>
    </row>
    <row r="173" hidden="1" ht="15.6" customHeight="1" s="428">
      <c r="B173" s="344">
        <f>_xlfn.XLOOKUP(G173,销售需求表!A:A,销售需求表!C:C)</f>
        <v/>
      </c>
      <c r="C173" s="345">
        <f>IFERROR(MID(F173,FIND("R",F173)+1,4),"")</f>
        <v/>
      </c>
      <c r="D173" s="365">
        <f>B173&amp;C173&amp;"寸"</f>
        <v/>
      </c>
      <c r="E173" s="346">
        <f>LEFT(REPLACE(G173,1,2,""),FIND("[",REPLACE(G173,1,2,""))-1)&amp;"-"&amp;MID(REPLACE(G173,1,2,""),FIND("[",REPLACE(G173,1,2,""))+1,FIND("]",REPLACE(G173,1,2,""))-FIND("[",REPLACE(G173,1,2,""))-1)</f>
        <v/>
      </c>
      <c r="F173" s="347">
        <f>IFERROR(MID(G173,3,FIND("(",G173)-3)&amp;"-"&amp;SUBSTITUTE(MID(G173,FIND("[",G173)+1,FIND("]",G173)-FIND("[",G173)-1),"Strong Guard ",""),"")</f>
        <v/>
      </c>
      <c r="G173" s="366" t="inlineStr">
        <is>
          <t>ID295/80R22.5-18PR(152/149J)[EZ177]金冠无内</t>
        </is>
      </c>
      <c r="H173" s="344" t="n">
        <v>500</v>
      </c>
      <c r="I173" s="348" t="n"/>
      <c r="J173" s="349">
        <f>IFERROR(LEFT(F173,FIND("-",F173))&amp;MID(F173,FIND("PR",F173,FIND("-",F173))+3,LEN(F173)),F173)</f>
        <v/>
      </c>
      <c r="K173" s="352">
        <f>_xlfn.XLOOKUP(F173,投产规格!E:E,投产规格!D:D,"未投产")</f>
        <v/>
      </c>
      <c r="L173" s="352">
        <f>IFERROR(_xlfn.XLOOKUP(F173,硫化工艺!B:B,硫化工艺!C:C),"")</f>
        <v/>
      </c>
      <c r="M173" s="430">
        <f>IF(L173="","",L173/(L173+$L$1/60))</f>
        <v/>
      </c>
      <c r="N173" s="352">
        <f>C173&amp;"全钢"</f>
        <v/>
      </c>
      <c r="O173" s="352">
        <f>IFERROR(_xlfn.XLOOKUP(F173,轮胎重量!J:J,轮胎重量!G:G),"")</f>
        <v/>
      </c>
      <c r="P173" s="352">
        <f>IFERROR(_xlfn.XLOOKUP(G173,硫化工艺!I:I,硫化工艺!J:J),"")</f>
        <v/>
      </c>
      <c r="Q173" s="352">
        <f>IFERROR(ROUND(1440/L173*(I173)*M173,0),"")</f>
        <v/>
      </c>
      <c r="R173" s="352" t="n"/>
      <c r="S173" s="352" t="n"/>
      <c r="T173" s="352" t="n"/>
      <c r="U173" s="352" t="n"/>
      <c r="V173" s="352" t="n"/>
      <c r="W173" s="352" t="n"/>
      <c r="X173" s="352" t="n"/>
      <c r="Y173" s="352" t="n"/>
      <c r="Z173" s="352" t="n"/>
      <c r="AA173" s="352" t="n"/>
      <c r="AB173" s="352" t="n"/>
      <c r="AC173" s="352" t="n"/>
      <c r="AD173" s="352" t="n"/>
      <c r="AE173" s="352" t="n"/>
      <c r="AF173" s="352" t="n"/>
      <c r="AG173" s="352" t="n"/>
      <c r="AH173" s="352" t="n"/>
      <c r="AI173" s="352" t="n"/>
      <c r="AJ173" s="352" t="n"/>
      <c r="AK173" s="352" t="n"/>
      <c r="AL173" s="352" t="n"/>
      <c r="AM173" s="352" t="n"/>
      <c r="AN173" s="352" t="n"/>
      <c r="AO173" s="352" t="n"/>
      <c r="AP173" s="352" t="n"/>
      <c r="AQ173" s="352" t="n"/>
      <c r="AR173" s="352" t="n"/>
      <c r="AS173" s="352" t="n"/>
      <c r="AT173" s="352" t="n"/>
      <c r="AU173" s="352" t="n"/>
      <c r="AV173" s="352" t="n"/>
      <c r="AW173" s="352">
        <f>IF(SUM(R173:AV173)=0,"",SUM(R173:AV173))</f>
        <v/>
      </c>
      <c r="AX173" s="431">
        <f>IFERROR(AW173*O173/1000,"")</f>
        <v/>
      </c>
      <c r="AY173" s="431">
        <f>IFERROR(ROUND(AW173*P173/10000,3),"")</f>
        <v/>
      </c>
      <c r="AZ173" s="359" t="n"/>
      <c r="BE173" s="331">
        <f>AZ173*AW173</f>
        <v/>
      </c>
      <c r="BF173" s="331">
        <f>BA173*AW173</f>
        <v/>
      </c>
      <c r="BG173" s="331">
        <f>BB173*AW173</f>
        <v/>
      </c>
      <c r="BH173" s="331">
        <f>BC173*AW173</f>
        <v/>
      </c>
      <c r="BJ173" s="356">
        <f t="array" ref="BJ173:BM173">_xlfn.LET(_xlpm.data,$R173:$AV173,_xlpm.starts,{1,8,16,23},_xlpm.lengths,{7,7,8,9},_xlpm.arr,_xlfn.MAP(_xlpm.starts,_xlpm.lengths,_xlfn.LAMBDA(_xlpm.s,_xlpm.l,SUM(INDEX(_xlpm.data,,_xlfn.SEQUENCE(,_xlpm.l,_xlpm.s))))),ROUND(_xlpm.arr*$O173/1000,2))</f>
        <v/>
      </c>
      <c r="BK173" s="331" t="n">
        <v>0</v>
      </c>
      <c r="BL173" s="331" t="n">
        <v>0</v>
      </c>
      <c r="BM173" s="331" t="n">
        <v>0</v>
      </c>
      <c r="BN173" s="362">
        <f>SUM(BJ173:BM173)</f>
        <v/>
      </c>
      <c r="BO173" s="362" t="n">
        <v>13.94</v>
      </c>
      <c r="BP173" s="362" t="n">
        <v>24.39</v>
      </c>
      <c r="BQ173" s="362" t="n">
        <v>27.88</v>
      </c>
      <c r="BR173" s="362" t="n">
        <v>31.36</v>
      </c>
      <c r="BT173" s="362">
        <f t="array" ref="BT173:BW173">_xlfn.HSTACK(SUM(INDEX($R173:$AV173,1,1):INDEX($R173:$AV173,1,7)),SUM(INDEX($R173:$AV173,1,7):INDEX($R173:$AV173,1,13)),SUM(INDEX($R173:$AV173,1,16):INDEX($R173:$AV173,1,23)),SUM(INDEX($R173:$AV173,1,23):INDEX($R173:$AV173,1,31)))</f>
        <v/>
      </c>
      <c r="BU173" s="362" t="n">
        <v>0</v>
      </c>
      <c r="BV173" s="362" t="n">
        <v>0</v>
      </c>
      <c r="BW173" s="362" t="n">
        <v>0</v>
      </c>
      <c r="BY173" s="362">
        <f>SUM(R173:X173)</f>
        <v/>
      </c>
      <c r="BZ173" s="362">
        <f>SUM(Y173:AE173)</f>
        <v/>
      </c>
      <c r="CA173" s="362">
        <f>SUM(AF173:AM173)</f>
        <v/>
      </c>
      <c r="CB173" s="362">
        <f>SUM(AN173:AV173)</f>
        <v/>
      </c>
      <c r="CD173" s="432" t="inlineStr">
        <is>
          <t>ADA</t>
        </is>
      </c>
      <c r="CE173" s="362">
        <f>ROUND(BY173*$O173/1000,2)</f>
        <v/>
      </c>
      <c r="CF173" s="362">
        <f>ROUND(BZ173*$O173/1000,2)</f>
        <v/>
      </c>
      <c r="CG173" s="362">
        <f>ROUND(CA173*$O173/1000,2)</f>
        <v/>
      </c>
      <c r="CH173" s="362">
        <f>ROUND(CB173*$O173/1000,2)</f>
        <v/>
      </c>
      <c r="CI173" s="362">
        <f>SUM(CE173:CH173)</f>
        <v/>
      </c>
      <c r="CK173" s="362">
        <f>IFERROR(ROUND(BY173*$P173,2),"")</f>
        <v/>
      </c>
      <c r="CL173" s="362">
        <f>IFERROR(ROUND(BZ173*$P173,2),"")</f>
        <v/>
      </c>
      <c r="CM173" s="362">
        <f>IFERROR(ROUND(CA173*$P173,2),"")</f>
        <v/>
      </c>
      <c r="CN173" s="362">
        <f>IFERROR(ROUND(CB173*$P173,2),"")</f>
        <v/>
      </c>
      <c r="CO173" s="362">
        <f>SUM(CK173:CN173)</f>
        <v/>
      </c>
    </row>
    <row r="174" ht="15.6" customFormat="1" customHeight="1" s="362">
      <c r="A174" s="331" t="n"/>
      <c r="B174" s="344">
        <f>_xlfn.XLOOKUP(G174,销售需求表!A:A,销售需求表!C:C)</f>
        <v/>
      </c>
      <c r="C174" s="345">
        <f>IFERROR(MID(F174,FIND("R",F174)+1,4),"")</f>
        <v/>
      </c>
      <c r="D174" s="365">
        <f>B174&amp;C174&amp;"寸"</f>
        <v/>
      </c>
      <c r="E174" s="346">
        <f>LEFT(REPLACE(G174,1,2,""),FIND("[",REPLACE(G174,1,2,""))-1)&amp;"-"&amp;MID(REPLACE(G174,1,2,""),FIND("[",REPLACE(G174,1,2,""))+1,FIND("]",REPLACE(G174,1,2,""))-FIND("[",REPLACE(G174,1,2,""))-1)</f>
        <v/>
      </c>
      <c r="F174" s="347">
        <f>IFERROR(MID(G174,3,FIND("(",G174)-3)&amp;"-"&amp;SUBSTITUTE(MID(G174,FIND("[",G174)+1,FIND("]",G174)-FIND("[",G174)-1),"Strong Guard ",""),"")</f>
        <v/>
      </c>
      <c r="G174" s="366" t="inlineStr">
        <is>
          <t>ID295/80R22.5-18PR(152/149K)[G-PRO MSD]GRIPMASTER无内</t>
        </is>
      </c>
      <c r="H174" s="344" t="n">
        <v>4000</v>
      </c>
      <c r="I174" s="364" t="n">
        <v>2</v>
      </c>
      <c r="J174" s="349">
        <f>IFERROR(LEFT(F174,FIND("-",F174))&amp;MID(F174,FIND("PR",F174,FIND("-",F174))+3,LEN(F174)),F174)</f>
        <v/>
      </c>
      <c r="K174" s="352">
        <f>_xlfn.XLOOKUP(F174,投产规格!E:E,投产规格!D:D,"未投产")</f>
        <v/>
      </c>
      <c r="L174" s="352">
        <f>IFERROR(_xlfn.XLOOKUP(F174,硫化工艺!B:B,硫化工艺!C:C),"")</f>
        <v/>
      </c>
      <c r="M174" s="430">
        <f>IF(L174="","",L174/(L174+$L$1/60))</f>
        <v/>
      </c>
      <c r="N174" s="352">
        <f>C174&amp;"全钢"</f>
        <v/>
      </c>
      <c r="O174" s="352">
        <f>IFERROR(_xlfn.XLOOKUP(F174,轮胎重量!J:J,轮胎重量!G:G),"")</f>
        <v/>
      </c>
      <c r="P174" s="352">
        <f>IFERROR(_xlfn.XLOOKUP(G174,硫化工艺!I:I,硫化工艺!J:J),"")</f>
        <v/>
      </c>
      <c r="Q174" s="352">
        <f>IFERROR(ROUND(1440/L174*(I174)*M174,0),"")</f>
        <v/>
      </c>
      <c r="R174" s="352" t="n">
        <v>50</v>
      </c>
      <c r="S174" s="352" t="n">
        <v>50</v>
      </c>
      <c r="T174" s="352" t="n">
        <v>50</v>
      </c>
      <c r="U174" s="352" t="n">
        <v>50</v>
      </c>
      <c r="V174" s="352" t="n">
        <v>50</v>
      </c>
      <c r="W174" s="352" t="n">
        <v>50</v>
      </c>
      <c r="X174" s="352" t="n">
        <v>50</v>
      </c>
      <c r="Y174" s="352" t="n">
        <v>50</v>
      </c>
      <c r="Z174" s="352" t="n">
        <v>50</v>
      </c>
      <c r="AA174" s="352" t="n">
        <v>50</v>
      </c>
      <c r="AB174" s="352" t="n">
        <v>50</v>
      </c>
      <c r="AC174" s="352" t="n">
        <v>50</v>
      </c>
      <c r="AD174" s="352" t="n">
        <v>50</v>
      </c>
      <c r="AE174" s="352" t="n">
        <v>50</v>
      </c>
      <c r="AF174" s="352" t="n">
        <v>50</v>
      </c>
      <c r="AG174" s="352" t="n">
        <v>50</v>
      </c>
      <c r="AH174" s="352" t="n">
        <v>50</v>
      </c>
      <c r="AI174" s="352" t="n">
        <v>50</v>
      </c>
      <c r="AJ174" s="352" t="n">
        <v>50</v>
      </c>
      <c r="AK174" s="352" t="n">
        <v>50</v>
      </c>
      <c r="AL174" s="352" t="n">
        <v>50</v>
      </c>
      <c r="AM174" s="352" t="n">
        <v>50</v>
      </c>
      <c r="AN174" s="352" t="n">
        <v>50</v>
      </c>
      <c r="AO174" s="352" t="n">
        <v>50</v>
      </c>
      <c r="AP174" s="352" t="n">
        <v>50</v>
      </c>
      <c r="AQ174" s="352" t="n">
        <v>50</v>
      </c>
      <c r="AR174" s="352" t="n">
        <v>50</v>
      </c>
      <c r="AS174" s="352" t="n">
        <v>50</v>
      </c>
      <c r="AT174" s="352" t="n">
        <v>50</v>
      </c>
      <c r="AU174" s="352" t="n">
        <v>50</v>
      </c>
      <c r="AV174" s="352" t="n">
        <v>50</v>
      </c>
      <c r="AW174" s="352">
        <f>IF(SUM(R174:AV174)=0,"",SUM(R174:AV174))</f>
        <v/>
      </c>
      <c r="AX174" s="431">
        <f>IFERROR(AW174*O174/1000,"")</f>
        <v/>
      </c>
      <c r="AY174" s="431">
        <f>IFERROR(ROUND(AW174*P174/10000,3),"")</f>
        <v/>
      </c>
      <c r="AZ174" s="359" t="n"/>
      <c r="BA174" s="362" t="n"/>
      <c r="BB174" s="362" t="n"/>
      <c r="BC174" s="331" t="n"/>
      <c r="BD174" s="331" t="n"/>
      <c r="BE174" s="331">
        <f>AZ174*AW174</f>
        <v/>
      </c>
      <c r="BF174" s="331">
        <f>BA174*AW174</f>
        <v/>
      </c>
      <c r="BG174" s="331">
        <f>BB174*AW174</f>
        <v/>
      </c>
      <c r="BH174" s="331">
        <f>BC174*AW174</f>
        <v/>
      </c>
      <c r="BI174" s="331" t="n"/>
      <c r="BJ174" s="356">
        <f t="array" ref="BJ174:BM174">_xlfn.LET(_xlpm.data,$R174:$AV174,_xlpm.starts,{1,8,16,23},_xlpm.lengths,{7,7,8,9},_xlpm.arr,_xlfn.MAP(_xlpm.starts,_xlpm.lengths,_xlfn.LAMBDA(_xlpm.s,_xlpm.l,SUM(INDEX(_xlpm.data,,_xlfn.SEQUENCE(,_xlpm.l,_xlpm.s))))),ROUND(_xlpm.arr*$O174/1000,2))</f>
        <v/>
      </c>
      <c r="BK174" s="331" t="n">
        <v>22.49</v>
      </c>
      <c r="BL174" s="331" t="n">
        <v>25.7</v>
      </c>
      <c r="BM174" s="331" t="n">
        <v>28.91</v>
      </c>
      <c r="BN174" s="362">
        <f>SUM(BJ174:BM174)</f>
        <v/>
      </c>
      <c r="BO174" s="362" t="n">
        <v>13.94</v>
      </c>
      <c r="BP174" s="362" t="n">
        <v>24.39</v>
      </c>
      <c r="BQ174" s="362" t="n">
        <v>27.88</v>
      </c>
      <c r="BR174" s="362" t="n">
        <v>31.36</v>
      </c>
      <c r="BS174" s="115" t="n"/>
      <c r="BT174" s="362">
        <f t="array" ref="BT174:BW174">_xlfn.HSTACK(SUM(INDEX($R174:$AV174,1,1):INDEX($R174:$AV174,1,7)),SUM(INDEX($R174:$AV174,1,7):INDEX($R174:$AV174,1,13)),SUM(INDEX($R174:$AV174,1,16):INDEX($R174:$AV174,1,23)),SUM(INDEX($R174:$AV174,1,23):INDEX($R174:$AV174,1,31)))</f>
        <v/>
      </c>
      <c r="BU174" s="362" t="n">
        <v>350</v>
      </c>
      <c r="BV174" s="362" t="n">
        <v>400</v>
      </c>
      <c r="BW174" s="362" t="n">
        <v>450</v>
      </c>
      <c r="BY174" s="362">
        <f>SUM(R174:X174)</f>
        <v/>
      </c>
      <c r="BZ174" s="362">
        <f>SUM(Y174:AE174)</f>
        <v/>
      </c>
      <c r="CA174" s="362">
        <f>SUM(AF174:AM174)</f>
        <v/>
      </c>
      <c r="CB174" s="362">
        <f>SUM(AN174:AV174)</f>
        <v/>
      </c>
      <c r="CD174" s="432" t="inlineStr">
        <is>
          <t>ADA</t>
        </is>
      </c>
      <c r="CE174" s="362">
        <f>ROUND(BY174*$O174/1000,2)</f>
        <v/>
      </c>
      <c r="CF174" s="362">
        <f>ROUND(BZ174*$O174/1000,2)</f>
        <v/>
      </c>
      <c r="CG174" s="362">
        <f>ROUND(CA174*$O174/1000,2)</f>
        <v/>
      </c>
      <c r="CH174" s="362">
        <f>ROUND(CB174*$O174/1000,2)</f>
        <v/>
      </c>
      <c r="CI174" s="362">
        <f>SUM(CE174:CH174)</f>
        <v/>
      </c>
      <c r="CJ174" s="390" t="n"/>
      <c r="CK174" s="362">
        <f>IFERROR(ROUND(BY174*$P174,2),"")</f>
        <v/>
      </c>
      <c r="CL174" s="362">
        <f>IFERROR(ROUND(BZ174*$P174,2),"")</f>
        <v/>
      </c>
      <c r="CM174" s="362">
        <f>IFERROR(ROUND(CA174*$P174,2),"")</f>
        <v/>
      </c>
      <c r="CN174" s="362">
        <f>IFERROR(ROUND(CB174*$P174,2),"")</f>
        <v/>
      </c>
      <c r="CO174" s="362">
        <f>SUM(CK174:CN174)</f>
        <v/>
      </c>
    </row>
    <row r="175" ht="15.6" customHeight="1" s="428">
      <c r="B175" s="344">
        <f>_xlfn.XLOOKUP(G175,销售需求表!A:A,销售需求表!C:C)</f>
        <v/>
      </c>
      <c r="C175" s="345">
        <f>IFERROR(MID(F175,FIND("R",F175)+1,4),"")</f>
        <v/>
      </c>
      <c r="D175" s="365">
        <f>B175&amp;C175&amp;"寸"</f>
        <v/>
      </c>
      <c r="E175" s="346">
        <f>LEFT(REPLACE(G175,1,2,""),FIND("[",REPLACE(G175,1,2,""))-1)&amp;"-"&amp;MID(REPLACE(G175,1,2,""),FIND("[",REPLACE(G175,1,2,""))+1,FIND("]",REPLACE(G175,1,2,""))-FIND("[",REPLACE(G175,1,2,""))-1)</f>
        <v/>
      </c>
      <c r="F175" s="347">
        <f>IFERROR(MID(G175,3,FIND("(",G175)-3)&amp;"-"&amp;SUBSTITUTE(MID(G175,FIND("[",G175)+1,FIND("]",G175)-FIND("[",G175)-1),"Strong Guard ",""),"")</f>
        <v/>
      </c>
      <c r="G175" s="366" t="inlineStr">
        <is>
          <t>ID295/80R22.5-18PR(152/149K)[MD777]朝阳无内</t>
        </is>
      </c>
      <c r="H175" s="344" t="n">
        <v>1800</v>
      </c>
      <c r="I175" s="348" t="n">
        <v>2</v>
      </c>
      <c r="J175" s="349">
        <f>IFERROR(LEFT(F175,FIND("-",F175))&amp;MID(F175,FIND("PR",F175,FIND("-",F175))+3,LEN(F175)),F175)</f>
        <v/>
      </c>
      <c r="K175" s="352">
        <f>_xlfn.XLOOKUP(F175,投产规格!E:E,投产规格!D:D,"未投产")</f>
        <v/>
      </c>
      <c r="L175" s="352">
        <f>IFERROR(_xlfn.XLOOKUP(F175,硫化工艺!B:B,硫化工艺!C:C),"")</f>
        <v/>
      </c>
      <c r="M175" s="430">
        <f>IF(L175="","",L175/(L175+$L$1/60))</f>
        <v/>
      </c>
      <c r="N175" s="352">
        <f>C175&amp;"全钢"</f>
        <v/>
      </c>
      <c r="O175" s="352">
        <f>IFERROR(_xlfn.XLOOKUP(F175,轮胎重量!J:J,轮胎重量!G:G),"")</f>
        <v/>
      </c>
      <c r="P175" s="352">
        <f>IFERROR(_xlfn.XLOOKUP(G175,硫化工艺!I:I,硫化工艺!J:J),"")</f>
        <v/>
      </c>
      <c r="Q175" s="352">
        <f>IFERROR(ROUND(1440/L175*(I175)*M175,0),"")</f>
        <v/>
      </c>
      <c r="R175" s="352" t="n">
        <v>50</v>
      </c>
      <c r="S175" s="352" t="n">
        <v>50</v>
      </c>
      <c r="T175" s="352" t="n">
        <v>50</v>
      </c>
      <c r="U175" s="352" t="n">
        <v>50</v>
      </c>
      <c r="V175" s="352" t="n">
        <v>50</v>
      </c>
      <c r="W175" s="352" t="n">
        <v>50</v>
      </c>
      <c r="X175" s="352" t="n">
        <v>50</v>
      </c>
      <c r="Y175" s="352" t="n">
        <v>50</v>
      </c>
      <c r="Z175" s="352" t="n">
        <v>50</v>
      </c>
      <c r="AA175" s="352" t="n">
        <v>50</v>
      </c>
      <c r="AB175" s="352" t="n">
        <v>50</v>
      </c>
      <c r="AC175" s="352" t="n">
        <v>50</v>
      </c>
      <c r="AD175" s="352" t="n">
        <v>50</v>
      </c>
      <c r="AE175" s="352" t="n">
        <v>50</v>
      </c>
      <c r="AF175" s="352" t="n">
        <v>50</v>
      </c>
      <c r="AG175" s="352" t="n">
        <v>50</v>
      </c>
      <c r="AH175" s="352" t="n">
        <v>50</v>
      </c>
      <c r="AI175" s="352" t="n">
        <v>50</v>
      </c>
      <c r="AJ175" s="352" t="n">
        <v>50</v>
      </c>
      <c r="AK175" s="352" t="n">
        <v>50</v>
      </c>
      <c r="AL175" s="352" t="n">
        <v>50</v>
      </c>
      <c r="AM175" s="352" t="n">
        <v>50</v>
      </c>
      <c r="AN175" s="352" t="n">
        <v>50</v>
      </c>
      <c r="AO175" s="352" t="n">
        <v>50</v>
      </c>
      <c r="AP175" s="352" t="n">
        <v>50</v>
      </c>
      <c r="AQ175" s="352" t="n">
        <v>50</v>
      </c>
      <c r="AR175" s="352" t="n">
        <v>50</v>
      </c>
      <c r="AS175" s="352" t="n">
        <v>50</v>
      </c>
      <c r="AT175" s="352" t="n">
        <v>50</v>
      </c>
      <c r="AU175" s="352" t="n">
        <v>50</v>
      </c>
      <c r="AV175" s="352" t="n">
        <v>50</v>
      </c>
      <c r="AW175" s="352">
        <f>IF(SUM(R175:AV175)=0,"",SUM(R175:AV175))</f>
        <v/>
      </c>
      <c r="AX175" s="431">
        <f>IFERROR(AW175*O175/1000,"")</f>
        <v/>
      </c>
      <c r="AY175" s="431">
        <f>IFERROR(ROUND(AW175*P175/10000,3),"")</f>
        <v/>
      </c>
      <c r="AZ175" s="354" t="n">
        <v>635.83</v>
      </c>
      <c r="BA175" s="355" t="n">
        <v>37.86</v>
      </c>
      <c r="BB175" s="355" t="n">
        <v>59.49</v>
      </c>
      <c r="BC175" s="355" t="n">
        <v>64.23</v>
      </c>
      <c r="BE175" s="331">
        <f>AZ175*AW175</f>
        <v/>
      </c>
      <c r="BF175" s="331">
        <f>BA175*AW175</f>
        <v/>
      </c>
      <c r="BG175" s="331">
        <f>BB175*AW175</f>
        <v/>
      </c>
      <c r="BH175" s="331">
        <f>BC175*AW175</f>
        <v/>
      </c>
      <c r="BJ175" s="356">
        <f t="array" ref="BJ175:BM175">_xlfn.LET(_xlpm.data,$R175:$AV175,_xlpm.starts,{1,8,16,23},_xlpm.lengths,{7,7,8,9},_xlpm.arr,_xlfn.MAP(_xlpm.starts,_xlpm.lengths,_xlfn.LAMBDA(_xlpm.s,_xlpm.l,SUM(INDEX(_xlpm.data,,_xlfn.SEQUENCE(,_xlpm.l,_xlpm.s))))),ROUND(_xlpm.arr*$O175/1000,2))</f>
        <v/>
      </c>
      <c r="BK175" s="331" t="n">
        <v>22.49</v>
      </c>
      <c r="BL175" s="331" t="n">
        <v>25.7</v>
      </c>
      <c r="BM175" s="331" t="n">
        <v>28.91</v>
      </c>
      <c r="BN175" s="362">
        <f>SUM(BJ175:BM175)</f>
        <v/>
      </c>
      <c r="BO175" s="362" t="n">
        <v>22.68</v>
      </c>
      <c r="BP175" s="362" t="n">
        <v>22.68</v>
      </c>
      <c r="BQ175" s="362" t="n">
        <v>25.92</v>
      </c>
      <c r="BR175" s="362" t="n">
        <v>29.16</v>
      </c>
      <c r="BT175" s="362">
        <f t="array" ref="BT175:BW175">_xlfn.HSTACK(SUM(INDEX($R175:$AV175,1,1):INDEX($R175:$AV175,1,7)),SUM(INDEX($R175:$AV175,1,7):INDEX($R175:$AV175,1,13)),SUM(INDEX($R175:$AV175,1,16):INDEX($R175:$AV175,1,23)),SUM(INDEX($R175:$AV175,1,23):INDEX($R175:$AV175,1,31)))</f>
        <v/>
      </c>
      <c r="BU175" s="362" t="n">
        <v>350</v>
      </c>
      <c r="BV175" s="362" t="n">
        <v>400</v>
      </c>
      <c r="BW175" s="362" t="n">
        <v>450</v>
      </c>
      <c r="BY175" s="362">
        <f>SUM(R175:X175)</f>
        <v/>
      </c>
      <c r="BZ175" s="362">
        <f>SUM(Y175:AE175)</f>
        <v/>
      </c>
      <c r="CA175" s="362">
        <f>SUM(AF175:AM175)</f>
        <v/>
      </c>
      <c r="CB175" s="362">
        <f>SUM(AN175:AV175)</f>
        <v/>
      </c>
      <c r="CD175" s="432" t="inlineStr">
        <is>
          <t>ADA</t>
        </is>
      </c>
      <c r="CE175" s="362">
        <f>ROUND(BY175*$O175/1000,2)</f>
        <v/>
      </c>
      <c r="CF175" s="362">
        <f>ROUND(BZ175*$O175/1000,2)</f>
        <v/>
      </c>
      <c r="CG175" s="362">
        <f>ROUND(CA175*$O175/1000,2)</f>
        <v/>
      </c>
      <c r="CH175" s="362">
        <f>ROUND(CB175*$O175/1000,2)</f>
        <v/>
      </c>
      <c r="CI175" s="362">
        <f>SUM(CE175:CH175)</f>
        <v/>
      </c>
      <c r="CK175" s="362">
        <f>IFERROR(ROUND(BY175*$P175,2),"")</f>
        <v/>
      </c>
      <c r="CL175" s="362">
        <f>IFERROR(ROUND(BZ175*$P175,2),"")</f>
        <v/>
      </c>
      <c r="CM175" s="362">
        <f>IFERROR(ROUND(CA175*$P175,2),"")</f>
        <v/>
      </c>
      <c r="CN175" s="362">
        <f>IFERROR(ROUND(CB175*$P175,2),"")</f>
        <v/>
      </c>
      <c r="CO175" s="362">
        <f>SUM(CK175:CN175)</f>
        <v/>
      </c>
    </row>
    <row r="176" hidden="1" ht="15.6" customFormat="1" customHeight="1" s="362">
      <c r="A176" s="331" t="n"/>
      <c r="B176" s="344">
        <f>_xlfn.XLOOKUP(G176,销售需求表!A:A,销售需求表!C:C)</f>
        <v/>
      </c>
      <c r="C176" s="345">
        <f>IFERROR(MID(F176,FIND("R",F176)+1,4),"")</f>
        <v/>
      </c>
      <c r="D176" s="365">
        <f>B176&amp;C176&amp;"寸"</f>
        <v/>
      </c>
      <c r="E176" s="346">
        <f>LEFT(REPLACE(G176,1,2,""),FIND("[",REPLACE(G176,1,2,""))-1)&amp;"-"&amp;MID(REPLACE(G176,1,2,""),FIND("[",REPLACE(G176,1,2,""))+1,FIND("]",REPLACE(G176,1,2,""))-FIND("[",REPLACE(G176,1,2,""))-1)</f>
        <v/>
      </c>
      <c r="F176" s="347">
        <f>IFERROR(MID(G176,3,FIND("(",G176)-3)&amp;"-"&amp;SUBSTITUTE(MID(G176,FIND("[",G176)+1,FIND("]",G176)-FIND("[",G176)-1),"Strong Guard ",""),"")</f>
        <v/>
      </c>
      <c r="G176" s="366" t="inlineStr">
        <is>
          <t>ID295/80R22.5-18PR(152/149K)[MD777]威狮无内</t>
        </is>
      </c>
      <c r="H176" s="344" t="n">
        <v>320</v>
      </c>
      <c r="I176" s="348" t="n"/>
      <c r="J176" s="349">
        <f>IFERROR(LEFT(F176,FIND("-",F176))&amp;MID(F176,FIND("PR",F176,FIND("-",F176))+3,LEN(F176)),F176)</f>
        <v/>
      </c>
      <c r="K176" s="352">
        <f>_xlfn.XLOOKUP(F176,投产规格!E:E,投产规格!D:D,"未投产")</f>
        <v/>
      </c>
      <c r="L176" s="352">
        <f>IFERROR(_xlfn.XLOOKUP(F176,硫化工艺!B:B,硫化工艺!C:C),"")</f>
        <v/>
      </c>
      <c r="M176" s="430">
        <f>IF(L176="","",L176/(L176+$L$1/60))</f>
        <v/>
      </c>
      <c r="N176" s="352">
        <f>C176&amp;"全钢"</f>
        <v/>
      </c>
      <c r="O176" s="352">
        <f>IFERROR(_xlfn.XLOOKUP(F176,轮胎重量!J:J,轮胎重量!G:G),"")</f>
        <v/>
      </c>
      <c r="P176" s="352">
        <f>IFERROR(_xlfn.XLOOKUP(G176,硫化工艺!I:I,硫化工艺!J:J),"")</f>
        <v/>
      </c>
      <c r="Q176" s="352">
        <f>IFERROR(ROUND(1440/L176*(I176)*M176,0),"")</f>
        <v/>
      </c>
      <c r="R176" s="352" t="n"/>
      <c r="S176" s="352" t="n"/>
      <c r="T176" s="352" t="n"/>
      <c r="U176" s="352" t="n"/>
      <c r="V176" s="352" t="n"/>
      <c r="W176" s="352" t="n"/>
      <c r="X176" s="352" t="n"/>
      <c r="Y176" s="352" t="n"/>
      <c r="Z176" s="352" t="n"/>
      <c r="AA176" s="352" t="n"/>
      <c r="AB176" s="352" t="n"/>
      <c r="AC176" s="352" t="n"/>
      <c r="AD176" s="352" t="n"/>
      <c r="AE176" s="352" t="n"/>
      <c r="AF176" s="352" t="n"/>
      <c r="AG176" s="352" t="n"/>
      <c r="AH176" s="352" t="n"/>
      <c r="AI176" s="352" t="n"/>
      <c r="AJ176" s="352" t="n"/>
      <c r="AK176" s="352" t="n"/>
      <c r="AL176" s="352" t="n"/>
      <c r="AM176" s="352" t="n"/>
      <c r="AN176" s="352" t="n"/>
      <c r="AO176" s="352" t="n"/>
      <c r="AP176" s="352" t="n"/>
      <c r="AQ176" s="352" t="n"/>
      <c r="AR176" s="352" t="n"/>
      <c r="AS176" s="352" t="n"/>
      <c r="AT176" s="352" t="n"/>
      <c r="AU176" s="352" t="n"/>
      <c r="AV176" s="352" t="n"/>
      <c r="AW176" s="352">
        <f>IF(SUM(R176:AV176)=0,"",SUM(R176:AV176))</f>
        <v/>
      </c>
      <c r="AX176" s="431">
        <f>IFERROR(AW176*O176/1000,"")</f>
        <v/>
      </c>
      <c r="AY176" s="431">
        <f>IFERROR(ROUND(AW176*P176/10000,3),"")</f>
        <v/>
      </c>
      <c r="AZ176" s="354" t="n">
        <v>635.83</v>
      </c>
      <c r="BA176" s="355" t="n">
        <v>37.86</v>
      </c>
      <c r="BB176" s="355" t="n">
        <v>59.49</v>
      </c>
      <c r="BC176" s="355" t="n">
        <v>64.23</v>
      </c>
      <c r="BD176" s="331" t="n"/>
      <c r="BE176" s="331">
        <f>AZ176*AW176</f>
        <v/>
      </c>
      <c r="BF176" s="331">
        <f>BA176*AW176</f>
        <v/>
      </c>
      <c r="BG176" s="331">
        <f>BB176*AW176</f>
        <v/>
      </c>
      <c r="BH176" s="331">
        <f>BC176*AW176</f>
        <v/>
      </c>
      <c r="BI176" s="331" t="n"/>
      <c r="BJ176" s="356">
        <f t="array" ref="BJ176:BM176">_xlfn.LET(_xlpm.data,$R176:$AV176,_xlpm.starts,{1,8,16,23},_xlpm.lengths,{7,7,8,9},_xlpm.arr,_xlfn.MAP(_xlpm.starts,_xlpm.lengths,_xlfn.LAMBDA(_xlpm.s,_xlpm.l,SUM(INDEX(_xlpm.data,,_xlfn.SEQUENCE(,_xlpm.l,_xlpm.s))))),ROUND(_xlpm.arr*$O176/1000,2))</f>
        <v/>
      </c>
      <c r="BK176" s="331" t="n">
        <v>0</v>
      </c>
      <c r="BL176" s="331" t="n">
        <v>0</v>
      </c>
      <c r="BM176" s="331" t="n">
        <v>0</v>
      </c>
      <c r="BN176" s="362">
        <f>SUM(BJ176:BM176)</f>
        <v/>
      </c>
      <c r="BO176" s="362" t="n">
        <v>22.68</v>
      </c>
      <c r="BP176" s="362" t="n">
        <v>22.68</v>
      </c>
      <c r="BQ176" s="362" t="n">
        <v>25.92</v>
      </c>
      <c r="BR176" s="362" t="n">
        <v>29.16</v>
      </c>
      <c r="BS176" s="115" t="n"/>
      <c r="BT176" s="362">
        <f t="array" ref="BT176:BW176">_xlfn.HSTACK(SUM(INDEX($R176:$AV176,1,1):INDEX($R176:$AV176,1,7)),SUM(INDEX($R176:$AV176,1,7):INDEX($R176:$AV176,1,13)),SUM(INDEX($R176:$AV176,1,16):INDEX($R176:$AV176,1,23)),SUM(INDEX($R176:$AV176,1,23):INDEX($R176:$AV176,1,31)))</f>
        <v/>
      </c>
      <c r="BU176" s="362" t="n">
        <v>0</v>
      </c>
      <c r="BV176" s="362" t="n">
        <v>0</v>
      </c>
      <c r="BW176" s="362" t="n">
        <v>0</v>
      </c>
      <c r="BY176" s="362">
        <f>SUM(R176:X176)</f>
        <v/>
      </c>
      <c r="BZ176" s="362">
        <f>SUM(Y176:AE176)</f>
        <v/>
      </c>
      <c r="CA176" s="362">
        <f>SUM(AF176:AM176)</f>
        <v/>
      </c>
      <c r="CB176" s="362">
        <f>SUM(AN176:AV176)</f>
        <v/>
      </c>
      <c r="CD176" s="432" t="inlineStr">
        <is>
          <t>ADA</t>
        </is>
      </c>
      <c r="CE176" s="362">
        <f>ROUND(BY176*$O176/1000,2)</f>
        <v/>
      </c>
      <c r="CF176" s="362">
        <f>ROUND(BZ176*$O176/1000,2)</f>
        <v/>
      </c>
      <c r="CG176" s="362">
        <f>ROUND(CA176*$O176/1000,2)</f>
        <v/>
      </c>
      <c r="CH176" s="362">
        <f>ROUND(CB176*$O176/1000,2)</f>
        <v/>
      </c>
      <c r="CI176" s="362">
        <f>SUM(CE176:CH176)</f>
        <v/>
      </c>
      <c r="CJ176" s="390" t="n"/>
      <c r="CK176" s="362">
        <f>IFERROR(ROUND(BY176*$P176,2),"")</f>
        <v/>
      </c>
      <c r="CL176" s="362">
        <f>IFERROR(ROUND(BZ176*$P176,2),"")</f>
        <v/>
      </c>
      <c r="CM176" s="362">
        <f>IFERROR(ROUND(CA176*$P176,2),"")</f>
        <v/>
      </c>
      <c r="CN176" s="362">
        <f>IFERROR(ROUND(CB176*$P176,2),"")</f>
        <v/>
      </c>
      <c r="CO176" s="362">
        <f>SUM(CK176:CN176)</f>
        <v/>
      </c>
    </row>
    <row r="177" ht="15.6" customFormat="1" customHeight="1" s="362">
      <c r="A177" s="331" t="n"/>
      <c r="B177" s="344">
        <f>_xlfn.XLOOKUP(G177,销售需求表!A:A,销售需求表!C:C)</f>
        <v/>
      </c>
      <c r="C177" s="345">
        <f>IFERROR(MID(F177,FIND("R",F177)+1,4),"")</f>
        <v/>
      </c>
      <c r="D177" s="365">
        <f>B177&amp;C177&amp;"寸"</f>
        <v/>
      </c>
      <c r="E177" s="346">
        <f>LEFT(REPLACE(G177,1,2,""),FIND("[",REPLACE(G177,1,2,""))-1)&amp;"-"&amp;MID(REPLACE(G177,1,2,""),FIND("[",REPLACE(G177,1,2,""))+1,FIND("]",REPLACE(G177,1,2,""))-FIND("[",REPLACE(G177,1,2,""))-1)</f>
        <v/>
      </c>
      <c r="F177" s="347">
        <f>IFERROR(MID(G177,3,FIND("(",G177)-3)&amp;"-"&amp;SUBSTITUTE(MID(G177,FIND("[",G177)+1,FIND("]",G177)-FIND("[",G177)-1),"Strong Guard ",""),"")</f>
        <v/>
      </c>
      <c r="G177" s="366" t="inlineStr">
        <is>
          <t>ID295/80R22.5-18PR(152/149L)[AZ183]金冠无内</t>
        </is>
      </c>
      <c r="H177" s="344" t="n">
        <v>620</v>
      </c>
      <c r="I177" s="348" t="n"/>
      <c r="J177" s="349">
        <f>IFERROR(LEFT(F177,FIND("-",F177))&amp;MID(F177,FIND("PR",F177,FIND("-",F177))+3,LEN(F177)),F177)</f>
        <v/>
      </c>
      <c r="K177" s="352">
        <f>_xlfn.XLOOKUP(F177,投产规格!E:E,投产规格!D:D,"未投产")</f>
        <v/>
      </c>
      <c r="L177" s="352">
        <f>IFERROR(_xlfn.XLOOKUP(F177,硫化工艺!B:B,硫化工艺!C:C),"")</f>
        <v/>
      </c>
      <c r="M177" s="430">
        <f>IF(L177="","",L177/(L177+$L$1/60))</f>
        <v/>
      </c>
      <c r="N177" s="352">
        <f>C177&amp;"全钢"</f>
        <v/>
      </c>
      <c r="O177" s="352">
        <f>IFERROR(_xlfn.XLOOKUP(F177,轮胎重量!J:J,轮胎重量!G:G),"")</f>
        <v/>
      </c>
      <c r="P177" s="352">
        <f>IFERROR(_xlfn.XLOOKUP(G177,硫化工艺!I:I,硫化工艺!J:J),"")</f>
        <v/>
      </c>
      <c r="Q177" s="352">
        <f>IFERROR(ROUND(1440/L177*(I177)*M177,0),"")</f>
        <v/>
      </c>
      <c r="R177" s="352" t="n"/>
      <c r="S177" s="352" t="n"/>
      <c r="T177" s="352" t="n"/>
      <c r="U177" s="352" t="n"/>
      <c r="V177" s="352" t="n"/>
      <c r="W177" s="352" t="n"/>
      <c r="X177" s="352" t="n"/>
      <c r="Y177" s="352" t="n">
        <v>60</v>
      </c>
      <c r="Z177" s="352" t="n">
        <v>60</v>
      </c>
      <c r="AA177" s="352" t="n">
        <v>60</v>
      </c>
      <c r="AB177" s="352" t="n">
        <v>60</v>
      </c>
      <c r="AC177" s="352" t="n">
        <v>60</v>
      </c>
      <c r="AD177" s="352" t="n">
        <v>60</v>
      </c>
      <c r="AE177" s="352" t="n">
        <v>60</v>
      </c>
      <c r="AF177" s="352" t="n">
        <v>60</v>
      </c>
      <c r="AG177" s="352" t="n">
        <v>60</v>
      </c>
      <c r="AH177" s="352" t="n">
        <v>60</v>
      </c>
      <c r="AI177" s="352" t="n">
        <v>60</v>
      </c>
      <c r="AJ177" s="352" t="n">
        <v>60</v>
      </c>
      <c r="AK177" s="352" t="n">
        <v>60</v>
      </c>
      <c r="AL177" s="352" t="n">
        <v>60</v>
      </c>
      <c r="AM177" s="352" t="n">
        <v>60</v>
      </c>
      <c r="AN177" s="352" t="n">
        <v>60</v>
      </c>
      <c r="AO177" s="352" t="n">
        <v>60</v>
      </c>
      <c r="AP177" s="352" t="n">
        <v>60</v>
      </c>
      <c r="AQ177" s="352" t="n">
        <v>60</v>
      </c>
      <c r="AR177" s="352" t="n">
        <v>60</v>
      </c>
      <c r="AS177" s="352" t="n">
        <v>60</v>
      </c>
      <c r="AT177" s="352" t="n">
        <v>60</v>
      </c>
      <c r="AU177" s="352" t="n">
        <v>60</v>
      </c>
      <c r="AV177" s="352" t="n">
        <v>60</v>
      </c>
      <c r="AW177" s="352">
        <f>IF(SUM(R177:AV177)=0,"",SUM(R177:AV177))</f>
        <v/>
      </c>
      <c r="AX177" s="431">
        <f>IFERROR(AW177*O177/1000,"")</f>
        <v/>
      </c>
      <c r="AY177" s="431">
        <f>IFERROR(ROUND(AW177*P177/10000,3),"")</f>
        <v/>
      </c>
      <c r="AZ177" s="354" t="n">
        <v>635.83</v>
      </c>
      <c r="BA177" s="355" t="n">
        <v>37.86</v>
      </c>
      <c r="BB177" s="355" t="n">
        <v>59.49</v>
      </c>
      <c r="BC177" s="355" t="n">
        <v>64.23</v>
      </c>
      <c r="BD177" s="331" t="n"/>
      <c r="BE177" s="331">
        <f>AZ177*AW177</f>
        <v/>
      </c>
      <c r="BF177" s="331">
        <f>BA177*AW177</f>
        <v/>
      </c>
      <c r="BG177" s="331">
        <f>BB177*AW177</f>
        <v/>
      </c>
      <c r="BH177" s="331">
        <f>BC177*AW177</f>
        <v/>
      </c>
      <c r="BI177" s="331" t="n"/>
      <c r="BJ177" s="356">
        <f t="array" ref="BJ177:BM177">_xlfn.LET(_xlpm.data,$R177:$AV177,_xlpm.starts,{1,8,16,23},_xlpm.lengths,{7,7,8,9},_xlpm.arr,_xlfn.MAP(_xlpm.starts,_xlpm.lengths,_xlfn.LAMBDA(_xlpm.s,_xlpm.l,SUM(INDEX(_xlpm.data,,_xlfn.SEQUENCE(,_xlpm.l,_xlpm.s))))),ROUND(_xlpm.arr*$O177/1000,2))</f>
        <v/>
      </c>
      <c r="BK177" s="331" t="n">
        <v>22.26</v>
      </c>
      <c r="BL177" s="331" t="n">
        <v>25.44</v>
      </c>
      <c r="BM177" s="331" t="n">
        <v>28.63</v>
      </c>
      <c r="BN177" s="362">
        <f>SUM(BJ177:BM177)</f>
        <v/>
      </c>
      <c r="BO177" s="362" t="n">
        <v>9.720000000000001</v>
      </c>
      <c r="BP177" s="362" t="n">
        <v>0</v>
      </c>
      <c r="BQ177" s="362" t="n">
        <v>0</v>
      </c>
      <c r="BR177" s="362" t="n">
        <v>0</v>
      </c>
      <c r="BS177" s="115" t="n"/>
      <c r="BT177" s="362">
        <f t="array" ref="BT177:BW177">_xlfn.HSTACK(SUM(INDEX($R177:$AV177,1,1):INDEX($R177:$AV177,1,7)),SUM(INDEX($R177:$AV177,1,7):INDEX($R177:$AV177,1,13)),SUM(INDEX($R177:$AV177,1,16):INDEX($R177:$AV177,1,23)),SUM(INDEX($R177:$AV177,1,23):INDEX($R177:$AV177,1,31)))</f>
        <v/>
      </c>
      <c r="BU177" s="362" t="n">
        <v>360</v>
      </c>
      <c r="BV177" s="362" t="n">
        <v>480</v>
      </c>
      <c r="BW177" s="362" t="n">
        <v>540</v>
      </c>
      <c r="BY177" s="362">
        <f>SUM(R177:X177)</f>
        <v/>
      </c>
      <c r="BZ177" s="362">
        <f>SUM(Y177:AE177)</f>
        <v/>
      </c>
      <c r="CA177" s="362">
        <f>SUM(AF177:AM177)</f>
        <v/>
      </c>
      <c r="CB177" s="362">
        <f>SUM(AN177:AV177)</f>
        <v/>
      </c>
      <c r="CD177" s="432" t="inlineStr">
        <is>
          <t>ADA</t>
        </is>
      </c>
      <c r="CE177" s="362">
        <f>ROUND(BY177*$O177/1000,2)</f>
        <v/>
      </c>
      <c r="CF177" s="362">
        <f>ROUND(BZ177*$O177/1000,2)</f>
        <v/>
      </c>
      <c r="CG177" s="362">
        <f>ROUND(CA177*$O177/1000,2)</f>
        <v/>
      </c>
      <c r="CH177" s="362">
        <f>ROUND(CB177*$O177/1000,2)</f>
        <v/>
      </c>
      <c r="CI177" s="362">
        <f>SUM(CE177:CH177)</f>
        <v/>
      </c>
      <c r="CJ177" s="390" t="n"/>
      <c r="CK177" s="362">
        <f>IFERROR(ROUND(BY177*$P177,2),"")</f>
        <v/>
      </c>
      <c r="CL177" s="362">
        <f>IFERROR(ROUND(BZ177*$P177,2),"")</f>
        <v/>
      </c>
      <c r="CM177" s="362">
        <f>IFERROR(ROUND(CA177*$P177,2),"")</f>
        <v/>
      </c>
      <c r="CN177" s="362">
        <f>IFERROR(ROUND(CB177*$P177,2),"")</f>
        <v/>
      </c>
      <c r="CO177" s="362">
        <f>SUM(CK177:CN177)</f>
        <v/>
      </c>
    </row>
    <row r="178" hidden="1" ht="15.6" customFormat="1" customHeight="1" s="362">
      <c r="A178" s="433" t="n"/>
      <c r="B178" s="434">
        <f>_xlfn.XLOOKUP(G178,销售需求表!A:A,销售需求表!C:C)</f>
        <v/>
      </c>
      <c r="C178" s="435">
        <f>IFERROR(MID(F178,FIND("R",F178)+1,4),"")</f>
        <v/>
      </c>
      <c r="D178" s="434">
        <f>B178&amp;C178&amp;"寸"</f>
        <v/>
      </c>
      <c r="E178" s="436">
        <f>LEFT(REPLACE(G178,1,2,""),FIND("[",REPLACE(G178,1,2,""))-1)&amp;"-"&amp;MID(REPLACE(G178,1,2,""),FIND("[",REPLACE(G178,1,2,""))+1,FIND("]",REPLACE(G178,1,2,""))-FIND("[",REPLACE(G178,1,2,""))-1)</f>
        <v/>
      </c>
      <c r="F178" s="437">
        <f>IFERROR(MID(G178,3,FIND("(",G178)-3)&amp;"-"&amp;SUBSTITUTE(MID(G178,FIND("[",G178)+1,FIND("]",G178)-FIND("[",G178)-1),"Strong Guard ",""),"")</f>
        <v/>
      </c>
      <c r="G178" s="436" t="inlineStr">
        <is>
          <t>ID295/80R22.5-18PR(152/149L)[AZ183]欧耐特无内</t>
        </is>
      </c>
      <c r="H178" s="434" t="n">
        <v>250</v>
      </c>
      <c r="I178" s="434" t="n"/>
      <c r="J178" s="435">
        <f>IFERROR(LEFT(F178,FIND("-",F178))&amp;MID(F178,FIND("PR",F178,FIND("-",F178))+3,LEN(F178)),F178)</f>
        <v/>
      </c>
      <c r="K178" s="434">
        <f>_xlfn.XLOOKUP(F178,投产规格!E:E,投产规格!D:D,"未投产")</f>
        <v/>
      </c>
      <c r="L178" s="434">
        <f>IFERROR(_xlfn.XLOOKUP(F178,硫化工艺!B:B,硫化工艺!C:C),"")</f>
        <v/>
      </c>
      <c r="M178" s="438">
        <f>IF(L178="","",L178/(L178+$L$1/60))</f>
        <v/>
      </c>
      <c r="N178" s="434">
        <f>C178&amp;"全钢"</f>
        <v/>
      </c>
      <c r="O178" s="434">
        <f>IFERROR(_xlfn.XLOOKUP(F178,轮胎重量!J:J,轮胎重量!G:G),"")</f>
        <v/>
      </c>
      <c r="P178" s="439">
        <f>O178*13.9</f>
        <v/>
      </c>
      <c r="Q178" s="434">
        <f>IFERROR(ROUND(1440/L178*(I178)*M178,0),"")</f>
        <v/>
      </c>
      <c r="R178" s="352" t="n"/>
      <c r="S178" s="352" t="n"/>
      <c r="T178" s="352" t="n"/>
      <c r="U178" s="352" t="n"/>
      <c r="V178" s="352" t="n"/>
      <c r="W178" s="352" t="n"/>
      <c r="X178" s="352" t="n"/>
      <c r="Y178" s="352" t="n"/>
      <c r="Z178" s="352" t="n"/>
      <c r="AA178" s="352" t="n"/>
      <c r="AB178" s="352" t="n"/>
      <c r="AC178" s="352" t="n"/>
      <c r="AD178" s="352" t="n"/>
      <c r="AE178" s="352" t="n"/>
      <c r="AF178" s="352" t="n"/>
      <c r="AG178" s="352" t="n"/>
      <c r="AH178" s="352" t="n"/>
      <c r="AI178" s="352" t="n"/>
      <c r="AJ178" s="352" t="n"/>
      <c r="AK178" s="352" t="n"/>
      <c r="AL178" s="352" t="n"/>
      <c r="AM178" s="352" t="n"/>
      <c r="AN178" s="352" t="n"/>
      <c r="AO178" s="352" t="n"/>
      <c r="AP178" s="352" t="n"/>
      <c r="AQ178" s="352" t="n"/>
      <c r="AR178" s="352" t="n"/>
      <c r="AS178" s="352" t="n"/>
      <c r="AT178" s="352" t="n"/>
      <c r="AU178" s="352" t="n"/>
      <c r="AV178" s="352" t="n"/>
      <c r="AW178" s="352">
        <f>IF(SUM(R178:AV178)=0,"",SUM(R178:AV178))</f>
        <v/>
      </c>
      <c r="AX178" s="431">
        <f>IFERROR(AW178*O178/1000,"")</f>
        <v/>
      </c>
      <c r="AY178" s="431">
        <f>IFERROR(ROUND(AW178*P178/10000,3),"")</f>
        <v/>
      </c>
      <c r="AZ178" s="354" t="n">
        <v>635.83</v>
      </c>
      <c r="BA178" s="355" t="n">
        <v>37.86</v>
      </c>
      <c r="BB178" s="355" t="n">
        <v>59.49</v>
      </c>
      <c r="BC178" s="355" t="n">
        <v>64.23</v>
      </c>
      <c r="BD178" s="331" t="n"/>
      <c r="BE178" s="331">
        <f>AZ178*AW178</f>
        <v/>
      </c>
      <c r="BF178" s="331">
        <f>BA178*AW178</f>
        <v/>
      </c>
      <c r="BG178" s="331">
        <f>BB178*AW178</f>
        <v/>
      </c>
      <c r="BH178" s="331">
        <f>BC178*AW178</f>
        <v/>
      </c>
      <c r="BI178" s="331" t="n"/>
      <c r="BJ178" s="356">
        <f t="array" ref="BJ178:BM178">_xlfn.LET(_xlpm.data,$R178:$AV178,_xlpm.starts,{1,8,16,23},_xlpm.lengths,{7,7,8,9},_xlpm.arr,_xlfn.MAP(_xlpm.starts,_xlpm.lengths,_xlfn.LAMBDA(_xlpm.s,_xlpm.l,SUM(INDEX(_xlpm.data,,_xlfn.SEQUENCE(,_xlpm.l,_xlpm.s))))),ROUND(_xlpm.arr*$O178/1000,2))</f>
        <v/>
      </c>
      <c r="BK178" s="331" t="n">
        <v>0</v>
      </c>
      <c r="BL178" s="331" t="n">
        <v>0</v>
      </c>
      <c r="BM178" s="331" t="n">
        <v>0</v>
      </c>
      <c r="BN178" s="362">
        <f>SUM(BJ178:BM178)</f>
        <v/>
      </c>
      <c r="BO178" s="362" t="n">
        <v>0</v>
      </c>
      <c r="BP178" s="362" t="n">
        <v>0</v>
      </c>
      <c r="BQ178" s="362" t="n">
        <v>0</v>
      </c>
      <c r="BR178" s="362" t="n">
        <v>1.1</v>
      </c>
      <c r="BS178" s="115" t="n"/>
      <c r="BT178" s="362">
        <f t="array" ref="BT178:BW178">_xlfn.HSTACK(SUM(INDEX($R178:$AV178,1,1):INDEX($R178:$AV178,1,7)),SUM(INDEX($R178:$AV178,1,7):INDEX($R178:$AV178,1,13)),SUM(INDEX($R178:$AV178,1,16):INDEX($R178:$AV178,1,23)),SUM(INDEX($R178:$AV178,1,23):INDEX($R178:$AV178,1,31)))</f>
        <v/>
      </c>
      <c r="BU178" s="362" t="n">
        <v>0</v>
      </c>
      <c r="BV178" s="362" t="n">
        <v>0</v>
      </c>
      <c r="BW178" s="362" t="n">
        <v>0</v>
      </c>
      <c r="BY178" s="362">
        <f>SUM(R178:X178)</f>
        <v/>
      </c>
      <c r="BZ178" s="362">
        <f>SUM(Y178:AE178)</f>
        <v/>
      </c>
      <c r="CA178" s="362">
        <f>SUM(AF178:AM178)</f>
        <v/>
      </c>
      <c r="CB178" s="362">
        <f>SUM(AN178:AV178)</f>
        <v/>
      </c>
      <c r="CD178" s="440" t="inlineStr">
        <is>
          <t>TIDAK ADA</t>
        </is>
      </c>
      <c r="CE178" s="362">
        <f>ROUND(BY178*$O178/1000,2)</f>
        <v/>
      </c>
      <c r="CF178" s="362">
        <f>ROUND(BZ178*$O178/1000,2)</f>
        <v/>
      </c>
      <c r="CG178" s="362">
        <f>ROUND(CA178*$O178/1000,2)</f>
        <v/>
      </c>
      <c r="CH178" s="362">
        <f>ROUND(CB178*$O178/1000,2)</f>
        <v/>
      </c>
      <c r="CI178" s="362">
        <f>SUM(CE178:CH178)</f>
        <v/>
      </c>
      <c r="CJ178" s="390" t="n"/>
      <c r="CK178" s="362">
        <f>IFERROR(ROUND(BY178*$P178,2),"")</f>
        <v/>
      </c>
      <c r="CL178" s="362">
        <f>IFERROR(ROUND(BZ178*$P178,2),"")</f>
        <v/>
      </c>
      <c r="CM178" s="362">
        <f>IFERROR(ROUND(CA178*$P178,2),"")</f>
        <v/>
      </c>
      <c r="CN178" s="362">
        <f>IFERROR(ROUND(CB178*$P178,2),"")</f>
        <v/>
      </c>
      <c r="CO178" s="362">
        <f>SUM(CK178:CN178)</f>
        <v/>
      </c>
    </row>
    <row r="179" ht="15.6" customHeight="1" s="428">
      <c r="B179" s="344">
        <f>_xlfn.XLOOKUP(G179,销售需求表!A:A,销售需求表!C:C)</f>
        <v/>
      </c>
      <c r="C179" s="345">
        <f>IFERROR(MID(F179,FIND("R",F179)+1,4),"")</f>
        <v/>
      </c>
      <c r="D179" s="365">
        <f>B179&amp;C179&amp;"寸"</f>
        <v/>
      </c>
      <c r="E179" s="346">
        <f>LEFT(REPLACE(G179,1,2,""),FIND("[",REPLACE(G179,1,2,""))-1)&amp;"-"&amp;MID(REPLACE(G179,1,2,""),FIND("[",REPLACE(G179,1,2,""))+1,FIND("]",REPLACE(G179,1,2,""))-FIND("[",REPLACE(G179,1,2,""))-1)</f>
        <v/>
      </c>
      <c r="F179" s="347">
        <f>IFERROR(MID(G179,3,FIND("(",G179)-3)&amp;"-"&amp;SUBSTITUTE(MID(G179,FIND("[",G179)+1,FIND("]",G179)-FIND("[",G179)-1),"Strong Guard ",""),"")</f>
        <v/>
      </c>
      <c r="G179" s="366" t="inlineStr">
        <is>
          <t>ID295/80R22.5-18PR(152/149L)[BMA07 ECO]BRANSALES无内</t>
        </is>
      </c>
      <c r="H179" s="344" t="n">
        <v>1200</v>
      </c>
      <c r="I179" s="364" t="n"/>
      <c r="J179" s="349">
        <f>IFERROR(LEFT(F179,FIND("-",F179))&amp;MID(F179,FIND("PR",F179,FIND("-",F179))+3,LEN(F179)),F179)</f>
        <v/>
      </c>
      <c r="K179" s="352">
        <f>_xlfn.XLOOKUP(F179,投产规格!E:E,投产规格!D:D,"未投产")</f>
        <v/>
      </c>
      <c r="L179" s="352">
        <f>IFERROR(_xlfn.XLOOKUP(F179,硫化工艺!B:B,硫化工艺!C:C),"")</f>
        <v/>
      </c>
      <c r="M179" s="430">
        <f>IF(L179="","",L179/(L179+$L$1/60))</f>
        <v/>
      </c>
      <c r="N179" s="352">
        <f>C179&amp;"全钢"</f>
        <v/>
      </c>
      <c r="O179" s="352">
        <f>IFERROR(_xlfn.XLOOKUP(F179,轮胎重量!J:J,轮胎重量!G:G),"")</f>
        <v/>
      </c>
      <c r="P179" s="352">
        <f>IFERROR(_xlfn.XLOOKUP(G179,硫化工艺!I:I,硫化工艺!J:J),"")</f>
        <v/>
      </c>
      <c r="Q179" s="352">
        <f>IFERROR(ROUND(1440/L179*(I179)*M179,0),"")</f>
        <v/>
      </c>
      <c r="R179" s="352" t="n"/>
      <c r="S179" s="352" t="n"/>
      <c r="T179" s="352" t="n"/>
      <c r="U179" s="352" t="n"/>
      <c r="V179" s="352" t="n"/>
      <c r="W179" s="352" t="n"/>
      <c r="X179" s="352" t="n"/>
      <c r="Y179" s="352" t="n"/>
      <c r="Z179" s="352" t="n"/>
      <c r="AA179" s="352" t="n"/>
      <c r="AB179" s="352" t="n">
        <v>60</v>
      </c>
      <c r="AC179" s="352" t="n">
        <v>60</v>
      </c>
      <c r="AD179" s="352" t="n">
        <v>60</v>
      </c>
      <c r="AE179" s="352" t="n">
        <v>60</v>
      </c>
      <c r="AF179" s="352" t="n">
        <v>60</v>
      </c>
      <c r="AG179" s="352" t="n">
        <v>60</v>
      </c>
      <c r="AH179" s="352" t="n">
        <v>60</v>
      </c>
      <c r="AI179" s="352" t="n">
        <v>60</v>
      </c>
      <c r="AJ179" s="352" t="n">
        <v>60</v>
      </c>
      <c r="AK179" s="352" t="n">
        <v>60</v>
      </c>
      <c r="AL179" s="352" t="n">
        <v>60</v>
      </c>
      <c r="AM179" s="352" t="n">
        <v>60</v>
      </c>
      <c r="AN179" s="352" t="n">
        <v>60</v>
      </c>
      <c r="AO179" s="352" t="n">
        <v>60</v>
      </c>
      <c r="AP179" s="352" t="n">
        <v>60</v>
      </c>
      <c r="AQ179" s="352" t="n">
        <v>60</v>
      </c>
      <c r="AR179" s="352" t="n">
        <v>60</v>
      </c>
      <c r="AS179" s="352" t="n">
        <v>60</v>
      </c>
      <c r="AT179" s="352" t="n">
        <v>60</v>
      </c>
      <c r="AU179" s="352" t="n">
        <v>60</v>
      </c>
      <c r="AV179" s="352" t="n">
        <v>60</v>
      </c>
      <c r="AW179" s="352">
        <f>IF(SUM(R179:AV179)=0,"",SUM(R179:AV179))</f>
        <v/>
      </c>
      <c r="AX179" s="431">
        <f>IFERROR(AW179*O179/1000,"")</f>
        <v/>
      </c>
      <c r="AY179" s="431">
        <f>IFERROR(ROUND(AW179*P179/10000,3),"")</f>
        <v/>
      </c>
      <c r="AZ179" s="359" t="n"/>
      <c r="BE179" s="331">
        <f>AZ179*AW179</f>
        <v/>
      </c>
      <c r="BF179" s="331">
        <f>BA179*AW179</f>
        <v/>
      </c>
      <c r="BG179" s="331">
        <f>BB179*AW179</f>
        <v/>
      </c>
      <c r="BH179" s="331">
        <f>BC179*AW179</f>
        <v/>
      </c>
      <c r="BJ179" s="356">
        <f t="array" ref="BJ179:BM179">_xlfn.LET(_xlpm.data,$R179:$AV179,_xlpm.starts,{1,8,16,23},_xlpm.lengths,{7,7,8,9},_xlpm.arr,_xlfn.MAP(_xlpm.starts,_xlpm.lengths,_xlfn.LAMBDA(_xlpm.s,_xlpm.l,SUM(INDEX(_xlpm.data,,_xlfn.SEQUENCE(,_xlpm.l,_xlpm.s))))),ROUND(_xlpm.arr*$O179/1000,2))</f>
        <v/>
      </c>
      <c r="BK179" s="331" t="n">
        <v>13.27</v>
      </c>
      <c r="BL179" s="331" t="n">
        <v>26.54</v>
      </c>
      <c r="BM179" s="331" t="n">
        <v>29.86</v>
      </c>
      <c r="BN179" s="362">
        <f>SUM(BJ179:BM179)</f>
        <v/>
      </c>
      <c r="BO179" s="362" t="n">
        <v>0</v>
      </c>
      <c r="BP179" s="362" t="n">
        <v>6.57</v>
      </c>
      <c r="BQ179" s="362" t="n">
        <v>13.14</v>
      </c>
      <c r="BR179" s="362" t="n">
        <v>0</v>
      </c>
      <c r="BT179" s="362">
        <f t="array" ref="BT179:BW179">_xlfn.HSTACK(SUM(INDEX($R179:$AV179,1,1):INDEX($R179:$AV179,1,7)),SUM(INDEX($R179:$AV179,1,7):INDEX($R179:$AV179,1,13)),SUM(INDEX($R179:$AV179,1,16):INDEX($R179:$AV179,1,23)),SUM(INDEX($R179:$AV179,1,23):INDEX($R179:$AV179,1,31)))</f>
        <v/>
      </c>
      <c r="BU179" s="362" t="n">
        <v>180</v>
      </c>
      <c r="BV179" s="362" t="n">
        <v>480</v>
      </c>
      <c r="BW179" s="362" t="n">
        <v>540</v>
      </c>
      <c r="BY179" s="362">
        <f>SUM(R179:X179)</f>
        <v/>
      </c>
      <c r="BZ179" s="362">
        <f>SUM(Y179:AE179)</f>
        <v/>
      </c>
      <c r="CA179" s="362">
        <f>SUM(AF179:AM179)</f>
        <v/>
      </c>
      <c r="CB179" s="362">
        <f>SUM(AN179:AV179)</f>
        <v/>
      </c>
      <c r="CD179" s="432" t="inlineStr">
        <is>
          <t>ADA</t>
        </is>
      </c>
      <c r="CE179" s="362">
        <f>ROUND(BY179*$O179/1000,2)</f>
        <v/>
      </c>
      <c r="CF179" s="362">
        <f>ROUND(BZ179*$O179/1000,2)</f>
        <v/>
      </c>
      <c r="CG179" s="362">
        <f>ROUND(CA179*$O179/1000,2)</f>
        <v/>
      </c>
      <c r="CH179" s="362">
        <f>ROUND(CB179*$O179/1000,2)</f>
        <v/>
      </c>
      <c r="CI179" s="362">
        <f>SUM(CE179:CH179)</f>
        <v/>
      </c>
      <c r="CK179" s="362">
        <f>IFERROR(ROUND(BY179*$P179,2),"")</f>
        <v/>
      </c>
      <c r="CL179" s="362">
        <f>IFERROR(ROUND(BZ179*$P179,2),"")</f>
        <v/>
      </c>
      <c r="CM179" s="362">
        <f>IFERROR(ROUND(CA179*$P179,2),"")</f>
        <v/>
      </c>
      <c r="CN179" s="362">
        <f>IFERROR(ROUND(CB179*$P179,2),"")</f>
        <v/>
      </c>
      <c r="CO179" s="362">
        <f>SUM(CK179:CN179)</f>
        <v/>
      </c>
    </row>
    <row r="180" ht="15.6" customFormat="1" customHeight="1" s="362">
      <c r="A180" s="331" t="n"/>
      <c r="B180" s="344">
        <f>_xlfn.XLOOKUP(G180,销售需求表!A:A,销售需求表!C:C)</f>
        <v/>
      </c>
      <c r="C180" s="345">
        <f>IFERROR(MID(F180,FIND("R",F180)+1,4),"")</f>
        <v/>
      </c>
      <c r="D180" s="365">
        <f>B180&amp;C180&amp;"寸"</f>
        <v/>
      </c>
      <c r="E180" s="346">
        <f>LEFT(REPLACE(G180,1,2,""),FIND("[",REPLACE(G180,1,2,""))-1)&amp;"-"&amp;MID(REPLACE(G180,1,2,""),FIND("[",REPLACE(G180,1,2,""))+1,FIND("]",REPLACE(G180,1,2,""))-FIND("[",REPLACE(G180,1,2,""))-1)</f>
        <v/>
      </c>
      <c r="F180" s="347">
        <f>IFERROR(MID(G180,3,FIND("(",G180)-3)&amp;"-"&amp;SUBSTITUTE(MID(G180,FIND("[",G180)+1,FIND("]",G180)-FIND("[",G180)-1),"Strong Guard ",""),"")</f>
        <v/>
      </c>
      <c r="G180" s="366" t="inlineStr">
        <is>
          <t>ID295/80R22.5-18PR(152/149L)[EZ573]威狮无内</t>
        </is>
      </c>
      <c r="H180" s="344" t="n">
        <v>1700</v>
      </c>
      <c r="I180" s="364" t="n"/>
      <c r="J180" s="349">
        <f>IFERROR(LEFT(F180,FIND("-",F180))&amp;MID(F180,FIND("PR",F180,FIND("-",F180))+3,LEN(F180)),F180)</f>
        <v/>
      </c>
      <c r="K180" s="352">
        <f>_xlfn.XLOOKUP(F180,投产规格!E:E,投产规格!D:D,"未投产")</f>
        <v/>
      </c>
      <c r="L180" s="352">
        <f>IFERROR(_xlfn.XLOOKUP(F180,硫化工艺!B:B,硫化工艺!C:C),"")</f>
        <v/>
      </c>
      <c r="M180" s="430">
        <f>IF(L180="","",L180/(L180+$L$1/60))</f>
        <v/>
      </c>
      <c r="N180" s="352">
        <f>C180&amp;"全钢"</f>
        <v/>
      </c>
      <c r="O180" s="352">
        <f>IFERROR(_xlfn.XLOOKUP(F180,轮胎重量!J:J,轮胎重量!G:G),"")</f>
        <v/>
      </c>
      <c r="P180" s="352">
        <f>IFERROR(_xlfn.XLOOKUP(G180,硫化工艺!I:I,硫化工艺!J:J),"")</f>
        <v/>
      </c>
      <c r="Q180" s="352">
        <f>IFERROR(ROUND(1440/L180*(I180)*M180,0),"")</f>
        <v/>
      </c>
      <c r="R180" s="352" t="n"/>
      <c r="S180" s="352" t="n"/>
      <c r="T180" s="352" t="n"/>
      <c r="U180" s="352" t="n"/>
      <c r="V180" s="352" t="n"/>
      <c r="W180" s="352" t="n"/>
      <c r="X180" s="352" t="n"/>
      <c r="Y180" s="352" t="n"/>
      <c r="Z180" s="352" t="n"/>
      <c r="AA180" s="352" t="n"/>
      <c r="AB180" s="352" t="n">
        <v>60</v>
      </c>
      <c r="AC180" s="352" t="n">
        <v>60</v>
      </c>
      <c r="AD180" s="352" t="n">
        <v>60</v>
      </c>
      <c r="AE180" s="352" t="n">
        <v>60</v>
      </c>
      <c r="AF180" s="352" t="n">
        <v>60</v>
      </c>
      <c r="AG180" s="352" t="n">
        <v>60</v>
      </c>
      <c r="AH180" s="352" t="n">
        <v>60</v>
      </c>
      <c r="AI180" s="352" t="n">
        <v>60</v>
      </c>
      <c r="AJ180" s="352" t="n">
        <v>60</v>
      </c>
      <c r="AK180" s="352" t="n">
        <v>60</v>
      </c>
      <c r="AL180" s="352" t="n">
        <v>60</v>
      </c>
      <c r="AM180" s="352" t="n">
        <v>60</v>
      </c>
      <c r="AN180" s="352" t="n">
        <v>60</v>
      </c>
      <c r="AO180" s="352" t="n">
        <v>60</v>
      </c>
      <c r="AP180" s="352" t="n"/>
      <c r="AQ180" s="352" t="n"/>
      <c r="AR180" s="352" t="n"/>
      <c r="AS180" s="352" t="n"/>
      <c r="AT180" s="352" t="n"/>
      <c r="AU180" s="352" t="n"/>
      <c r="AV180" s="352" t="n"/>
      <c r="AW180" s="352">
        <f>IF(SUM(R180:AV180)=0,"",SUM(R180:AV180))</f>
        <v/>
      </c>
      <c r="AX180" s="431">
        <f>IFERROR(AW180*O180/1000,"")</f>
        <v/>
      </c>
      <c r="AY180" s="431">
        <f>IFERROR(ROUND(AW180*P180/10000,3),"")</f>
        <v/>
      </c>
      <c r="AZ180" s="359" t="n"/>
      <c r="BC180" s="331" t="n"/>
      <c r="BD180" s="331" t="n"/>
      <c r="BE180" s="331">
        <f>AZ180*AW180</f>
        <v/>
      </c>
      <c r="BF180" s="331">
        <f>BA180*AW180</f>
        <v/>
      </c>
      <c r="BG180" s="331">
        <f>BB180*AW180</f>
        <v/>
      </c>
      <c r="BH180" s="331">
        <f>BC180*AW180</f>
        <v/>
      </c>
      <c r="BI180" s="331" t="n"/>
      <c r="BJ180" s="356">
        <f t="array" ref="BJ180:BM180">_xlfn.LET(_xlpm.data,$R180:$AV180,_xlpm.starts,{1,8,16,23},_xlpm.lengths,{7,7,8,9},_xlpm.arr,_xlfn.MAP(_xlpm.starts,_xlpm.lengths,_xlfn.LAMBDA(_xlpm.s,_xlpm.l,SUM(INDEX(_xlpm.data,,_xlfn.SEQUENCE(,_xlpm.l,_xlpm.s))))),ROUND(_xlpm.arr*$O180/1000,2))</f>
        <v/>
      </c>
      <c r="BK180" s="331" t="n">
        <v>13.31</v>
      </c>
      <c r="BL180" s="331" t="n">
        <v>26.61</v>
      </c>
      <c r="BM180" s="331" t="n">
        <v>6.65</v>
      </c>
      <c r="BN180" s="362">
        <f>SUM(BJ180:BM180)</f>
        <v/>
      </c>
      <c r="BO180" s="362" t="n">
        <v>0</v>
      </c>
      <c r="BP180" s="362" t="n">
        <v>6.57</v>
      </c>
      <c r="BQ180" s="362" t="n">
        <v>13.14</v>
      </c>
      <c r="BR180" s="362" t="n">
        <v>0</v>
      </c>
      <c r="BS180" s="115" t="n"/>
      <c r="BT180" s="362">
        <f t="array" ref="BT180:BW180">_xlfn.HSTACK(SUM(INDEX($R180:$AV180,1,1):INDEX($R180:$AV180,1,7)),SUM(INDEX($R180:$AV180,1,7):INDEX($R180:$AV180,1,13)),SUM(INDEX($R180:$AV180,1,16):INDEX($R180:$AV180,1,23)),SUM(INDEX($R180:$AV180,1,23):INDEX($R180:$AV180,1,31)))</f>
        <v/>
      </c>
      <c r="BU180" s="362" t="n">
        <v>180</v>
      </c>
      <c r="BV180" s="362" t="n">
        <v>480</v>
      </c>
      <c r="BW180" s="362" t="n">
        <v>120</v>
      </c>
      <c r="BY180" s="362">
        <f>SUM(R180:X180)</f>
        <v/>
      </c>
      <c r="BZ180" s="362">
        <f>SUM(Y180:AE180)</f>
        <v/>
      </c>
      <c r="CA180" s="362">
        <f>SUM(AF180:AM180)</f>
        <v/>
      </c>
      <c r="CB180" s="362">
        <f>SUM(AN180:AV180)</f>
        <v/>
      </c>
      <c r="CD180" s="432" t="inlineStr">
        <is>
          <t>ADA</t>
        </is>
      </c>
      <c r="CE180" s="362">
        <f>ROUND(BY180*$O180/1000,2)</f>
        <v/>
      </c>
      <c r="CF180" s="362">
        <f>ROUND(BZ180*$O180/1000,2)</f>
        <v/>
      </c>
      <c r="CG180" s="362">
        <f>ROUND(CA180*$O180/1000,2)</f>
        <v/>
      </c>
      <c r="CH180" s="362">
        <f>ROUND(CB180*$O180/1000,2)</f>
        <v/>
      </c>
      <c r="CI180" s="362">
        <f>SUM(CE180:CH180)</f>
        <v/>
      </c>
      <c r="CJ180" s="390" t="n"/>
      <c r="CK180" s="362">
        <f>IFERROR(ROUND(BY180*$P180,2),"")</f>
        <v/>
      </c>
      <c r="CL180" s="362">
        <f>IFERROR(ROUND(BZ180*$P180,2),"")</f>
        <v/>
      </c>
      <c r="CM180" s="362">
        <f>IFERROR(ROUND(CA180*$P180,2),"")</f>
        <v/>
      </c>
      <c r="CN180" s="362">
        <f>IFERROR(ROUND(CB180*$P180,2),"")</f>
        <v/>
      </c>
      <c r="CO180" s="362">
        <f>SUM(CK180:CN180)</f>
        <v/>
      </c>
    </row>
    <row r="181" hidden="1" ht="15.6" customFormat="1" customHeight="1" s="362">
      <c r="A181" s="331" t="n"/>
      <c r="B181" s="344">
        <f>_xlfn.XLOOKUP(G181,销售需求表!A:A,销售需求表!C:C)</f>
        <v/>
      </c>
      <c r="C181" s="345">
        <f>IFERROR(MID(F181,FIND("R",F181)+1,4),"")</f>
        <v/>
      </c>
      <c r="D181" s="365">
        <f>B181&amp;C181&amp;"寸"</f>
        <v/>
      </c>
      <c r="E181" s="346">
        <f>LEFT(REPLACE(G181,1,2,""),FIND("[",REPLACE(G181,1,2,""))-1)&amp;"-"&amp;MID(REPLACE(G181,1,2,""),FIND("[",REPLACE(G181,1,2,""))+1,FIND("]",REPLACE(G181,1,2,""))-FIND("[",REPLACE(G181,1,2,""))-1)</f>
        <v/>
      </c>
      <c r="F181" s="347">
        <f>IFERROR(MID(G181,3,FIND("(",G181)-3)&amp;"-"&amp;SUBSTITUTE(MID(G181,FIND("[",G181)+1,FIND("]",G181)-FIND("[",G181)-1),"Strong Guard ",""),"")</f>
        <v/>
      </c>
      <c r="G181" s="366" t="inlineStr">
        <is>
          <t>ID295/80R22.5-18PR(152/149L)[G-PRO U]GRIPMASTER无内</t>
        </is>
      </c>
      <c r="H181" s="344" t="n">
        <v>350</v>
      </c>
      <c r="I181" s="348" t="n"/>
      <c r="J181" s="349">
        <f>IFERROR(LEFT(F181,FIND("-",F181))&amp;MID(F181,FIND("PR",F181,FIND("-",F181))+3,LEN(F181)),F181)</f>
        <v/>
      </c>
      <c r="K181" s="352">
        <f>_xlfn.XLOOKUP(F181,投产规格!E:E,投产规格!D:D,"未投产")</f>
        <v/>
      </c>
      <c r="L181" s="352">
        <f>IFERROR(_xlfn.XLOOKUP(F181,硫化工艺!B:B,硫化工艺!C:C),"")</f>
        <v/>
      </c>
      <c r="M181" s="430">
        <f>IF(L181="","",L181/(L181+$L$1/60))</f>
        <v/>
      </c>
      <c r="N181" s="352">
        <f>C181&amp;"全钢"</f>
        <v/>
      </c>
      <c r="O181" s="352">
        <f>IFERROR(_xlfn.XLOOKUP(F181,轮胎重量!J:J,轮胎重量!G:G),"")</f>
        <v/>
      </c>
      <c r="P181" s="352">
        <f>IFERROR(_xlfn.XLOOKUP(G181,硫化工艺!I:I,硫化工艺!J:J),"")</f>
        <v/>
      </c>
      <c r="Q181" s="352">
        <f>IFERROR(ROUND(1440/L181*(I181)*M181,0),"")</f>
        <v/>
      </c>
      <c r="R181" s="352" t="n"/>
      <c r="S181" s="352" t="n"/>
      <c r="T181" s="352" t="n"/>
      <c r="U181" s="352" t="n"/>
      <c r="V181" s="352" t="n"/>
      <c r="W181" s="352" t="n"/>
      <c r="X181" s="352" t="n"/>
      <c r="Y181" s="352" t="n"/>
      <c r="Z181" s="352" t="n"/>
      <c r="AA181" s="352" t="n"/>
      <c r="AB181" s="352" t="n"/>
      <c r="AC181" s="352" t="n"/>
      <c r="AD181" s="352" t="n"/>
      <c r="AE181" s="352" t="n"/>
      <c r="AF181" s="352" t="n"/>
      <c r="AG181" s="352" t="n"/>
      <c r="AH181" s="352" t="n"/>
      <c r="AI181" s="352" t="n"/>
      <c r="AJ181" s="352" t="n"/>
      <c r="AK181" s="352" t="n"/>
      <c r="AL181" s="352" t="n"/>
      <c r="AM181" s="352" t="n"/>
      <c r="AN181" s="352" t="n"/>
      <c r="AO181" s="352" t="n"/>
      <c r="AP181" s="352" t="n"/>
      <c r="AQ181" s="352" t="n"/>
      <c r="AR181" s="352" t="n"/>
      <c r="AS181" s="352" t="n"/>
      <c r="AT181" s="352" t="n"/>
      <c r="AU181" s="352" t="n"/>
      <c r="AV181" s="352" t="n"/>
      <c r="AW181" s="352">
        <f>IF(SUM(R181:AV181)=0,"",SUM(R181:AV181))</f>
        <v/>
      </c>
      <c r="AX181" s="431">
        <f>IFERROR(AW181*O181/1000,"")</f>
        <v/>
      </c>
      <c r="AY181" s="431">
        <f>IFERROR(ROUND(AW181*P181/10000,3),"")</f>
        <v/>
      </c>
      <c r="AZ181" s="359" t="n"/>
      <c r="BA181" s="362" t="n"/>
      <c r="BB181" s="362" t="n"/>
      <c r="BC181" s="331" t="n"/>
      <c r="BD181" s="331" t="n"/>
      <c r="BE181" s="331">
        <f>AZ181*AW181</f>
        <v/>
      </c>
      <c r="BF181" s="331">
        <f>BA181*AW181</f>
        <v/>
      </c>
      <c r="BG181" s="331">
        <f>BB181*AW181</f>
        <v/>
      </c>
      <c r="BH181" s="331">
        <f>BC181*AW181</f>
        <v/>
      </c>
      <c r="BI181" s="331" t="n"/>
      <c r="BJ181" s="356">
        <f t="array" ref="BJ181:BM181">_xlfn.LET(_xlpm.data,$R181:$AV181,_xlpm.starts,{1,8,16,23},_xlpm.lengths,{7,7,8,9},_xlpm.arr,_xlfn.MAP(_xlpm.starts,_xlpm.lengths,_xlfn.LAMBDA(_xlpm.s,_xlpm.l,SUM(INDEX(_xlpm.data,,_xlfn.SEQUENCE(,_xlpm.l,_xlpm.s))))),ROUND(_xlpm.arr*$O181/1000,2))</f>
        <v/>
      </c>
      <c r="BK181" s="331" t="n">
        <v>0</v>
      </c>
      <c r="BL181" s="331" t="n">
        <v>0</v>
      </c>
      <c r="BM181" s="331" t="n">
        <v>0</v>
      </c>
      <c r="BN181" s="362">
        <f>SUM(BJ181:BM181)</f>
        <v/>
      </c>
      <c r="BO181" s="362" t="n">
        <v>0</v>
      </c>
      <c r="BP181" s="362" t="n">
        <v>6.57</v>
      </c>
      <c r="BQ181" s="362" t="n">
        <v>13.14</v>
      </c>
      <c r="BR181" s="362" t="n">
        <v>0</v>
      </c>
      <c r="BS181" s="115" t="n"/>
      <c r="BT181" s="362">
        <f t="array" ref="BT181:BW181">_xlfn.HSTACK(SUM(INDEX($R181:$AV181,1,1):INDEX($R181:$AV181,1,7)),SUM(INDEX($R181:$AV181,1,7):INDEX($R181:$AV181,1,13)),SUM(INDEX($R181:$AV181,1,16):INDEX($R181:$AV181,1,23)),SUM(INDEX($R181:$AV181,1,23):INDEX($R181:$AV181,1,31)))</f>
        <v/>
      </c>
      <c r="BU181" s="362" t="n">
        <v>0</v>
      </c>
      <c r="BV181" s="362" t="n">
        <v>0</v>
      </c>
      <c r="BW181" s="362" t="n">
        <v>0</v>
      </c>
      <c r="BY181" s="362">
        <f>SUM(R181:X181)</f>
        <v/>
      </c>
      <c r="BZ181" s="362">
        <f>SUM(Y181:AE181)</f>
        <v/>
      </c>
      <c r="CA181" s="362">
        <f>SUM(AF181:AM181)</f>
        <v/>
      </c>
      <c r="CB181" s="362">
        <f>SUM(AN181:AV181)</f>
        <v/>
      </c>
      <c r="CD181" s="432" t="inlineStr">
        <is>
          <t>ADA</t>
        </is>
      </c>
      <c r="CE181" s="362">
        <f>ROUND(BY181*$O181/1000,2)</f>
        <v/>
      </c>
      <c r="CF181" s="362">
        <f>ROUND(BZ181*$O181/1000,2)</f>
        <v/>
      </c>
      <c r="CG181" s="362">
        <f>ROUND(CA181*$O181/1000,2)</f>
        <v/>
      </c>
      <c r="CH181" s="362">
        <f>ROUND(CB181*$O181/1000,2)</f>
        <v/>
      </c>
      <c r="CI181" s="362">
        <f>SUM(CE181:CH181)</f>
        <v/>
      </c>
      <c r="CJ181" s="390" t="n"/>
      <c r="CK181" s="362">
        <f>IFERROR(ROUND(BY181*$P181,2),"")</f>
        <v/>
      </c>
      <c r="CL181" s="362">
        <f>IFERROR(ROUND(BZ181*$P181,2),"")</f>
        <v/>
      </c>
      <c r="CM181" s="362">
        <f>IFERROR(ROUND(CA181*$P181,2),"")</f>
        <v/>
      </c>
      <c r="CN181" s="362">
        <f>IFERROR(ROUND(CB181*$P181,2),"")</f>
        <v/>
      </c>
      <c r="CO181" s="362">
        <f>SUM(CK181:CN181)</f>
        <v/>
      </c>
    </row>
    <row r="182" ht="15.6" customHeight="1" s="428">
      <c r="B182" s="344">
        <f>_xlfn.XLOOKUP(G182,销售需求表!A:A,销售需求表!C:C)</f>
        <v/>
      </c>
      <c r="C182" s="345">
        <f>IFERROR(MID(F182,FIND("R",F182)+1,4),"")</f>
        <v/>
      </c>
      <c r="D182" s="365">
        <f>B182&amp;C182&amp;"寸"</f>
        <v/>
      </c>
      <c r="E182" s="346">
        <f>LEFT(REPLACE(G182,1,2,""),FIND("[",REPLACE(G182,1,2,""))-1)&amp;"-"&amp;MID(REPLACE(G182,1,2,""),FIND("[",REPLACE(G182,1,2,""))+1,FIND("]",REPLACE(G182,1,2,""))-FIND("[",REPLACE(G182,1,2,""))-1)</f>
        <v/>
      </c>
      <c r="F182" s="347">
        <f>IFERROR(MID(G182,3,FIND("(",G182)-3)&amp;"-"&amp;SUBSTITUTE(MID(G182,FIND("[",G182)+1,FIND("]",G182)-FIND("[",G182)-1),"Strong Guard ",""),"")</f>
        <v/>
      </c>
      <c r="G182" s="366" t="inlineStr">
        <is>
          <t>ID295/80R22.5-18PR(152/149M)[AD156A]金冠无内</t>
        </is>
      </c>
      <c r="H182" s="344" t="n">
        <v>3000</v>
      </c>
      <c r="I182" s="348" t="n">
        <v>2</v>
      </c>
      <c r="J182" s="349">
        <f>IFERROR(LEFT(F182,FIND("-",F182))&amp;MID(F182,FIND("PR",F182,FIND("-",F182))+3,LEN(F182)),F182)</f>
        <v/>
      </c>
      <c r="K182" s="352">
        <f>_xlfn.XLOOKUP(F182,投产规格!E:E,投产规格!D:D,"未投产")</f>
        <v/>
      </c>
      <c r="L182" s="352">
        <f>IFERROR(_xlfn.XLOOKUP(F182,硫化工艺!B:B,硫化工艺!C:C),"")</f>
        <v/>
      </c>
      <c r="M182" s="430">
        <f>IF(L182="","",L182/(L182+$L$1/60))</f>
        <v/>
      </c>
      <c r="N182" s="352">
        <f>C182&amp;"全钢"</f>
        <v/>
      </c>
      <c r="O182" s="352">
        <f>IFERROR(_xlfn.XLOOKUP(F182,轮胎重量!J:J,轮胎重量!G:G),"")</f>
        <v/>
      </c>
      <c r="P182" s="352">
        <f>IFERROR(_xlfn.XLOOKUP(G182,硫化工艺!I:I,硫化工艺!J:J),"")</f>
        <v/>
      </c>
      <c r="Q182" s="352">
        <f>IFERROR(ROUND(1440/L182*(I182)*M182,0),"")</f>
        <v/>
      </c>
      <c r="R182" s="352" t="n">
        <v>60</v>
      </c>
      <c r="S182" s="352" t="n">
        <v>60</v>
      </c>
      <c r="T182" s="352" t="n">
        <v>60</v>
      </c>
      <c r="U182" s="352" t="n">
        <v>60</v>
      </c>
      <c r="V182" s="352" t="n">
        <v>60</v>
      </c>
      <c r="W182" s="352" t="n">
        <v>60</v>
      </c>
      <c r="X182" s="352" t="n">
        <v>60</v>
      </c>
      <c r="Y182" s="352" t="n">
        <v>120</v>
      </c>
      <c r="Z182" s="352" t="n">
        <v>120</v>
      </c>
      <c r="AA182" s="352" t="n">
        <v>120</v>
      </c>
      <c r="AB182" s="352" t="n">
        <v>120</v>
      </c>
      <c r="AC182" s="352" t="n">
        <v>120</v>
      </c>
      <c r="AD182" s="352" t="n">
        <v>120</v>
      </c>
      <c r="AE182" s="352" t="n">
        <v>120</v>
      </c>
      <c r="AF182" s="352" t="n">
        <v>120</v>
      </c>
      <c r="AG182" s="352" t="n">
        <v>120</v>
      </c>
      <c r="AH182" s="352" t="n">
        <v>120</v>
      </c>
      <c r="AI182" s="352" t="n">
        <v>120</v>
      </c>
      <c r="AJ182" s="352" t="n">
        <v>120</v>
      </c>
      <c r="AK182" s="352" t="n">
        <v>120</v>
      </c>
      <c r="AL182" s="352" t="n">
        <v>120</v>
      </c>
      <c r="AM182" s="352" t="n">
        <v>120</v>
      </c>
      <c r="AN182" s="352" t="n">
        <v>120</v>
      </c>
      <c r="AO182" s="352" t="n">
        <v>120</v>
      </c>
      <c r="AP182" s="352" t="n">
        <v>120</v>
      </c>
      <c r="AQ182" s="352" t="n">
        <v>180</v>
      </c>
      <c r="AR182" s="352" t="n">
        <v>180</v>
      </c>
      <c r="AS182" s="352" t="n">
        <v>180</v>
      </c>
      <c r="AT182" s="352" t="n">
        <v>180</v>
      </c>
      <c r="AU182" s="352" t="n">
        <v>180</v>
      </c>
      <c r="AV182" s="352" t="n">
        <v>180</v>
      </c>
      <c r="AW182" s="352">
        <f>IF(SUM(R182:AV182)=0,"",SUM(R182:AV182))</f>
        <v/>
      </c>
      <c r="AX182" s="431">
        <f>IFERROR(AW182*O182/1000,"")</f>
        <v/>
      </c>
      <c r="AY182" s="431">
        <f>IFERROR(ROUND(AW182*P182/10000,3),"")</f>
        <v/>
      </c>
      <c r="AZ182" s="354" t="n">
        <v>623.27</v>
      </c>
      <c r="BA182" s="355" t="n">
        <v>37.54</v>
      </c>
      <c r="BB182" s="355" t="n">
        <v>58.97</v>
      </c>
      <c r="BC182" s="355" t="n">
        <v>64.23</v>
      </c>
      <c r="BE182" s="331">
        <f>AZ182*AW182</f>
        <v/>
      </c>
      <c r="BF182" s="331">
        <f>BA182*AW182</f>
        <v/>
      </c>
      <c r="BG182" s="331">
        <f>BB182*AW182</f>
        <v/>
      </c>
      <c r="BH182" s="331">
        <f>BC182*AW182</f>
        <v/>
      </c>
      <c r="BJ182" s="356">
        <f t="array" ref="BJ182:BM182">_xlfn.LET(_xlpm.data,$R182:$AV182,_xlpm.starts,{1,8,16,23},_xlpm.lengths,{7,7,8,9},_xlpm.arr,_xlfn.MAP(_xlpm.starts,_xlpm.lengths,_xlfn.LAMBDA(_xlpm.s,_xlpm.l,SUM(INDEX(_xlpm.data,,_xlfn.SEQUENCE(,_xlpm.l,_xlpm.s))))),ROUND(_xlpm.arr*$O182/1000,2))</f>
        <v/>
      </c>
      <c r="BK182" s="331" t="n">
        <v>45.02</v>
      </c>
      <c r="BL182" s="331" t="n">
        <v>51.45</v>
      </c>
      <c r="BM182" s="331" t="n">
        <v>77.18000000000001</v>
      </c>
      <c r="BN182" s="362">
        <f>SUM(BJ182:BM182)</f>
        <v/>
      </c>
      <c r="BO182" s="362" t="n">
        <v>0</v>
      </c>
      <c r="BP182" s="362" t="n">
        <v>0</v>
      </c>
      <c r="BQ182" s="362" t="n">
        <v>0</v>
      </c>
      <c r="BR182" s="362" t="n">
        <v>0</v>
      </c>
      <c r="BT182" s="362">
        <f t="array" ref="BT182:BW182">_xlfn.HSTACK(SUM(INDEX($R182:$AV182,1,1):INDEX($R182:$AV182,1,7)),SUM(INDEX($R182:$AV182,1,7):INDEX($R182:$AV182,1,13)),SUM(INDEX($R182:$AV182,1,16):INDEX($R182:$AV182,1,23)),SUM(INDEX($R182:$AV182,1,23):INDEX($R182:$AV182,1,31)))</f>
        <v/>
      </c>
      <c r="BU182" s="362" t="n">
        <v>780</v>
      </c>
      <c r="BV182" s="362" t="n">
        <v>960</v>
      </c>
      <c r="BW182" s="362" t="n">
        <v>1440</v>
      </c>
      <c r="BY182" s="362">
        <f>SUM(R182:X182)</f>
        <v/>
      </c>
      <c r="BZ182" s="362">
        <f>SUM(Y182:AE182)</f>
        <v/>
      </c>
      <c r="CA182" s="362">
        <f>SUM(AF182:AM182)</f>
        <v/>
      </c>
      <c r="CB182" s="362">
        <f>SUM(AN182:AV182)</f>
        <v/>
      </c>
      <c r="CD182" s="432" t="inlineStr">
        <is>
          <t>ADA</t>
        </is>
      </c>
      <c r="CE182" s="362">
        <f>ROUND(BY182*$O182/1000,2)</f>
        <v/>
      </c>
      <c r="CF182" s="362">
        <f>ROUND(BZ182*$O182/1000,2)</f>
        <v/>
      </c>
      <c r="CG182" s="362">
        <f>ROUND(CA182*$O182/1000,2)</f>
        <v/>
      </c>
      <c r="CH182" s="362">
        <f>ROUND(CB182*$O182/1000,2)</f>
        <v/>
      </c>
      <c r="CI182" s="362">
        <f>SUM(CE182:CH182)</f>
        <v/>
      </c>
      <c r="CK182" s="362">
        <f>IFERROR(ROUND(BY182*$P182,2),"")</f>
        <v/>
      </c>
      <c r="CL182" s="362">
        <f>IFERROR(ROUND(BZ182*$P182,2),"")</f>
        <v/>
      </c>
      <c r="CM182" s="362">
        <f>IFERROR(ROUND(CA182*$P182,2),"")</f>
        <v/>
      </c>
      <c r="CN182" s="362">
        <f>IFERROR(ROUND(CB182*$P182,2),"")</f>
        <v/>
      </c>
      <c r="CO182" s="362">
        <f>SUM(CK182:CN182)</f>
        <v/>
      </c>
    </row>
    <row r="183" ht="15.6" customFormat="1" customHeight="1" s="362">
      <c r="A183" s="331" t="n"/>
      <c r="B183" s="344">
        <f>_xlfn.XLOOKUP(G183,销售需求表!A:A,销售需求表!C:C)</f>
        <v/>
      </c>
      <c r="C183" s="345">
        <f>IFERROR(MID(F183,FIND("R",F183)+1,4),"")</f>
        <v/>
      </c>
      <c r="D183" s="365">
        <f>B183&amp;C183&amp;"寸"</f>
        <v/>
      </c>
      <c r="E183" s="346">
        <f>LEFT(REPLACE(G183,1,2,""),FIND("[",REPLACE(G183,1,2,""))-1)&amp;"-"&amp;MID(REPLACE(G183,1,2,""),FIND("[",REPLACE(G183,1,2,""))+1,FIND("]",REPLACE(G183,1,2,""))-FIND("[",REPLACE(G183,1,2,""))-1)</f>
        <v/>
      </c>
      <c r="F183" s="347">
        <f>IFERROR(MID(G183,3,FIND("(",G183)-3)&amp;"-"&amp;SUBSTITUTE(MID(G183,FIND("[",G183)+1,FIND("]",G183)-FIND("[",G183)-1),"Strong Guard ",""),"")</f>
        <v/>
      </c>
      <c r="G183" s="366" t="inlineStr">
        <is>
          <t>ID295/80R22.5-18PR(152/149M)[AD528]威狮无内</t>
        </is>
      </c>
      <c r="H183" s="344" t="n">
        <v>750</v>
      </c>
      <c r="I183" s="348" t="n"/>
      <c r="J183" s="349">
        <f>IFERROR(LEFT(F183,FIND("-",F183))&amp;MID(F183,FIND("PR",F183,FIND("-",F183))+3,LEN(F183)),F183)</f>
        <v/>
      </c>
      <c r="K183" s="352">
        <f>_xlfn.XLOOKUP(F183,投产规格!E:E,投产规格!D:D,"未投产")</f>
        <v/>
      </c>
      <c r="L183" s="352">
        <f>IFERROR(_xlfn.XLOOKUP(F183,硫化工艺!B:B,硫化工艺!C:C),"")</f>
        <v/>
      </c>
      <c r="M183" s="430">
        <f>IF(L183="","",L183/(L183+$L$1/60))</f>
        <v/>
      </c>
      <c r="N183" s="352">
        <f>C183&amp;"全钢"</f>
        <v/>
      </c>
      <c r="O183" s="352">
        <f>IFERROR(_xlfn.XLOOKUP(F183,轮胎重量!J:J,轮胎重量!G:G),"")</f>
        <v/>
      </c>
      <c r="P183" s="352">
        <f>IFERROR(_xlfn.XLOOKUP(G183,硫化工艺!I:I,硫化工艺!J:J),"")</f>
        <v/>
      </c>
      <c r="Q183" s="352">
        <f>IFERROR(ROUND(1440/L183*(I183)*M183,0),"")</f>
        <v/>
      </c>
      <c r="R183" s="352" t="n"/>
      <c r="S183" s="352" t="n"/>
      <c r="T183" s="352" t="n"/>
      <c r="U183" s="352" t="n"/>
      <c r="V183" s="352" t="n"/>
      <c r="W183" s="352" t="n"/>
      <c r="X183" s="352" t="n"/>
      <c r="Y183" s="352" t="n"/>
      <c r="Z183" s="352" t="n"/>
      <c r="AA183" s="352" t="n"/>
      <c r="AB183" s="352" t="n"/>
      <c r="AC183" s="352" t="n"/>
      <c r="AD183" s="352" t="n"/>
      <c r="AE183" s="352" t="n">
        <v>60</v>
      </c>
      <c r="AF183" s="352" t="n">
        <v>60</v>
      </c>
      <c r="AG183" s="352" t="n">
        <v>60</v>
      </c>
      <c r="AH183" s="352" t="n">
        <v>60</v>
      </c>
      <c r="AI183" s="352" t="n">
        <v>60</v>
      </c>
      <c r="AJ183" s="352" t="n">
        <v>60</v>
      </c>
      <c r="AK183" s="352" t="n">
        <v>60</v>
      </c>
      <c r="AL183" s="352" t="n">
        <v>60</v>
      </c>
      <c r="AM183" s="352" t="n">
        <v>60</v>
      </c>
      <c r="AN183" s="352" t="n">
        <v>60</v>
      </c>
      <c r="AO183" s="352" t="n">
        <v>60</v>
      </c>
      <c r="AP183" s="352" t="n">
        <v>60</v>
      </c>
      <c r="AQ183" s="352" t="n"/>
      <c r="AR183" s="352" t="n"/>
      <c r="AS183" s="352" t="n"/>
      <c r="AT183" s="352" t="n"/>
      <c r="AU183" s="352" t="n"/>
      <c r="AV183" s="352" t="n"/>
      <c r="AW183" s="352">
        <f>IF(SUM(R183:AV183)=0,"",SUM(R183:AV183))</f>
        <v/>
      </c>
      <c r="AX183" s="431">
        <f>IFERROR(AW183*O183/1000,"")</f>
        <v/>
      </c>
      <c r="AY183" s="431">
        <f>IFERROR(ROUND(AW183*P183/10000,3),"")</f>
        <v/>
      </c>
      <c r="AZ183" s="354" t="n">
        <v>623.27</v>
      </c>
      <c r="BA183" s="355" t="n">
        <v>37.54</v>
      </c>
      <c r="BB183" s="355" t="n">
        <v>58.97</v>
      </c>
      <c r="BC183" s="355" t="n">
        <v>64.23</v>
      </c>
      <c r="BD183" s="331" t="n"/>
      <c r="BE183" s="331">
        <f>AZ183*AW183</f>
        <v/>
      </c>
      <c r="BF183" s="331">
        <f>BA183*AW183</f>
        <v/>
      </c>
      <c r="BG183" s="331">
        <f>BB183*AW183</f>
        <v/>
      </c>
      <c r="BH183" s="331">
        <f>BC183*AW183</f>
        <v/>
      </c>
      <c r="BI183" s="331" t="n"/>
      <c r="BJ183" s="356">
        <f t="array" ref="BJ183:BM183">_xlfn.LET(_xlpm.data,$R183:$AV183,_xlpm.starts,{1,8,16,23},_xlpm.lengths,{7,7,8,9},_xlpm.arr,_xlfn.MAP(_xlpm.starts,_xlpm.lengths,_xlfn.LAMBDA(_xlpm.s,_xlpm.l,SUM(INDEX(_xlpm.data,,_xlfn.SEQUENCE(,_xlpm.l,_xlpm.s))))),ROUND(_xlpm.arr*$O183/1000,2))</f>
        <v/>
      </c>
      <c r="BK183" s="331" t="n">
        <v>3.5</v>
      </c>
      <c r="BL183" s="331" t="n">
        <v>28.03</v>
      </c>
      <c r="BM183" s="331" t="n">
        <v>10.51</v>
      </c>
      <c r="BN183" s="362">
        <f>SUM(BJ183:BM183)</f>
        <v/>
      </c>
      <c r="BO183" s="362" t="n">
        <v>0</v>
      </c>
      <c r="BP183" s="362" t="n">
        <v>0</v>
      </c>
      <c r="BQ183" s="362" t="n">
        <v>0</v>
      </c>
      <c r="BR183" s="362" t="n">
        <v>0</v>
      </c>
      <c r="BS183" s="115" t="n"/>
      <c r="BT183" s="362">
        <f t="array" ref="BT183:BW183">_xlfn.HSTACK(SUM(INDEX($R183:$AV183,1,1):INDEX($R183:$AV183,1,7)),SUM(INDEX($R183:$AV183,1,7):INDEX($R183:$AV183,1,13)),SUM(INDEX($R183:$AV183,1,16):INDEX($R183:$AV183,1,23)),SUM(INDEX($R183:$AV183,1,23):INDEX($R183:$AV183,1,31)))</f>
        <v/>
      </c>
      <c r="BU183" s="362" t="n">
        <v>0</v>
      </c>
      <c r="BV183" s="362" t="n">
        <v>480</v>
      </c>
      <c r="BW183" s="362" t="n">
        <v>180</v>
      </c>
      <c r="BY183" s="362">
        <f>SUM(R183:X183)</f>
        <v/>
      </c>
      <c r="BZ183" s="362">
        <f>SUM(Y183:AE183)</f>
        <v/>
      </c>
      <c r="CA183" s="362">
        <f>SUM(AF183:AM183)</f>
        <v/>
      </c>
      <c r="CB183" s="362">
        <f>SUM(AN183:AV183)</f>
        <v/>
      </c>
      <c r="CD183" s="432" t="inlineStr">
        <is>
          <t>ADA</t>
        </is>
      </c>
      <c r="CE183" s="362">
        <f>ROUND(BY183*$O183/1000,2)</f>
        <v/>
      </c>
      <c r="CF183" s="362">
        <f>ROUND(BZ183*$O183/1000,2)</f>
        <v/>
      </c>
      <c r="CG183" s="362">
        <f>ROUND(CA183*$O183/1000,2)</f>
        <v/>
      </c>
      <c r="CH183" s="362">
        <f>ROUND(CB183*$O183/1000,2)</f>
        <v/>
      </c>
      <c r="CI183" s="362">
        <f>SUM(CE183:CH183)</f>
        <v/>
      </c>
      <c r="CJ183" s="390" t="n"/>
      <c r="CK183" s="362">
        <f>IFERROR(ROUND(BY183*$P183,2),"")</f>
        <v/>
      </c>
      <c r="CL183" s="362">
        <f>IFERROR(ROUND(BZ183*$P183,2),"")</f>
        <v/>
      </c>
      <c r="CM183" s="362">
        <f>IFERROR(ROUND(CA183*$P183,2),"")</f>
        <v/>
      </c>
      <c r="CN183" s="362">
        <f>IFERROR(ROUND(CB183*$P183,2),"")</f>
        <v/>
      </c>
      <c r="CO183" s="362">
        <f>SUM(CK183:CN183)</f>
        <v/>
      </c>
    </row>
    <row r="184" hidden="1" ht="15.6" customFormat="1" customHeight="1" s="362">
      <c r="A184" s="331" t="n"/>
      <c r="B184" s="344">
        <f>_xlfn.XLOOKUP(G184,销售需求表!A:A,销售需求表!C:C)</f>
        <v/>
      </c>
      <c r="C184" s="345">
        <f>IFERROR(MID(F184,FIND("R",F184)+1,4),"")</f>
        <v/>
      </c>
      <c r="D184" s="365">
        <f>B184&amp;C184&amp;"寸"</f>
        <v/>
      </c>
      <c r="E184" s="346">
        <f>LEFT(REPLACE(G184,1,2,""),FIND("[",REPLACE(G184,1,2,""))-1)&amp;"-"&amp;MID(REPLACE(G184,1,2,""),FIND("[",REPLACE(G184,1,2,""))+1,FIND("]",REPLACE(G184,1,2,""))-FIND("[",REPLACE(G184,1,2,""))-1)</f>
        <v/>
      </c>
      <c r="F184" s="347">
        <f>IFERROR(MID(G184,3,FIND("(",G184)-3)&amp;"-"&amp;SUBSTITUTE(MID(G184,FIND("[",G184)+1,FIND("]",G184)-FIND("[",G184)-1),"Strong Guard ",""),"")</f>
        <v/>
      </c>
      <c r="G184" s="366" t="inlineStr">
        <is>
          <t>ID295/80R22.5-18PR(152/149M)[AD733pro]威狮无内</t>
        </is>
      </c>
      <c r="H184" s="344" t="n">
        <v>220</v>
      </c>
      <c r="I184" s="348" t="n"/>
      <c r="J184" s="349">
        <f>IFERROR(LEFT(F184,FIND("-",F184))&amp;MID(F184,FIND("PR",F184,FIND("-",F184))+3,LEN(F184)),F184)</f>
        <v/>
      </c>
      <c r="K184" s="352">
        <f>_xlfn.XLOOKUP(F184,投产规格!E:E,投产规格!D:D,"未投产")</f>
        <v/>
      </c>
      <c r="L184" s="352">
        <f>IFERROR(_xlfn.XLOOKUP(F184,硫化工艺!B:B,硫化工艺!C:C),"")</f>
        <v/>
      </c>
      <c r="M184" s="430">
        <f>IF(L184="","",L184/(L184+$L$1/60))</f>
        <v/>
      </c>
      <c r="N184" s="352">
        <f>C184&amp;"全钢"</f>
        <v/>
      </c>
      <c r="O184" s="352">
        <f>IFERROR(_xlfn.XLOOKUP(F184,轮胎重量!J:J,轮胎重量!G:G),"")</f>
        <v/>
      </c>
      <c r="P184" s="352">
        <f>IFERROR(_xlfn.XLOOKUP(G184,硫化工艺!I:I,硫化工艺!J:J),"")</f>
        <v/>
      </c>
      <c r="Q184" s="352">
        <f>IFERROR(ROUND(1440/L184*(I184)*M184,0),"")</f>
        <v/>
      </c>
      <c r="R184" s="352" t="n"/>
      <c r="S184" s="352" t="n"/>
      <c r="T184" s="352" t="n"/>
      <c r="U184" s="352" t="n"/>
      <c r="V184" s="352" t="n"/>
      <c r="W184" s="352" t="n"/>
      <c r="X184" s="352" t="n"/>
      <c r="Y184" s="352" t="n"/>
      <c r="Z184" s="352" t="n"/>
      <c r="AA184" s="352" t="n"/>
      <c r="AB184" s="352" t="n"/>
      <c r="AC184" s="352" t="n"/>
      <c r="AD184" s="352" t="n"/>
      <c r="AE184" s="352" t="n"/>
      <c r="AF184" s="352" t="n"/>
      <c r="AG184" s="352" t="n"/>
      <c r="AH184" s="352" t="n"/>
      <c r="AI184" s="352" t="n"/>
      <c r="AJ184" s="352" t="n"/>
      <c r="AK184" s="352" t="n"/>
      <c r="AL184" s="352" t="n"/>
      <c r="AM184" s="352" t="n"/>
      <c r="AN184" s="352" t="n"/>
      <c r="AO184" s="352" t="n"/>
      <c r="AP184" s="352" t="n"/>
      <c r="AQ184" s="352" t="n"/>
      <c r="AR184" s="352" t="n"/>
      <c r="AS184" s="352" t="n"/>
      <c r="AT184" s="352" t="n"/>
      <c r="AU184" s="352" t="n"/>
      <c r="AV184" s="352" t="n"/>
      <c r="AW184" s="352">
        <f>IF(SUM(R184:AV184)=0,"",SUM(R184:AV184))</f>
        <v/>
      </c>
      <c r="AX184" s="431">
        <f>IFERROR(AW184*O184/1000,"")</f>
        <v/>
      </c>
      <c r="AY184" s="431">
        <f>IFERROR(ROUND(AW184*P184/10000,3),"")</f>
        <v/>
      </c>
      <c r="AZ184" s="354" t="n">
        <v>623.27</v>
      </c>
      <c r="BA184" s="355" t="n">
        <v>37.54</v>
      </c>
      <c r="BB184" s="355" t="n">
        <v>58.97</v>
      </c>
      <c r="BC184" s="355" t="n">
        <v>64.23</v>
      </c>
      <c r="BD184" s="331" t="n"/>
      <c r="BE184" s="331">
        <f>AZ184*AW184</f>
        <v/>
      </c>
      <c r="BF184" s="331">
        <f>BA184*AW184</f>
        <v/>
      </c>
      <c r="BG184" s="331">
        <f>BB184*AW184</f>
        <v/>
      </c>
      <c r="BH184" s="331">
        <f>BC184*AW184</f>
        <v/>
      </c>
      <c r="BI184" s="331" t="n"/>
      <c r="BJ184" s="356">
        <f t="array" ref="BJ184:BM184">_xlfn.LET(_xlpm.data,$R184:$AV184,_xlpm.starts,{1,8,16,23},_xlpm.lengths,{7,7,8,9},_xlpm.arr,_xlfn.MAP(_xlpm.starts,_xlpm.lengths,_xlfn.LAMBDA(_xlpm.s,_xlpm.l,SUM(INDEX(_xlpm.data,,_xlfn.SEQUENCE(,_xlpm.l,_xlpm.s))))),ROUND(_xlpm.arr*$O184/1000,2))</f>
        <v/>
      </c>
      <c r="BK184" s="331" t="n">
        <v>0</v>
      </c>
      <c r="BL184" s="331" t="n">
        <v>0</v>
      </c>
      <c r="BM184" s="331" t="n">
        <v>0</v>
      </c>
      <c r="BN184" s="362">
        <f>SUM(BJ184:BM184)</f>
        <v/>
      </c>
      <c r="BO184" s="362" t="n">
        <v>0</v>
      </c>
      <c r="BP184" s="362" t="n">
        <v>0.67</v>
      </c>
      <c r="BQ184" s="362" t="n">
        <v>25.82</v>
      </c>
      <c r="BR184" s="362" t="n">
        <v>29.05</v>
      </c>
      <c r="BS184" s="115" t="n"/>
      <c r="BT184" s="362">
        <f t="array" ref="BT184:BW184">_xlfn.HSTACK(SUM(INDEX($R184:$AV184,1,1):INDEX($R184:$AV184,1,7)),SUM(INDEX($R184:$AV184,1,7):INDEX($R184:$AV184,1,13)),SUM(INDEX($R184:$AV184,1,16):INDEX($R184:$AV184,1,23)),SUM(INDEX($R184:$AV184,1,23):INDEX($R184:$AV184,1,31)))</f>
        <v/>
      </c>
      <c r="BU184" s="362" t="n">
        <v>0</v>
      </c>
      <c r="BV184" s="362" t="n">
        <v>0</v>
      </c>
      <c r="BW184" s="362" t="n">
        <v>0</v>
      </c>
      <c r="BY184" s="362">
        <f>SUM(R184:X184)</f>
        <v/>
      </c>
      <c r="BZ184" s="362">
        <f>SUM(Y184:AE184)</f>
        <v/>
      </c>
      <c r="CA184" s="362">
        <f>SUM(AF184:AM184)</f>
        <v/>
      </c>
      <c r="CB184" s="362">
        <f>SUM(AN184:AV184)</f>
        <v/>
      </c>
      <c r="CD184" s="432" t="inlineStr">
        <is>
          <t>ADA</t>
        </is>
      </c>
      <c r="CE184" s="362">
        <f>ROUND(BY184*$O184/1000,2)</f>
        <v/>
      </c>
      <c r="CF184" s="362">
        <f>ROUND(BZ184*$O184/1000,2)</f>
        <v/>
      </c>
      <c r="CG184" s="362">
        <f>ROUND(CA184*$O184/1000,2)</f>
        <v/>
      </c>
      <c r="CH184" s="362">
        <f>ROUND(CB184*$O184/1000,2)</f>
        <v/>
      </c>
      <c r="CI184" s="362">
        <f>SUM(CE184:CH184)</f>
        <v/>
      </c>
      <c r="CJ184" s="390" t="n"/>
      <c r="CK184" s="362">
        <f>IFERROR(ROUND(BY184*$P184,2),"")</f>
        <v/>
      </c>
      <c r="CL184" s="362">
        <f>IFERROR(ROUND(BZ184*$P184,2),"")</f>
        <v/>
      </c>
      <c r="CM184" s="362">
        <f>IFERROR(ROUND(CA184*$P184,2),"")</f>
        <v/>
      </c>
      <c r="CN184" s="362">
        <f>IFERROR(ROUND(CB184*$P184,2),"")</f>
        <v/>
      </c>
      <c r="CO184" s="362">
        <f>SUM(CK184:CN184)</f>
        <v/>
      </c>
    </row>
    <row r="185" hidden="1" ht="15.6" customFormat="1" customHeight="1" s="362">
      <c r="A185" s="331" t="n"/>
      <c r="B185" s="344">
        <f>_xlfn.XLOOKUP(G185,销售需求表!A:A,销售需求表!C:C)</f>
        <v/>
      </c>
      <c r="C185" s="345">
        <f>IFERROR(MID(F185,FIND("R",F185)+1,4),"")</f>
        <v/>
      </c>
      <c r="D185" s="365">
        <f>B185&amp;C185&amp;"寸"</f>
        <v/>
      </c>
      <c r="E185" s="346">
        <f>LEFT(REPLACE(G185,1,2,""),FIND("[",REPLACE(G185,1,2,""))-1)&amp;"-"&amp;MID(REPLACE(G185,1,2,""),FIND("[",REPLACE(G185,1,2,""))+1,FIND("]",REPLACE(G185,1,2,""))-FIND("[",REPLACE(G185,1,2,""))-1)</f>
        <v/>
      </c>
      <c r="F185" s="347">
        <f>IFERROR(MID(G185,3,FIND("(",G185)-3)&amp;"-"&amp;SUBSTITUTE(MID(G185,FIND("[",G185)+1,FIND("]",G185)-FIND("[",G185)-1),"Strong Guard ",""),"")</f>
        <v/>
      </c>
      <c r="G185" s="366" t="inlineStr">
        <is>
          <t>ID295/80R22.5-18PR(152/149M)[AS589]威狮无内</t>
        </is>
      </c>
      <c r="H185" s="344" t="n">
        <v>300</v>
      </c>
      <c r="I185" s="348" t="n"/>
      <c r="J185" s="349">
        <f>IFERROR(LEFT(F185,FIND("-",F185))&amp;MID(F185,FIND("PR",F185,FIND("-",F185))+3,LEN(F185)),F185)</f>
        <v/>
      </c>
      <c r="K185" s="352">
        <f>_xlfn.XLOOKUP(F185,投产规格!E:E,投产规格!D:D,"未投产")</f>
        <v/>
      </c>
      <c r="L185" s="352">
        <f>IFERROR(_xlfn.XLOOKUP(F185,硫化工艺!B:B,硫化工艺!C:C),"")</f>
        <v/>
      </c>
      <c r="M185" s="430">
        <f>IF(L185="","",L185/(L185+$L$1/60))</f>
        <v/>
      </c>
      <c r="N185" s="352">
        <f>C185&amp;"全钢"</f>
        <v/>
      </c>
      <c r="O185" s="352">
        <f>IFERROR(_xlfn.XLOOKUP(F185,轮胎重量!J:J,轮胎重量!G:G),"")</f>
        <v/>
      </c>
      <c r="P185" s="352">
        <f>IFERROR(_xlfn.XLOOKUP(G185,硫化工艺!I:I,硫化工艺!J:J),"")</f>
        <v/>
      </c>
      <c r="Q185" s="352">
        <f>IFERROR(ROUND(1440/L185*(I185)*M185,0),"")</f>
        <v/>
      </c>
      <c r="R185" s="352" t="n"/>
      <c r="S185" s="352" t="n"/>
      <c r="T185" s="352" t="n"/>
      <c r="U185" s="352" t="n"/>
      <c r="V185" s="352" t="n"/>
      <c r="W185" s="352" t="n"/>
      <c r="X185" s="352" t="n"/>
      <c r="Y185" s="352" t="n"/>
      <c r="Z185" s="352" t="n"/>
      <c r="AA185" s="352" t="n"/>
      <c r="AB185" s="352" t="n"/>
      <c r="AC185" s="352" t="n"/>
      <c r="AD185" s="352" t="n"/>
      <c r="AE185" s="352" t="n"/>
      <c r="AF185" s="352" t="n"/>
      <c r="AG185" s="352" t="n"/>
      <c r="AH185" s="352" t="n"/>
      <c r="AI185" s="352" t="n"/>
      <c r="AJ185" s="352" t="n"/>
      <c r="AK185" s="352" t="n"/>
      <c r="AL185" s="352" t="n"/>
      <c r="AM185" s="352" t="n"/>
      <c r="AN185" s="352" t="n"/>
      <c r="AO185" s="352" t="n"/>
      <c r="AP185" s="352" t="n"/>
      <c r="AQ185" s="352" t="n"/>
      <c r="AR185" s="352" t="n"/>
      <c r="AS185" s="352" t="n"/>
      <c r="AT185" s="352" t="n"/>
      <c r="AU185" s="352" t="n"/>
      <c r="AV185" s="352" t="n"/>
      <c r="AW185" s="352">
        <f>IF(SUM(R185:AV185)=0,"",SUM(R185:AV185))</f>
        <v/>
      </c>
      <c r="AX185" s="431">
        <f>IFERROR(AW185*O185/1000,"")</f>
        <v/>
      </c>
      <c r="AY185" s="431">
        <f>IFERROR(ROUND(AW185*P185/10000,3),"")</f>
        <v/>
      </c>
      <c r="AZ185" s="354" t="n">
        <v>623.27</v>
      </c>
      <c r="BA185" s="355" t="n">
        <v>37.54</v>
      </c>
      <c r="BB185" s="355" t="n">
        <v>58.97</v>
      </c>
      <c r="BC185" s="355" t="n">
        <v>64.23</v>
      </c>
      <c r="BD185" s="331" t="n"/>
      <c r="BE185" s="331">
        <f>AZ185*AW185</f>
        <v/>
      </c>
      <c r="BF185" s="331">
        <f>BA185*AW185</f>
        <v/>
      </c>
      <c r="BG185" s="331">
        <f>BB185*AW185</f>
        <v/>
      </c>
      <c r="BH185" s="331">
        <f>BC185*AW185</f>
        <v/>
      </c>
      <c r="BI185" s="331" t="n"/>
      <c r="BJ185" s="356">
        <f t="array" ref="BJ185:BM185">_xlfn.LET(_xlpm.data,$R185:$AV185,_xlpm.starts,{1,8,16,23},_xlpm.lengths,{7,7,8,9},_xlpm.arr,_xlfn.MAP(_xlpm.starts,_xlpm.lengths,_xlfn.LAMBDA(_xlpm.s,_xlpm.l,SUM(INDEX(_xlpm.data,,_xlfn.SEQUENCE(,_xlpm.l,_xlpm.s))))),ROUND(_xlpm.arr*$O185/1000,2))</f>
        <v/>
      </c>
      <c r="BK185" s="331" t="n">
        <v>0</v>
      </c>
      <c r="BL185" s="331" t="n">
        <v>0</v>
      </c>
      <c r="BM185" s="331" t="n">
        <v>0</v>
      </c>
      <c r="BN185" s="362">
        <f>SUM(BJ185:BM185)</f>
        <v/>
      </c>
      <c r="BO185" s="362" t="n">
        <v>0</v>
      </c>
      <c r="BP185" s="362" t="n">
        <v>0.67</v>
      </c>
      <c r="BQ185" s="362" t="n">
        <v>25.82</v>
      </c>
      <c r="BR185" s="362" t="n">
        <v>29.05</v>
      </c>
      <c r="BS185" s="115" t="n"/>
      <c r="BT185" s="362">
        <f t="array" ref="BT185:BW185">_xlfn.HSTACK(SUM(INDEX($R185:$AV185,1,1):INDEX($R185:$AV185,1,7)),SUM(INDEX($R185:$AV185,1,7):INDEX($R185:$AV185,1,13)),SUM(INDEX($R185:$AV185,1,16):INDEX($R185:$AV185,1,23)),SUM(INDEX($R185:$AV185,1,23):INDEX($R185:$AV185,1,31)))</f>
        <v/>
      </c>
      <c r="BU185" s="362" t="n">
        <v>0</v>
      </c>
      <c r="BV185" s="362" t="n">
        <v>0</v>
      </c>
      <c r="BW185" s="362" t="n">
        <v>0</v>
      </c>
      <c r="BY185" s="362">
        <f>SUM(R185:X185)</f>
        <v/>
      </c>
      <c r="BZ185" s="362">
        <f>SUM(Y185:AE185)</f>
        <v/>
      </c>
      <c r="CA185" s="362">
        <f>SUM(AF185:AM185)</f>
        <v/>
      </c>
      <c r="CB185" s="362">
        <f>SUM(AN185:AV185)</f>
        <v/>
      </c>
      <c r="CD185" s="432" t="inlineStr">
        <is>
          <t>ADA</t>
        </is>
      </c>
      <c r="CE185" s="362">
        <f>ROUND(BY185*$O185/1000,2)</f>
        <v/>
      </c>
      <c r="CF185" s="362">
        <f>ROUND(BZ185*$O185/1000,2)</f>
        <v/>
      </c>
      <c r="CG185" s="362">
        <f>ROUND(CA185*$O185/1000,2)</f>
        <v/>
      </c>
      <c r="CH185" s="362">
        <f>ROUND(CB185*$O185/1000,2)</f>
        <v/>
      </c>
      <c r="CI185" s="362">
        <f>SUM(CE185:CH185)</f>
        <v/>
      </c>
      <c r="CJ185" s="390" t="n"/>
      <c r="CK185" s="362">
        <f>IFERROR(ROUND(BY185*$P185,2),"")</f>
        <v/>
      </c>
      <c r="CL185" s="362">
        <f>IFERROR(ROUND(BZ185*$P185,2),"")</f>
        <v/>
      </c>
      <c r="CM185" s="362">
        <f>IFERROR(ROUND(CA185*$P185,2),"")</f>
        <v/>
      </c>
      <c r="CN185" s="362">
        <f>IFERROR(ROUND(CB185*$P185,2),"")</f>
        <v/>
      </c>
      <c r="CO185" s="362">
        <f>SUM(CK185:CN185)</f>
        <v/>
      </c>
    </row>
    <row r="186" ht="15.6" customFormat="1" customHeight="1" s="362">
      <c r="A186" s="331" t="n"/>
      <c r="B186" s="344">
        <f>_xlfn.XLOOKUP(G186,销售需求表!A:A,销售需求表!C:C)</f>
        <v/>
      </c>
      <c r="C186" s="345">
        <f>IFERROR(MID(F186,FIND("R",F186)+1,4),"")</f>
        <v/>
      </c>
      <c r="D186" s="365">
        <f>B186&amp;C186&amp;"寸"</f>
        <v/>
      </c>
      <c r="E186" s="346">
        <f>LEFT(REPLACE(G186,1,2,""),FIND("[",REPLACE(G186,1,2,""))-1)&amp;"-"&amp;MID(REPLACE(G186,1,2,""),FIND("[",REPLACE(G186,1,2,""))+1,FIND("]",REPLACE(G186,1,2,""))-FIND("[",REPLACE(G186,1,2,""))-1)</f>
        <v/>
      </c>
      <c r="F186" s="347">
        <f>IFERROR(MID(G186,3,FIND("(",G186)-3)&amp;"-"&amp;SUBSTITUTE(MID(G186,FIND("[",G186)+1,FIND("]",G186)-FIND("[",G186)-1),"Strong Guard ",""),"")</f>
        <v/>
      </c>
      <c r="G186" s="366" t="inlineStr">
        <is>
          <t>ID295/80R22.5-18PR(152/149M)[AS678]朝阳无内</t>
        </is>
      </c>
      <c r="H186" s="344" t="n">
        <v>700</v>
      </c>
      <c r="I186" s="348" t="n">
        <v>2</v>
      </c>
      <c r="J186" s="349">
        <f>IFERROR(LEFT(F186,FIND("-",F186))&amp;MID(F186,FIND("PR",F186,FIND("-",F186))+3,LEN(F186)),F186)</f>
        <v/>
      </c>
      <c r="K186" s="352">
        <f>_xlfn.XLOOKUP(F186,投产规格!E:E,投产规格!D:D,"未投产")</f>
        <v/>
      </c>
      <c r="L186" s="352">
        <f>IFERROR(_xlfn.XLOOKUP(F186,硫化工艺!B:B,硫化工艺!C:C),"")</f>
        <v/>
      </c>
      <c r="M186" s="430">
        <f>IF(L186="","",L186/(L186+$L$1/60))</f>
        <v/>
      </c>
      <c r="N186" s="352">
        <f>C186&amp;"全钢"</f>
        <v/>
      </c>
      <c r="O186" s="352">
        <f>IFERROR(_xlfn.XLOOKUP(F186,轮胎重量!J:J,轮胎重量!G:G),"")</f>
        <v/>
      </c>
      <c r="P186" s="352">
        <f>IFERROR(_xlfn.XLOOKUP(G186,硫化工艺!I:I,硫化工艺!J:J),"")</f>
        <v/>
      </c>
      <c r="Q186" s="352">
        <f>IFERROR(ROUND(1440/L186*(I186)*M186,0),"")</f>
        <v/>
      </c>
      <c r="R186" s="352" t="n">
        <v>60</v>
      </c>
      <c r="S186" s="352" t="n">
        <v>60</v>
      </c>
      <c r="T186" s="352" t="n">
        <v>60</v>
      </c>
      <c r="U186" s="352" t="n">
        <v>60</v>
      </c>
      <c r="V186" s="352" t="n">
        <v>60</v>
      </c>
      <c r="W186" s="352" t="n">
        <v>60</v>
      </c>
      <c r="X186" s="352" t="n">
        <v>60</v>
      </c>
      <c r="Y186" s="352" t="n">
        <v>60</v>
      </c>
      <c r="Z186" s="352" t="n">
        <v>60</v>
      </c>
      <c r="AA186" s="352" t="n">
        <v>60</v>
      </c>
      <c r="AB186" s="352" t="n"/>
      <c r="AC186" s="352" t="n"/>
      <c r="AD186" s="352" t="n"/>
      <c r="AE186" s="352" t="n"/>
      <c r="AF186" s="352" t="n"/>
      <c r="AG186" s="352" t="n"/>
      <c r="AH186" s="352" t="n"/>
      <c r="AI186" s="352" t="n"/>
      <c r="AJ186" s="352" t="n"/>
      <c r="AK186" s="352" t="n"/>
      <c r="AL186" s="352" t="n"/>
      <c r="AM186" s="352" t="n"/>
      <c r="AN186" s="352" t="n"/>
      <c r="AO186" s="352" t="n"/>
      <c r="AP186" s="352" t="n"/>
      <c r="AQ186" s="352" t="n"/>
      <c r="AR186" s="352" t="n"/>
      <c r="AS186" s="352" t="n"/>
      <c r="AT186" s="352" t="n"/>
      <c r="AU186" s="352" t="n"/>
      <c r="AV186" s="352" t="n"/>
      <c r="AW186" s="352">
        <f>IF(SUM(R186:AV186)=0,"",SUM(R186:AV186))</f>
        <v/>
      </c>
      <c r="AX186" s="431">
        <f>IFERROR(AW186*O186/1000,"")</f>
        <v/>
      </c>
      <c r="AY186" s="431">
        <f>IFERROR(ROUND(AW186*P186/10000,3),"")</f>
        <v/>
      </c>
      <c r="AZ186" s="354" t="n">
        <v>623.27</v>
      </c>
      <c r="BA186" s="355" t="n">
        <v>37.54</v>
      </c>
      <c r="BB186" s="355" t="n">
        <v>58.97</v>
      </c>
      <c r="BC186" s="355" t="n">
        <v>64.23</v>
      </c>
      <c r="BD186" s="331" t="n"/>
      <c r="BE186" s="331">
        <f>AZ186*AW186</f>
        <v/>
      </c>
      <c r="BF186" s="331">
        <f>BA186*AW186</f>
        <v/>
      </c>
      <c r="BG186" s="331">
        <f>BB186*AW186</f>
        <v/>
      </c>
      <c r="BH186" s="331">
        <f>BC186*AW186</f>
        <v/>
      </c>
      <c r="BI186" s="331" t="n"/>
      <c r="BJ186" s="356">
        <f t="array" ref="BJ186:BM186">_xlfn.LET(_xlpm.data,$R186:$AV186,_xlpm.starts,{1,8,16,23},_xlpm.lengths,{7,7,8,9},_xlpm.arr,_xlfn.MAP(_xlpm.starts,_xlpm.lengths,_xlfn.LAMBDA(_xlpm.s,_xlpm.l,SUM(INDEX(_xlpm.data,,_xlfn.SEQUENCE(,_xlpm.l,_xlpm.s))))),ROUND(_xlpm.arr*$O186/1000,2))</f>
        <v/>
      </c>
      <c r="BK186" s="331" t="n">
        <v>9.66</v>
      </c>
      <c r="BL186" s="331" t="n">
        <v>0</v>
      </c>
      <c r="BM186" s="331" t="n">
        <v>0</v>
      </c>
      <c r="BN186" s="362">
        <f>SUM(BJ186:BM186)</f>
        <v/>
      </c>
      <c r="BO186" s="362" t="n">
        <v>0</v>
      </c>
      <c r="BP186" s="362" t="n">
        <v>0</v>
      </c>
      <c r="BQ186" s="362" t="n">
        <v>0</v>
      </c>
      <c r="BR186" s="362" t="n">
        <v>0</v>
      </c>
      <c r="BS186" s="115" t="n"/>
      <c r="BT186" s="362">
        <f t="array" ref="BT186:BW186">_xlfn.HSTACK(SUM(INDEX($R186:$AV186,1,1):INDEX($R186:$AV186,1,7)),SUM(INDEX($R186:$AV186,1,7):INDEX($R186:$AV186,1,13)),SUM(INDEX($R186:$AV186,1,16):INDEX($R186:$AV186,1,23)),SUM(INDEX($R186:$AV186,1,23):INDEX($R186:$AV186,1,31)))</f>
        <v/>
      </c>
      <c r="BU186" s="362" t="n">
        <v>240</v>
      </c>
      <c r="BV186" s="362" t="n">
        <v>0</v>
      </c>
      <c r="BW186" s="362" t="n">
        <v>0</v>
      </c>
      <c r="BY186" s="362">
        <f>SUM(R186:X186)</f>
        <v/>
      </c>
      <c r="BZ186" s="362">
        <f>SUM(Y186:AE186)</f>
        <v/>
      </c>
      <c r="CA186" s="362">
        <f>SUM(AF186:AM186)</f>
        <v/>
      </c>
      <c r="CB186" s="362">
        <f>SUM(AN186:AV186)</f>
        <v/>
      </c>
      <c r="CD186" s="432" t="inlineStr">
        <is>
          <t>ADA</t>
        </is>
      </c>
      <c r="CE186" s="362">
        <f>ROUND(BY186*$O186/1000,2)</f>
        <v/>
      </c>
      <c r="CF186" s="362">
        <f>ROUND(BZ186*$O186/1000,2)</f>
        <v/>
      </c>
      <c r="CG186" s="362">
        <f>ROUND(CA186*$O186/1000,2)</f>
        <v/>
      </c>
      <c r="CH186" s="362">
        <f>ROUND(CB186*$O186/1000,2)</f>
        <v/>
      </c>
      <c r="CI186" s="362">
        <f>SUM(CE186:CH186)</f>
        <v/>
      </c>
      <c r="CJ186" s="390" t="n"/>
      <c r="CK186" s="362">
        <f>IFERROR(ROUND(BY186*$P186,2),"")</f>
        <v/>
      </c>
      <c r="CL186" s="362">
        <f>IFERROR(ROUND(BZ186*$P186,2),"")</f>
        <v/>
      </c>
      <c r="CM186" s="362">
        <f>IFERROR(ROUND(CA186*$P186,2),"")</f>
        <v/>
      </c>
      <c r="CN186" s="362">
        <f>IFERROR(ROUND(CB186*$P186,2),"")</f>
        <v/>
      </c>
      <c r="CO186" s="362">
        <f>SUM(CK186:CN186)</f>
        <v/>
      </c>
    </row>
    <row r="187" ht="15.6" customFormat="1" customHeight="1" s="362">
      <c r="A187" s="331" t="n"/>
      <c r="B187" s="344">
        <f>_xlfn.XLOOKUP(G187,销售需求表!A:A,销售需求表!C:C)</f>
        <v/>
      </c>
      <c r="C187" s="345">
        <f>IFERROR(MID(F187,FIND("R",F187)+1,4),"")</f>
        <v/>
      </c>
      <c r="D187" s="365">
        <f>B187&amp;C187&amp;"寸"</f>
        <v/>
      </c>
      <c r="E187" s="346">
        <f>LEFT(REPLACE(G187,1,2,""),FIND("[",REPLACE(G187,1,2,""))-1)&amp;"-"&amp;MID(REPLACE(G187,1,2,""),FIND("[",REPLACE(G187,1,2,""))+1,FIND("]",REPLACE(G187,1,2,""))-FIND("[",REPLACE(G187,1,2,""))-1)</f>
        <v/>
      </c>
      <c r="F187" s="347">
        <f>IFERROR(MID(G187,3,FIND("(",G187)-3)&amp;"-"&amp;SUBSTITUTE(MID(G187,FIND("[",G187)+1,FIND("]",G187)-FIND("[",G187)-1),"Strong Guard ",""),"")</f>
        <v/>
      </c>
      <c r="G187" s="366" t="inlineStr">
        <is>
          <t>ID295/80R22.5-18PR(152/149M)[AS678]威狮无内</t>
        </is>
      </c>
      <c r="H187" s="344" t="n">
        <v>400</v>
      </c>
      <c r="I187" s="348" t="n">
        <v>2</v>
      </c>
      <c r="J187" s="349">
        <f>IFERROR(LEFT(F187,FIND("-",F187))&amp;MID(F187,FIND("PR",F187,FIND("-",F187))+3,LEN(F187)),F187)</f>
        <v/>
      </c>
      <c r="K187" s="352">
        <f>_xlfn.XLOOKUP(F187,投产规格!E:E,投产规格!D:D,"未投产")</f>
        <v/>
      </c>
      <c r="L187" s="352">
        <f>IFERROR(_xlfn.XLOOKUP(F187,硫化工艺!B:B,硫化工艺!C:C),"")</f>
        <v/>
      </c>
      <c r="M187" s="430">
        <f>IF(L187="","",L187/(L187+$L$1/60))</f>
        <v/>
      </c>
      <c r="N187" s="352">
        <f>C187&amp;"全钢"</f>
        <v/>
      </c>
      <c r="O187" s="352">
        <f>IFERROR(_xlfn.XLOOKUP(F187,轮胎重量!J:J,轮胎重量!G:G),"")</f>
        <v/>
      </c>
      <c r="P187" s="352">
        <f>IFERROR(_xlfn.XLOOKUP(G187,硫化工艺!I:I,硫化工艺!J:J),"")</f>
        <v/>
      </c>
      <c r="Q187" s="352">
        <f>IFERROR(ROUND(1440/L187*(I187)*M187,0),"")</f>
        <v/>
      </c>
      <c r="R187" s="352" t="n">
        <v>60</v>
      </c>
      <c r="S187" s="352" t="n">
        <v>60</v>
      </c>
      <c r="T187" s="352" t="n">
        <v>60</v>
      </c>
      <c r="U187" s="352" t="n">
        <v>60</v>
      </c>
      <c r="V187" s="352" t="n">
        <v>60</v>
      </c>
      <c r="W187" s="352" t="n">
        <v>60</v>
      </c>
      <c r="X187" s="352" t="n">
        <v>60</v>
      </c>
      <c r="Y187" s="352" t="n"/>
      <c r="Z187" s="352" t="n"/>
      <c r="AA187" s="352" t="n"/>
      <c r="AB187" s="352" t="n"/>
      <c r="AC187" s="352" t="n"/>
      <c r="AD187" s="352" t="n"/>
      <c r="AE187" s="352" t="n"/>
      <c r="AF187" s="352" t="n"/>
      <c r="AG187" s="352" t="n"/>
      <c r="AH187" s="352" t="n"/>
      <c r="AI187" s="352" t="n"/>
      <c r="AJ187" s="352" t="n"/>
      <c r="AK187" s="352" t="n"/>
      <c r="AL187" s="352" t="n"/>
      <c r="AM187" s="352" t="n"/>
      <c r="AN187" s="352" t="n"/>
      <c r="AO187" s="352" t="n"/>
      <c r="AP187" s="352" t="n"/>
      <c r="AQ187" s="352" t="n"/>
      <c r="AR187" s="352" t="n"/>
      <c r="AS187" s="352" t="n"/>
      <c r="AT187" s="352" t="n"/>
      <c r="AU187" s="352" t="n"/>
      <c r="AV187" s="352" t="n"/>
      <c r="AW187" s="352">
        <f>IF(SUM(R187:AV187)=0,"",SUM(R187:AV187))</f>
        <v/>
      </c>
      <c r="AX187" s="431">
        <f>IFERROR(AW187*O187/1000,"")</f>
        <v/>
      </c>
      <c r="AY187" s="431">
        <f>IFERROR(ROUND(AW187*P187/10000,3),"")</f>
        <v/>
      </c>
      <c r="AZ187" s="354" t="n">
        <v>623.27</v>
      </c>
      <c r="BA187" s="355" t="n">
        <v>37.54</v>
      </c>
      <c r="BB187" s="355" t="n">
        <v>58.97</v>
      </c>
      <c r="BC187" s="355" t="n">
        <v>64.23</v>
      </c>
      <c r="BD187" s="331" t="n"/>
      <c r="BE187" s="331">
        <f>AZ187*AW187</f>
        <v/>
      </c>
      <c r="BF187" s="331">
        <f>BA187*AW187</f>
        <v/>
      </c>
      <c r="BG187" s="331">
        <f>BB187*AW187</f>
        <v/>
      </c>
      <c r="BH187" s="331">
        <f>BC187*AW187</f>
        <v/>
      </c>
      <c r="BI187" s="331" t="n"/>
      <c r="BJ187" s="356">
        <f t="array" ref="BJ187:BM187">_xlfn.LET(_xlpm.data,$R187:$AV187,_xlpm.starts,{1,8,16,23},_xlpm.lengths,{7,7,8,9},_xlpm.arr,_xlfn.MAP(_xlpm.starts,_xlpm.lengths,_xlfn.LAMBDA(_xlpm.s,_xlpm.l,SUM(INDEX(_xlpm.data,,_xlfn.SEQUENCE(,_xlpm.l,_xlpm.s))))),ROUND(_xlpm.arr*$O187/1000,2))</f>
        <v/>
      </c>
      <c r="BK187" s="331" t="n">
        <v>0</v>
      </c>
      <c r="BL187" s="331" t="n">
        <v>0</v>
      </c>
      <c r="BM187" s="331" t="n">
        <v>0</v>
      </c>
      <c r="BN187" s="362">
        <f>SUM(BJ187:BM187)</f>
        <v/>
      </c>
      <c r="BO187" s="362" t="n">
        <v>0</v>
      </c>
      <c r="BP187" s="362" t="n">
        <v>0</v>
      </c>
      <c r="BQ187" s="362" t="n">
        <v>0</v>
      </c>
      <c r="BR187" s="362" t="n">
        <v>0</v>
      </c>
      <c r="BS187" s="115" t="n"/>
      <c r="BT187" s="362">
        <f t="array" ref="BT187:BW187">_xlfn.HSTACK(SUM(INDEX($R187:$AV187,1,1):INDEX($R187:$AV187,1,7)),SUM(INDEX($R187:$AV187,1,7):INDEX($R187:$AV187,1,13)),SUM(INDEX($R187:$AV187,1,16):INDEX($R187:$AV187,1,23)),SUM(INDEX($R187:$AV187,1,23):INDEX($R187:$AV187,1,31)))</f>
        <v/>
      </c>
      <c r="BU187" s="362" t="n">
        <v>60</v>
      </c>
      <c r="BV187" s="362" t="n">
        <v>0</v>
      </c>
      <c r="BW187" s="362" t="n">
        <v>0</v>
      </c>
      <c r="BY187" s="362">
        <f>SUM(R187:X187)</f>
        <v/>
      </c>
      <c r="BZ187" s="362">
        <f>SUM(Y187:AE187)</f>
        <v/>
      </c>
      <c r="CA187" s="362">
        <f>SUM(AF187:AM187)</f>
        <v/>
      </c>
      <c r="CB187" s="362">
        <f>SUM(AN187:AV187)</f>
        <v/>
      </c>
      <c r="CD187" s="432" t="inlineStr">
        <is>
          <t>ADA</t>
        </is>
      </c>
      <c r="CE187" s="362">
        <f>ROUND(BY187*$O187/1000,2)</f>
        <v/>
      </c>
      <c r="CF187" s="362">
        <f>ROUND(BZ187*$O187/1000,2)</f>
        <v/>
      </c>
      <c r="CG187" s="362">
        <f>ROUND(CA187*$O187/1000,2)</f>
        <v/>
      </c>
      <c r="CH187" s="362">
        <f>ROUND(CB187*$O187/1000,2)</f>
        <v/>
      </c>
      <c r="CI187" s="362">
        <f>SUM(CE187:CH187)</f>
        <v/>
      </c>
      <c r="CJ187" s="390" t="n"/>
      <c r="CK187" s="362">
        <f>IFERROR(ROUND(BY187*$P187,2),"")</f>
        <v/>
      </c>
      <c r="CL187" s="362">
        <f>IFERROR(ROUND(BZ187*$P187,2),"")</f>
        <v/>
      </c>
      <c r="CM187" s="362">
        <f>IFERROR(ROUND(CA187*$P187,2),"")</f>
        <v/>
      </c>
      <c r="CN187" s="362">
        <f>IFERROR(ROUND(CB187*$P187,2),"")</f>
        <v/>
      </c>
      <c r="CO187" s="362">
        <f>SUM(CK187:CN187)</f>
        <v/>
      </c>
    </row>
    <row r="188" hidden="1" ht="15.6" customFormat="1" customHeight="1" s="362">
      <c r="A188" s="331" t="n"/>
      <c r="B188" s="344">
        <f>_xlfn.XLOOKUP(G188,销售需求表!A:A,销售需求表!C:C)</f>
        <v/>
      </c>
      <c r="C188" s="345">
        <f>IFERROR(MID(F188,FIND("R",F188)+1,4),"")</f>
        <v/>
      </c>
      <c r="D188" s="365">
        <f>B188&amp;C188&amp;"寸"</f>
        <v/>
      </c>
      <c r="E188" s="346">
        <f>LEFT(REPLACE(G188,1,2,""),FIND("[",REPLACE(G188,1,2,""))-1)&amp;"-"&amp;MID(REPLACE(G188,1,2,""),FIND("[",REPLACE(G188,1,2,""))+1,FIND("]",REPLACE(G188,1,2,""))-FIND("[",REPLACE(G188,1,2,""))-1)</f>
        <v/>
      </c>
      <c r="F188" s="347">
        <f>IFERROR(MID(G188,3,FIND("(",G188)-3)&amp;"-"&amp;SUBSTITUTE(MID(G188,FIND("[",G188)+1,FIND("]",G188)-FIND("[",G188)-1),"Strong Guard ",""),"")</f>
        <v/>
      </c>
      <c r="G188" s="366" t="inlineStr">
        <is>
          <t>ID295/80R22.5-18PR(152/149M)[AS858Pro]威狮无内</t>
        </is>
      </c>
      <c r="H188" s="344" t="n">
        <v>300</v>
      </c>
      <c r="I188" s="348" t="n"/>
      <c r="J188" s="349">
        <f>IFERROR(LEFT(F188,FIND("-",F188))&amp;MID(F188,FIND("PR",F188,FIND("-",F188))+3,LEN(F188)),F188)</f>
        <v/>
      </c>
      <c r="K188" s="352">
        <f>_xlfn.XLOOKUP(F188,投产规格!E:E,投产规格!D:D,"未投产")</f>
        <v/>
      </c>
      <c r="L188" s="352">
        <f>IFERROR(_xlfn.XLOOKUP(F188,硫化工艺!B:B,硫化工艺!C:C),"")</f>
        <v/>
      </c>
      <c r="M188" s="430">
        <f>IF(L188="","",L188/(L188+$L$1/60))</f>
        <v/>
      </c>
      <c r="N188" s="352">
        <f>C188&amp;"全钢"</f>
        <v/>
      </c>
      <c r="O188" s="352">
        <f>IFERROR(_xlfn.XLOOKUP(F188,轮胎重量!J:J,轮胎重量!G:G),"")</f>
        <v/>
      </c>
      <c r="P188" s="352">
        <f>IFERROR(_xlfn.XLOOKUP(G188,硫化工艺!I:I,硫化工艺!J:J),"")</f>
        <v/>
      </c>
      <c r="Q188" s="352">
        <f>IFERROR(ROUND(1440/L188*(I188)*M188,0),"")</f>
        <v/>
      </c>
      <c r="R188" s="352" t="n"/>
      <c r="S188" s="352" t="n"/>
      <c r="T188" s="352" t="n"/>
      <c r="U188" s="352" t="n"/>
      <c r="V188" s="352" t="n"/>
      <c r="W188" s="352" t="n"/>
      <c r="X188" s="352" t="n"/>
      <c r="Y188" s="352" t="n"/>
      <c r="Z188" s="352" t="n"/>
      <c r="AA188" s="352" t="n"/>
      <c r="AB188" s="352" t="n"/>
      <c r="AC188" s="352" t="n"/>
      <c r="AD188" s="352" t="n"/>
      <c r="AE188" s="352" t="n"/>
      <c r="AF188" s="352" t="n"/>
      <c r="AG188" s="352" t="n"/>
      <c r="AH188" s="352" t="n"/>
      <c r="AI188" s="352" t="n"/>
      <c r="AJ188" s="352" t="n"/>
      <c r="AK188" s="352" t="n"/>
      <c r="AL188" s="352" t="n"/>
      <c r="AM188" s="352" t="n"/>
      <c r="AN188" s="352" t="n"/>
      <c r="AO188" s="352" t="n"/>
      <c r="AP188" s="352" t="n"/>
      <c r="AQ188" s="352" t="n"/>
      <c r="AR188" s="352" t="n"/>
      <c r="AS188" s="352" t="n"/>
      <c r="AT188" s="352" t="n"/>
      <c r="AU188" s="352" t="n"/>
      <c r="AV188" s="352" t="n"/>
      <c r="AW188" s="352">
        <f>IF(SUM(R188:AV188)=0,"",SUM(R188:AV188))</f>
        <v/>
      </c>
      <c r="AX188" s="431">
        <f>IFERROR(AW188*O188/1000,"")</f>
        <v/>
      </c>
      <c r="AY188" s="431">
        <f>IFERROR(ROUND(AW188*P188/10000,3),"")</f>
        <v/>
      </c>
      <c r="AZ188" s="354" t="n">
        <v>623.27</v>
      </c>
      <c r="BA188" s="355" t="n">
        <v>37.54</v>
      </c>
      <c r="BB188" s="355" t="n">
        <v>58.97</v>
      </c>
      <c r="BC188" s="355" t="n">
        <v>64.23</v>
      </c>
      <c r="BD188" s="331" t="n"/>
      <c r="BE188" s="331">
        <f>AZ188*AW188</f>
        <v/>
      </c>
      <c r="BF188" s="331">
        <f>BA188*AW188</f>
        <v/>
      </c>
      <c r="BG188" s="331">
        <f>BB188*AW188</f>
        <v/>
      </c>
      <c r="BH188" s="331">
        <f>BC188*AW188</f>
        <v/>
      </c>
      <c r="BI188" s="331" t="n"/>
      <c r="BJ188" s="356">
        <f t="array" ref="BJ188:BM188">_xlfn.LET(_xlpm.data,$R188:$AV188,_xlpm.starts,{1,8,16,23},_xlpm.lengths,{7,7,8,9},_xlpm.arr,_xlfn.MAP(_xlpm.starts,_xlpm.lengths,_xlfn.LAMBDA(_xlpm.s,_xlpm.l,SUM(INDEX(_xlpm.data,,_xlfn.SEQUENCE(,_xlpm.l,_xlpm.s))))),ROUND(_xlpm.arr*$O188/1000,2))</f>
        <v/>
      </c>
      <c r="BK188" s="331" t="n">
        <v>0</v>
      </c>
      <c r="BL188" s="331" t="n">
        <v>0</v>
      </c>
      <c r="BM188" s="331" t="n">
        <v>0</v>
      </c>
      <c r="BN188" s="362">
        <f>SUM(BJ188:BM188)</f>
        <v/>
      </c>
      <c r="BO188" s="362" t="n">
        <v>0</v>
      </c>
      <c r="BP188" s="362" t="n">
        <v>0</v>
      </c>
      <c r="BQ188" s="362" t="n">
        <v>0</v>
      </c>
      <c r="BR188" s="362" t="n">
        <v>0</v>
      </c>
      <c r="BS188" s="115" t="n"/>
      <c r="BT188" s="362">
        <f t="array" ref="BT188:BW188">_xlfn.HSTACK(SUM(INDEX($R188:$AV188,1,1):INDEX($R188:$AV188,1,7)),SUM(INDEX($R188:$AV188,1,7):INDEX($R188:$AV188,1,13)),SUM(INDEX($R188:$AV188,1,16):INDEX($R188:$AV188,1,23)),SUM(INDEX($R188:$AV188,1,23):INDEX($R188:$AV188,1,31)))</f>
        <v/>
      </c>
      <c r="BU188" s="362" t="n">
        <v>0</v>
      </c>
      <c r="BV188" s="362" t="n">
        <v>0</v>
      </c>
      <c r="BW188" s="362" t="n">
        <v>0</v>
      </c>
      <c r="BY188" s="362">
        <f>SUM(R188:X188)</f>
        <v/>
      </c>
      <c r="BZ188" s="362">
        <f>SUM(Y188:AE188)</f>
        <v/>
      </c>
      <c r="CA188" s="362">
        <f>SUM(AF188:AM188)</f>
        <v/>
      </c>
      <c r="CB188" s="362">
        <f>SUM(AN188:AV188)</f>
        <v/>
      </c>
      <c r="CD188" s="432" t="inlineStr">
        <is>
          <t>ADA</t>
        </is>
      </c>
      <c r="CE188" s="362">
        <f>ROUND(BY188*$O188/1000,2)</f>
        <v/>
      </c>
      <c r="CF188" s="362">
        <f>ROUND(BZ188*$O188/1000,2)</f>
        <v/>
      </c>
      <c r="CG188" s="362">
        <f>ROUND(CA188*$O188/1000,2)</f>
        <v/>
      </c>
      <c r="CH188" s="362">
        <f>ROUND(CB188*$O188/1000,2)</f>
        <v/>
      </c>
      <c r="CI188" s="362">
        <f>SUM(CE188:CH188)</f>
        <v/>
      </c>
      <c r="CJ188" s="390" t="n"/>
      <c r="CK188" s="362">
        <f>IFERROR(ROUND(BY188*$P188,2),"")</f>
        <v/>
      </c>
      <c r="CL188" s="362">
        <f>IFERROR(ROUND(BZ188*$P188,2),"")</f>
        <v/>
      </c>
      <c r="CM188" s="362">
        <f>IFERROR(ROUND(CA188*$P188,2),"")</f>
        <v/>
      </c>
      <c r="CN188" s="362">
        <f>IFERROR(ROUND(CB188*$P188,2),"")</f>
        <v/>
      </c>
      <c r="CO188" s="362">
        <f>SUM(CK188:CN188)</f>
        <v/>
      </c>
    </row>
    <row r="189" hidden="1" ht="15.6" customFormat="1" customHeight="1" s="362">
      <c r="A189" s="331" t="n"/>
      <c r="B189" s="344">
        <f>_xlfn.XLOOKUP(G189,销售需求表!A:A,销售需求表!C:C)</f>
        <v/>
      </c>
      <c r="C189" s="345">
        <f>IFERROR(MID(F189,FIND("R",F189)+1,4),"")</f>
        <v/>
      </c>
      <c r="D189" s="365">
        <f>B189&amp;C189&amp;"寸"</f>
        <v/>
      </c>
      <c r="E189" s="346">
        <f>LEFT(REPLACE(G189,1,2,""),FIND("[",REPLACE(G189,1,2,""))-1)&amp;"-"&amp;MID(REPLACE(G189,1,2,""),FIND("[",REPLACE(G189,1,2,""))+1,FIND("]",REPLACE(G189,1,2,""))-FIND("[",REPLACE(G189,1,2,""))-1)</f>
        <v/>
      </c>
      <c r="F189" s="347">
        <f>IFERROR(MID(G189,3,FIND("(",G189)-3)&amp;"-"&amp;SUBSTITUTE(MID(G189,FIND("[",G189)+1,FIND("]",G189)-FIND("[",G189)-1),"Strong Guard ",""),"")</f>
        <v/>
      </c>
      <c r="G189" s="366" t="inlineStr">
        <is>
          <t>ID295/80R22.5-18PR(152/149M)[AS858Pro]雅度无内</t>
        </is>
      </c>
      <c r="H189" s="344" t="n">
        <v>350</v>
      </c>
      <c r="I189" s="348" t="n"/>
      <c r="J189" s="349">
        <f>IFERROR(LEFT(F189,FIND("-",F189))&amp;MID(F189,FIND("PR",F189,FIND("-",F189))+3,LEN(F189)),F189)</f>
        <v/>
      </c>
      <c r="K189" s="352">
        <f>_xlfn.XLOOKUP(F189,投产规格!E:E,投产规格!D:D,"未投产")</f>
        <v/>
      </c>
      <c r="L189" s="352">
        <f>IFERROR(_xlfn.XLOOKUP(F189,硫化工艺!B:B,硫化工艺!C:C),"")</f>
        <v/>
      </c>
      <c r="M189" s="430">
        <f>IF(L189="","",L189/(L189+$L$1/60))</f>
        <v/>
      </c>
      <c r="N189" s="352">
        <f>C189&amp;"全钢"</f>
        <v/>
      </c>
      <c r="O189" s="352">
        <f>IFERROR(_xlfn.XLOOKUP(F189,轮胎重量!J:J,轮胎重量!G:G),"")</f>
        <v/>
      </c>
      <c r="P189" s="352">
        <f>IFERROR(_xlfn.XLOOKUP(G189,硫化工艺!I:I,硫化工艺!J:J),"")</f>
        <v/>
      </c>
      <c r="Q189" s="352">
        <f>IFERROR(ROUND(1440/L189*(I189)*M189,0),"")</f>
        <v/>
      </c>
      <c r="R189" s="352" t="n"/>
      <c r="S189" s="352" t="n"/>
      <c r="T189" s="352" t="n"/>
      <c r="U189" s="352" t="n"/>
      <c r="V189" s="352" t="n"/>
      <c r="W189" s="352" t="n"/>
      <c r="X189" s="352" t="n"/>
      <c r="Y189" s="352" t="n"/>
      <c r="Z189" s="352" t="n"/>
      <c r="AA189" s="352" t="n"/>
      <c r="AB189" s="352" t="n"/>
      <c r="AC189" s="352" t="n"/>
      <c r="AD189" s="352" t="n"/>
      <c r="AE189" s="352" t="n"/>
      <c r="AF189" s="352" t="n"/>
      <c r="AG189" s="352" t="n"/>
      <c r="AH189" s="352" t="n"/>
      <c r="AI189" s="352" t="n"/>
      <c r="AJ189" s="352" t="n"/>
      <c r="AK189" s="352" t="n"/>
      <c r="AL189" s="352" t="n"/>
      <c r="AM189" s="352" t="n"/>
      <c r="AN189" s="352" t="n"/>
      <c r="AO189" s="352" t="n"/>
      <c r="AP189" s="352" t="n"/>
      <c r="AQ189" s="352" t="n"/>
      <c r="AR189" s="352" t="n"/>
      <c r="AS189" s="352" t="n"/>
      <c r="AT189" s="352" t="n"/>
      <c r="AU189" s="352" t="n"/>
      <c r="AV189" s="352" t="n"/>
      <c r="AW189" s="352">
        <f>IF(SUM(R189:AV189)=0,"",SUM(R189:AV189))</f>
        <v/>
      </c>
      <c r="AX189" s="431">
        <f>IFERROR(AW189*O189/1000,"")</f>
        <v/>
      </c>
      <c r="AY189" s="431">
        <f>IFERROR(ROUND(AW189*P189/10000,3),"")</f>
        <v/>
      </c>
      <c r="AZ189" s="354" t="n">
        <v>623.27</v>
      </c>
      <c r="BA189" s="355" t="n">
        <v>37.54</v>
      </c>
      <c r="BB189" s="355" t="n">
        <v>58.97</v>
      </c>
      <c r="BC189" s="355" t="n">
        <v>64.23</v>
      </c>
      <c r="BD189" s="331" t="n"/>
      <c r="BE189" s="331">
        <f>AZ189*AW189</f>
        <v/>
      </c>
      <c r="BF189" s="331">
        <f>BA189*AW189</f>
        <v/>
      </c>
      <c r="BG189" s="331">
        <f>BB189*AW189</f>
        <v/>
      </c>
      <c r="BH189" s="331">
        <f>BC189*AW189</f>
        <v/>
      </c>
      <c r="BI189" s="331" t="n"/>
      <c r="BJ189" s="356">
        <f t="array" ref="BJ189:BM189">_xlfn.LET(_xlpm.data,$R189:$AV189,_xlpm.starts,{1,8,16,23},_xlpm.lengths,{7,7,8,9},_xlpm.arr,_xlfn.MAP(_xlpm.starts,_xlpm.lengths,_xlfn.LAMBDA(_xlpm.s,_xlpm.l,SUM(INDEX(_xlpm.data,,_xlfn.SEQUENCE(,_xlpm.l,_xlpm.s))))),ROUND(_xlpm.arr*$O189/1000,2))</f>
        <v/>
      </c>
      <c r="BK189" s="331" t="n">
        <v>0</v>
      </c>
      <c r="BL189" s="331" t="n">
        <v>0</v>
      </c>
      <c r="BM189" s="331" t="n">
        <v>0</v>
      </c>
      <c r="BN189" s="362">
        <f>SUM(BJ189:BM189)</f>
        <v/>
      </c>
      <c r="BO189" s="362" t="n">
        <v>0</v>
      </c>
      <c r="BP189" s="362" t="n">
        <v>0</v>
      </c>
      <c r="BQ189" s="362" t="n">
        <v>7.42</v>
      </c>
      <c r="BR189" s="362" t="n">
        <v>61.11</v>
      </c>
      <c r="BS189" s="115" t="n"/>
      <c r="BT189" s="362">
        <f t="array" ref="BT189:BW189">_xlfn.HSTACK(SUM(INDEX($R189:$AV189,1,1):INDEX($R189:$AV189,1,7)),SUM(INDEX($R189:$AV189,1,7):INDEX($R189:$AV189,1,13)),SUM(INDEX($R189:$AV189,1,16):INDEX($R189:$AV189,1,23)),SUM(INDEX($R189:$AV189,1,23):INDEX($R189:$AV189,1,31)))</f>
        <v/>
      </c>
      <c r="BU189" s="362" t="n">
        <v>0</v>
      </c>
      <c r="BV189" s="362" t="n">
        <v>0</v>
      </c>
      <c r="BW189" s="362" t="n">
        <v>0</v>
      </c>
      <c r="BY189" s="362">
        <f>SUM(R189:X189)</f>
        <v/>
      </c>
      <c r="BZ189" s="362">
        <f>SUM(Y189:AE189)</f>
        <v/>
      </c>
      <c r="CA189" s="362">
        <f>SUM(AF189:AM189)</f>
        <v/>
      </c>
      <c r="CB189" s="362">
        <f>SUM(AN189:AV189)</f>
        <v/>
      </c>
      <c r="CD189" s="432" t="inlineStr">
        <is>
          <t>ADA</t>
        </is>
      </c>
      <c r="CE189" s="362">
        <f>ROUND(BY189*$O189/1000,2)</f>
        <v/>
      </c>
      <c r="CF189" s="362">
        <f>ROUND(BZ189*$O189/1000,2)</f>
        <v/>
      </c>
      <c r="CG189" s="362">
        <f>ROUND(CA189*$O189/1000,2)</f>
        <v/>
      </c>
      <c r="CH189" s="362">
        <f>ROUND(CB189*$O189/1000,2)</f>
        <v/>
      </c>
      <c r="CI189" s="362">
        <f>SUM(CE189:CH189)</f>
        <v/>
      </c>
      <c r="CJ189" s="390" t="n"/>
      <c r="CK189" s="362">
        <f>IFERROR(ROUND(BY189*$P189,2),"")</f>
        <v/>
      </c>
      <c r="CL189" s="362">
        <f>IFERROR(ROUND(BZ189*$P189,2),"")</f>
        <v/>
      </c>
      <c r="CM189" s="362">
        <f>IFERROR(ROUND(CA189*$P189,2),"")</f>
        <v/>
      </c>
      <c r="CN189" s="362">
        <f>IFERROR(ROUND(CB189*$P189,2),"")</f>
        <v/>
      </c>
      <c r="CO189" s="362">
        <f>SUM(CK189:CN189)</f>
        <v/>
      </c>
    </row>
    <row r="190" hidden="1" ht="15.6" customFormat="1" customHeight="1" s="362">
      <c r="A190" s="331" t="n"/>
      <c r="B190" s="344">
        <f>_xlfn.XLOOKUP(G190,销售需求表!A:A,销售需求表!C:C)</f>
        <v/>
      </c>
      <c r="C190" s="345">
        <f>IFERROR(MID(F190,FIND("R",F190)+1,4),"")</f>
        <v/>
      </c>
      <c r="D190" s="365">
        <f>B190&amp;C190&amp;"寸"</f>
        <v/>
      </c>
      <c r="E190" s="346">
        <f>LEFT(REPLACE(G190,1,2,""),FIND("[",REPLACE(G190,1,2,""))-1)&amp;"-"&amp;MID(REPLACE(G190,1,2,""),FIND("[",REPLACE(G190,1,2,""))+1,FIND("]",REPLACE(G190,1,2,""))-FIND("[",REPLACE(G190,1,2,""))-1)</f>
        <v/>
      </c>
      <c r="F190" s="347">
        <f>IFERROR(MID(G190,3,FIND("(",G190)-3)&amp;"-"&amp;SUBSTITUTE(MID(G190,FIND("[",G190)+1,FIND("]",G190)-FIND("[",G190)-1),"Strong Guard ",""),"")</f>
        <v/>
      </c>
      <c r="G190" s="366" t="inlineStr">
        <is>
          <t>ID295/80R22.5-18PR(152/149M)[AS868Pro]TRAZANO(全诺)无内</t>
        </is>
      </c>
      <c r="H190" s="344" t="n">
        <v>250</v>
      </c>
      <c r="I190" s="348" t="n"/>
      <c r="J190" s="349">
        <f>IFERROR(LEFT(F190,FIND("-",F190))&amp;MID(F190,FIND("PR",F190,FIND("-",F190))+3,LEN(F190)),F190)</f>
        <v/>
      </c>
      <c r="K190" s="352">
        <f>_xlfn.XLOOKUP(F190,投产规格!E:E,投产规格!D:D,"未投产")</f>
        <v/>
      </c>
      <c r="L190" s="352">
        <f>IFERROR(_xlfn.XLOOKUP(F190,硫化工艺!B:B,硫化工艺!C:C),"")</f>
        <v/>
      </c>
      <c r="M190" s="430">
        <f>IF(L190="","",L190/(L190+$L$1/60))</f>
        <v/>
      </c>
      <c r="N190" s="352">
        <f>C190&amp;"全钢"</f>
        <v/>
      </c>
      <c r="O190" s="352">
        <f>IFERROR(_xlfn.XLOOKUP(F190,轮胎重量!J:J,轮胎重量!G:G),"")</f>
        <v/>
      </c>
      <c r="P190" s="358">
        <f>O190*13.9</f>
        <v/>
      </c>
      <c r="Q190" s="352">
        <f>IFERROR(ROUND(1440/L190*(I190)*M190,0),"")</f>
        <v/>
      </c>
      <c r="R190" s="352" t="n"/>
      <c r="S190" s="352" t="n"/>
      <c r="T190" s="352" t="n"/>
      <c r="U190" s="352" t="n"/>
      <c r="V190" s="352" t="n"/>
      <c r="W190" s="352" t="n"/>
      <c r="X190" s="352" t="n"/>
      <c r="Y190" s="352" t="n"/>
      <c r="Z190" s="352" t="n"/>
      <c r="AA190" s="352" t="n"/>
      <c r="AB190" s="352" t="n"/>
      <c r="AC190" s="352" t="n"/>
      <c r="AD190" s="352" t="n"/>
      <c r="AE190" s="352" t="n"/>
      <c r="AF190" s="352" t="n"/>
      <c r="AG190" s="352" t="n"/>
      <c r="AH190" s="352" t="n"/>
      <c r="AI190" s="352" t="n"/>
      <c r="AJ190" s="352" t="n"/>
      <c r="AK190" s="352" t="n"/>
      <c r="AL190" s="352" t="n"/>
      <c r="AM190" s="352" t="n"/>
      <c r="AN190" s="352" t="n"/>
      <c r="AO190" s="352" t="n"/>
      <c r="AP190" s="352" t="n"/>
      <c r="AQ190" s="352" t="n"/>
      <c r="AR190" s="352" t="n"/>
      <c r="AS190" s="352" t="n"/>
      <c r="AT190" s="352" t="n"/>
      <c r="AU190" s="352" t="n"/>
      <c r="AV190" s="352" t="n"/>
      <c r="AW190" s="352">
        <f>IF(SUM(R190:AV190)=0,"",SUM(R190:AV190))</f>
        <v/>
      </c>
      <c r="AX190" s="431">
        <f>IFERROR(AW190*O190/1000,"")</f>
        <v/>
      </c>
      <c r="AY190" s="431">
        <f>IFERROR(ROUND(AW190*P190/10000,3),"")</f>
        <v/>
      </c>
      <c r="AZ190" s="354" t="n">
        <v>623.27</v>
      </c>
      <c r="BA190" s="355" t="n">
        <v>37.54</v>
      </c>
      <c r="BB190" s="355" t="n">
        <v>58.97</v>
      </c>
      <c r="BC190" s="355" t="n">
        <v>64.23</v>
      </c>
      <c r="BD190" s="331" t="n"/>
      <c r="BE190" s="331">
        <f>AZ190*AW190</f>
        <v/>
      </c>
      <c r="BF190" s="331">
        <f>BA190*AW190</f>
        <v/>
      </c>
      <c r="BG190" s="331">
        <f>BB190*AW190</f>
        <v/>
      </c>
      <c r="BH190" s="331">
        <f>BC190*AW190</f>
        <v/>
      </c>
      <c r="BI190" s="331" t="n"/>
      <c r="BJ190" s="356">
        <f t="array" ref="BJ190:BM190">_xlfn.LET(_xlpm.data,$R190:$AV190,_xlpm.starts,{1,8,16,23},_xlpm.lengths,{7,7,8,9},_xlpm.arr,_xlfn.MAP(_xlpm.starts,_xlpm.lengths,_xlfn.LAMBDA(_xlpm.s,_xlpm.l,SUM(INDEX(_xlpm.data,,_xlfn.SEQUENCE(,_xlpm.l,_xlpm.s))))),ROUND(_xlpm.arr*$O190/1000,2))</f>
        <v/>
      </c>
      <c r="BK190" s="331" t="n">
        <v>0</v>
      </c>
      <c r="BL190" s="331" t="n">
        <v>0</v>
      </c>
      <c r="BM190" s="331" t="n">
        <v>0</v>
      </c>
      <c r="BN190" s="362">
        <f>SUM(BJ190:BM190)</f>
        <v/>
      </c>
      <c r="BO190" s="362" t="n">
        <v>0.22</v>
      </c>
      <c r="BP190" s="362" t="n">
        <v>0.44</v>
      </c>
      <c r="BQ190" s="362" t="n">
        <v>47.41</v>
      </c>
      <c r="BR190" s="362" t="n">
        <v>0</v>
      </c>
      <c r="BS190" s="115" t="n"/>
      <c r="BT190" s="362">
        <f t="array" ref="BT190:BW190">_xlfn.HSTACK(SUM(INDEX($R190:$AV190,1,1):INDEX($R190:$AV190,1,7)),SUM(INDEX($R190:$AV190,1,7):INDEX($R190:$AV190,1,13)),SUM(INDEX($R190:$AV190,1,16):INDEX($R190:$AV190,1,23)),SUM(INDEX($R190:$AV190,1,23):INDEX($R190:$AV190,1,31)))</f>
        <v/>
      </c>
      <c r="BU190" s="362" t="n">
        <v>0</v>
      </c>
      <c r="BV190" s="362" t="n">
        <v>0</v>
      </c>
      <c r="BW190" s="362" t="n">
        <v>0</v>
      </c>
      <c r="BY190" s="362">
        <f>SUM(R190:X190)</f>
        <v/>
      </c>
      <c r="BZ190" s="362">
        <f>SUM(Y190:AE190)</f>
        <v/>
      </c>
      <c r="CA190" s="362">
        <f>SUM(AF190:AM190)</f>
        <v/>
      </c>
      <c r="CB190" s="362">
        <f>SUM(AN190:AV190)</f>
        <v/>
      </c>
      <c r="CD190" s="432" t="inlineStr">
        <is>
          <t>ADA</t>
        </is>
      </c>
      <c r="CE190" s="362">
        <f>ROUND(BY190*$O190/1000,2)</f>
        <v/>
      </c>
      <c r="CF190" s="362">
        <f>ROUND(BZ190*$O190/1000,2)</f>
        <v/>
      </c>
      <c r="CG190" s="362">
        <f>ROUND(CA190*$O190/1000,2)</f>
        <v/>
      </c>
      <c r="CH190" s="362">
        <f>ROUND(CB190*$O190/1000,2)</f>
        <v/>
      </c>
      <c r="CI190" s="362">
        <f>SUM(CE190:CH190)</f>
        <v/>
      </c>
      <c r="CJ190" s="390" t="n"/>
      <c r="CK190" s="362">
        <f>IFERROR(ROUND(BY190*$P190,2),"")</f>
        <v/>
      </c>
      <c r="CL190" s="362">
        <f>IFERROR(ROUND(BZ190*$P190,2),"")</f>
        <v/>
      </c>
      <c r="CM190" s="362">
        <f>IFERROR(ROUND(CA190*$P190,2),"")</f>
        <v/>
      </c>
      <c r="CN190" s="362">
        <f>IFERROR(ROUND(CB190*$P190,2),"")</f>
        <v/>
      </c>
      <c r="CO190" s="362">
        <f>SUM(CK190:CN190)</f>
        <v/>
      </c>
    </row>
    <row r="191" hidden="1" ht="15.6" customFormat="1" customHeight="1" s="362">
      <c r="A191" s="331" t="n"/>
      <c r="B191" s="344">
        <f>_xlfn.XLOOKUP(G191,销售需求表!A:A,销售需求表!C:C)</f>
        <v/>
      </c>
      <c r="C191" s="345">
        <f>IFERROR(MID(F191,FIND("R",F191)+1,4),"")</f>
        <v/>
      </c>
      <c r="D191" s="365">
        <f>B191&amp;C191&amp;"寸"</f>
        <v/>
      </c>
      <c r="E191" s="346">
        <f>LEFT(REPLACE(G191,1,2,""),FIND("[",REPLACE(G191,1,2,""))-1)&amp;"-"&amp;MID(REPLACE(G191,1,2,""),FIND("[",REPLACE(G191,1,2,""))+1,FIND("]",REPLACE(G191,1,2,""))-FIND("[",REPLACE(G191,1,2,""))-1)</f>
        <v/>
      </c>
      <c r="F191" s="347">
        <f>IFERROR(MID(G191,3,FIND("(",G191)-3)&amp;"-"&amp;SUBSTITUTE(MID(G191,FIND("[",G191)+1,FIND("]",G191)-FIND("[",G191)-1),"Strong Guard ",""),"")</f>
        <v/>
      </c>
      <c r="G191" s="366" t="inlineStr">
        <is>
          <t>ID295/80R22.5-18PR(152/149M)[AS868Pro]朝阳无内</t>
        </is>
      </c>
      <c r="H191" s="344" t="n">
        <v>160</v>
      </c>
      <c r="I191" s="348" t="n"/>
      <c r="J191" s="349">
        <f>IFERROR(LEFT(F191,FIND("-",F191))&amp;MID(F191,FIND("PR",F191,FIND("-",F191))+3,LEN(F191)),F191)</f>
        <v/>
      </c>
      <c r="K191" s="352">
        <f>_xlfn.XLOOKUP(F191,投产规格!E:E,投产规格!D:D,"未投产")</f>
        <v/>
      </c>
      <c r="L191" s="352">
        <f>IFERROR(_xlfn.XLOOKUP(F191,硫化工艺!B:B,硫化工艺!C:C),"")</f>
        <v/>
      </c>
      <c r="M191" s="430">
        <f>IF(L191="","",L191/(L191+$L$1/60))</f>
        <v/>
      </c>
      <c r="N191" s="352">
        <f>C191&amp;"全钢"</f>
        <v/>
      </c>
      <c r="O191" s="352">
        <f>IFERROR(_xlfn.XLOOKUP(F191,轮胎重量!J:J,轮胎重量!G:G),"")</f>
        <v/>
      </c>
      <c r="P191" s="352">
        <f>IFERROR(_xlfn.XLOOKUP(G191,硫化工艺!I:I,硫化工艺!J:J),"")</f>
        <v/>
      </c>
      <c r="Q191" s="352">
        <f>IFERROR(ROUND(1440/L191*(I191)*M191,0),"")</f>
        <v/>
      </c>
      <c r="R191" s="352" t="n"/>
      <c r="S191" s="352" t="n"/>
      <c r="T191" s="352" t="n"/>
      <c r="U191" s="352" t="n"/>
      <c r="V191" s="352" t="n"/>
      <c r="W191" s="352" t="n"/>
      <c r="X191" s="352" t="n"/>
      <c r="Y191" s="352" t="n"/>
      <c r="Z191" s="352" t="n"/>
      <c r="AA191" s="352" t="n"/>
      <c r="AB191" s="352" t="n"/>
      <c r="AC191" s="352" t="n"/>
      <c r="AD191" s="352" t="n"/>
      <c r="AE191" s="352" t="n"/>
      <c r="AF191" s="352" t="n"/>
      <c r="AG191" s="352" t="n"/>
      <c r="AH191" s="352" t="n"/>
      <c r="AI191" s="352" t="n"/>
      <c r="AJ191" s="352" t="n"/>
      <c r="AK191" s="352" t="n"/>
      <c r="AL191" s="352" t="n"/>
      <c r="AM191" s="352" t="n"/>
      <c r="AN191" s="352" t="n"/>
      <c r="AO191" s="352" t="n"/>
      <c r="AP191" s="352" t="n"/>
      <c r="AQ191" s="352" t="n"/>
      <c r="AR191" s="352" t="n"/>
      <c r="AS191" s="352" t="n"/>
      <c r="AT191" s="352" t="n"/>
      <c r="AU191" s="352" t="n"/>
      <c r="AV191" s="352" t="n"/>
      <c r="AW191" s="352">
        <f>IF(SUM(R191:AV191)=0,"",SUM(R191:AV191))</f>
        <v/>
      </c>
      <c r="AX191" s="431">
        <f>IFERROR(AW191*O191/1000,"")</f>
        <v/>
      </c>
      <c r="AY191" s="431">
        <f>IFERROR(ROUND(AW191*P191/10000,3),"")</f>
        <v/>
      </c>
      <c r="AZ191" s="354" t="n">
        <v>623.27</v>
      </c>
      <c r="BA191" s="355" t="n">
        <v>37.54</v>
      </c>
      <c r="BB191" s="355" t="n">
        <v>58.97</v>
      </c>
      <c r="BC191" s="355" t="n">
        <v>64.23</v>
      </c>
      <c r="BD191" s="331" t="n"/>
      <c r="BE191" s="331">
        <f>AZ191*AW191</f>
        <v/>
      </c>
      <c r="BF191" s="331">
        <f>BA191*AW191</f>
        <v/>
      </c>
      <c r="BG191" s="331">
        <f>BB191*AW191</f>
        <v/>
      </c>
      <c r="BH191" s="331">
        <f>BC191*AW191</f>
        <v/>
      </c>
      <c r="BI191" s="331" t="n"/>
      <c r="BJ191" s="356">
        <f t="array" ref="BJ191:BM191">_xlfn.LET(_xlpm.data,$R191:$AV191,_xlpm.starts,{1,8,16,23},_xlpm.lengths,{7,7,8,9},_xlpm.arr,_xlfn.MAP(_xlpm.starts,_xlpm.lengths,_xlfn.LAMBDA(_xlpm.s,_xlpm.l,SUM(INDEX(_xlpm.data,,_xlfn.SEQUENCE(,_xlpm.l,_xlpm.s))))),ROUND(_xlpm.arr*$O191/1000,2))</f>
        <v/>
      </c>
      <c r="BK191" s="331" t="n">
        <v>0</v>
      </c>
      <c r="BL191" s="331" t="n">
        <v>0</v>
      </c>
      <c r="BM191" s="331" t="n">
        <v>0</v>
      </c>
      <c r="BN191" s="362">
        <f>SUM(BJ191:BM191)</f>
        <v/>
      </c>
      <c r="BO191" s="362" t="n">
        <v>0.22</v>
      </c>
      <c r="BP191" s="362" t="n">
        <v>0.44</v>
      </c>
      <c r="BQ191" s="362" t="n">
        <v>47.41</v>
      </c>
      <c r="BR191" s="362" t="n">
        <v>0</v>
      </c>
      <c r="BS191" s="115" t="n"/>
      <c r="BT191" s="362">
        <f t="array" ref="BT191:BW191">_xlfn.HSTACK(SUM(INDEX($R191:$AV191,1,1):INDEX($R191:$AV191,1,7)),SUM(INDEX($R191:$AV191,1,7):INDEX($R191:$AV191,1,13)),SUM(INDEX($R191:$AV191,1,16):INDEX($R191:$AV191,1,23)),SUM(INDEX($R191:$AV191,1,23):INDEX($R191:$AV191,1,31)))</f>
        <v/>
      </c>
      <c r="BU191" s="362" t="n">
        <v>0</v>
      </c>
      <c r="BV191" s="362" t="n">
        <v>0</v>
      </c>
      <c r="BW191" s="362" t="n">
        <v>0</v>
      </c>
      <c r="BY191" s="362">
        <f>SUM(R191:X191)</f>
        <v/>
      </c>
      <c r="BZ191" s="362">
        <f>SUM(Y191:AE191)</f>
        <v/>
      </c>
      <c r="CA191" s="362">
        <f>SUM(AF191:AM191)</f>
        <v/>
      </c>
      <c r="CB191" s="362">
        <f>SUM(AN191:AV191)</f>
        <v/>
      </c>
      <c r="CD191" s="432" t="inlineStr">
        <is>
          <t>ADA</t>
        </is>
      </c>
      <c r="CE191" s="362">
        <f>ROUND(BY191*$O191/1000,2)</f>
        <v/>
      </c>
      <c r="CF191" s="362">
        <f>ROUND(BZ191*$O191/1000,2)</f>
        <v/>
      </c>
      <c r="CG191" s="362">
        <f>ROUND(CA191*$O191/1000,2)</f>
        <v/>
      </c>
      <c r="CH191" s="362">
        <f>ROUND(CB191*$O191/1000,2)</f>
        <v/>
      </c>
      <c r="CI191" s="362">
        <f>SUM(CE191:CH191)</f>
        <v/>
      </c>
      <c r="CJ191" s="390" t="n"/>
      <c r="CK191" s="362">
        <f>IFERROR(ROUND(BY191*$P191,2),"")</f>
        <v/>
      </c>
      <c r="CL191" s="362">
        <f>IFERROR(ROUND(BZ191*$P191,2),"")</f>
        <v/>
      </c>
      <c r="CM191" s="362">
        <f>IFERROR(ROUND(CA191*$P191,2),"")</f>
        <v/>
      </c>
      <c r="CN191" s="362">
        <f>IFERROR(ROUND(CB191*$P191,2),"")</f>
        <v/>
      </c>
      <c r="CO191" s="362">
        <f>SUM(CK191:CN191)</f>
        <v/>
      </c>
    </row>
    <row r="192" hidden="1" ht="15.6" customFormat="1" customHeight="1" s="362">
      <c r="A192" s="331" t="n"/>
      <c r="B192" s="344">
        <f>_xlfn.XLOOKUP(G192,销售需求表!A:A,销售需求表!C:C)</f>
        <v/>
      </c>
      <c r="C192" s="345">
        <f>IFERROR(MID(F192,FIND("R",F192)+1,4),"")</f>
        <v/>
      </c>
      <c r="D192" s="365">
        <f>B192&amp;C192&amp;"寸"</f>
        <v/>
      </c>
      <c r="E192" s="346">
        <f>LEFT(REPLACE(G192,1,2,""),FIND("[",REPLACE(G192,1,2,""))-1)&amp;"-"&amp;MID(REPLACE(G192,1,2,""),FIND("[",REPLACE(G192,1,2,""))+1,FIND("]",REPLACE(G192,1,2,""))-FIND("[",REPLACE(G192,1,2,""))-1)</f>
        <v/>
      </c>
      <c r="F192" s="347">
        <f>IFERROR(MID(G192,3,FIND("(",G192)-3)&amp;"-"&amp;SUBSTITUTE(MID(G192,FIND("[",G192)+1,FIND("]",G192)-FIND("[",G192)-1),"Strong Guard ",""),"")</f>
        <v/>
      </c>
      <c r="G192" s="366" t="inlineStr">
        <is>
          <t>ID295/80R22.5-18PR(152/149M)[AS898]雅度无内</t>
        </is>
      </c>
      <c r="H192" s="344" t="n">
        <v>1000</v>
      </c>
      <c r="I192" s="348" t="n"/>
      <c r="J192" s="349">
        <f>IFERROR(LEFT(F192,FIND("-",F192))&amp;MID(F192,FIND("PR",F192,FIND("-",F192))+3,LEN(F192)),F192)</f>
        <v/>
      </c>
      <c r="K192" s="352">
        <f>_xlfn.XLOOKUP(F192,投产规格!E:E,投产规格!D:D,"未投产")</f>
        <v/>
      </c>
      <c r="L192" s="352">
        <f>IFERROR(_xlfn.XLOOKUP(F192,硫化工艺!B:B,硫化工艺!C:C),"")</f>
        <v/>
      </c>
      <c r="M192" s="430">
        <f>IF(L192="","",L192/(L192+$L$1/60))</f>
        <v/>
      </c>
      <c r="N192" s="352">
        <f>C192&amp;"全钢"</f>
        <v/>
      </c>
      <c r="O192" s="352">
        <f>IFERROR(_xlfn.XLOOKUP(F192,轮胎重量!J:J,轮胎重量!G:G),"")</f>
        <v/>
      </c>
      <c r="P192" s="352">
        <f>IFERROR(_xlfn.XLOOKUP(G192,硫化工艺!I:I,硫化工艺!J:J),"")</f>
        <v/>
      </c>
      <c r="Q192" s="352">
        <f>IFERROR(ROUND(1440/L192*(I192)*M192,0),"")</f>
        <v/>
      </c>
      <c r="R192" s="352" t="n"/>
      <c r="S192" s="352" t="n"/>
      <c r="T192" s="352" t="n"/>
      <c r="U192" s="352" t="n"/>
      <c r="V192" s="352" t="n"/>
      <c r="W192" s="352" t="n"/>
      <c r="X192" s="352" t="n"/>
      <c r="Y192" s="352" t="n"/>
      <c r="Z192" s="352" t="n"/>
      <c r="AA192" s="352" t="n"/>
      <c r="AB192" s="352" t="n"/>
      <c r="AC192" s="352" t="n"/>
      <c r="AD192" s="352" t="n"/>
      <c r="AE192" s="352" t="n"/>
      <c r="AF192" s="352" t="n"/>
      <c r="AG192" s="352" t="n"/>
      <c r="AH192" s="352" t="n"/>
      <c r="AI192" s="352" t="n"/>
      <c r="AJ192" s="352" t="n"/>
      <c r="AK192" s="352" t="n"/>
      <c r="AL192" s="352" t="n"/>
      <c r="AM192" s="352" t="n"/>
      <c r="AN192" s="352" t="n"/>
      <c r="AO192" s="352" t="n"/>
      <c r="AP192" s="352" t="n"/>
      <c r="AQ192" s="352" t="n"/>
      <c r="AR192" s="352" t="n"/>
      <c r="AS192" s="352" t="n"/>
      <c r="AT192" s="352" t="n"/>
      <c r="AU192" s="352" t="n"/>
      <c r="AV192" s="352" t="n"/>
      <c r="AW192" s="352">
        <f>IF(SUM(R192:AV192)=0,"",SUM(R192:AV192))</f>
        <v/>
      </c>
      <c r="AX192" s="431">
        <f>IFERROR(AW192*O192/1000,"")</f>
        <v/>
      </c>
      <c r="AY192" s="431">
        <f>IFERROR(ROUND(AW192*P192/10000,3),"")</f>
        <v/>
      </c>
      <c r="AZ192" s="354" t="n">
        <v>623.27</v>
      </c>
      <c r="BA192" s="355" t="n">
        <v>37.54</v>
      </c>
      <c r="BB192" s="355" t="n">
        <v>58.97</v>
      </c>
      <c r="BC192" s="355" t="n">
        <v>64.23</v>
      </c>
      <c r="BD192" s="331" t="n"/>
      <c r="BE192" s="331">
        <f>AZ192*AW192</f>
        <v/>
      </c>
      <c r="BF192" s="331">
        <f>BA192*AW192</f>
        <v/>
      </c>
      <c r="BG192" s="331">
        <f>BB192*AW192</f>
        <v/>
      </c>
      <c r="BH192" s="331">
        <f>BC192*AW192</f>
        <v/>
      </c>
      <c r="BI192" s="331" t="n"/>
      <c r="BJ192" s="356">
        <f t="array" ref="BJ192:BM192">_xlfn.LET(_xlpm.data,$R192:$AV192,_xlpm.starts,{1,8,16,23},_xlpm.lengths,{7,7,8,9},_xlpm.arr,_xlfn.MAP(_xlpm.starts,_xlpm.lengths,_xlfn.LAMBDA(_xlpm.s,_xlpm.l,SUM(INDEX(_xlpm.data,,_xlfn.SEQUENCE(,_xlpm.l,_xlpm.s))))),ROUND(_xlpm.arr*$O192/1000,2))</f>
        <v/>
      </c>
      <c r="BK192" s="331" t="n">
        <v>0</v>
      </c>
      <c r="BL192" s="331" t="n">
        <v>0</v>
      </c>
      <c r="BM192" s="331" t="n">
        <v>0</v>
      </c>
      <c r="BN192" s="362">
        <f>SUM(BJ192:BM192)</f>
        <v/>
      </c>
      <c r="BO192" s="362" t="n">
        <v>0.22</v>
      </c>
      <c r="BP192" s="362" t="n">
        <v>0.44</v>
      </c>
      <c r="BQ192" s="362" t="n">
        <v>47.41</v>
      </c>
      <c r="BR192" s="362" t="n">
        <v>0</v>
      </c>
      <c r="BS192" s="115" t="n"/>
      <c r="BT192" s="362">
        <f t="array" ref="BT192:BW192">_xlfn.HSTACK(SUM(INDEX($R192:$AV192,1,1):INDEX($R192:$AV192,1,7)),SUM(INDEX($R192:$AV192,1,7):INDEX($R192:$AV192,1,13)),SUM(INDEX($R192:$AV192,1,16):INDEX($R192:$AV192,1,23)),SUM(INDEX($R192:$AV192,1,23):INDEX($R192:$AV192,1,31)))</f>
        <v/>
      </c>
      <c r="BU192" s="362" t="n">
        <v>0</v>
      </c>
      <c r="BV192" s="362" t="n">
        <v>0</v>
      </c>
      <c r="BW192" s="362" t="n">
        <v>0</v>
      </c>
      <c r="BY192" s="362">
        <f>SUM(R192:X192)</f>
        <v/>
      </c>
      <c r="BZ192" s="362">
        <f>SUM(Y192:AE192)</f>
        <v/>
      </c>
      <c r="CA192" s="362">
        <f>SUM(AF192:AM192)</f>
        <v/>
      </c>
      <c r="CB192" s="362">
        <f>SUM(AN192:AV192)</f>
        <v/>
      </c>
      <c r="CD192" s="432" t="inlineStr">
        <is>
          <t>ADA</t>
        </is>
      </c>
      <c r="CE192" s="362">
        <f>ROUND(BY192*$O192/1000,2)</f>
        <v/>
      </c>
      <c r="CF192" s="362">
        <f>ROUND(BZ192*$O192/1000,2)</f>
        <v/>
      </c>
      <c r="CG192" s="362">
        <f>ROUND(CA192*$O192/1000,2)</f>
        <v/>
      </c>
      <c r="CH192" s="362">
        <f>ROUND(CB192*$O192/1000,2)</f>
        <v/>
      </c>
      <c r="CI192" s="362">
        <f>SUM(CE192:CH192)</f>
        <v/>
      </c>
      <c r="CJ192" s="390" t="n"/>
      <c r="CK192" s="362">
        <f>IFERROR(ROUND(BY192*$P192,2),"")</f>
        <v/>
      </c>
      <c r="CL192" s="362">
        <f>IFERROR(ROUND(BZ192*$P192,2),"")</f>
        <v/>
      </c>
      <c r="CM192" s="362">
        <f>IFERROR(ROUND(CA192*$P192,2),"")</f>
        <v/>
      </c>
      <c r="CN192" s="362">
        <f>IFERROR(ROUND(CB192*$P192,2),"")</f>
        <v/>
      </c>
      <c r="CO192" s="362">
        <f>SUM(CK192:CN192)</f>
        <v/>
      </c>
    </row>
    <row r="193" ht="15.6" customHeight="1" s="428">
      <c r="A193" s="441" t="n"/>
      <c r="B193" s="434">
        <f>_xlfn.XLOOKUP(G193,销售需求表!A:A,销售需求表!C:C)</f>
        <v/>
      </c>
      <c r="C193" s="435">
        <f>IFERROR(MID(F193,FIND("R",F193)+1,4),"")</f>
        <v/>
      </c>
      <c r="D193" s="434">
        <f>B193&amp;C193&amp;"寸"</f>
        <v/>
      </c>
      <c r="E193" s="436">
        <f>LEFT(REPLACE(G193,1,2,""),FIND("[",REPLACE(G193,1,2,""))-1)&amp;"-"&amp;MID(REPLACE(G193,1,2,""),FIND("[",REPLACE(G193,1,2,""))+1,FIND("]",REPLACE(G193,1,2,""))-FIND("[",REPLACE(G193,1,2,""))-1)</f>
        <v/>
      </c>
      <c r="F193" s="437">
        <f>IFERROR(MID(G193,3,FIND("(",G193)-3)&amp;"-"&amp;SUBSTITUTE(MID(G193,FIND("[",G193)+1,FIND("]",G193)-FIND("[",G193)-1),"Strong Guard ",""),"")</f>
        <v/>
      </c>
      <c r="G193" s="436" t="inlineStr">
        <is>
          <t>ID295/80R22.5-18PR(152/149M)[AT161]SUDESTE无内</t>
        </is>
      </c>
      <c r="H193" s="434" t="n">
        <v>7500</v>
      </c>
      <c r="I193" s="434" t="n"/>
      <c r="J193" s="435">
        <f>IFERROR(LEFT(F193,FIND("-",F193))&amp;MID(F193,FIND("PR",F193,FIND("-",F193))+3,LEN(F193)),F193)</f>
        <v/>
      </c>
      <c r="K193" s="434">
        <f>_xlfn.XLOOKUP(F193,投产规格!E:E,投产规格!D:D,"未投产")</f>
        <v/>
      </c>
      <c r="L193" s="434">
        <f>IFERROR(_xlfn.XLOOKUP(F193,硫化工艺!B:B,硫化工艺!C:C),"")</f>
        <v/>
      </c>
      <c r="M193" s="438">
        <f>IF(L193="","",L193/(L193+$L$1/60))</f>
        <v/>
      </c>
      <c r="N193" s="434">
        <f>C193&amp;"全钢"</f>
        <v/>
      </c>
      <c r="O193" s="434">
        <f>IFERROR(_xlfn.XLOOKUP(F193,轮胎重量!J:J,轮胎重量!G:G),"")</f>
        <v/>
      </c>
      <c r="P193" s="439">
        <f>O193*13.9</f>
        <v/>
      </c>
      <c r="Q193" s="434">
        <f>IFERROR(ROUND(1440/L193*(I193)*M193,0),"")</f>
        <v/>
      </c>
      <c r="R193" s="352" t="n"/>
      <c r="S193" s="352" t="n"/>
      <c r="T193" s="352" t="n"/>
      <c r="U193" s="352" t="n"/>
      <c r="V193" s="352" t="n"/>
      <c r="W193" s="352" t="n"/>
      <c r="X193" s="352" t="n"/>
      <c r="Y193" s="352" t="n">
        <v>70</v>
      </c>
      <c r="Z193" s="352" t="n">
        <v>70</v>
      </c>
      <c r="AA193" s="352" t="n">
        <v>70</v>
      </c>
      <c r="AB193" s="352" t="n">
        <v>70</v>
      </c>
      <c r="AC193" s="352" t="n">
        <v>70</v>
      </c>
      <c r="AD193" s="352" t="n">
        <v>70</v>
      </c>
      <c r="AE193" s="352" t="n">
        <v>70</v>
      </c>
      <c r="AF193" s="352" t="n">
        <v>70</v>
      </c>
      <c r="AG193" s="352" t="n">
        <v>70</v>
      </c>
      <c r="AH193" s="352" t="n">
        <v>70</v>
      </c>
      <c r="AI193" s="352" t="n">
        <v>70</v>
      </c>
      <c r="AJ193" s="352" t="n">
        <v>70</v>
      </c>
      <c r="AK193" s="352" t="n">
        <v>70</v>
      </c>
      <c r="AL193" s="352" t="n">
        <v>280</v>
      </c>
      <c r="AM193" s="352" t="n">
        <v>280</v>
      </c>
      <c r="AN193" s="352" t="n">
        <v>280</v>
      </c>
      <c r="AO193" s="352" t="n">
        <v>280</v>
      </c>
      <c r="AP193" s="352" t="n">
        <v>280</v>
      </c>
      <c r="AQ193" s="352" t="n">
        <v>280</v>
      </c>
      <c r="AR193" s="352" t="n">
        <v>280</v>
      </c>
      <c r="AS193" s="352" t="n">
        <v>280</v>
      </c>
      <c r="AT193" s="352" t="n">
        <v>280</v>
      </c>
      <c r="AU193" s="352" t="n">
        <v>280</v>
      </c>
      <c r="AV193" s="352" t="n">
        <v>280</v>
      </c>
      <c r="AW193" s="352">
        <f>IF(SUM(R193:AV193)=0,"",SUM(R193:AV193))</f>
        <v/>
      </c>
      <c r="AX193" s="431">
        <f>IFERROR(AW193*O193/1000,"")</f>
        <v/>
      </c>
      <c r="AY193" s="431">
        <f>IFERROR(ROUND(AW193*P193/10000,3),"")</f>
        <v/>
      </c>
      <c r="AZ193" s="354" t="n">
        <v>596.85</v>
      </c>
      <c r="BA193" s="355" t="n">
        <v>37.6</v>
      </c>
      <c r="BB193" s="355" t="n">
        <v>58.7</v>
      </c>
      <c r="BC193" s="355" t="n">
        <v>64.98</v>
      </c>
      <c r="BE193" s="331">
        <f>AZ193*AW193</f>
        <v/>
      </c>
      <c r="BF193" s="331">
        <f>BA193*AW193</f>
        <v/>
      </c>
      <c r="BG193" s="331">
        <f>BB193*AW193</f>
        <v/>
      </c>
      <c r="BH193" s="331">
        <f>BC193*AW193</f>
        <v/>
      </c>
      <c r="BJ193" s="356">
        <f t="array" ref="BJ193:BM193">_xlfn.LET(_xlpm.data,$R193:$AV193,_xlpm.starts,{1,8,16,23},_xlpm.lengths,{7,7,8,9},_xlpm.arr,_xlfn.MAP(_xlpm.starts,_xlpm.lengths,_xlfn.LAMBDA(_xlpm.s,_xlpm.l,SUM(INDEX(_xlpm.data,,_xlfn.SEQUENCE(,_xlpm.l,_xlpm.s))))),ROUND(_xlpm.arr*$O193/1000,2))</f>
        <v/>
      </c>
      <c r="BK193" s="331" t="n">
        <v>26.34</v>
      </c>
      <c r="BL193" s="331" t="n">
        <v>63.96</v>
      </c>
      <c r="BM193" s="331" t="n">
        <v>135.45</v>
      </c>
      <c r="BN193" s="362">
        <f>SUM(BJ193:BM193)</f>
        <v/>
      </c>
      <c r="BO193" s="362" t="n">
        <v>22.86</v>
      </c>
      <c r="BP193" s="362" t="n">
        <v>22.86</v>
      </c>
      <c r="BQ193" s="362" t="n">
        <v>26.12</v>
      </c>
      <c r="BR193" s="362" t="n">
        <v>29.39</v>
      </c>
      <c r="BT193" s="362">
        <f t="array" ref="BT193:BW193">_xlfn.HSTACK(SUM(INDEX($R193:$AV193,1,1):INDEX($R193:$AV193,1,7)),SUM(INDEX($R193:$AV193,1,7):INDEX($R193:$AV193,1,13)),SUM(INDEX($R193:$AV193,1,16):INDEX($R193:$AV193,1,23)),SUM(INDEX($R193:$AV193,1,23):INDEX($R193:$AV193,1,31)))</f>
        <v/>
      </c>
      <c r="BU193" s="362" t="n">
        <v>420</v>
      </c>
      <c r="BV193" s="362" t="n">
        <v>1190</v>
      </c>
      <c r="BW193" s="362" t="n">
        <v>2520</v>
      </c>
      <c r="BY193" s="362">
        <f>SUM(R193:X193)</f>
        <v/>
      </c>
      <c r="BZ193" s="362">
        <f>SUM(Y193:AE193)</f>
        <v/>
      </c>
      <c r="CA193" s="362">
        <f>SUM(AF193:AM193)</f>
        <v/>
      </c>
      <c r="CB193" s="362">
        <f>SUM(AN193:AV193)</f>
        <v/>
      </c>
      <c r="CD193" s="440" t="inlineStr">
        <is>
          <t>TIDAK ADA</t>
        </is>
      </c>
      <c r="CE193" s="362">
        <f>ROUND(BY193*$O193/1000,2)</f>
        <v/>
      </c>
      <c r="CF193" s="362">
        <f>ROUND(BZ193*$O193/1000,2)</f>
        <v/>
      </c>
      <c r="CG193" s="362">
        <f>ROUND(CA193*$O193/1000,2)</f>
        <v/>
      </c>
      <c r="CH193" s="362">
        <f>ROUND(CB193*$O193/1000,2)</f>
        <v/>
      </c>
      <c r="CI193" s="362">
        <f>SUM(CE193:CH193)</f>
        <v/>
      </c>
      <c r="CK193" s="362">
        <f>IFERROR(ROUND(BY193*$P193,2),"")</f>
        <v/>
      </c>
      <c r="CL193" s="362">
        <f>IFERROR(ROUND(BZ193*$P193,2),"")</f>
        <v/>
      </c>
      <c r="CM193" s="362">
        <f>IFERROR(ROUND(CA193*$P193,2),"")</f>
        <v/>
      </c>
      <c r="CN193" s="362">
        <f>IFERROR(ROUND(CB193*$P193,2),"")</f>
        <v/>
      </c>
      <c r="CO193" s="362">
        <f>SUM(CK193:CN193)</f>
        <v/>
      </c>
    </row>
    <row r="194" ht="15.6" customFormat="1" customHeight="1" s="362">
      <c r="A194" s="331" t="n"/>
      <c r="B194" s="344">
        <f>_xlfn.XLOOKUP(G194,销售需求表!A:A,销售需求表!C:C)</f>
        <v/>
      </c>
      <c r="C194" s="345">
        <f>IFERROR(MID(F194,FIND("R",F194)+1,4),"")</f>
        <v/>
      </c>
      <c r="D194" s="365">
        <f>B194&amp;C194&amp;"寸"</f>
        <v/>
      </c>
      <c r="E194" s="346">
        <f>LEFT(REPLACE(G194,1,2,""),FIND("[",REPLACE(G194,1,2,""))-1)&amp;"-"&amp;MID(REPLACE(G194,1,2,""),FIND("[",REPLACE(G194,1,2,""))+1,FIND("]",REPLACE(G194,1,2,""))-FIND("[",REPLACE(G194,1,2,""))-1)</f>
        <v/>
      </c>
      <c r="F194" s="347">
        <f>IFERROR(MID(G194,3,FIND("(",G194)-3)&amp;"-"&amp;SUBSTITUTE(MID(G194,FIND("[",G194)+1,FIND("]",G194)-FIND("[",G194)-1),"Strong Guard ",""),"")</f>
        <v/>
      </c>
      <c r="G194" s="366" t="inlineStr">
        <is>
          <t>ID295/80R22.5-18PR(152/149M)[AT161]威狮无内</t>
        </is>
      </c>
      <c r="H194" s="344" t="n">
        <v>8000</v>
      </c>
      <c r="I194" s="348" t="n"/>
      <c r="J194" s="349">
        <f>IFERROR(LEFT(F194,FIND("-",F194))&amp;MID(F194,FIND("PR",F194,FIND("-",F194))+3,LEN(F194)),F194)</f>
        <v/>
      </c>
      <c r="K194" s="352">
        <f>_xlfn.XLOOKUP(F194,投产规格!E:E,投产规格!D:D,"未投产")</f>
        <v/>
      </c>
      <c r="L194" s="352">
        <f>IFERROR(_xlfn.XLOOKUP(F194,硫化工艺!B:B,硫化工艺!C:C),"")</f>
        <v/>
      </c>
      <c r="M194" s="430">
        <f>IF(L194="","",L194/(L194+$L$1/60))</f>
        <v/>
      </c>
      <c r="N194" s="352">
        <f>C194&amp;"全钢"</f>
        <v/>
      </c>
      <c r="O194" s="352" t="n">
        <v>51.423</v>
      </c>
      <c r="P194" s="352">
        <f>IFERROR(_xlfn.XLOOKUP(G194,硫化工艺!I:I,硫化工艺!J:J),"")</f>
        <v/>
      </c>
      <c r="Q194" s="352">
        <f>IFERROR(ROUND(1440/L194*(I194)*M194,0),"")</f>
        <v/>
      </c>
      <c r="R194" s="352" t="n"/>
      <c r="S194" s="352" t="n"/>
      <c r="T194" s="352" t="n"/>
      <c r="U194" s="352" t="n"/>
      <c r="V194" s="352" t="n"/>
      <c r="W194" s="352" t="n"/>
      <c r="X194" s="352" t="n"/>
      <c r="Y194" s="352" t="n"/>
      <c r="Z194" s="352" t="n"/>
      <c r="AA194" s="352" t="n"/>
      <c r="AB194" s="352" t="n"/>
      <c r="AC194" s="352" t="n"/>
      <c r="AD194" s="352" t="n"/>
      <c r="AE194" s="352" t="n"/>
      <c r="AF194" s="352" t="n"/>
      <c r="AG194" s="352" t="n"/>
      <c r="AH194" s="352" t="n"/>
      <c r="AI194" s="352" t="n"/>
      <c r="AJ194" s="352" t="n"/>
      <c r="AK194" s="352" t="n"/>
      <c r="AL194" s="352" t="n">
        <v>280</v>
      </c>
      <c r="AM194" s="352" t="n">
        <v>280</v>
      </c>
      <c r="AN194" s="352" t="n">
        <v>280</v>
      </c>
      <c r="AO194" s="352" t="n">
        <v>280</v>
      </c>
      <c r="AP194" s="352" t="n">
        <v>280</v>
      </c>
      <c r="AQ194" s="352" t="n">
        <v>280</v>
      </c>
      <c r="AR194" s="352" t="n">
        <v>280</v>
      </c>
      <c r="AS194" s="352" t="n">
        <v>280</v>
      </c>
      <c r="AT194" s="352" t="n">
        <v>280</v>
      </c>
      <c r="AU194" s="352" t="n">
        <v>280</v>
      </c>
      <c r="AV194" s="352" t="n">
        <v>280</v>
      </c>
      <c r="AW194" s="352">
        <f>IF(SUM(R194:AV194)=0,"",SUM(R194:AV194))</f>
        <v/>
      </c>
      <c r="AX194" s="431">
        <f>IFERROR(AW194*O194/1000,"")</f>
        <v/>
      </c>
      <c r="AY194" s="431">
        <f>IFERROR(ROUND(AW194*P194/10000,3),"")</f>
        <v/>
      </c>
      <c r="AZ194" s="354" t="n">
        <v>596.85</v>
      </c>
      <c r="BA194" s="355" t="n">
        <v>37.6</v>
      </c>
      <c r="BB194" s="355" t="n">
        <v>58.7</v>
      </c>
      <c r="BC194" s="355" t="n">
        <v>64.98</v>
      </c>
      <c r="BD194" s="331" t="n"/>
      <c r="BE194" s="331">
        <f>AZ194*AW194</f>
        <v/>
      </c>
      <c r="BF194" s="331">
        <f>BA194*AW194</f>
        <v/>
      </c>
      <c r="BG194" s="331">
        <f>BB194*AW194</f>
        <v/>
      </c>
      <c r="BH194" s="331">
        <f>BC194*AW194</f>
        <v/>
      </c>
      <c r="BI194" s="331" t="n"/>
      <c r="BJ194" s="356">
        <f t="array" ref="BJ194:BM194">_xlfn.LET(_xlpm.data,$R194:$AV194,_xlpm.starts,{1,8,16,23},_xlpm.lengths,{7,7,8,9},_xlpm.arr,_xlfn.MAP(_xlpm.starts,_xlpm.lengths,_xlfn.LAMBDA(_xlpm.s,_xlpm.l,SUM(INDEX(_xlpm.data,,_xlfn.SEQUENCE(,_xlpm.l,_xlpm.s))))),ROUND(_xlpm.arr*$O194/1000,2))</f>
        <v/>
      </c>
      <c r="BK194" s="331" t="n">
        <v>0</v>
      </c>
      <c r="BL194" s="331" t="n">
        <v>43.2</v>
      </c>
      <c r="BM194" s="331" t="n">
        <v>129.59</v>
      </c>
      <c r="BN194" s="362">
        <f>SUM(BJ194:BM194)</f>
        <v/>
      </c>
      <c r="BO194" s="362" t="n">
        <v>22.86</v>
      </c>
      <c r="BP194" s="362" t="n">
        <v>22.86</v>
      </c>
      <c r="BQ194" s="362" t="n">
        <v>26.12</v>
      </c>
      <c r="BR194" s="362" t="n">
        <v>29.39</v>
      </c>
      <c r="BS194" s="115" t="n"/>
      <c r="BT194" s="362">
        <f t="array" ref="BT194:BW194">_xlfn.HSTACK(SUM(INDEX($R194:$AV194,1,1):INDEX($R194:$AV194,1,7)),SUM(INDEX($R194:$AV194,1,7):INDEX($R194:$AV194,1,13)),SUM(INDEX($R194:$AV194,1,16):INDEX($R194:$AV194,1,23)),SUM(INDEX($R194:$AV194,1,23):INDEX($R194:$AV194,1,31)))</f>
        <v/>
      </c>
      <c r="BU194" s="362" t="n">
        <v>0</v>
      </c>
      <c r="BV194" s="362" t="n">
        <v>840</v>
      </c>
      <c r="BW194" s="362" t="n">
        <v>2520</v>
      </c>
      <c r="BY194" s="362">
        <f>SUM(R194:X194)</f>
        <v/>
      </c>
      <c r="BZ194" s="362">
        <f>SUM(Y194:AE194)</f>
        <v/>
      </c>
      <c r="CA194" s="362">
        <f>SUM(AF194:AM194)</f>
        <v/>
      </c>
      <c r="CB194" s="362">
        <f>SUM(AN194:AV194)</f>
        <v/>
      </c>
      <c r="CD194" s="432" t="inlineStr">
        <is>
          <t>ADA</t>
        </is>
      </c>
      <c r="CE194" s="362">
        <f>ROUND(BY194*$O194/1000,2)</f>
        <v/>
      </c>
      <c r="CF194" s="362">
        <f>ROUND(BZ194*$O194/1000,2)</f>
        <v/>
      </c>
      <c r="CG194" s="362">
        <f>ROUND(CA194*$O194/1000,2)</f>
        <v/>
      </c>
      <c r="CH194" s="362">
        <f>ROUND(CB194*$O194/1000,2)</f>
        <v/>
      </c>
      <c r="CI194" s="362">
        <f>SUM(CE194:CH194)</f>
        <v/>
      </c>
      <c r="CJ194" s="390" t="n"/>
      <c r="CK194" s="362">
        <f>IFERROR(ROUND(BY194*$P194,2),"")</f>
        <v/>
      </c>
      <c r="CL194" s="362">
        <f>IFERROR(ROUND(BZ194*$P194,2),"")</f>
        <v/>
      </c>
      <c r="CM194" s="362">
        <f>IFERROR(ROUND(CA194*$P194,2),"")</f>
        <v/>
      </c>
      <c r="CN194" s="362">
        <f>IFERROR(ROUND(CB194*$P194,2),"")</f>
        <v/>
      </c>
      <c r="CO194" s="362">
        <f>SUM(CK194:CN194)</f>
        <v/>
      </c>
    </row>
    <row r="195" ht="15.6" customFormat="1" customHeight="1" s="362">
      <c r="A195" s="331" t="n"/>
      <c r="B195" s="344">
        <f>_xlfn.XLOOKUP(G195,销售需求表!A:A,销售需求表!C:C)</f>
        <v/>
      </c>
      <c r="C195" s="345">
        <f>IFERROR(MID(F195,FIND("R",F195)+1,4),"")</f>
        <v/>
      </c>
      <c r="D195" s="365">
        <f>B195&amp;C195&amp;"寸"</f>
        <v/>
      </c>
      <c r="E195" s="346">
        <f>LEFT(REPLACE(G195,1,2,""),FIND("[",REPLACE(G195,1,2,""))-1)&amp;"-"&amp;MID(REPLACE(G195,1,2,""),FIND("[",REPLACE(G195,1,2,""))+1,FIND("]",REPLACE(G195,1,2,""))-FIND("[",REPLACE(G195,1,2,""))-1)</f>
        <v/>
      </c>
      <c r="F195" s="347">
        <f>IFERROR(MID(G195,3,FIND("(",G195)-3)&amp;"-"&amp;SUBSTITUTE(MID(G195,FIND("[",G195)+1,FIND("]",G195)-FIND("[",G195)-1),"Strong Guard ",""),"")</f>
        <v/>
      </c>
      <c r="G195" s="366" t="inlineStr">
        <is>
          <t>ID295/80R22.5-18PR(152/149M)[AT186]金冠无内</t>
        </is>
      </c>
      <c r="H195" s="344" t="n">
        <v>4000</v>
      </c>
      <c r="I195" s="348" t="n"/>
      <c r="J195" s="349">
        <f>IFERROR(LEFT(F195,FIND("-",F195))&amp;MID(F195,FIND("PR",F195,FIND("-",F195))+3,LEN(F195)),F195)</f>
        <v/>
      </c>
      <c r="K195" s="352">
        <f>_xlfn.XLOOKUP(F195,投产规格!E:E,投产规格!D:D,"未投产")</f>
        <v/>
      </c>
      <c r="L195" s="352">
        <f>IFERROR(_xlfn.XLOOKUP(F195,硫化工艺!B:B,硫化工艺!C:C),"")</f>
        <v/>
      </c>
      <c r="M195" s="430">
        <f>IF(L195="","",L195/(L195+$L$1/60))</f>
        <v/>
      </c>
      <c r="N195" s="352">
        <f>C195&amp;"全钢"</f>
        <v/>
      </c>
      <c r="O195" s="352">
        <f>IFERROR(_xlfn.XLOOKUP(F195,轮胎重量!J:J,轮胎重量!G:G),"")</f>
        <v/>
      </c>
      <c r="P195" s="352">
        <f>IFERROR(_xlfn.XLOOKUP(G195,硫化工艺!I:I,硫化工艺!J:J),"")</f>
        <v/>
      </c>
      <c r="Q195" s="352">
        <f>IFERROR(ROUND(1440/L195*(I195)*M195,0),"")</f>
        <v/>
      </c>
      <c r="R195" s="352" t="n"/>
      <c r="S195" s="352" t="n"/>
      <c r="T195" s="352" t="n"/>
      <c r="U195" s="352" t="n"/>
      <c r="V195" s="352" t="n"/>
      <c r="W195" s="352" t="n"/>
      <c r="X195" s="352" t="n"/>
      <c r="Y195" s="352" t="n"/>
      <c r="Z195" s="352" t="n"/>
      <c r="AA195" s="352" t="n"/>
      <c r="AB195" s="352" t="n"/>
      <c r="AC195" s="352" t="n"/>
      <c r="AD195" s="352" t="n"/>
      <c r="AE195" s="352" t="n">
        <v>140</v>
      </c>
      <c r="AF195" s="352" t="n">
        <v>140</v>
      </c>
      <c r="AG195" s="352" t="n">
        <v>140</v>
      </c>
      <c r="AH195" s="352" t="n">
        <v>140</v>
      </c>
      <c r="AI195" s="352" t="n">
        <v>140</v>
      </c>
      <c r="AJ195" s="352" t="n">
        <v>140</v>
      </c>
      <c r="AK195" s="352" t="n">
        <v>140</v>
      </c>
      <c r="AL195" s="352" t="n">
        <v>280</v>
      </c>
      <c r="AM195" s="352" t="n">
        <v>280</v>
      </c>
      <c r="AN195" s="352" t="n">
        <v>280</v>
      </c>
      <c r="AO195" s="352" t="n">
        <v>280</v>
      </c>
      <c r="AP195" s="352" t="n">
        <v>280</v>
      </c>
      <c r="AQ195" s="352" t="n">
        <v>280</v>
      </c>
      <c r="AR195" s="352" t="n">
        <v>280</v>
      </c>
      <c r="AS195" s="352" t="n">
        <v>280</v>
      </c>
      <c r="AT195" s="352" t="n">
        <v>280</v>
      </c>
      <c r="AU195" s="352" t="n">
        <v>280</v>
      </c>
      <c r="AV195" s="352" t="n">
        <v>280</v>
      </c>
      <c r="AW195" s="352">
        <f>IF(SUM(R195:AV195)=0,"",SUM(R195:AV195))</f>
        <v/>
      </c>
      <c r="AX195" s="431">
        <f>IFERROR(AW195*O195/1000,"")</f>
        <v/>
      </c>
      <c r="AY195" s="431">
        <f>IFERROR(ROUND(AW195*P195/10000,3),"")</f>
        <v/>
      </c>
      <c r="AZ195" s="354" t="n">
        <v>596.85</v>
      </c>
      <c r="BA195" s="355" t="n">
        <v>37.6</v>
      </c>
      <c r="BB195" s="355" t="n">
        <v>58.7</v>
      </c>
      <c r="BC195" s="355" t="n">
        <v>64.98</v>
      </c>
      <c r="BD195" s="331" t="n"/>
      <c r="BE195" s="331">
        <f>AZ195*AW195</f>
        <v/>
      </c>
      <c r="BF195" s="331">
        <f>BA195*AW195</f>
        <v/>
      </c>
      <c r="BG195" s="331">
        <f>BB195*AW195</f>
        <v/>
      </c>
      <c r="BH195" s="331">
        <f>BC195*AW195</f>
        <v/>
      </c>
      <c r="BI195" s="331" t="n"/>
      <c r="BJ195" s="356">
        <f t="array" ref="BJ195:BM195">_xlfn.LET(_xlpm.data,$R195:$AV195,_xlpm.starts,{1,8,16,23},_xlpm.lengths,{7,7,8,9},_xlpm.arr,_xlfn.MAP(_xlpm.starts,_xlpm.lengths,_xlfn.LAMBDA(_xlpm.s,_xlpm.l,SUM(INDEX(_xlpm.data,,_xlfn.SEQUENCE(,_xlpm.l,_xlpm.s))))),ROUND(_xlpm.arr*$O195/1000,2))</f>
        <v/>
      </c>
      <c r="BK195" s="331" t="n">
        <v>7.4</v>
      </c>
      <c r="BL195" s="331" t="n">
        <v>81.44</v>
      </c>
      <c r="BM195" s="331" t="n">
        <v>133.26</v>
      </c>
      <c r="BN195" s="362">
        <f>SUM(BJ195:BM195)</f>
        <v/>
      </c>
      <c r="BO195" s="362" t="n">
        <v>22.86</v>
      </c>
      <c r="BP195" s="362" t="n">
        <v>22.86</v>
      </c>
      <c r="BQ195" s="362" t="n">
        <v>26.12</v>
      </c>
      <c r="BR195" s="362" t="n">
        <v>29.39</v>
      </c>
      <c r="BS195" s="115" t="n"/>
      <c r="BT195" s="362">
        <f t="array" ref="BT195:BW195">_xlfn.HSTACK(SUM(INDEX($R195:$AV195,1,1):INDEX($R195:$AV195,1,7)),SUM(INDEX($R195:$AV195,1,7):INDEX($R195:$AV195,1,13)),SUM(INDEX($R195:$AV195,1,16):INDEX($R195:$AV195,1,23)),SUM(INDEX($R195:$AV195,1,23):INDEX($R195:$AV195,1,31)))</f>
        <v/>
      </c>
      <c r="BU195" s="362" t="n">
        <v>0</v>
      </c>
      <c r="BV195" s="362" t="n">
        <v>1540</v>
      </c>
      <c r="BW195" s="362" t="n">
        <v>2520</v>
      </c>
      <c r="BY195" s="362">
        <f>SUM(R195:X195)</f>
        <v/>
      </c>
      <c r="BZ195" s="362">
        <f>SUM(Y195:AE195)</f>
        <v/>
      </c>
      <c r="CA195" s="362">
        <f>SUM(AF195:AM195)</f>
        <v/>
      </c>
      <c r="CB195" s="362">
        <f>SUM(AN195:AV195)</f>
        <v/>
      </c>
      <c r="CD195" s="432" t="inlineStr">
        <is>
          <t>ADA</t>
        </is>
      </c>
      <c r="CE195" s="362">
        <f>ROUND(BY195*$O195/1000,2)</f>
        <v/>
      </c>
      <c r="CF195" s="362">
        <f>ROUND(BZ195*$O195/1000,2)</f>
        <v/>
      </c>
      <c r="CG195" s="362">
        <f>ROUND(CA195*$O195/1000,2)</f>
        <v/>
      </c>
      <c r="CH195" s="362">
        <f>ROUND(CB195*$O195/1000,2)</f>
        <v/>
      </c>
      <c r="CI195" s="362">
        <f>SUM(CE195:CH195)</f>
        <v/>
      </c>
      <c r="CJ195" s="390" t="n"/>
      <c r="CK195" s="362">
        <f>IFERROR(ROUND(BY195*$P195,2),"")</f>
        <v/>
      </c>
      <c r="CL195" s="362">
        <f>IFERROR(ROUND(BZ195*$P195,2),"")</f>
        <v/>
      </c>
      <c r="CM195" s="362">
        <f>IFERROR(ROUND(CA195*$P195,2),"")</f>
        <v/>
      </c>
      <c r="CN195" s="362">
        <f>IFERROR(ROUND(CB195*$P195,2),"")</f>
        <v/>
      </c>
      <c r="CO195" s="362">
        <f>SUM(CK195:CN195)</f>
        <v/>
      </c>
    </row>
    <row r="196" ht="15.6" customHeight="1" s="428">
      <c r="B196" s="344">
        <f>_xlfn.XLOOKUP(G196,销售需求表!A:A,销售需求表!C:C)</f>
        <v/>
      </c>
      <c r="C196" s="345">
        <f>IFERROR(MID(F196,FIND("R",F196)+1,4),"")</f>
        <v/>
      </c>
      <c r="D196" s="365">
        <f>B196&amp;C196&amp;"寸"</f>
        <v/>
      </c>
      <c r="E196" s="346">
        <f>LEFT(REPLACE(G196,1,2,""),FIND("[",REPLACE(G196,1,2,""))-1)&amp;"-"&amp;MID(REPLACE(G196,1,2,""),FIND("[",REPLACE(G196,1,2,""))+1,FIND("]",REPLACE(G196,1,2,""))-FIND("[",REPLACE(G196,1,2,""))-1)</f>
        <v/>
      </c>
      <c r="F196" s="347">
        <f>IFERROR(MID(G196,3,FIND("(",G196)-3)&amp;"-"&amp;SUBSTITUTE(MID(G196,FIND("[",G196)+1,FIND("]",G196)-FIND("[",G196)-1),"Strong Guard ",""),"")</f>
        <v/>
      </c>
      <c r="G196" s="366" t="inlineStr">
        <is>
          <t>ID295/80R22.5-18PR(152/149M)[AT186]力奔无内</t>
        </is>
      </c>
      <c r="H196" s="344" t="n">
        <v>1800</v>
      </c>
      <c r="I196" s="348" t="n">
        <v>4</v>
      </c>
      <c r="J196" s="349">
        <f>IFERROR(LEFT(F196,FIND("-",F196))&amp;MID(F196,FIND("PR",F196,FIND("-",F196))+3,LEN(F196)),F196)</f>
        <v/>
      </c>
      <c r="K196" s="352">
        <f>_xlfn.XLOOKUP(F196,投产规格!E:E,投产规格!D:D,"未投产")</f>
        <v/>
      </c>
      <c r="L196" s="352">
        <f>IFERROR(_xlfn.XLOOKUP(F196,硫化工艺!B:B,硫化工艺!C:C),"")</f>
        <v/>
      </c>
      <c r="M196" s="430">
        <f>IF(L196="","",L196/(L196+$L$1/60))</f>
        <v/>
      </c>
      <c r="N196" s="352">
        <f>C196&amp;"全钢"</f>
        <v/>
      </c>
      <c r="O196" s="352">
        <f>IFERROR(_xlfn.XLOOKUP(F196,轮胎重量!J:J,轮胎重量!G:G),"")</f>
        <v/>
      </c>
      <c r="P196" s="358">
        <f>O196*13.9</f>
        <v/>
      </c>
      <c r="Q196" s="352">
        <f>IFERROR(ROUND(1440/L196*(I196)*M196,0),"")</f>
        <v/>
      </c>
      <c r="R196" s="352" t="n">
        <v>140</v>
      </c>
      <c r="S196" s="352" t="n">
        <v>140</v>
      </c>
      <c r="T196" s="352" t="n">
        <v>140</v>
      </c>
      <c r="U196" s="352" t="n">
        <v>140</v>
      </c>
      <c r="V196" s="352" t="n">
        <v>140</v>
      </c>
      <c r="W196" s="352" t="n">
        <v>140</v>
      </c>
      <c r="X196" s="352" t="n">
        <v>140</v>
      </c>
      <c r="Y196" s="352" t="n">
        <v>140</v>
      </c>
      <c r="Z196" s="352" t="n">
        <v>140</v>
      </c>
      <c r="AA196" s="352" t="n">
        <v>140</v>
      </c>
      <c r="AB196" s="352" t="n">
        <v>140</v>
      </c>
      <c r="AC196" s="352" t="n">
        <v>140</v>
      </c>
      <c r="AD196" s="352" t="n">
        <v>140</v>
      </c>
      <c r="AE196" s="352" t="n"/>
      <c r="AF196" s="352" t="n"/>
      <c r="AG196" s="352" t="n"/>
      <c r="AH196" s="352" t="n"/>
      <c r="AI196" s="352" t="n"/>
      <c r="AJ196" s="352" t="n"/>
      <c r="AK196" s="352" t="n"/>
      <c r="AL196" s="352" t="n"/>
      <c r="AM196" s="352" t="n"/>
      <c r="AN196" s="352" t="n"/>
      <c r="AO196" s="352" t="n"/>
      <c r="AP196" s="352" t="n"/>
      <c r="AQ196" s="352" t="n"/>
      <c r="AR196" s="352" t="n"/>
      <c r="AS196" s="352" t="n"/>
      <c r="AT196" s="352" t="n"/>
      <c r="AU196" s="352" t="n"/>
      <c r="AV196" s="352" t="n"/>
      <c r="AW196" s="352">
        <f>IF(SUM(R196:AV196)=0,"",SUM(R196:AV196))</f>
        <v/>
      </c>
      <c r="AX196" s="431">
        <f>IFERROR(AW196*O196/1000,"")</f>
        <v/>
      </c>
      <c r="AY196" s="431">
        <f>IFERROR(ROUND(AW196*P196/10000,3),"")</f>
        <v/>
      </c>
      <c r="AZ196" s="354" t="n">
        <v>596.85</v>
      </c>
      <c r="BA196" s="355" t="n">
        <v>37.6</v>
      </c>
      <c r="BB196" s="355" t="n">
        <v>58.7</v>
      </c>
      <c r="BC196" s="355" t="n">
        <v>64.98</v>
      </c>
      <c r="BE196" s="331">
        <f>AZ196*AW196</f>
        <v/>
      </c>
      <c r="BF196" s="331">
        <f>BA196*AW196</f>
        <v/>
      </c>
      <c r="BG196" s="331">
        <f>BB196*AW196</f>
        <v/>
      </c>
      <c r="BH196" s="331">
        <f>BC196*AW196</f>
        <v/>
      </c>
      <c r="BJ196" s="356">
        <f t="array" ref="BJ196:BM196">_xlfn.LET(_xlpm.data,$R196:$AV196,_xlpm.starts,{1,8,16,23},_xlpm.lengths,{7,7,8,9},_xlpm.arr,_xlfn.MAP(_xlpm.starts,_xlpm.lengths,_xlfn.LAMBDA(_xlpm.s,_xlpm.l,SUM(INDEX(_xlpm.data,,_xlfn.SEQUENCE(,_xlpm.l,_xlpm.s))))),ROUND(_xlpm.arr*$O196/1000,2))</f>
        <v/>
      </c>
      <c r="BK196" s="331" t="n">
        <v>44.42</v>
      </c>
      <c r="BL196" s="331" t="n">
        <v>0</v>
      </c>
      <c r="BM196" s="331" t="n">
        <v>0</v>
      </c>
      <c r="BN196" s="362">
        <f>SUM(BJ196:BM196)</f>
        <v/>
      </c>
      <c r="BO196" s="362" t="n">
        <v>0</v>
      </c>
      <c r="BP196" s="362" t="n">
        <v>0</v>
      </c>
      <c r="BQ196" s="362" t="n">
        <v>0</v>
      </c>
      <c r="BR196" s="362" t="n">
        <v>0</v>
      </c>
      <c r="BT196" s="362">
        <f t="array" ref="BT196:BW196">_xlfn.HSTACK(SUM(INDEX($R196:$AV196,1,1):INDEX($R196:$AV196,1,7)),SUM(INDEX($R196:$AV196,1,7):INDEX($R196:$AV196,1,13)),SUM(INDEX($R196:$AV196,1,16):INDEX($R196:$AV196,1,23)),SUM(INDEX($R196:$AV196,1,23):INDEX($R196:$AV196,1,31)))</f>
        <v/>
      </c>
      <c r="BU196" s="362" t="n">
        <v>980</v>
      </c>
      <c r="BV196" s="362" t="n">
        <v>0</v>
      </c>
      <c r="BW196" s="362" t="n">
        <v>0</v>
      </c>
      <c r="BY196" s="362">
        <f>SUM(R196:X196)</f>
        <v/>
      </c>
      <c r="BZ196" s="362">
        <f>SUM(Y196:AE196)</f>
        <v/>
      </c>
      <c r="CA196" s="362">
        <f>SUM(AF196:AM196)</f>
        <v/>
      </c>
      <c r="CB196" s="362">
        <f>SUM(AN196:AV196)</f>
        <v/>
      </c>
      <c r="CD196" s="432" t="inlineStr">
        <is>
          <t>ADA</t>
        </is>
      </c>
      <c r="CE196" s="362">
        <f>ROUND(BY196*$O196/1000,2)</f>
        <v/>
      </c>
      <c r="CF196" s="362">
        <f>ROUND(BZ196*$O196/1000,2)</f>
        <v/>
      </c>
      <c r="CG196" s="362">
        <f>ROUND(CA196*$O196/1000,2)</f>
        <v/>
      </c>
      <c r="CH196" s="362">
        <f>ROUND(CB196*$O196/1000,2)</f>
        <v/>
      </c>
      <c r="CI196" s="362">
        <f>SUM(CE196:CH196)</f>
        <v/>
      </c>
      <c r="CK196" s="362">
        <f>IFERROR(ROUND(BY196*$P196,2),"")</f>
        <v/>
      </c>
      <c r="CL196" s="362">
        <f>IFERROR(ROUND(BZ196*$P196,2),"")</f>
        <v/>
      </c>
      <c r="CM196" s="362">
        <f>IFERROR(ROUND(CA196*$P196,2),"")</f>
        <v/>
      </c>
      <c r="CN196" s="362">
        <f>IFERROR(ROUND(CB196*$P196,2),"")</f>
        <v/>
      </c>
      <c r="CO196" s="362">
        <f>SUM(CK196:CN196)</f>
        <v/>
      </c>
    </row>
    <row r="197" ht="15.6" customFormat="1" customHeight="1" s="362">
      <c r="A197" s="331" t="n"/>
      <c r="B197" s="344">
        <f>_xlfn.XLOOKUP(G197,销售需求表!A:A,销售需求表!C:C)</f>
        <v/>
      </c>
      <c r="C197" s="345">
        <f>IFERROR(MID(F197,FIND("R",F197)+1,4),"")</f>
        <v/>
      </c>
      <c r="D197" s="365">
        <f>B197&amp;C197&amp;"寸"</f>
        <v/>
      </c>
      <c r="E197" s="346">
        <f>LEFT(REPLACE(G197,1,2,""),FIND("[",REPLACE(G197,1,2,""))-1)&amp;"-"&amp;MID(REPLACE(G197,1,2,""),FIND("[",REPLACE(G197,1,2,""))+1,FIND("]",REPLACE(G197,1,2,""))-FIND("[",REPLACE(G197,1,2,""))-1)</f>
        <v/>
      </c>
      <c r="F197" s="347">
        <f>IFERROR(MID(G197,3,FIND("(",G197)-3)&amp;"-"&amp;SUBSTITUTE(MID(G197,FIND("[",G197)+1,FIND("]",G197)-FIND("[",G197)-1),"Strong Guard ",""),"")</f>
        <v/>
      </c>
      <c r="G197" s="366" t="inlineStr">
        <is>
          <t>ID295/80R22.5-18PR(152/149M)[AT186]欧耐特无内</t>
        </is>
      </c>
      <c r="H197" s="344" t="n">
        <v>4000</v>
      </c>
      <c r="I197" s="348" t="n">
        <v>6</v>
      </c>
      <c r="J197" s="349">
        <f>IFERROR(LEFT(F197,FIND("-",F197))&amp;MID(F197,FIND("PR",F197,FIND("-",F197))+3,LEN(F197)),F197)</f>
        <v/>
      </c>
      <c r="K197" s="352">
        <f>_xlfn.XLOOKUP(F197,投产规格!E:E,投产规格!D:D,"未投产")</f>
        <v/>
      </c>
      <c r="L197" s="352">
        <f>IFERROR(_xlfn.XLOOKUP(F197,硫化工艺!B:B,硫化工艺!C:C),"")</f>
        <v/>
      </c>
      <c r="M197" s="430">
        <f>IF(L197="","",L197/(L197+$L$1/60))</f>
        <v/>
      </c>
      <c r="N197" s="352">
        <f>C197&amp;"全钢"</f>
        <v/>
      </c>
      <c r="O197" s="352">
        <f>IFERROR(_xlfn.XLOOKUP(F197,轮胎重量!J:J,轮胎重量!G:G),"")</f>
        <v/>
      </c>
      <c r="P197" s="352">
        <f>IFERROR(_xlfn.XLOOKUP(G197,硫化工艺!I:I,硫化工艺!J:J),"")</f>
        <v/>
      </c>
      <c r="Q197" s="352">
        <f>IFERROR(ROUND(1440/L197*(I197)*M197,0),"")</f>
        <v/>
      </c>
      <c r="R197" s="352" t="n">
        <v>210</v>
      </c>
      <c r="S197" s="352" t="n">
        <v>210</v>
      </c>
      <c r="T197" s="352" t="n">
        <v>210</v>
      </c>
      <c r="U197" s="352" t="n">
        <v>210</v>
      </c>
      <c r="V197" s="352" t="n">
        <v>210</v>
      </c>
      <c r="W197" s="352" t="n">
        <v>210</v>
      </c>
      <c r="X197" s="352" t="n">
        <v>210</v>
      </c>
      <c r="Y197" s="352" t="n">
        <v>210</v>
      </c>
      <c r="Z197" s="352" t="n">
        <v>210</v>
      </c>
      <c r="AA197" s="352" t="n">
        <v>210</v>
      </c>
      <c r="AB197" s="352" t="n">
        <v>210</v>
      </c>
      <c r="AC197" s="352" t="n">
        <v>210</v>
      </c>
      <c r="AD197" s="352" t="n">
        <v>210</v>
      </c>
      <c r="AE197" s="352" t="n">
        <v>210</v>
      </c>
      <c r="AF197" s="352" t="n">
        <v>210</v>
      </c>
      <c r="AG197" s="352" t="n">
        <v>210</v>
      </c>
      <c r="AH197" s="352" t="n">
        <v>210</v>
      </c>
      <c r="AI197" s="352" t="n">
        <v>210</v>
      </c>
      <c r="AJ197" s="352" t="n">
        <v>210</v>
      </c>
      <c r="AK197" s="352" t="n">
        <v>210</v>
      </c>
      <c r="AL197" s="352" t="n"/>
      <c r="AM197" s="352" t="n"/>
      <c r="AN197" s="352" t="n"/>
      <c r="AO197" s="352" t="n"/>
      <c r="AP197" s="352" t="n"/>
      <c r="AQ197" s="352" t="n"/>
      <c r="AR197" s="352" t="n"/>
      <c r="AS197" s="352" t="n"/>
      <c r="AT197" s="352" t="n"/>
      <c r="AU197" s="352" t="n"/>
      <c r="AV197" s="352" t="n"/>
      <c r="AW197" s="352">
        <f>IF(SUM(R197:AV197)=0,"",SUM(R197:AV197))</f>
        <v/>
      </c>
      <c r="AX197" s="431">
        <f>IFERROR(AW197*O197/1000,"")</f>
        <v/>
      </c>
      <c r="AY197" s="431">
        <f>IFERROR(ROUND(AW197*P197/10000,3),"")</f>
        <v/>
      </c>
      <c r="AZ197" s="354" t="n">
        <v>596.85</v>
      </c>
      <c r="BA197" s="355" t="n">
        <v>37.6</v>
      </c>
      <c r="BB197" s="355" t="n">
        <v>58.7</v>
      </c>
      <c r="BC197" s="355" t="n">
        <v>64.98</v>
      </c>
      <c r="BD197" s="331" t="n"/>
      <c r="BE197" s="331">
        <f>AZ197*AW197</f>
        <v/>
      </c>
      <c r="BF197" s="331">
        <f>BA197*AW197</f>
        <v/>
      </c>
      <c r="BG197" s="331">
        <f>BB197*AW197</f>
        <v/>
      </c>
      <c r="BH197" s="331">
        <f>BC197*AW197</f>
        <v/>
      </c>
      <c r="BI197" s="331" t="n"/>
      <c r="BJ197" s="356">
        <f t="array" ref="BJ197:BM197">_xlfn.LET(_xlpm.data,$R197:$AV197,_xlpm.starts,{1,8,16,23},_xlpm.lengths,{7,7,8,9},_xlpm.arr,_xlfn.MAP(_xlpm.starts,_xlpm.lengths,_xlfn.LAMBDA(_xlpm.s,_xlpm.l,SUM(INDEX(_xlpm.data,,_xlfn.SEQUENCE(,_xlpm.l,_xlpm.s))))),ROUND(_xlpm.arr*$O197/1000,2))</f>
        <v/>
      </c>
      <c r="BK197" s="331" t="n">
        <v>77.73</v>
      </c>
      <c r="BL197" s="331" t="n">
        <v>55.52</v>
      </c>
      <c r="BM197" s="331" t="n">
        <v>0</v>
      </c>
      <c r="BN197" s="362">
        <f>SUM(BJ197:BM197)</f>
        <v/>
      </c>
      <c r="BO197" s="362" t="n">
        <v>0</v>
      </c>
      <c r="BP197" s="362" t="n">
        <v>0</v>
      </c>
      <c r="BQ197" s="362" t="n">
        <v>0</v>
      </c>
      <c r="BR197" s="362" t="n">
        <v>0</v>
      </c>
      <c r="BS197" s="115" t="n"/>
      <c r="BT197" s="362">
        <f t="array" ref="BT197:BW197">_xlfn.HSTACK(SUM(INDEX($R197:$AV197,1,1):INDEX($R197:$AV197,1,7)),SUM(INDEX($R197:$AV197,1,7):INDEX($R197:$AV197,1,13)),SUM(INDEX($R197:$AV197,1,16):INDEX($R197:$AV197,1,23)),SUM(INDEX($R197:$AV197,1,23):INDEX($R197:$AV197,1,31)))</f>
        <v/>
      </c>
      <c r="BU197" s="362" t="n">
        <v>1470</v>
      </c>
      <c r="BV197" s="362" t="n">
        <v>1050</v>
      </c>
      <c r="BW197" s="362" t="n">
        <v>0</v>
      </c>
      <c r="BY197" s="362">
        <f>SUM(R197:X197)</f>
        <v/>
      </c>
      <c r="BZ197" s="362">
        <f>SUM(Y197:AE197)</f>
        <v/>
      </c>
      <c r="CA197" s="362">
        <f>SUM(AF197:AM197)</f>
        <v/>
      </c>
      <c r="CB197" s="362">
        <f>SUM(AN197:AV197)</f>
        <v/>
      </c>
      <c r="CD197" s="432" t="inlineStr">
        <is>
          <t>ADA</t>
        </is>
      </c>
      <c r="CE197" s="362">
        <f>ROUND(BY197*$O197/1000,2)</f>
        <v/>
      </c>
      <c r="CF197" s="362">
        <f>ROUND(BZ197*$O197/1000,2)</f>
        <v/>
      </c>
      <c r="CG197" s="362">
        <f>ROUND(CA197*$O197/1000,2)</f>
        <v/>
      </c>
      <c r="CH197" s="362">
        <f>ROUND(CB197*$O197/1000,2)</f>
        <v/>
      </c>
      <c r="CI197" s="362">
        <f>SUM(CE197:CH197)</f>
        <v/>
      </c>
      <c r="CJ197" s="390" t="n"/>
      <c r="CK197" s="362">
        <f>IFERROR(ROUND(BY197*$P197,2),"")</f>
        <v/>
      </c>
      <c r="CL197" s="362">
        <f>IFERROR(ROUND(BZ197*$P197,2),"")</f>
        <v/>
      </c>
      <c r="CM197" s="362">
        <f>IFERROR(ROUND(CA197*$P197,2),"")</f>
        <v/>
      </c>
      <c r="CN197" s="362">
        <f>IFERROR(ROUND(CB197*$P197,2),"")</f>
        <v/>
      </c>
      <c r="CO197" s="362">
        <f>SUM(CK197:CN197)</f>
        <v/>
      </c>
    </row>
    <row r="198" ht="15.6" customHeight="1" s="428">
      <c r="B198" s="344">
        <f>_xlfn.XLOOKUP(G198,销售需求表!A:A,销售需求表!C:C)</f>
        <v/>
      </c>
      <c r="C198" s="345">
        <f>IFERROR(MID(F198,FIND("R",F198)+1,4),"")</f>
        <v/>
      </c>
      <c r="D198" s="365">
        <f>B198&amp;C198&amp;"寸"</f>
        <v/>
      </c>
      <c r="E198" s="346">
        <f>LEFT(REPLACE(G198,1,2,""),FIND("[",REPLACE(G198,1,2,""))-1)&amp;"-"&amp;MID(REPLACE(G198,1,2,""),FIND("[",REPLACE(G198,1,2,""))+1,FIND("]",REPLACE(G198,1,2,""))-FIND("[",REPLACE(G198,1,2,""))-1)</f>
        <v/>
      </c>
      <c r="F198" s="347">
        <f>IFERROR(MID(G198,3,FIND("(",G198)-3)&amp;"-"&amp;SUBSTITUTE(MID(G198,FIND("[",G198)+1,FIND("]",G198)-FIND("[",G198)-1),"Strong Guard ",""),"")</f>
        <v/>
      </c>
      <c r="G198" s="366" t="inlineStr">
        <is>
          <t>ID295/80R22.5-18PR(152/149M)[AT196]力奔无内</t>
        </is>
      </c>
      <c r="H198" s="344" t="n">
        <v>2000</v>
      </c>
      <c r="I198" s="364" t="n">
        <v>2</v>
      </c>
      <c r="J198" s="349">
        <f>IFERROR(LEFT(F198,FIND("-",F198))&amp;MID(F198,FIND("PR",F198,FIND("-",F198))+3,LEN(F198)),F198)</f>
        <v/>
      </c>
      <c r="K198" s="352">
        <f>_xlfn.XLOOKUP(F198,投产规格!E:E,投产规格!D:D,"未投产")</f>
        <v/>
      </c>
      <c r="L198" s="352">
        <f>IFERROR(_xlfn.XLOOKUP(F198,硫化工艺!B:B,硫化工艺!C:C),"")</f>
        <v/>
      </c>
      <c r="M198" s="430">
        <f>IF(L198="","",L198/(L198+$L$1/60))</f>
        <v/>
      </c>
      <c r="N198" s="352">
        <f>C198&amp;"全钢"</f>
        <v/>
      </c>
      <c r="O198" s="352">
        <f>IFERROR(_xlfn.XLOOKUP(F198,轮胎重量!J:J,轮胎重量!G:G),"")</f>
        <v/>
      </c>
      <c r="P198" s="352">
        <f>IFERROR(_xlfn.XLOOKUP(G198,硫化工艺!I:I,硫化工艺!J:J),"")</f>
        <v/>
      </c>
      <c r="Q198" s="352">
        <f>IFERROR(ROUND(1440/L198*(I198)*M198,0),"")</f>
        <v/>
      </c>
      <c r="R198" s="352" t="n">
        <v>70</v>
      </c>
      <c r="S198" s="352" t="n">
        <v>70</v>
      </c>
      <c r="T198" s="352" t="n">
        <v>70</v>
      </c>
      <c r="U198" s="352" t="n">
        <v>70</v>
      </c>
      <c r="V198" s="352" t="n">
        <v>70</v>
      </c>
      <c r="W198" s="352" t="n">
        <v>70</v>
      </c>
      <c r="X198" s="352" t="n">
        <v>70</v>
      </c>
      <c r="Y198" s="352" t="n">
        <v>70</v>
      </c>
      <c r="Z198" s="352" t="n">
        <v>70</v>
      </c>
      <c r="AA198" s="352" t="n">
        <v>70</v>
      </c>
      <c r="AB198" s="352" t="n">
        <v>70</v>
      </c>
      <c r="AC198" s="352" t="n">
        <v>140</v>
      </c>
      <c r="AD198" s="352" t="n">
        <v>140</v>
      </c>
      <c r="AE198" s="352" t="n">
        <v>140</v>
      </c>
      <c r="AF198" s="352" t="n">
        <v>140</v>
      </c>
      <c r="AG198" s="352" t="n">
        <v>140</v>
      </c>
      <c r="AH198" s="352" t="n">
        <v>140</v>
      </c>
      <c r="AI198" s="352" t="n">
        <v>140</v>
      </c>
      <c r="AJ198" s="352" t="n">
        <v>140</v>
      </c>
      <c r="AK198" s="352" t="n">
        <v>140</v>
      </c>
      <c r="AL198" s="352" t="n">
        <v>140</v>
      </c>
      <c r="AM198" s="352" t="n">
        <v>140</v>
      </c>
      <c r="AN198" s="352" t="n">
        <v>140</v>
      </c>
      <c r="AO198" s="352" t="n">
        <v>140</v>
      </c>
      <c r="AP198" s="352" t="n">
        <v>140</v>
      </c>
      <c r="AQ198" s="352" t="n">
        <v>140</v>
      </c>
      <c r="AR198" s="352" t="n">
        <v>140</v>
      </c>
      <c r="AS198" s="352" t="n">
        <v>140</v>
      </c>
      <c r="AT198" s="352" t="n">
        <v>140</v>
      </c>
      <c r="AU198" s="352" t="n">
        <v>140</v>
      </c>
      <c r="AV198" s="352" t="n">
        <v>140</v>
      </c>
      <c r="AW198" s="352">
        <f>IF(SUM(R198:AV198)=0,"",SUM(R198:AV198))</f>
        <v/>
      </c>
      <c r="AX198" s="431">
        <f>IFERROR(AW198*O198/1000,"")</f>
        <v/>
      </c>
      <c r="AY198" s="431">
        <f>IFERROR(ROUND(AW198*P198/10000,3),"")</f>
        <v/>
      </c>
      <c r="AZ198" s="354" t="n">
        <v>680.46</v>
      </c>
      <c r="BA198" s="355" t="n">
        <v>39.74</v>
      </c>
      <c r="BB198" s="355" t="n">
        <v>62</v>
      </c>
      <c r="BC198" s="355" t="n">
        <v>67.14</v>
      </c>
      <c r="BE198" s="331">
        <f>AZ198*AW198</f>
        <v/>
      </c>
      <c r="BF198" s="331">
        <f>BA198*AW198</f>
        <v/>
      </c>
      <c r="BG198" s="331">
        <f>BB198*AW198</f>
        <v/>
      </c>
      <c r="BH198" s="331">
        <f>BC198*AW198</f>
        <v/>
      </c>
      <c r="BJ198" s="356">
        <f t="array" ref="BJ198:BM198">_xlfn.LET(_xlpm.data,$R198:$AV198,_xlpm.starts,{1,8,16,23},_xlpm.lengths,{7,7,8,9},_xlpm.arr,_xlfn.MAP(_xlpm.starts,_xlpm.lengths,_xlfn.LAMBDA(_xlpm.s,_xlpm.l,SUM(INDEX(_xlpm.data,,_xlfn.SEQUENCE(,_xlpm.l,_xlpm.s))))),ROUND(_xlpm.arr*$O198/1000,2))</f>
        <v/>
      </c>
      <c r="BK198" s="331" t="n">
        <v>37.02</v>
      </c>
      <c r="BL198" s="331" t="n">
        <v>59.23</v>
      </c>
      <c r="BM198" s="331" t="n">
        <v>66.63</v>
      </c>
      <c r="BN198" s="362">
        <f>SUM(BJ198:BM198)</f>
        <v/>
      </c>
      <c r="BO198" s="362" t="n">
        <v>0</v>
      </c>
      <c r="BP198" s="362" t="n">
        <v>0</v>
      </c>
      <c r="BQ198" s="362" t="n">
        <v>0</v>
      </c>
      <c r="BR198" s="362" t="n">
        <v>0</v>
      </c>
      <c r="BT198" s="362">
        <f t="array" ref="BT198:BW198">_xlfn.HSTACK(SUM(INDEX($R198:$AV198,1,1):INDEX($R198:$AV198,1,7)),SUM(INDEX($R198:$AV198,1,7):INDEX($R198:$AV198,1,13)),SUM(INDEX($R198:$AV198,1,16):INDEX($R198:$AV198,1,23)),SUM(INDEX($R198:$AV198,1,23):INDEX($R198:$AV198,1,31)))</f>
        <v/>
      </c>
      <c r="BU198" s="362" t="n">
        <v>630</v>
      </c>
      <c r="BV198" s="362" t="n">
        <v>1120</v>
      </c>
      <c r="BW198" s="362" t="n">
        <v>1260</v>
      </c>
      <c r="BY198" s="362">
        <f>SUM(R198:X198)</f>
        <v/>
      </c>
      <c r="BZ198" s="362">
        <f>SUM(Y198:AE198)</f>
        <v/>
      </c>
      <c r="CA198" s="362">
        <f>SUM(AF198:AM198)</f>
        <v/>
      </c>
      <c r="CB198" s="362">
        <f>SUM(AN198:AV198)</f>
        <v/>
      </c>
      <c r="CC198" s="362" t="n">
        <v>14.3</v>
      </c>
      <c r="CD198" s="432" t="inlineStr">
        <is>
          <t>ADA</t>
        </is>
      </c>
      <c r="CE198" s="362">
        <f>ROUND(BY198*$O198/1000,2)</f>
        <v/>
      </c>
      <c r="CF198" s="362">
        <f>ROUND(BZ198*$O198/1000,2)</f>
        <v/>
      </c>
      <c r="CG198" s="362">
        <f>ROUND(CA198*$O198/1000,2)</f>
        <v/>
      </c>
      <c r="CH198" s="362">
        <f>ROUND(CB198*$O198/1000,2)</f>
        <v/>
      </c>
      <c r="CI198" s="362">
        <f>SUM(CE198:CH198)</f>
        <v/>
      </c>
      <c r="CK198" s="362">
        <f>IFERROR(ROUND(BY198*$P198,2),"")</f>
        <v/>
      </c>
      <c r="CL198" s="362">
        <f>IFERROR(ROUND(BZ198*$P198,2),"")</f>
        <v/>
      </c>
      <c r="CM198" s="362">
        <f>IFERROR(ROUND(CA198*$P198,2),"")</f>
        <v/>
      </c>
      <c r="CN198" s="362">
        <f>IFERROR(ROUND(CB198*$P198,2),"")</f>
        <v/>
      </c>
      <c r="CO198" s="362">
        <f>SUM(CK198:CN198)</f>
        <v/>
      </c>
    </row>
    <row r="199" ht="15.6" customFormat="1" customHeight="1" s="362">
      <c r="A199" s="331" t="n"/>
      <c r="B199" s="344">
        <f>_xlfn.XLOOKUP(G199,销售需求表!A:A,销售需求表!C:C)</f>
        <v/>
      </c>
      <c r="C199" s="345">
        <f>IFERROR(MID(F199,FIND("R",F199)+1,4),"")</f>
        <v/>
      </c>
      <c r="D199" s="365">
        <f>B199&amp;C199&amp;"寸"</f>
        <v/>
      </c>
      <c r="E199" s="346">
        <f>LEFT(REPLACE(G199,1,2,""),FIND("[",REPLACE(G199,1,2,""))-1)&amp;"-"&amp;MID(REPLACE(G199,1,2,""),FIND("[",REPLACE(G199,1,2,""))+1,FIND("]",REPLACE(G199,1,2,""))-FIND("[",REPLACE(G199,1,2,""))-1)</f>
        <v/>
      </c>
      <c r="F199" s="347">
        <f>IFERROR(MID(G199,3,FIND("(",G199)-3)&amp;"-"&amp;SUBSTITUTE(MID(G199,FIND("[",G199)+1,FIND("]",G199)-FIND("[",G199)-1),"Strong Guard ",""),"")</f>
        <v/>
      </c>
      <c r="G199" s="366" t="inlineStr">
        <is>
          <t>ID295/80R22.5-18PR(152/149M)[AT196]雅度无内</t>
        </is>
      </c>
      <c r="H199" s="344" t="n">
        <v>3000</v>
      </c>
      <c r="I199" s="348" t="n">
        <v>4</v>
      </c>
      <c r="J199" s="349">
        <f>IFERROR(LEFT(F199,FIND("-",F199))&amp;MID(F199,FIND("PR",F199,FIND("-",F199))+3,LEN(F199)),F199)</f>
        <v/>
      </c>
      <c r="K199" s="352">
        <f>_xlfn.XLOOKUP(F199,投产规格!E:E,投产规格!D:D,"未投产")</f>
        <v/>
      </c>
      <c r="L199" s="352">
        <f>IFERROR(_xlfn.XLOOKUP(F199,硫化工艺!B:B,硫化工艺!C:C),"")</f>
        <v/>
      </c>
      <c r="M199" s="430">
        <f>IF(L199="","",L199/(L199+$L$1/60))</f>
        <v/>
      </c>
      <c r="N199" s="352">
        <f>C199&amp;"全钢"</f>
        <v/>
      </c>
      <c r="O199" s="352">
        <f>IFERROR(_xlfn.XLOOKUP(F199,轮胎重量!J:J,轮胎重量!G:G),"")</f>
        <v/>
      </c>
      <c r="P199" s="352">
        <f>IFERROR(_xlfn.XLOOKUP(G199,硫化工艺!I:I,硫化工艺!J:J),"")</f>
        <v/>
      </c>
      <c r="Q199" s="352">
        <f>IFERROR(ROUND(1440/L199*(I199)*M199,0),"")</f>
        <v/>
      </c>
      <c r="R199" s="352" t="n">
        <v>140</v>
      </c>
      <c r="S199" s="352" t="n">
        <v>140</v>
      </c>
      <c r="T199" s="352" t="n">
        <v>140</v>
      </c>
      <c r="U199" s="352" t="n">
        <v>140</v>
      </c>
      <c r="V199" s="352" t="n">
        <v>140</v>
      </c>
      <c r="W199" s="352" t="n">
        <v>140</v>
      </c>
      <c r="X199" s="352" t="n">
        <v>140</v>
      </c>
      <c r="Y199" s="352" t="n">
        <v>140</v>
      </c>
      <c r="Z199" s="352" t="n">
        <v>140</v>
      </c>
      <c r="AA199" s="352" t="n">
        <v>140</v>
      </c>
      <c r="AB199" s="352" t="n">
        <v>140</v>
      </c>
      <c r="AC199" s="352" t="n">
        <v>140</v>
      </c>
      <c r="AD199" s="352" t="n">
        <v>140</v>
      </c>
      <c r="AE199" s="352" t="n">
        <v>140</v>
      </c>
      <c r="AF199" s="352" t="n">
        <v>140</v>
      </c>
      <c r="AG199" s="352" t="n">
        <v>140</v>
      </c>
      <c r="AH199" s="352" t="n">
        <v>140</v>
      </c>
      <c r="AI199" s="352" t="n">
        <v>140</v>
      </c>
      <c r="AJ199" s="352" t="n">
        <v>140</v>
      </c>
      <c r="AK199" s="352" t="n">
        <v>140</v>
      </c>
      <c r="AL199" s="352" t="n"/>
      <c r="AM199" s="352" t="n"/>
      <c r="AN199" s="352" t="n"/>
      <c r="AO199" s="352" t="n"/>
      <c r="AP199" s="352" t="n"/>
      <c r="AQ199" s="352" t="n"/>
      <c r="AR199" s="352" t="n"/>
      <c r="AS199" s="352" t="n"/>
      <c r="AT199" s="352" t="n"/>
      <c r="AU199" s="352" t="n"/>
      <c r="AV199" s="352" t="n"/>
      <c r="AW199" s="352">
        <f>IF(SUM(R199:AV199)=0,"",SUM(R199:AV199))</f>
        <v/>
      </c>
      <c r="AX199" s="431">
        <f>IFERROR(AW199*O199/1000,"")</f>
        <v/>
      </c>
      <c r="AY199" s="431">
        <f>IFERROR(ROUND(AW199*P199/10000,3),"")</f>
        <v/>
      </c>
      <c r="AZ199" s="354" t="n">
        <v>680.46</v>
      </c>
      <c r="BA199" s="355" t="n">
        <v>39.74</v>
      </c>
      <c r="BB199" s="355" t="n">
        <v>62</v>
      </c>
      <c r="BC199" s="355" t="n">
        <v>67.14</v>
      </c>
      <c r="BD199" s="331" t="n"/>
      <c r="BE199" s="331">
        <f>AZ199*AW199</f>
        <v/>
      </c>
      <c r="BF199" s="331">
        <f>BA199*AW199</f>
        <v/>
      </c>
      <c r="BG199" s="331">
        <f>BB199*AW199</f>
        <v/>
      </c>
      <c r="BH199" s="331">
        <f>BC199*AW199</f>
        <v/>
      </c>
      <c r="BI199" s="331" t="n"/>
      <c r="BJ199" s="356">
        <f t="array" ref="BJ199:BM199">_xlfn.LET(_xlpm.data,$R199:$AV199,_xlpm.starts,{1,8,16,23},_xlpm.lengths,{7,7,8,9},_xlpm.arr,_xlfn.MAP(_xlpm.starts,_xlpm.lengths,_xlfn.LAMBDA(_xlpm.s,_xlpm.l,SUM(INDEX(_xlpm.data,,_xlfn.SEQUENCE(,_xlpm.l,_xlpm.s))))),ROUND(_xlpm.arr*$O199/1000,2))</f>
        <v/>
      </c>
      <c r="BK199" s="331" t="n">
        <v>51.82</v>
      </c>
      <c r="BL199" s="331" t="n">
        <v>37.02</v>
      </c>
      <c r="BM199" s="331" t="n">
        <v>0</v>
      </c>
      <c r="BN199" s="362">
        <f>SUM(BJ199:BM199)</f>
        <v/>
      </c>
      <c r="BO199" s="362" t="n">
        <v>0</v>
      </c>
      <c r="BP199" s="362" t="n">
        <v>0</v>
      </c>
      <c r="BQ199" s="362" t="n">
        <v>0.76</v>
      </c>
      <c r="BR199" s="362" t="n">
        <v>0</v>
      </c>
      <c r="BS199" s="115" t="n"/>
      <c r="BT199" s="362">
        <f t="array" ref="BT199:BW199">_xlfn.HSTACK(SUM(INDEX($R199:$AV199,1,1):INDEX($R199:$AV199,1,7)),SUM(INDEX($R199:$AV199,1,7):INDEX($R199:$AV199,1,13)),SUM(INDEX($R199:$AV199,1,16):INDEX($R199:$AV199,1,23)),SUM(INDEX($R199:$AV199,1,23):INDEX($R199:$AV199,1,31)))</f>
        <v/>
      </c>
      <c r="BU199" s="362" t="n">
        <v>980</v>
      </c>
      <c r="BV199" s="362" t="n">
        <v>700</v>
      </c>
      <c r="BW199" s="362" t="n">
        <v>0</v>
      </c>
      <c r="BY199" s="362">
        <f>SUM(R199:X199)</f>
        <v/>
      </c>
      <c r="BZ199" s="362">
        <f>SUM(Y199:AE199)</f>
        <v/>
      </c>
      <c r="CA199" s="362">
        <f>SUM(AF199:AM199)</f>
        <v/>
      </c>
      <c r="CB199" s="362">
        <f>SUM(AN199:AV199)</f>
        <v/>
      </c>
      <c r="CC199" s="362" t="n">
        <v>14.3</v>
      </c>
      <c r="CD199" s="432" t="inlineStr">
        <is>
          <t>ADA</t>
        </is>
      </c>
      <c r="CE199" s="362">
        <f>ROUND(BY199*$O199/1000,2)</f>
        <v/>
      </c>
      <c r="CF199" s="362">
        <f>ROUND(BZ199*$O199/1000,2)</f>
        <v/>
      </c>
      <c r="CG199" s="362">
        <f>ROUND(CA199*$O199/1000,2)</f>
        <v/>
      </c>
      <c r="CH199" s="362">
        <f>ROUND(CB199*$O199/1000,2)</f>
        <v/>
      </c>
      <c r="CI199" s="362">
        <f>SUM(CE199:CH199)</f>
        <v/>
      </c>
      <c r="CJ199" s="390" t="n"/>
      <c r="CK199" s="362">
        <f>IFERROR(ROUND(BY199*$P199,2),"")</f>
        <v/>
      </c>
      <c r="CL199" s="362">
        <f>IFERROR(ROUND(BZ199*$P199,2),"")</f>
        <v/>
      </c>
      <c r="CM199" s="362">
        <f>IFERROR(ROUND(CA199*$P199,2),"")</f>
        <v/>
      </c>
      <c r="CN199" s="362">
        <f>IFERROR(ROUND(CB199*$P199,2),"")</f>
        <v/>
      </c>
      <c r="CO199" s="362">
        <f>SUM(CK199:CN199)</f>
        <v/>
      </c>
    </row>
    <row r="200" ht="15.6" customFormat="1" customHeight="1" s="362">
      <c r="A200" s="331" t="n"/>
      <c r="B200" s="344">
        <f>_xlfn.XLOOKUP(G200,销售需求表!A:A,销售需求表!C:C)</f>
        <v/>
      </c>
      <c r="C200" s="345">
        <f>IFERROR(MID(F200,FIND("R",F200)+1,4),"")</f>
        <v/>
      </c>
      <c r="D200" s="365">
        <f>B200&amp;C200&amp;"寸"</f>
        <v/>
      </c>
      <c r="E200" s="346">
        <f>LEFT(REPLACE(G200,1,2,""),FIND("[",REPLACE(G200,1,2,""))-1)&amp;"-"&amp;MID(REPLACE(G200,1,2,""),FIND("[",REPLACE(G200,1,2,""))+1,FIND("]",REPLACE(G200,1,2,""))-FIND("[",REPLACE(G200,1,2,""))-1)</f>
        <v/>
      </c>
      <c r="F200" s="347">
        <f>IFERROR(MID(G200,3,FIND("(",G200)-3)&amp;"-"&amp;SUBSTITUTE(MID(G200,FIND("[",G200)+1,FIND("]",G200)-FIND("[",G200)-1),"Strong Guard ",""),"")</f>
        <v/>
      </c>
      <c r="G200" s="366" t="inlineStr">
        <is>
          <t>ID295/80R22.5-18PR(152/149M)[BRA07 ECO]BRANSALES无内</t>
        </is>
      </c>
      <c r="H200" s="344" t="n">
        <v>720</v>
      </c>
      <c r="I200" s="348" t="n">
        <v>2</v>
      </c>
      <c r="J200" s="349">
        <f>IFERROR(LEFT(F200,FIND("-",F200))&amp;MID(F200,FIND("PR",F200,FIND("-",F200))+3,LEN(F200)),F200)</f>
        <v/>
      </c>
      <c r="K200" s="352">
        <f>_xlfn.XLOOKUP(F200,投产规格!E:E,投产规格!D:D,"未投产")</f>
        <v/>
      </c>
      <c r="L200" s="352">
        <f>IFERROR(_xlfn.XLOOKUP(F200,硫化工艺!B:B,硫化工艺!C:C),"")</f>
        <v/>
      </c>
      <c r="M200" s="430">
        <f>IF(L200="","",L200/(L200+$L$1/60))</f>
        <v/>
      </c>
      <c r="N200" s="352">
        <f>C200&amp;"全钢"</f>
        <v/>
      </c>
      <c r="O200" s="352">
        <f>IFERROR(_xlfn.XLOOKUP(F200,轮胎重量!J:J,轮胎重量!G:G),"")</f>
        <v/>
      </c>
      <c r="P200" s="352">
        <f>IFERROR(_xlfn.XLOOKUP(G200,硫化工艺!I:I,硫化工艺!J:J),"")</f>
        <v/>
      </c>
      <c r="Q200" s="352">
        <f>IFERROR(ROUND(1440/L200*(I200)*M200,0),"")</f>
        <v/>
      </c>
      <c r="R200" s="352" t="n">
        <v>70</v>
      </c>
      <c r="S200" s="352" t="n">
        <v>70</v>
      </c>
      <c r="T200" s="352" t="n">
        <v>70</v>
      </c>
      <c r="U200" s="352" t="n">
        <v>70</v>
      </c>
      <c r="V200" s="352" t="n">
        <v>70</v>
      </c>
      <c r="W200" s="352" t="n">
        <v>70</v>
      </c>
      <c r="X200" s="352" t="n">
        <v>70</v>
      </c>
      <c r="Y200" s="352" t="n">
        <v>70</v>
      </c>
      <c r="Z200" s="352" t="n">
        <v>70</v>
      </c>
      <c r="AA200" s="352" t="n">
        <v>70</v>
      </c>
      <c r="AB200" s="352" t="n">
        <v>70</v>
      </c>
      <c r="AC200" s="352" t="n"/>
      <c r="AD200" s="352" t="n"/>
      <c r="AE200" s="352" t="n"/>
      <c r="AF200" s="352" t="n"/>
      <c r="AG200" s="352" t="n"/>
      <c r="AH200" s="352" t="n"/>
      <c r="AI200" s="352" t="n"/>
      <c r="AJ200" s="352" t="n"/>
      <c r="AK200" s="352" t="n"/>
      <c r="AL200" s="352" t="n"/>
      <c r="AM200" s="352" t="n"/>
      <c r="AN200" s="352" t="n"/>
      <c r="AO200" s="352" t="n"/>
      <c r="AP200" s="352" t="n"/>
      <c r="AQ200" s="352" t="n"/>
      <c r="AR200" s="352" t="n"/>
      <c r="AS200" s="352" t="n"/>
      <c r="AT200" s="352" t="n"/>
      <c r="AU200" s="352" t="n"/>
      <c r="AV200" s="352" t="n"/>
      <c r="AW200" s="352">
        <f>IF(SUM(R200:AV200)=0,"",SUM(R200:AV200))</f>
        <v/>
      </c>
      <c r="AX200" s="431">
        <f>IFERROR(AW200*O200/1000,"")</f>
        <v/>
      </c>
      <c r="AY200" s="431">
        <f>IFERROR(ROUND(AW200*P200/10000,3),"")</f>
        <v/>
      </c>
      <c r="AZ200" s="354" t="n">
        <v>680.46</v>
      </c>
      <c r="BA200" s="355" t="n">
        <v>39.74</v>
      </c>
      <c r="BB200" s="355" t="n">
        <v>62</v>
      </c>
      <c r="BC200" s="355" t="n">
        <v>67.14</v>
      </c>
      <c r="BD200" s="331" t="n"/>
      <c r="BE200" s="331">
        <f>AZ200*AW200</f>
        <v/>
      </c>
      <c r="BF200" s="331">
        <f>BA200*AW200</f>
        <v/>
      </c>
      <c r="BG200" s="331">
        <f>BB200*AW200</f>
        <v/>
      </c>
      <c r="BH200" s="331">
        <f>BC200*AW200</f>
        <v/>
      </c>
      <c r="BI200" s="331" t="n"/>
      <c r="BJ200" s="356">
        <f t="array" ref="BJ200:BM200">_xlfn.LET(_xlpm.data,$R200:$AV200,_xlpm.starts,{1,8,16,23},_xlpm.lengths,{7,7,8,9},_xlpm.arr,_xlfn.MAP(_xlpm.starts,_xlpm.lengths,_xlfn.LAMBDA(_xlpm.s,_xlpm.l,SUM(INDEX(_xlpm.data,,_xlfn.SEQUENCE(,_xlpm.l,_xlpm.s))))),ROUND(_xlpm.arr*$O200/1000,2))</f>
        <v/>
      </c>
      <c r="BK200" s="331" t="n">
        <v>14.81</v>
      </c>
      <c r="BL200" s="331" t="n">
        <v>0</v>
      </c>
      <c r="BM200" s="331" t="n">
        <v>0</v>
      </c>
      <c r="BN200" s="362">
        <f>SUM(BJ200:BM200)</f>
        <v/>
      </c>
      <c r="BO200" s="362" t="n">
        <v>0</v>
      </c>
      <c r="BP200" s="362" t="n">
        <v>0</v>
      </c>
      <c r="BQ200" s="362" t="n">
        <v>0.76</v>
      </c>
      <c r="BR200" s="362" t="n">
        <v>0</v>
      </c>
      <c r="BS200" s="115" t="n"/>
      <c r="BT200" s="362">
        <f t="array" ref="BT200:BW200">_xlfn.HSTACK(SUM(INDEX($R200:$AV200,1,1):INDEX($R200:$AV200,1,7)),SUM(INDEX($R200:$AV200,1,7):INDEX($R200:$AV200,1,13)),SUM(INDEX($R200:$AV200,1,16):INDEX($R200:$AV200,1,23)),SUM(INDEX($R200:$AV200,1,23):INDEX($R200:$AV200,1,31)))</f>
        <v/>
      </c>
      <c r="BU200" s="362" t="n">
        <v>350</v>
      </c>
      <c r="BV200" s="362" t="n">
        <v>0</v>
      </c>
      <c r="BW200" s="362" t="n">
        <v>0</v>
      </c>
      <c r="BY200" s="362">
        <f>SUM(R200:X200)</f>
        <v/>
      </c>
      <c r="BZ200" s="362">
        <f>SUM(Y200:AE200)</f>
        <v/>
      </c>
      <c r="CA200" s="362">
        <f>SUM(AF200:AM200)</f>
        <v/>
      </c>
      <c r="CB200" s="362">
        <f>SUM(AN200:AV200)</f>
        <v/>
      </c>
      <c r="CD200" s="432" t="inlineStr">
        <is>
          <t>ADA</t>
        </is>
      </c>
      <c r="CE200" s="362">
        <f>ROUND(BY200*$O200/1000,2)</f>
        <v/>
      </c>
      <c r="CF200" s="362">
        <f>ROUND(BZ200*$O200/1000,2)</f>
        <v/>
      </c>
      <c r="CG200" s="362">
        <f>ROUND(CA200*$O200/1000,2)</f>
        <v/>
      </c>
      <c r="CH200" s="362">
        <f>ROUND(CB200*$O200/1000,2)</f>
        <v/>
      </c>
      <c r="CI200" s="362">
        <f>SUM(CE200:CH200)</f>
        <v/>
      </c>
      <c r="CJ200" s="390" t="n"/>
      <c r="CK200" s="362">
        <f>IFERROR(ROUND(BY200*$P200,2),"")</f>
        <v/>
      </c>
      <c r="CL200" s="362">
        <f>IFERROR(ROUND(BZ200*$P200,2),"")</f>
        <v/>
      </c>
      <c r="CM200" s="362">
        <f>IFERROR(ROUND(CA200*$P200,2),"")</f>
        <v/>
      </c>
      <c r="CN200" s="362">
        <f>IFERROR(ROUND(CB200*$P200,2),"")</f>
        <v/>
      </c>
      <c r="CO200" s="362">
        <f>SUM(CK200:CN200)</f>
        <v/>
      </c>
    </row>
    <row r="201" hidden="1" ht="15.6" customHeight="1" s="428">
      <c r="B201" s="344">
        <f>_xlfn.XLOOKUP(G201,销售需求表!A:A,销售需求表!C:C)</f>
        <v/>
      </c>
      <c r="C201" s="345">
        <f>IFERROR(MID(F201,FIND("R",F201)+1,4),"")</f>
        <v/>
      </c>
      <c r="D201" s="365">
        <f>B201&amp;C201&amp;"寸"</f>
        <v/>
      </c>
      <c r="E201" s="346">
        <f>LEFT(REPLACE(G201,1,2,""),FIND("[",REPLACE(G201,1,2,""))-1)&amp;"-"&amp;MID(REPLACE(G201,1,2,""),FIND("[",REPLACE(G201,1,2,""))+1,FIND("]",REPLACE(G201,1,2,""))-FIND("[",REPLACE(G201,1,2,""))-1)</f>
        <v/>
      </c>
      <c r="F201" s="347">
        <f>IFERROR(MID(G201,3,FIND("(",G201)-3)&amp;"-"&amp;SUBSTITUTE(MID(G201,FIND("[",G201)+1,FIND("]",G201)-FIND("[",G201)-1),"Strong Guard ",""),"")</f>
        <v/>
      </c>
      <c r="G201" s="366" t="inlineStr">
        <is>
          <t>ID295/80R22.5-18PR(152/149M)[BRD06 PRO]BRANSALES无内</t>
        </is>
      </c>
      <c r="H201" s="344" t="n">
        <v>700</v>
      </c>
      <c r="I201" s="348" t="n"/>
      <c r="J201" s="349">
        <f>IFERROR(LEFT(F201,FIND("-",F201))&amp;MID(F201,FIND("PR",F201,FIND("-",F201))+3,LEN(F201)),F201)</f>
        <v/>
      </c>
      <c r="K201" s="352">
        <f>_xlfn.XLOOKUP(F201,投产规格!E:E,投产规格!D:D,"未投产")</f>
        <v/>
      </c>
      <c r="L201" s="352">
        <f>IFERROR(_xlfn.XLOOKUP(F201,硫化工艺!B:B,硫化工艺!C:C),"")</f>
        <v/>
      </c>
      <c r="M201" s="430">
        <f>IF(L201="","",L201/(L201+$L$1/60))</f>
        <v/>
      </c>
      <c r="N201" s="352">
        <f>C201&amp;"全钢"</f>
        <v/>
      </c>
      <c r="O201" s="352">
        <f>IFERROR(_xlfn.XLOOKUP(F201,轮胎重量!J:J,轮胎重量!G:G),"")</f>
        <v/>
      </c>
      <c r="P201" s="352">
        <f>IFERROR(_xlfn.XLOOKUP(G201,硫化工艺!I:I,硫化工艺!J:J),"")</f>
        <v/>
      </c>
      <c r="Q201" s="352">
        <f>IFERROR(ROUND(1440/L201*(I201)*M201,0),"")</f>
        <v/>
      </c>
      <c r="R201" s="352" t="n"/>
      <c r="S201" s="352" t="n"/>
      <c r="T201" s="352" t="n"/>
      <c r="U201" s="352" t="n"/>
      <c r="V201" s="352" t="n"/>
      <c r="W201" s="352" t="n"/>
      <c r="X201" s="352" t="n"/>
      <c r="Y201" s="352" t="n"/>
      <c r="Z201" s="352" t="n"/>
      <c r="AA201" s="352" t="n"/>
      <c r="AB201" s="352" t="n"/>
      <c r="AC201" s="352" t="n"/>
      <c r="AD201" s="352" t="n"/>
      <c r="AE201" s="352" t="n"/>
      <c r="AF201" s="352" t="n"/>
      <c r="AG201" s="352" t="n"/>
      <c r="AH201" s="352" t="n"/>
      <c r="AI201" s="352" t="n"/>
      <c r="AJ201" s="352" t="n"/>
      <c r="AK201" s="352" t="n"/>
      <c r="AL201" s="352" t="n"/>
      <c r="AM201" s="352" t="n"/>
      <c r="AN201" s="352" t="n"/>
      <c r="AO201" s="352" t="n"/>
      <c r="AP201" s="352" t="n"/>
      <c r="AQ201" s="352" t="n"/>
      <c r="AR201" s="352" t="n"/>
      <c r="AS201" s="352" t="n"/>
      <c r="AT201" s="352" t="n"/>
      <c r="AU201" s="352" t="n"/>
      <c r="AV201" s="352" t="n"/>
      <c r="AW201" s="352">
        <f>IF(SUM(R201:AV201)=0,"",SUM(R201:AV201))</f>
        <v/>
      </c>
      <c r="AX201" s="431">
        <f>IFERROR(AW201*O201/1000,"")</f>
        <v/>
      </c>
      <c r="AY201" s="431">
        <f>IFERROR(ROUND(AW201*P201/10000,3),"")</f>
        <v/>
      </c>
      <c r="AZ201" s="354" t="n">
        <v>499.64</v>
      </c>
      <c r="BA201" s="355" t="n">
        <v>31.94</v>
      </c>
      <c r="BB201" s="355" t="n">
        <v>52.47</v>
      </c>
      <c r="BC201" s="355" t="n">
        <v>55.21</v>
      </c>
      <c r="BE201" s="331">
        <f>AZ201*AW201</f>
        <v/>
      </c>
      <c r="BF201" s="331">
        <f>BA201*AW201</f>
        <v/>
      </c>
      <c r="BG201" s="331">
        <f>BB201*AW201</f>
        <v/>
      </c>
      <c r="BH201" s="331">
        <f>BC201*AW201</f>
        <v/>
      </c>
      <c r="BJ201" s="356">
        <f t="array" ref="BJ201:BM201">_xlfn.LET(_xlpm.data,$R201:$AV201,_xlpm.starts,{1,8,16,23},_xlpm.lengths,{7,7,8,9},_xlpm.arr,_xlfn.MAP(_xlpm.starts,_xlpm.lengths,_xlfn.LAMBDA(_xlpm.s,_xlpm.l,SUM(INDEX(_xlpm.data,,_xlfn.SEQUENCE(,_xlpm.l,_xlpm.s))))),ROUND(_xlpm.arr*$O201/1000,2))</f>
        <v/>
      </c>
      <c r="BK201" s="331" t="n">
        <v>0</v>
      </c>
      <c r="BL201" s="331" t="n">
        <v>0</v>
      </c>
      <c r="BM201" s="331" t="n">
        <v>0</v>
      </c>
      <c r="BN201" s="362">
        <f>SUM(BJ201:BM201)</f>
        <v/>
      </c>
      <c r="BO201" s="362" t="n">
        <v>49.18</v>
      </c>
      <c r="BP201" s="362" t="n">
        <v>49.18</v>
      </c>
      <c r="BQ201" s="362" t="n">
        <v>56.2</v>
      </c>
      <c r="BR201" s="362" t="n">
        <v>63.23</v>
      </c>
      <c r="BT201" s="362">
        <f t="array" ref="BT201:BW201">_xlfn.HSTACK(SUM(INDEX($R201:$AV201,1,1):INDEX($R201:$AV201,1,7)),SUM(INDEX($R201:$AV201,1,7):INDEX($R201:$AV201,1,13)),SUM(INDEX($R201:$AV201,1,16):INDEX($R201:$AV201,1,23)),SUM(INDEX($R201:$AV201,1,23):INDEX($R201:$AV201,1,31)))</f>
        <v/>
      </c>
      <c r="BU201" s="362" t="n">
        <v>0</v>
      </c>
      <c r="BV201" s="362" t="n">
        <v>0</v>
      </c>
      <c r="BW201" s="362" t="n">
        <v>0</v>
      </c>
      <c r="BY201" s="362">
        <f>SUM(R201:X201)</f>
        <v/>
      </c>
      <c r="BZ201" s="362">
        <f>SUM(Y201:AE201)</f>
        <v/>
      </c>
      <c r="CA201" s="362">
        <f>SUM(AF201:AM201)</f>
        <v/>
      </c>
      <c r="CB201" s="362">
        <f>SUM(AN201:AV201)</f>
        <v/>
      </c>
      <c r="CD201" s="432" t="inlineStr">
        <is>
          <t>ADA</t>
        </is>
      </c>
      <c r="CE201" s="362">
        <f>ROUND(BY201*$O201/1000,2)</f>
        <v/>
      </c>
      <c r="CF201" s="362">
        <f>ROUND(BZ201*$O201/1000,2)</f>
        <v/>
      </c>
      <c r="CG201" s="362">
        <f>ROUND(CA201*$O201/1000,2)</f>
        <v/>
      </c>
      <c r="CH201" s="362">
        <f>ROUND(CB201*$O201/1000,2)</f>
        <v/>
      </c>
      <c r="CI201" s="362">
        <f>SUM(CE201:CH201)</f>
        <v/>
      </c>
      <c r="CK201" s="362">
        <f>IFERROR(ROUND(BY201*$P201,2),"")</f>
        <v/>
      </c>
      <c r="CL201" s="362">
        <f>IFERROR(ROUND(BZ201*$P201,2),"")</f>
        <v/>
      </c>
      <c r="CM201" s="362">
        <f>IFERROR(ROUND(CA201*$P201,2),"")</f>
        <v/>
      </c>
      <c r="CN201" s="362">
        <f>IFERROR(ROUND(CB201*$P201,2),"")</f>
        <v/>
      </c>
      <c r="CO201" s="362">
        <f>SUM(CK201:CN201)</f>
        <v/>
      </c>
    </row>
    <row r="202" hidden="1" ht="15.6" customFormat="1" customHeight="1" s="362">
      <c r="A202" s="331" t="n"/>
      <c r="B202" s="344">
        <f>_xlfn.XLOOKUP(G202,销售需求表!A:A,销售需求表!C:C)</f>
        <v/>
      </c>
      <c r="C202" s="345">
        <f>IFERROR(MID(F202,FIND("R",F202)+1,4),"")</f>
        <v/>
      </c>
      <c r="D202" s="365">
        <f>B202&amp;C202&amp;"寸"</f>
        <v/>
      </c>
      <c r="E202" s="346">
        <f>LEFT(REPLACE(G202,1,2,""),FIND("[",REPLACE(G202,1,2,""))-1)&amp;"-"&amp;MID(REPLACE(G202,1,2,""),FIND("[",REPLACE(G202,1,2,""))+1,FIND("]",REPLACE(G202,1,2,""))-FIND("[",REPLACE(G202,1,2,""))-1)</f>
        <v/>
      </c>
      <c r="F202" s="347">
        <f>IFERROR(MID(G202,3,FIND("(",G202)-3)&amp;"-"&amp;SUBSTITUTE(MID(G202,FIND("[",G202)+1,FIND("]",G202)-FIND("[",G202)-1),"Strong Guard ",""),"")</f>
        <v/>
      </c>
      <c r="G202" s="366" t="inlineStr">
        <is>
          <t>ID295/80R22.5-18PR(152/149M)[CR976A]ARISUN无内</t>
        </is>
      </c>
      <c r="H202" s="344" t="n">
        <v>250</v>
      </c>
      <c r="I202" s="348" t="n"/>
      <c r="J202" s="349">
        <f>IFERROR(LEFT(F202,FIND("-",F202))&amp;MID(F202,FIND("PR",F202,FIND("-",F202))+3,LEN(F202)),F202)</f>
        <v/>
      </c>
      <c r="K202" s="352">
        <f>_xlfn.XLOOKUP(F202,投产规格!E:E,投产规格!D:D,"未投产")</f>
        <v/>
      </c>
      <c r="L202" s="352">
        <f>IFERROR(_xlfn.XLOOKUP(F202,硫化工艺!B:B,硫化工艺!C:C),"")</f>
        <v/>
      </c>
      <c r="M202" s="430">
        <f>IF(L202="","",L202/(L202+$L$1/60))</f>
        <v/>
      </c>
      <c r="N202" s="352">
        <f>C202&amp;"全钢"</f>
        <v/>
      </c>
      <c r="O202" s="352">
        <f>IFERROR(_xlfn.XLOOKUP(F202,轮胎重量!J:J,轮胎重量!G:G),"")</f>
        <v/>
      </c>
      <c r="P202" s="358">
        <f>O202*13.9</f>
        <v/>
      </c>
      <c r="Q202" s="352">
        <f>IFERROR(ROUND(1440/L202*(I202)*M202,0),"")</f>
        <v/>
      </c>
      <c r="R202" s="352" t="n"/>
      <c r="S202" s="352" t="n"/>
      <c r="T202" s="352" t="n"/>
      <c r="U202" s="352" t="n"/>
      <c r="V202" s="352" t="n"/>
      <c r="W202" s="352" t="n"/>
      <c r="X202" s="352" t="n"/>
      <c r="Y202" s="352" t="n"/>
      <c r="Z202" s="352" t="n"/>
      <c r="AA202" s="352" t="n"/>
      <c r="AB202" s="352" t="n"/>
      <c r="AC202" s="352" t="n"/>
      <c r="AD202" s="352" t="n"/>
      <c r="AE202" s="352" t="n"/>
      <c r="AF202" s="352" t="n"/>
      <c r="AG202" s="352" t="n"/>
      <c r="AH202" s="352" t="n"/>
      <c r="AI202" s="352" t="n"/>
      <c r="AJ202" s="352" t="n"/>
      <c r="AK202" s="352" t="n"/>
      <c r="AL202" s="352" t="n"/>
      <c r="AM202" s="352" t="n"/>
      <c r="AN202" s="352" t="n"/>
      <c r="AO202" s="352" t="n"/>
      <c r="AP202" s="352" t="n"/>
      <c r="AQ202" s="352" t="n"/>
      <c r="AR202" s="352" t="n"/>
      <c r="AS202" s="352" t="n"/>
      <c r="AT202" s="352" t="n"/>
      <c r="AU202" s="352" t="n"/>
      <c r="AV202" s="352" t="n"/>
      <c r="AW202" s="352">
        <f>IF(SUM(R202:AV202)=0,"",SUM(R202:AV202))</f>
        <v/>
      </c>
      <c r="AX202" s="431">
        <f>IFERROR(AW202*O202/1000,"")</f>
        <v/>
      </c>
      <c r="AY202" s="431">
        <f>IFERROR(ROUND(AW202*P202/10000,3),"")</f>
        <v/>
      </c>
      <c r="AZ202" s="354" t="n">
        <v>499.64</v>
      </c>
      <c r="BA202" s="355" t="n">
        <v>31.94</v>
      </c>
      <c r="BB202" s="355" t="n">
        <v>52.47</v>
      </c>
      <c r="BC202" s="355" t="n">
        <v>55.21</v>
      </c>
      <c r="BD202" s="331" t="n"/>
      <c r="BE202" s="331">
        <f>AZ202*AW202</f>
        <v/>
      </c>
      <c r="BF202" s="331">
        <f>BA202*AW202</f>
        <v/>
      </c>
      <c r="BG202" s="331">
        <f>BB202*AW202</f>
        <v/>
      </c>
      <c r="BH202" s="331">
        <f>BC202*AW202</f>
        <v/>
      </c>
      <c r="BI202" s="331" t="n"/>
      <c r="BJ202" s="356">
        <f t="array" ref="BJ202:BM202">_xlfn.LET(_xlpm.data,$R202:$AV202,_xlpm.starts,{1,8,16,23},_xlpm.lengths,{7,7,8,9},_xlpm.arr,_xlfn.MAP(_xlpm.starts,_xlpm.lengths,_xlfn.LAMBDA(_xlpm.s,_xlpm.l,SUM(INDEX(_xlpm.data,,_xlfn.SEQUENCE(,_xlpm.l,_xlpm.s))))),ROUND(_xlpm.arr*$O202/1000,2))</f>
        <v/>
      </c>
      <c r="BK202" s="331" t="n">
        <v>0</v>
      </c>
      <c r="BL202" s="331" t="n">
        <v>0</v>
      </c>
      <c r="BM202" s="331" t="n">
        <v>0</v>
      </c>
      <c r="BN202" s="362">
        <f>SUM(BJ202:BM202)</f>
        <v/>
      </c>
      <c r="BO202" s="362" t="n">
        <v>49.18</v>
      </c>
      <c r="BP202" s="362" t="n">
        <v>49.18</v>
      </c>
      <c r="BQ202" s="362" t="n">
        <v>56.2</v>
      </c>
      <c r="BR202" s="362" t="n">
        <v>63.23</v>
      </c>
      <c r="BS202" s="115" t="n"/>
      <c r="BT202" s="362">
        <f t="array" ref="BT202:BW202">_xlfn.HSTACK(SUM(INDEX($R202:$AV202,1,1):INDEX($R202:$AV202,1,7)),SUM(INDEX($R202:$AV202,1,7):INDEX($R202:$AV202,1,13)),SUM(INDEX($R202:$AV202,1,16):INDEX($R202:$AV202,1,23)),SUM(INDEX($R202:$AV202,1,23):INDEX($R202:$AV202,1,31)))</f>
        <v/>
      </c>
      <c r="BU202" s="362" t="n">
        <v>0</v>
      </c>
      <c r="BV202" s="362" t="n">
        <v>0</v>
      </c>
      <c r="BW202" s="362" t="n">
        <v>0</v>
      </c>
      <c r="BY202" s="362">
        <f>SUM(R202:X202)</f>
        <v/>
      </c>
      <c r="BZ202" s="362">
        <f>SUM(Y202:AE202)</f>
        <v/>
      </c>
      <c r="CA202" s="362">
        <f>SUM(AF202:AM202)</f>
        <v/>
      </c>
      <c r="CB202" s="362">
        <f>SUM(AN202:AV202)</f>
        <v/>
      </c>
      <c r="CD202" s="432" t="inlineStr">
        <is>
          <t>ADA</t>
        </is>
      </c>
      <c r="CE202" s="362">
        <f>ROUND(BY202*$O202/1000,2)</f>
        <v/>
      </c>
      <c r="CF202" s="362">
        <f>ROUND(BZ202*$O202/1000,2)</f>
        <v/>
      </c>
      <c r="CG202" s="362">
        <f>ROUND(CA202*$O202/1000,2)</f>
        <v/>
      </c>
      <c r="CH202" s="362">
        <f>ROUND(CB202*$O202/1000,2)</f>
        <v/>
      </c>
      <c r="CI202" s="362">
        <f>SUM(CE202:CH202)</f>
        <v/>
      </c>
      <c r="CJ202" s="390" t="n"/>
      <c r="CK202" s="362">
        <f>IFERROR(ROUND(BY202*$P202,2),"")</f>
        <v/>
      </c>
      <c r="CL202" s="362">
        <f>IFERROR(ROUND(BZ202*$P202,2),"")</f>
        <v/>
      </c>
      <c r="CM202" s="362">
        <f>IFERROR(ROUND(CA202*$P202,2),"")</f>
        <v/>
      </c>
      <c r="CN202" s="362">
        <f>IFERROR(ROUND(CB202*$P202,2),"")</f>
        <v/>
      </c>
      <c r="CO202" s="362">
        <f>SUM(CK202:CN202)</f>
        <v/>
      </c>
    </row>
    <row r="203" ht="15.6" customFormat="1" customHeight="1" s="362">
      <c r="A203" s="331" t="n"/>
      <c r="B203" s="344">
        <f>_xlfn.XLOOKUP(G203,销售需求表!A:A,销售需求表!C:C)</f>
        <v/>
      </c>
      <c r="C203" s="345">
        <f>IFERROR(MID(F203,FIND("R",F203)+1,4),"")</f>
        <v/>
      </c>
      <c r="D203" s="365">
        <f>B203&amp;C203&amp;"寸"</f>
        <v/>
      </c>
      <c r="E203" s="346">
        <f>LEFT(REPLACE(G203,1,2,""),FIND("[",REPLACE(G203,1,2,""))-1)&amp;"-"&amp;MID(REPLACE(G203,1,2,""),FIND("[",REPLACE(G203,1,2,""))+1,FIND("]",REPLACE(G203,1,2,""))-FIND("[",REPLACE(G203,1,2,""))-1)</f>
        <v/>
      </c>
      <c r="F203" s="347">
        <f>IFERROR(MID(G203,3,FIND("(",G203)-3)&amp;"-"&amp;SUBSTITUTE(MID(G203,FIND("[",G203)+1,FIND("]",G203)-FIND("[",G203)-1),"Strong Guard ",""),"")</f>
        <v/>
      </c>
      <c r="G203" s="366" t="inlineStr">
        <is>
          <t>ID295/80R22.5-18PR(152/149M)[G-PRO D]GRIPMASTER无内</t>
        </is>
      </c>
      <c r="H203" s="344" t="n">
        <v>3000</v>
      </c>
      <c r="I203" s="348" t="n">
        <v>2</v>
      </c>
      <c r="J203" s="349">
        <f>IFERROR(LEFT(F203,FIND("-",F203))&amp;MID(F203,FIND("PR",F203,FIND("-",F203))+3,LEN(F203)),F203)</f>
        <v/>
      </c>
      <c r="K203" s="352">
        <f>_xlfn.XLOOKUP(F203,投产规格!E:E,投产规格!D:D,"未投产")</f>
        <v/>
      </c>
      <c r="L203" s="352">
        <f>IFERROR(_xlfn.XLOOKUP(F203,硫化工艺!B:B,硫化工艺!C:C),"")</f>
        <v/>
      </c>
      <c r="M203" s="430">
        <f>IF(L203="","",L203/(L203+$L$1/60))</f>
        <v/>
      </c>
      <c r="N203" s="352">
        <f>C203&amp;"全钢"</f>
        <v/>
      </c>
      <c r="O203" s="352">
        <f>IFERROR(_xlfn.XLOOKUP(F203,轮胎重量!J:J,轮胎重量!G:G),"")</f>
        <v/>
      </c>
      <c r="P203" s="352">
        <f>IFERROR(_xlfn.XLOOKUP(G203,硫化工艺!I:I,硫化工艺!J:J),"")</f>
        <v/>
      </c>
      <c r="Q203" s="352">
        <f>IFERROR(ROUND(1440/L203*(I203)*M203,0),"")</f>
        <v/>
      </c>
      <c r="R203" s="352" t="n">
        <v>56</v>
      </c>
      <c r="S203" s="352" t="n">
        <v>56</v>
      </c>
      <c r="T203" s="352" t="n">
        <v>56</v>
      </c>
      <c r="U203" s="352" t="n">
        <v>56</v>
      </c>
      <c r="V203" s="352" t="n">
        <v>56</v>
      </c>
      <c r="W203" s="352" t="n">
        <v>56</v>
      </c>
      <c r="X203" s="352" t="n">
        <v>56</v>
      </c>
      <c r="Y203" s="352" t="n">
        <v>56</v>
      </c>
      <c r="Z203" s="352" t="n">
        <v>56</v>
      </c>
      <c r="AA203" s="352" t="n">
        <v>56</v>
      </c>
      <c r="AB203" s="352" t="n">
        <v>56</v>
      </c>
      <c r="AC203" s="352" t="n">
        <v>56</v>
      </c>
      <c r="AD203" s="352" t="n">
        <v>56</v>
      </c>
      <c r="AE203" s="352" t="n">
        <v>56</v>
      </c>
      <c r="AF203" s="352" t="n">
        <v>56</v>
      </c>
      <c r="AG203" s="352" t="n">
        <v>56</v>
      </c>
      <c r="AH203" s="352" t="n">
        <v>56</v>
      </c>
      <c r="AI203" s="352" t="n">
        <v>56</v>
      </c>
      <c r="AJ203" s="352" t="n">
        <v>56</v>
      </c>
      <c r="AK203" s="352" t="n">
        <v>56</v>
      </c>
      <c r="AL203" s="352" t="n">
        <v>56</v>
      </c>
      <c r="AM203" s="352" t="n">
        <v>56</v>
      </c>
      <c r="AN203" s="352" t="n">
        <v>56</v>
      </c>
      <c r="AO203" s="352" t="n">
        <v>56</v>
      </c>
      <c r="AP203" s="352" t="n">
        <v>56</v>
      </c>
      <c r="AQ203" s="352" t="n">
        <v>56</v>
      </c>
      <c r="AR203" s="352" t="n">
        <v>56</v>
      </c>
      <c r="AS203" s="352" t="n">
        <v>56</v>
      </c>
      <c r="AT203" s="352" t="n">
        <v>56</v>
      </c>
      <c r="AU203" s="352" t="n">
        <v>56</v>
      </c>
      <c r="AV203" s="352" t="n">
        <v>56</v>
      </c>
      <c r="AW203" s="352">
        <f>IF(SUM(R203:AV203)=0,"",SUM(R203:AV203))</f>
        <v/>
      </c>
      <c r="AX203" s="431">
        <f>IFERROR(AW203*O203/1000,"")</f>
        <v/>
      </c>
      <c r="AY203" s="431">
        <f>IFERROR(ROUND(AW203*P203/10000,3),"")</f>
        <v/>
      </c>
      <c r="AZ203" s="354" t="n">
        <v>499.64</v>
      </c>
      <c r="BA203" s="355" t="n">
        <v>31.94</v>
      </c>
      <c r="BB203" s="355" t="n">
        <v>52.47</v>
      </c>
      <c r="BC203" s="355" t="n">
        <v>55.21</v>
      </c>
      <c r="BD203" s="331" t="n"/>
      <c r="BE203" s="331">
        <f>AZ203*AW203</f>
        <v/>
      </c>
      <c r="BF203" s="331">
        <f>BA203*AW203</f>
        <v/>
      </c>
      <c r="BG203" s="331">
        <f>BB203*AW203</f>
        <v/>
      </c>
      <c r="BH203" s="331">
        <f>BC203*AW203</f>
        <v/>
      </c>
      <c r="BI203" s="331" t="n"/>
      <c r="BJ203" s="356">
        <f t="array" ref="BJ203:BM203">_xlfn.LET(_xlpm.data,$R203:$AV203,_xlpm.starts,{1,8,16,23},_xlpm.lengths,{7,7,8,9},_xlpm.arr,_xlfn.MAP(_xlpm.starts,_xlpm.lengths,_xlfn.LAMBDA(_xlpm.s,_xlpm.l,SUM(INDEX(_xlpm.data,,_xlfn.SEQUENCE(,_xlpm.l,_xlpm.s))))),ROUND(_xlpm.arr*$O203/1000,2))</f>
        <v/>
      </c>
      <c r="BK203" s="331" t="n">
        <v>24.91</v>
      </c>
      <c r="BL203" s="331" t="n">
        <v>28.47</v>
      </c>
      <c r="BM203" s="331" t="n">
        <v>32.03</v>
      </c>
      <c r="BN203" s="362">
        <f>SUM(BJ203:BM203)</f>
        <v/>
      </c>
      <c r="BO203" s="362" t="n">
        <v>49.18</v>
      </c>
      <c r="BP203" s="362" t="n">
        <v>49.18</v>
      </c>
      <c r="BQ203" s="362" t="n">
        <v>56.2</v>
      </c>
      <c r="BR203" s="362" t="n">
        <v>63.23</v>
      </c>
      <c r="BS203" s="115" t="n"/>
      <c r="BT203" s="362">
        <f t="array" ref="BT203:BW203">_xlfn.HSTACK(SUM(INDEX($R203:$AV203,1,1):INDEX($R203:$AV203,1,7)),SUM(INDEX($R203:$AV203,1,7):INDEX($R203:$AV203,1,13)),SUM(INDEX($R203:$AV203,1,16):INDEX($R203:$AV203,1,23)),SUM(INDEX($R203:$AV203,1,23):INDEX($R203:$AV203,1,31)))</f>
        <v/>
      </c>
      <c r="BU203" s="362" t="n">
        <v>392</v>
      </c>
      <c r="BV203" s="362" t="n">
        <v>448</v>
      </c>
      <c r="BW203" s="362" t="n">
        <v>504</v>
      </c>
      <c r="BY203" s="362">
        <f>SUM(R203:X203)</f>
        <v/>
      </c>
      <c r="BZ203" s="362">
        <f>SUM(Y203:AE203)</f>
        <v/>
      </c>
      <c r="CA203" s="362">
        <f>SUM(AF203:AM203)</f>
        <v/>
      </c>
      <c r="CB203" s="362">
        <f>SUM(AN203:AV203)</f>
        <v/>
      </c>
      <c r="CD203" s="432" t="inlineStr">
        <is>
          <t>ADA</t>
        </is>
      </c>
      <c r="CE203" s="362">
        <f>ROUND(BY203*$O203/1000,2)</f>
        <v/>
      </c>
      <c r="CF203" s="362">
        <f>ROUND(BZ203*$O203/1000,2)</f>
        <v/>
      </c>
      <c r="CG203" s="362">
        <f>ROUND(CA203*$O203/1000,2)</f>
        <v/>
      </c>
      <c r="CH203" s="362">
        <f>ROUND(CB203*$O203/1000,2)</f>
        <v/>
      </c>
      <c r="CI203" s="362">
        <f>SUM(CE203:CH203)</f>
        <v/>
      </c>
      <c r="CJ203" s="390" t="n"/>
      <c r="CK203" s="362">
        <f>IFERROR(ROUND(BY203*$P203,2),"")</f>
        <v/>
      </c>
      <c r="CL203" s="362">
        <f>IFERROR(ROUND(BZ203*$P203,2),"")</f>
        <v/>
      </c>
      <c r="CM203" s="362">
        <f>IFERROR(ROUND(CA203*$P203,2),"")</f>
        <v/>
      </c>
      <c r="CN203" s="362">
        <f>IFERROR(ROUND(CB203*$P203,2),"")</f>
        <v/>
      </c>
      <c r="CO203" s="362">
        <f>SUM(CK203:CN203)</f>
        <v/>
      </c>
    </row>
    <row r="204" ht="15.6" customHeight="1" s="428">
      <c r="B204" s="344">
        <f>_xlfn.XLOOKUP(G204,销售需求表!A:A,销售需求表!C:C)</f>
        <v/>
      </c>
      <c r="C204" s="345">
        <f>IFERROR(MID(F204,FIND("R",F204)+1,4),"")</f>
        <v/>
      </c>
      <c r="D204" s="365">
        <f>B204&amp;C204&amp;"寸"</f>
        <v/>
      </c>
      <c r="E204" s="346">
        <f>LEFT(REPLACE(G204,1,2,""),FIND("[",REPLACE(G204,1,2,""))-1)&amp;"-"&amp;MID(REPLACE(G204,1,2,""),FIND("[",REPLACE(G204,1,2,""))+1,FIND("]",REPLACE(G204,1,2,""))-FIND("[",REPLACE(G204,1,2,""))-1)</f>
        <v/>
      </c>
      <c r="F204" s="347">
        <f>IFERROR(MID(G204,3,FIND("(",G204)-3)&amp;"-"&amp;SUBSTITUTE(MID(G204,FIND("[",G204)+1,FIND("]",G204)-FIND("[",G204)-1),"Strong Guard ",""),"")</f>
        <v/>
      </c>
      <c r="G204" s="366" t="inlineStr">
        <is>
          <t>ID295/80R22.5-18PR(152/149M)[G-PRO S]GRIPMASTER无内</t>
        </is>
      </c>
      <c r="H204" s="344" t="n">
        <v>4000</v>
      </c>
      <c r="I204" s="348" t="n"/>
      <c r="J204" s="349">
        <f>IFERROR(LEFT(F204,FIND("-",F204))&amp;MID(F204,FIND("PR",F204,FIND("-",F204))+3,LEN(F204)),F204)</f>
        <v/>
      </c>
      <c r="K204" s="352">
        <f>_xlfn.XLOOKUP(F204,投产规格!E:E,投产规格!D:D,"未投产")</f>
        <v/>
      </c>
      <c r="L204" s="352">
        <f>IFERROR(_xlfn.XLOOKUP(F204,硫化工艺!B:B,硫化工艺!C:C),"")</f>
        <v/>
      </c>
      <c r="M204" s="430">
        <f>IF(L204="","",L204/(L204+$L$1/60))</f>
        <v/>
      </c>
      <c r="N204" s="352">
        <f>C204&amp;"全钢"</f>
        <v/>
      </c>
      <c r="O204" s="352">
        <f>IFERROR(_xlfn.XLOOKUP(F204,轮胎重量!J:J,轮胎重量!G:G),"")</f>
        <v/>
      </c>
      <c r="P204" s="352">
        <f>IFERROR(_xlfn.XLOOKUP(G204,硫化工艺!I:I,硫化工艺!J:J),"")</f>
        <v/>
      </c>
      <c r="Q204" s="352">
        <f>IFERROR(ROUND(1440/L204*(I204)*M204,0),"")</f>
        <v/>
      </c>
      <c r="R204" s="352" t="n"/>
      <c r="S204" s="352" t="n"/>
      <c r="T204" s="352" t="n"/>
      <c r="U204" s="352" t="n"/>
      <c r="V204" s="352" t="n"/>
      <c r="W204" s="352" t="n"/>
      <c r="X204" s="352" t="n"/>
      <c r="Y204" s="352" t="n"/>
      <c r="Z204" s="352" t="n"/>
      <c r="AA204" s="352" t="n">
        <v>56</v>
      </c>
      <c r="AB204" s="352" t="n">
        <v>56</v>
      </c>
      <c r="AC204" s="352" t="n">
        <v>56</v>
      </c>
      <c r="AD204" s="352" t="n">
        <v>56</v>
      </c>
      <c r="AE204" s="352" t="n">
        <v>56</v>
      </c>
      <c r="AF204" s="352" t="n">
        <v>56</v>
      </c>
      <c r="AG204" s="352" t="n">
        <v>56</v>
      </c>
      <c r="AH204" s="352" t="n">
        <v>56</v>
      </c>
      <c r="AI204" s="352" t="n">
        <v>56</v>
      </c>
      <c r="AJ204" s="352" t="n">
        <v>56</v>
      </c>
      <c r="AK204" s="352" t="n">
        <v>56</v>
      </c>
      <c r="AL204" s="352" t="n">
        <v>56</v>
      </c>
      <c r="AM204" s="352" t="n">
        <v>56</v>
      </c>
      <c r="AN204" s="352" t="n">
        <v>56</v>
      </c>
      <c r="AO204" s="352" t="n">
        <v>56</v>
      </c>
      <c r="AP204" s="352" t="n">
        <v>56</v>
      </c>
      <c r="AQ204" s="352" t="n">
        <v>56</v>
      </c>
      <c r="AR204" s="352" t="n">
        <v>56</v>
      </c>
      <c r="AS204" s="352" t="n">
        <v>56</v>
      </c>
      <c r="AT204" s="352" t="n">
        <v>56</v>
      </c>
      <c r="AU204" s="352" t="n">
        <v>56</v>
      </c>
      <c r="AV204" s="352" t="n">
        <v>56</v>
      </c>
      <c r="AW204" s="352">
        <f>IF(SUM(R204:AV204)=0,"",SUM(R204:AV204))</f>
        <v/>
      </c>
      <c r="AX204" s="431">
        <f>IFERROR(AW204*O204/1000,"")</f>
        <v/>
      </c>
      <c r="AY204" s="431">
        <f>IFERROR(ROUND(AW204*P204/10000,3),"")</f>
        <v/>
      </c>
      <c r="AZ204" s="354" t="n"/>
      <c r="BA204" s="355" t="n"/>
      <c r="BB204" s="355" t="n"/>
      <c r="BC204" s="355" t="n"/>
      <c r="BE204" s="331">
        <f>AZ204*AW204</f>
        <v/>
      </c>
      <c r="BF204" s="331">
        <f>BA204*AW204</f>
        <v/>
      </c>
      <c r="BG204" s="331">
        <f>BB204*AW204</f>
        <v/>
      </c>
      <c r="BH204" s="331">
        <f>BC204*AW204</f>
        <v/>
      </c>
      <c r="BJ204" s="356">
        <f t="array" ref="BJ204:BM204">_xlfn.LET(_xlpm.data,$R204:$AV204,_xlpm.starts,{1,8,16,23},_xlpm.lengths,{7,7,8,9},_xlpm.arr,_xlfn.MAP(_xlpm.starts,_xlpm.lengths,_xlfn.LAMBDA(_xlpm.s,_xlpm.l,SUM(INDEX(_xlpm.data,,_xlfn.SEQUENCE(,_xlpm.l,_xlpm.s))))),ROUND(_xlpm.arr*$O204/1000,2))</f>
        <v/>
      </c>
      <c r="BK204" s="331" t="n">
        <v>17.24</v>
      </c>
      <c r="BL204" s="331" t="n">
        <v>27.58</v>
      </c>
      <c r="BM204" s="331" t="n">
        <v>31.02</v>
      </c>
      <c r="BN204" s="362">
        <f>SUM(BJ204:BM204)</f>
        <v/>
      </c>
      <c r="BO204" s="362" t="n">
        <v>49.18</v>
      </c>
      <c r="BP204" s="362" t="n">
        <v>49.18</v>
      </c>
      <c r="BQ204" s="362" t="n">
        <v>56.2</v>
      </c>
      <c r="BR204" s="362" t="n">
        <v>63.23</v>
      </c>
      <c r="BT204" s="362">
        <f t="array" ref="BT204:BW204">_xlfn.HSTACK(SUM(INDEX($R204:$AV204,1,1):INDEX($R204:$AV204,1,7)),SUM(INDEX($R204:$AV204,1,7):INDEX($R204:$AV204,1,13)),SUM(INDEX($R204:$AV204,1,16):INDEX($R204:$AV204,1,23)),SUM(INDEX($R204:$AV204,1,23):INDEX($R204:$AV204,1,31)))</f>
        <v/>
      </c>
      <c r="BU204" s="362" t="n">
        <v>224</v>
      </c>
      <c r="BV204" s="362" t="n">
        <v>448</v>
      </c>
      <c r="BW204" s="362" t="n">
        <v>504</v>
      </c>
      <c r="BY204" s="362">
        <f>SUM(R204:X204)</f>
        <v/>
      </c>
      <c r="BZ204" s="362">
        <f>SUM(Y204:AE204)</f>
        <v/>
      </c>
      <c r="CA204" s="362">
        <f>SUM(AF204:AM204)</f>
        <v/>
      </c>
      <c r="CB204" s="362">
        <f>SUM(AN204:AV204)</f>
        <v/>
      </c>
      <c r="CD204" s="432" t="inlineStr">
        <is>
          <t>ADA</t>
        </is>
      </c>
      <c r="CE204" s="362">
        <f>ROUND(BY204*$O204/1000,2)</f>
        <v/>
      </c>
      <c r="CF204" s="362">
        <f>ROUND(BZ204*$O204/1000,2)</f>
        <v/>
      </c>
      <c r="CG204" s="362">
        <f>ROUND(CA204*$O204/1000,2)</f>
        <v/>
      </c>
      <c r="CH204" s="362">
        <f>ROUND(CB204*$O204/1000,2)</f>
        <v/>
      </c>
      <c r="CI204" s="362">
        <f>SUM(CE204:CH204)</f>
        <v/>
      </c>
      <c r="CK204" s="362">
        <f>IFERROR(ROUND(BY204*$P204,2),"")</f>
        <v/>
      </c>
      <c r="CL204" s="362">
        <f>IFERROR(ROUND(BZ204*$P204,2),"")</f>
        <v/>
      </c>
      <c r="CM204" s="362">
        <f>IFERROR(ROUND(CA204*$P204,2),"")</f>
        <v/>
      </c>
      <c r="CN204" s="362">
        <f>IFERROR(ROUND(CB204*$P204,2),"")</f>
        <v/>
      </c>
      <c r="CO204" s="362">
        <f>SUM(CK204:CN204)</f>
        <v/>
      </c>
    </row>
    <row r="205" hidden="1" ht="15.6" customHeight="1" s="428">
      <c r="B205" s="344">
        <f>_xlfn.XLOOKUP(G205,销售需求表!A:A,销售需求表!C:C)</f>
        <v/>
      </c>
      <c r="C205" s="345">
        <f>IFERROR(MID(F205,FIND("R",F205)+1,4),"")</f>
        <v/>
      </c>
      <c r="D205" s="365">
        <f>B205&amp;C205&amp;"寸"</f>
        <v/>
      </c>
      <c r="E205" s="346">
        <f>LEFT(REPLACE(G205,1,2,""),FIND("[",REPLACE(G205,1,2,""))-1)&amp;"-"&amp;MID(REPLACE(G205,1,2,""),FIND("[",REPLACE(G205,1,2,""))+1,FIND("]",REPLACE(G205,1,2,""))-FIND("[",REPLACE(G205,1,2,""))-1)</f>
        <v/>
      </c>
      <c r="F205" s="347">
        <f>IFERROR(MID(G205,3,FIND("(",G205)-3)&amp;"-"&amp;SUBSTITUTE(MID(G205,FIND("[",G205)+1,FIND("]",G205)-FIND("[",G205)-1),"Strong Guard ",""),"")</f>
        <v/>
      </c>
      <c r="G205" s="366" t="inlineStr">
        <is>
          <t>ID295/80R22.5-18PR(152/149M)[RF45]RODOFORT无内</t>
        </is>
      </c>
      <c r="H205" s="344" t="n">
        <v>150</v>
      </c>
      <c r="I205" s="348" t="n"/>
      <c r="J205" s="349">
        <f>IFERROR(LEFT(F205,FIND("-",F205))&amp;MID(F205,FIND("PR",F205,FIND("-",F205))+3,LEN(F205)),F205)</f>
        <v/>
      </c>
      <c r="K205" s="352">
        <f>_xlfn.XLOOKUP(F205,投产规格!E:E,投产规格!D:D,"未投产")</f>
        <v/>
      </c>
      <c r="L205" s="352">
        <f>IFERROR(_xlfn.XLOOKUP(F205,硫化工艺!B:B,硫化工艺!C:C),"")</f>
        <v/>
      </c>
      <c r="M205" s="430">
        <f>IF(L205="","",L205/(L205+$L$1/60))</f>
        <v/>
      </c>
      <c r="N205" s="352">
        <f>C205&amp;"全钢"</f>
        <v/>
      </c>
      <c r="O205" s="352">
        <f>IFERROR(_xlfn.XLOOKUP(F205,轮胎重量!J:J,轮胎重量!G:G),"")</f>
        <v/>
      </c>
      <c r="P205" s="352">
        <f>IFERROR(_xlfn.XLOOKUP(G205,硫化工艺!I:I,硫化工艺!J:J),"")</f>
        <v/>
      </c>
      <c r="Q205" s="352">
        <f>IFERROR(ROUND(1440/L205*(I205)*M205,0),"")</f>
        <v/>
      </c>
      <c r="R205" s="352" t="n"/>
      <c r="S205" s="352" t="n"/>
      <c r="T205" s="352" t="n"/>
      <c r="U205" s="352" t="n"/>
      <c r="V205" s="352" t="n"/>
      <c r="W205" s="352" t="n"/>
      <c r="X205" s="352" t="n"/>
      <c r="Y205" s="352" t="n"/>
      <c r="Z205" s="352" t="n"/>
      <c r="AA205" s="352" t="n"/>
      <c r="AB205" s="352" t="n"/>
      <c r="AC205" s="352" t="n"/>
      <c r="AD205" s="352" t="n"/>
      <c r="AE205" s="352" t="n"/>
      <c r="AF205" s="352" t="n"/>
      <c r="AG205" s="352" t="n"/>
      <c r="AH205" s="352" t="n"/>
      <c r="AI205" s="352" t="n"/>
      <c r="AJ205" s="352" t="n"/>
      <c r="AK205" s="352" t="n"/>
      <c r="AL205" s="352" t="n"/>
      <c r="AM205" s="352" t="n"/>
      <c r="AN205" s="352" t="n"/>
      <c r="AO205" s="352" t="n"/>
      <c r="AP205" s="352" t="n"/>
      <c r="AQ205" s="352" t="n"/>
      <c r="AR205" s="352" t="n"/>
      <c r="AS205" s="352" t="n"/>
      <c r="AT205" s="352" t="n"/>
      <c r="AU205" s="352" t="n"/>
      <c r="AV205" s="352" t="n"/>
      <c r="AW205" s="352">
        <f>IF(SUM(R205:AV205)=0,"",SUM(R205:AV205))</f>
        <v/>
      </c>
      <c r="AX205" s="431">
        <f>IFERROR(AW205*O205/1000,"")</f>
        <v/>
      </c>
      <c r="AY205" s="431">
        <f>IFERROR(ROUND(AW205*P205/10000,3),"")</f>
        <v/>
      </c>
      <c r="AZ205" s="354" t="n">
        <v>488.41</v>
      </c>
      <c r="BA205" s="355" t="n">
        <v>30.55</v>
      </c>
      <c r="BB205" s="355" t="n">
        <v>50.96</v>
      </c>
      <c r="BC205" s="355" t="n">
        <v>53.87</v>
      </c>
      <c r="BE205" s="331">
        <f>AZ205*AW205</f>
        <v/>
      </c>
      <c r="BF205" s="331">
        <f>BA205*AW205</f>
        <v/>
      </c>
      <c r="BG205" s="331">
        <f>BB205*AW205</f>
        <v/>
      </c>
      <c r="BH205" s="331">
        <f>BC205*AW205</f>
        <v/>
      </c>
      <c r="BJ205" s="356">
        <f t="array" ref="BJ205:BM205">_xlfn.LET(_xlpm.data,$R205:$AV205,_xlpm.starts,{1,8,16,23},_xlpm.lengths,{7,7,8,9},_xlpm.arr,_xlfn.MAP(_xlpm.starts,_xlpm.lengths,_xlfn.LAMBDA(_xlpm.s,_xlpm.l,SUM(INDEX(_xlpm.data,,_xlfn.SEQUENCE(,_xlpm.l,_xlpm.s))))),ROUND(_xlpm.arr*$O205/1000,2))</f>
        <v/>
      </c>
      <c r="BK205" s="331" t="n">
        <v>0</v>
      </c>
      <c r="BL205" s="331" t="n">
        <v>0</v>
      </c>
      <c r="BM205" s="331" t="n">
        <v>0</v>
      </c>
      <c r="BN205" s="362">
        <f>SUM(BJ205:BM205)</f>
        <v/>
      </c>
      <c r="BO205" s="362" t="n">
        <v>71.42</v>
      </c>
      <c r="BP205" s="362" t="n">
        <v>71.42</v>
      </c>
      <c r="BQ205" s="362" t="n">
        <v>81.62</v>
      </c>
      <c r="BR205" s="362" t="n">
        <v>91.81999999999999</v>
      </c>
      <c r="BT205" s="362">
        <f t="array" ref="BT205:BW205">_xlfn.HSTACK(SUM(INDEX($R205:$AV205,1,1):INDEX($R205:$AV205,1,7)),SUM(INDEX($R205:$AV205,1,7):INDEX($R205:$AV205,1,13)),SUM(INDEX($R205:$AV205,1,16):INDEX($R205:$AV205,1,23)),SUM(INDEX($R205:$AV205,1,23):INDEX($R205:$AV205,1,31)))</f>
        <v/>
      </c>
      <c r="BU205" s="362" t="n">
        <v>0</v>
      </c>
      <c r="BV205" s="362" t="n">
        <v>0</v>
      </c>
      <c r="BW205" s="362" t="n">
        <v>0</v>
      </c>
      <c r="BY205" s="362">
        <f>SUM(R205:X205)</f>
        <v/>
      </c>
      <c r="BZ205" s="362">
        <f>SUM(Y205:AE205)</f>
        <v/>
      </c>
      <c r="CA205" s="362">
        <f>SUM(AF205:AM205)</f>
        <v/>
      </c>
      <c r="CB205" s="362">
        <f>SUM(AN205:AV205)</f>
        <v/>
      </c>
      <c r="CD205" s="432" t="inlineStr">
        <is>
          <t>ADA</t>
        </is>
      </c>
      <c r="CE205" s="362">
        <f>ROUND(BY205*$O205/1000,2)</f>
        <v/>
      </c>
      <c r="CF205" s="362">
        <f>ROUND(BZ205*$O205/1000,2)</f>
        <v/>
      </c>
      <c r="CG205" s="362">
        <f>ROUND(CA205*$O205/1000,2)</f>
        <v/>
      </c>
      <c r="CH205" s="362">
        <f>ROUND(CB205*$O205/1000,2)</f>
        <v/>
      </c>
      <c r="CI205" s="362">
        <f>SUM(CE205:CH205)</f>
        <v/>
      </c>
      <c r="CK205" s="362">
        <f>IFERROR(ROUND(BY205*$P205,2),"")</f>
        <v/>
      </c>
      <c r="CL205" s="362">
        <f>IFERROR(ROUND(BZ205*$P205,2),"")</f>
        <v/>
      </c>
      <c r="CM205" s="362">
        <f>IFERROR(ROUND(CA205*$P205,2),"")</f>
        <v/>
      </c>
      <c r="CN205" s="362">
        <f>IFERROR(ROUND(CB205*$P205,2),"")</f>
        <v/>
      </c>
      <c r="CO205" s="362">
        <f>SUM(CK205:CN205)</f>
        <v/>
      </c>
    </row>
    <row r="206" ht="15.6" customFormat="1" customHeight="1" s="362">
      <c r="A206" s="331" t="n"/>
      <c r="B206" s="344">
        <f>_xlfn.XLOOKUP(G206,销售需求表!A:A,销售需求表!C:C)</f>
        <v/>
      </c>
      <c r="C206" s="345">
        <f>IFERROR(MID(F206,FIND("R",F206)+1,4),"")</f>
        <v/>
      </c>
      <c r="D206" s="365">
        <f>B206&amp;C206&amp;"寸"</f>
        <v/>
      </c>
      <c r="E206" s="346">
        <f>LEFT(REPLACE(G206,1,2,""),FIND("[",REPLACE(G206,1,2,""))-1)&amp;"-"&amp;MID(REPLACE(G206,1,2,""),FIND("[",REPLACE(G206,1,2,""))+1,FIND("]",REPLACE(G206,1,2,""))-FIND("[",REPLACE(G206,1,2,""))-1)</f>
        <v/>
      </c>
      <c r="F206" s="347">
        <f>IFERROR(MID(G206,3,FIND("(",G206)-3)&amp;"-"&amp;SUBSTITUTE(MID(G206,FIND("[",G206)+1,FIND("]",G206)-FIND("[",G206)-1),"Strong Guard ",""),"")</f>
        <v/>
      </c>
      <c r="G206" s="366" t="inlineStr">
        <is>
          <t>ID295/80R22.5-18PR(152/149M)[TUCSON A]STRYKER无内</t>
        </is>
      </c>
      <c r="H206" s="344" t="n">
        <v>8000</v>
      </c>
      <c r="I206" s="348" t="n"/>
      <c r="J206" s="349">
        <f>IFERROR(LEFT(F206,FIND("-",F206))&amp;MID(F206,FIND("PR",F206,FIND("-",F206))+3,LEN(F206)),F206)</f>
        <v/>
      </c>
      <c r="K206" s="352">
        <f>_xlfn.XLOOKUP(F206,投产规格!E:E,投产规格!D:D,"未投产")</f>
        <v/>
      </c>
      <c r="L206" s="352">
        <f>IFERROR(_xlfn.XLOOKUP(F206,硫化工艺!B:B,硫化工艺!C:C),"")</f>
        <v/>
      </c>
      <c r="M206" s="430">
        <f>IF(L206="","",L206/(L206+$L$1/60))</f>
        <v/>
      </c>
      <c r="N206" s="352">
        <f>C206&amp;"全钢"</f>
        <v/>
      </c>
      <c r="O206" s="352">
        <f>IFERROR(_xlfn.XLOOKUP(F206,轮胎重量!J:J,轮胎重量!G:G),"")</f>
        <v/>
      </c>
      <c r="P206" s="352">
        <f>IFERROR(_xlfn.XLOOKUP(G206,硫化工艺!I:I,硫化工艺!J:J),"")</f>
        <v/>
      </c>
      <c r="Q206" s="352">
        <f>IFERROR(ROUND(1440/L206*(I206)*M206,0),"")</f>
        <v/>
      </c>
      <c r="R206" s="352" t="n"/>
      <c r="S206" s="352" t="n"/>
      <c r="T206" s="352" t="n"/>
      <c r="U206" s="352" t="n"/>
      <c r="V206" s="352" t="n"/>
      <c r="W206" s="352" t="n"/>
      <c r="X206" s="352" t="n"/>
      <c r="Y206" s="352" t="n">
        <v>70</v>
      </c>
      <c r="Z206" s="352" t="n">
        <v>70</v>
      </c>
      <c r="AA206" s="352" t="n">
        <v>70</v>
      </c>
      <c r="AB206" s="352" t="n">
        <v>70</v>
      </c>
      <c r="AC206" s="352" t="n">
        <v>70</v>
      </c>
      <c r="AD206" s="352" t="n">
        <v>70</v>
      </c>
      <c r="AE206" s="352" t="n">
        <v>70</v>
      </c>
      <c r="AF206" s="352" t="n">
        <v>70</v>
      </c>
      <c r="AG206" s="352" t="n">
        <v>70</v>
      </c>
      <c r="AH206" s="352" t="n">
        <v>70</v>
      </c>
      <c r="AI206" s="352" t="n">
        <v>70</v>
      </c>
      <c r="AJ206" s="352" t="n">
        <v>70</v>
      </c>
      <c r="AK206" s="352" t="n">
        <v>70</v>
      </c>
      <c r="AL206" s="352" t="n">
        <v>140</v>
      </c>
      <c r="AM206" s="352" t="n">
        <v>140</v>
      </c>
      <c r="AN206" s="352" t="n">
        <v>140</v>
      </c>
      <c r="AO206" s="352" t="n">
        <v>140</v>
      </c>
      <c r="AP206" s="352" t="n">
        <v>140</v>
      </c>
      <c r="AQ206" s="352" t="n">
        <v>140</v>
      </c>
      <c r="AR206" s="352" t="n">
        <v>140</v>
      </c>
      <c r="AS206" s="352" t="n">
        <v>140</v>
      </c>
      <c r="AT206" s="352" t="n">
        <v>140</v>
      </c>
      <c r="AU206" s="352" t="n">
        <v>140</v>
      </c>
      <c r="AV206" s="352" t="n">
        <v>140</v>
      </c>
      <c r="AW206" s="352">
        <f>IF(SUM(R206:AV206)=0,"",SUM(R206:AV206))</f>
        <v/>
      </c>
      <c r="AX206" s="431">
        <f>IFERROR(AW206*O206/1000,"")</f>
        <v/>
      </c>
      <c r="AY206" s="431">
        <f>IFERROR(ROUND(AW206*P206/10000,3),"")</f>
        <v/>
      </c>
      <c r="AZ206" s="354" t="n">
        <v>488.41</v>
      </c>
      <c r="BA206" s="355" t="n">
        <v>30.55</v>
      </c>
      <c r="BB206" s="355" t="n">
        <v>50.96</v>
      </c>
      <c r="BC206" s="355" t="n">
        <v>53.87</v>
      </c>
      <c r="BD206" s="331" t="n"/>
      <c r="BE206" s="331">
        <f>AZ206*AW206</f>
        <v/>
      </c>
      <c r="BF206" s="331">
        <f>BA206*AW206</f>
        <v/>
      </c>
      <c r="BG206" s="331">
        <f>BB206*AW206</f>
        <v/>
      </c>
      <c r="BH206" s="331">
        <f>BC206*AW206</f>
        <v/>
      </c>
      <c r="BI206" s="331" t="n"/>
      <c r="BJ206" s="356">
        <f t="array" ref="BJ206:BM206">_xlfn.LET(_xlpm.data,$R206:$AV206,_xlpm.starts,{1,8,16,23},_xlpm.lengths,{7,7,8,9},_xlpm.arr,_xlfn.MAP(_xlpm.starts,_xlpm.lengths,_xlfn.LAMBDA(_xlpm.s,_xlpm.l,SUM(INDEX(_xlpm.data,,_xlfn.SEQUENCE(,_xlpm.l,_xlpm.s))))),ROUND(_xlpm.arr*$O206/1000,2))</f>
        <v/>
      </c>
      <c r="BK206" s="331" t="n">
        <v>25.91</v>
      </c>
      <c r="BL206" s="331" t="n">
        <v>40.72</v>
      </c>
      <c r="BM206" s="331" t="n">
        <v>66.63</v>
      </c>
      <c r="BN206" s="362">
        <f>SUM(BJ206:BM206)</f>
        <v/>
      </c>
      <c r="BO206" s="362" t="n">
        <v>71.42</v>
      </c>
      <c r="BP206" s="362" t="n">
        <v>71.42</v>
      </c>
      <c r="BQ206" s="362" t="n">
        <v>81.62</v>
      </c>
      <c r="BR206" s="362" t="n">
        <v>91.81999999999999</v>
      </c>
      <c r="BS206" s="115" t="n"/>
      <c r="BT206" s="362">
        <f t="array" ref="BT206:BW206">_xlfn.HSTACK(SUM(INDEX($R206:$AV206,1,1):INDEX($R206:$AV206,1,7)),SUM(INDEX($R206:$AV206,1,7):INDEX($R206:$AV206,1,13)),SUM(INDEX($R206:$AV206,1,16):INDEX($R206:$AV206,1,23)),SUM(INDEX($R206:$AV206,1,23):INDEX($R206:$AV206,1,31)))</f>
        <v/>
      </c>
      <c r="BU206" s="362" t="n">
        <v>420</v>
      </c>
      <c r="BV206" s="362" t="n">
        <v>770</v>
      </c>
      <c r="BW206" s="362" t="n">
        <v>1260</v>
      </c>
      <c r="BY206" s="362">
        <f>SUM(R206:X206)</f>
        <v/>
      </c>
      <c r="BZ206" s="362">
        <f>SUM(Y206:AE206)</f>
        <v/>
      </c>
      <c r="CA206" s="362">
        <f>SUM(AF206:AM206)</f>
        <v/>
      </c>
      <c r="CB206" s="362">
        <f>SUM(AN206:AV206)</f>
        <v/>
      </c>
      <c r="CD206" s="432" t="inlineStr">
        <is>
          <t>ADA</t>
        </is>
      </c>
      <c r="CE206" s="362">
        <f>ROUND(BY206*$O206/1000,2)</f>
        <v/>
      </c>
      <c r="CF206" s="362">
        <f>ROUND(BZ206*$O206/1000,2)</f>
        <v/>
      </c>
      <c r="CG206" s="362">
        <f>ROUND(CA206*$O206/1000,2)</f>
        <v/>
      </c>
      <c r="CH206" s="362">
        <f>ROUND(CB206*$O206/1000,2)</f>
        <v/>
      </c>
      <c r="CI206" s="362">
        <f>SUM(CE206:CH206)</f>
        <v/>
      </c>
      <c r="CJ206" s="390" t="n"/>
      <c r="CK206" s="362">
        <f>IFERROR(ROUND(BY206*$P206,2),"")</f>
        <v/>
      </c>
      <c r="CL206" s="362">
        <f>IFERROR(ROUND(BZ206*$P206,2),"")</f>
        <v/>
      </c>
      <c r="CM206" s="362">
        <f>IFERROR(ROUND(CA206*$P206,2),"")</f>
        <v/>
      </c>
      <c r="CN206" s="362">
        <f>IFERROR(ROUND(CB206*$P206,2),"")</f>
        <v/>
      </c>
      <c r="CO206" s="362">
        <f>SUM(CK206:CN206)</f>
        <v/>
      </c>
    </row>
    <row r="207" hidden="1" ht="15.6" customFormat="1" customHeight="1" s="362">
      <c r="A207" s="331" t="n"/>
      <c r="B207" s="344">
        <f>_xlfn.XLOOKUP(G207,销售需求表!A:A,销售需求表!C:C)</f>
        <v/>
      </c>
      <c r="C207" s="345">
        <f>IFERROR(MID(F207,FIND("R",F207)+1,4),"")</f>
        <v/>
      </c>
      <c r="D207" s="365">
        <f>B207&amp;C207&amp;"寸"</f>
        <v/>
      </c>
      <c r="E207" s="346">
        <f>LEFT(REPLACE(G207,1,2,""),FIND("[",REPLACE(G207,1,2,""))-1)&amp;"-"&amp;MID(REPLACE(G207,1,2,""),FIND("[",REPLACE(G207,1,2,""))+1,FIND("]",REPLACE(G207,1,2,""))-FIND("[",REPLACE(G207,1,2,""))-1)</f>
        <v/>
      </c>
      <c r="F207" s="347">
        <f>IFERROR(MID(G207,3,FIND("(",G207)-3)&amp;"-"&amp;SUBSTITUTE(MID(G207,FIND("[",G207)+1,FIND("]",G207)-FIND("[",G207)-1),"Strong Guard ",""),"")</f>
        <v/>
      </c>
      <c r="G207" s="366" t="inlineStr">
        <is>
          <t>ID295/80R22.5-18PR(152/149M)[TUCSON D]STRYKER无内</t>
        </is>
      </c>
      <c r="H207" s="344" t="n">
        <v>120</v>
      </c>
      <c r="I207" s="348" t="n"/>
      <c r="J207" s="349">
        <f>IFERROR(LEFT(F207,FIND("-",F207))&amp;MID(F207,FIND("PR",F207,FIND("-",F207))+3,LEN(F207)),F207)</f>
        <v/>
      </c>
      <c r="K207" s="352">
        <f>_xlfn.XLOOKUP(F207,投产规格!E:E,投产规格!D:D,"未投产")</f>
        <v/>
      </c>
      <c r="L207" s="352">
        <f>IFERROR(_xlfn.XLOOKUP(F207,硫化工艺!B:B,硫化工艺!C:C),"")</f>
        <v/>
      </c>
      <c r="M207" s="430">
        <f>IF(L207="","",L207/(L207+$L$1/60))</f>
        <v/>
      </c>
      <c r="N207" s="352">
        <f>C207&amp;"全钢"</f>
        <v/>
      </c>
      <c r="O207" s="352">
        <f>IFERROR(_xlfn.XLOOKUP(F207,轮胎重量!J:J,轮胎重量!G:G),"")</f>
        <v/>
      </c>
      <c r="P207" s="352">
        <f>IFERROR(_xlfn.XLOOKUP(G207,硫化工艺!I:I,硫化工艺!J:J),"")</f>
        <v/>
      </c>
      <c r="Q207" s="352">
        <f>IFERROR(ROUND(1440/L207*(I207)*M207,0),"")</f>
        <v/>
      </c>
      <c r="R207" s="352" t="n"/>
      <c r="S207" s="352" t="n"/>
      <c r="T207" s="352" t="n"/>
      <c r="U207" s="352" t="n"/>
      <c r="V207" s="352" t="n"/>
      <c r="W207" s="352" t="n"/>
      <c r="X207" s="352" t="n"/>
      <c r="Y207" s="352" t="n"/>
      <c r="Z207" s="352" t="n"/>
      <c r="AA207" s="352" t="n"/>
      <c r="AB207" s="352" t="n"/>
      <c r="AC207" s="352" t="n"/>
      <c r="AD207" s="352" t="n"/>
      <c r="AE207" s="352" t="n"/>
      <c r="AF207" s="352" t="n"/>
      <c r="AG207" s="352" t="n"/>
      <c r="AH207" s="352" t="n"/>
      <c r="AI207" s="352" t="n"/>
      <c r="AJ207" s="352" t="n"/>
      <c r="AK207" s="352" t="n"/>
      <c r="AL207" s="352" t="n"/>
      <c r="AM207" s="352" t="n"/>
      <c r="AN207" s="352" t="n"/>
      <c r="AO207" s="352" t="n"/>
      <c r="AP207" s="352" t="n"/>
      <c r="AQ207" s="352" t="n"/>
      <c r="AR207" s="352" t="n"/>
      <c r="AS207" s="352" t="n"/>
      <c r="AT207" s="352" t="n"/>
      <c r="AU207" s="352" t="n"/>
      <c r="AV207" s="352" t="n"/>
      <c r="AW207" s="352">
        <f>IF(SUM(R207:AV207)=0,"",SUM(R207:AV207))</f>
        <v/>
      </c>
      <c r="AX207" s="431">
        <f>IFERROR(AW207*O207/1000,"")</f>
        <v/>
      </c>
      <c r="AY207" s="431">
        <f>IFERROR(ROUND(AW207*P207/10000,3),"")</f>
        <v/>
      </c>
      <c r="AZ207" s="354" t="n">
        <v>488.41</v>
      </c>
      <c r="BA207" s="355" t="n">
        <v>30.55</v>
      </c>
      <c r="BB207" s="355" t="n">
        <v>50.96</v>
      </c>
      <c r="BC207" s="355" t="n">
        <v>53.87</v>
      </c>
      <c r="BD207" s="331" t="n"/>
      <c r="BE207" s="331">
        <f>AZ207*AW207</f>
        <v/>
      </c>
      <c r="BF207" s="331">
        <f>BA207*AW207</f>
        <v/>
      </c>
      <c r="BG207" s="331">
        <f>BB207*AW207</f>
        <v/>
      </c>
      <c r="BH207" s="331">
        <f>BC207*AW207</f>
        <v/>
      </c>
      <c r="BI207" s="331" t="n"/>
      <c r="BJ207" s="356">
        <f t="array" ref="BJ207:BM207">_xlfn.LET(_xlpm.data,$R207:$AV207,_xlpm.starts,{1,8,16,23},_xlpm.lengths,{7,7,8,9},_xlpm.arr,_xlfn.MAP(_xlpm.starts,_xlpm.lengths,_xlfn.LAMBDA(_xlpm.s,_xlpm.l,SUM(INDEX(_xlpm.data,,_xlfn.SEQUENCE(,_xlpm.l,_xlpm.s))))),ROUND(_xlpm.arr*$O207/1000,2))</f>
        <v/>
      </c>
      <c r="BK207" s="331" t="n">
        <v>0</v>
      </c>
      <c r="BL207" s="331" t="n">
        <v>0</v>
      </c>
      <c r="BM207" s="331" t="n">
        <v>0</v>
      </c>
      <c r="BN207" s="362">
        <f>SUM(BJ207:BM207)</f>
        <v/>
      </c>
      <c r="BO207" s="362" t="n">
        <v>71.42</v>
      </c>
      <c r="BP207" s="362" t="n">
        <v>71.42</v>
      </c>
      <c r="BQ207" s="362" t="n">
        <v>81.62</v>
      </c>
      <c r="BR207" s="362" t="n">
        <v>91.81999999999999</v>
      </c>
      <c r="BS207" s="115" t="n"/>
      <c r="BT207" s="362">
        <f t="array" ref="BT207:BW207">_xlfn.HSTACK(SUM(INDEX($R207:$AV207,1,1):INDEX($R207:$AV207,1,7)),SUM(INDEX($R207:$AV207,1,7):INDEX($R207:$AV207,1,13)),SUM(INDEX($R207:$AV207,1,16):INDEX($R207:$AV207,1,23)),SUM(INDEX($R207:$AV207,1,23):INDEX($R207:$AV207,1,31)))</f>
        <v/>
      </c>
      <c r="BU207" s="362" t="n">
        <v>0</v>
      </c>
      <c r="BV207" s="362" t="n">
        <v>0</v>
      </c>
      <c r="BW207" s="362" t="n">
        <v>0</v>
      </c>
      <c r="BY207" s="362">
        <f>SUM(R207:X207)</f>
        <v/>
      </c>
      <c r="BZ207" s="362">
        <f>SUM(Y207:AE207)</f>
        <v/>
      </c>
      <c r="CA207" s="362">
        <f>SUM(AF207:AM207)</f>
        <v/>
      </c>
      <c r="CB207" s="362">
        <f>SUM(AN207:AV207)</f>
        <v/>
      </c>
      <c r="CD207" s="432" t="inlineStr">
        <is>
          <t>ADA</t>
        </is>
      </c>
      <c r="CE207" s="362">
        <f>ROUND(BY207*$O207/1000,2)</f>
        <v/>
      </c>
      <c r="CF207" s="362">
        <f>ROUND(BZ207*$O207/1000,2)</f>
        <v/>
      </c>
      <c r="CG207" s="362">
        <f>ROUND(CA207*$O207/1000,2)</f>
        <v/>
      </c>
      <c r="CH207" s="362">
        <f>ROUND(CB207*$O207/1000,2)</f>
        <v/>
      </c>
      <c r="CI207" s="362">
        <f>SUM(CE207:CH207)</f>
        <v/>
      </c>
      <c r="CJ207" s="390" t="n"/>
      <c r="CK207" s="362">
        <f>IFERROR(ROUND(BY207*$P207,2),"")</f>
        <v/>
      </c>
      <c r="CL207" s="362">
        <f>IFERROR(ROUND(BZ207*$P207,2),"")</f>
        <v/>
      </c>
      <c r="CM207" s="362">
        <f>IFERROR(ROUND(CA207*$P207,2),"")</f>
        <v/>
      </c>
      <c r="CN207" s="362">
        <f>IFERROR(ROUND(CB207*$P207,2),"")</f>
        <v/>
      </c>
      <c r="CO207" s="362">
        <f>SUM(CK207:CN207)</f>
        <v/>
      </c>
    </row>
    <row r="208" hidden="1" ht="15.6" customFormat="1" customHeight="1" s="362">
      <c r="A208" s="331" t="n"/>
      <c r="B208" s="344">
        <f>_xlfn.XLOOKUP(G208,销售需求表!A:A,销售需求表!C:C)</f>
        <v/>
      </c>
      <c r="C208" s="345">
        <f>IFERROR(MID(F208,FIND("R",F208)+1,4),"")</f>
        <v/>
      </c>
      <c r="D208" s="365">
        <f>B208&amp;C208&amp;"寸"</f>
        <v/>
      </c>
      <c r="E208" s="346">
        <f>LEFT(REPLACE(G208,1,2,""),FIND("[",REPLACE(G208,1,2,""))-1)&amp;"-"&amp;MID(REPLACE(G208,1,2,""),FIND("[",REPLACE(G208,1,2,""))+1,FIND("]",REPLACE(G208,1,2,""))-FIND("[",REPLACE(G208,1,2,""))-1)</f>
        <v/>
      </c>
      <c r="F208" s="347">
        <f>IFERROR(MID(G208,3,FIND("(",G208)-3)&amp;"-"&amp;SUBSTITUTE(MID(G208,FIND("[",G208)+1,FIND("]",G208)-FIND("[",G208)-1),"Strong Guard ",""),"")</f>
        <v/>
      </c>
      <c r="G208" s="366" t="inlineStr">
        <is>
          <t>ID295/80R22.5-18PR(152/149M)[WDR1]威狮无内</t>
        </is>
      </c>
      <c r="H208" s="344" t="n">
        <v>420</v>
      </c>
      <c r="I208" s="348" t="n"/>
      <c r="J208" s="349">
        <f>IFERROR(LEFT(F208,FIND("-",F208))&amp;MID(F208,FIND("PR",F208,FIND("-",F208))+3,LEN(F208)),F208)</f>
        <v/>
      </c>
      <c r="K208" s="352">
        <f>_xlfn.XLOOKUP(F208,投产规格!E:E,投产规格!D:D,"未投产")</f>
        <v/>
      </c>
      <c r="L208" s="352">
        <f>IFERROR(_xlfn.XLOOKUP(F208,硫化工艺!B:B,硫化工艺!C:C),"")</f>
        <v/>
      </c>
      <c r="M208" s="430">
        <f>IF(L208="","",L208/(L208+$L$1/60))</f>
        <v/>
      </c>
      <c r="N208" s="352">
        <f>C208&amp;"全钢"</f>
        <v/>
      </c>
      <c r="O208" s="352">
        <f>IFERROR(_xlfn.XLOOKUP(F208,轮胎重量!J:J,轮胎重量!G:G),"")</f>
        <v/>
      </c>
      <c r="P208" s="352">
        <f>IFERROR(_xlfn.XLOOKUP(G208,硫化工艺!I:I,硫化工艺!J:J),"")</f>
        <v/>
      </c>
      <c r="Q208" s="352">
        <f>IFERROR(ROUND(1440/L208*(I208)*M208,0),"")</f>
        <v/>
      </c>
      <c r="R208" s="352" t="n"/>
      <c r="S208" s="352" t="n"/>
      <c r="T208" s="352" t="n"/>
      <c r="U208" s="352" t="n"/>
      <c r="V208" s="352" t="n"/>
      <c r="W208" s="352" t="n"/>
      <c r="X208" s="352" t="n"/>
      <c r="Y208" s="352" t="n"/>
      <c r="Z208" s="352" t="n"/>
      <c r="AA208" s="352" t="n"/>
      <c r="AB208" s="352" t="n"/>
      <c r="AC208" s="352" t="n"/>
      <c r="AD208" s="352" t="n"/>
      <c r="AE208" s="352" t="n"/>
      <c r="AF208" s="352" t="n"/>
      <c r="AG208" s="352" t="n"/>
      <c r="AH208" s="352" t="n"/>
      <c r="AI208" s="352" t="n"/>
      <c r="AJ208" s="352" t="n"/>
      <c r="AK208" s="352" t="n"/>
      <c r="AL208" s="352" t="n"/>
      <c r="AM208" s="352" t="n"/>
      <c r="AN208" s="352" t="n"/>
      <c r="AO208" s="352" t="n"/>
      <c r="AP208" s="352" t="n"/>
      <c r="AQ208" s="352" t="n"/>
      <c r="AR208" s="352" t="n"/>
      <c r="AS208" s="352" t="n"/>
      <c r="AT208" s="352" t="n"/>
      <c r="AU208" s="352" t="n"/>
      <c r="AV208" s="352" t="n"/>
      <c r="AW208" s="352">
        <f>IF(SUM(R208:AV208)=0,"",SUM(R208:AV208))</f>
        <v/>
      </c>
      <c r="AX208" s="431">
        <f>IFERROR(AW208*O208/1000,"")</f>
        <v/>
      </c>
      <c r="AY208" s="431">
        <f>IFERROR(ROUND(AW208*P208/10000,3),"")</f>
        <v/>
      </c>
      <c r="AZ208" s="354" t="n">
        <v>488.41</v>
      </c>
      <c r="BA208" s="355" t="n">
        <v>30.55</v>
      </c>
      <c r="BB208" s="355" t="n">
        <v>50.96</v>
      </c>
      <c r="BC208" s="355" t="n">
        <v>53.87</v>
      </c>
      <c r="BD208" s="331" t="n"/>
      <c r="BE208" s="331">
        <f>AZ208*AW208</f>
        <v/>
      </c>
      <c r="BF208" s="331">
        <f>BA208*AW208</f>
        <v/>
      </c>
      <c r="BG208" s="331">
        <f>BB208*AW208</f>
        <v/>
      </c>
      <c r="BH208" s="331">
        <f>BC208*AW208</f>
        <v/>
      </c>
      <c r="BI208" s="331" t="n"/>
      <c r="BJ208" s="356">
        <f t="array" ref="BJ208:BM208">_xlfn.LET(_xlpm.data,$R208:$AV208,_xlpm.starts,{1,8,16,23},_xlpm.lengths,{7,7,8,9},_xlpm.arr,_xlfn.MAP(_xlpm.starts,_xlpm.lengths,_xlfn.LAMBDA(_xlpm.s,_xlpm.l,SUM(INDEX(_xlpm.data,,_xlfn.SEQUENCE(,_xlpm.l,_xlpm.s))))),ROUND(_xlpm.arr*$O208/1000,2))</f>
        <v/>
      </c>
      <c r="BK208" s="331" t="n">
        <v>0</v>
      </c>
      <c r="BL208" s="331" t="n">
        <v>0</v>
      </c>
      <c r="BM208" s="331" t="n">
        <v>0</v>
      </c>
      <c r="BN208" s="362">
        <f>SUM(BJ208:BM208)</f>
        <v/>
      </c>
      <c r="BO208" s="362" t="n">
        <v>71.42</v>
      </c>
      <c r="BP208" s="362" t="n">
        <v>71.42</v>
      </c>
      <c r="BQ208" s="362" t="n">
        <v>81.62</v>
      </c>
      <c r="BR208" s="362" t="n">
        <v>91.81999999999999</v>
      </c>
      <c r="BS208" s="115" t="n"/>
      <c r="BT208" s="362">
        <f t="array" ref="BT208:BW208">_xlfn.HSTACK(SUM(INDEX($R208:$AV208,1,1):INDEX($R208:$AV208,1,7)),SUM(INDEX($R208:$AV208,1,7):INDEX($R208:$AV208,1,13)),SUM(INDEX($R208:$AV208,1,16):INDEX($R208:$AV208,1,23)),SUM(INDEX($R208:$AV208,1,23):INDEX($R208:$AV208,1,31)))</f>
        <v/>
      </c>
      <c r="BU208" s="362" t="n">
        <v>0</v>
      </c>
      <c r="BV208" s="362" t="n">
        <v>0</v>
      </c>
      <c r="BW208" s="362" t="n">
        <v>0</v>
      </c>
      <c r="BY208" s="362">
        <f>SUM(R208:X208)</f>
        <v/>
      </c>
      <c r="BZ208" s="362">
        <f>SUM(Y208:AE208)</f>
        <v/>
      </c>
      <c r="CA208" s="362">
        <f>SUM(AF208:AM208)</f>
        <v/>
      </c>
      <c r="CB208" s="362">
        <f>SUM(AN208:AV208)</f>
        <v/>
      </c>
      <c r="CD208" s="432" t="inlineStr">
        <is>
          <t>ADA</t>
        </is>
      </c>
      <c r="CE208" s="362">
        <f>ROUND(BY208*$O208/1000,2)</f>
        <v/>
      </c>
      <c r="CF208" s="362">
        <f>ROUND(BZ208*$O208/1000,2)</f>
        <v/>
      </c>
      <c r="CG208" s="362">
        <f>ROUND(CA208*$O208/1000,2)</f>
        <v/>
      </c>
      <c r="CH208" s="362">
        <f>ROUND(CB208*$O208/1000,2)</f>
        <v/>
      </c>
      <c r="CI208" s="362">
        <f>SUM(CE208:CH208)</f>
        <v/>
      </c>
      <c r="CJ208" s="390" t="n"/>
      <c r="CK208" s="362">
        <f>IFERROR(ROUND(BY208*$P208,2),"")</f>
        <v/>
      </c>
      <c r="CL208" s="362">
        <f>IFERROR(ROUND(BZ208*$P208,2),"")</f>
        <v/>
      </c>
      <c r="CM208" s="362">
        <f>IFERROR(ROUND(CA208*$P208,2),"")</f>
        <v/>
      </c>
      <c r="CN208" s="362">
        <f>IFERROR(ROUND(CB208*$P208,2),"")</f>
        <v/>
      </c>
      <c r="CO208" s="362">
        <f>SUM(CK208:CN208)</f>
        <v/>
      </c>
    </row>
    <row r="209" hidden="1" ht="15.6" customHeight="1" s="428">
      <c r="B209" s="344">
        <f>_xlfn.XLOOKUP(G209,销售需求表!A:A,销售需求表!C:C)</f>
        <v/>
      </c>
      <c r="C209" s="345">
        <f>IFERROR(MID(F209,FIND("R",F209)+1,4),"")</f>
        <v/>
      </c>
      <c r="D209" s="365">
        <f>B209&amp;C209&amp;"寸"</f>
        <v/>
      </c>
      <c r="E209" s="346">
        <f>LEFT(REPLACE(G209,1,2,""),FIND("[",REPLACE(G209,1,2,""))-1)&amp;"-"&amp;MID(REPLACE(G209,1,2,""),FIND("[",REPLACE(G209,1,2,""))+1,FIND("]",REPLACE(G209,1,2,""))-FIND("[",REPLACE(G209,1,2,""))-1)</f>
        <v/>
      </c>
      <c r="F209" s="347">
        <f>IFERROR(MID(G209,3,FIND("(",G209)-3)&amp;"-"&amp;SUBSTITUTE(MID(G209,FIND("[",G209)+1,FIND("]",G209)-FIND("[",G209)-1),"Strong Guard ",""),"")</f>
        <v/>
      </c>
      <c r="G209" s="366" t="inlineStr">
        <is>
          <t>ID295/80R22.5-18PR(154/149M)[BRA06 PRO]BRANSALES无内</t>
        </is>
      </c>
      <c r="H209" s="344" t="n">
        <v>360</v>
      </c>
      <c r="I209" s="348" t="n"/>
      <c r="J209" s="349">
        <f>IFERROR(LEFT(F209,FIND("-",F209))&amp;MID(F209,FIND("PR",F209,FIND("-",F209))+3,LEN(F209)),F209)</f>
        <v/>
      </c>
      <c r="K209" s="352">
        <f>_xlfn.XLOOKUP(F209,投产规格!E:E,投产规格!D:D,"未投产")</f>
        <v/>
      </c>
      <c r="L209" s="352">
        <f>IFERROR(_xlfn.XLOOKUP(F209,硫化工艺!B:B,硫化工艺!C:C),"")</f>
        <v/>
      </c>
      <c r="M209" s="430">
        <f>IF(L209="","",L209/(L209+$L$1/60))</f>
        <v/>
      </c>
      <c r="N209" s="352">
        <f>C209&amp;"全钢"</f>
        <v/>
      </c>
      <c r="O209" s="352">
        <f>IFERROR(_xlfn.XLOOKUP(F209,轮胎重量!J:J,轮胎重量!G:G),"")</f>
        <v/>
      </c>
      <c r="P209" s="352">
        <f>IFERROR(_xlfn.XLOOKUP(G209,硫化工艺!I:I,硫化工艺!J:J),"")</f>
        <v/>
      </c>
      <c r="Q209" s="352">
        <f>IFERROR(ROUND(1440/L209*(I209)*M209,0),"")</f>
        <v/>
      </c>
      <c r="R209" s="352" t="n"/>
      <c r="S209" s="352" t="n"/>
      <c r="T209" s="352" t="n"/>
      <c r="U209" s="352" t="n"/>
      <c r="V209" s="352" t="n"/>
      <c r="W209" s="352" t="n"/>
      <c r="X209" s="352" t="n"/>
      <c r="Y209" s="352" t="n"/>
      <c r="Z209" s="352" t="n"/>
      <c r="AA209" s="352" t="n"/>
      <c r="AB209" s="352" t="n"/>
      <c r="AC209" s="352" t="n"/>
      <c r="AD209" s="352" t="n"/>
      <c r="AE209" s="352" t="n"/>
      <c r="AF209" s="352" t="n"/>
      <c r="AG209" s="352" t="n"/>
      <c r="AH209" s="352" t="n"/>
      <c r="AI209" s="352" t="n"/>
      <c r="AJ209" s="352" t="n"/>
      <c r="AK209" s="352" t="n"/>
      <c r="AL209" s="352" t="n"/>
      <c r="AM209" s="352" t="n"/>
      <c r="AN209" s="352" t="n"/>
      <c r="AO209" s="352" t="n"/>
      <c r="AP209" s="352" t="n"/>
      <c r="AQ209" s="352" t="n"/>
      <c r="AR209" s="352" t="n"/>
      <c r="AS209" s="352" t="n"/>
      <c r="AT209" s="352" t="n"/>
      <c r="AU209" s="352" t="n"/>
      <c r="AV209" s="352" t="n"/>
      <c r="AW209" s="352">
        <f>IF(SUM(R209:AV209)=0,"",SUM(R209:AV209))</f>
        <v/>
      </c>
      <c r="AX209" s="431">
        <f>IFERROR(AW209*O209/1000,"")</f>
        <v/>
      </c>
      <c r="AY209" s="431">
        <f>IFERROR(ROUND(AW209*P209/10000,3),"")</f>
        <v/>
      </c>
      <c r="AZ209" s="354" t="n">
        <v>531.09</v>
      </c>
      <c r="BA209" s="355" t="n">
        <v>34.42</v>
      </c>
      <c r="BB209" s="355" t="n">
        <v>54.93</v>
      </c>
      <c r="BC209" s="355" t="n">
        <v>60.15</v>
      </c>
      <c r="BE209" s="331">
        <f>AZ209*AW209</f>
        <v/>
      </c>
      <c r="BF209" s="331">
        <f>BA209*AW209</f>
        <v/>
      </c>
      <c r="BG209" s="331">
        <f>BB209*AW209</f>
        <v/>
      </c>
      <c r="BH209" s="331">
        <f>BC209*AW209</f>
        <v/>
      </c>
      <c r="BJ209" s="356">
        <f t="array" ref="BJ209:BM209">_xlfn.LET(_xlpm.data,$R209:$AV209,_xlpm.starts,{1,8,16,23},_xlpm.lengths,{7,7,8,9},_xlpm.arr,_xlfn.MAP(_xlpm.starts,_xlpm.lengths,_xlfn.LAMBDA(_xlpm.s,_xlpm.l,SUM(INDEX(_xlpm.data,,_xlfn.SEQUENCE(,_xlpm.l,_xlpm.s))))),ROUND(_xlpm.arr*$O209/1000,2))</f>
        <v/>
      </c>
      <c r="BK209" s="331" t="n">
        <v>0</v>
      </c>
      <c r="BL209" s="331" t="n">
        <v>0</v>
      </c>
      <c r="BM209" s="331" t="n">
        <v>0</v>
      </c>
      <c r="BN209" s="362">
        <f>SUM(BJ209:BM209)</f>
        <v/>
      </c>
      <c r="BO209" s="362" t="n">
        <v>90</v>
      </c>
      <c r="BP209" s="362" t="n">
        <v>63.97</v>
      </c>
      <c r="BQ209" s="362" t="n">
        <v>0</v>
      </c>
      <c r="BR209" s="362" t="n">
        <v>0</v>
      </c>
      <c r="BT209" s="362">
        <f t="array" ref="BT209:BW209">_xlfn.HSTACK(SUM(INDEX($R209:$AV209,1,1):INDEX($R209:$AV209,1,7)),SUM(INDEX($R209:$AV209,1,7):INDEX($R209:$AV209,1,13)),SUM(INDEX($R209:$AV209,1,16):INDEX($R209:$AV209,1,23)),SUM(INDEX($R209:$AV209,1,23):INDEX($R209:$AV209,1,31)))</f>
        <v/>
      </c>
      <c r="BU209" s="362" t="n">
        <v>0</v>
      </c>
      <c r="BV209" s="362" t="n">
        <v>0</v>
      </c>
      <c r="BW209" s="362" t="n">
        <v>0</v>
      </c>
      <c r="BY209" s="362">
        <f>SUM(R209:X209)</f>
        <v/>
      </c>
      <c r="BZ209" s="362">
        <f>SUM(Y209:AE209)</f>
        <v/>
      </c>
      <c r="CA209" s="362">
        <f>SUM(AF209:AM209)</f>
        <v/>
      </c>
      <c r="CB209" s="362">
        <f>SUM(AN209:AV209)</f>
        <v/>
      </c>
      <c r="CC209" s="362" t="n">
        <v>14.3</v>
      </c>
      <c r="CD209" s="432" t="inlineStr">
        <is>
          <t>ADA</t>
        </is>
      </c>
      <c r="CE209" s="362">
        <f>ROUND(BY209*$O209/1000,2)</f>
        <v/>
      </c>
      <c r="CF209" s="362">
        <f>ROUND(BZ209*$O209/1000,2)</f>
        <v/>
      </c>
      <c r="CG209" s="362">
        <f>ROUND(CA209*$O209/1000,2)</f>
        <v/>
      </c>
      <c r="CH209" s="362">
        <f>ROUND(CB209*$O209/1000,2)</f>
        <v/>
      </c>
      <c r="CI209" s="362">
        <f>SUM(CE209:CH209)</f>
        <v/>
      </c>
      <c r="CK209" s="362">
        <f>IFERROR(ROUND(BY209*$P209,2),"")</f>
        <v/>
      </c>
      <c r="CL209" s="362">
        <f>IFERROR(ROUND(BZ209*$P209,2),"")</f>
        <v/>
      </c>
      <c r="CM209" s="362">
        <f>IFERROR(ROUND(CA209*$P209,2),"")</f>
        <v/>
      </c>
      <c r="CN209" s="362">
        <f>IFERROR(ROUND(CB209*$P209,2),"")</f>
        <v/>
      </c>
      <c r="CO209" s="362">
        <f>SUM(CK209:CN209)</f>
        <v/>
      </c>
    </row>
    <row r="210" ht="15.6" customFormat="1" customHeight="1" s="362">
      <c r="A210" s="331" t="n"/>
      <c r="B210" s="344">
        <f>_xlfn.XLOOKUP(G210,销售需求表!A:A,销售需求表!C:C)</f>
        <v/>
      </c>
      <c r="C210" s="345">
        <f>IFERROR(MID(F210,FIND("R",F210)+1,4),"")</f>
        <v/>
      </c>
      <c r="D210" s="365">
        <f>B210&amp;C210&amp;"寸"</f>
        <v/>
      </c>
      <c r="E210" s="346">
        <f>LEFT(REPLACE(G210,1,2,""),FIND("[",REPLACE(G210,1,2,""))-1)&amp;"-"&amp;MID(REPLACE(G210,1,2,""),FIND("[",REPLACE(G210,1,2,""))+1,FIND("]",REPLACE(G210,1,2,""))-FIND("[",REPLACE(G210,1,2,""))-1)</f>
        <v/>
      </c>
      <c r="F210" s="347">
        <f>IFERROR(MID(G210,3,FIND("(",G210)-3)&amp;"-"&amp;SUBSTITUTE(MID(G210,FIND("[",G210)+1,FIND("]",G210)-FIND("[",G210)-1),"Strong Guard ",""),"")</f>
        <v/>
      </c>
      <c r="G210" s="346" t="inlineStr">
        <is>
          <t>ID315/80R22.5-20PR(157/154K)[CM958]雅度无内</t>
        </is>
      </c>
      <c r="H210" s="344" t="n">
        <v>5000</v>
      </c>
      <c r="I210" s="364" t="n">
        <v>4</v>
      </c>
      <c r="J210" s="349">
        <f>IFERROR(LEFT(F210,FIND("-",F210))&amp;MID(F210,FIND("PR",F210,FIND("-",F210))+3,LEN(F210)),F210)</f>
        <v/>
      </c>
      <c r="K210" s="352">
        <f>_xlfn.XLOOKUP(F210,投产规格!E:E,投产规格!D:D,"未投产")</f>
        <v/>
      </c>
      <c r="L210" s="352">
        <f>IFERROR(_xlfn.XLOOKUP(F210,硫化工艺!B:B,硫化工艺!C:C),"")</f>
        <v/>
      </c>
      <c r="M210" s="430">
        <f>IF(L210="","",L210/(L210+$L$1/60))</f>
        <v/>
      </c>
      <c r="N210" s="352">
        <f>C210&amp;"全钢"</f>
        <v/>
      </c>
      <c r="O210" s="352">
        <f>IFERROR(_xlfn.XLOOKUP(F210,轮胎重量!J:J,轮胎重量!G:G),"")</f>
        <v/>
      </c>
      <c r="P210" s="352">
        <f>IFERROR(_xlfn.XLOOKUP(G210,硫化工艺!I:I,硫化工艺!J:J),"")</f>
        <v/>
      </c>
      <c r="Q210" s="352">
        <f>IFERROR(ROUND(1440/L210*(I210)*M210,0),"")</f>
        <v/>
      </c>
      <c r="R210" s="352" t="n">
        <v>120</v>
      </c>
      <c r="S210" s="352" t="n">
        <v>120</v>
      </c>
      <c r="T210" s="352" t="n">
        <v>120</v>
      </c>
      <c r="U210" s="352" t="n">
        <v>120</v>
      </c>
      <c r="V210" s="352" t="n">
        <v>120</v>
      </c>
      <c r="W210" s="352" t="n">
        <v>120</v>
      </c>
      <c r="X210" s="352" t="n">
        <v>120</v>
      </c>
      <c r="Y210" s="352" t="n">
        <v>120</v>
      </c>
      <c r="Z210" s="352" t="n">
        <v>120</v>
      </c>
      <c r="AA210" s="352" t="n">
        <v>120</v>
      </c>
      <c r="AB210" s="352" t="n">
        <v>120</v>
      </c>
      <c r="AC210" s="352" t="n">
        <v>120</v>
      </c>
      <c r="AD210" s="352" t="n">
        <v>120</v>
      </c>
      <c r="AE210" s="352" t="n">
        <v>120</v>
      </c>
      <c r="AF210" s="352" t="n">
        <v>120</v>
      </c>
      <c r="AG210" s="352" t="n">
        <v>120</v>
      </c>
      <c r="AH210" s="352" t="n">
        <v>120</v>
      </c>
      <c r="AI210" s="352" t="n">
        <v>120</v>
      </c>
      <c r="AJ210" s="352" t="n">
        <v>120</v>
      </c>
      <c r="AK210" s="352" t="n">
        <v>120</v>
      </c>
      <c r="AL210" s="352" t="n">
        <v>120</v>
      </c>
      <c r="AM210" s="352" t="n">
        <v>120</v>
      </c>
      <c r="AN210" s="352" t="n">
        <v>120</v>
      </c>
      <c r="AO210" s="352" t="n">
        <v>120</v>
      </c>
      <c r="AP210" s="352" t="n">
        <v>120</v>
      </c>
      <c r="AQ210" s="352" t="n">
        <v>120</v>
      </c>
      <c r="AR210" s="352" t="n">
        <v>120</v>
      </c>
      <c r="AS210" s="352" t="n">
        <v>120</v>
      </c>
      <c r="AT210" s="352" t="n">
        <v>120</v>
      </c>
      <c r="AU210" s="352" t="n">
        <v>120</v>
      </c>
      <c r="AV210" s="352" t="n">
        <v>120</v>
      </c>
      <c r="AW210" s="352">
        <f>IF(SUM(R210:AV210)=0,"",SUM(R210:AV210))</f>
        <v/>
      </c>
      <c r="AX210" s="431">
        <f>IFERROR(AW210*O210/1000,"")</f>
        <v/>
      </c>
      <c r="AY210" s="431">
        <f>IFERROR(ROUND(AW210*P210/10000,3),"")</f>
        <v/>
      </c>
      <c r="AZ210" s="354" t="n">
        <v>531.09</v>
      </c>
      <c r="BA210" s="355" t="n">
        <v>34.42</v>
      </c>
      <c r="BB210" s="355" t="n">
        <v>54.93</v>
      </c>
      <c r="BC210" s="355" t="n">
        <v>60.15</v>
      </c>
      <c r="BD210" s="331" t="n"/>
      <c r="BE210" s="331">
        <f>AZ210*AW210</f>
        <v/>
      </c>
      <c r="BF210" s="331">
        <f>BA210*AW210</f>
        <v/>
      </c>
      <c r="BG210" s="331">
        <f>BB210*AW210</f>
        <v/>
      </c>
      <c r="BH210" s="331">
        <f>BC210*AW210</f>
        <v/>
      </c>
      <c r="BI210" s="331" t="n"/>
      <c r="BJ210" s="356">
        <f t="array" ref="BJ210:BM210">_xlfn.LET(_xlpm.data,$R210:$AV210,_xlpm.starts,{1,8,16,23},_xlpm.lengths,{7,7,8,9},_xlpm.arr,_xlfn.MAP(_xlpm.starts,_xlpm.lengths,_xlfn.LAMBDA(_xlpm.s,_xlpm.l,SUM(INDEX(_xlpm.data,,_xlfn.SEQUENCE(,_xlpm.l,_xlpm.s))))),ROUND(_xlpm.arr*$O210/1000,2))</f>
        <v/>
      </c>
      <c r="BK210" s="331" t="n">
        <v>58.53</v>
      </c>
      <c r="BL210" s="331" t="n">
        <v>66.89</v>
      </c>
      <c r="BM210" s="331" t="n">
        <v>75.25</v>
      </c>
      <c r="BN210" s="362">
        <f>SUM(BJ210:BM210)</f>
        <v/>
      </c>
      <c r="BO210" s="362" t="n">
        <v>90</v>
      </c>
      <c r="BP210" s="362" t="n">
        <v>63.97</v>
      </c>
      <c r="BQ210" s="362" t="n">
        <v>0</v>
      </c>
      <c r="BR210" s="362" t="n">
        <v>0</v>
      </c>
      <c r="BS210" s="115" t="n"/>
      <c r="BT210" s="362">
        <f t="array" ref="BT210:BW210">_xlfn.HSTACK(SUM(INDEX($R210:$AV210,1,1):INDEX($R210:$AV210,1,7)),SUM(INDEX($R210:$AV210,1,7):INDEX($R210:$AV210,1,13)),SUM(INDEX($R210:$AV210,1,16):INDEX($R210:$AV210,1,23)),SUM(INDEX($R210:$AV210,1,23):INDEX($R210:$AV210,1,31)))</f>
        <v/>
      </c>
      <c r="BU210" s="362" t="n">
        <v>840</v>
      </c>
      <c r="BV210" s="362" t="n">
        <v>960</v>
      </c>
      <c r="BW210" s="362" t="n">
        <v>1080</v>
      </c>
      <c r="BY210" s="362">
        <f>SUM(R210:X210)</f>
        <v/>
      </c>
      <c r="BZ210" s="362">
        <f>SUM(Y210:AE210)</f>
        <v/>
      </c>
      <c r="CA210" s="362">
        <f>SUM(AF210:AM210)</f>
        <v/>
      </c>
      <c r="CB210" s="362">
        <f>SUM(AN210:AV210)</f>
        <v/>
      </c>
      <c r="CD210" s="432" t="inlineStr">
        <is>
          <t>ADA</t>
        </is>
      </c>
      <c r="CE210" s="362">
        <f>ROUND(BY210*$O210/1000,2)</f>
        <v/>
      </c>
      <c r="CF210" s="362">
        <f>ROUND(BZ210*$O210/1000,2)</f>
        <v/>
      </c>
      <c r="CG210" s="362">
        <f>ROUND(CA210*$O210/1000,2)</f>
        <v/>
      </c>
      <c r="CH210" s="362">
        <f>ROUND(CB210*$O210/1000,2)</f>
        <v/>
      </c>
      <c r="CI210" s="362">
        <f>SUM(CE210:CH210)</f>
        <v/>
      </c>
      <c r="CJ210" s="390" t="n"/>
      <c r="CK210" s="362">
        <f>IFERROR(ROUND(BY210*$P210,2),"")</f>
        <v/>
      </c>
      <c r="CL210" s="362">
        <f>IFERROR(ROUND(BZ210*$P210,2),"")</f>
        <v/>
      </c>
      <c r="CM210" s="362">
        <f>IFERROR(ROUND(CA210*$P210,2),"")</f>
        <v/>
      </c>
      <c r="CN210" s="362">
        <f>IFERROR(ROUND(CB210*$P210,2),"")</f>
        <v/>
      </c>
      <c r="CO210" s="362">
        <f>SUM(CK210:CN210)</f>
        <v/>
      </c>
    </row>
    <row r="211" ht="15.6" customFormat="1" customHeight="1" s="362">
      <c r="A211" s="331" t="n"/>
      <c r="B211" s="344">
        <f>_xlfn.XLOOKUP(G211,销售需求表!A:A,销售需求表!C:C)</f>
        <v/>
      </c>
      <c r="C211" s="345">
        <f>IFERROR(MID(F211,FIND("R",F211)+1,4),"")</f>
        <v/>
      </c>
      <c r="D211" s="365">
        <f>B211&amp;C211&amp;"寸"</f>
        <v/>
      </c>
      <c r="E211" s="346">
        <f>LEFT(REPLACE(G211,1,2,""),FIND("[",REPLACE(G211,1,2,""))-1)&amp;"-"&amp;MID(REPLACE(G211,1,2,""),FIND("[",REPLACE(G211,1,2,""))+1,FIND("]",REPLACE(G211,1,2,""))-FIND("[",REPLACE(G211,1,2,""))-1)</f>
        <v/>
      </c>
      <c r="F211" s="347">
        <f>IFERROR(MID(G211,3,FIND("(",G211)-3)&amp;"-"&amp;SUBSTITUTE(MID(G211,FIND("[",G211)+1,FIND("]",G211)-FIND("[",G211)-1),"Strong Guard ",""),"")</f>
        <v/>
      </c>
      <c r="G211" s="346" t="inlineStr">
        <is>
          <t>ID315/80R22.5-20PR(157/154K)[CR926B]威狮无内</t>
        </is>
      </c>
      <c r="H211" s="344" t="n">
        <v>120</v>
      </c>
      <c r="I211" s="348" t="n"/>
      <c r="J211" s="349">
        <f>IFERROR(LEFT(F211,FIND("-",F211))&amp;MID(F211,FIND("PR",F211,FIND("-",F211))+3,LEN(F211)),F211)</f>
        <v/>
      </c>
      <c r="K211" s="352">
        <f>_xlfn.XLOOKUP(F211,投产规格!E:E,投产规格!D:D,"未投产")</f>
        <v/>
      </c>
      <c r="L211" s="352">
        <f>IFERROR(_xlfn.XLOOKUP(F211,硫化工艺!B:B,硫化工艺!C:C),"")</f>
        <v/>
      </c>
      <c r="M211" s="430">
        <f>IF(L211="","",L211/(L211+$L$1/60))</f>
        <v/>
      </c>
      <c r="N211" s="352">
        <f>C211&amp;"全钢"</f>
        <v/>
      </c>
      <c r="O211" s="352">
        <f>IFERROR(_xlfn.XLOOKUP(F211,轮胎重量!J:J,轮胎重量!G:G),"")</f>
        <v/>
      </c>
      <c r="P211" s="352">
        <f>IFERROR(_xlfn.XLOOKUP(G211,硫化工艺!I:I,硫化工艺!J:J),"")</f>
        <v/>
      </c>
      <c r="Q211" s="352">
        <f>IFERROR(ROUND(1440/L211*(I211)*M211,0),"")</f>
        <v/>
      </c>
      <c r="R211" s="352" t="n"/>
      <c r="S211" s="352" t="n"/>
      <c r="T211" s="352" t="n"/>
      <c r="U211" s="352" t="n"/>
      <c r="V211" s="352" t="n">
        <v>60</v>
      </c>
      <c r="W211" s="352" t="n">
        <v>60</v>
      </c>
      <c r="X211" s="352" t="n">
        <v>60</v>
      </c>
      <c r="Y211" s="352" t="n"/>
      <c r="Z211" s="352" t="n"/>
      <c r="AA211" s="352" t="n"/>
      <c r="AB211" s="352" t="n"/>
      <c r="AC211" s="352" t="n"/>
      <c r="AD211" s="352" t="n"/>
      <c r="AE211" s="352" t="n"/>
      <c r="AF211" s="352" t="n"/>
      <c r="AG211" s="352" t="n"/>
      <c r="AH211" s="352" t="n"/>
      <c r="AI211" s="352" t="n"/>
      <c r="AJ211" s="352" t="n"/>
      <c r="AK211" s="352" t="n"/>
      <c r="AL211" s="352" t="n"/>
      <c r="AM211" s="352" t="n"/>
      <c r="AN211" s="352" t="n"/>
      <c r="AO211" s="352" t="n"/>
      <c r="AP211" s="352" t="n"/>
      <c r="AQ211" s="352" t="n"/>
      <c r="AR211" s="352" t="n"/>
      <c r="AS211" s="352" t="n"/>
      <c r="AT211" s="352" t="n"/>
      <c r="AU211" s="352" t="n"/>
      <c r="AV211" s="352" t="n"/>
      <c r="AW211" s="352">
        <f>IF(SUM(R211:AV211)=0,"",SUM(R211:AV211))</f>
        <v/>
      </c>
      <c r="AX211" s="431">
        <f>IFERROR(AW211*O211/1000,"")</f>
        <v/>
      </c>
      <c r="AY211" s="431">
        <f>IFERROR(ROUND(AW211*P211/10000,3),"")</f>
        <v/>
      </c>
      <c r="AZ211" s="354" t="n">
        <v>531.09</v>
      </c>
      <c r="BA211" s="355" t="n">
        <v>34.42</v>
      </c>
      <c r="BB211" s="355" t="n">
        <v>54.93</v>
      </c>
      <c r="BC211" s="355" t="n">
        <v>60.15</v>
      </c>
      <c r="BD211" s="331" t="n"/>
      <c r="BE211" s="331">
        <f>AZ211*AW211</f>
        <v/>
      </c>
      <c r="BF211" s="331">
        <f>BA211*AW211</f>
        <v/>
      </c>
      <c r="BG211" s="331">
        <f>BB211*AW211</f>
        <v/>
      </c>
      <c r="BH211" s="331">
        <f>BC211*AW211</f>
        <v/>
      </c>
      <c r="BI211" s="331" t="n"/>
      <c r="BJ211" s="356">
        <f t="array" ref="BJ211:BM211">_xlfn.LET(_xlpm.data,$R211:$AV211,_xlpm.starts,{1,8,16,23},_xlpm.lengths,{7,7,8,9},_xlpm.arr,_xlfn.MAP(_xlpm.starts,_xlpm.lengths,_xlfn.LAMBDA(_xlpm.s,_xlpm.l,SUM(INDEX(_xlpm.data,,_xlfn.SEQUENCE(,_xlpm.l,_xlpm.s))))),ROUND(_xlpm.arr*$O211/1000,2))</f>
        <v/>
      </c>
      <c r="BK211" s="331" t="n">
        <v>0</v>
      </c>
      <c r="BL211" s="331" t="n">
        <v>0</v>
      </c>
      <c r="BM211" s="331" t="n">
        <v>0</v>
      </c>
      <c r="BN211" s="362">
        <f>SUM(BJ211:BM211)</f>
        <v/>
      </c>
      <c r="BO211" s="362" t="n">
        <v>90</v>
      </c>
      <c r="BP211" s="362" t="n">
        <v>63.97</v>
      </c>
      <c r="BQ211" s="362" t="n">
        <v>0</v>
      </c>
      <c r="BR211" s="362" t="n">
        <v>0</v>
      </c>
      <c r="BS211" s="115" t="n"/>
      <c r="BT211" s="362">
        <f t="array" ref="BT211:BW211">_xlfn.HSTACK(SUM(INDEX($R211:$AV211,1,1):INDEX($R211:$AV211,1,7)),SUM(INDEX($R211:$AV211,1,7):INDEX($R211:$AV211,1,13)),SUM(INDEX($R211:$AV211,1,16):INDEX($R211:$AV211,1,23)),SUM(INDEX($R211:$AV211,1,23):INDEX($R211:$AV211,1,31)))</f>
        <v/>
      </c>
      <c r="BU211" s="362" t="n">
        <v>60</v>
      </c>
      <c r="BV211" s="362" t="n">
        <v>0</v>
      </c>
      <c r="BW211" s="362" t="n">
        <v>0</v>
      </c>
      <c r="BY211" s="362">
        <f>SUM(R211:X211)</f>
        <v/>
      </c>
      <c r="BZ211" s="362">
        <f>SUM(Y211:AE211)</f>
        <v/>
      </c>
      <c r="CA211" s="362">
        <f>SUM(AF211:AM211)</f>
        <v/>
      </c>
      <c r="CB211" s="362">
        <f>SUM(AN211:AV211)</f>
        <v/>
      </c>
      <c r="CD211" s="432" t="inlineStr">
        <is>
          <t>ADA</t>
        </is>
      </c>
      <c r="CE211" s="362">
        <f>ROUND(BY211*$O211/1000,2)</f>
        <v/>
      </c>
      <c r="CF211" s="362">
        <f>ROUND(BZ211*$O211/1000,2)</f>
        <v/>
      </c>
      <c r="CG211" s="362">
        <f>ROUND(CA211*$O211/1000,2)</f>
        <v/>
      </c>
      <c r="CH211" s="362">
        <f>ROUND(CB211*$O211/1000,2)</f>
        <v/>
      </c>
      <c r="CI211" s="362">
        <f>SUM(CE211:CH211)</f>
        <v/>
      </c>
      <c r="CJ211" s="390" t="n"/>
      <c r="CK211" s="362">
        <f>IFERROR(ROUND(BY211*$P211,2),"")</f>
        <v/>
      </c>
      <c r="CL211" s="362">
        <f>IFERROR(ROUND(BZ211*$P211,2),"")</f>
        <v/>
      </c>
      <c r="CM211" s="362">
        <f>IFERROR(ROUND(CA211*$P211,2),"")</f>
        <v/>
      </c>
      <c r="CN211" s="362">
        <f>IFERROR(ROUND(CB211*$P211,2),"")</f>
        <v/>
      </c>
      <c r="CO211" s="362">
        <f>SUM(CK211:CN211)</f>
        <v/>
      </c>
    </row>
    <row r="212" hidden="1" ht="15.6" customFormat="1" customHeight="1" s="362">
      <c r="A212" s="331" t="n"/>
      <c r="B212" s="344">
        <f>_xlfn.XLOOKUP(G212,销售需求表!A:A,销售需求表!C:C)</f>
        <v/>
      </c>
      <c r="C212" s="345">
        <f>IFERROR(MID(F212,FIND("R",F212)+1,4),"")</f>
        <v/>
      </c>
      <c r="D212" s="365">
        <f>B212&amp;C212&amp;"寸"</f>
        <v/>
      </c>
      <c r="E212" s="346">
        <f>LEFT(REPLACE(G212,1,2,""),FIND("[",REPLACE(G212,1,2,""))-1)&amp;"-"&amp;MID(REPLACE(G212,1,2,""),FIND("[",REPLACE(G212,1,2,""))+1,FIND("]",REPLACE(G212,1,2,""))-FIND("[",REPLACE(G212,1,2,""))-1)</f>
        <v/>
      </c>
      <c r="F212" s="347">
        <f>IFERROR(MID(G212,3,FIND("(",G212)-3)&amp;"-"&amp;SUBSTITUTE(MID(G212,FIND("[",G212)+1,FIND("]",G212)-FIND("[",G212)-1),"Strong Guard ",""),"")</f>
        <v/>
      </c>
      <c r="G212" s="346" t="inlineStr">
        <is>
          <t>ID315/80R22.5-20PR(157/154K)[HCC1 PlusX]SUPERMAX ECO无内</t>
        </is>
      </c>
      <c r="H212" s="344" t="n">
        <v>300</v>
      </c>
      <c r="I212" s="348" t="n"/>
      <c r="J212" s="349">
        <f>IFERROR(LEFT(F212,FIND("-",F212))&amp;MID(F212,FIND("PR",F212,FIND("-",F212))+3,LEN(F212)),F212)</f>
        <v/>
      </c>
      <c r="K212" s="352">
        <f>_xlfn.XLOOKUP(F212,投产规格!E:E,投产规格!D:D,"未投产")</f>
        <v/>
      </c>
      <c r="L212" s="352">
        <f>IFERROR(_xlfn.XLOOKUP(F212,硫化工艺!B:B,硫化工艺!C:C),"")</f>
        <v/>
      </c>
      <c r="M212" s="430">
        <f>IF(L212="","",L212/(L212+$L$1/60))</f>
        <v/>
      </c>
      <c r="N212" s="352">
        <f>C212&amp;"全钢"</f>
        <v/>
      </c>
      <c r="O212" s="352">
        <f>IFERROR(_xlfn.XLOOKUP(F212,轮胎重量!J:J,轮胎重量!G:G),"")</f>
        <v/>
      </c>
      <c r="P212" s="358">
        <f>O212*13.9</f>
        <v/>
      </c>
      <c r="Q212" s="352">
        <f>IFERROR(ROUND(1440/L212*(I212)*M212,0),"")</f>
        <v/>
      </c>
      <c r="R212" s="352" t="n"/>
      <c r="S212" s="352" t="n"/>
      <c r="T212" s="352" t="n"/>
      <c r="U212" s="352" t="n"/>
      <c r="V212" s="352" t="n"/>
      <c r="W212" s="352" t="n"/>
      <c r="X212" s="352" t="n"/>
      <c r="Y212" s="352" t="n"/>
      <c r="Z212" s="352" t="n"/>
      <c r="AA212" s="352" t="n"/>
      <c r="AB212" s="352" t="n"/>
      <c r="AC212" s="352" t="n"/>
      <c r="AD212" s="352" t="n"/>
      <c r="AE212" s="352" t="n"/>
      <c r="AF212" s="352" t="n"/>
      <c r="AG212" s="352" t="n"/>
      <c r="AH212" s="352" t="n"/>
      <c r="AI212" s="352" t="n"/>
      <c r="AJ212" s="352" t="n"/>
      <c r="AK212" s="352" t="n"/>
      <c r="AL212" s="352" t="n"/>
      <c r="AM212" s="352" t="n"/>
      <c r="AN212" s="352" t="n"/>
      <c r="AO212" s="352" t="n"/>
      <c r="AP212" s="352" t="n"/>
      <c r="AQ212" s="352" t="n"/>
      <c r="AR212" s="352" t="n"/>
      <c r="AS212" s="352" t="n"/>
      <c r="AT212" s="352" t="n"/>
      <c r="AU212" s="352" t="n"/>
      <c r="AV212" s="352" t="n"/>
      <c r="AW212" s="352">
        <f>IF(SUM(R212:AV212)=0,"",SUM(R212:AV212))</f>
        <v/>
      </c>
      <c r="AX212" s="431">
        <f>IFERROR(AW212*O212/1000,"")</f>
        <v/>
      </c>
      <c r="AY212" s="431">
        <f>IFERROR(ROUND(AW212*P212/10000,3),"")</f>
        <v/>
      </c>
      <c r="AZ212" s="354" t="n">
        <v>531.09</v>
      </c>
      <c r="BA212" s="355" t="n">
        <v>34.42</v>
      </c>
      <c r="BB212" s="355" t="n">
        <v>54.93</v>
      </c>
      <c r="BC212" s="355" t="n">
        <v>60.15</v>
      </c>
      <c r="BD212" s="331" t="n"/>
      <c r="BE212" s="331">
        <f>AZ212*AW212</f>
        <v/>
      </c>
      <c r="BF212" s="331">
        <f>BA212*AW212</f>
        <v/>
      </c>
      <c r="BG212" s="331">
        <f>BB212*AW212</f>
        <v/>
      </c>
      <c r="BH212" s="331">
        <f>BC212*AW212</f>
        <v/>
      </c>
      <c r="BI212" s="331" t="n"/>
      <c r="BJ212" s="356">
        <f t="array" ref="BJ212:BM212">_xlfn.LET(_xlpm.data,$R212:$AV212,_xlpm.starts,{1,8,16,23},_xlpm.lengths,{7,7,8,9},_xlpm.arr,_xlfn.MAP(_xlpm.starts,_xlpm.lengths,_xlfn.LAMBDA(_xlpm.s,_xlpm.l,SUM(INDEX(_xlpm.data,,_xlfn.SEQUENCE(,_xlpm.l,_xlpm.s))))),ROUND(_xlpm.arr*$O212/1000,2))</f>
        <v/>
      </c>
      <c r="BK212" s="331" t="n">
        <v>0</v>
      </c>
      <c r="BL212" s="331" t="n">
        <v>0</v>
      </c>
      <c r="BM212" s="331" t="n">
        <v>0</v>
      </c>
      <c r="BN212" s="362">
        <f>SUM(BJ212:BM212)</f>
        <v/>
      </c>
      <c r="BO212" s="362" t="n">
        <v>90</v>
      </c>
      <c r="BP212" s="362" t="n">
        <v>63.97</v>
      </c>
      <c r="BQ212" s="362" t="n">
        <v>0</v>
      </c>
      <c r="BR212" s="362" t="n">
        <v>0</v>
      </c>
      <c r="BS212" s="115" t="n"/>
      <c r="BT212" s="362">
        <f t="array" ref="BT212:BW212">_xlfn.HSTACK(SUM(INDEX($R212:$AV212,1,1):INDEX($R212:$AV212,1,7)),SUM(INDEX($R212:$AV212,1,7):INDEX($R212:$AV212,1,13)),SUM(INDEX($R212:$AV212,1,16):INDEX($R212:$AV212,1,23)),SUM(INDEX($R212:$AV212,1,23):INDEX($R212:$AV212,1,31)))</f>
        <v/>
      </c>
      <c r="BU212" s="362" t="n">
        <v>0</v>
      </c>
      <c r="BV212" s="362" t="n">
        <v>0</v>
      </c>
      <c r="BW212" s="362" t="n">
        <v>0</v>
      </c>
      <c r="BY212" s="362">
        <f>SUM(R212:X212)</f>
        <v/>
      </c>
      <c r="BZ212" s="362">
        <f>SUM(Y212:AE212)</f>
        <v/>
      </c>
      <c r="CA212" s="362">
        <f>SUM(AF212:AM212)</f>
        <v/>
      </c>
      <c r="CB212" s="362">
        <f>SUM(AN212:AV212)</f>
        <v/>
      </c>
      <c r="CD212" s="432" t="inlineStr">
        <is>
          <t>ADA</t>
        </is>
      </c>
      <c r="CE212" s="362">
        <f>ROUND(BY212*$O212/1000,2)</f>
        <v/>
      </c>
      <c r="CF212" s="362">
        <f>ROUND(BZ212*$O212/1000,2)</f>
        <v/>
      </c>
      <c r="CG212" s="362">
        <f>ROUND(CA212*$O212/1000,2)</f>
        <v/>
      </c>
      <c r="CH212" s="362">
        <f>ROUND(CB212*$O212/1000,2)</f>
        <v/>
      </c>
      <c r="CI212" s="362">
        <f>SUM(CE212:CH212)</f>
        <v/>
      </c>
      <c r="CJ212" s="390" t="n"/>
      <c r="CK212" s="362">
        <f>IFERROR(ROUND(BY212*$P212,2),"")</f>
        <v/>
      </c>
      <c r="CL212" s="362">
        <f>IFERROR(ROUND(BZ212*$P212,2),"")</f>
        <v/>
      </c>
      <c r="CM212" s="362">
        <f>IFERROR(ROUND(CA212*$P212,2),"")</f>
        <v/>
      </c>
      <c r="CN212" s="362">
        <f>IFERROR(ROUND(CB212*$P212,2),"")</f>
        <v/>
      </c>
      <c r="CO212" s="362">
        <f>SUM(CK212:CN212)</f>
        <v/>
      </c>
    </row>
    <row r="213" hidden="1" ht="15.6" customFormat="1" customHeight="1" s="362">
      <c r="A213" s="331" t="n"/>
      <c r="B213" s="344">
        <f>_xlfn.XLOOKUP(G213,销售需求表!A:A,销售需求表!C:C)</f>
        <v/>
      </c>
      <c r="C213" s="345">
        <f>IFERROR(MID(F213,FIND("R",F213)+1,4),"")</f>
        <v/>
      </c>
      <c r="D213" s="365">
        <f>B213&amp;C213&amp;"寸"</f>
        <v/>
      </c>
      <c r="E213" s="346">
        <f>LEFT(REPLACE(G213,1,2,""),FIND("[",REPLACE(G213,1,2,""))-1)&amp;"-"&amp;MID(REPLACE(G213,1,2,""),FIND("[",REPLACE(G213,1,2,""))+1,FIND("]",REPLACE(G213,1,2,""))-FIND("[",REPLACE(G213,1,2,""))-1)</f>
        <v/>
      </c>
      <c r="F213" s="347">
        <f>IFERROR(MID(G213,3,FIND("(",G213)-3)&amp;"-"&amp;SUBSTITUTE(MID(G213,FIND("[",G213)+1,FIND("]",G213)-FIND("[",G213)-1),"Strong Guard ",""),"")</f>
        <v/>
      </c>
      <c r="G213" s="346" t="inlineStr">
        <is>
          <t>ID315/80R22.5-20PR(161/157K)[I-31M]IRONMAN无内</t>
        </is>
      </c>
      <c r="H213" s="344" t="n">
        <v>900</v>
      </c>
      <c r="I213" s="348" t="n"/>
      <c r="J213" s="349">
        <f>IFERROR(LEFT(F213,FIND("-",F213))&amp;MID(F213,FIND("PR",F213,FIND("-",F213))+3,LEN(F213)),F213)</f>
        <v/>
      </c>
      <c r="K213" s="352">
        <f>_xlfn.XLOOKUP(F213,投产规格!E:E,投产规格!D:D,"未投产")</f>
        <v/>
      </c>
      <c r="L213" s="352">
        <f>IFERROR(_xlfn.XLOOKUP(F213,硫化工艺!B:B,硫化工艺!C:C),"")</f>
        <v/>
      </c>
      <c r="M213" s="430">
        <f>IF(L213="","",L213/(L213+$L$1/60))</f>
        <v/>
      </c>
      <c r="N213" s="352">
        <f>C213&amp;"全钢"</f>
        <v/>
      </c>
      <c r="O213" s="352">
        <f>IFERROR(_xlfn.XLOOKUP(F213,轮胎重量!J:J,轮胎重量!G:G),"")</f>
        <v/>
      </c>
      <c r="P213" s="352">
        <f>IFERROR(_xlfn.XLOOKUP(G213,硫化工艺!I:I,硫化工艺!J:J),"")</f>
        <v/>
      </c>
      <c r="Q213" s="352">
        <f>IFERROR(ROUND(1440/L213*(I213)*M213,0),"")</f>
        <v/>
      </c>
      <c r="R213" s="352" t="n"/>
      <c r="S213" s="352" t="n"/>
      <c r="T213" s="352" t="n"/>
      <c r="U213" s="352" t="n"/>
      <c r="V213" s="352" t="n"/>
      <c r="W213" s="352" t="n"/>
      <c r="X213" s="352" t="n"/>
      <c r="Y213" s="352" t="n"/>
      <c r="Z213" s="352" t="n"/>
      <c r="AA213" s="352" t="n"/>
      <c r="AB213" s="352" t="n"/>
      <c r="AC213" s="352" t="n"/>
      <c r="AD213" s="352" t="n"/>
      <c r="AE213" s="352" t="n"/>
      <c r="AF213" s="352" t="n"/>
      <c r="AG213" s="352" t="n"/>
      <c r="AH213" s="352" t="n"/>
      <c r="AI213" s="352" t="n"/>
      <c r="AJ213" s="352" t="n"/>
      <c r="AK213" s="352" t="n"/>
      <c r="AL213" s="352" t="n"/>
      <c r="AM213" s="352" t="n"/>
      <c r="AN213" s="352" t="n"/>
      <c r="AO213" s="352" t="n"/>
      <c r="AP213" s="352" t="n"/>
      <c r="AQ213" s="352" t="n"/>
      <c r="AR213" s="352" t="n"/>
      <c r="AS213" s="352" t="n"/>
      <c r="AT213" s="352" t="n"/>
      <c r="AU213" s="352" t="n"/>
      <c r="AV213" s="352" t="n"/>
      <c r="AW213" s="352">
        <f>IF(SUM(R213:AV213)=0,"",SUM(R213:AV213))</f>
        <v/>
      </c>
      <c r="AX213" s="431">
        <f>IFERROR(AW213*O213/1000,"")</f>
        <v/>
      </c>
      <c r="AY213" s="431">
        <f>IFERROR(ROUND(AW213*P213/10000,3),"")</f>
        <v/>
      </c>
      <c r="AZ213" s="354" t="n">
        <v>513.33</v>
      </c>
      <c r="BA213" s="355" t="n">
        <v>33.07</v>
      </c>
      <c r="BB213" s="355" t="n">
        <v>53.48</v>
      </c>
      <c r="BC213" s="355" t="n">
        <v>58.08</v>
      </c>
      <c r="BD213" s="331" t="n"/>
      <c r="BE213" s="331">
        <f>AZ213*AW213</f>
        <v/>
      </c>
      <c r="BF213" s="331">
        <f>BA213*AW213</f>
        <v/>
      </c>
      <c r="BG213" s="331">
        <f>BB213*AW213</f>
        <v/>
      </c>
      <c r="BH213" s="331">
        <f>BC213*AW213</f>
        <v/>
      </c>
      <c r="BI213" s="331" t="n"/>
      <c r="BJ213" s="356">
        <f t="array" ref="BJ213:BM213">_xlfn.LET(_xlpm.data,$R213:$AV213,_xlpm.starts,{1,8,16,23},_xlpm.lengths,{7,7,8,9},_xlpm.arr,_xlfn.MAP(_xlpm.starts,_xlpm.lengths,_xlfn.LAMBDA(_xlpm.s,_xlpm.l,SUM(INDEX(_xlpm.data,,_xlfn.SEQUENCE(,_xlpm.l,_xlpm.s))))),ROUND(_xlpm.arr*$O213/1000,2))</f>
        <v/>
      </c>
      <c r="BK213" s="331" t="n">
        <v>0</v>
      </c>
      <c r="BL213" s="331" t="n">
        <v>0</v>
      </c>
      <c r="BM213" s="331" t="n">
        <v>0</v>
      </c>
      <c r="BN213" s="362">
        <f>SUM(BJ213:BM213)</f>
        <v/>
      </c>
      <c r="BO213" s="362" t="n">
        <v>22.58</v>
      </c>
      <c r="BP213" s="362" t="n">
        <v>22.58</v>
      </c>
      <c r="BQ213" s="362" t="n">
        <v>3.23</v>
      </c>
      <c r="BR213" s="362" t="n">
        <v>0</v>
      </c>
      <c r="BS213" s="367" t="inlineStr">
        <is>
          <t>切换255/70</t>
        </is>
      </c>
      <c r="BT213" s="362">
        <f t="array" ref="BT213:BW213">_xlfn.HSTACK(SUM(INDEX($R213:$AV213,1,1):INDEX($R213:$AV213,1,7)),SUM(INDEX($R213:$AV213,1,7):INDEX($R213:$AV213,1,13)),SUM(INDEX($R213:$AV213,1,16):INDEX($R213:$AV213,1,23)),SUM(INDEX($R213:$AV213,1,23):INDEX($R213:$AV213,1,31)))</f>
        <v/>
      </c>
      <c r="BU213" s="362" t="n">
        <v>0</v>
      </c>
      <c r="BV213" s="362" t="n">
        <v>0</v>
      </c>
      <c r="BW213" s="362" t="n">
        <v>0</v>
      </c>
      <c r="BY213" s="362">
        <f>SUM(R213:X213)</f>
        <v/>
      </c>
      <c r="BZ213" s="362">
        <f>SUM(Y213:AE213)</f>
        <v/>
      </c>
      <c r="CA213" s="362">
        <f>SUM(AF213:AM213)</f>
        <v/>
      </c>
      <c r="CB213" s="362">
        <f>SUM(AN213:AV213)</f>
        <v/>
      </c>
      <c r="CD213" s="432" t="inlineStr">
        <is>
          <t>ADA</t>
        </is>
      </c>
      <c r="CE213" s="362">
        <f>ROUND(BY213*$O213/1000,2)</f>
        <v/>
      </c>
      <c r="CF213" s="362">
        <f>ROUND(BZ213*$O213/1000,2)</f>
        <v/>
      </c>
      <c r="CG213" s="362">
        <f>ROUND(CA213*$O213/1000,2)</f>
        <v/>
      </c>
      <c r="CH213" s="362">
        <f>ROUND(CB213*$O213/1000,2)</f>
        <v/>
      </c>
      <c r="CI213" s="362">
        <f>SUM(CE213:CH213)</f>
        <v/>
      </c>
      <c r="CJ213" s="390" t="n"/>
      <c r="CK213" s="362">
        <f>IFERROR(ROUND(BY213*$P213,2),"")</f>
        <v/>
      </c>
      <c r="CL213" s="362">
        <f>IFERROR(ROUND(BZ213*$P213,2),"")</f>
        <v/>
      </c>
      <c r="CM213" s="362">
        <f>IFERROR(ROUND(CA213*$P213,2),"")</f>
        <v/>
      </c>
      <c r="CN213" s="362">
        <f>IFERROR(ROUND(CB213*$P213,2),"")</f>
        <v/>
      </c>
      <c r="CO213" s="362">
        <f>SUM(CK213:CN213)</f>
        <v/>
      </c>
    </row>
    <row r="214" ht="15.6" customFormat="1" customHeight="1" s="362">
      <c r="A214" s="331" t="n"/>
      <c r="B214" s="344">
        <f>_xlfn.XLOOKUP(G214,销售需求表!A:A,销售需求表!C:C)</f>
        <v/>
      </c>
      <c r="C214" s="345">
        <f>IFERROR(MID(F214,FIND("R",F214)+1,4),"")</f>
        <v/>
      </c>
      <c r="D214" s="365">
        <f>B214&amp;C214&amp;"寸"</f>
        <v/>
      </c>
      <c r="E214" s="346">
        <f>LEFT(REPLACE(G214,1,2,""),FIND("[",REPLACE(G214,1,2,""))-1)&amp;"-"&amp;MID(REPLACE(G214,1,2,""),FIND("[",REPLACE(G214,1,2,""))+1,FIND("]",REPLACE(G214,1,2,""))-FIND("[",REPLACE(G214,1,2,""))-1)</f>
        <v/>
      </c>
      <c r="F214" s="347">
        <f>IFERROR(MID(G214,3,FIND("(",G214)-3)&amp;"-"&amp;SUBSTITUTE(MID(G214,FIND("[",G214)+1,FIND("]",G214)-FIND("[",G214)-1),"Strong Guard ",""),"")</f>
        <v/>
      </c>
      <c r="G214" s="346" t="inlineStr">
        <is>
          <t>ID315/80R22.5-20PR(161/157K)[I-52A]IRONMAN无内</t>
        </is>
      </c>
      <c r="H214" s="344" t="n">
        <v>1400</v>
      </c>
      <c r="I214" s="348" t="n"/>
      <c r="J214" s="349">
        <f>IFERROR(LEFT(F214,FIND("-",F214))&amp;MID(F214,FIND("PR",F214,FIND("-",F214))+3,LEN(F214)),F214)</f>
        <v/>
      </c>
      <c r="K214" s="352">
        <f>_xlfn.XLOOKUP(F214,投产规格!E:E,投产规格!D:D,"未投产")</f>
        <v/>
      </c>
      <c r="L214" s="352">
        <f>IFERROR(_xlfn.XLOOKUP(F214,硫化工艺!B:B,硫化工艺!C:C),"")</f>
        <v/>
      </c>
      <c r="M214" s="430">
        <f>IF(L214="","",L214/(L214+$L$1/60))</f>
        <v/>
      </c>
      <c r="N214" s="352">
        <f>C214&amp;"全钢"</f>
        <v/>
      </c>
      <c r="O214" s="352">
        <f>IFERROR(_xlfn.XLOOKUP(F214,轮胎重量!J:J,轮胎重量!G:G),"")</f>
        <v/>
      </c>
      <c r="P214" s="352">
        <f>IFERROR(_xlfn.XLOOKUP(G214,硫化工艺!I:I,硫化工艺!J:J),"")</f>
        <v/>
      </c>
      <c r="Q214" s="352">
        <f>IFERROR(ROUND(1440/L214*(I214)*M214,0),"")</f>
        <v/>
      </c>
      <c r="R214" s="352" t="n"/>
      <c r="S214" s="352" t="n"/>
      <c r="T214" s="352" t="n"/>
      <c r="U214" s="352" t="n"/>
      <c r="V214" s="352" t="n"/>
      <c r="W214" s="352" t="n"/>
      <c r="X214" s="352" t="n"/>
      <c r="Y214" s="352" t="n"/>
      <c r="Z214" s="352" t="n"/>
      <c r="AA214" s="352" t="n"/>
      <c r="AB214" s="352" t="n">
        <v>50</v>
      </c>
      <c r="AC214" s="352" t="n">
        <v>50</v>
      </c>
      <c r="AD214" s="352" t="n">
        <v>50</v>
      </c>
      <c r="AE214" s="352" t="n">
        <v>50</v>
      </c>
      <c r="AF214" s="352" t="n">
        <v>50</v>
      </c>
      <c r="AG214" s="352" t="n">
        <v>50</v>
      </c>
      <c r="AH214" s="352" t="n">
        <v>50</v>
      </c>
      <c r="AI214" s="352" t="n">
        <v>50</v>
      </c>
      <c r="AJ214" s="352" t="n">
        <v>50</v>
      </c>
      <c r="AK214" s="352" t="n">
        <v>50</v>
      </c>
      <c r="AL214" s="352" t="n">
        <v>50</v>
      </c>
      <c r="AM214" s="352" t="n">
        <v>50</v>
      </c>
      <c r="AN214" s="352" t="n">
        <v>50</v>
      </c>
      <c r="AO214" s="352" t="n">
        <v>50</v>
      </c>
      <c r="AP214" s="352" t="n"/>
      <c r="AQ214" s="352" t="n"/>
      <c r="AR214" s="352" t="n"/>
      <c r="AS214" s="352" t="n"/>
      <c r="AT214" s="352" t="n"/>
      <c r="AU214" s="352" t="n"/>
      <c r="AV214" s="352" t="n"/>
      <c r="AW214" s="352">
        <f>IF(SUM(R214:AV214)=0,"",SUM(R214:AV214))</f>
        <v/>
      </c>
      <c r="AX214" s="431">
        <f>IFERROR(AW214*O214/1000,"")</f>
        <v/>
      </c>
      <c r="AY214" s="431">
        <f>IFERROR(ROUND(AW214*P214/10000,3),"")</f>
        <v/>
      </c>
      <c r="AZ214" s="354" t="n">
        <v>513.33</v>
      </c>
      <c r="BA214" s="355" t="n">
        <v>33.07</v>
      </c>
      <c r="BB214" s="355" t="n">
        <v>53.48</v>
      </c>
      <c r="BC214" s="355" t="n">
        <v>58.08</v>
      </c>
      <c r="BD214" s="331" t="n"/>
      <c r="BE214" s="331">
        <f>AZ214*AW214</f>
        <v/>
      </c>
      <c r="BF214" s="331">
        <f>BA214*AW214</f>
        <v/>
      </c>
      <c r="BG214" s="331">
        <f>BB214*AW214</f>
        <v/>
      </c>
      <c r="BH214" s="331">
        <f>BC214*AW214</f>
        <v/>
      </c>
      <c r="BI214" s="331" t="n"/>
      <c r="BJ214" s="356">
        <f t="array" ref="BJ214:BM214">_xlfn.LET(_xlpm.data,$R214:$AV214,_xlpm.starts,{1,8,16,23},_xlpm.lengths,{7,7,8,9},_xlpm.arr,_xlfn.MAP(_xlpm.starts,_xlpm.lengths,_xlfn.LAMBDA(_xlpm.s,_xlpm.l,SUM(INDEX(_xlpm.data,,_xlfn.SEQUENCE(,_xlpm.l,_xlpm.s))))),ROUND(_xlpm.arr*$O214/1000,2))</f>
        <v/>
      </c>
      <c r="BK214" s="331" t="n">
        <v>13.62</v>
      </c>
      <c r="BL214" s="331" t="n">
        <v>27.25</v>
      </c>
      <c r="BM214" s="331" t="n">
        <v>6.81</v>
      </c>
      <c r="BN214" s="362">
        <f>SUM(BJ214:BM214)</f>
        <v/>
      </c>
      <c r="BO214" s="362" t="n">
        <v>22.58</v>
      </c>
      <c r="BP214" s="362" t="n">
        <v>22.58</v>
      </c>
      <c r="BQ214" s="362" t="n">
        <v>3.23</v>
      </c>
      <c r="BR214" s="362" t="n">
        <v>0</v>
      </c>
      <c r="BS214" s="115" t="n"/>
      <c r="BT214" s="362">
        <f t="array" ref="BT214:BW214">_xlfn.HSTACK(SUM(INDEX($R214:$AV214,1,1):INDEX($R214:$AV214,1,7)),SUM(INDEX($R214:$AV214,1,7):INDEX($R214:$AV214,1,13)),SUM(INDEX($R214:$AV214,1,16):INDEX($R214:$AV214,1,23)),SUM(INDEX($R214:$AV214,1,23):INDEX($R214:$AV214,1,31)))</f>
        <v/>
      </c>
      <c r="BU214" s="362" t="n">
        <v>150</v>
      </c>
      <c r="BV214" s="362" t="n">
        <v>400</v>
      </c>
      <c r="BW214" s="362" t="n">
        <v>100</v>
      </c>
      <c r="BY214" s="362">
        <f>SUM(R214:X214)</f>
        <v/>
      </c>
      <c r="BZ214" s="362">
        <f>SUM(Y214:AE214)</f>
        <v/>
      </c>
      <c r="CA214" s="362">
        <f>SUM(AF214:AM214)</f>
        <v/>
      </c>
      <c r="CB214" s="362">
        <f>SUM(AN214:AV214)</f>
        <v/>
      </c>
      <c r="CD214" s="432" t="inlineStr">
        <is>
          <t>ADA</t>
        </is>
      </c>
      <c r="CE214" s="362">
        <f>ROUND(BY214*$O214/1000,2)</f>
        <v/>
      </c>
      <c r="CF214" s="362">
        <f>ROUND(BZ214*$O214/1000,2)</f>
        <v/>
      </c>
      <c r="CG214" s="362">
        <f>ROUND(CA214*$O214/1000,2)</f>
        <v/>
      </c>
      <c r="CH214" s="362">
        <f>ROUND(CB214*$O214/1000,2)</f>
        <v/>
      </c>
      <c r="CI214" s="362">
        <f>SUM(CE214:CH214)</f>
        <v/>
      </c>
      <c r="CJ214" s="390" t="n"/>
      <c r="CK214" s="362">
        <f>IFERROR(ROUND(BY214*$P214,2),"")</f>
        <v/>
      </c>
      <c r="CL214" s="362">
        <f>IFERROR(ROUND(BZ214*$P214,2),"")</f>
        <v/>
      </c>
      <c r="CM214" s="362">
        <f>IFERROR(ROUND(CA214*$P214,2),"")</f>
        <v/>
      </c>
      <c r="CN214" s="362">
        <f>IFERROR(ROUND(CB214*$P214,2),"")</f>
        <v/>
      </c>
      <c r="CO214" s="362">
        <f>SUM(CK214:CN214)</f>
        <v/>
      </c>
    </row>
    <row r="215" hidden="1" ht="15.6" customFormat="1" customHeight="1" s="362">
      <c r="A215" s="331" t="n"/>
      <c r="B215" s="344">
        <f>_xlfn.XLOOKUP(G215,销售需求表!A:A,销售需求表!C:C)</f>
        <v/>
      </c>
      <c r="C215" s="345">
        <f>IFERROR(MID(F215,FIND("R",F215)+1,4),"")</f>
        <v/>
      </c>
      <c r="D215" s="365">
        <f>B215&amp;C215&amp;"寸"</f>
        <v/>
      </c>
      <c r="E215" s="346">
        <f>LEFT(REPLACE(G215,1,2,""),FIND("[",REPLACE(G215,1,2,""))-1)&amp;"-"&amp;MID(REPLACE(G215,1,2,""),FIND("[",REPLACE(G215,1,2,""))+1,FIND("]",REPLACE(G215,1,2,""))-FIND("[",REPLACE(G215,1,2,""))-1)</f>
        <v/>
      </c>
      <c r="F215" s="347">
        <f>IFERROR(MID(G215,3,FIND("(",G215)-3)&amp;"-"&amp;SUBSTITUTE(MID(G215,FIND("[",G215)+1,FIND("]",G215)-FIND("[",G215)-1),"Strong Guard ",""),"")</f>
        <v/>
      </c>
      <c r="G215" s="346" t="inlineStr">
        <is>
          <t>ID315/80R22.5-20PR(161/157K)[M-TRAC MS]MASTERTRACK无内</t>
        </is>
      </c>
      <c r="H215" s="344" t="n">
        <v>750</v>
      </c>
      <c r="I215" s="348" t="n"/>
      <c r="J215" s="349">
        <f>IFERROR(LEFT(F215,FIND("-",F215))&amp;MID(F215,FIND("PR",F215,FIND("-",F215))+3,LEN(F215)),F215)</f>
        <v/>
      </c>
      <c r="K215" s="352">
        <f>_xlfn.XLOOKUP(F215,投产规格!E:E,投产规格!D:D,"未投产")</f>
        <v/>
      </c>
      <c r="L215" s="352">
        <f>IFERROR(_xlfn.XLOOKUP(F215,硫化工艺!B:B,硫化工艺!C:C),"")</f>
        <v/>
      </c>
      <c r="M215" s="430">
        <f>IF(L215="","",L215/(L215+$L$1/60))</f>
        <v/>
      </c>
      <c r="N215" s="352">
        <f>C215&amp;"全钢"</f>
        <v/>
      </c>
      <c r="O215" s="352">
        <f>IFERROR(_xlfn.XLOOKUP(F215,轮胎重量!J:J,轮胎重量!G:G),"")</f>
        <v/>
      </c>
      <c r="P215" s="358">
        <f>O215*13.9</f>
        <v/>
      </c>
      <c r="Q215" s="352">
        <f>IFERROR(ROUND(1440/L215*(I215)*M215,0),"")</f>
        <v/>
      </c>
      <c r="R215" s="352" t="n"/>
      <c r="S215" s="352" t="n"/>
      <c r="T215" s="352" t="n"/>
      <c r="U215" s="352" t="n"/>
      <c r="V215" s="352" t="n"/>
      <c r="W215" s="352" t="n"/>
      <c r="X215" s="352" t="n"/>
      <c r="Y215" s="352" t="n"/>
      <c r="Z215" s="352" t="n"/>
      <c r="AA215" s="352" t="n"/>
      <c r="AB215" s="352" t="n"/>
      <c r="AC215" s="352" t="n"/>
      <c r="AD215" s="352" t="n"/>
      <c r="AE215" s="352" t="n"/>
      <c r="AF215" s="352" t="n"/>
      <c r="AG215" s="352" t="n"/>
      <c r="AH215" s="352" t="n"/>
      <c r="AI215" s="352" t="n"/>
      <c r="AJ215" s="352" t="n"/>
      <c r="AK215" s="352" t="n"/>
      <c r="AL215" s="352" t="n"/>
      <c r="AM215" s="352" t="n"/>
      <c r="AN215" s="352" t="n"/>
      <c r="AO215" s="352" t="n"/>
      <c r="AP215" s="352" t="n"/>
      <c r="AQ215" s="352" t="n"/>
      <c r="AR215" s="352" t="n"/>
      <c r="AS215" s="352" t="n"/>
      <c r="AT215" s="352" t="n"/>
      <c r="AU215" s="352" t="n"/>
      <c r="AV215" s="352" t="n"/>
      <c r="AW215" s="352">
        <f>IF(SUM(R215:AV215)=0,"",SUM(R215:AV215))</f>
        <v/>
      </c>
      <c r="AX215" s="431">
        <f>IFERROR(AW215*O215/1000,"")</f>
        <v/>
      </c>
      <c r="AY215" s="431">
        <f>IFERROR(ROUND(AW215*P215/10000,3),"")</f>
        <v/>
      </c>
      <c r="AZ215" s="354" t="n">
        <v>513.33</v>
      </c>
      <c r="BA215" s="355" t="n">
        <v>33.07</v>
      </c>
      <c r="BB215" s="355" t="n">
        <v>53.48</v>
      </c>
      <c r="BC215" s="355" t="n">
        <v>58.08</v>
      </c>
      <c r="BD215" s="331" t="n"/>
      <c r="BE215" s="331">
        <f>AZ215*AW215</f>
        <v/>
      </c>
      <c r="BF215" s="331">
        <f>BA215*AW215</f>
        <v/>
      </c>
      <c r="BG215" s="331">
        <f>BB215*AW215</f>
        <v/>
      </c>
      <c r="BH215" s="331">
        <f>BC215*AW215</f>
        <v/>
      </c>
      <c r="BI215" s="331" t="n"/>
      <c r="BJ215" s="356">
        <f t="array" ref="BJ215:BM215">_xlfn.LET(_xlpm.data,$R215:$AV215,_xlpm.starts,{1,8,16,23},_xlpm.lengths,{7,7,8,9},_xlpm.arr,_xlfn.MAP(_xlpm.starts,_xlpm.lengths,_xlfn.LAMBDA(_xlpm.s,_xlpm.l,SUM(INDEX(_xlpm.data,,_xlfn.SEQUENCE(,_xlpm.l,_xlpm.s))))),ROUND(_xlpm.arr*$O215/1000,2))</f>
        <v/>
      </c>
      <c r="BK215" s="331" t="n">
        <v>0</v>
      </c>
      <c r="BL215" s="331" t="n">
        <v>0</v>
      </c>
      <c r="BM215" s="331" t="n">
        <v>0</v>
      </c>
      <c r="BN215" s="362">
        <f>SUM(BJ215:BM215)</f>
        <v/>
      </c>
      <c r="BO215" s="362" t="n">
        <v>22.58</v>
      </c>
      <c r="BP215" s="362" t="n">
        <v>22.58</v>
      </c>
      <c r="BQ215" s="362" t="n">
        <v>3.23</v>
      </c>
      <c r="BR215" s="362" t="n">
        <v>0</v>
      </c>
      <c r="BS215" s="115" t="n"/>
      <c r="BT215" s="362">
        <f t="array" ref="BT215:BW215">_xlfn.HSTACK(SUM(INDEX($R215:$AV215,1,1):INDEX($R215:$AV215,1,7)),SUM(INDEX($R215:$AV215,1,7):INDEX($R215:$AV215,1,13)),SUM(INDEX($R215:$AV215,1,16):INDEX($R215:$AV215,1,23)),SUM(INDEX($R215:$AV215,1,23):INDEX($R215:$AV215,1,31)))</f>
        <v/>
      </c>
      <c r="BU215" s="362" t="n">
        <v>0</v>
      </c>
      <c r="BV215" s="362" t="n">
        <v>0</v>
      </c>
      <c r="BW215" s="362" t="n">
        <v>0</v>
      </c>
      <c r="BY215" s="362">
        <f>SUM(R215:X215)</f>
        <v/>
      </c>
      <c r="BZ215" s="362">
        <f>SUM(Y215:AE215)</f>
        <v/>
      </c>
      <c r="CA215" s="362">
        <f>SUM(AF215:AM215)</f>
        <v/>
      </c>
      <c r="CB215" s="362">
        <f>SUM(AN215:AV215)</f>
        <v/>
      </c>
      <c r="CD215" s="432" t="inlineStr">
        <is>
          <t>ADA</t>
        </is>
      </c>
      <c r="CE215" s="362">
        <f>ROUND(BY215*$O215/1000,2)</f>
        <v/>
      </c>
      <c r="CF215" s="362">
        <f>ROUND(BZ215*$O215/1000,2)</f>
        <v/>
      </c>
      <c r="CG215" s="362">
        <f>ROUND(CA215*$O215/1000,2)</f>
        <v/>
      </c>
      <c r="CH215" s="362">
        <f>ROUND(CB215*$O215/1000,2)</f>
        <v/>
      </c>
      <c r="CI215" s="362">
        <f>SUM(CE215:CH215)</f>
        <v/>
      </c>
      <c r="CJ215" s="390" t="n"/>
      <c r="CK215" s="362">
        <f>IFERROR(ROUND(BY215*$P215,2),"")</f>
        <v/>
      </c>
      <c r="CL215" s="362">
        <f>IFERROR(ROUND(BZ215*$P215,2),"")</f>
        <v/>
      </c>
      <c r="CM215" s="362">
        <f>IFERROR(ROUND(CA215*$P215,2),"")</f>
        <v/>
      </c>
      <c r="CN215" s="362">
        <f>IFERROR(ROUND(CB215*$P215,2),"")</f>
        <v/>
      </c>
      <c r="CO215" s="362">
        <f>SUM(CK215:CN215)</f>
        <v/>
      </c>
    </row>
    <row r="216" ht="15.6" customFormat="1" customHeight="1" s="362">
      <c r="A216" s="331" t="n"/>
      <c r="B216" s="344">
        <f>_xlfn.XLOOKUP(G216,销售需求表!A:A,销售需求表!C:C)</f>
        <v/>
      </c>
      <c r="C216" s="345">
        <f>IFERROR(MID(F216,FIND("R",F216)+1,4),"")</f>
        <v/>
      </c>
      <c r="D216" s="365">
        <f>B216&amp;C216&amp;"寸"</f>
        <v/>
      </c>
      <c r="E216" s="346">
        <f>LEFT(REPLACE(G216,1,2,""),FIND("[",REPLACE(G216,1,2,""))-1)&amp;"-"&amp;MID(REPLACE(G216,1,2,""),FIND("[",REPLACE(G216,1,2,""))+1,FIND("]",REPLACE(G216,1,2,""))-FIND("[",REPLACE(G216,1,2,""))-1)</f>
        <v/>
      </c>
      <c r="F216" s="347">
        <f>IFERROR(MID(G216,3,FIND("(",G216)-3)&amp;"-"&amp;SUBSTITUTE(MID(G216,FIND("[",G216)+1,FIND("]",G216)-FIND("[",G216)-1),"Strong Guard ",""),"")</f>
        <v/>
      </c>
      <c r="G216" s="346" t="inlineStr">
        <is>
          <t>ID315/80R22.5-20PR(161/157L)[Strong Guard H-RD]HERCULES无内</t>
        </is>
      </c>
      <c r="H216" s="344" t="n">
        <v>180</v>
      </c>
      <c r="I216" s="348" t="n">
        <v>2</v>
      </c>
      <c r="J216" s="349">
        <f>IFERROR(LEFT(F216,FIND("-",F216))&amp;MID(F216,FIND("PR",F216,FIND("-",F216))+3,LEN(F216)),F216)</f>
        <v/>
      </c>
      <c r="K216" s="352">
        <f>_xlfn.XLOOKUP(F216,投产规格!E:E,投产规格!D:D,"未投产")</f>
        <v/>
      </c>
      <c r="L216" s="352">
        <f>IFERROR(_xlfn.XLOOKUP(F216,硫化工艺!B:B,硫化工艺!C:C),"")</f>
        <v/>
      </c>
      <c r="M216" s="430">
        <f>IF(L216="","",L216/(L216+$L$1/60))</f>
        <v/>
      </c>
      <c r="N216" s="352">
        <f>C216&amp;"全钢"</f>
        <v/>
      </c>
      <c r="O216" s="352">
        <f>IFERROR(_xlfn.XLOOKUP(F216,轮胎重量!J:J,轮胎重量!G:G),"")</f>
        <v/>
      </c>
      <c r="P216" s="352">
        <f>IFERROR(_xlfn.XLOOKUP(G216,硫化工艺!I:I,硫化工艺!J:J),"")</f>
        <v/>
      </c>
      <c r="Q216" s="352">
        <f>IFERROR(ROUND(1440/L216*(I216)*M216,0),"")</f>
        <v/>
      </c>
      <c r="R216" s="352" t="n">
        <v>60</v>
      </c>
      <c r="S216" s="352" t="n">
        <v>60</v>
      </c>
      <c r="T216" s="352" t="n">
        <v>60</v>
      </c>
      <c r="U216" s="352" t="n">
        <v>60</v>
      </c>
      <c r="V216" s="352" t="n"/>
      <c r="W216" s="352" t="n"/>
      <c r="X216" s="352" t="n"/>
      <c r="Y216" s="352" t="n"/>
      <c r="Z216" s="352" t="n"/>
      <c r="AA216" s="352" t="n"/>
      <c r="AB216" s="352" t="n"/>
      <c r="AC216" s="352" t="n"/>
      <c r="AD216" s="352" t="n"/>
      <c r="AE216" s="352" t="n"/>
      <c r="AF216" s="352" t="n"/>
      <c r="AG216" s="352" t="n"/>
      <c r="AH216" s="352" t="n"/>
      <c r="AI216" s="352" t="n"/>
      <c r="AJ216" s="352" t="n"/>
      <c r="AK216" s="352" t="n"/>
      <c r="AL216" s="352" t="n"/>
      <c r="AM216" s="352" t="n"/>
      <c r="AN216" s="352" t="n"/>
      <c r="AO216" s="352" t="n"/>
      <c r="AP216" s="352" t="n"/>
      <c r="AQ216" s="352" t="n"/>
      <c r="AR216" s="352" t="n"/>
      <c r="AS216" s="352" t="n"/>
      <c r="AT216" s="352" t="n"/>
      <c r="AU216" s="352" t="n"/>
      <c r="AV216" s="352" t="n"/>
      <c r="AW216" s="352">
        <f>IF(SUM(R216:AV216)=0,"",SUM(R216:AV216))</f>
        <v/>
      </c>
      <c r="AX216" s="431">
        <f>IFERROR(AW216*O216/1000,"")</f>
        <v/>
      </c>
      <c r="AY216" s="431">
        <f>IFERROR(ROUND(AW216*P216/10000,3),"")</f>
        <v/>
      </c>
      <c r="AZ216" s="354" t="n">
        <v>513.33</v>
      </c>
      <c r="BA216" s="355" t="n">
        <v>33.07</v>
      </c>
      <c r="BB216" s="355" t="n">
        <v>53.48</v>
      </c>
      <c r="BC216" s="355" t="n">
        <v>58.08</v>
      </c>
      <c r="BD216" s="331" t="n"/>
      <c r="BE216" s="331">
        <f>AZ216*AW216</f>
        <v/>
      </c>
      <c r="BF216" s="331">
        <f>BA216*AW216</f>
        <v/>
      </c>
      <c r="BG216" s="331">
        <f>BB216*AW216</f>
        <v/>
      </c>
      <c r="BH216" s="331">
        <f>BC216*AW216</f>
        <v/>
      </c>
      <c r="BI216" s="331" t="n"/>
      <c r="BJ216" s="356">
        <f t="array" ref="BJ216:BM216">_xlfn.LET(_xlpm.data,$R216:$AV216,_xlpm.starts,{1,8,16,23},_xlpm.lengths,{7,7,8,9},_xlpm.arr,_xlfn.MAP(_xlpm.starts,_xlpm.lengths,_xlfn.LAMBDA(_xlpm.s,_xlpm.l,SUM(INDEX(_xlpm.data,,_xlfn.SEQUENCE(,_xlpm.l,_xlpm.s))))),ROUND(_xlpm.arr*$O216/1000,2))</f>
        <v/>
      </c>
      <c r="BK216" s="331" t="n">
        <v>0</v>
      </c>
      <c r="BL216" s="331" t="n">
        <v>0</v>
      </c>
      <c r="BM216" s="331" t="n">
        <v>0</v>
      </c>
      <c r="BN216" s="362">
        <f>SUM(BJ216:BM216)</f>
        <v/>
      </c>
      <c r="BO216" s="362" t="n">
        <v>22.58</v>
      </c>
      <c r="BP216" s="362" t="n">
        <v>22.58</v>
      </c>
      <c r="BQ216" s="362" t="n">
        <v>3.23</v>
      </c>
      <c r="BR216" s="362" t="n">
        <v>0</v>
      </c>
      <c r="BS216" s="115" t="n"/>
      <c r="BT216" s="362">
        <f t="array" ref="BT216:BW216">_xlfn.HSTACK(SUM(INDEX($R216:$AV216,1,1):INDEX($R216:$AV216,1,7)),SUM(INDEX($R216:$AV216,1,7):INDEX($R216:$AV216,1,13)),SUM(INDEX($R216:$AV216,1,16):INDEX($R216:$AV216,1,23)),SUM(INDEX($R216:$AV216,1,23):INDEX($R216:$AV216,1,31)))</f>
        <v/>
      </c>
      <c r="BU216" s="362" t="n">
        <v>0</v>
      </c>
      <c r="BV216" s="362" t="n">
        <v>0</v>
      </c>
      <c r="BW216" s="362" t="n">
        <v>0</v>
      </c>
      <c r="BY216" s="362">
        <f>SUM(R216:X216)</f>
        <v/>
      </c>
      <c r="BZ216" s="362">
        <f>SUM(Y216:AE216)</f>
        <v/>
      </c>
      <c r="CA216" s="362">
        <f>SUM(AF216:AM216)</f>
        <v/>
      </c>
      <c r="CB216" s="362">
        <f>SUM(AN216:AV216)</f>
        <v/>
      </c>
      <c r="CD216" s="432" t="inlineStr">
        <is>
          <t>ADA</t>
        </is>
      </c>
      <c r="CE216" s="362">
        <f>ROUND(BY216*$O216/1000,2)</f>
        <v/>
      </c>
      <c r="CF216" s="362">
        <f>ROUND(BZ216*$O216/1000,2)</f>
        <v/>
      </c>
      <c r="CG216" s="362">
        <f>ROUND(CA216*$O216/1000,2)</f>
        <v/>
      </c>
      <c r="CH216" s="362">
        <f>ROUND(CB216*$O216/1000,2)</f>
        <v/>
      </c>
      <c r="CI216" s="362">
        <f>SUM(CE216:CH216)</f>
        <v/>
      </c>
      <c r="CJ216" s="390" t="n"/>
      <c r="CK216" s="362">
        <f>IFERROR(ROUND(BY216*$P216,2),"")</f>
        <v/>
      </c>
      <c r="CL216" s="362">
        <f>IFERROR(ROUND(BZ216*$P216,2),"")</f>
        <v/>
      </c>
      <c r="CM216" s="362">
        <f>IFERROR(ROUND(CA216*$P216,2),"")</f>
        <v/>
      </c>
      <c r="CN216" s="362">
        <f>IFERROR(ROUND(CB216*$P216,2),"")</f>
        <v/>
      </c>
      <c r="CO216" s="362">
        <f>SUM(CK216:CN216)</f>
        <v/>
      </c>
    </row>
    <row r="217" ht="15.6" customFormat="1" customHeight="1" s="362">
      <c r="A217" s="331" t="n"/>
      <c r="B217" s="344">
        <f>_xlfn.XLOOKUP(G217,销售需求表!A:A,销售需求表!C:C)</f>
        <v/>
      </c>
      <c r="C217" s="345">
        <f>IFERROR(MID(F217,FIND("R",F217)+1,4),"")</f>
        <v/>
      </c>
      <c r="D217" s="365">
        <f>B217&amp;C217&amp;"寸"</f>
        <v/>
      </c>
      <c r="E217" s="346">
        <f>LEFT(REPLACE(G217,1,2,""),FIND("[",REPLACE(G217,1,2,""))-1)&amp;"-"&amp;MID(REPLACE(G217,1,2,""),FIND("[",REPLACE(G217,1,2,""))+1,FIND("]",REPLACE(G217,1,2,""))-FIND("[",REPLACE(G217,1,2,""))-1)</f>
        <v/>
      </c>
      <c r="F217" s="347">
        <f>IFERROR(MID(G217,3,FIND("(",G217)-3)&amp;"-"&amp;SUBSTITUTE(MID(G217,FIND("[",G217)+1,FIND("]",G217)-FIND("[",G217)-1),"Strong Guard ",""),"")</f>
        <v/>
      </c>
      <c r="G217" s="346" t="inlineStr">
        <is>
          <t>ID315/80R22.5-20PR(161/157K)[VA996]VITOUR无内</t>
        </is>
      </c>
      <c r="H217" s="344" t="n">
        <v>300</v>
      </c>
      <c r="I217" s="348" t="n">
        <v>2</v>
      </c>
      <c r="J217" s="349">
        <f>IFERROR(LEFT(F217,FIND("-",F217))&amp;MID(F217,FIND("PR",F217,FIND("-",F217))+3,LEN(F217)),F217)</f>
        <v/>
      </c>
      <c r="K217" s="352">
        <f>_xlfn.XLOOKUP(F217,投产规格!E:E,投产规格!D:D,"未投产")</f>
        <v/>
      </c>
      <c r="L217" s="352">
        <f>IFERROR(_xlfn.XLOOKUP(F217,硫化工艺!B:B,硫化工艺!C:C),"")</f>
        <v/>
      </c>
      <c r="M217" s="430">
        <f>IF(L217="","",L217/(L217+$L$1/60))</f>
        <v/>
      </c>
      <c r="N217" s="352">
        <f>C217&amp;"全钢"</f>
        <v/>
      </c>
      <c r="O217" s="352">
        <f>IFERROR(_xlfn.XLOOKUP(F217,轮胎重量!J:J,轮胎重量!G:G),"")</f>
        <v/>
      </c>
      <c r="P217" s="352">
        <f>IFERROR(_xlfn.XLOOKUP(G217,硫化工艺!I:I,硫化工艺!J:J),"")</f>
        <v/>
      </c>
      <c r="Q217" s="352">
        <f>IFERROR(ROUND(1440/L217*(I217)*M217,0),"")</f>
        <v/>
      </c>
      <c r="R217" s="352" t="n">
        <v>60</v>
      </c>
      <c r="S217" s="352" t="n">
        <v>60</v>
      </c>
      <c r="T217" s="352" t="n">
        <v>60</v>
      </c>
      <c r="U217" s="352" t="n">
        <v>60</v>
      </c>
      <c r="V217" s="352" t="n">
        <v>60</v>
      </c>
      <c r="W217" s="352" t="n">
        <v>60</v>
      </c>
      <c r="X217" s="352" t="n">
        <v>60</v>
      </c>
      <c r="Y217" s="352" t="n"/>
      <c r="Z217" s="352" t="n"/>
      <c r="AA217" s="352" t="n"/>
      <c r="AB217" s="352" t="n"/>
      <c r="AC217" s="352" t="n"/>
      <c r="AD217" s="352" t="n"/>
      <c r="AE217" s="352" t="n"/>
      <c r="AF217" s="352" t="n"/>
      <c r="AG217" s="352" t="n"/>
      <c r="AH217" s="352" t="n"/>
      <c r="AI217" s="352" t="n"/>
      <c r="AJ217" s="352" t="n"/>
      <c r="AK217" s="352" t="n"/>
      <c r="AL217" s="352" t="n"/>
      <c r="AM217" s="352" t="n"/>
      <c r="AN217" s="352" t="n"/>
      <c r="AO217" s="352" t="n"/>
      <c r="AP217" s="352" t="n"/>
      <c r="AQ217" s="352" t="n"/>
      <c r="AR217" s="352" t="n"/>
      <c r="AS217" s="352" t="n"/>
      <c r="AT217" s="352" t="n"/>
      <c r="AU217" s="352" t="n"/>
      <c r="AV217" s="352" t="n"/>
      <c r="AW217" s="352">
        <f>IF(SUM(R217:AV217)=0,"",SUM(R217:AV217))</f>
        <v/>
      </c>
      <c r="AX217" s="431">
        <f>IFERROR(AW217*O217/1000,"")</f>
        <v/>
      </c>
      <c r="AY217" s="431">
        <f>IFERROR(ROUND(AW217*P217/10000,3),"")</f>
        <v/>
      </c>
      <c r="AZ217" s="354" t="n">
        <v>513.33</v>
      </c>
      <c r="BA217" s="355" t="n">
        <v>33.07</v>
      </c>
      <c r="BB217" s="355" t="n">
        <v>53.48</v>
      </c>
      <c r="BC217" s="355" t="n">
        <v>58.08</v>
      </c>
      <c r="BD217" s="331" t="n"/>
      <c r="BE217" s="331">
        <f>AZ217*AW217</f>
        <v/>
      </c>
      <c r="BF217" s="331">
        <f>BA217*AW217</f>
        <v/>
      </c>
      <c r="BG217" s="331">
        <f>BB217*AW217</f>
        <v/>
      </c>
      <c r="BH217" s="331">
        <f>BC217*AW217</f>
        <v/>
      </c>
      <c r="BI217" s="331" t="n"/>
      <c r="BJ217" s="356">
        <f t="array" ref="BJ217:BM217">_xlfn.LET(_xlpm.data,$R217:$AV217,_xlpm.starts,{1,8,16,23},_xlpm.lengths,{7,7,8,9},_xlpm.arr,_xlfn.MAP(_xlpm.starts,_xlpm.lengths,_xlfn.LAMBDA(_xlpm.s,_xlpm.l,SUM(INDEX(_xlpm.data,,_xlfn.SEQUENCE(,_xlpm.l,_xlpm.s))))),ROUND(_xlpm.arr*$O217/1000,2))</f>
        <v/>
      </c>
      <c r="BK217" s="331" t="n">
        <v>0</v>
      </c>
      <c r="BL217" s="331" t="n">
        <v>0</v>
      </c>
      <c r="BM217" s="331" t="n">
        <v>0</v>
      </c>
      <c r="BN217" s="362">
        <f>SUM(BJ217:BM217)</f>
        <v/>
      </c>
      <c r="BO217" s="362" t="n">
        <v>22.58</v>
      </c>
      <c r="BP217" s="362" t="n">
        <v>22.58</v>
      </c>
      <c r="BQ217" s="362" t="n">
        <v>3.23</v>
      </c>
      <c r="BR217" s="362" t="n">
        <v>0</v>
      </c>
      <c r="BS217" s="115" t="n"/>
      <c r="BT217" s="362">
        <f t="array" ref="BT217:BW217">_xlfn.HSTACK(SUM(INDEX($R217:$AV217,1,1):INDEX($R217:$AV217,1,7)),SUM(INDEX($R217:$AV217,1,7):INDEX($R217:$AV217,1,13)),SUM(INDEX($R217:$AV217,1,16):INDEX($R217:$AV217,1,23)),SUM(INDEX($R217:$AV217,1,23):INDEX($R217:$AV217,1,31)))</f>
        <v/>
      </c>
      <c r="BU217" s="362" t="n">
        <v>60</v>
      </c>
      <c r="BV217" s="362" t="n">
        <v>0</v>
      </c>
      <c r="BW217" s="362" t="n">
        <v>0</v>
      </c>
      <c r="BY217" s="362">
        <f>SUM(R217:X217)</f>
        <v/>
      </c>
      <c r="BZ217" s="362">
        <f>SUM(Y217:AE217)</f>
        <v/>
      </c>
      <c r="CA217" s="362">
        <f>SUM(AF217:AM217)</f>
        <v/>
      </c>
      <c r="CB217" s="362">
        <f>SUM(AN217:AV217)</f>
        <v/>
      </c>
      <c r="CD217" s="432" t="inlineStr">
        <is>
          <t>ADA</t>
        </is>
      </c>
      <c r="CE217" s="362">
        <f>ROUND(BY217*$O217/1000,2)</f>
        <v/>
      </c>
      <c r="CF217" s="362">
        <f>ROUND(BZ217*$O217/1000,2)</f>
        <v/>
      </c>
      <c r="CG217" s="362">
        <f>ROUND(CA217*$O217/1000,2)</f>
        <v/>
      </c>
      <c r="CH217" s="362">
        <f>ROUND(CB217*$O217/1000,2)</f>
        <v/>
      </c>
      <c r="CI217" s="362">
        <f>SUM(CE217:CH217)</f>
        <v/>
      </c>
      <c r="CJ217" s="390" t="n"/>
      <c r="CK217" s="362">
        <f>IFERROR(ROUND(BY217*$P217,2),"")</f>
        <v/>
      </c>
      <c r="CL217" s="362">
        <f>IFERROR(ROUND(BZ217*$P217,2),"")</f>
        <v/>
      </c>
      <c r="CM217" s="362">
        <f>IFERROR(ROUND(CA217*$P217,2),"")</f>
        <v/>
      </c>
      <c r="CN217" s="362">
        <f>IFERROR(ROUND(CB217*$P217,2),"")</f>
        <v/>
      </c>
      <c r="CO217" s="362">
        <f>SUM(CK217:CN217)</f>
        <v/>
      </c>
    </row>
    <row r="218" ht="15.6" customHeight="1" s="428">
      <c r="B218" s="344">
        <f>_xlfn.XLOOKUP(G218,销售需求表!A:A,销售需求表!C:C)</f>
        <v/>
      </c>
      <c r="C218" s="345">
        <f>IFERROR(MID(F218,FIND("R",F218)+1,4),"")</f>
        <v/>
      </c>
      <c r="D218" s="365">
        <f>B218&amp;C218&amp;"寸"</f>
        <v/>
      </c>
      <c r="E218" s="346">
        <f>LEFT(REPLACE(G218,1,2,""),FIND("[",REPLACE(G218,1,2,""))-1)&amp;"-"&amp;MID(REPLACE(G218,1,2,""),FIND("[",REPLACE(G218,1,2,""))+1,FIND("]",REPLACE(G218,1,2,""))-FIND("[",REPLACE(G218,1,2,""))-1)</f>
        <v/>
      </c>
      <c r="F218" s="347">
        <f>IFERROR(MID(G218,3,FIND("(",G218)-3)&amp;"-"&amp;SUBSTITUTE(MID(G218,FIND("[",G218)+1,FIND("]",G218)-FIND("[",G218)-1),"Strong Guard ",""),"")</f>
        <v/>
      </c>
      <c r="G218" s="366" t="inlineStr">
        <is>
          <t>ID12R22.5-18PR(152/149F)[EZ870]雅度无内</t>
        </is>
      </c>
      <c r="H218" s="344" t="n">
        <v>450</v>
      </c>
      <c r="I218" s="348" t="n"/>
      <c r="J218" s="349">
        <f>IFERROR(LEFT(F218,FIND("-",F218))&amp;MID(F218,FIND("PR",F218,FIND("-",F218))+3,LEN(F218)),F218)</f>
        <v/>
      </c>
      <c r="K218" s="352">
        <f>_xlfn.XLOOKUP(F218,投产规格!E:E,投产规格!D:D,"未投产")</f>
        <v/>
      </c>
      <c r="L218" s="352">
        <f>IFERROR(_xlfn.XLOOKUP(F218,硫化工艺!B:B,硫化工艺!C:C),"")</f>
        <v/>
      </c>
      <c r="M218" s="430">
        <f>IF(L218="","",L218/(L218+$L$1/60))</f>
        <v/>
      </c>
      <c r="N218" s="352">
        <f>C218&amp;"全钢"</f>
        <v/>
      </c>
      <c r="O218" s="352">
        <f>IFERROR(_xlfn.XLOOKUP(F218,轮胎重量!J:J,轮胎重量!G:G),"")</f>
        <v/>
      </c>
      <c r="P218" s="352">
        <f>IFERROR(_xlfn.XLOOKUP(G218,硫化工艺!I:I,硫化工艺!J:J),"")</f>
        <v/>
      </c>
      <c r="Q218" s="352">
        <f>IFERROR(ROUND(1440/L218*(I218)*M218,0),"")</f>
        <v/>
      </c>
      <c r="R218" s="352" t="n"/>
      <c r="S218" s="352" t="n"/>
      <c r="T218" s="352" t="n"/>
      <c r="U218" s="352" t="n"/>
      <c r="V218" s="352" t="n"/>
      <c r="W218" s="352" t="n"/>
      <c r="X218" s="352" t="n"/>
      <c r="Y218" s="352" t="n">
        <v>50</v>
      </c>
      <c r="Z218" s="352" t="n">
        <v>50</v>
      </c>
      <c r="AA218" s="352" t="n">
        <v>50</v>
      </c>
      <c r="AB218" s="352" t="n">
        <v>50</v>
      </c>
      <c r="AC218" s="352" t="n">
        <v>50</v>
      </c>
      <c r="AD218" s="352" t="n">
        <v>50</v>
      </c>
      <c r="AE218" s="352" t="n">
        <v>50</v>
      </c>
      <c r="AF218" s="352" t="n">
        <v>50</v>
      </c>
      <c r="AG218" s="352" t="n">
        <v>50</v>
      </c>
      <c r="AH218" s="352" t="n">
        <v>50</v>
      </c>
      <c r="AI218" s="352" t="n">
        <v>50</v>
      </c>
      <c r="AJ218" s="352" t="n"/>
      <c r="AK218" s="352" t="n"/>
      <c r="AL218" s="352" t="n"/>
      <c r="AM218" s="352" t="n"/>
      <c r="AN218" s="352" t="n"/>
      <c r="AO218" s="352" t="n"/>
      <c r="AP218" s="352" t="n"/>
      <c r="AQ218" s="352" t="n"/>
      <c r="AR218" s="352" t="n"/>
      <c r="AS218" s="352" t="n"/>
      <c r="AT218" s="352" t="n"/>
      <c r="AU218" s="352" t="n"/>
      <c r="AV218" s="352" t="n"/>
      <c r="AW218" s="352">
        <f>IF(SUM(R218:AV218)=0,"",SUM(R218:AV218))</f>
        <v/>
      </c>
      <c r="AX218" s="431">
        <f>IFERROR(AW218*O218/1000,"")</f>
        <v/>
      </c>
      <c r="AY218" s="431">
        <f>IFERROR(ROUND(AW218*P218/10000,3),"")</f>
        <v/>
      </c>
      <c r="AZ218" s="354" t="n">
        <v>513.33</v>
      </c>
      <c r="BA218" s="355" t="n">
        <v>33.07</v>
      </c>
      <c r="BB218" s="355" t="n">
        <v>53.48</v>
      </c>
      <c r="BC218" s="355" t="n">
        <v>58.08</v>
      </c>
      <c r="BE218" s="331">
        <f>AZ218*AW218</f>
        <v/>
      </c>
      <c r="BF218" s="331">
        <f>BA218*AW218</f>
        <v/>
      </c>
      <c r="BG218" s="331">
        <f>BB218*AW218</f>
        <v/>
      </c>
      <c r="BH218" s="331">
        <f>BC218*AW218</f>
        <v/>
      </c>
      <c r="BJ218" s="356">
        <f t="array" ref="BJ218:BM218">_xlfn.LET(_xlpm.data,$R218:$AV218,_xlpm.starts,{1,8,16,23},_xlpm.lengths,{7,7,8,9},_xlpm.arr,_xlfn.MAP(_xlpm.starts,_xlpm.lengths,_xlfn.LAMBDA(_xlpm.s,_xlpm.l,SUM(INDEX(_xlpm.data,,_xlfn.SEQUENCE(,_xlpm.l,_xlpm.s))))),ROUND(_xlpm.arr*$O218/1000,2))</f>
        <v/>
      </c>
      <c r="BK218" s="331" t="n">
        <v>26.16</v>
      </c>
      <c r="BL218" s="331" t="n">
        <v>11.21</v>
      </c>
      <c r="BM218" s="331" t="n">
        <v>0</v>
      </c>
      <c r="BN218" s="362">
        <f>SUM(BJ218:BM218)</f>
        <v/>
      </c>
      <c r="BO218" s="362" t="n">
        <v>0</v>
      </c>
      <c r="BP218" s="362" t="n">
        <v>0</v>
      </c>
      <c r="BQ218" s="362" t="n">
        <v>22.53</v>
      </c>
      <c r="BR218" s="362" t="n">
        <v>28.97</v>
      </c>
      <c r="BT218" s="362">
        <f t="array" ref="BT218:BW218">_xlfn.HSTACK(SUM(INDEX($R218:$AV218,1,1):INDEX($R218:$AV218,1,7)),SUM(INDEX($R218:$AV218,1,7):INDEX($R218:$AV218,1,13)),SUM(INDEX($R218:$AV218,1,16):INDEX($R218:$AV218,1,23)),SUM(INDEX($R218:$AV218,1,23):INDEX($R218:$AV218,1,31)))</f>
        <v/>
      </c>
      <c r="BU218" s="362" t="n">
        <v>300</v>
      </c>
      <c r="BV218" s="362" t="n">
        <v>150</v>
      </c>
      <c r="BW218" s="362" t="n">
        <v>0</v>
      </c>
      <c r="BY218" s="362">
        <f>SUM(R218:X218)</f>
        <v/>
      </c>
      <c r="BZ218" s="362">
        <f>SUM(Y218:AE218)</f>
        <v/>
      </c>
      <c r="CA218" s="362">
        <f>SUM(AF218:AM218)</f>
        <v/>
      </c>
      <c r="CB218" s="362">
        <f>SUM(AN218:AV218)</f>
        <v/>
      </c>
      <c r="CD218" s="432" t="inlineStr">
        <is>
          <t>ADA</t>
        </is>
      </c>
      <c r="CE218" s="362">
        <f>ROUND(BY218*$O218/1000,2)</f>
        <v/>
      </c>
      <c r="CF218" s="362">
        <f>ROUND(BZ218*$O218/1000,2)</f>
        <v/>
      </c>
      <c r="CG218" s="362">
        <f>ROUND(CA218*$O218/1000,2)</f>
        <v/>
      </c>
      <c r="CH218" s="362">
        <f>ROUND(CB218*$O218/1000,2)</f>
        <v/>
      </c>
      <c r="CI218" s="362">
        <f>SUM(CE218:CH218)</f>
        <v/>
      </c>
      <c r="CK218" s="362">
        <f>IFERROR(ROUND(BY218*$P218,2),"")</f>
        <v/>
      </c>
      <c r="CL218" s="362">
        <f>IFERROR(ROUND(BZ218*$P218,2),"")</f>
        <v/>
      </c>
      <c r="CM218" s="362">
        <f>IFERROR(ROUND(CA218*$P218,2),"")</f>
        <v/>
      </c>
      <c r="CN218" s="362">
        <f>IFERROR(ROUND(CB218*$P218,2),"")</f>
        <v/>
      </c>
      <c r="CO218" s="362">
        <f>SUM(CK218:CN218)</f>
        <v/>
      </c>
    </row>
    <row r="219" ht="15.6" customHeight="1" s="428">
      <c r="B219" s="344">
        <f>_xlfn.XLOOKUP(G219,销售需求表!A:A,销售需求表!C:C)</f>
        <v/>
      </c>
      <c r="C219" s="345">
        <f>IFERROR(MID(F219,FIND("R",F219)+1,4),"")</f>
        <v/>
      </c>
      <c r="D219" s="368">
        <f>B219&amp;C219&amp;"寸"</f>
        <v/>
      </c>
      <c r="E219" s="346">
        <f>LEFT(REPLACE(G219,1,2,""),FIND("[",REPLACE(G219,1,2,""))-1)&amp;"-"&amp;MID(REPLACE(G219,1,2,""),FIND("[",REPLACE(G219,1,2,""))+1,FIND("]",REPLACE(G219,1,2,""))-FIND("[",REPLACE(G219,1,2,""))-1)</f>
        <v/>
      </c>
      <c r="F219" s="347">
        <f>IFERROR(MID(G219,3,FIND("(",G219)-3)&amp;"-"&amp;SUBSTITUTE(MID(G219,FIND("[",G219)+1,FIND("]",G219)-FIND("[",G219)-1),"Strong Guard ",""),"")</f>
        <v/>
      </c>
      <c r="G219" s="366" t="inlineStr">
        <is>
          <t>ID12R22.5-18PR(152/149K)[EZ867]雅度无内</t>
        </is>
      </c>
      <c r="H219" s="344" t="n">
        <v>200</v>
      </c>
      <c r="I219" s="348" t="n"/>
      <c r="J219" s="349">
        <f>IFERROR(LEFT(F219,FIND("-",F219))&amp;MID(F219,FIND("PR",F219,FIND("-",F219))+3,LEN(F219)),F219)</f>
        <v/>
      </c>
      <c r="K219" s="352">
        <f>_xlfn.XLOOKUP(F219,投产规格!E:E,投产规格!D:D,"未投产")</f>
        <v/>
      </c>
      <c r="L219" s="352">
        <f>IFERROR(_xlfn.XLOOKUP(F219,硫化工艺!B:B,硫化工艺!C:C),"")</f>
        <v/>
      </c>
      <c r="M219" s="430">
        <f>IF(L219="","",L219/(L219+$L$1/60))</f>
        <v/>
      </c>
      <c r="N219" s="352">
        <f>C219&amp;"全钢"</f>
        <v/>
      </c>
      <c r="O219" s="352">
        <f>IFERROR(_xlfn.XLOOKUP(F219,轮胎重量!J:J,轮胎重量!G:G),"")</f>
        <v/>
      </c>
      <c r="P219" s="352">
        <f>IFERROR(_xlfn.XLOOKUP(G219,硫化工艺!I:I,硫化工艺!J:J),"")</f>
        <v/>
      </c>
      <c r="Q219" s="352">
        <f>IFERROR(ROUND(1440/L219*(I219)*M219,0),"")</f>
        <v/>
      </c>
      <c r="R219" s="352" t="n"/>
      <c r="S219" s="352" t="n"/>
      <c r="T219" s="352" t="n"/>
      <c r="U219" s="352" t="n"/>
      <c r="V219" s="352" t="n"/>
      <c r="W219" s="352" t="n"/>
      <c r="X219" s="352" t="n"/>
      <c r="Y219" s="352" t="n"/>
      <c r="Z219" s="352" t="n"/>
      <c r="AA219" s="352" t="n"/>
      <c r="AB219" s="352" t="n"/>
      <c r="AC219" s="352" t="n"/>
      <c r="AD219" s="352" t="n"/>
      <c r="AE219" s="352" t="n"/>
      <c r="AF219" s="352" t="n"/>
      <c r="AG219" s="352" t="n"/>
      <c r="AH219" s="352" t="n"/>
      <c r="AI219" s="352" t="n"/>
      <c r="AJ219" s="352" t="n">
        <v>50</v>
      </c>
      <c r="AK219" s="352" t="n">
        <v>50</v>
      </c>
      <c r="AL219" s="352" t="n">
        <v>50</v>
      </c>
      <c r="AM219" s="352" t="n">
        <v>50</v>
      </c>
      <c r="AN219" s="352" t="n">
        <v>50</v>
      </c>
      <c r="AO219" s="352" t="n">
        <v>50</v>
      </c>
      <c r="AP219" s="352" t="n"/>
      <c r="AQ219" s="352" t="n"/>
      <c r="AR219" s="352" t="n"/>
      <c r="AS219" s="352" t="n"/>
      <c r="AT219" s="352" t="n"/>
      <c r="AU219" s="352" t="n"/>
      <c r="AV219" s="352" t="n"/>
      <c r="AW219" s="352">
        <f>IF(SUM(R219:AV219)=0,"",SUM(R219:AV219))</f>
        <v/>
      </c>
      <c r="AX219" s="431">
        <f>IFERROR(AW219*O219/1000,"")</f>
        <v/>
      </c>
      <c r="AY219" s="431">
        <f>IFERROR(ROUND(AW219*P219/10000,3),"")</f>
        <v/>
      </c>
      <c r="AZ219" s="359" t="n"/>
      <c r="BE219" s="331">
        <f>AZ219*AW219</f>
        <v/>
      </c>
      <c r="BF219" s="331">
        <f>BA219*AW219</f>
        <v/>
      </c>
      <c r="BG219" s="331">
        <f>BB219*AW219</f>
        <v/>
      </c>
      <c r="BH219" s="331">
        <f>BC219*AW219</f>
        <v/>
      </c>
      <c r="BJ219" s="356">
        <f t="array" ref="BJ219:BM219">_xlfn.LET(_xlpm.data,$R219:$AV219,_xlpm.starts,{1,8,16,23},_xlpm.lengths,{7,7,8,9},_xlpm.arr,_xlfn.MAP(_xlpm.starts,_xlpm.lengths,_xlfn.LAMBDA(_xlpm.s,_xlpm.l,SUM(INDEX(_xlpm.data,,_xlfn.SEQUENCE(,_xlpm.l,_xlpm.s))))),ROUND(_xlpm.arr*$O219/1000,2))</f>
        <v/>
      </c>
      <c r="BK219" s="331" t="n">
        <v>0</v>
      </c>
      <c r="BL219" s="331" t="n">
        <v>17.66</v>
      </c>
      <c r="BM219" s="331" t="n">
        <v>7.07</v>
      </c>
      <c r="BN219" s="362">
        <f>SUM(BJ219:BM219)</f>
        <v/>
      </c>
      <c r="BO219" s="362" t="n">
        <v>0</v>
      </c>
      <c r="BP219" s="362" t="n">
        <v>0</v>
      </c>
      <c r="BQ219" s="362" t="n">
        <v>11.13</v>
      </c>
      <c r="BR219" s="362" t="n">
        <v>25.04</v>
      </c>
      <c r="BT219" s="362">
        <f t="array" ref="BT219:BW219">_xlfn.HSTACK(SUM(INDEX($R219:$AV219,1,1):INDEX($R219:$AV219,1,7)),SUM(INDEX($R219:$AV219,1,7):INDEX($R219:$AV219,1,13)),SUM(INDEX($R219:$AV219,1,16):INDEX($R219:$AV219,1,23)),SUM(INDEX($R219:$AV219,1,23):INDEX($R219:$AV219,1,31)))</f>
        <v/>
      </c>
      <c r="BU219" s="362" t="n">
        <v>0</v>
      </c>
      <c r="BV219" s="362" t="n">
        <v>250</v>
      </c>
      <c r="BW219" s="362" t="n">
        <v>100</v>
      </c>
      <c r="BY219" s="362">
        <f>SUM(R219:X219)</f>
        <v/>
      </c>
      <c r="BZ219" s="362">
        <f>SUM(Y219:AE219)</f>
        <v/>
      </c>
      <c r="CA219" s="362">
        <f>SUM(AF219:AM219)</f>
        <v/>
      </c>
      <c r="CB219" s="362">
        <f>SUM(AN219:AV219)</f>
        <v/>
      </c>
      <c r="CD219" s="432" t="inlineStr">
        <is>
          <t>ADA</t>
        </is>
      </c>
      <c r="CE219" s="362">
        <f>ROUND(BY219*$O219/1000,2)</f>
        <v/>
      </c>
      <c r="CF219" s="362">
        <f>ROUND(BZ219*$O219/1000,2)</f>
        <v/>
      </c>
      <c r="CG219" s="362">
        <f>ROUND(CA219*$O219/1000,2)</f>
        <v/>
      </c>
      <c r="CH219" s="362">
        <f>ROUND(CB219*$O219/1000,2)</f>
        <v/>
      </c>
      <c r="CI219" s="362">
        <f>SUM(CE219:CH219)</f>
        <v/>
      </c>
      <c r="CK219" s="362">
        <f>IFERROR(ROUND(BY219*$P219,2),"")</f>
        <v/>
      </c>
      <c r="CL219" s="362">
        <f>IFERROR(ROUND(BZ219*$P219,2),"")</f>
        <v/>
      </c>
      <c r="CM219" s="362">
        <f>IFERROR(ROUND(CA219*$P219,2),"")</f>
        <v/>
      </c>
      <c r="CN219" s="362">
        <f>IFERROR(ROUND(CB219*$P219,2),"")</f>
        <v/>
      </c>
      <c r="CO219" s="362">
        <f>SUM(CK219:CN219)</f>
        <v/>
      </c>
    </row>
    <row r="220" ht="15.6" customHeight="1" s="428">
      <c r="B220" s="344">
        <f>_xlfn.XLOOKUP(G220,销售需求表!A:A,销售需求表!C:C)</f>
        <v/>
      </c>
      <c r="C220" s="345">
        <f>IFERROR(MID(F220,FIND("R",F220)+1,4),"")</f>
        <v/>
      </c>
      <c r="D220" s="368">
        <f>B220&amp;C220&amp;"寸"</f>
        <v/>
      </c>
      <c r="E220" s="346">
        <f>LEFT(REPLACE(G220,1,2,""),FIND("[",REPLACE(G220,1,2,""))-1)&amp;"-"&amp;MID(REPLACE(G220,1,2,""),FIND("[",REPLACE(G220,1,2,""))+1,FIND("]",REPLACE(G220,1,2,""))-FIND("[",REPLACE(G220,1,2,""))-1)</f>
        <v/>
      </c>
      <c r="F220" s="347">
        <f>IFERROR(MID(G220,3,FIND("(",G220)-3)&amp;"-"&amp;SUBSTITUTE(MID(G220,FIND("[",G220)+1,FIND("]",G220)-FIND("[",G220)-1),"Strong Guard ",""),"")</f>
        <v/>
      </c>
      <c r="G220" s="366" t="inlineStr">
        <is>
          <t>ID12R22.5-18PR(152/149L)[I-181]IRONMAN无内</t>
        </is>
      </c>
      <c r="H220" s="344" t="n">
        <v>280</v>
      </c>
      <c r="I220" s="348" t="n"/>
      <c r="J220" s="349">
        <f>IFERROR(LEFT(F220,FIND("-",F220))&amp;MID(F220,FIND("PR",F220,FIND("-",F220))+3,LEN(F220)),F220)</f>
        <v/>
      </c>
      <c r="K220" s="352">
        <f>_xlfn.XLOOKUP(F220,投产规格!E:E,投产规格!D:D,"未投产")</f>
        <v/>
      </c>
      <c r="L220" s="352">
        <f>IFERROR(_xlfn.XLOOKUP(F220,硫化工艺!B:B,硫化工艺!C:C),"")</f>
        <v/>
      </c>
      <c r="M220" s="430">
        <f>IF(L220="","",L220/(L220+$L$1/60))</f>
        <v/>
      </c>
      <c r="N220" s="352">
        <f>C220&amp;"全钢"</f>
        <v/>
      </c>
      <c r="O220" s="352">
        <f>IFERROR(_xlfn.XLOOKUP(F220,轮胎重量!J:J,轮胎重量!G:G),"")</f>
        <v/>
      </c>
      <c r="P220" s="352">
        <f>IFERROR(_xlfn.XLOOKUP(G220,硫化工艺!I:I,硫化工艺!J:J),"")</f>
        <v/>
      </c>
      <c r="Q220" s="352">
        <f>IFERROR(ROUND(1440/L220*(I220)*M220,0),"")</f>
        <v/>
      </c>
      <c r="R220" s="352" t="n"/>
      <c r="S220" s="352" t="n"/>
      <c r="T220" s="352" t="n"/>
      <c r="U220" s="352" t="n"/>
      <c r="V220" s="352" t="n"/>
      <c r="W220" s="352" t="n"/>
      <c r="X220" s="352" t="n"/>
      <c r="Y220" s="352" t="n"/>
      <c r="Z220" s="352" t="n"/>
      <c r="AA220" s="352" t="n"/>
      <c r="AB220" s="352" t="n"/>
      <c r="AC220" s="352" t="n"/>
      <c r="AD220" s="352" t="n"/>
      <c r="AE220" s="352" t="n"/>
      <c r="AF220" s="352" t="n"/>
      <c r="AG220" s="352" t="n"/>
      <c r="AH220" s="352" t="n"/>
      <c r="AI220" s="352" t="n"/>
      <c r="AJ220" s="352" t="n"/>
      <c r="AK220" s="352" t="n"/>
      <c r="AL220" s="352" t="n"/>
      <c r="AM220" s="352" t="n"/>
      <c r="AN220" s="352" t="n"/>
      <c r="AO220" s="352" t="n"/>
      <c r="AP220" s="352" t="n">
        <v>50</v>
      </c>
      <c r="AQ220" s="352" t="n">
        <v>50</v>
      </c>
      <c r="AR220" s="352" t="n">
        <v>50</v>
      </c>
      <c r="AS220" s="352" t="n">
        <v>50</v>
      </c>
      <c r="AT220" s="352" t="n">
        <v>50</v>
      </c>
      <c r="AU220" s="352" t="n">
        <v>50</v>
      </c>
      <c r="AV220" s="352" t="n">
        <v>50</v>
      </c>
      <c r="AW220" s="352">
        <f>IF(SUM(R220:AV220)=0,"",SUM(R220:AV220))</f>
        <v/>
      </c>
      <c r="AX220" s="431">
        <f>IFERROR(AW220*O220/1000,"")</f>
        <v/>
      </c>
      <c r="AY220" s="431">
        <f>IFERROR(ROUND(AW220*P220/10000,3),"")</f>
        <v/>
      </c>
      <c r="AZ220" s="359" t="n"/>
      <c r="BE220" s="331">
        <f>AZ220*AW220</f>
        <v/>
      </c>
      <c r="BF220" s="331">
        <f>BA220*AW220</f>
        <v/>
      </c>
      <c r="BG220" s="331">
        <f>BB220*AW220</f>
        <v/>
      </c>
      <c r="BH220" s="331">
        <f>BC220*AW220</f>
        <v/>
      </c>
      <c r="BJ220" s="356">
        <f t="array" ref="BJ220:BM220">_xlfn.LET(_xlpm.data,$R220:$AV220,_xlpm.starts,{1,8,16,23},_xlpm.lengths,{7,7,8,9},_xlpm.arr,_xlfn.MAP(_xlpm.starts,_xlpm.lengths,_xlfn.LAMBDA(_xlpm.s,_xlpm.l,SUM(INDEX(_xlpm.data,,_xlfn.SEQUENCE(,_xlpm.l,_xlpm.s))))),ROUND(_xlpm.arr*$O220/1000,2))</f>
        <v/>
      </c>
      <c r="BK220" s="331" t="n">
        <v>0</v>
      </c>
      <c r="BL220" s="331" t="n">
        <v>0</v>
      </c>
      <c r="BM220" s="331" t="n">
        <v>21.54</v>
      </c>
      <c r="BN220" s="362">
        <f>SUM(BJ220:BM220)</f>
        <v/>
      </c>
      <c r="BO220" s="362" t="n">
        <v>0</v>
      </c>
      <c r="BP220" s="362" t="n">
        <v>0</v>
      </c>
      <c r="BQ220" s="362" t="n">
        <v>11.13</v>
      </c>
      <c r="BR220" s="362" t="n">
        <v>25.04</v>
      </c>
      <c r="BT220" s="362">
        <f t="array" ref="BT220:BW220">_xlfn.HSTACK(SUM(INDEX($R220:$AV220,1,1):INDEX($R220:$AV220,1,7)),SUM(INDEX($R220:$AV220,1,7):INDEX($R220:$AV220,1,13)),SUM(INDEX($R220:$AV220,1,16):INDEX($R220:$AV220,1,23)),SUM(INDEX($R220:$AV220,1,23):INDEX($R220:$AV220,1,31)))</f>
        <v/>
      </c>
      <c r="BU220" s="362" t="n">
        <v>0</v>
      </c>
      <c r="BV220" s="362" t="n">
        <v>0</v>
      </c>
      <c r="BW220" s="362" t="n">
        <v>350</v>
      </c>
      <c r="BY220" s="362">
        <f>SUM(R220:X220)</f>
        <v/>
      </c>
      <c r="BZ220" s="362">
        <f>SUM(Y220:AE220)</f>
        <v/>
      </c>
      <c r="CA220" s="362">
        <f>SUM(AF220:AM220)</f>
        <v/>
      </c>
      <c r="CB220" s="362">
        <f>SUM(AN220:AV220)</f>
        <v/>
      </c>
      <c r="CD220" s="432" t="inlineStr">
        <is>
          <t>ADA</t>
        </is>
      </c>
      <c r="CE220" s="362">
        <f>ROUND(BY220*$O220/1000,2)</f>
        <v/>
      </c>
      <c r="CF220" s="362">
        <f>ROUND(BZ220*$O220/1000,2)</f>
        <v/>
      </c>
      <c r="CG220" s="362">
        <f>ROUND(CA220*$O220/1000,2)</f>
        <v/>
      </c>
      <c r="CH220" s="362">
        <f>ROUND(CB220*$O220/1000,2)</f>
        <v/>
      </c>
      <c r="CI220" s="362">
        <f>SUM(CE220:CH220)</f>
        <v/>
      </c>
      <c r="CK220" s="362">
        <f>IFERROR(ROUND(BY220*$P220,2),"")</f>
        <v/>
      </c>
      <c r="CL220" s="362">
        <f>IFERROR(ROUND(BZ220*$P220,2),"")</f>
        <v/>
      </c>
      <c r="CM220" s="362">
        <f>IFERROR(ROUND(CA220*$P220,2),"")</f>
        <v/>
      </c>
      <c r="CN220" s="362">
        <f>IFERROR(ROUND(CB220*$P220,2),"")</f>
        <v/>
      </c>
      <c r="CO220" s="362">
        <f>SUM(CK220:CN220)</f>
        <v/>
      </c>
    </row>
    <row r="221" ht="15.6" customHeight="1" s="428">
      <c r="B221" s="344">
        <f>_xlfn.XLOOKUP(G221,销售需求表!A:A,销售需求表!C:C)</f>
        <v/>
      </c>
      <c r="C221" s="345">
        <f>IFERROR(MID(F221,FIND("R",F221)+1,4),"")</f>
        <v/>
      </c>
      <c r="D221" s="368">
        <f>B221&amp;C221&amp;"寸"</f>
        <v/>
      </c>
      <c r="E221" s="346">
        <f>LEFT(REPLACE(G221,1,2,""),FIND("[",REPLACE(G221,1,2,""))-1)&amp;"-"&amp;MID(REPLACE(G221,1,2,""),FIND("[",REPLACE(G221,1,2,""))+1,FIND("]",REPLACE(G221,1,2,""))-FIND("[",REPLACE(G221,1,2,""))-1)</f>
        <v/>
      </c>
      <c r="F221" s="347">
        <f>IFERROR(MID(G221,3,FIND("(",G221)-3)&amp;"-"&amp;SUBSTITUTE(MID(G221,FIND("[",G221)+1,FIND("]",G221)-FIND("[",G221)-1),"Strong Guard ",""),"")</f>
        <v/>
      </c>
      <c r="G221" s="366" t="inlineStr">
        <is>
          <t>ID12R22.5-20PR(154/151K)[EZ867]雅度无内</t>
        </is>
      </c>
      <c r="H221" s="344" t="n">
        <v>300</v>
      </c>
      <c r="I221" s="348" t="n"/>
      <c r="J221" s="349">
        <f>IFERROR(LEFT(F221,FIND("-",F221))&amp;MID(F221,FIND("PR",F221,FIND("-",F221))+3,LEN(F221)),F221)</f>
        <v/>
      </c>
      <c r="K221" s="352">
        <f>_xlfn.XLOOKUP(F221,投产规格!E:E,投产规格!D:D,"未投产")</f>
        <v/>
      </c>
      <c r="L221" s="352">
        <f>IFERROR(_xlfn.XLOOKUP(F221,硫化工艺!B:B,硫化工艺!C:C),"")</f>
        <v/>
      </c>
      <c r="M221" s="430">
        <f>IF(L221="","",L221/(L221+$L$1/60))</f>
        <v/>
      </c>
      <c r="N221" s="352">
        <f>C221&amp;"全钢"</f>
        <v/>
      </c>
      <c r="O221" s="352">
        <f>IFERROR(_xlfn.XLOOKUP(F221,轮胎重量!J:J,轮胎重量!G:G),"")</f>
        <v/>
      </c>
      <c r="P221" s="352">
        <f>IFERROR(_xlfn.XLOOKUP(G221,硫化工艺!I:I,硫化工艺!J:J),"")</f>
        <v/>
      </c>
      <c r="Q221" s="352">
        <f>IFERROR(ROUND(1440/L221*(I221)*M221,0),"")</f>
        <v/>
      </c>
      <c r="R221" s="352" t="n"/>
      <c r="S221" s="352" t="n"/>
      <c r="T221" s="352" t="n"/>
      <c r="U221" s="352" t="n"/>
      <c r="V221" s="352" t="n"/>
      <c r="W221" s="352" t="n"/>
      <c r="X221" s="352" t="n"/>
      <c r="Y221" s="352" t="n"/>
      <c r="Z221" s="352" t="n"/>
      <c r="AA221" s="352" t="n"/>
      <c r="AB221" s="352" t="n"/>
      <c r="AC221" s="352" t="n"/>
      <c r="AD221" s="352" t="n"/>
      <c r="AE221" s="352" t="n"/>
      <c r="AF221" s="352" t="n"/>
      <c r="AG221" s="352" t="n"/>
      <c r="AH221" s="352" t="n"/>
      <c r="AI221" s="352" t="n"/>
      <c r="AJ221" s="352" t="n"/>
      <c r="AK221" s="352" t="n"/>
      <c r="AL221" s="352" t="n"/>
      <c r="AM221" s="352" t="n"/>
      <c r="AN221" s="352" t="n"/>
      <c r="AO221" s="352" t="n"/>
      <c r="AP221" s="352" t="n">
        <v>50</v>
      </c>
      <c r="AQ221" s="352" t="n">
        <v>50</v>
      </c>
      <c r="AR221" s="352" t="n">
        <v>50</v>
      </c>
      <c r="AS221" s="352" t="n">
        <v>50</v>
      </c>
      <c r="AT221" s="352" t="n">
        <v>50</v>
      </c>
      <c r="AU221" s="352" t="n">
        <v>50</v>
      </c>
      <c r="AV221" s="352" t="n">
        <v>50</v>
      </c>
      <c r="AW221" s="352">
        <f>IF(SUM(R221:AV221)=0,"",SUM(R221:AV221))</f>
        <v/>
      </c>
      <c r="AX221" s="431">
        <f>IFERROR(AW221*O221/1000,"")</f>
        <v/>
      </c>
      <c r="AY221" s="431">
        <f>IFERROR(ROUND(AW221*P221/10000,3),"")</f>
        <v/>
      </c>
      <c r="AZ221" s="359" t="n"/>
      <c r="BE221" s="331">
        <f>AZ221*AW221</f>
        <v/>
      </c>
      <c r="BF221" s="331">
        <f>BA221*AW221</f>
        <v/>
      </c>
      <c r="BG221" s="331">
        <f>BB221*AW221</f>
        <v/>
      </c>
      <c r="BH221" s="331">
        <f>BC221*AW221</f>
        <v/>
      </c>
      <c r="BJ221" s="356">
        <f t="array" ref="BJ221:BM221">_xlfn.LET(_xlpm.data,$R221:$AV221,_xlpm.starts,{1,8,16,23},_xlpm.lengths,{7,7,8,9},_xlpm.arr,_xlfn.MAP(_xlpm.starts,_xlpm.lengths,_xlfn.LAMBDA(_xlpm.s,_xlpm.l,SUM(INDEX(_xlpm.data,,_xlfn.SEQUENCE(,_xlpm.l,_xlpm.s))))),ROUND(_xlpm.arr*$O221/1000,2))</f>
        <v/>
      </c>
      <c r="BK221" s="331" t="n">
        <v>0</v>
      </c>
      <c r="BL221" s="331" t="n">
        <v>0</v>
      </c>
      <c r="BM221" s="331" t="n">
        <v>24.73</v>
      </c>
      <c r="BN221" s="362">
        <f>SUM(BJ221:BM221)</f>
        <v/>
      </c>
      <c r="BO221" s="362" t="n">
        <v>0</v>
      </c>
      <c r="BP221" s="362" t="n">
        <v>0</v>
      </c>
      <c r="BQ221" s="362" t="n">
        <v>0</v>
      </c>
      <c r="BR221" s="362" t="n">
        <v>0</v>
      </c>
      <c r="BT221" s="362">
        <f t="array" ref="BT221:BW221">_xlfn.HSTACK(SUM(INDEX($R221:$AV221,1,1):INDEX($R221:$AV221,1,7)),SUM(INDEX($R221:$AV221,1,7):INDEX($R221:$AV221,1,13)),SUM(INDEX($R221:$AV221,1,16):INDEX($R221:$AV221,1,23)),SUM(INDEX($R221:$AV221,1,23):INDEX($R221:$AV221,1,31)))</f>
        <v/>
      </c>
      <c r="BU221" s="362" t="n">
        <v>0</v>
      </c>
      <c r="BV221" s="362" t="n">
        <v>0</v>
      </c>
      <c r="BW221" s="362" t="n">
        <v>350</v>
      </c>
      <c r="BY221" s="362">
        <f>SUM(R221:X221)</f>
        <v/>
      </c>
      <c r="BZ221" s="362">
        <f>SUM(Y221:AE221)</f>
        <v/>
      </c>
      <c r="CA221" s="362">
        <f>SUM(AF221:AM221)</f>
        <v/>
      </c>
      <c r="CB221" s="362">
        <f>SUM(AN221:AV221)</f>
        <v/>
      </c>
      <c r="CD221" s="432" t="inlineStr">
        <is>
          <t>ADA</t>
        </is>
      </c>
      <c r="CE221" s="362">
        <f>ROUND(BY221*$O221/1000,2)</f>
        <v/>
      </c>
      <c r="CF221" s="362">
        <f>ROUND(BZ221*$O221/1000,2)</f>
        <v/>
      </c>
      <c r="CG221" s="362">
        <f>ROUND(CA221*$O221/1000,2)</f>
        <v/>
      </c>
      <c r="CH221" s="362">
        <f>ROUND(CB221*$O221/1000,2)</f>
        <v/>
      </c>
      <c r="CI221" s="362">
        <f>SUM(CE221:CH221)</f>
        <v/>
      </c>
      <c r="CK221" s="362">
        <f>IFERROR(ROUND(BY221*$P221,2),"")</f>
        <v/>
      </c>
      <c r="CL221" s="362">
        <f>IFERROR(ROUND(BZ221*$P221,2),"")</f>
        <v/>
      </c>
      <c r="CM221" s="362">
        <f>IFERROR(ROUND(CA221*$P221,2),"")</f>
        <v/>
      </c>
      <c r="CN221" s="362">
        <f>IFERROR(ROUND(CB221*$P221,2),"")</f>
        <v/>
      </c>
      <c r="CO221" s="362">
        <f>SUM(CK221:CN221)</f>
        <v/>
      </c>
    </row>
    <row r="222" ht="15.6" customFormat="1" customHeight="1" s="362">
      <c r="A222" s="331" t="n"/>
      <c r="B222" s="344">
        <f>_xlfn.XLOOKUP(G222,销售需求表!A:A,销售需求表!C:C)</f>
        <v/>
      </c>
      <c r="C222" s="345">
        <f>IFERROR(MID(F222,FIND("R",F222)+1,4),"")</f>
        <v/>
      </c>
      <c r="D222" s="368">
        <f>B222&amp;C222&amp;"寸"</f>
        <v/>
      </c>
      <c r="E222" s="346">
        <f>LEFT(REPLACE(G222,1,2,""),FIND("[",REPLACE(G222,1,2,""))-1)&amp;"-"&amp;MID(REPLACE(G222,1,2,""),FIND("[",REPLACE(G222,1,2,""))+1,FIND("]",REPLACE(G222,1,2,""))-FIND("[",REPLACE(G222,1,2,""))-1)</f>
        <v/>
      </c>
      <c r="F222" s="347">
        <f>IFERROR(MID(G222,3,FIND("(",G222)-3)&amp;"-"&amp;SUBSTITUTE(MID(G222,FIND("[",G222)+1,FIND("]",G222)-FIND("[",G222)-1),"Strong Guard ",""),"")</f>
        <v/>
      </c>
      <c r="G222" s="366" t="inlineStr">
        <is>
          <t>ID12R22.5-20PR(154/151L)[AS898H]雅度无内</t>
        </is>
      </c>
      <c r="H222" s="344" t="n">
        <v>760</v>
      </c>
      <c r="I222" s="348" t="n"/>
      <c r="J222" s="349">
        <f>IFERROR(LEFT(F222,FIND("-",F222))&amp;MID(F222,FIND("PR",F222,FIND("-",F222))+3,LEN(F222)),F222)</f>
        <v/>
      </c>
      <c r="K222" s="352">
        <f>_xlfn.XLOOKUP(F222,投产规格!E:E,投产规格!D:D,"未投产")</f>
        <v/>
      </c>
      <c r="L222" s="352">
        <f>IFERROR(_xlfn.XLOOKUP(F222,硫化工艺!B:B,硫化工艺!C:C),"")</f>
        <v/>
      </c>
      <c r="M222" s="430">
        <f>IF(L222="","",L222/(L222+$L$1/60))</f>
        <v/>
      </c>
      <c r="N222" s="352">
        <f>C222&amp;"全钢"</f>
        <v/>
      </c>
      <c r="O222" s="352">
        <f>IFERROR(_xlfn.XLOOKUP(F222,轮胎重量!J:J,轮胎重量!G:G),"")</f>
        <v/>
      </c>
      <c r="P222" s="352">
        <f>IFERROR(_xlfn.XLOOKUP(G222,硫化工艺!I:I,硫化工艺!J:J),"")</f>
        <v/>
      </c>
      <c r="Q222" s="352">
        <f>IFERROR(ROUND(1440/L222*(I222)*M222,0),"")</f>
        <v/>
      </c>
      <c r="R222" s="352" t="n"/>
      <c r="S222" s="352" t="n"/>
      <c r="T222" s="352" t="n"/>
      <c r="U222" s="352" t="n"/>
      <c r="V222" s="352" t="n"/>
      <c r="W222" s="352" t="n"/>
      <c r="X222" s="352" t="n"/>
      <c r="Y222" s="352" t="n">
        <v>50</v>
      </c>
      <c r="Z222" s="352" t="n">
        <v>50</v>
      </c>
      <c r="AA222" s="352" t="n">
        <v>50</v>
      </c>
      <c r="AB222" s="352" t="n">
        <v>50</v>
      </c>
      <c r="AC222" s="352" t="n">
        <v>50</v>
      </c>
      <c r="AD222" s="352" t="n">
        <v>50</v>
      </c>
      <c r="AE222" s="352" t="n">
        <v>50</v>
      </c>
      <c r="AF222" s="352" t="n">
        <v>50</v>
      </c>
      <c r="AG222" s="352" t="n">
        <v>50</v>
      </c>
      <c r="AH222" s="352" t="n">
        <v>50</v>
      </c>
      <c r="AI222" s="352" t="n">
        <v>50</v>
      </c>
      <c r="AJ222" s="352" t="n">
        <v>50</v>
      </c>
      <c r="AK222" s="352" t="n">
        <v>50</v>
      </c>
      <c r="AL222" s="352" t="n">
        <v>50</v>
      </c>
      <c r="AM222" s="352" t="n">
        <v>50</v>
      </c>
      <c r="AN222" s="352" t="n">
        <v>50</v>
      </c>
      <c r="AO222" s="352" t="n">
        <v>50</v>
      </c>
      <c r="AP222" s="352" t="n"/>
      <c r="AQ222" s="352" t="n"/>
      <c r="AR222" s="352" t="n"/>
      <c r="AS222" s="352" t="n"/>
      <c r="AT222" s="352" t="n"/>
      <c r="AU222" s="352" t="n"/>
      <c r="AV222" s="352" t="n"/>
      <c r="AW222" s="352">
        <f>IF(SUM(R222:AV222)=0,"",SUM(R222:AV222))</f>
        <v/>
      </c>
      <c r="AX222" s="431">
        <f>IFERROR(AW222*O222/1000,"")</f>
        <v/>
      </c>
      <c r="AY222" s="431">
        <f>IFERROR(ROUND(AW222*P222/10000,3),"")</f>
        <v/>
      </c>
      <c r="AZ222" s="359" t="n"/>
      <c r="BA222" s="362" t="n"/>
      <c r="BB222" s="362" t="n"/>
      <c r="BC222" s="331" t="n"/>
      <c r="BD222" s="331" t="n"/>
      <c r="BE222" s="331">
        <f>AZ222*AW222</f>
        <v/>
      </c>
      <c r="BF222" s="331">
        <f>BA222*AW222</f>
        <v/>
      </c>
      <c r="BG222" s="331">
        <f>BB222*AW222</f>
        <v/>
      </c>
      <c r="BH222" s="331">
        <f>BC222*AW222</f>
        <v/>
      </c>
      <c r="BI222" s="331" t="n"/>
      <c r="BJ222" s="356">
        <f t="array" ref="BJ222:BM222">_xlfn.LET(_xlpm.data,$R222:$AV222,_xlpm.starts,{1,8,16,23},_xlpm.lengths,{7,7,8,9},_xlpm.arr,_xlfn.MAP(_xlpm.starts,_xlpm.lengths,_xlfn.LAMBDA(_xlpm.s,_xlpm.l,SUM(INDEX(_xlpm.data,,_xlfn.SEQUENCE(,_xlpm.l,_xlpm.s))))),ROUND(_xlpm.arr*$O222/1000,2))</f>
        <v/>
      </c>
      <c r="BK222" s="331" t="n">
        <v>24.86</v>
      </c>
      <c r="BL222" s="331" t="n">
        <v>28.41</v>
      </c>
      <c r="BM222" s="331" t="n">
        <v>7.1</v>
      </c>
      <c r="BN222" s="362">
        <f>SUM(BJ222:BM222)</f>
        <v/>
      </c>
      <c r="BO222" s="362" t="n">
        <v>5.75</v>
      </c>
      <c r="BP222" s="362" t="n">
        <v>5.75</v>
      </c>
      <c r="BQ222" s="362" t="n">
        <v>0</v>
      </c>
      <c r="BR222" s="362" t="n">
        <v>0</v>
      </c>
      <c r="BS222" s="115" t="n"/>
      <c r="BT222" s="362">
        <f t="array" ref="BT222:BW222">_xlfn.HSTACK(SUM(INDEX($R222:$AV222,1,1):INDEX($R222:$AV222,1,7)),SUM(INDEX($R222:$AV222,1,7):INDEX($R222:$AV222,1,13)),SUM(INDEX($R222:$AV222,1,16):INDEX($R222:$AV222,1,23)),SUM(INDEX($R222:$AV222,1,23):INDEX($R222:$AV222,1,31)))</f>
        <v/>
      </c>
      <c r="BU222" s="362" t="n">
        <v>300</v>
      </c>
      <c r="BV222" s="362" t="n">
        <v>400</v>
      </c>
      <c r="BW222" s="362" t="n">
        <v>100</v>
      </c>
      <c r="BY222" s="362">
        <f>SUM(R222:X222)</f>
        <v/>
      </c>
      <c r="BZ222" s="362">
        <f>SUM(Y222:AE222)</f>
        <v/>
      </c>
      <c r="CA222" s="362">
        <f>SUM(AF222:AM222)</f>
        <v/>
      </c>
      <c r="CB222" s="362">
        <f>SUM(AN222:AV222)</f>
        <v/>
      </c>
      <c r="CD222" s="432" t="inlineStr">
        <is>
          <t>ADA</t>
        </is>
      </c>
      <c r="CE222" s="362">
        <f>ROUND(BY222*$O222/1000,2)</f>
        <v/>
      </c>
      <c r="CF222" s="362">
        <f>ROUND(BZ222*$O222/1000,2)</f>
        <v/>
      </c>
      <c r="CG222" s="362">
        <f>ROUND(CA222*$O222/1000,2)</f>
        <v/>
      </c>
      <c r="CH222" s="362">
        <f>ROUND(CB222*$O222/1000,2)</f>
        <v/>
      </c>
      <c r="CI222" s="362">
        <f>SUM(CE222:CH222)</f>
        <v/>
      </c>
      <c r="CJ222" s="390" t="n"/>
      <c r="CK222" s="362">
        <f>IFERROR(ROUND(BY222*$P222,2),"")</f>
        <v/>
      </c>
      <c r="CL222" s="362">
        <f>IFERROR(ROUND(BZ222*$P222,2),"")</f>
        <v/>
      </c>
      <c r="CM222" s="362">
        <f>IFERROR(ROUND(CA222*$P222,2),"")</f>
        <v/>
      </c>
      <c r="CN222" s="362">
        <f>IFERROR(ROUND(CB222*$P222,2),"")</f>
        <v/>
      </c>
      <c r="CO222" s="362">
        <f>SUM(CK222:CN222)</f>
        <v/>
      </c>
    </row>
    <row r="223" hidden="1" ht="15.6" customFormat="1" customHeight="1" s="362">
      <c r="A223" s="331" t="n"/>
      <c r="B223" s="344">
        <f>_xlfn.XLOOKUP(G223,销售需求表!A:A,销售需求表!C:C)</f>
        <v/>
      </c>
      <c r="C223" s="345">
        <f>IFERROR(MID(F223,FIND("R",F223)+1,4),"")</f>
        <v/>
      </c>
      <c r="D223" s="368">
        <f>B223&amp;C223&amp;"寸"</f>
        <v/>
      </c>
      <c r="E223" s="346">
        <f>LEFT(REPLACE(G223,1,2,""),FIND("[",REPLACE(G223,1,2,""))-1)&amp;"-"&amp;MID(REPLACE(G223,1,2,""),FIND("[",REPLACE(G223,1,2,""))+1,FIND("]",REPLACE(G223,1,2,""))-FIND("[",REPLACE(G223,1,2,""))-1)</f>
        <v/>
      </c>
      <c r="F223" s="347">
        <f>IFERROR(MID(G223,3,FIND("(",G223)-3)&amp;"-"&amp;SUBSTITUTE(MID(G223,FIND("[",G223)+1,FIND("]",G223)-FIND("[",G223)-1),"Strong Guard ",""),"")</f>
        <v/>
      </c>
      <c r="G223" s="366" t="inlineStr">
        <is>
          <t>ID385/65R22.5-20PR(160K)[HA4 Plus]SUPERMAX无内</t>
        </is>
      </c>
      <c r="H223" s="344" t="n">
        <v>320</v>
      </c>
      <c r="I223" s="348" t="n"/>
      <c r="J223" s="349">
        <f>IFERROR(LEFT(F223,FIND("-",F223))&amp;MID(F223,FIND("PR",F223,FIND("-",F223))+3,LEN(F223)),F223)</f>
        <v/>
      </c>
      <c r="K223" s="352">
        <f>_xlfn.XLOOKUP(F223,投产规格!E:E,投产规格!D:D,"未投产")</f>
        <v/>
      </c>
      <c r="L223" s="352">
        <f>IFERROR(_xlfn.XLOOKUP(F223,硫化工艺!B:B,硫化工艺!C:C),"")</f>
        <v/>
      </c>
      <c r="M223" s="430">
        <f>IF(L223="","",L223/(L223+$L$1/60))</f>
        <v/>
      </c>
      <c r="N223" s="352">
        <f>C223&amp;"全钢"</f>
        <v/>
      </c>
      <c r="O223" s="352">
        <f>IFERROR(_xlfn.XLOOKUP(F223,轮胎重量!J:J,轮胎重量!G:G),"")</f>
        <v/>
      </c>
      <c r="P223" s="358">
        <f>O223*13.9</f>
        <v/>
      </c>
      <c r="Q223" s="352">
        <f>IFERROR(ROUND(1440/L223*(I223)*M223,0),"")</f>
        <v/>
      </c>
      <c r="R223" s="352" t="n"/>
      <c r="S223" s="352" t="n"/>
      <c r="T223" s="352" t="n"/>
      <c r="U223" s="352" t="n"/>
      <c r="V223" s="352" t="n"/>
      <c r="W223" s="352" t="n"/>
      <c r="X223" s="352" t="n"/>
      <c r="Y223" s="352" t="n"/>
      <c r="Z223" s="352" t="n"/>
      <c r="AA223" s="352" t="n"/>
      <c r="AB223" s="352" t="n"/>
      <c r="AC223" s="352" t="n"/>
      <c r="AD223" s="352" t="n"/>
      <c r="AE223" s="352" t="n"/>
      <c r="AF223" s="352" t="n"/>
      <c r="AG223" s="352" t="n"/>
      <c r="AH223" s="352" t="n"/>
      <c r="AI223" s="352" t="n"/>
      <c r="AJ223" s="352" t="n"/>
      <c r="AK223" s="352" t="n"/>
      <c r="AL223" s="352" t="n"/>
      <c r="AM223" s="352" t="n"/>
      <c r="AN223" s="352" t="n"/>
      <c r="AO223" s="352" t="n"/>
      <c r="AP223" s="352" t="n"/>
      <c r="AQ223" s="352" t="n"/>
      <c r="AR223" s="352" t="n"/>
      <c r="AS223" s="352" t="n"/>
      <c r="AT223" s="352" t="n"/>
      <c r="AU223" s="352" t="n"/>
      <c r="AV223" s="352" t="n"/>
      <c r="AW223" s="352">
        <f>IF(SUM(R223:AV223)=0,"",SUM(R223:AV223))</f>
        <v/>
      </c>
      <c r="AX223" s="431">
        <f>IFERROR(AW223*O223/1000,"")</f>
        <v/>
      </c>
      <c r="AY223" s="431">
        <f>IFERROR(ROUND(AW223*P223/10000,3),"")</f>
        <v/>
      </c>
      <c r="AZ223" s="359" t="n"/>
      <c r="BC223" s="331" t="n"/>
      <c r="BD223" s="331" t="n"/>
      <c r="BE223" s="331">
        <f>AZ223*AW223</f>
        <v/>
      </c>
      <c r="BF223" s="331">
        <f>BA223*AW223</f>
        <v/>
      </c>
      <c r="BG223" s="331">
        <f>BB223*AW223</f>
        <v/>
      </c>
      <c r="BH223" s="331">
        <f>BC223*AW223</f>
        <v/>
      </c>
      <c r="BI223" s="331" t="n"/>
      <c r="BJ223" s="356">
        <f t="array" ref="BJ223:BM223">_xlfn.LET(_xlpm.data,$R223:$AV223,_xlpm.starts,{1,8,16,23},_xlpm.lengths,{7,7,8,9},_xlpm.arr,_xlfn.MAP(_xlpm.starts,_xlpm.lengths,_xlfn.LAMBDA(_xlpm.s,_xlpm.l,SUM(INDEX(_xlpm.data,,_xlfn.SEQUENCE(,_xlpm.l,_xlpm.s))))),ROUND(_xlpm.arr*$O223/1000,2))</f>
        <v/>
      </c>
      <c r="BK223" s="331" t="n">
        <v>0</v>
      </c>
      <c r="BL223" s="331" t="n">
        <v>0</v>
      </c>
      <c r="BM223" s="331" t="n">
        <v>0</v>
      </c>
      <c r="BN223" s="362">
        <f>SUM(BJ223:BM223)</f>
        <v/>
      </c>
      <c r="BO223" s="362" t="n">
        <v>0</v>
      </c>
      <c r="BP223" s="362" t="n">
        <v>16.93</v>
      </c>
      <c r="BQ223" s="362" t="n">
        <v>0</v>
      </c>
      <c r="BR223" s="362" t="n">
        <v>0</v>
      </c>
      <c r="BS223" s="115" t="n"/>
      <c r="BT223" s="362">
        <f t="array" ref="BT223:BW223">_xlfn.HSTACK(SUM(INDEX($R223:$AV223,1,1):INDEX($R223:$AV223,1,7)),SUM(INDEX($R223:$AV223,1,7):INDEX($R223:$AV223,1,13)),SUM(INDEX($R223:$AV223,1,16):INDEX($R223:$AV223,1,23)),SUM(INDEX($R223:$AV223,1,23):INDEX($R223:$AV223,1,31)))</f>
        <v/>
      </c>
      <c r="BU223" s="362" t="n">
        <v>0</v>
      </c>
      <c r="BV223" s="362" t="n">
        <v>0</v>
      </c>
      <c r="BW223" s="362" t="n">
        <v>0</v>
      </c>
      <c r="BY223" s="362">
        <f>SUM(R223:X223)</f>
        <v/>
      </c>
      <c r="BZ223" s="362">
        <f>SUM(Y223:AE223)</f>
        <v/>
      </c>
      <c r="CA223" s="362">
        <f>SUM(AF223:AM223)</f>
        <v/>
      </c>
      <c r="CB223" s="362">
        <f>SUM(AN223:AV223)</f>
        <v/>
      </c>
      <c r="CD223" s="432" t="inlineStr">
        <is>
          <t>ADA</t>
        </is>
      </c>
      <c r="CE223" s="362">
        <f>ROUND(BY223*$O223/1000,2)</f>
        <v/>
      </c>
      <c r="CF223" s="362">
        <f>ROUND(BZ223*$O223/1000,2)</f>
        <v/>
      </c>
      <c r="CG223" s="362">
        <f>ROUND(CA223*$O223/1000,2)</f>
        <v/>
      </c>
      <c r="CH223" s="362">
        <f>ROUND(CB223*$O223/1000,2)</f>
        <v/>
      </c>
      <c r="CI223" s="362">
        <f>SUM(CE223:CH223)</f>
        <v/>
      </c>
      <c r="CJ223" s="390" t="n"/>
      <c r="CK223" s="362">
        <f>IFERROR(ROUND(BY223*$P223,2),"")</f>
        <v/>
      </c>
      <c r="CL223" s="362">
        <f>IFERROR(ROUND(BZ223*$P223,2),"")</f>
        <v/>
      </c>
      <c r="CM223" s="362">
        <f>IFERROR(ROUND(CA223*$P223,2),"")</f>
        <v/>
      </c>
      <c r="CN223" s="362">
        <f>IFERROR(ROUND(CB223*$P223,2),"")</f>
        <v/>
      </c>
      <c r="CO223" s="362">
        <f>SUM(CK223:CN223)</f>
        <v/>
      </c>
    </row>
    <row r="224" ht="15.6" customHeight="1" s="428">
      <c r="B224" s="344">
        <f>_xlfn.XLOOKUP(G224,销售需求表!A:A,销售需求表!C:C)</f>
        <v/>
      </c>
      <c r="C224" s="345">
        <f>IFERROR(MID(F224,FIND("R",F224)+1,4),"")</f>
        <v/>
      </c>
      <c r="D224" s="368">
        <f>B224&amp;C224&amp;"寸"</f>
        <v/>
      </c>
      <c r="E224" s="346">
        <f>LEFT(REPLACE(G224,1,2,""),FIND("[",REPLACE(G224,1,2,""))-1)&amp;"-"&amp;MID(REPLACE(G224,1,2,""),FIND("[",REPLACE(G224,1,2,""))+1,FIND("]",REPLACE(G224,1,2,""))-FIND("[",REPLACE(G224,1,2,""))-1)</f>
        <v/>
      </c>
      <c r="F224" s="347">
        <f>IFERROR(MID(G224,3,FIND("(",G224)-3)&amp;"-"&amp;SUBSTITUTE(MID(G224,FIND("[",G224)+1,FIND("]",G224)-FIND("[",G224)-1),"Strong Guard ",""),"")</f>
        <v/>
      </c>
      <c r="G224" s="366" t="inlineStr">
        <is>
          <t>ID385/65R22.5-20PR(160K)[I-42W]IRONMAN无内</t>
        </is>
      </c>
      <c r="H224" s="344" t="n">
        <v>320</v>
      </c>
      <c r="I224" s="348" t="n"/>
      <c r="J224" s="349">
        <f>IFERROR(LEFT(F224,FIND("-",F224))&amp;MID(F224,FIND("PR",F224,FIND("-",F224))+3,LEN(F224)),F224)</f>
        <v/>
      </c>
      <c r="K224" s="352">
        <f>_xlfn.XLOOKUP(F224,投产规格!E:E,投产规格!D:D,"未投产")</f>
        <v/>
      </c>
      <c r="L224" s="352">
        <f>IFERROR(_xlfn.XLOOKUP(F224,硫化工艺!B:B,硫化工艺!C:C),"")</f>
        <v/>
      </c>
      <c r="M224" s="430">
        <f>IF(L224="","",L224/(L224+$L$1/60))</f>
        <v/>
      </c>
      <c r="N224" s="352">
        <f>C224&amp;"全钢"</f>
        <v/>
      </c>
      <c r="O224" s="352">
        <f>IFERROR(_xlfn.XLOOKUP(F224,轮胎重量!J:J,轮胎重量!G:G),"")</f>
        <v/>
      </c>
      <c r="P224" s="352">
        <f>IFERROR(_xlfn.XLOOKUP(G224,硫化工艺!I:I,硫化工艺!J:J),"")</f>
        <v/>
      </c>
      <c r="Q224" s="352">
        <f>IFERROR(ROUND(1440/L224*(I224)*M224,0),"")</f>
        <v/>
      </c>
      <c r="R224" s="352" t="n"/>
      <c r="S224" s="352" t="n"/>
      <c r="T224" s="352" t="n"/>
      <c r="U224" s="352" t="n"/>
      <c r="V224" s="352" t="n"/>
      <c r="W224" s="352" t="n"/>
      <c r="X224" s="352" t="n">
        <v>40</v>
      </c>
      <c r="Y224" s="352" t="n">
        <v>40</v>
      </c>
      <c r="Z224" s="352" t="n">
        <v>40</v>
      </c>
      <c r="AA224" s="352" t="n">
        <v>40</v>
      </c>
      <c r="AB224" s="352" t="n">
        <v>40</v>
      </c>
      <c r="AC224" s="352" t="n">
        <v>40</v>
      </c>
      <c r="AD224" s="352" t="n">
        <v>40</v>
      </c>
      <c r="AE224" s="352" t="n">
        <v>40</v>
      </c>
      <c r="AF224" s="352" t="n">
        <v>40</v>
      </c>
      <c r="AG224" s="352" t="n">
        <v>40</v>
      </c>
      <c r="AH224" s="352" t="n"/>
      <c r="AI224" s="352" t="n"/>
      <c r="AJ224" s="352" t="n"/>
      <c r="AK224" s="352" t="n"/>
      <c r="AL224" s="352" t="n"/>
      <c r="AM224" s="352" t="n"/>
      <c r="AN224" s="352" t="n"/>
      <c r="AO224" s="352" t="n"/>
      <c r="AP224" s="352" t="n"/>
      <c r="AQ224" s="352" t="n"/>
      <c r="AR224" s="352" t="n"/>
      <c r="AS224" s="352" t="n"/>
      <c r="AT224" s="352" t="n"/>
      <c r="AU224" s="352" t="n"/>
      <c r="AV224" s="352" t="n"/>
      <c r="AW224" s="352">
        <f>IF(SUM(R224:AV224)=0,"",SUM(R224:AV224))</f>
        <v/>
      </c>
      <c r="AX224" s="431">
        <f>IFERROR(AW224*O224/1000,"")</f>
        <v/>
      </c>
      <c r="AY224" s="431">
        <f>IFERROR(ROUND(AW224*P224/10000,3),"")</f>
        <v/>
      </c>
      <c r="AZ224" s="354" t="n">
        <v>278.68</v>
      </c>
      <c r="BA224" s="355" t="n">
        <v>18.78</v>
      </c>
      <c r="BB224" s="355" t="n">
        <v>33.82</v>
      </c>
      <c r="BC224" s="355" t="n">
        <v>35.62</v>
      </c>
      <c r="BE224" s="331">
        <f>AZ224*AW224</f>
        <v/>
      </c>
      <c r="BF224" s="331">
        <f>BA224*AW224</f>
        <v/>
      </c>
      <c r="BG224" s="331">
        <f>BB224*AW224</f>
        <v/>
      </c>
      <c r="BH224" s="331">
        <f>BC224*AW224</f>
        <v/>
      </c>
      <c r="BJ224" s="356">
        <f t="array" ref="BJ224:BM224">_xlfn.LET(_xlpm.data,$R224:$AV224,_xlpm.starts,{1,8,16,23},_xlpm.lengths,{7,7,8,9},_xlpm.arr,_xlfn.MAP(_xlpm.starts,_xlpm.lengths,_xlfn.LAMBDA(_xlpm.s,_xlpm.l,SUM(INDEX(_xlpm.data,,_xlfn.SEQUENCE(,_xlpm.l,_xlpm.s))))),ROUND(_xlpm.arr*$O224/1000,2))</f>
        <v/>
      </c>
      <c r="BK224" s="331" t="n">
        <v>20.7</v>
      </c>
      <c r="BL224" s="331" t="n">
        <v>2.96</v>
      </c>
      <c r="BM224" s="331" t="n">
        <v>0</v>
      </c>
      <c r="BN224" s="362">
        <f>SUM(BJ224:BM224)</f>
        <v/>
      </c>
      <c r="BO224" s="362" t="n">
        <v>0</v>
      </c>
      <c r="BP224" s="362" t="n">
        <v>0</v>
      </c>
      <c r="BQ224" s="362" t="n">
        <v>0</v>
      </c>
      <c r="BR224" s="362" t="n">
        <v>0</v>
      </c>
      <c r="BT224" s="362">
        <f t="array" ref="BT224:BW224">_xlfn.HSTACK(SUM(INDEX($R224:$AV224,1,1):INDEX($R224:$AV224,1,7)),SUM(INDEX($R224:$AV224,1,7):INDEX($R224:$AV224,1,13)),SUM(INDEX($R224:$AV224,1,16):INDEX($R224:$AV224,1,23)),SUM(INDEX($R224:$AV224,1,23):INDEX($R224:$AV224,1,31)))</f>
        <v/>
      </c>
      <c r="BU224" s="362" t="n">
        <v>280</v>
      </c>
      <c r="BV224" s="362" t="n">
        <v>40</v>
      </c>
      <c r="BW224" s="362" t="n">
        <v>0</v>
      </c>
      <c r="BY224" s="362">
        <f>SUM(R224:X224)</f>
        <v/>
      </c>
      <c r="BZ224" s="362">
        <f>SUM(Y224:AE224)</f>
        <v/>
      </c>
      <c r="CA224" s="362">
        <f>SUM(AF224:AM224)</f>
        <v/>
      </c>
      <c r="CB224" s="362">
        <f>SUM(AN224:AV224)</f>
        <v/>
      </c>
      <c r="CD224" s="432" t="inlineStr">
        <is>
          <t>ADA</t>
        </is>
      </c>
      <c r="CE224" s="362">
        <f>ROUND(BY224*$O224/1000,2)</f>
        <v/>
      </c>
      <c r="CF224" s="362">
        <f>ROUND(BZ224*$O224/1000,2)</f>
        <v/>
      </c>
      <c r="CG224" s="362">
        <f>ROUND(CA224*$O224/1000,2)</f>
        <v/>
      </c>
      <c r="CH224" s="362">
        <f>ROUND(CB224*$O224/1000,2)</f>
        <v/>
      </c>
      <c r="CI224" s="362">
        <f>SUM(CE224:CH224)</f>
        <v/>
      </c>
      <c r="CK224" s="362">
        <f>IFERROR(ROUND(BY224*$P224,2),"")</f>
        <v/>
      </c>
      <c r="CL224" s="362">
        <f>IFERROR(ROUND(BZ224*$P224,2),"")</f>
        <v/>
      </c>
      <c r="CM224" s="362">
        <f>IFERROR(ROUND(CA224*$P224,2),"")</f>
        <v/>
      </c>
      <c r="CN224" s="362">
        <f>IFERROR(ROUND(CB224*$P224,2),"")</f>
        <v/>
      </c>
      <c r="CO224" s="362">
        <f>SUM(CK224:CN224)</f>
        <v/>
      </c>
    </row>
    <row r="225" hidden="1" ht="15.6" customFormat="1" customHeight="1" s="362">
      <c r="A225" s="331" t="n"/>
      <c r="B225" s="344">
        <f>_xlfn.XLOOKUP(G225,销售需求表!A:A,销售需求表!C:C)</f>
        <v/>
      </c>
      <c r="C225" s="345">
        <f>IFERROR(MID(F225,FIND("R",F225)+1,4),"")</f>
        <v/>
      </c>
      <c r="D225" s="368">
        <f>B225&amp;C225&amp;"寸"</f>
        <v/>
      </c>
      <c r="E225" s="346">
        <f>LEFT(REPLACE(G225,1,2,""),FIND("[",REPLACE(G225,1,2,""))-1)&amp;"-"&amp;MID(REPLACE(G225,1,2,""),FIND("[",REPLACE(G225,1,2,""))+1,FIND("]",REPLACE(G225,1,2,""))-FIND("[",REPLACE(G225,1,2,""))-1)</f>
        <v/>
      </c>
      <c r="F225" s="347">
        <f>IFERROR(MID(G225,3,FIND("(",G225)-3)&amp;"-"&amp;SUBSTITUTE(MID(G225,FIND("[",G225)+1,FIND("]",G225)-FIND("[",G225)-1),"Strong Guard ",""),"")</f>
        <v/>
      </c>
      <c r="G225" s="366" t="inlineStr">
        <is>
          <t>ID385/65R22.5-20PR(160K)[M-TRAC MSF]MASTERTRACK无内</t>
        </is>
      </c>
      <c r="H225" s="344" t="n">
        <v>800</v>
      </c>
      <c r="I225" s="348" t="n"/>
      <c r="J225" s="349">
        <f>IFERROR(LEFT(F225,FIND("-",F225))&amp;MID(F225,FIND("PR",F225,FIND("-",F225))+3,LEN(F225)),F225)</f>
        <v/>
      </c>
      <c r="K225" s="352">
        <f>_xlfn.XLOOKUP(F225,投产规格!E:E,投产规格!D:D,"未投产")</f>
        <v/>
      </c>
      <c r="L225" s="352">
        <f>IFERROR(_xlfn.XLOOKUP(F225,硫化工艺!B:B,硫化工艺!C:C),"")</f>
        <v/>
      </c>
      <c r="M225" s="430">
        <f>IF(L225="","",L225/(L225+$L$1/60))</f>
        <v/>
      </c>
      <c r="N225" s="352">
        <f>C225&amp;"全钢"</f>
        <v/>
      </c>
      <c r="O225" s="352">
        <f>IFERROR(_xlfn.XLOOKUP(F225,轮胎重量!J:J,轮胎重量!G:G),"")</f>
        <v/>
      </c>
      <c r="P225" s="358">
        <f>O225*13.9</f>
        <v/>
      </c>
      <c r="Q225" s="352">
        <f>IFERROR(ROUND(1440/L225*(I225)*M225,0),"")</f>
        <v/>
      </c>
      <c r="R225" s="352" t="n"/>
      <c r="S225" s="352" t="n"/>
      <c r="T225" s="352" t="n"/>
      <c r="U225" s="352" t="n"/>
      <c r="V225" s="352" t="n"/>
      <c r="W225" s="352" t="n"/>
      <c r="X225" s="352" t="n"/>
      <c r="Y225" s="352" t="n"/>
      <c r="Z225" s="352" t="n"/>
      <c r="AA225" s="352" t="n"/>
      <c r="AB225" s="352" t="n"/>
      <c r="AC225" s="352" t="n"/>
      <c r="AD225" s="352" t="n"/>
      <c r="AE225" s="352" t="n"/>
      <c r="AF225" s="352" t="n"/>
      <c r="AG225" s="352" t="n"/>
      <c r="AH225" s="352" t="n"/>
      <c r="AI225" s="352" t="n"/>
      <c r="AJ225" s="352" t="n"/>
      <c r="AK225" s="352" t="n"/>
      <c r="AL225" s="352" t="n"/>
      <c r="AM225" s="352" t="n"/>
      <c r="AN225" s="352" t="n"/>
      <c r="AO225" s="352" t="n"/>
      <c r="AP225" s="352" t="n"/>
      <c r="AQ225" s="352" t="n"/>
      <c r="AR225" s="352" t="n"/>
      <c r="AS225" s="352" t="n"/>
      <c r="AT225" s="352" t="n"/>
      <c r="AU225" s="352" t="n"/>
      <c r="AV225" s="352" t="n"/>
      <c r="AW225" s="352">
        <f>IF(SUM(R225:AV225)=0,"",SUM(R225:AV225))</f>
        <v/>
      </c>
      <c r="AX225" s="431">
        <f>IFERROR(AW225*O225/1000,"")</f>
        <v/>
      </c>
      <c r="AY225" s="431">
        <f>IFERROR(ROUND(AW225*P225/10000,3),"")</f>
        <v/>
      </c>
      <c r="AZ225" s="354" t="n">
        <v>278.68</v>
      </c>
      <c r="BA225" s="355" t="n">
        <v>18.78</v>
      </c>
      <c r="BB225" s="355" t="n">
        <v>33.82</v>
      </c>
      <c r="BC225" s="355" t="n">
        <v>35.62</v>
      </c>
      <c r="BD225" s="331" t="n"/>
      <c r="BE225" s="331">
        <f>AZ225*AW225</f>
        <v/>
      </c>
      <c r="BF225" s="331">
        <f>BA225*AW225</f>
        <v/>
      </c>
      <c r="BG225" s="331">
        <f>BB225*AW225</f>
        <v/>
      </c>
      <c r="BH225" s="331">
        <f>BC225*AW225</f>
        <v/>
      </c>
      <c r="BI225" s="331" t="n"/>
      <c r="BJ225" s="356">
        <f t="array" ref="BJ225:BM225">_xlfn.LET(_xlpm.data,$R225:$AV225,_xlpm.starts,{1,8,16,23},_xlpm.lengths,{7,7,8,9},_xlpm.arr,_xlfn.MAP(_xlpm.starts,_xlpm.lengths,_xlfn.LAMBDA(_xlpm.s,_xlpm.l,SUM(INDEX(_xlpm.data,,_xlfn.SEQUENCE(,_xlpm.l,_xlpm.s))))),ROUND(_xlpm.arr*$O225/1000,2))</f>
        <v/>
      </c>
      <c r="BK225" s="331" t="n">
        <v>0</v>
      </c>
      <c r="BL225" s="331" t="n">
        <v>0</v>
      </c>
      <c r="BM225" s="331" t="n">
        <v>0</v>
      </c>
      <c r="BN225" s="362">
        <f>SUM(BJ225:BM225)</f>
        <v/>
      </c>
      <c r="BO225" s="362" t="n">
        <v>0</v>
      </c>
      <c r="BP225" s="362" t="n">
        <v>0</v>
      </c>
      <c r="BQ225" s="362" t="n">
        <v>0</v>
      </c>
      <c r="BR225" s="362" t="n">
        <v>0</v>
      </c>
      <c r="BS225" s="115" t="n"/>
      <c r="BT225" s="362">
        <f t="array" ref="BT225:BW225">_xlfn.HSTACK(SUM(INDEX($R225:$AV225,1,1):INDEX($R225:$AV225,1,7)),SUM(INDEX($R225:$AV225,1,7):INDEX($R225:$AV225,1,13)),SUM(INDEX($R225:$AV225,1,16):INDEX($R225:$AV225,1,23)),SUM(INDEX($R225:$AV225,1,23):INDEX($R225:$AV225,1,31)))</f>
        <v/>
      </c>
      <c r="BU225" s="362" t="n">
        <v>0</v>
      </c>
      <c r="BV225" s="362" t="n">
        <v>0</v>
      </c>
      <c r="BW225" s="362" t="n">
        <v>0</v>
      </c>
      <c r="BY225" s="362">
        <f>SUM(R225:X225)</f>
        <v/>
      </c>
      <c r="BZ225" s="362">
        <f>SUM(Y225:AE225)</f>
        <v/>
      </c>
      <c r="CA225" s="362">
        <f>SUM(AF225:AM225)</f>
        <v/>
      </c>
      <c r="CB225" s="362">
        <f>SUM(AN225:AV225)</f>
        <v/>
      </c>
      <c r="CD225" s="432" t="inlineStr">
        <is>
          <t>ADA</t>
        </is>
      </c>
      <c r="CE225" s="362">
        <f>ROUND(BY225*$O225/1000,2)</f>
        <v/>
      </c>
      <c r="CF225" s="362">
        <f>ROUND(BZ225*$O225/1000,2)</f>
        <v/>
      </c>
      <c r="CG225" s="362">
        <f>ROUND(CA225*$O225/1000,2)</f>
        <v/>
      </c>
      <c r="CH225" s="362">
        <f>ROUND(CB225*$O225/1000,2)</f>
        <v/>
      </c>
      <c r="CI225" s="362">
        <f>SUM(CE225:CH225)</f>
        <v/>
      </c>
      <c r="CJ225" s="390" t="n"/>
      <c r="CK225" s="362">
        <f>IFERROR(ROUND(BY225*$P225,2),"")</f>
        <v/>
      </c>
      <c r="CL225" s="362">
        <f>IFERROR(ROUND(BZ225*$P225,2),"")</f>
        <v/>
      </c>
      <c r="CM225" s="362">
        <f>IFERROR(ROUND(CA225*$P225,2),"")</f>
        <v/>
      </c>
      <c r="CN225" s="362">
        <f>IFERROR(ROUND(CB225*$P225,2),"")</f>
        <v/>
      </c>
      <c r="CO225" s="362">
        <f>SUM(CK225:CN225)</f>
        <v/>
      </c>
    </row>
    <row r="226" ht="15.6" customFormat="1" customHeight="1" s="362">
      <c r="A226" s="331" t="n"/>
      <c r="B226" s="344">
        <f>_xlfn.XLOOKUP(G226,销售需求表!A:A,销售需求表!C:C)</f>
        <v/>
      </c>
      <c r="C226" s="345">
        <f>IFERROR(MID(F226,FIND("R",F226)+1,4),"")</f>
        <v/>
      </c>
      <c r="D226" s="368">
        <f>B226&amp;C226&amp;"寸"</f>
        <v/>
      </c>
      <c r="E226" s="346">
        <f>LEFT(REPLACE(G226,1,2,""),FIND("[",REPLACE(G226,1,2,""))-1)&amp;"-"&amp;MID(REPLACE(G226,1,2,""),FIND("[",REPLACE(G226,1,2,""))+1,FIND("]",REPLACE(G226,1,2,""))-FIND("[",REPLACE(G226,1,2,""))-1)</f>
        <v/>
      </c>
      <c r="F226" s="347">
        <f>IFERROR(MID(G226,3,FIND("(",G226)-3)&amp;"-"&amp;SUBSTITUTE(MID(G226,FIND("[",G226)+1,FIND("]",G226)-FIND("[",G226)-1),"Strong Guard ",""),"")</f>
        <v/>
      </c>
      <c r="G226" s="366" t="inlineStr">
        <is>
          <t>ID385/65R22.5-20PR(160K)[Strong Guard H-MW]HERCULES无内</t>
        </is>
      </c>
      <c r="H226" s="344" t="n">
        <v>820</v>
      </c>
      <c r="I226" s="348" t="n"/>
      <c r="J226" s="349">
        <f>IFERROR(LEFT(F226,FIND("-",F226))&amp;MID(F226,FIND("PR",F226,FIND("-",F226))+3,LEN(F226)),F226)</f>
        <v/>
      </c>
      <c r="K226" s="352">
        <f>_xlfn.XLOOKUP(F226,投产规格!E:E,投产规格!D:D,"未投产")</f>
        <v/>
      </c>
      <c r="L226" s="352">
        <f>IFERROR(_xlfn.XLOOKUP(F226,硫化工艺!B:B,硫化工艺!C:C),"")</f>
        <v/>
      </c>
      <c r="M226" s="430">
        <f>IF(L226="","",L226/(L226+$L$1/60))</f>
        <v/>
      </c>
      <c r="N226" s="352">
        <f>C226&amp;"全钢"</f>
        <v/>
      </c>
      <c r="O226" s="352">
        <f>IFERROR(_xlfn.XLOOKUP(F226,轮胎重量!J:J,轮胎重量!G:G),"")</f>
        <v/>
      </c>
      <c r="P226" s="352">
        <f>IFERROR(_xlfn.XLOOKUP(G226,硫化工艺!I:I,硫化工艺!J:J),"")</f>
        <v/>
      </c>
      <c r="Q226" s="352">
        <f>IFERROR(ROUND(1440/L226*(I226)*M226,0),"")</f>
        <v/>
      </c>
      <c r="R226" s="352" t="n"/>
      <c r="S226" s="352" t="n"/>
      <c r="T226" s="352" t="n"/>
      <c r="U226" s="352" t="n"/>
      <c r="V226" s="352" t="n"/>
      <c r="W226" s="352" t="n"/>
      <c r="X226" s="352" t="n">
        <v>40</v>
      </c>
      <c r="Y226" s="352" t="n">
        <v>40</v>
      </c>
      <c r="Z226" s="352" t="n">
        <v>40</v>
      </c>
      <c r="AA226" s="352" t="n">
        <v>40</v>
      </c>
      <c r="AB226" s="352" t="n">
        <v>40</v>
      </c>
      <c r="AC226" s="352" t="n">
        <v>40</v>
      </c>
      <c r="AD226" s="352" t="n">
        <v>40</v>
      </c>
      <c r="AE226" s="352" t="n">
        <v>40</v>
      </c>
      <c r="AF226" s="352" t="n">
        <v>40</v>
      </c>
      <c r="AG226" s="352" t="n">
        <v>40</v>
      </c>
      <c r="AH226" s="352" t="n"/>
      <c r="AI226" s="352" t="n"/>
      <c r="AJ226" s="352" t="n"/>
      <c r="AK226" s="352" t="n"/>
      <c r="AL226" s="352" t="n"/>
      <c r="AM226" s="352" t="n"/>
      <c r="AN226" s="352" t="n"/>
      <c r="AO226" s="352" t="n"/>
      <c r="AP226" s="352" t="n"/>
      <c r="AQ226" s="352" t="n"/>
      <c r="AR226" s="352" t="n"/>
      <c r="AS226" s="352" t="n"/>
      <c r="AT226" s="352" t="n"/>
      <c r="AU226" s="352" t="n"/>
      <c r="AV226" s="352" t="n"/>
      <c r="AW226" s="352">
        <f>IF(SUM(R226:AV226)=0,"",SUM(R226:AV226))</f>
        <v/>
      </c>
      <c r="AX226" s="431">
        <f>IFERROR(AW226*O226/1000,"")</f>
        <v/>
      </c>
      <c r="AY226" s="431">
        <f>IFERROR(ROUND(AW226*P226/10000,3),"")</f>
        <v/>
      </c>
      <c r="AZ226" s="354" t="n">
        <v>278.68</v>
      </c>
      <c r="BA226" s="355" t="n">
        <v>18.78</v>
      </c>
      <c r="BB226" s="355" t="n">
        <v>33.82</v>
      </c>
      <c r="BC226" s="355" t="n">
        <v>35.62</v>
      </c>
      <c r="BD226" s="331" t="n"/>
      <c r="BE226" s="331">
        <f>AZ226*AW226</f>
        <v/>
      </c>
      <c r="BF226" s="331">
        <f>BA226*AW226</f>
        <v/>
      </c>
      <c r="BG226" s="331">
        <f>BB226*AW226</f>
        <v/>
      </c>
      <c r="BH226" s="331">
        <f>BC226*AW226</f>
        <v/>
      </c>
      <c r="BI226" s="331" t="n"/>
      <c r="BJ226" s="356">
        <f t="array" ref="BJ226:BM226">_xlfn.LET(_xlpm.data,$R226:$AV226,_xlpm.starts,{1,8,16,23},_xlpm.lengths,{7,7,8,9},_xlpm.arr,_xlfn.MAP(_xlpm.starts,_xlpm.lengths,_xlfn.LAMBDA(_xlpm.s,_xlpm.l,SUM(INDEX(_xlpm.data,,_xlfn.SEQUENCE(,_xlpm.l,_xlpm.s))))),ROUND(_xlpm.arr*$O226/1000,2))</f>
        <v/>
      </c>
      <c r="BK226" s="331" t="n">
        <v>22.08</v>
      </c>
      <c r="BL226" s="331" t="n">
        <v>3.15</v>
      </c>
      <c r="BM226" s="331" t="n">
        <v>0</v>
      </c>
      <c r="BN226" s="362">
        <f>SUM(BJ226:BM226)</f>
        <v/>
      </c>
      <c r="BO226" s="362" t="n">
        <v>0</v>
      </c>
      <c r="BP226" s="362" t="n">
        <v>0</v>
      </c>
      <c r="BQ226" s="362" t="n">
        <v>0</v>
      </c>
      <c r="BR226" s="362" t="n">
        <v>0</v>
      </c>
      <c r="BS226" s="115" t="n"/>
      <c r="BT226" s="362">
        <f t="array" ref="BT226:BW226">_xlfn.HSTACK(SUM(INDEX($R226:$AV226,1,1):INDEX($R226:$AV226,1,7)),SUM(INDEX($R226:$AV226,1,7):INDEX($R226:$AV226,1,13)),SUM(INDEX($R226:$AV226,1,16):INDEX($R226:$AV226,1,23)),SUM(INDEX($R226:$AV226,1,23):INDEX($R226:$AV226,1,31)))</f>
        <v/>
      </c>
      <c r="BU226" s="362" t="n">
        <v>280</v>
      </c>
      <c r="BV226" s="362" t="n">
        <v>40</v>
      </c>
      <c r="BW226" s="362" t="n">
        <v>0</v>
      </c>
      <c r="BY226" s="362">
        <f>SUM(R226:X226)</f>
        <v/>
      </c>
      <c r="BZ226" s="362">
        <f>SUM(Y226:AE226)</f>
        <v/>
      </c>
      <c r="CA226" s="362">
        <f>SUM(AF226:AM226)</f>
        <v/>
      </c>
      <c r="CB226" s="362">
        <f>SUM(AN226:AV226)</f>
        <v/>
      </c>
      <c r="CD226" s="432" t="inlineStr">
        <is>
          <t>ADA</t>
        </is>
      </c>
      <c r="CE226" s="362">
        <f>ROUND(BY226*$O226/1000,2)</f>
        <v/>
      </c>
      <c r="CF226" s="362">
        <f>ROUND(BZ226*$O226/1000,2)</f>
        <v/>
      </c>
      <c r="CG226" s="362">
        <f>ROUND(CA226*$O226/1000,2)</f>
        <v/>
      </c>
      <c r="CH226" s="362">
        <f>ROUND(CB226*$O226/1000,2)</f>
        <v/>
      </c>
      <c r="CI226" s="362">
        <f>SUM(CE226:CH226)</f>
        <v/>
      </c>
      <c r="CJ226" s="390" t="n"/>
      <c r="CK226" s="362">
        <f>IFERROR(ROUND(BY226*$P226,2),"")</f>
        <v/>
      </c>
      <c r="CL226" s="362">
        <f>IFERROR(ROUND(BZ226*$P226,2),"")</f>
        <v/>
      </c>
      <c r="CM226" s="362">
        <f>IFERROR(ROUND(CA226*$P226,2),"")</f>
        <v/>
      </c>
      <c r="CN226" s="362">
        <f>IFERROR(ROUND(CB226*$P226,2),"")</f>
        <v/>
      </c>
      <c r="CO226" s="362">
        <f>SUM(CK226:CN226)</f>
        <v/>
      </c>
    </row>
    <row r="227" ht="15.6" customHeight="1" s="428">
      <c r="B227" s="344">
        <f>_xlfn.XLOOKUP(G227,销售需求表!A:A,销售需求表!C:C)</f>
        <v/>
      </c>
      <c r="C227" s="345">
        <f>IFERROR(MID(F227,FIND("R",F227)+1,4),"")</f>
        <v/>
      </c>
      <c r="D227" s="368">
        <f>B227&amp;C227&amp;"寸"</f>
        <v/>
      </c>
      <c r="E227" s="346">
        <f>LEFT(REPLACE(G227,1,2,""),FIND("[",REPLACE(G227,1,2,""))-1)&amp;"-"&amp;MID(REPLACE(G227,1,2,""),FIND("[",REPLACE(G227,1,2,""))+1,FIND("]",REPLACE(G227,1,2,""))-FIND("[",REPLACE(G227,1,2,""))-1)</f>
        <v/>
      </c>
      <c r="F227" s="347">
        <f>IFERROR(MID(G227,3,FIND("(",G227)-3)&amp;"-"&amp;SUBSTITUTE(MID(G227,FIND("[",G227)+1,FIND("]",G227)-FIND("[",G227)-1),"Strong Guard ",""),"")</f>
        <v/>
      </c>
      <c r="G227" s="366" t="inlineStr">
        <is>
          <t>ID385/65R22.5-20PR(160K)[VA916]VITOUR无内</t>
        </is>
      </c>
      <c r="H227" s="344" t="n">
        <v>500</v>
      </c>
      <c r="I227" s="348" t="n"/>
      <c r="J227" s="349">
        <f>IFERROR(LEFT(F227,FIND("-",F227))&amp;MID(F227,FIND("PR",F227,FIND("-",F227))+3,LEN(F227)),F227)</f>
        <v/>
      </c>
      <c r="K227" s="352">
        <f>_xlfn.XLOOKUP(F227,投产规格!E:E,投产规格!D:D,"未投产")</f>
        <v/>
      </c>
      <c r="L227" s="352">
        <f>IFERROR(_xlfn.XLOOKUP(F227,硫化工艺!B:B,硫化工艺!C:C),"")</f>
        <v/>
      </c>
      <c r="M227" s="430">
        <f>IF(L227="","",L227/(L227+$L$1/60))</f>
        <v/>
      </c>
      <c r="N227" s="352">
        <f>C227&amp;"全钢"</f>
        <v/>
      </c>
      <c r="O227" s="352">
        <f>IFERROR(_xlfn.XLOOKUP(F227,轮胎重量!J:J,轮胎重量!G:G),"")</f>
        <v/>
      </c>
      <c r="P227" s="352">
        <f>IFERROR(_xlfn.XLOOKUP(G227,硫化工艺!I:I,硫化工艺!J:J),"")</f>
        <v/>
      </c>
      <c r="Q227" s="352">
        <f>IFERROR(ROUND(1440/L227*(I227)*M227,0),"")</f>
        <v/>
      </c>
      <c r="R227" s="352" t="n"/>
      <c r="S227" s="352" t="n"/>
      <c r="T227" s="352" t="n"/>
      <c r="U227" s="352" t="n"/>
      <c r="V227" s="352" t="n"/>
      <c r="W227" s="352" t="n"/>
      <c r="X227" s="352" t="n">
        <v>40</v>
      </c>
      <c r="Y227" s="352" t="n">
        <v>40</v>
      </c>
      <c r="Z227" s="352" t="n">
        <v>40</v>
      </c>
      <c r="AA227" s="352" t="n">
        <v>40</v>
      </c>
      <c r="AB227" s="352" t="n">
        <v>40</v>
      </c>
      <c r="AC227" s="352" t="n">
        <v>40</v>
      </c>
      <c r="AD227" s="352" t="n">
        <v>40</v>
      </c>
      <c r="AE227" s="352" t="n">
        <v>40</v>
      </c>
      <c r="AF227" s="352" t="n">
        <v>40</v>
      </c>
      <c r="AG227" s="352" t="n">
        <v>40</v>
      </c>
      <c r="AH227" s="352" t="n"/>
      <c r="AI227" s="352" t="n"/>
      <c r="AJ227" s="352" t="n"/>
      <c r="AK227" s="352" t="n"/>
      <c r="AL227" s="352" t="n"/>
      <c r="AM227" s="352" t="n"/>
      <c r="AN227" s="352" t="n"/>
      <c r="AO227" s="352" t="n"/>
      <c r="AP227" s="352" t="n"/>
      <c r="AQ227" s="352" t="n"/>
      <c r="AR227" s="352" t="n"/>
      <c r="AS227" s="352" t="n"/>
      <c r="AT227" s="352" t="n"/>
      <c r="AU227" s="352" t="n"/>
      <c r="AV227" s="352" t="n"/>
      <c r="AW227" s="352">
        <f>IF(SUM(R227:AV227)=0,"",SUM(R227:AV227))</f>
        <v/>
      </c>
      <c r="AX227" s="431">
        <f>IFERROR(AW227*O227/1000,"")</f>
        <v/>
      </c>
      <c r="AY227" s="431">
        <f>IFERROR(ROUND(AW227*P227/10000,3),"")</f>
        <v/>
      </c>
      <c r="AZ227" s="354" t="n">
        <v>267.67</v>
      </c>
      <c r="BA227" s="355" t="n">
        <v>18.96</v>
      </c>
      <c r="BB227" s="355" t="n">
        <v>33.92</v>
      </c>
      <c r="BC227" s="355" t="n">
        <v>36.12</v>
      </c>
      <c r="BE227" s="331">
        <f>AZ227*AW227</f>
        <v/>
      </c>
      <c r="BF227" s="331">
        <f>BA227*AW227</f>
        <v/>
      </c>
      <c r="BG227" s="331">
        <f>BB227*AW227</f>
        <v/>
      </c>
      <c r="BH227" s="331">
        <f>BC227*AW227</f>
        <v/>
      </c>
      <c r="BJ227" s="356">
        <f t="array" ref="BJ227:BM227">_xlfn.LET(_xlpm.data,$R227:$AV227,_xlpm.starts,{1,8,16,23},_xlpm.lengths,{7,7,8,9},_xlpm.arr,_xlfn.MAP(_xlpm.starts,_xlpm.lengths,_xlfn.LAMBDA(_xlpm.s,_xlpm.l,SUM(INDEX(_xlpm.data,,_xlfn.SEQUENCE(,_xlpm.l,_xlpm.s))))),ROUND(_xlpm.arr*$O227/1000,2))</f>
        <v/>
      </c>
      <c r="BK227" s="331" t="n">
        <v>21.03</v>
      </c>
      <c r="BL227" s="331" t="n">
        <v>3</v>
      </c>
      <c r="BM227" s="331" t="n">
        <v>0</v>
      </c>
      <c r="BN227" s="362">
        <f>SUM(BJ227:BM227)</f>
        <v/>
      </c>
      <c r="BO227" s="362" t="n">
        <v>0</v>
      </c>
      <c r="BP227" s="362" t="n">
        <v>0</v>
      </c>
      <c r="BQ227" s="362" t="n">
        <v>0</v>
      </c>
      <c r="BR227" s="362" t="n">
        <v>0</v>
      </c>
      <c r="BT227" s="362">
        <f t="array" ref="BT227:BW227">_xlfn.HSTACK(SUM(INDEX($R227:$AV227,1,1):INDEX($R227:$AV227,1,7)),SUM(INDEX($R227:$AV227,1,7):INDEX($R227:$AV227,1,13)),SUM(INDEX($R227:$AV227,1,16):INDEX($R227:$AV227,1,23)),SUM(INDEX($R227:$AV227,1,23):INDEX($R227:$AV227,1,31)))</f>
        <v/>
      </c>
      <c r="BU227" s="362" t="n">
        <v>280</v>
      </c>
      <c r="BV227" s="362" t="n">
        <v>40</v>
      </c>
      <c r="BW227" s="362" t="n">
        <v>0</v>
      </c>
      <c r="BY227" s="362">
        <f>SUM(R227:X227)</f>
        <v/>
      </c>
      <c r="BZ227" s="362">
        <f>SUM(Y227:AE227)</f>
        <v/>
      </c>
      <c r="CA227" s="362">
        <f>SUM(AF227:AM227)</f>
        <v/>
      </c>
      <c r="CB227" s="362">
        <f>SUM(AN227:AV227)</f>
        <v/>
      </c>
      <c r="CD227" s="432" t="inlineStr">
        <is>
          <t>ADA</t>
        </is>
      </c>
      <c r="CE227" s="362">
        <f>ROUND(BY227*$O227/1000,2)</f>
        <v/>
      </c>
      <c r="CF227" s="362">
        <f>ROUND(BZ227*$O227/1000,2)</f>
        <v/>
      </c>
      <c r="CG227" s="362">
        <f>ROUND(CA227*$O227/1000,2)</f>
        <v/>
      </c>
      <c r="CH227" s="362">
        <f>ROUND(CB227*$O227/1000,2)</f>
        <v/>
      </c>
      <c r="CI227" s="362">
        <f>SUM(CE227:CH227)</f>
        <v/>
      </c>
      <c r="CK227" s="362">
        <f>IFERROR(ROUND(BY227*$P227,2),"")</f>
        <v/>
      </c>
      <c r="CL227" s="362">
        <f>IFERROR(ROUND(BZ227*$P227,2),"")</f>
        <v/>
      </c>
      <c r="CM227" s="362">
        <f>IFERROR(ROUND(CA227*$P227,2),"")</f>
        <v/>
      </c>
      <c r="CN227" s="362">
        <f>IFERROR(ROUND(CB227*$P227,2),"")</f>
        <v/>
      </c>
      <c r="CO227" s="362">
        <f>SUM(CK227:CN227)</f>
        <v/>
      </c>
    </row>
    <row r="228" hidden="1" ht="15.6" customHeight="1" s="428">
      <c r="B228" s="344">
        <f>_xlfn.XLOOKUP(G228,销售需求表!A:A,销售需求表!C:C)</f>
        <v/>
      </c>
      <c r="C228" s="345">
        <f>IFERROR(MID(F228,FIND("R",F228)+1,4),"")</f>
        <v/>
      </c>
      <c r="D228" s="368">
        <f>B228&amp;C228&amp;"寸"</f>
        <v/>
      </c>
      <c r="E228" s="346">
        <f>LEFT(REPLACE(G228,1,2,""),FIND("[",REPLACE(G228,1,2,""))-1)&amp;"-"&amp;MID(REPLACE(G228,1,2,""),FIND("[",REPLACE(G228,1,2,""))+1,FIND("]",REPLACE(G228,1,2,""))-FIND("[",REPLACE(G228,1,2,""))-1)</f>
        <v/>
      </c>
      <c r="F228" s="347">
        <f>IFERROR(MID(G228,3,FIND("(",G228)-3)&amp;"-"&amp;SUBSTITUTE(MID(G228,FIND("[",G228)+1,FIND("]",G228)-FIND("[",G228)-1),"Strong Guard ",""),"")</f>
        <v/>
      </c>
      <c r="G228" s="366" t="inlineStr">
        <is>
          <t>ID425/65R22.5-20PR(165K)[HA4 Plus]SUPERMAX无内</t>
        </is>
      </c>
      <c r="H228" s="344" t="n">
        <v>280</v>
      </c>
      <c r="I228" s="348" t="n"/>
      <c r="J228" s="349">
        <f>IFERROR(LEFT(F228,FIND("-",F228))&amp;MID(F228,FIND("PR",F228,FIND("-",F228))+3,LEN(F228)),F228)</f>
        <v/>
      </c>
      <c r="K228" s="352">
        <f>_xlfn.XLOOKUP(F228,投产规格!E:E,投产规格!D:D,"未投产")</f>
        <v/>
      </c>
      <c r="L228" s="352">
        <f>IFERROR(_xlfn.XLOOKUP(F228,硫化工艺!B:B,硫化工艺!C:C),"")</f>
        <v/>
      </c>
      <c r="M228" s="430">
        <f>IF(L228="","",L228/(L228+$L$1/60))</f>
        <v/>
      </c>
      <c r="N228" s="352">
        <f>C228&amp;"全钢"</f>
        <v/>
      </c>
      <c r="O228" s="352">
        <f>IFERROR(_xlfn.XLOOKUP(F228,轮胎重量!J:J,轮胎重量!G:G),"")</f>
        <v/>
      </c>
      <c r="P228" s="358">
        <f>O228*13.9</f>
        <v/>
      </c>
      <c r="Q228" s="352">
        <f>IFERROR(ROUND(1440/L228*(I228)*M228,0),"")</f>
        <v/>
      </c>
      <c r="R228" s="352" t="n"/>
      <c r="S228" s="352" t="n"/>
      <c r="T228" s="352" t="n"/>
      <c r="U228" s="352" t="n"/>
      <c r="V228" s="352" t="n"/>
      <c r="W228" s="352" t="n"/>
      <c r="X228" s="352" t="n"/>
      <c r="Y228" s="352" t="n"/>
      <c r="Z228" s="352" t="n"/>
      <c r="AA228" s="352" t="n"/>
      <c r="AB228" s="352" t="n"/>
      <c r="AC228" s="352" t="n"/>
      <c r="AD228" s="352" t="n"/>
      <c r="AE228" s="352" t="n"/>
      <c r="AF228" s="352" t="n"/>
      <c r="AG228" s="352" t="n"/>
      <c r="AH228" s="352" t="n"/>
      <c r="AI228" s="352" t="n"/>
      <c r="AJ228" s="352" t="n"/>
      <c r="AK228" s="352" t="n"/>
      <c r="AL228" s="352" t="n"/>
      <c r="AM228" s="352" t="n"/>
      <c r="AN228" s="352" t="n"/>
      <c r="AO228" s="352" t="n"/>
      <c r="AP228" s="352" t="n"/>
      <c r="AQ228" s="352" t="n"/>
      <c r="AR228" s="352" t="n"/>
      <c r="AS228" s="352" t="n"/>
      <c r="AT228" s="352" t="n"/>
      <c r="AU228" s="352" t="n"/>
      <c r="AV228" s="352" t="n"/>
      <c r="AW228" s="352">
        <f>IF(SUM(R228:AV228)=0,"",SUM(R228:AV228))</f>
        <v/>
      </c>
      <c r="AX228" s="431">
        <f>IFERROR(AW228*O228/1000,"")</f>
        <v/>
      </c>
      <c r="AY228" s="431">
        <f>IFERROR(ROUND(AW228*P228/10000,3),"")</f>
        <v/>
      </c>
      <c r="AZ228" s="359" t="n"/>
      <c r="BE228" s="331">
        <f>AZ228*AW228</f>
        <v/>
      </c>
      <c r="BF228" s="331">
        <f>BA228*AW228</f>
        <v/>
      </c>
      <c r="BG228" s="331">
        <f>BB228*AW228</f>
        <v/>
      </c>
      <c r="BH228" s="331">
        <f>BC228*AW228</f>
        <v/>
      </c>
      <c r="BJ228" s="356">
        <f t="array" ref="BJ228:BM228">_xlfn.LET(_xlpm.data,$R228:$AV228,_xlpm.starts,{1,8,16,23},_xlpm.lengths,{7,7,8,9},_xlpm.arr,_xlfn.MAP(_xlpm.starts,_xlpm.lengths,_xlfn.LAMBDA(_xlpm.s,_xlpm.l,SUM(INDEX(_xlpm.data,,_xlfn.SEQUENCE(,_xlpm.l,_xlpm.s))))),ROUND(_xlpm.arr*$O228/1000,2))</f>
        <v/>
      </c>
      <c r="BK228" s="331" t="n">
        <v>0</v>
      </c>
      <c r="BL228" s="331" t="n">
        <v>0</v>
      </c>
      <c r="BM228" s="331" t="n">
        <v>0</v>
      </c>
      <c r="BN228" s="362">
        <f>SUM(BJ228:BM228)</f>
        <v/>
      </c>
      <c r="BO228" s="362" t="n">
        <v>17.1</v>
      </c>
      <c r="BP228" s="362" t="n">
        <v>17.1</v>
      </c>
      <c r="BQ228" s="362" t="n">
        <v>19.55</v>
      </c>
      <c r="BR228" s="362" t="n">
        <v>21.99</v>
      </c>
      <c r="BT228" s="362">
        <f t="array" ref="BT228:BW228">_xlfn.HSTACK(SUM(INDEX($R228:$AV228,1,1):INDEX($R228:$AV228,1,7)),SUM(INDEX($R228:$AV228,1,7):INDEX($R228:$AV228,1,13)),SUM(INDEX($R228:$AV228,1,16):INDEX($R228:$AV228,1,23)),SUM(INDEX($R228:$AV228,1,23):INDEX($R228:$AV228,1,31)))</f>
        <v/>
      </c>
      <c r="BU228" s="362" t="n">
        <v>0</v>
      </c>
      <c r="BV228" s="362" t="n">
        <v>0</v>
      </c>
      <c r="BW228" s="362" t="n">
        <v>0</v>
      </c>
      <c r="BY228" s="362">
        <f>SUM(R228:X228)</f>
        <v/>
      </c>
      <c r="BZ228" s="362">
        <f>SUM(Y228:AE228)</f>
        <v/>
      </c>
      <c r="CA228" s="362">
        <f>SUM(AF228:AM228)</f>
        <v/>
      </c>
      <c r="CB228" s="362">
        <f>SUM(AN228:AV228)</f>
        <v/>
      </c>
      <c r="CD228" s="432" t="inlineStr">
        <is>
          <t>ADA</t>
        </is>
      </c>
      <c r="CE228" s="362">
        <f>ROUND(BY228*$O228/1000,2)</f>
        <v/>
      </c>
      <c r="CF228" s="362">
        <f>ROUND(BZ228*$O228/1000,2)</f>
        <v/>
      </c>
      <c r="CG228" s="362">
        <f>ROUND(CA228*$O228/1000,2)</f>
        <v/>
      </c>
      <c r="CH228" s="362">
        <f>ROUND(CB228*$O228/1000,2)</f>
        <v/>
      </c>
      <c r="CI228" s="362">
        <f>SUM(CE228:CH228)</f>
        <v/>
      </c>
      <c r="CK228" s="362">
        <f>IFERROR(ROUND(BY228*$P228,2),"")</f>
        <v/>
      </c>
      <c r="CL228" s="362">
        <f>IFERROR(ROUND(BZ228*$P228,2),"")</f>
        <v/>
      </c>
      <c r="CM228" s="362">
        <f>IFERROR(ROUND(CA228*$P228,2),"")</f>
        <v/>
      </c>
      <c r="CN228" s="362">
        <f>IFERROR(ROUND(CB228*$P228,2),"")</f>
        <v/>
      </c>
      <c r="CO228" s="362">
        <f>SUM(CK228:CN228)</f>
        <v/>
      </c>
    </row>
    <row r="229" ht="15.6" customHeight="1" s="428">
      <c r="B229" s="344">
        <f>_xlfn.XLOOKUP(G229,销售需求表!A:A,销售需求表!C:C)</f>
        <v/>
      </c>
      <c r="C229" s="345">
        <f>IFERROR(MID(F229,FIND("R",F229)+1,4),"")</f>
        <v/>
      </c>
      <c r="D229" s="368">
        <f>B229&amp;C229&amp;"寸"</f>
        <v/>
      </c>
      <c r="E229" s="346">
        <f>LEFT(REPLACE(G229,1,2,""),FIND("[",REPLACE(G229,1,2,""))-1)&amp;"-"&amp;MID(REPLACE(G229,1,2,""),FIND("[",REPLACE(G229,1,2,""))+1,FIND("]",REPLACE(G229,1,2,""))-FIND("[",REPLACE(G229,1,2,""))-1)</f>
        <v/>
      </c>
      <c r="F229" s="347">
        <f>IFERROR(MID(G229,3,FIND("(",G229)-3)&amp;"-"&amp;SUBSTITUTE(MID(G229,FIND("[",G229)+1,FIND("]",G229)-FIND("[",G229)-1),"Strong Guard ",""),"")</f>
        <v/>
      </c>
      <c r="G229" s="366" t="inlineStr">
        <is>
          <t>ID425/65R22.5-20PR(165K)[I-42W]IRONMAN无内</t>
        </is>
      </c>
      <c r="H229" s="344" t="n">
        <v>500</v>
      </c>
      <c r="I229" s="348" t="n"/>
      <c r="J229" s="349">
        <f>IFERROR(LEFT(F229,FIND("-",F229))&amp;MID(F229,FIND("PR",F229,FIND("-",F229))+3,LEN(F229)),F229)</f>
        <v/>
      </c>
      <c r="K229" s="352">
        <f>_xlfn.XLOOKUP(F229,投产规格!E:E,投产规格!D:D,"未投产")</f>
        <v/>
      </c>
      <c r="L229" s="352">
        <f>IFERROR(_xlfn.XLOOKUP(F229,硫化工艺!B:B,硫化工艺!C:C),"")</f>
        <v/>
      </c>
      <c r="M229" s="430">
        <f>IF(L229="","",L229/(L229+$L$1/60))</f>
        <v/>
      </c>
      <c r="N229" s="352">
        <f>C229&amp;"全钢"</f>
        <v/>
      </c>
      <c r="O229" s="352">
        <f>IFERROR(_xlfn.XLOOKUP(F229,轮胎重量!J:J,轮胎重量!G:G),"")</f>
        <v/>
      </c>
      <c r="P229" s="352">
        <f>IFERROR(_xlfn.XLOOKUP(G229,硫化工艺!I:I,硫化工艺!J:J),"")</f>
        <v/>
      </c>
      <c r="Q229" s="352">
        <f>IFERROR(ROUND(1440/L229*(I229)*M229,0),"")</f>
        <v/>
      </c>
      <c r="R229" s="352" t="n"/>
      <c r="S229" s="352" t="n"/>
      <c r="T229" s="352" t="n"/>
      <c r="U229" s="352" t="n"/>
      <c r="V229" s="352" t="n"/>
      <c r="W229" s="352" t="n"/>
      <c r="X229" s="352" t="n"/>
      <c r="Y229" s="352" t="n"/>
      <c r="Z229" s="352" t="n"/>
      <c r="AA229" s="352" t="n"/>
      <c r="AB229" s="352" t="n"/>
      <c r="AC229" s="352" t="n"/>
      <c r="AD229" s="352" t="n"/>
      <c r="AE229" s="352" t="n"/>
      <c r="AF229" s="352" t="n"/>
      <c r="AG229" s="352" t="n"/>
      <c r="AH229" s="352" t="n">
        <v>40</v>
      </c>
      <c r="AI229" s="352" t="n">
        <v>40</v>
      </c>
      <c r="AJ229" s="352" t="n">
        <v>40</v>
      </c>
      <c r="AK229" s="352" t="n">
        <v>40</v>
      </c>
      <c r="AL229" s="352" t="n">
        <v>40</v>
      </c>
      <c r="AM229" s="352" t="n">
        <v>40</v>
      </c>
      <c r="AN229" s="352" t="n">
        <v>40</v>
      </c>
      <c r="AO229" s="352" t="n">
        <v>40</v>
      </c>
      <c r="AP229" s="352" t="n">
        <v>40</v>
      </c>
      <c r="AQ229" s="352" t="n">
        <v>40</v>
      </c>
      <c r="AR229" s="352" t="n">
        <v>40</v>
      </c>
      <c r="AS229" s="352" t="n">
        <v>40</v>
      </c>
      <c r="AT229" s="352" t="n">
        <v>40</v>
      </c>
      <c r="AU229" s="352" t="n">
        <v>40</v>
      </c>
      <c r="AV229" s="352" t="n">
        <v>40</v>
      </c>
      <c r="AW229" s="352">
        <f>IF(SUM(R229:AV229)=0,"",SUM(R229:AV229))</f>
        <v/>
      </c>
      <c r="AX229" s="431">
        <f>IFERROR(AW229*O229/1000,"")</f>
        <v/>
      </c>
      <c r="AY229" s="431">
        <f>IFERROR(ROUND(AW229*P229/10000,3),"")</f>
        <v/>
      </c>
      <c r="AZ229" s="359" t="n"/>
      <c r="BE229" s="331">
        <f>AZ229*AW229</f>
        <v/>
      </c>
      <c r="BF229" s="331">
        <f>BA229*AW229</f>
        <v/>
      </c>
      <c r="BG229" s="331">
        <f>BB229*AW229</f>
        <v/>
      </c>
      <c r="BH229" s="331">
        <f>BC229*AW229</f>
        <v/>
      </c>
      <c r="BJ229" s="356">
        <f t="array" ref="BJ229:BM229">_xlfn.LET(_xlpm.data,$R229:$AV229,_xlpm.starts,{1,8,16,23},_xlpm.lengths,{7,7,8,9},_xlpm.arr,_xlfn.MAP(_xlpm.starts,_xlpm.lengths,_xlfn.LAMBDA(_xlpm.s,_xlpm.l,SUM(INDEX(_xlpm.data,,_xlfn.SEQUENCE(,_xlpm.l,_xlpm.s))))),ROUND(_xlpm.arr*$O229/1000,2))</f>
        <v/>
      </c>
      <c r="BK229" s="331" t="n">
        <v>0</v>
      </c>
      <c r="BL229" s="331" t="n">
        <v>24.91</v>
      </c>
      <c r="BM229" s="331" t="n">
        <v>32.03</v>
      </c>
      <c r="BN229" s="362">
        <f>SUM(BJ229:BM229)</f>
        <v/>
      </c>
      <c r="BO229" s="362" t="n">
        <v>17.42</v>
      </c>
      <c r="BP229" s="362" t="n">
        <v>17.42</v>
      </c>
      <c r="BQ229" s="362" t="n">
        <v>19.91</v>
      </c>
      <c r="BR229" s="362" t="n">
        <v>22.4</v>
      </c>
      <c r="BT229" s="362">
        <f t="array" ref="BT229:BW229">_xlfn.HSTACK(SUM(INDEX($R229:$AV229,1,1):INDEX($R229:$AV229,1,7)),SUM(INDEX($R229:$AV229,1,7):INDEX($R229:$AV229,1,13)),SUM(INDEX($R229:$AV229,1,16):INDEX($R229:$AV229,1,23)),SUM(INDEX($R229:$AV229,1,23):INDEX($R229:$AV229,1,31)))</f>
        <v/>
      </c>
      <c r="BU229" s="362" t="n">
        <v>0</v>
      </c>
      <c r="BV229" s="362" t="n">
        <v>280</v>
      </c>
      <c r="BW229" s="362" t="n">
        <v>360</v>
      </c>
      <c r="BY229" s="362">
        <f>SUM(R229:X229)</f>
        <v/>
      </c>
      <c r="BZ229" s="362">
        <f>SUM(Y229:AE229)</f>
        <v/>
      </c>
      <c r="CA229" s="362">
        <f>SUM(AF229:AM229)</f>
        <v/>
      </c>
      <c r="CB229" s="362">
        <f>SUM(AN229:AV229)</f>
        <v/>
      </c>
      <c r="CD229" s="432" t="inlineStr">
        <is>
          <t>ADA</t>
        </is>
      </c>
      <c r="CE229" s="362">
        <f>ROUND(BY229*$O229/1000,2)</f>
        <v/>
      </c>
      <c r="CF229" s="362">
        <f>ROUND(BZ229*$O229/1000,2)</f>
        <v/>
      </c>
      <c r="CG229" s="362">
        <f>ROUND(CA229*$O229/1000,2)</f>
        <v/>
      </c>
      <c r="CH229" s="362">
        <f>ROUND(CB229*$O229/1000,2)</f>
        <v/>
      </c>
      <c r="CI229" s="362">
        <f>SUM(CE229:CH229)</f>
        <v/>
      </c>
      <c r="CK229" s="362">
        <f>IFERROR(ROUND(BY229*$P229,2),"")</f>
        <v/>
      </c>
      <c r="CL229" s="362">
        <f>IFERROR(ROUND(BZ229*$P229,2),"")</f>
        <v/>
      </c>
      <c r="CM229" s="362">
        <f>IFERROR(ROUND(CA229*$P229,2),"")</f>
        <v/>
      </c>
      <c r="CN229" s="362">
        <f>IFERROR(ROUND(CB229*$P229,2),"")</f>
        <v/>
      </c>
      <c r="CO229" s="362">
        <f>SUM(CK229:CN229)</f>
        <v/>
      </c>
    </row>
    <row r="230" hidden="1" ht="15.6" customHeight="1" s="428">
      <c r="B230" s="344">
        <f>_xlfn.XLOOKUP(G230,销售需求表!A:A,销售需求表!C:C)</f>
        <v/>
      </c>
      <c r="C230" s="345">
        <f>IFERROR(MID(F230,FIND("R",F230)+1,4),"")</f>
        <v/>
      </c>
      <c r="D230" s="368">
        <f>B230&amp;C230&amp;"寸"</f>
        <v/>
      </c>
      <c r="E230" s="346">
        <f>LEFT(REPLACE(G230,1,2,""),FIND("[",REPLACE(G230,1,2,""))-1)&amp;"-"&amp;MID(REPLACE(G230,1,2,""),FIND("[",REPLACE(G230,1,2,""))+1,FIND("]",REPLACE(G230,1,2,""))-FIND("[",REPLACE(G230,1,2,""))-1)</f>
        <v/>
      </c>
      <c r="F230" s="347">
        <f>IFERROR(MID(G230,3,FIND("(",G230)-3)&amp;"-"&amp;SUBSTITUTE(MID(G230,FIND("[",G230)+1,FIND("]",G230)-FIND("[",G230)-1),"Strong Guard ",""),"")</f>
        <v/>
      </c>
      <c r="G230" s="366" t="inlineStr">
        <is>
          <t>ID425/65R22.5-20PR(165K)[M-TRAC MSF]MASTERTRACK无内</t>
        </is>
      </c>
      <c r="H230" s="344" t="n">
        <v>500</v>
      </c>
      <c r="I230" s="348" t="n"/>
      <c r="J230" s="349">
        <f>IFERROR(LEFT(F230,FIND("-",F230))&amp;MID(F230,FIND("PR",F230,FIND("-",F230))+3,LEN(F230)),F230)</f>
        <v/>
      </c>
      <c r="K230" s="352">
        <f>_xlfn.XLOOKUP(F230,投产规格!E:E,投产规格!D:D,"未投产")</f>
        <v/>
      </c>
      <c r="L230" s="352">
        <f>IFERROR(_xlfn.XLOOKUP(F230,硫化工艺!B:B,硫化工艺!C:C),"")</f>
        <v/>
      </c>
      <c r="M230" s="430">
        <f>IF(L230="","",L230/(L230+$L$1/60))</f>
        <v/>
      </c>
      <c r="N230" s="352">
        <f>C230&amp;"全钢"</f>
        <v/>
      </c>
      <c r="O230" s="352">
        <f>IFERROR(_xlfn.XLOOKUP(F230,轮胎重量!J:J,轮胎重量!G:G),"")</f>
        <v/>
      </c>
      <c r="P230" s="358">
        <f>O230*13.9</f>
        <v/>
      </c>
      <c r="Q230" s="352">
        <f>IFERROR(ROUND(1440/L230*(I230)*M230,0),"")</f>
        <v/>
      </c>
      <c r="R230" s="352" t="n"/>
      <c r="S230" s="352" t="n"/>
      <c r="T230" s="352" t="n"/>
      <c r="U230" s="352" t="n"/>
      <c r="V230" s="352" t="n"/>
      <c r="W230" s="352" t="n"/>
      <c r="X230" s="352" t="n"/>
      <c r="Y230" s="352" t="n"/>
      <c r="Z230" s="352" t="n"/>
      <c r="AA230" s="352" t="n"/>
      <c r="AB230" s="352" t="n"/>
      <c r="AC230" s="352" t="n"/>
      <c r="AD230" s="352" t="n"/>
      <c r="AE230" s="352" t="n"/>
      <c r="AF230" s="352" t="n"/>
      <c r="AG230" s="352" t="n"/>
      <c r="AH230" s="352" t="n"/>
      <c r="AI230" s="352" t="n"/>
      <c r="AJ230" s="352" t="n"/>
      <c r="AK230" s="352" t="n"/>
      <c r="AL230" s="352" t="n"/>
      <c r="AM230" s="352" t="n"/>
      <c r="AN230" s="352" t="n"/>
      <c r="AO230" s="352" t="n"/>
      <c r="AP230" s="352" t="n"/>
      <c r="AQ230" s="352" t="n"/>
      <c r="AR230" s="352" t="n"/>
      <c r="AS230" s="352" t="n"/>
      <c r="AT230" s="352" t="n"/>
      <c r="AU230" s="352" t="n"/>
      <c r="AV230" s="352" t="n"/>
      <c r="AW230" s="352">
        <f>IF(SUM(R230:AV230)=0,"",SUM(R230:AV230))</f>
        <v/>
      </c>
      <c r="AX230" s="431">
        <f>IFERROR(AW230*O230/1000,"")</f>
        <v/>
      </c>
      <c r="AY230" s="431">
        <f>IFERROR(ROUND(AW230*P230/10000,3),"")</f>
        <v/>
      </c>
      <c r="AZ230" s="359" t="n"/>
      <c r="BE230" s="331">
        <f>AZ230*AW230</f>
        <v/>
      </c>
      <c r="BF230" s="331">
        <f>BA230*AW230</f>
        <v/>
      </c>
      <c r="BG230" s="331">
        <f>BB230*AW230</f>
        <v/>
      </c>
      <c r="BH230" s="331">
        <f>BC230*AW230</f>
        <v/>
      </c>
      <c r="BJ230" s="356">
        <f t="array" ref="BJ230:BM230">_xlfn.LET(_xlpm.data,$R230:$AV230,_xlpm.starts,{1,8,16,23},_xlpm.lengths,{7,7,8,9},_xlpm.arr,_xlfn.MAP(_xlpm.starts,_xlpm.lengths,_xlfn.LAMBDA(_xlpm.s,_xlpm.l,SUM(INDEX(_xlpm.data,,_xlfn.SEQUENCE(,_xlpm.l,_xlpm.s))))),ROUND(_xlpm.arr*$O230/1000,2))</f>
        <v/>
      </c>
      <c r="BK230" s="331" t="n">
        <v>0</v>
      </c>
      <c r="BL230" s="331" t="n">
        <v>0</v>
      </c>
      <c r="BM230" s="331" t="n">
        <v>0</v>
      </c>
      <c r="BN230" s="362">
        <f>SUM(BJ230:BM230)</f>
        <v/>
      </c>
      <c r="BO230" s="362" t="n">
        <v>0</v>
      </c>
      <c r="BP230" s="362" t="n">
        <v>0</v>
      </c>
      <c r="BQ230" s="362" t="n">
        <v>0</v>
      </c>
      <c r="BR230" s="362" t="n">
        <v>0</v>
      </c>
      <c r="BT230" s="362">
        <f t="array" ref="BT230:BW230">_xlfn.HSTACK(SUM(INDEX($R230:$AV230,1,1):INDEX($R230:$AV230,1,7)),SUM(INDEX($R230:$AV230,1,7):INDEX($R230:$AV230,1,13)),SUM(INDEX($R230:$AV230,1,16):INDEX($R230:$AV230,1,23)),SUM(INDEX($R230:$AV230,1,23):INDEX($R230:$AV230,1,31)))</f>
        <v/>
      </c>
      <c r="BU230" s="362" t="n">
        <v>0</v>
      </c>
      <c r="BV230" s="362" t="n">
        <v>0</v>
      </c>
      <c r="BW230" s="362" t="n">
        <v>0</v>
      </c>
      <c r="BY230" s="362">
        <f>SUM(R230:X230)</f>
        <v/>
      </c>
      <c r="BZ230" s="362">
        <f>SUM(Y230:AE230)</f>
        <v/>
      </c>
      <c r="CA230" s="362">
        <f>SUM(AF230:AM230)</f>
        <v/>
      </c>
      <c r="CB230" s="362">
        <f>SUM(AN230:AV230)</f>
        <v/>
      </c>
      <c r="CD230" s="432" t="inlineStr">
        <is>
          <t>ADA</t>
        </is>
      </c>
      <c r="CE230" s="362">
        <f>ROUND(BY230*$O230/1000,2)</f>
        <v/>
      </c>
      <c r="CF230" s="362">
        <f>ROUND(BZ230*$O230/1000,2)</f>
        <v/>
      </c>
      <c r="CG230" s="362">
        <f>ROUND(CA230*$O230/1000,2)</f>
        <v/>
      </c>
      <c r="CH230" s="362">
        <f>ROUND(CB230*$O230/1000,2)</f>
        <v/>
      </c>
      <c r="CI230" s="362">
        <f>SUM(CE230:CH230)</f>
        <v/>
      </c>
      <c r="CK230" s="362">
        <f>IFERROR(ROUND(BY230*$P230,2),"")</f>
        <v/>
      </c>
      <c r="CL230" s="362">
        <f>IFERROR(ROUND(BZ230*$P230,2),"")</f>
        <v/>
      </c>
      <c r="CM230" s="362">
        <f>IFERROR(ROUND(CA230*$P230,2),"")</f>
        <v/>
      </c>
      <c r="CN230" s="362">
        <f>IFERROR(ROUND(CB230*$P230,2),"")</f>
        <v/>
      </c>
      <c r="CO230" s="362">
        <f>SUM(CK230:CN230)</f>
        <v/>
      </c>
    </row>
    <row r="231" ht="15.6" customHeight="1" s="428">
      <c r="B231" s="344">
        <f>_xlfn.XLOOKUP(G231,销售需求表!A:A,销售需求表!C:C)</f>
        <v/>
      </c>
      <c r="C231" s="345">
        <f>IFERROR(MID(F231,FIND("R",F231)+1,4),"")</f>
        <v/>
      </c>
      <c r="D231" s="368">
        <f>B231&amp;C231&amp;"寸"</f>
        <v/>
      </c>
      <c r="E231" s="346">
        <f>LEFT(REPLACE(G231,1,2,""),FIND("[",REPLACE(G231,1,2,""))-1)&amp;"-"&amp;MID(REPLACE(G231,1,2,""),FIND("[",REPLACE(G231,1,2,""))+1,FIND("]",REPLACE(G231,1,2,""))-FIND("[",REPLACE(G231,1,2,""))-1)</f>
        <v/>
      </c>
      <c r="F231" s="347">
        <f>IFERROR(MID(G231,3,FIND("(",G231)-3)&amp;"-"&amp;SUBSTITUTE(MID(G231,FIND("[",G231)+1,FIND("]",G231)-FIND("[",G231)-1),"Strong Guard ",""),"")</f>
        <v/>
      </c>
      <c r="G231" s="366" t="inlineStr">
        <is>
          <t>ID425/65R22.5-20PR(165K)[Strong Guard H-MW]HERCULES无内</t>
        </is>
      </c>
      <c r="H231" s="344" t="n">
        <v>920</v>
      </c>
      <c r="I231" s="348" t="n"/>
      <c r="J231" s="349">
        <f>IFERROR(LEFT(F231,FIND("-",F231))&amp;MID(F231,FIND("PR",F231,FIND("-",F231))+3,LEN(F231)),F231)</f>
        <v/>
      </c>
      <c r="K231" s="352">
        <f>_xlfn.XLOOKUP(F231,投产规格!E:E,投产规格!D:D,"未投产")</f>
        <v/>
      </c>
      <c r="L231" s="352">
        <f>IFERROR(_xlfn.XLOOKUP(F231,硫化工艺!B:B,硫化工艺!C:C),"")</f>
        <v/>
      </c>
      <c r="M231" s="430">
        <f>IF(L231="","",L231/(L231+$L$1/60))</f>
        <v/>
      </c>
      <c r="N231" s="352">
        <f>C231&amp;"全钢"</f>
        <v/>
      </c>
      <c r="O231" s="352">
        <f>IFERROR(_xlfn.XLOOKUP(F231,轮胎重量!J:J,轮胎重量!G:G),"")</f>
        <v/>
      </c>
      <c r="P231" s="352">
        <f>IFERROR(_xlfn.XLOOKUP(G231,硫化工艺!I:I,硫化工艺!J:J),"")</f>
        <v/>
      </c>
      <c r="Q231" s="352">
        <f>IFERROR(ROUND(1440/L231*(I231)*M231,0),"")</f>
        <v/>
      </c>
      <c r="R231" s="352" t="n"/>
      <c r="S231" s="352" t="n"/>
      <c r="T231" s="352" t="n"/>
      <c r="U231" s="352" t="n"/>
      <c r="V231" s="352" t="n"/>
      <c r="W231" s="352" t="n"/>
      <c r="X231" s="352" t="n"/>
      <c r="Y231" s="352" t="n"/>
      <c r="Z231" s="352" t="n"/>
      <c r="AA231" s="352" t="n"/>
      <c r="AB231" s="352" t="n"/>
      <c r="AC231" s="352" t="n"/>
      <c r="AD231" s="352" t="n"/>
      <c r="AE231" s="352" t="n"/>
      <c r="AF231" s="352" t="n"/>
      <c r="AG231" s="352" t="n"/>
      <c r="AH231" s="352" t="n">
        <v>80</v>
      </c>
      <c r="AI231" s="352" t="n">
        <v>80</v>
      </c>
      <c r="AJ231" s="352" t="n">
        <v>80</v>
      </c>
      <c r="AK231" s="352" t="n">
        <v>80</v>
      </c>
      <c r="AL231" s="352" t="n">
        <v>80</v>
      </c>
      <c r="AM231" s="352" t="n">
        <v>80</v>
      </c>
      <c r="AN231" s="352" t="n">
        <v>40</v>
      </c>
      <c r="AO231" s="352" t="n">
        <v>40</v>
      </c>
      <c r="AP231" s="352" t="n">
        <v>40</v>
      </c>
      <c r="AQ231" s="352" t="n">
        <v>40</v>
      </c>
      <c r="AR231" s="352" t="n">
        <v>40</v>
      </c>
      <c r="AS231" s="352" t="n">
        <v>40</v>
      </c>
      <c r="AT231" s="352" t="n">
        <v>40</v>
      </c>
      <c r="AU231" s="352" t="n">
        <v>40</v>
      </c>
      <c r="AV231" s="352" t="n">
        <v>40</v>
      </c>
      <c r="AW231" s="352">
        <f>IF(SUM(R231:AV231)=0,"",SUM(R231:AV231))</f>
        <v/>
      </c>
      <c r="AX231" s="431">
        <f>IFERROR(AW231*O231/1000,"")</f>
        <v/>
      </c>
      <c r="AY231" s="431">
        <f>IFERROR(ROUND(AW231*P231/10000,3),"")</f>
        <v/>
      </c>
      <c r="AZ231" s="354" t="n">
        <v>286.15</v>
      </c>
      <c r="BA231" s="355" t="n">
        <v>19.86</v>
      </c>
      <c r="BB231" s="355" t="n">
        <v>35.02</v>
      </c>
      <c r="BC231" s="355" t="n">
        <v>37.26</v>
      </c>
      <c r="BE231" s="331">
        <f>AZ231*AW231</f>
        <v/>
      </c>
      <c r="BF231" s="331">
        <f>BA231*AW231</f>
        <v/>
      </c>
      <c r="BG231" s="331">
        <f>BB231*AW231</f>
        <v/>
      </c>
      <c r="BH231" s="331">
        <f>BC231*AW231</f>
        <v/>
      </c>
      <c r="BJ231" s="356">
        <f t="array" ref="BJ231:BM231">_xlfn.LET(_xlpm.data,$R231:$AV231,_xlpm.starts,{1,8,16,23},_xlpm.lengths,{7,7,8,9},_xlpm.arr,_xlfn.MAP(_xlpm.starts,_xlpm.lengths,_xlfn.LAMBDA(_xlpm.s,_xlpm.l,SUM(INDEX(_xlpm.data,,_xlfn.SEQUENCE(,_xlpm.l,_xlpm.s))))),ROUND(_xlpm.arr*$O231/1000,2))</f>
        <v/>
      </c>
      <c r="BK231" s="331" t="n">
        <v>0</v>
      </c>
      <c r="BL231" s="331" t="n">
        <v>48.71</v>
      </c>
      <c r="BM231" s="331" t="n">
        <v>33.72</v>
      </c>
      <c r="BN231" s="362">
        <f>SUM(BJ231:BM231)</f>
        <v/>
      </c>
      <c r="BO231" s="362" t="n">
        <v>17.18</v>
      </c>
      <c r="BP231" s="362" t="n">
        <v>17.18</v>
      </c>
      <c r="BQ231" s="362" t="n">
        <v>19.63</v>
      </c>
      <c r="BR231" s="362" t="n">
        <v>22.08</v>
      </c>
      <c r="BT231" s="362">
        <f t="array" ref="BT231:BW231">_xlfn.HSTACK(SUM(INDEX($R231:$AV231,1,1):INDEX($R231:$AV231,1,7)),SUM(INDEX($R231:$AV231,1,7):INDEX($R231:$AV231,1,13)),SUM(INDEX($R231:$AV231,1,16):INDEX($R231:$AV231,1,23)),SUM(INDEX($R231:$AV231,1,23):INDEX($R231:$AV231,1,31)))</f>
        <v/>
      </c>
      <c r="BU231" s="362" t="n">
        <v>0</v>
      </c>
      <c r="BV231" s="362" t="n">
        <v>520</v>
      </c>
      <c r="BW231" s="362" t="n">
        <v>360</v>
      </c>
      <c r="BY231" s="362">
        <f>SUM(R231:X231)</f>
        <v/>
      </c>
      <c r="BZ231" s="362">
        <f>SUM(Y231:AE231)</f>
        <v/>
      </c>
      <c r="CA231" s="362">
        <f>SUM(AF231:AM231)</f>
        <v/>
      </c>
      <c r="CB231" s="362">
        <f>SUM(AN231:AV231)</f>
        <v/>
      </c>
      <c r="CD231" s="432" t="inlineStr">
        <is>
          <t>ADA</t>
        </is>
      </c>
      <c r="CE231" s="362">
        <f>ROUND(BY231*$O231/1000,2)</f>
        <v/>
      </c>
      <c r="CF231" s="362">
        <f>ROUND(BZ231*$O231/1000,2)</f>
        <v/>
      </c>
      <c r="CG231" s="362">
        <f>ROUND(CA231*$O231/1000,2)</f>
        <v/>
      </c>
      <c r="CH231" s="362">
        <f>ROUND(CB231*$O231/1000,2)</f>
        <v/>
      </c>
      <c r="CI231" s="362">
        <f>SUM(CE231:CH231)</f>
        <v/>
      </c>
      <c r="CK231" s="362">
        <f>IFERROR(ROUND(BY231*$P231,2),"")</f>
        <v/>
      </c>
      <c r="CL231" s="362">
        <f>IFERROR(ROUND(BZ231*$P231,2),"")</f>
        <v/>
      </c>
      <c r="CM231" s="362">
        <f>IFERROR(ROUND(CA231*$P231,2),"")</f>
        <v/>
      </c>
      <c r="CN231" s="362">
        <f>IFERROR(ROUND(CB231*$P231,2),"")</f>
        <v/>
      </c>
      <c r="CO231" s="362">
        <f>SUM(CK231:CN231)</f>
        <v/>
      </c>
    </row>
    <row r="232" ht="15.6" customHeight="1" s="428">
      <c r="B232" s="344">
        <f>_xlfn.XLOOKUP(G232,销售需求表!A:A,销售需求表!C:C)</f>
        <v/>
      </c>
      <c r="C232" s="345">
        <f>IFERROR(MID(F232,FIND("R",F232)+1,4),"")</f>
        <v/>
      </c>
      <c r="D232" s="368">
        <f>B232&amp;C232&amp;"寸"</f>
        <v/>
      </c>
      <c r="E232" s="346">
        <f>LEFT(REPLACE(G232,1,2,""),FIND("[",REPLACE(G232,1,2,""))-1)&amp;"-"&amp;MID(REPLACE(G232,1,2,""),FIND("[",REPLACE(G232,1,2,""))+1,FIND("]",REPLACE(G232,1,2,""))-FIND("[",REPLACE(G232,1,2,""))-1)</f>
        <v/>
      </c>
      <c r="F232" s="347">
        <f>IFERROR(MID(G232,3,FIND("(",G232)-3)&amp;"-"&amp;SUBSTITUTE(MID(G232,FIND("[",G232)+1,FIND("]",G232)-FIND("[",G232)-1),"Strong Guard ",""),"")</f>
        <v/>
      </c>
      <c r="G232" s="366" t="inlineStr">
        <is>
          <t>ID425/65R22.5-20PR(165K)[VA916]VITOUR无内</t>
        </is>
      </c>
      <c r="H232" s="344" t="n">
        <v>500</v>
      </c>
      <c r="I232" s="348" t="n"/>
      <c r="J232" s="349">
        <f>IFERROR(LEFT(F232,FIND("-",F232))&amp;MID(F232,FIND("PR",F232,FIND("-",F232))+3,LEN(F232)),F232)</f>
        <v/>
      </c>
      <c r="K232" s="352">
        <f>_xlfn.XLOOKUP(F232,投产规格!E:E,投产规格!D:D,"未投产")</f>
        <v/>
      </c>
      <c r="L232" s="352">
        <f>IFERROR(_xlfn.XLOOKUP(F232,硫化工艺!B:B,硫化工艺!C:C),"")</f>
        <v/>
      </c>
      <c r="M232" s="430">
        <f>IF(L232="","",L232/(L232+$L$1/60))</f>
        <v/>
      </c>
      <c r="N232" s="352">
        <f>C232&amp;"全钢"</f>
        <v/>
      </c>
      <c r="O232" s="352">
        <f>IFERROR(_xlfn.XLOOKUP(F232,轮胎重量!J:J,轮胎重量!G:G),"")</f>
        <v/>
      </c>
      <c r="P232" s="352">
        <f>IFERROR(_xlfn.XLOOKUP(G232,硫化工艺!I:I,硫化工艺!J:J),"")</f>
        <v/>
      </c>
      <c r="Q232" s="352">
        <f>IFERROR(ROUND(1440/L232*(I232)*M232,0),"")</f>
        <v/>
      </c>
      <c r="R232" s="352" t="n"/>
      <c r="S232" s="352" t="n"/>
      <c r="T232" s="352" t="n"/>
      <c r="U232" s="352" t="n"/>
      <c r="V232" s="352" t="n"/>
      <c r="W232" s="352" t="n"/>
      <c r="X232" s="352" t="n"/>
      <c r="Y232" s="352" t="n"/>
      <c r="Z232" s="352" t="n"/>
      <c r="AA232" s="352" t="n"/>
      <c r="AB232" s="352" t="n"/>
      <c r="AC232" s="352" t="n"/>
      <c r="AD232" s="352" t="n"/>
      <c r="AE232" s="352" t="n"/>
      <c r="AF232" s="352" t="n"/>
      <c r="AG232" s="352" t="n"/>
      <c r="AH232" s="352" t="n"/>
      <c r="AI232" s="352" t="n"/>
      <c r="AJ232" s="352" t="n"/>
      <c r="AK232" s="352" t="n"/>
      <c r="AL232" s="352" t="n"/>
      <c r="AM232" s="352" t="n"/>
      <c r="AN232" s="352" t="n">
        <v>40</v>
      </c>
      <c r="AO232" s="352" t="n">
        <v>40</v>
      </c>
      <c r="AP232" s="352" t="n">
        <v>40</v>
      </c>
      <c r="AQ232" s="352" t="n">
        <v>40</v>
      </c>
      <c r="AR232" s="352" t="n">
        <v>40</v>
      </c>
      <c r="AS232" s="352" t="n">
        <v>40</v>
      </c>
      <c r="AT232" s="352" t="n">
        <v>40</v>
      </c>
      <c r="AU232" s="352" t="n">
        <v>40</v>
      </c>
      <c r="AV232" s="352" t="n">
        <v>40</v>
      </c>
      <c r="AW232" s="352">
        <f>IF(SUM(R232:AV232)=0,"",SUM(R232:AV232))</f>
        <v/>
      </c>
      <c r="AX232" s="431">
        <f>IFERROR(AW232*O232/1000,"")</f>
        <v/>
      </c>
      <c r="AY232" s="431">
        <f>IFERROR(ROUND(AW232*P232/10000,3),"")</f>
        <v/>
      </c>
      <c r="AZ232" s="354" t="n">
        <v>286.15</v>
      </c>
      <c r="BA232" s="355" t="n">
        <v>19.86</v>
      </c>
      <c r="BB232" s="355" t="n">
        <v>35.02</v>
      </c>
      <c r="BC232" s="355" t="n">
        <v>37.26</v>
      </c>
      <c r="BE232" s="331">
        <f>AZ232*AW232</f>
        <v/>
      </c>
      <c r="BF232" s="331">
        <f>BA232*AW232</f>
        <v/>
      </c>
      <c r="BG232" s="331">
        <f>BB232*AW232</f>
        <v/>
      </c>
      <c r="BH232" s="331">
        <f>BC232*AW232</f>
        <v/>
      </c>
      <c r="BJ232" s="356">
        <f t="array" ref="BJ232:BM232">_xlfn.LET(_xlpm.data,$R232:$AV232,_xlpm.starts,{1,8,16,23},_xlpm.lengths,{7,7,8,9},_xlpm.arr,_xlfn.MAP(_xlpm.starts,_xlpm.lengths,_xlfn.LAMBDA(_xlpm.s,_xlpm.l,SUM(INDEX(_xlpm.data,,_xlfn.SEQUENCE(,_xlpm.l,_xlpm.s))))),ROUND(_xlpm.arr*$O232/1000,2))</f>
        <v/>
      </c>
      <c r="BK232" s="331" t="n">
        <v>0</v>
      </c>
      <c r="BL232" s="331" t="n">
        <v>3.59</v>
      </c>
      <c r="BM232" s="331" t="n">
        <v>32.32</v>
      </c>
      <c r="BN232" s="362">
        <f>SUM(BJ232:BM232)</f>
        <v/>
      </c>
      <c r="BO232" s="362" t="n">
        <v>0</v>
      </c>
      <c r="BP232" s="362" t="n">
        <v>0</v>
      </c>
      <c r="BQ232" s="362" t="n">
        <v>0</v>
      </c>
      <c r="BR232" s="362" t="n">
        <v>0</v>
      </c>
      <c r="BT232" s="362">
        <f t="array" ref="BT232:BW232">_xlfn.HSTACK(SUM(INDEX($R232:$AV232,1,1):INDEX($R232:$AV232,1,7)),SUM(INDEX($R232:$AV232,1,7):INDEX($R232:$AV232,1,13)),SUM(INDEX($R232:$AV232,1,16):INDEX($R232:$AV232,1,23)),SUM(INDEX($R232:$AV232,1,23):INDEX($R232:$AV232,1,31)))</f>
        <v/>
      </c>
      <c r="BU232" s="362" t="n">
        <v>0</v>
      </c>
      <c r="BV232" s="362" t="n">
        <v>40</v>
      </c>
      <c r="BW232" s="362" t="n">
        <v>360</v>
      </c>
      <c r="BY232" s="362">
        <f>SUM(R232:X232)</f>
        <v/>
      </c>
      <c r="BZ232" s="362">
        <f>SUM(Y232:AE232)</f>
        <v/>
      </c>
      <c r="CA232" s="362">
        <f>SUM(AF232:AM232)</f>
        <v/>
      </c>
      <c r="CB232" s="362">
        <f>SUM(AN232:AV232)</f>
        <v/>
      </c>
      <c r="CD232" s="432" t="inlineStr">
        <is>
          <t>ADA</t>
        </is>
      </c>
      <c r="CE232" s="362">
        <f>ROUND(BY232*$O232/1000,2)</f>
        <v/>
      </c>
      <c r="CF232" s="362">
        <f>ROUND(BZ232*$O232/1000,2)</f>
        <v/>
      </c>
      <c r="CG232" s="362">
        <f>ROUND(CA232*$O232/1000,2)</f>
        <v/>
      </c>
      <c r="CH232" s="362">
        <f>ROUND(CB232*$O232/1000,2)</f>
        <v/>
      </c>
      <c r="CI232" s="362">
        <f>SUM(CE232:CH232)</f>
        <v/>
      </c>
      <c r="CK232" s="362">
        <f>IFERROR(ROUND(BY232*$P232,2),"")</f>
        <v/>
      </c>
      <c r="CL232" s="362">
        <f>IFERROR(ROUND(BZ232*$P232,2),"")</f>
        <v/>
      </c>
      <c r="CM232" s="362">
        <f>IFERROR(ROUND(CA232*$P232,2),"")</f>
        <v/>
      </c>
      <c r="CN232" s="362">
        <f>IFERROR(ROUND(CB232*$P232,2),"")</f>
        <v/>
      </c>
      <c r="CO232" s="362">
        <f>SUM(CK232:CN232)</f>
        <v/>
      </c>
    </row>
    <row r="233" hidden="1" ht="15.6" customHeight="1" s="428">
      <c r="B233" s="344">
        <f>_xlfn.XLOOKUP(G233,销售需求表!A:A,销售需求表!C:C)</f>
        <v/>
      </c>
      <c r="C233" s="345">
        <f>IFERROR(MID(F233,FIND("R",F233)+1,4),"")</f>
        <v/>
      </c>
      <c r="D233" s="368">
        <f>B233&amp;C233&amp;"寸"</f>
        <v/>
      </c>
      <c r="E233" s="346">
        <f>LEFT(REPLACE(G233,1,2,""),FIND("[",REPLACE(G233,1,2,""))-1)&amp;"-"&amp;MID(REPLACE(G233,1,2,""),FIND("[",REPLACE(G233,1,2,""))+1,FIND("]",REPLACE(G233,1,2,""))-FIND("[",REPLACE(G233,1,2,""))-1)</f>
        <v/>
      </c>
      <c r="F233" s="347">
        <f>IFERROR(MID(G233,3,FIND("(",G233)-3)&amp;"-"&amp;SUBSTITUTE(MID(G233,FIND("[",G233)+1,FIND("]",G233)-FIND("[",G233)-1),"Strong Guard ",""),"")</f>
        <v/>
      </c>
      <c r="G233" s="366" t="inlineStr">
        <is>
          <t>ID445/50R22.5-20PR(161L)[AD755]ARISUN无内</t>
        </is>
      </c>
      <c r="H233" s="344" t="n">
        <v>160</v>
      </c>
      <c r="I233" s="348" t="n"/>
      <c r="J233" s="349">
        <f>IFERROR(LEFT(F233,FIND("-",F233))&amp;MID(F233,FIND("PR",F233,FIND("-",F233))+3,LEN(F233)),F233)</f>
        <v/>
      </c>
      <c r="K233" s="352">
        <f>_xlfn.XLOOKUP(F233,投产规格!E:E,投产规格!D:D,"未投产")</f>
        <v/>
      </c>
      <c r="L233" s="352">
        <f>IFERROR(_xlfn.XLOOKUP(F233,硫化工艺!B:B,硫化工艺!C:C),"")</f>
        <v/>
      </c>
      <c r="M233" s="430">
        <f>IF(L233="","",L233/(L233+$L$1/60))</f>
        <v/>
      </c>
      <c r="N233" s="352">
        <f>C233&amp;"全钢"</f>
        <v/>
      </c>
      <c r="O233" s="352">
        <f>IFERROR(_xlfn.XLOOKUP(F233,轮胎重量!J:J,轮胎重量!G:G),"")</f>
        <v/>
      </c>
      <c r="P233" s="352">
        <f>IFERROR(_xlfn.XLOOKUP(G233,硫化工艺!I:I,硫化工艺!J:J),"")</f>
        <v/>
      </c>
      <c r="Q233" s="352">
        <f>IFERROR(ROUND(1440/L233*(I233)*M233,0),"")</f>
        <v/>
      </c>
      <c r="R233" s="352" t="n"/>
      <c r="S233" s="352" t="n"/>
      <c r="T233" s="352" t="n"/>
      <c r="U233" s="352" t="n"/>
      <c r="V233" s="352" t="n"/>
      <c r="W233" s="352" t="n"/>
      <c r="X233" s="352" t="n"/>
      <c r="Y233" s="352" t="n"/>
      <c r="Z233" s="352" t="n"/>
      <c r="AA233" s="352" t="n"/>
      <c r="AB233" s="352" t="n"/>
      <c r="AC233" s="352" t="n"/>
      <c r="AD233" s="352" t="n"/>
      <c r="AE233" s="352" t="n"/>
      <c r="AF233" s="352" t="n"/>
      <c r="AG233" s="352" t="n"/>
      <c r="AH233" s="352" t="n"/>
      <c r="AI233" s="352" t="n"/>
      <c r="AJ233" s="352" t="n"/>
      <c r="AK233" s="352" t="n"/>
      <c r="AL233" s="352" t="n"/>
      <c r="AM233" s="352" t="n"/>
      <c r="AN233" s="352" t="n"/>
      <c r="AO233" s="352" t="n"/>
      <c r="AP233" s="352" t="n"/>
      <c r="AQ233" s="352" t="n"/>
      <c r="AR233" s="352" t="n"/>
      <c r="AS233" s="352" t="n"/>
      <c r="AT233" s="352" t="n"/>
      <c r="AU233" s="352" t="n"/>
      <c r="AV233" s="352" t="n"/>
      <c r="AW233" s="352">
        <f>IF(SUM(R233:AV233)=0,"",SUM(R233:AV233))</f>
        <v/>
      </c>
      <c r="AX233" s="431">
        <f>IFERROR(AW233*O233/1000,"")</f>
        <v/>
      </c>
      <c r="AY233" s="431">
        <f>IFERROR(ROUND(AW233*P233/10000,3),"")</f>
        <v/>
      </c>
      <c r="AZ233" s="354" t="n">
        <v>277.61</v>
      </c>
      <c r="BA233" s="355" t="n">
        <v>18.99</v>
      </c>
      <c r="BB233" s="355" t="n">
        <v>33.91</v>
      </c>
      <c r="BC233" s="355" t="n">
        <v>36.31</v>
      </c>
      <c r="BE233" s="331">
        <f>AZ233*AW233</f>
        <v/>
      </c>
      <c r="BF233" s="331">
        <f>BA233*AW233</f>
        <v/>
      </c>
      <c r="BG233" s="331">
        <f>BB233*AW233</f>
        <v/>
      </c>
      <c r="BH233" s="331">
        <f>BC233*AW233</f>
        <v/>
      </c>
      <c r="BJ233" s="356">
        <f t="array" ref="BJ233:BM233">_xlfn.LET(_xlpm.data,$R233:$AV233,_xlpm.starts,{1,8,16,23},_xlpm.lengths,{7,7,8,9},_xlpm.arr,_xlfn.MAP(_xlpm.starts,_xlpm.lengths,_xlfn.LAMBDA(_xlpm.s,_xlpm.l,SUM(INDEX(_xlpm.data,,_xlfn.SEQUENCE(,_xlpm.l,_xlpm.s))))),ROUND(_xlpm.arr*$O233/1000,2))</f>
        <v/>
      </c>
      <c r="BK233" s="331" t="n">
        <v>0</v>
      </c>
      <c r="BL233" s="331" t="n">
        <v>0</v>
      </c>
      <c r="BM233" s="331" t="n">
        <v>0</v>
      </c>
      <c r="BN233" s="362">
        <f>SUM(BJ233:BM233)</f>
        <v/>
      </c>
      <c r="BO233" s="362" t="n">
        <v>33.4</v>
      </c>
      <c r="BP233" s="362" t="n">
        <v>33.4</v>
      </c>
      <c r="BQ233" s="362" t="n">
        <v>38.17</v>
      </c>
      <c r="BR233" s="362" t="n">
        <v>42.94</v>
      </c>
      <c r="BT233" s="362">
        <f t="array" ref="BT233:BW233">_xlfn.HSTACK(SUM(INDEX($R233:$AV233,1,1):INDEX($R233:$AV233,1,7)),SUM(INDEX($R233:$AV233,1,7):INDEX($R233:$AV233,1,13)),SUM(INDEX($R233:$AV233,1,16):INDEX($R233:$AV233,1,23)),SUM(INDEX($R233:$AV233,1,23):INDEX($R233:$AV233,1,31)))</f>
        <v/>
      </c>
      <c r="BU233" s="362" t="n">
        <v>0</v>
      </c>
      <c r="BV233" s="362" t="n">
        <v>0</v>
      </c>
      <c r="BW233" s="362" t="n">
        <v>0</v>
      </c>
      <c r="BY233" s="362">
        <f>SUM(R233:X233)</f>
        <v/>
      </c>
      <c r="BZ233" s="362">
        <f>SUM(Y233:AE233)</f>
        <v/>
      </c>
      <c r="CA233" s="362">
        <f>SUM(AF233:AM233)</f>
        <v/>
      </c>
      <c r="CB233" s="362">
        <f>SUM(AN233:AV233)</f>
        <v/>
      </c>
      <c r="CD233" s="432" t="inlineStr">
        <is>
          <t>ADA</t>
        </is>
      </c>
      <c r="CE233" s="362">
        <f>ROUND(BY233*$O233/1000,2)</f>
        <v/>
      </c>
      <c r="CF233" s="362">
        <f>ROUND(BZ233*$O233/1000,2)</f>
        <v/>
      </c>
      <c r="CG233" s="362">
        <f>ROUND(CA233*$O233/1000,2)</f>
        <v/>
      </c>
      <c r="CH233" s="362">
        <f>ROUND(CB233*$O233/1000,2)</f>
        <v/>
      </c>
      <c r="CI233" s="362">
        <f>SUM(CE233:CH233)</f>
        <v/>
      </c>
      <c r="CK233" s="362">
        <f>IFERROR(ROUND(BY233*$P233,2),"")</f>
        <v/>
      </c>
      <c r="CL233" s="362">
        <f>IFERROR(ROUND(BZ233*$P233,2),"")</f>
        <v/>
      </c>
      <c r="CM233" s="362">
        <f>IFERROR(ROUND(CA233*$P233,2),"")</f>
        <v/>
      </c>
      <c r="CN233" s="362">
        <f>IFERROR(ROUND(CB233*$P233,2),"")</f>
        <v/>
      </c>
      <c r="CO233" s="362">
        <f>SUM(CK233:CN233)</f>
        <v/>
      </c>
    </row>
    <row r="234" ht="15.6" customHeight="1" s="428">
      <c r="B234" s="344">
        <f>_xlfn.XLOOKUP(G234,销售需求表!A:A,销售需求表!C:C)</f>
        <v/>
      </c>
      <c r="C234" s="345">
        <f>IFERROR(MID(F234,FIND("R",F234)+1,4),"")</f>
        <v/>
      </c>
      <c r="D234" s="368">
        <f>B234&amp;C234&amp;"寸"</f>
        <v/>
      </c>
      <c r="E234" s="346">
        <f>LEFT(REPLACE(G234,1,2,""),FIND("[",REPLACE(G234,1,2,""))-1)&amp;"-"&amp;MID(REPLACE(G234,1,2,""),FIND("[",REPLACE(G234,1,2,""))+1,FIND("]",REPLACE(G234,1,2,""))-FIND("[",REPLACE(G234,1,2,""))-1)</f>
        <v/>
      </c>
      <c r="F234" s="347">
        <f>IFERROR(MID(G234,3,FIND("(",G234)-3)&amp;"-"&amp;SUBSTITUTE(MID(G234,FIND("[",G234)+1,FIND("]",G234)-FIND("[",G234)-1),"Strong Guard ",""),"")</f>
        <v/>
      </c>
      <c r="G234" s="366" t="inlineStr">
        <is>
          <t>ID445/50R22.5-20PR(161L)[AD781]GOODRIDE(好运)无内</t>
        </is>
      </c>
      <c r="H234" s="344" t="n">
        <v>270</v>
      </c>
      <c r="I234" s="348" t="n">
        <v>2</v>
      </c>
      <c r="J234" s="349">
        <f>IFERROR(LEFT(F234,FIND("-",F234))&amp;MID(F234,FIND("PR",F234,FIND("-",F234))+3,LEN(F234)),F234)</f>
        <v/>
      </c>
      <c r="K234" s="352">
        <f>_xlfn.XLOOKUP(F234,投产规格!E:E,投产规格!D:D,"未投产")</f>
        <v/>
      </c>
      <c r="L234" s="352">
        <f>IFERROR(_xlfn.XLOOKUP(F234,硫化工艺!B:B,硫化工艺!C:C),"")</f>
        <v/>
      </c>
      <c r="M234" s="430">
        <f>IF(L234="","",L234/(L234+$L$1/60))</f>
        <v/>
      </c>
      <c r="N234" s="352">
        <f>C234&amp;"全钢"</f>
        <v/>
      </c>
      <c r="O234" s="352">
        <f>IFERROR(_xlfn.XLOOKUP(F234,轮胎重量!J:J,轮胎重量!G:G),"")</f>
        <v/>
      </c>
      <c r="P234" s="358">
        <f>O234*13.9</f>
        <v/>
      </c>
      <c r="Q234" s="352">
        <f>IFERROR(ROUND(1440/L234*(I234)*M234,0),"")</f>
        <v/>
      </c>
      <c r="R234" s="352" t="n">
        <v>40</v>
      </c>
      <c r="S234" s="352" t="n">
        <v>40</v>
      </c>
      <c r="T234" s="352" t="n">
        <v>40</v>
      </c>
      <c r="U234" s="352" t="n">
        <v>40</v>
      </c>
      <c r="V234" s="352" t="n">
        <v>40</v>
      </c>
      <c r="W234" s="352" t="n">
        <v>40</v>
      </c>
      <c r="X234" s="352" t="n"/>
      <c r="Y234" s="352" t="n"/>
      <c r="Z234" s="352" t="n"/>
      <c r="AA234" s="352" t="n"/>
      <c r="AB234" s="352" t="n"/>
      <c r="AC234" s="352" t="n"/>
      <c r="AD234" s="352" t="n"/>
      <c r="AE234" s="352" t="n"/>
      <c r="AF234" s="352" t="n"/>
      <c r="AG234" s="352" t="n"/>
      <c r="AH234" s="352" t="n"/>
      <c r="AI234" s="352" t="n"/>
      <c r="AJ234" s="352" t="n"/>
      <c r="AK234" s="352" t="n"/>
      <c r="AL234" s="352" t="n"/>
      <c r="AM234" s="352" t="n"/>
      <c r="AN234" s="352" t="n"/>
      <c r="AO234" s="352" t="n"/>
      <c r="AP234" s="352" t="n"/>
      <c r="AQ234" s="352" t="n"/>
      <c r="AR234" s="352" t="n"/>
      <c r="AS234" s="352" t="n"/>
      <c r="AT234" s="352" t="n"/>
      <c r="AU234" s="352" t="n"/>
      <c r="AV234" s="352" t="n"/>
      <c r="AW234" s="352">
        <f>IF(SUM(R234:AV234)=0,"",SUM(R234:AV234))</f>
        <v/>
      </c>
      <c r="AX234" s="431">
        <f>IFERROR(AW234*O234/1000,"")</f>
        <v/>
      </c>
      <c r="AY234" s="431">
        <f>IFERROR(ROUND(AW234*P234/10000,3),"")</f>
        <v/>
      </c>
      <c r="AZ234" s="354" t="n">
        <v>284.32</v>
      </c>
      <c r="BA234" s="355" t="n">
        <v>19.78</v>
      </c>
      <c r="BB234" s="355" t="n">
        <v>34.87</v>
      </c>
      <c r="BC234" s="355" t="n">
        <v>37.18</v>
      </c>
      <c r="BE234" s="331">
        <f>AZ234*AW234</f>
        <v/>
      </c>
      <c r="BF234" s="331">
        <f>BA234*AW234</f>
        <v/>
      </c>
      <c r="BG234" s="331">
        <f>BB234*AW234</f>
        <v/>
      </c>
      <c r="BH234" s="331">
        <f>BC234*AW234</f>
        <v/>
      </c>
      <c r="BJ234" s="356">
        <f t="array" ref="BJ234:BM234">_xlfn.LET(_xlpm.data,$R234:$AV234,_xlpm.starts,{1,8,16,23},_xlpm.lengths,{7,7,8,9},_xlpm.arr,_xlfn.MAP(_xlpm.starts,_xlpm.lengths,_xlfn.LAMBDA(_xlpm.s,_xlpm.l,SUM(INDEX(_xlpm.data,,_xlfn.SEQUENCE(,_xlpm.l,_xlpm.s))))),ROUND(_xlpm.arr*$O234/1000,2))</f>
        <v/>
      </c>
      <c r="BK234" s="331" t="n">
        <v>0</v>
      </c>
      <c r="BL234" s="331" t="n">
        <v>0</v>
      </c>
      <c r="BM234" s="331" t="n">
        <v>0</v>
      </c>
      <c r="BN234" s="362">
        <f>SUM(BJ234:BM234)</f>
        <v/>
      </c>
      <c r="BO234" s="362" t="n">
        <v>15.99</v>
      </c>
      <c r="BP234" s="362" t="n">
        <v>15.99</v>
      </c>
      <c r="BQ234" s="362" t="n">
        <v>18.28</v>
      </c>
      <c r="BR234" s="362" t="n">
        <v>20.56</v>
      </c>
      <c r="BT234" s="362">
        <f t="array" ref="BT234:BW234">_xlfn.HSTACK(SUM(INDEX($R234:$AV234,1,1):INDEX($R234:$AV234,1,7)),SUM(INDEX($R234:$AV234,1,7):INDEX($R234:$AV234,1,13)),SUM(INDEX($R234:$AV234,1,16):INDEX($R234:$AV234,1,23)),SUM(INDEX($R234:$AV234,1,23):INDEX($R234:$AV234,1,31)))</f>
        <v/>
      </c>
      <c r="BU234" s="362" t="n">
        <v>0</v>
      </c>
      <c r="BV234" s="362" t="n">
        <v>0</v>
      </c>
      <c r="BW234" s="362" t="n">
        <v>0</v>
      </c>
      <c r="BY234" s="362">
        <f>SUM(R234:X234)</f>
        <v/>
      </c>
      <c r="BZ234" s="362">
        <f>SUM(Y234:AE234)</f>
        <v/>
      </c>
      <c r="CA234" s="362">
        <f>SUM(AF234:AM234)</f>
        <v/>
      </c>
      <c r="CB234" s="362">
        <f>SUM(AN234:AV234)</f>
        <v/>
      </c>
      <c r="CD234" s="432" t="inlineStr">
        <is>
          <t>ADA</t>
        </is>
      </c>
      <c r="CE234" s="362">
        <f>ROUND(BY234*$O234/1000,2)</f>
        <v/>
      </c>
      <c r="CF234" s="362">
        <f>ROUND(BZ234*$O234/1000,2)</f>
        <v/>
      </c>
      <c r="CG234" s="362">
        <f>ROUND(CA234*$O234/1000,2)</f>
        <v/>
      </c>
      <c r="CH234" s="362">
        <f>ROUND(CB234*$O234/1000,2)</f>
        <v/>
      </c>
      <c r="CI234" s="362">
        <f>SUM(CE234:CH234)</f>
        <v/>
      </c>
      <c r="CK234" s="362">
        <f>IFERROR(ROUND(BY234*$P234,2),"")</f>
        <v/>
      </c>
      <c r="CL234" s="362">
        <f>IFERROR(ROUND(BZ234*$P234,2),"")</f>
        <v/>
      </c>
      <c r="CM234" s="362">
        <f>IFERROR(ROUND(CA234*$P234,2),"")</f>
        <v/>
      </c>
      <c r="CN234" s="362">
        <f>IFERROR(ROUND(CB234*$P234,2),"")</f>
        <v/>
      </c>
      <c r="CO234" s="362">
        <f>SUM(CK234:CN234)</f>
        <v/>
      </c>
    </row>
    <row r="235" ht="15.6" customHeight="1" s="428">
      <c r="B235" s="344">
        <f>_xlfn.XLOOKUP(G235,销售需求表!A:A,销售需求表!C:C)</f>
        <v/>
      </c>
      <c r="C235" s="345">
        <f>IFERROR(MID(F235,FIND("R",F235)+1,4),"")</f>
        <v/>
      </c>
      <c r="D235" s="368">
        <f>B235&amp;C235&amp;"寸"</f>
        <v/>
      </c>
      <c r="E235" s="346">
        <f>LEFT(REPLACE(G235,1,2,""),FIND("[",REPLACE(G235,1,2,""))-1)&amp;"-"&amp;MID(REPLACE(G235,1,2,""),FIND("[",REPLACE(G235,1,2,""))+1,FIND("]",REPLACE(G235,1,2,""))-FIND("[",REPLACE(G235,1,2,""))-1)</f>
        <v/>
      </c>
      <c r="F235" s="347">
        <f>IFERROR(MID(G235,3,FIND("(",G235)-3)&amp;"-"&amp;SUBSTITUTE(MID(G235,FIND("[",G235)+1,FIND("]",G235)-FIND("[",G235)-1),"Strong Guard ",""),"")</f>
        <v/>
      </c>
      <c r="G235" s="366" t="inlineStr">
        <is>
          <t>ID445/50R22.5-20PR(161L)[AT566]GOODRIDE(好运)无内</t>
        </is>
      </c>
      <c r="H235" s="344" t="n">
        <v>460</v>
      </c>
      <c r="I235" s="348" t="n">
        <v>2</v>
      </c>
      <c r="J235" s="349">
        <f>IFERROR(LEFT(F235,FIND("-",F235))&amp;MID(F235,FIND("PR",F235,FIND("-",F235))+3,LEN(F235)),F235)</f>
        <v/>
      </c>
      <c r="K235" s="352">
        <f>_xlfn.XLOOKUP(F235,投产规格!E:E,投产规格!D:D,"未投产")</f>
        <v/>
      </c>
      <c r="L235" s="352">
        <f>IFERROR(_xlfn.XLOOKUP(F235,硫化工艺!B:B,硫化工艺!C:C),"")</f>
        <v/>
      </c>
      <c r="M235" s="430">
        <f>IF(L235="","",L235/(L235+$L$1/60))</f>
        <v/>
      </c>
      <c r="N235" s="352">
        <f>C235&amp;"全钢"</f>
        <v/>
      </c>
      <c r="O235" s="352">
        <f>IFERROR(_xlfn.XLOOKUP(F235,轮胎重量!J:J,轮胎重量!G:G),"")</f>
        <v/>
      </c>
      <c r="P235" s="358">
        <f>O235*13.9</f>
        <v/>
      </c>
      <c r="Q235" s="352">
        <f>IFERROR(ROUND(1440/L235*(I235)*M235,0),"")</f>
        <v/>
      </c>
      <c r="R235" s="352" t="n">
        <v>40</v>
      </c>
      <c r="S235" s="352" t="n">
        <v>40</v>
      </c>
      <c r="T235" s="352" t="n">
        <v>40</v>
      </c>
      <c r="U235" s="352" t="n">
        <v>40</v>
      </c>
      <c r="V235" s="352" t="n">
        <v>40</v>
      </c>
      <c r="W235" s="352" t="n">
        <v>40</v>
      </c>
      <c r="X235" s="352" t="n"/>
      <c r="Y235" s="352" t="n"/>
      <c r="Z235" s="352" t="n"/>
      <c r="AA235" s="352" t="n"/>
      <c r="AB235" s="352" t="n"/>
      <c r="AC235" s="352" t="n"/>
      <c r="AD235" s="352" t="n"/>
      <c r="AE235" s="352" t="n"/>
      <c r="AF235" s="352" t="n"/>
      <c r="AG235" s="352" t="n"/>
      <c r="AH235" s="352" t="n"/>
      <c r="AI235" s="352" t="n"/>
      <c r="AJ235" s="352" t="n"/>
      <c r="AK235" s="352" t="n"/>
      <c r="AL235" s="352" t="n"/>
      <c r="AM235" s="352" t="n"/>
      <c r="AN235" s="352" t="n"/>
      <c r="AO235" s="352" t="n"/>
      <c r="AP235" s="352" t="n"/>
      <c r="AQ235" s="352" t="n"/>
      <c r="AR235" s="352" t="n"/>
      <c r="AS235" s="352" t="n"/>
      <c r="AT235" s="352" t="n"/>
      <c r="AU235" s="352" t="n"/>
      <c r="AV235" s="352" t="n"/>
      <c r="AW235" s="352">
        <f>IF(SUM(R235:AV235)=0,"",SUM(R235:AV235))</f>
        <v/>
      </c>
      <c r="AX235" s="431">
        <f>IFERROR(AW235*O235/1000,"")</f>
        <v/>
      </c>
      <c r="AY235" s="431">
        <f>IFERROR(ROUND(AW235*P235/10000,3),"")</f>
        <v/>
      </c>
      <c r="AZ235" s="354" t="n">
        <v>277.96</v>
      </c>
      <c r="BA235" s="355" t="n">
        <v>20.24</v>
      </c>
      <c r="BB235" s="355" t="n">
        <v>35.05</v>
      </c>
      <c r="BC235" s="355" t="n">
        <v>38.72</v>
      </c>
      <c r="BE235" s="331">
        <f>AZ235*AW235</f>
        <v/>
      </c>
      <c r="BF235" s="331">
        <f>BA235*AW235</f>
        <v/>
      </c>
      <c r="BG235" s="331">
        <f>BB235*AW235</f>
        <v/>
      </c>
      <c r="BH235" s="331">
        <f>BC235*AW235</f>
        <v/>
      </c>
      <c r="BJ235" s="356">
        <f t="array" ref="BJ235:BM235">_xlfn.LET(_xlpm.data,$R235:$AV235,_xlpm.starts,{1,8,16,23},_xlpm.lengths,{7,7,8,9},_xlpm.arr,_xlfn.MAP(_xlpm.starts,_xlpm.lengths,_xlfn.LAMBDA(_xlpm.s,_xlpm.l,SUM(INDEX(_xlpm.data,,_xlfn.SEQUENCE(,_xlpm.l,_xlpm.s))))),ROUND(_xlpm.arr*$O235/1000,2))</f>
        <v/>
      </c>
      <c r="BK235" s="331" t="n">
        <v>0</v>
      </c>
      <c r="BL235" s="331" t="n">
        <v>0</v>
      </c>
      <c r="BM235" s="331" t="n">
        <v>0</v>
      </c>
      <c r="BN235" s="362">
        <f>SUM(BJ235:BM235)</f>
        <v/>
      </c>
      <c r="BO235" s="362" t="n">
        <v>33.77</v>
      </c>
      <c r="BP235" s="362" t="n">
        <v>33.77</v>
      </c>
      <c r="BQ235" s="362" t="n">
        <v>38.59</v>
      </c>
      <c r="BR235" s="362" t="n">
        <v>43.42</v>
      </c>
      <c r="BT235" s="362">
        <f t="array" ref="BT235:BW235">_xlfn.HSTACK(SUM(INDEX($R235:$AV235,1,1):INDEX($R235:$AV235,1,7)),SUM(INDEX($R235:$AV235,1,7):INDEX($R235:$AV235,1,13)),SUM(INDEX($R235:$AV235,1,16):INDEX($R235:$AV235,1,23)),SUM(INDEX($R235:$AV235,1,23):INDEX($R235:$AV235,1,31)))</f>
        <v/>
      </c>
      <c r="BU235" s="362" t="n">
        <v>0</v>
      </c>
      <c r="BV235" s="362" t="n">
        <v>0</v>
      </c>
      <c r="BW235" s="362" t="n">
        <v>0</v>
      </c>
      <c r="BY235" s="362">
        <f>SUM(R235:X235)</f>
        <v/>
      </c>
      <c r="BZ235" s="362">
        <f>SUM(Y235:AE235)</f>
        <v/>
      </c>
      <c r="CA235" s="362">
        <f>SUM(AF235:AM235)</f>
        <v/>
      </c>
      <c r="CB235" s="362">
        <f>SUM(AN235:AV235)</f>
        <v/>
      </c>
      <c r="CD235" s="432" t="inlineStr">
        <is>
          <t>ADA</t>
        </is>
      </c>
      <c r="CE235" s="362">
        <f>ROUND(BY235*$O235/1000,2)</f>
        <v/>
      </c>
      <c r="CF235" s="362">
        <f>ROUND(BZ235*$O235/1000,2)</f>
        <v/>
      </c>
      <c r="CG235" s="362">
        <f>ROUND(CA235*$O235/1000,2)</f>
        <v/>
      </c>
      <c r="CH235" s="362">
        <f>ROUND(CB235*$O235/1000,2)</f>
        <v/>
      </c>
      <c r="CI235" s="362">
        <f>SUM(CE235:CH235)</f>
        <v/>
      </c>
      <c r="CK235" s="362">
        <f>IFERROR(ROUND(BY235*$P235,2),"")</f>
        <v/>
      </c>
      <c r="CL235" s="362">
        <f>IFERROR(ROUND(BZ235*$P235,2),"")</f>
        <v/>
      </c>
      <c r="CM235" s="362">
        <f>IFERROR(ROUND(CA235*$P235,2),"")</f>
        <v/>
      </c>
      <c r="CN235" s="362">
        <f>IFERROR(ROUND(CB235*$P235,2),"")</f>
        <v/>
      </c>
      <c r="CO235" s="362">
        <f>SUM(CK235:CN235)</f>
        <v/>
      </c>
    </row>
    <row r="236" ht="15.6" customHeight="1" s="428">
      <c r="B236" s="344">
        <f>_xlfn.XLOOKUP(G236,销售需求表!A:A,销售需求表!C:C)</f>
        <v/>
      </c>
      <c r="C236" s="345">
        <f>IFERROR(MID(F236,FIND("R",F236)+1,4),"")</f>
        <v/>
      </c>
      <c r="D236" s="368">
        <f>B236&amp;C236&amp;"寸"</f>
        <v/>
      </c>
      <c r="E236" s="346">
        <f>LEFT(REPLACE(G236,1,2,""),FIND("[",REPLACE(G236,1,2,""))-1)&amp;"-"&amp;MID(REPLACE(G236,1,2,""),FIND("[",REPLACE(G236,1,2,""))+1,FIND("]",REPLACE(G236,1,2,""))-FIND("[",REPLACE(G236,1,2,""))-1)</f>
        <v/>
      </c>
      <c r="F236" s="347">
        <f>IFERROR(MID(G236,3,FIND("(",G236)-3)&amp;"-"&amp;SUBSTITUTE(MID(G236,FIND("[",G236)+1,FIND("]",G236)-FIND("[",G236)-1),"Strong Guard ",""),"")</f>
        <v/>
      </c>
      <c r="G236" s="366" t="inlineStr">
        <is>
          <t>ID445/50R22.5-20PR(161L)[AT566]TRAZANO(全诺)无内</t>
        </is>
      </c>
      <c r="H236" s="344" t="n">
        <v>550</v>
      </c>
      <c r="I236" s="348" t="n">
        <v>2</v>
      </c>
      <c r="J236" s="349">
        <f>IFERROR(LEFT(F236,FIND("-",F236))&amp;MID(F236,FIND("PR",F236,FIND("-",F236))+3,LEN(F236)),F236)</f>
        <v/>
      </c>
      <c r="K236" s="352">
        <f>_xlfn.XLOOKUP(F236,投产规格!E:E,投产规格!D:D,"未投产")</f>
        <v/>
      </c>
      <c r="L236" s="352">
        <f>IFERROR(_xlfn.XLOOKUP(F236,硫化工艺!B:B,硫化工艺!C:C),"")</f>
        <v/>
      </c>
      <c r="M236" s="430">
        <f>IF(L236="","",L236/(L236+$L$1/60))</f>
        <v/>
      </c>
      <c r="N236" s="352">
        <f>C236&amp;"全钢"</f>
        <v/>
      </c>
      <c r="O236" s="352">
        <f>IFERROR(_xlfn.XLOOKUP(F236,轮胎重量!J:J,轮胎重量!G:G),"")</f>
        <v/>
      </c>
      <c r="P236" s="352">
        <f>IFERROR(_xlfn.XLOOKUP(G236,硫化工艺!I:I,硫化工艺!J:J),"")</f>
        <v/>
      </c>
      <c r="Q236" s="352">
        <f>IFERROR(ROUND(1440/L236*(I236)*M236,0),"")</f>
        <v/>
      </c>
      <c r="R236" s="352" t="n">
        <v>40</v>
      </c>
      <c r="S236" s="352" t="n">
        <v>40</v>
      </c>
      <c r="T236" s="352" t="n">
        <v>40</v>
      </c>
      <c r="U236" s="352" t="n">
        <v>40</v>
      </c>
      <c r="V236" s="352" t="n">
        <v>40</v>
      </c>
      <c r="W236" s="352" t="n">
        <v>40</v>
      </c>
      <c r="X236" s="352" t="n"/>
      <c r="Y236" s="352" t="n"/>
      <c r="Z236" s="352" t="n"/>
      <c r="AA236" s="352" t="n"/>
      <c r="AB236" s="352" t="n"/>
      <c r="AC236" s="352" t="n"/>
      <c r="AD236" s="352" t="n"/>
      <c r="AE236" s="352" t="n"/>
      <c r="AF236" s="352" t="n"/>
      <c r="AG236" s="352" t="n"/>
      <c r="AH236" s="352" t="n"/>
      <c r="AI236" s="352" t="n"/>
      <c r="AJ236" s="352" t="n"/>
      <c r="AK236" s="352" t="n"/>
      <c r="AL236" s="352" t="n"/>
      <c r="AM236" s="352" t="n"/>
      <c r="AN236" s="352" t="n"/>
      <c r="AO236" s="352" t="n"/>
      <c r="AP236" s="352" t="n"/>
      <c r="AQ236" s="352" t="n"/>
      <c r="AR236" s="352" t="n"/>
      <c r="AS236" s="352" t="n"/>
      <c r="AT236" s="352" t="n"/>
      <c r="AU236" s="352" t="n"/>
      <c r="AV236" s="352" t="n"/>
      <c r="AW236" s="352">
        <f>IF(SUM(R236:AV236)=0,"",SUM(R236:AV236))</f>
        <v/>
      </c>
      <c r="AX236" s="431">
        <f>IFERROR(AW236*O236/1000,"")</f>
        <v/>
      </c>
      <c r="AY236" s="431">
        <f>IFERROR(ROUND(AW236*P236/10000,3),"")</f>
        <v/>
      </c>
      <c r="AZ236" s="354" t="n">
        <v>286.13</v>
      </c>
      <c r="BA236" s="355" t="n">
        <v>20.47</v>
      </c>
      <c r="BB236" s="355" t="n">
        <v>35.43</v>
      </c>
      <c r="BC236" s="355" t="n">
        <v>38.84</v>
      </c>
      <c r="BE236" s="331">
        <f>AZ236*AW236</f>
        <v/>
      </c>
      <c r="BF236" s="331">
        <f>BA236*AW236</f>
        <v/>
      </c>
      <c r="BG236" s="331">
        <f>BB236*AW236</f>
        <v/>
      </c>
      <c r="BH236" s="331">
        <f>BC236*AW236</f>
        <v/>
      </c>
      <c r="BJ236" s="356">
        <f t="array" ref="BJ236:BM236">_xlfn.LET(_xlpm.data,$R236:$AV236,_xlpm.starts,{1,8,16,23},_xlpm.lengths,{7,7,8,9},_xlpm.arr,_xlfn.MAP(_xlpm.starts,_xlpm.lengths,_xlfn.LAMBDA(_xlpm.s,_xlpm.l,SUM(INDEX(_xlpm.data,,_xlfn.SEQUENCE(,_xlpm.l,_xlpm.s))))),ROUND(_xlpm.arr*$O236/1000,2))</f>
        <v/>
      </c>
      <c r="BK236" s="331" t="n">
        <v>0</v>
      </c>
      <c r="BL236" s="331" t="n">
        <v>0</v>
      </c>
      <c r="BM236" s="331" t="n">
        <v>0</v>
      </c>
      <c r="BN236" s="362">
        <f>SUM(BJ236:BM236)</f>
        <v/>
      </c>
      <c r="BO236" s="362" t="n">
        <v>0</v>
      </c>
      <c r="BP236" s="362" t="n">
        <v>0</v>
      </c>
      <c r="BQ236" s="362" t="n">
        <v>0</v>
      </c>
      <c r="BR236" s="362" t="n">
        <v>0</v>
      </c>
      <c r="BT236" s="362">
        <f t="array" ref="BT236:BW236">_xlfn.HSTACK(SUM(INDEX($R236:$AV236,1,1):INDEX($R236:$AV236,1,7)),SUM(INDEX($R236:$AV236,1,7):INDEX($R236:$AV236,1,13)),SUM(INDEX($R236:$AV236,1,16):INDEX($R236:$AV236,1,23)),SUM(INDEX($R236:$AV236,1,23):INDEX($R236:$AV236,1,31)))</f>
        <v/>
      </c>
      <c r="BU236" s="362" t="n">
        <v>0</v>
      </c>
      <c r="BV236" s="362" t="n">
        <v>0</v>
      </c>
      <c r="BW236" s="362" t="n">
        <v>0</v>
      </c>
      <c r="BY236" s="362">
        <f>SUM(R236:X236)</f>
        <v/>
      </c>
      <c r="BZ236" s="362">
        <f>SUM(Y236:AE236)</f>
        <v/>
      </c>
      <c r="CA236" s="362">
        <f>SUM(AF236:AM236)</f>
        <v/>
      </c>
      <c r="CB236" s="362">
        <f>SUM(AN236:AV236)</f>
        <v/>
      </c>
      <c r="CD236" s="432" t="inlineStr">
        <is>
          <t>ADA</t>
        </is>
      </c>
      <c r="CE236" s="362">
        <f>ROUND(BY236*$O236/1000,2)</f>
        <v/>
      </c>
      <c r="CF236" s="362">
        <f>ROUND(BZ236*$O236/1000,2)</f>
        <v/>
      </c>
      <c r="CG236" s="362">
        <f>ROUND(CA236*$O236/1000,2)</f>
        <v/>
      </c>
      <c r="CH236" s="362">
        <f>ROUND(CB236*$O236/1000,2)</f>
        <v/>
      </c>
      <c r="CI236" s="362">
        <f>SUM(CE236:CH236)</f>
        <v/>
      </c>
      <c r="CK236" s="362">
        <f>IFERROR(ROUND(BY236*$P236,2),"")</f>
        <v/>
      </c>
      <c r="CL236" s="362">
        <f>IFERROR(ROUND(BZ236*$P236,2),"")</f>
        <v/>
      </c>
      <c r="CM236" s="362">
        <f>IFERROR(ROUND(CA236*$P236,2),"")</f>
        <v/>
      </c>
      <c r="CN236" s="362">
        <f>IFERROR(ROUND(CB236*$P236,2),"")</f>
        <v/>
      </c>
      <c r="CO236" s="362">
        <f>SUM(CK236:CN236)</f>
        <v/>
      </c>
    </row>
    <row r="237" hidden="1" ht="15.6" customHeight="1" s="428">
      <c r="B237" s="344">
        <f>_xlfn.XLOOKUP(G237,销售需求表!A:A,销售需求表!C:C)</f>
        <v/>
      </c>
      <c r="C237" s="345">
        <f>IFERROR(MID(F237,FIND("R",F237)+1,4),"")</f>
        <v/>
      </c>
      <c r="D237" s="368">
        <f>B237&amp;C237&amp;"寸"</f>
        <v/>
      </c>
      <c r="E237" s="346">
        <f>LEFT(REPLACE(G237,1,2,""),FIND("[",REPLACE(G237,1,2,""))-1)&amp;"-"&amp;MID(REPLACE(G237,1,2,""),FIND("[",REPLACE(G237,1,2,""))+1,FIND("]",REPLACE(G237,1,2,""))-FIND("[",REPLACE(G237,1,2,""))-1)</f>
        <v/>
      </c>
      <c r="F237" s="347">
        <f>IFERROR(MID(G237,3,FIND("(",G237)-3)&amp;"-"&amp;SUBSTITUTE(MID(G237,FIND("[",G237)+1,FIND("]",G237)-FIND("[",G237)-1),"Strong Guard ",""),"")</f>
        <v/>
      </c>
      <c r="G237" s="366" t="inlineStr">
        <is>
          <t>ID445/50R22.5-20PR(161L)[AT570]ARISUN无内</t>
        </is>
      </c>
      <c r="H237" s="344" t="n">
        <v>180</v>
      </c>
      <c r="I237" s="348" t="n"/>
      <c r="J237" s="349">
        <f>IFERROR(LEFT(F237,FIND("-",F237))&amp;MID(F237,FIND("PR",F237,FIND("-",F237))+3,LEN(F237)),F237)</f>
        <v/>
      </c>
      <c r="K237" s="352">
        <f>_xlfn.XLOOKUP(F237,投产规格!E:E,投产规格!D:D,"未投产")</f>
        <v/>
      </c>
      <c r="L237" s="352">
        <f>IFERROR(_xlfn.XLOOKUP(F237,硫化工艺!B:B,硫化工艺!C:C),"")</f>
        <v/>
      </c>
      <c r="M237" s="430">
        <f>IF(L237="","",L237/(L237+$L$1/60))</f>
        <v/>
      </c>
      <c r="N237" s="352">
        <f>C237&amp;"全钢"</f>
        <v/>
      </c>
      <c r="O237" s="352">
        <f>IFERROR(_xlfn.XLOOKUP(F237,轮胎重量!J:J,轮胎重量!G:G),"")</f>
        <v/>
      </c>
      <c r="P237" s="352">
        <f>IFERROR(_xlfn.XLOOKUP(G237,硫化工艺!I:I,硫化工艺!J:J),"")</f>
        <v/>
      </c>
      <c r="Q237" s="352">
        <f>IFERROR(ROUND(1440/L237*(I237)*M237,0),"")</f>
        <v/>
      </c>
      <c r="R237" s="352" t="n"/>
      <c r="S237" s="352" t="n"/>
      <c r="T237" s="352" t="n"/>
      <c r="U237" s="352" t="n"/>
      <c r="V237" s="352" t="n"/>
      <c r="W237" s="352" t="n"/>
      <c r="X237" s="352" t="n"/>
      <c r="Y237" s="352" t="n"/>
      <c r="Z237" s="352" t="n"/>
      <c r="AA237" s="352" t="n"/>
      <c r="AB237" s="352" t="n"/>
      <c r="AC237" s="352" t="n"/>
      <c r="AD237" s="352" t="n"/>
      <c r="AE237" s="352" t="n"/>
      <c r="AF237" s="352" t="n"/>
      <c r="AG237" s="352" t="n"/>
      <c r="AH237" s="352" t="n"/>
      <c r="AI237" s="352" t="n"/>
      <c r="AJ237" s="352" t="n"/>
      <c r="AK237" s="352" t="n"/>
      <c r="AL237" s="352" t="n"/>
      <c r="AM237" s="352" t="n"/>
      <c r="AN237" s="352" t="n"/>
      <c r="AO237" s="352" t="n"/>
      <c r="AP237" s="352" t="n"/>
      <c r="AQ237" s="352" t="n"/>
      <c r="AR237" s="352" t="n"/>
      <c r="AS237" s="352" t="n"/>
      <c r="AT237" s="352" t="n"/>
      <c r="AU237" s="352" t="n"/>
      <c r="AV237" s="352" t="n"/>
      <c r="AW237" s="352">
        <f>IF(SUM(R237:AV237)=0,"",SUM(R237:AV237))</f>
        <v/>
      </c>
      <c r="AX237" s="431">
        <f>IFERROR(AW237*O237/1000,"")</f>
        <v/>
      </c>
      <c r="AY237" s="431">
        <f>IFERROR(ROUND(AW237*P237/10000,3),"")</f>
        <v/>
      </c>
      <c r="AZ237" s="354" t="n">
        <v>271.35</v>
      </c>
      <c r="BA237" s="355" t="n">
        <v>19.07</v>
      </c>
      <c r="BB237" s="355" t="n">
        <v>34.07</v>
      </c>
      <c r="BC237" s="355" t="n">
        <v>36.24</v>
      </c>
      <c r="BE237" s="331">
        <f>AZ237*AW237</f>
        <v/>
      </c>
      <c r="BF237" s="331">
        <f>BA237*AW237</f>
        <v/>
      </c>
      <c r="BG237" s="331">
        <f>BB237*AW237</f>
        <v/>
      </c>
      <c r="BH237" s="331">
        <f>BC237*AW237</f>
        <v/>
      </c>
      <c r="BJ237" s="356">
        <f t="array" ref="BJ237:BM237">_xlfn.LET(_xlpm.data,$R237:$AV237,_xlpm.starts,{1,8,16,23},_xlpm.lengths,{7,7,8,9},_xlpm.arr,_xlfn.MAP(_xlpm.starts,_xlpm.lengths,_xlfn.LAMBDA(_xlpm.s,_xlpm.l,SUM(INDEX(_xlpm.data,,_xlfn.SEQUENCE(,_xlpm.l,_xlpm.s))))),ROUND(_xlpm.arr*$O237/1000,2))</f>
        <v/>
      </c>
      <c r="BK237" s="331" t="n">
        <v>0</v>
      </c>
      <c r="BL237" s="331" t="n">
        <v>0</v>
      </c>
      <c r="BM237" s="331" t="n">
        <v>0</v>
      </c>
      <c r="BN237" s="362">
        <f>SUM(BJ237:BM237)</f>
        <v/>
      </c>
      <c r="BO237" s="362" t="n">
        <v>0</v>
      </c>
      <c r="BP237" s="362" t="n">
        <v>0</v>
      </c>
      <c r="BQ237" s="362" t="n">
        <v>0</v>
      </c>
      <c r="BR237" s="362" t="n">
        <v>0</v>
      </c>
      <c r="BS237" s="115">
        <f>AC237*O237/1000</f>
        <v/>
      </c>
      <c r="BT237" s="362">
        <f t="array" ref="BT237:BW237">_xlfn.HSTACK(SUM(INDEX($R237:$AV237,1,1):INDEX($R237:$AV237,1,7)),SUM(INDEX($R237:$AV237,1,7):INDEX($R237:$AV237,1,13)),SUM(INDEX($R237:$AV237,1,16):INDEX($R237:$AV237,1,23)),SUM(INDEX($R237:$AV237,1,23):INDEX($R237:$AV237,1,31)))</f>
        <v/>
      </c>
      <c r="BU237" s="362" t="n">
        <v>0</v>
      </c>
      <c r="BV237" s="362" t="n">
        <v>0</v>
      </c>
      <c r="BW237" s="362" t="n">
        <v>0</v>
      </c>
      <c r="BY237" s="362">
        <f>SUM(R237:X237)</f>
        <v/>
      </c>
      <c r="BZ237" s="362">
        <f>SUM(Y237:AE237)</f>
        <v/>
      </c>
      <c r="CA237" s="362">
        <f>SUM(AF237:AM237)</f>
        <v/>
      </c>
      <c r="CB237" s="362">
        <f>SUM(AN237:AV237)</f>
        <v/>
      </c>
      <c r="CD237" s="432" t="inlineStr">
        <is>
          <t>ADA</t>
        </is>
      </c>
      <c r="CE237" s="362">
        <f>ROUND(BY237*$O237/1000,2)</f>
        <v/>
      </c>
      <c r="CF237" s="362">
        <f>ROUND(BZ237*$O237/1000,2)</f>
        <v/>
      </c>
      <c r="CG237" s="362">
        <f>ROUND(CA237*$O237/1000,2)</f>
        <v/>
      </c>
      <c r="CH237" s="362">
        <f>ROUND(CB237*$O237/1000,2)</f>
        <v/>
      </c>
      <c r="CI237" s="362">
        <f>SUM(CE237:CH237)</f>
        <v/>
      </c>
      <c r="CK237" s="362">
        <f>IFERROR(ROUND(BY237*$P237,2),"")</f>
        <v/>
      </c>
      <c r="CL237" s="362">
        <f>IFERROR(ROUND(BZ237*$P237,2),"")</f>
        <v/>
      </c>
      <c r="CM237" s="362">
        <f>IFERROR(ROUND(CA237*$P237,2),"")</f>
        <v/>
      </c>
      <c r="CN237" s="362">
        <f>IFERROR(ROUND(CB237*$P237,2),"")</f>
        <v/>
      </c>
      <c r="CO237" s="362">
        <f>SUM(CK237:CN237)</f>
        <v/>
      </c>
    </row>
    <row r="238" hidden="1" ht="15.6" customFormat="1" customHeight="1" s="362">
      <c r="A238" s="331" t="n"/>
      <c r="B238" s="344">
        <f>_xlfn.XLOOKUP(G238,销售需求表!A:A,销售需求表!C:C)</f>
        <v/>
      </c>
      <c r="C238" s="345">
        <f>IFERROR(MID(F238,FIND("R",F238)+1,4),"")</f>
        <v/>
      </c>
      <c r="D238" s="368">
        <f>B238&amp;C238&amp;"寸"</f>
        <v/>
      </c>
      <c r="E238" s="346">
        <f>LEFT(REPLACE(G238,1,2,""),FIND("[",REPLACE(G238,1,2,""))-1)&amp;"-"&amp;MID(REPLACE(G238,1,2,""),FIND("[",REPLACE(G238,1,2,""))+1,FIND("]",REPLACE(G238,1,2,""))-FIND("[",REPLACE(G238,1,2,""))-1)</f>
        <v/>
      </c>
      <c r="F238" s="347">
        <f>IFERROR(MID(G238,3,FIND("(",G238)-3)&amp;"-"&amp;SUBSTITUTE(MID(G238,FIND("[",G238)+1,FIND("]",G238)-FIND("[",G238)-1),"Strong Guard ",""),"")</f>
        <v/>
      </c>
      <c r="G238" s="366" t="inlineStr">
        <is>
          <t>ID445/50R22.5-20PR(161L)[HT2 Plus]SUPERMAX无内</t>
        </is>
      </c>
      <c r="H238" s="344" t="n">
        <v>200</v>
      </c>
      <c r="I238" s="348" t="n"/>
      <c r="J238" s="349">
        <f>IFERROR(LEFT(F238,FIND("-",F238))&amp;MID(F238,FIND("PR",F238,FIND("-",F238))+3,LEN(F238)),F238)</f>
        <v/>
      </c>
      <c r="K238" s="352">
        <f>_xlfn.XLOOKUP(F238,投产规格!E:E,投产规格!D:D,"未投产")</f>
        <v/>
      </c>
      <c r="L238" s="352">
        <f>IFERROR(_xlfn.XLOOKUP(F238,硫化工艺!B:B,硫化工艺!C:C),"")</f>
        <v/>
      </c>
      <c r="M238" s="430">
        <f>IF(L238="","",L238/(L238+$L$1/60))</f>
        <v/>
      </c>
      <c r="N238" s="352">
        <f>C238&amp;"全钢"</f>
        <v/>
      </c>
      <c r="O238" s="352">
        <f>IFERROR(_xlfn.XLOOKUP(F238,轮胎重量!J:J,轮胎重量!G:G),"")</f>
        <v/>
      </c>
      <c r="P238" s="352">
        <f>IFERROR(_xlfn.XLOOKUP(G238,硫化工艺!I:I,硫化工艺!J:J),"")</f>
        <v/>
      </c>
      <c r="Q238" s="352">
        <f>IFERROR(ROUND(1440/L238*(I238)*M238,0),"")</f>
        <v/>
      </c>
      <c r="R238" s="352" t="n"/>
      <c r="S238" s="352" t="n"/>
      <c r="T238" s="352" t="n"/>
      <c r="U238" s="352" t="n"/>
      <c r="V238" s="352" t="n"/>
      <c r="W238" s="352" t="n"/>
      <c r="X238" s="352" t="n"/>
      <c r="Y238" s="352" t="n"/>
      <c r="Z238" s="352" t="n"/>
      <c r="AA238" s="352" t="n"/>
      <c r="AB238" s="352" t="n"/>
      <c r="AC238" s="352" t="n"/>
      <c r="AD238" s="352" t="n"/>
      <c r="AE238" s="352" t="n"/>
      <c r="AF238" s="352" t="n"/>
      <c r="AG238" s="352" t="n"/>
      <c r="AH238" s="352" t="n"/>
      <c r="AI238" s="352" t="n"/>
      <c r="AJ238" s="352" t="n"/>
      <c r="AK238" s="352" t="n"/>
      <c r="AL238" s="352" t="n"/>
      <c r="AM238" s="352" t="n"/>
      <c r="AN238" s="352" t="n"/>
      <c r="AO238" s="352" t="n"/>
      <c r="AP238" s="352" t="n"/>
      <c r="AQ238" s="352" t="n"/>
      <c r="AR238" s="352" t="n"/>
      <c r="AS238" s="352" t="n"/>
      <c r="AT238" s="352" t="n"/>
      <c r="AU238" s="352" t="n"/>
      <c r="AV238" s="352" t="n"/>
      <c r="AW238" s="352">
        <f>IF(SUM(R238:AV238)=0,"",SUM(R238:AV238))</f>
        <v/>
      </c>
      <c r="AX238" s="431">
        <f>IFERROR(AW238*O238/1000,"")</f>
        <v/>
      </c>
      <c r="AY238" s="431">
        <f>IFERROR(ROUND(AW238*P238/10000,3),"")</f>
        <v/>
      </c>
      <c r="AZ238" s="354" t="n">
        <v>271.35</v>
      </c>
      <c r="BA238" s="355" t="n">
        <v>19.07</v>
      </c>
      <c r="BB238" s="355" t="n">
        <v>34.07</v>
      </c>
      <c r="BC238" s="355" t="n">
        <v>36.24</v>
      </c>
      <c r="BD238" s="331" t="n"/>
      <c r="BE238" s="331">
        <f>AZ238*AW238</f>
        <v/>
      </c>
      <c r="BF238" s="331">
        <f>BA238*AW238</f>
        <v/>
      </c>
      <c r="BG238" s="331">
        <f>BB238*AW238</f>
        <v/>
      </c>
      <c r="BH238" s="331">
        <f>BC238*AW238</f>
        <v/>
      </c>
      <c r="BI238" s="331" t="n"/>
      <c r="BJ238" s="356">
        <f t="array" ref="BJ238:BM238">_xlfn.LET(_xlpm.data,$R238:$AV238,_xlpm.starts,{1,8,16,23},_xlpm.lengths,{7,7,8,9},_xlpm.arr,_xlfn.MAP(_xlpm.starts,_xlpm.lengths,_xlfn.LAMBDA(_xlpm.s,_xlpm.l,SUM(INDEX(_xlpm.data,,_xlfn.SEQUENCE(,_xlpm.l,_xlpm.s))))),ROUND(_xlpm.arr*$O238/1000,2))</f>
        <v/>
      </c>
      <c r="BK238" s="331" t="n">
        <v>0</v>
      </c>
      <c r="BL238" s="331" t="n">
        <v>0</v>
      </c>
      <c r="BM238" s="331" t="n">
        <v>0</v>
      </c>
      <c r="BN238" s="362">
        <f>SUM(BJ238:BM238)</f>
        <v/>
      </c>
      <c r="BO238" s="362" t="n">
        <v>0</v>
      </c>
      <c r="BP238" s="362" t="n">
        <v>0</v>
      </c>
      <c r="BQ238" s="362" t="n">
        <v>0</v>
      </c>
      <c r="BR238" s="362" t="n">
        <v>0</v>
      </c>
      <c r="BS238" s="115" t="n"/>
      <c r="BT238" s="362">
        <f t="array" ref="BT238:BW238">_xlfn.HSTACK(SUM(INDEX($R238:$AV238,1,1):INDEX($R238:$AV238,1,7)),SUM(INDEX($R238:$AV238,1,7):INDEX($R238:$AV238,1,13)),SUM(INDEX($R238:$AV238,1,16):INDEX($R238:$AV238,1,23)),SUM(INDEX($R238:$AV238,1,23):INDEX($R238:$AV238,1,31)))</f>
        <v/>
      </c>
      <c r="BU238" s="362" t="n">
        <v>0</v>
      </c>
      <c r="BV238" s="362" t="n">
        <v>0</v>
      </c>
      <c r="BW238" s="362" t="n">
        <v>0</v>
      </c>
      <c r="BY238" s="362">
        <f>SUM(R238:X238)</f>
        <v/>
      </c>
      <c r="BZ238" s="362">
        <f>SUM(Y238:AE238)</f>
        <v/>
      </c>
      <c r="CA238" s="362">
        <f>SUM(AF238:AM238)</f>
        <v/>
      </c>
      <c r="CB238" s="362">
        <f>SUM(AN238:AV238)</f>
        <v/>
      </c>
      <c r="CD238" s="432" t="inlineStr">
        <is>
          <t>ADA</t>
        </is>
      </c>
      <c r="CE238" s="362">
        <f>ROUND(BY238*$O238/1000,2)</f>
        <v/>
      </c>
      <c r="CF238" s="362">
        <f>ROUND(BZ238*$O238/1000,2)</f>
        <v/>
      </c>
      <c r="CG238" s="362">
        <f>ROUND(CA238*$O238/1000,2)</f>
        <v/>
      </c>
      <c r="CH238" s="362">
        <f>ROUND(CB238*$O238/1000,2)</f>
        <v/>
      </c>
      <c r="CI238" s="362">
        <f>SUM(CE238:CH238)</f>
        <v/>
      </c>
      <c r="CJ238" s="390" t="n"/>
      <c r="CK238" s="362">
        <f>IFERROR(ROUND(BY238*$P238,2),"")</f>
        <v/>
      </c>
      <c r="CL238" s="362">
        <f>IFERROR(ROUND(BZ238*$P238,2),"")</f>
        <v/>
      </c>
      <c r="CM238" s="362">
        <f>IFERROR(ROUND(CA238*$P238,2),"")</f>
        <v/>
      </c>
      <c r="CN238" s="362">
        <f>IFERROR(ROUND(CB238*$P238,2),"")</f>
        <v/>
      </c>
      <c r="CO238" s="362">
        <f>SUM(CK238:CN238)</f>
        <v/>
      </c>
    </row>
    <row r="239" hidden="1" ht="15.6" customHeight="1" s="428">
      <c r="B239" s="344">
        <f>_xlfn.XLOOKUP(G239,销售需求表!A:A,销售需求表!C:C)</f>
        <v/>
      </c>
      <c r="C239" s="345">
        <f>IFERROR(MID(F239,FIND("R",F239)+1,4),"")</f>
        <v/>
      </c>
      <c r="D239" s="368">
        <f>B239&amp;C239&amp;"寸"</f>
        <v/>
      </c>
      <c r="E239" s="346">
        <f>LEFT(REPLACE(G239,1,2,""),FIND("[",REPLACE(G239,1,2,""))-1)&amp;"-"&amp;MID(REPLACE(G239,1,2,""),FIND("[",REPLACE(G239,1,2,""))+1,FIND("]",REPLACE(G239,1,2,""))-FIND("[",REPLACE(G239,1,2,""))-1)</f>
        <v/>
      </c>
      <c r="F239" s="347">
        <f>IFERROR(MID(G239,3,FIND("(",G239)-3)&amp;"-"&amp;SUBSTITUTE(MID(G239,FIND("[",G239)+1,FIND("]",G239)-FIND("[",G239)-1),"Strong Guard ",""),"")</f>
        <v/>
      </c>
      <c r="G239" s="366" t="inlineStr">
        <is>
          <t>ID445/65R22.5-20PR(169K)[I-42W]IRONMAN无内</t>
        </is>
      </c>
      <c r="H239" s="344" t="n">
        <v>360</v>
      </c>
      <c r="I239" s="348" t="n"/>
      <c r="J239" s="349">
        <f>IFERROR(LEFT(F239,FIND("-",F239))&amp;MID(F239,FIND("PR",F239,FIND("-",F239))+3,LEN(F239)),F239)</f>
        <v/>
      </c>
      <c r="K239" s="352">
        <f>_xlfn.XLOOKUP(F239,投产规格!E:E,投产规格!D:D,"未投产")</f>
        <v/>
      </c>
      <c r="L239" s="352">
        <f>IFERROR(_xlfn.XLOOKUP(F239,硫化工艺!B:B,硫化工艺!C:C),"")</f>
        <v/>
      </c>
      <c r="M239" s="430">
        <f>IF(L239="","",L239/(L239+$L$1/60))</f>
        <v/>
      </c>
      <c r="N239" s="352">
        <f>C239&amp;"全钢"</f>
        <v/>
      </c>
      <c r="O239" s="352">
        <f>IFERROR(_xlfn.XLOOKUP(F239,轮胎重量!J:J,轮胎重量!G:G),"")</f>
        <v/>
      </c>
      <c r="P239" s="352">
        <f>IFERROR(_xlfn.XLOOKUP(G239,硫化工艺!I:I,硫化工艺!J:J),"")</f>
        <v/>
      </c>
      <c r="Q239" s="352">
        <f>IFERROR(ROUND(1440/L239*(I239)*M239,0),"")</f>
        <v/>
      </c>
      <c r="R239" s="352" t="n"/>
      <c r="S239" s="352" t="n"/>
      <c r="T239" s="352" t="n"/>
      <c r="U239" s="352" t="n"/>
      <c r="V239" s="352" t="n"/>
      <c r="W239" s="352" t="n"/>
      <c r="X239" s="352" t="n"/>
      <c r="Y239" s="352" t="n"/>
      <c r="Z239" s="352" t="n"/>
      <c r="AA239" s="352" t="n"/>
      <c r="AB239" s="352" t="n"/>
      <c r="AC239" s="352" t="n"/>
      <c r="AD239" s="352" t="n"/>
      <c r="AE239" s="352" t="n"/>
      <c r="AF239" s="352" t="n"/>
      <c r="AG239" s="352" t="n"/>
      <c r="AH239" s="352" t="n"/>
      <c r="AI239" s="352" t="n"/>
      <c r="AJ239" s="352" t="n"/>
      <c r="AK239" s="352" t="n"/>
      <c r="AL239" s="352" t="n"/>
      <c r="AM239" s="352" t="n"/>
      <c r="AN239" s="352" t="n"/>
      <c r="AO239" s="352" t="n"/>
      <c r="AP239" s="352" t="n"/>
      <c r="AQ239" s="352" t="n"/>
      <c r="AR239" s="352" t="n"/>
      <c r="AS239" s="352" t="n"/>
      <c r="AT239" s="352" t="n"/>
      <c r="AU239" s="352" t="n"/>
      <c r="AV239" s="352" t="n"/>
      <c r="AW239" s="352">
        <f>IF(SUM(R239:AV239)=0,"",SUM(R239:AV239))</f>
        <v/>
      </c>
      <c r="AX239" s="431">
        <f>IFERROR(AW239*O239/1000,"")</f>
        <v/>
      </c>
      <c r="AY239" s="431">
        <f>IFERROR(ROUND(AW239*P239/10000,3),"")</f>
        <v/>
      </c>
      <c r="AZ239" s="354" t="n">
        <v>271.35</v>
      </c>
      <c r="BA239" s="355" t="n">
        <v>19.07</v>
      </c>
      <c r="BB239" s="355" t="n">
        <v>34.07</v>
      </c>
      <c r="BC239" s="355" t="n">
        <v>36.24</v>
      </c>
      <c r="BE239" s="331">
        <f>AZ239*AW239</f>
        <v/>
      </c>
      <c r="BF239" s="331">
        <f>BA239*AW239</f>
        <v/>
      </c>
      <c r="BG239" s="331">
        <f>BB239*AW239</f>
        <v/>
      </c>
      <c r="BH239" s="331">
        <f>BC239*AW239</f>
        <v/>
      </c>
      <c r="BJ239" s="356">
        <f t="array" ref="BJ239:BM239">_xlfn.LET(_xlpm.data,$R239:$AV239,_xlpm.starts,{1,8,16,23},_xlpm.lengths,{7,7,8,9},_xlpm.arr,_xlfn.MAP(_xlpm.starts,_xlpm.lengths,_xlfn.LAMBDA(_xlpm.s,_xlpm.l,SUM(INDEX(_xlpm.data,,_xlfn.SEQUENCE(,_xlpm.l,_xlpm.s))))),ROUND(_xlpm.arr*$O239/1000,2))</f>
        <v/>
      </c>
      <c r="BK239" s="331" t="n">
        <v>0</v>
      </c>
      <c r="BL239" s="331" t="n">
        <v>0</v>
      </c>
      <c r="BM239" s="331" t="n">
        <v>0</v>
      </c>
      <c r="BN239" s="362">
        <f>SUM(BJ239:BM239)</f>
        <v/>
      </c>
      <c r="BO239" s="362" t="n">
        <v>0</v>
      </c>
      <c r="BP239" s="362" t="n">
        <v>0</v>
      </c>
      <c r="BQ239" s="362" t="n">
        <v>0</v>
      </c>
      <c r="BR239" s="362" t="n">
        <v>0</v>
      </c>
      <c r="BS239" s="115">
        <f>AC239*O239/1000</f>
        <v/>
      </c>
      <c r="BT239" s="362">
        <f t="array" ref="BT239:BW239">_xlfn.HSTACK(SUM(INDEX($R239:$AV239,1,1):INDEX($R239:$AV239,1,7)),SUM(INDEX($R239:$AV239,1,7):INDEX($R239:$AV239,1,13)),SUM(INDEX($R239:$AV239,1,16):INDEX($R239:$AV239,1,23)),SUM(INDEX($R239:$AV239,1,23):INDEX($R239:$AV239,1,31)))</f>
        <v/>
      </c>
      <c r="BU239" s="362" t="n">
        <v>0</v>
      </c>
      <c r="BV239" s="362" t="n">
        <v>0</v>
      </c>
      <c r="BW239" s="362" t="n">
        <v>0</v>
      </c>
      <c r="BY239" s="362">
        <f>SUM(R239:X239)</f>
        <v/>
      </c>
      <c r="BZ239" s="362">
        <f>SUM(Y239:AE239)</f>
        <v/>
      </c>
      <c r="CA239" s="362">
        <f>SUM(AF239:AM239)</f>
        <v/>
      </c>
      <c r="CB239" s="362">
        <f>SUM(AN239:AV239)</f>
        <v/>
      </c>
      <c r="CD239" s="432" t="inlineStr">
        <is>
          <t>ADA</t>
        </is>
      </c>
      <c r="CE239" s="362">
        <f>ROUND(BY239*$O239/1000,2)</f>
        <v/>
      </c>
      <c r="CF239" s="362">
        <f>ROUND(BZ239*$O239/1000,2)</f>
        <v/>
      </c>
      <c r="CG239" s="362">
        <f>ROUND(CA239*$O239/1000,2)</f>
        <v/>
      </c>
      <c r="CH239" s="362">
        <f>ROUND(CB239*$O239/1000,2)</f>
        <v/>
      </c>
      <c r="CI239" s="362">
        <f>SUM(CE239:CH239)</f>
        <v/>
      </c>
      <c r="CK239" s="362">
        <f>IFERROR(ROUND(BY239*$P239,2),"")</f>
        <v/>
      </c>
      <c r="CL239" s="362">
        <f>IFERROR(ROUND(BZ239*$P239,2),"")</f>
        <v/>
      </c>
      <c r="CM239" s="362">
        <f>IFERROR(ROUND(CA239*$P239,2),"")</f>
        <v/>
      </c>
      <c r="CN239" s="362">
        <f>IFERROR(ROUND(CB239*$P239,2),"")</f>
        <v/>
      </c>
      <c r="CO239" s="362">
        <f>SUM(CK239:CN239)</f>
        <v/>
      </c>
    </row>
    <row r="240" ht="15.6" customHeight="1" s="428">
      <c r="B240" s="344">
        <f>_xlfn.XLOOKUP(G240,销售需求表!A:A,销售需求表!C:C)</f>
        <v/>
      </c>
      <c r="C240" s="345">
        <f>IFERROR(MID(F240,FIND("R",F240)+1,2),"")</f>
        <v/>
      </c>
      <c r="D240" s="368">
        <f>B240&amp;C240&amp;"寸"</f>
        <v/>
      </c>
      <c r="E240" s="346">
        <f>LEFT(REPLACE(G240,1,2,""),FIND("[",REPLACE(G240,1,2,""))-1)&amp;"-"&amp;MID(REPLACE(G240,1,2,""),FIND("[",REPLACE(G240,1,2,""))+1,FIND("]",REPLACE(G240,1,2,""))-FIND("[",REPLACE(G240,1,2,""))-1)</f>
        <v/>
      </c>
      <c r="F240" s="347">
        <f>IFERROR(MID(G240,3,FIND("(",G240)-3)&amp;"-"&amp;SUBSTITUTE(MID(G240,FIND("[",G240)+1,FIND("]",G240)-FIND("[",G240)-1),"Strong Guard ",""),"")</f>
        <v/>
      </c>
      <c r="G240" s="346" t="inlineStr">
        <is>
          <t>ID10.00R20-18PR(149/146F)[CB332]威狮</t>
        </is>
      </c>
      <c r="H240" s="344" t="n">
        <v>680</v>
      </c>
      <c r="I240" s="348" t="n"/>
      <c r="J240" s="349">
        <f>IFERROR(LEFT(F240,FIND("-",F240))&amp;MID(F240,FIND("PR",F240,FIND("-",F240))+3,LEN(F240)),F240)</f>
        <v/>
      </c>
      <c r="K240" s="352">
        <f>_xlfn.XLOOKUP(F240,投产规格!E:E,投产规格!D:D,"未投产")</f>
        <v/>
      </c>
      <c r="L240" s="352">
        <f>IFERROR(_xlfn.XLOOKUP(F240,硫化工艺!B:B,硫化工艺!C:C),"")</f>
        <v/>
      </c>
      <c r="M240" s="430">
        <f>IF(L240="","",L240/(L240+$L$1/60))</f>
        <v/>
      </c>
      <c r="N240" s="352">
        <f>C240&amp;"全钢"</f>
        <v/>
      </c>
      <c r="O240" s="352">
        <f>IFERROR(_xlfn.XLOOKUP(F240,轮胎重量!J:J,轮胎重量!G:G),"")</f>
        <v/>
      </c>
      <c r="P240" s="352">
        <f>IFERROR(_xlfn.XLOOKUP(G240,硫化工艺!I:I,硫化工艺!J:J),"")</f>
        <v/>
      </c>
      <c r="Q240" s="352">
        <f>IFERROR(ROUND(1440/L240*(I240)*M240,0),"")</f>
        <v/>
      </c>
      <c r="R240" s="352" t="n"/>
      <c r="S240" s="352" t="n"/>
      <c r="T240" s="352" t="n"/>
      <c r="U240" s="352" t="n"/>
      <c r="V240" s="352" t="n"/>
      <c r="W240" s="352" t="n"/>
      <c r="X240" s="352" t="n"/>
      <c r="Y240" s="352" t="n"/>
      <c r="Z240" s="352" t="n"/>
      <c r="AA240" s="352" t="n"/>
      <c r="AB240" s="352" t="n">
        <v>60</v>
      </c>
      <c r="AC240" s="352" t="n">
        <v>60</v>
      </c>
      <c r="AD240" s="352" t="n">
        <v>60</v>
      </c>
      <c r="AE240" s="352" t="n">
        <v>60</v>
      </c>
      <c r="AF240" s="352" t="n">
        <v>60</v>
      </c>
      <c r="AG240" s="352" t="n">
        <v>60</v>
      </c>
      <c r="AH240" s="352" t="n">
        <v>60</v>
      </c>
      <c r="AI240" s="352" t="n">
        <v>60</v>
      </c>
      <c r="AJ240" s="352" t="n">
        <v>60</v>
      </c>
      <c r="AK240" s="352" t="n">
        <v>60</v>
      </c>
      <c r="AL240" s="352" t="n">
        <v>60</v>
      </c>
      <c r="AM240" s="352" t="n">
        <v>60</v>
      </c>
      <c r="AN240" s="352" t="n">
        <v>60</v>
      </c>
      <c r="AO240" s="352" t="n">
        <v>60</v>
      </c>
      <c r="AP240" s="352" t="n"/>
      <c r="AQ240" s="352" t="n"/>
      <c r="AR240" s="352" t="n"/>
      <c r="AS240" s="352" t="n"/>
      <c r="AT240" s="352" t="n"/>
      <c r="AU240" s="352" t="n"/>
      <c r="AV240" s="352" t="n"/>
      <c r="AW240" s="352">
        <f>IF(SUM(R240:AV240)=0,"",SUM(R240:AV240))</f>
        <v/>
      </c>
      <c r="AX240" s="431">
        <f>IFERROR(AW240*O240/1000,"")</f>
        <v/>
      </c>
      <c r="AY240" s="431">
        <f>IFERROR(ROUND(AW240*P240/10000,3),"")</f>
        <v/>
      </c>
      <c r="AZ240" s="354" t="n">
        <v>293.54</v>
      </c>
      <c r="BA240" s="355" t="n">
        <v>21.02</v>
      </c>
      <c r="BB240" s="355" t="n">
        <v>36.06</v>
      </c>
      <c r="BC240" s="355" t="n">
        <v>39.59</v>
      </c>
      <c r="BE240" s="331">
        <f>AZ240*AW240</f>
        <v/>
      </c>
      <c r="BF240" s="331">
        <f>BA240*AW240</f>
        <v/>
      </c>
      <c r="BG240" s="331">
        <f>BB240*AW240</f>
        <v/>
      </c>
      <c r="BH240" s="331">
        <f>BC240*AW240</f>
        <v/>
      </c>
      <c r="BJ240" s="356">
        <f t="array" ref="BJ240:BM240">_xlfn.LET(_xlpm.data,$R240:$AV240,_xlpm.starts,{1,8,16,23},_xlpm.lengths,{7,7,8,9},_xlpm.arr,_xlfn.MAP(_xlpm.starts,_xlpm.lengths,_xlfn.LAMBDA(_xlpm.s,_xlpm.l,SUM(INDEX(_xlpm.data,,_xlfn.SEQUENCE(,_xlpm.l,_xlpm.s))))),ROUND(_xlpm.arr*$O240/1000,2))</f>
        <v/>
      </c>
      <c r="BK240" s="331" t="n">
        <v>16.29</v>
      </c>
      <c r="BL240" s="331" t="n">
        <v>32.59</v>
      </c>
      <c r="BM240" s="331" t="n">
        <v>8.15</v>
      </c>
      <c r="BN240" s="362">
        <f>SUM(BJ240:BM240)</f>
        <v/>
      </c>
      <c r="BO240" s="362" t="n">
        <v>0</v>
      </c>
      <c r="BP240" s="362" t="n">
        <v>0</v>
      </c>
      <c r="BQ240" s="362" t="n">
        <v>0</v>
      </c>
      <c r="BR240" s="362" t="n">
        <v>0</v>
      </c>
      <c r="BS240" s="115">
        <f>AC240*O240/1000</f>
        <v/>
      </c>
      <c r="BT240" s="362">
        <f t="array" ref="BT240:BW240">_xlfn.HSTACK(SUM(INDEX($R240:$AV240,1,1):INDEX($R240:$AV240,1,7)),SUM(INDEX($R240:$AV240,1,7):INDEX($R240:$AV240,1,13)),SUM(INDEX($R240:$AV240,1,16):INDEX($R240:$AV240,1,23)),SUM(INDEX($R240:$AV240,1,23):INDEX($R240:$AV240,1,31)))</f>
        <v/>
      </c>
      <c r="BU240" s="362" t="n">
        <v>180</v>
      </c>
      <c r="BV240" s="362" t="n">
        <v>480</v>
      </c>
      <c r="BW240" s="362" t="n">
        <v>120</v>
      </c>
      <c r="BY240" s="362">
        <f>SUM(R240:X240)</f>
        <v/>
      </c>
      <c r="BZ240" s="362">
        <f>SUM(Y240:AE240)</f>
        <v/>
      </c>
      <c r="CA240" s="362">
        <f>SUM(AF240:AM240)</f>
        <v/>
      </c>
      <c r="CB240" s="362">
        <f>SUM(AN240:AV240)</f>
        <v/>
      </c>
      <c r="CD240" s="432" t="inlineStr">
        <is>
          <t>ADA</t>
        </is>
      </c>
      <c r="CE240" s="362">
        <f>ROUND(BY240*$O240/1000,2)</f>
        <v/>
      </c>
      <c r="CF240" s="362">
        <f>ROUND(BZ240*$O240/1000,2)</f>
        <v/>
      </c>
      <c r="CG240" s="362">
        <f>ROUND(CA240*$O240/1000,2)</f>
        <v/>
      </c>
      <c r="CH240" s="362">
        <f>ROUND(CB240*$O240/1000,2)</f>
        <v/>
      </c>
      <c r="CI240" s="362">
        <f>SUM(CE240:CH240)</f>
        <v/>
      </c>
      <c r="CK240" s="362">
        <f>IFERROR(ROUND(BY240*$P240,2),"")</f>
        <v/>
      </c>
      <c r="CL240" s="362">
        <f>IFERROR(ROUND(BZ240*$P240,2),"")</f>
        <v/>
      </c>
      <c r="CM240" s="362">
        <f>IFERROR(ROUND(CA240*$P240,2),"")</f>
        <v/>
      </c>
      <c r="CN240" s="362">
        <f>IFERROR(ROUND(CB240*$P240,2),"")</f>
        <v/>
      </c>
      <c r="CO240" s="362">
        <f>SUM(CK240:CN240)</f>
        <v/>
      </c>
    </row>
    <row r="241" hidden="1" ht="15.6" customHeight="1" s="428">
      <c r="B241" s="344">
        <f>_xlfn.XLOOKUP(G241,销售需求表!A:A,销售需求表!C:C)</f>
        <v/>
      </c>
      <c r="C241" s="345">
        <f>IFERROR(MID(F241,FIND("R",F241)+1,2),"")</f>
        <v/>
      </c>
      <c r="D241" s="368">
        <f>B241&amp;C241&amp;"寸"</f>
        <v/>
      </c>
      <c r="E241" s="346">
        <f>LEFT(REPLACE(G241,1,2,""),FIND("[",REPLACE(G241,1,2,""))-1)&amp;"-"&amp;MID(REPLACE(G241,1,2,""),FIND("[",REPLACE(G241,1,2,""))+1,FIND("]",REPLACE(G241,1,2,""))-FIND("[",REPLACE(G241,1,2,""))-1)</f>
        <v/>
      </c>
      <c r="F241" s="347">
        <f>IFERROR(MID(G241,3,FIND("(",G241)-3)&amp;"-"&amp;SUBSTITUTE(MID(G241,FIND("[",G241)+1,FIND("]",G241)-FIND("[",G241)-1),"Strong Guard ",""),"")</f>
        <v/>
      </c>
      <c r="G241" s="346" t="inlineStr">
        <is>
          <t>ID10.00R20-18PR(149/146F)[CB972]威狮</t>
        </is>
      </c>
      <c r="H241" s="344" t="n">
        <v>280</v>
      </c>
      <c r="I241" s="348" t="n"/>
      <c r="J241" s="349">
        <f>IFERROR(LEFT(F241,FIND("-",F241))&amp;MID(F241,FIND("PR",F241,FIND("-",F241))+3,LEN(F241)),F241)</f>
        <v/>
      </c>
      <c r="K241" s="352">
        <f>_xlfn.XLOOKUP(F241,投产规格!E:E,投产规格!D:D,"未投产")</f>
        <v/>
      </c>
      <c r="L241" s="352">
        <f>IFERROR(_xlfn.XLOOKUP(F241,硫化工艺!B:B,硫化工艺!C:C),"")</f>
        <v/>
      </c>
      <c r="M241" s="430">
        <f>IF(L241="","",L241/(L241+$L$1/60))</f>
        <v/>
      </c>
      <c r="N241" s="352">
        <f>C241&amp;"全钢"</f>
        <v/>
      </c>
      <c r="O241" s="352">
        <f>IFERROR(_xlfn.XLOOKUP(F241,轮胎重量!J:J,轮胎重量!G:G),"")</f>
        <v/>
      </c>
      <c r="P241" s="352">
        <f>IFERROR(_xlfn.XLOOKUP(G241,硫化工艺!I:I,硫化工艺!J:J),"")</f>
        <v/>
      </c>
      <c r="Q241" s="352">
        <f>IFERROR(ROUND(1440/L241*(I241)*M241,0),"")</f>
        <v/>
      </c>
      <c r="R241" s="352" t="n"/>
      <c r="S241" s="352" t="n"/>
      <c r="T241" s="352" t="n"/>
      <c r="U241" s="352" t="n"/>
      <c r="V241" s="352" t="n"/>
      <c r="W241" s="352" t="n"/>
      <c r="X241" s="352" t="n"/>
      <c r="Y241" s="352" t="n"/>
      <c r="Z241" s="352" t="n"/>
      <c r="AA241" s="352" t="n"/>
      <c r="AB241" s="352" t="n"/>
      <c r="AC241" s="352" t="n"/>
      <c r="AD241" s="352" t="n"/>
      <c r="AE241" s="352" t="n"/>
      <c r="AF241" s="352" t="n"/>
      <c r="AG241" s="352" t="n"/>
      <c r="AH241" s="352" t="n"/>
      <c r="AI241" s="352" t="n"/>
      <c r="AJ241" s="352" t="n"/>
      <c r="AK241" s="352" t="n"/>
      <c r="AL241" s="352" t="n"/>
      <c r="AM241" s="352" t="n"/>
      <c r="AN241" s="352" t="n"/>
      <c r="AO241" s="352" t="n"/>
      <c r="AP241" s="352" t="n"/>
      <c r="AQ241" s="352" t="n"/>
      <c r="AR241" s="352" t="n"/>
      <c r="AS241" s="352" t="n"/>
      <c r="AT241" s="352" t="n"/>
      <c r="AU241" s="352" t="n"/>
      <c r="AV241" s="352" t="n"/>
      <c r="AW241" s="352">
        <f>IF(SUM(R241:AV241)=0,"",SUM(R241:AV241))</f>
        <v/>
      </c>
      <c r="AX241" s="431">
        <f>IFERROR(AW241*O241/1000,"")</f>
        <v/>
      </c>
      <c r="AY241" s="431">
        <f>IFERROR(ROUND(AW241*P241/10000,3),"")</f>
        <v/>
      </c>
      <c r="AZ241" s="354" t="n">
        <v>293.54</v>
      </c>
      <c r="BA241" s="355" t="n">
        <v>21.02</v>
      </c>
      <c r="BB241" s="355" t="n">
        <v>36.06</v>
      </c>
      <c r="BC241" s="355" t="n">
        <v>39.59</v>
      </c>
      <c r="BE241" s="331">
        <f>AZ241*AW241</f>
        <v/>
      </c>
      <c r="BF241" s="331">
        <f>BA241*AW241</f>
        <v/>
      </c>
      <c r="BG241" s="331">
        <f>BB241*AW241</f>
        <v/>
      </c>
      <c r="BH241" s="331">
        <f>BC241*AW241</f>
        <v/>
      </c>
      <c r="BJ241" s="356">
        <f t="array" ref="BJ241:BM241">_xlfn.LET(_xlpm.data,$R241:$AV241,_xlpm.starts,{1,8,16,23},_xlpm.lengths,{7,7,8,9},_xlpm.arr,_xlfn.MAP(_xlpm.starts,_xlpm.lengths,_xlfn.LAMBDA(_xlpm.s,_xlpm.l,SUM(INDEX(_xlpm.data,,_xlfn.SEQUENCE(,_xlpm.l,_xlpm.s))))),ROUND(_xlpm.arr*$O241/1000,2))</f>
        <v/>
      </c>
      <c r="BK241" s="331" t="n">
        <v>0</v>
      </c>
      <c r="BL241" s="331" t="n">
        <v>0</v>
      </c>
      <c r="BM241" s="331" t="n">
        <v>0</v>
      </c>
      <c r="BN241" s="362">
        <f>SUM(BJ241:BM241)</f>
        <v/>
      </c>
      <c r="BO241" s="362" t="n">
        <v>0</v>
      </c>
      <c r="BP241" s="362" t="n">
        <v>0</v>
      </c>
      <c r="BQ241" s="362" t="n">
        <v>0</v>
      </c>
      <c r="BR241" s="362" t="n">
        <v>0</v>
      </c>
      <c r="BT241" s="362">
        <f t="array" ref="BT241:BW241">_xlfn.HSTACK(SUM(INDEX($R241:$AV241,1,1):INDEX($R241:$AV241,1,7)),SUM(INDEX($R241:$AV241,1,7):INDEX($R241:$AV241,1,13)),SUM(INDEX($R241:$AV241,1,16):INDEX($R241:$AV241,1,23)),SUM(INDEX($R241:$AV241,1,23):INDEX($R241:$AV241,1,31)))</f>
        <v/>
      </c>
      <c r="BU241" s="362" t="n">
        <v>0</v>
      </c>
      <c r="BV241" s="362" t="n">
        <v>0</v>
      </c>
      <c r="BW241" s="362" t="n">
        <v>0</v>
      </c>
      <c r="BY241" s="362">
        <f>SUM(R241:X241)</f>
        <v/>
      </c>
      <c r="BZ241" s="362">
        <f>SUM(Y241:AE241)</f>
        <v/>
      </c>
      <c r="CA241" s="362">
        <f>SUM(AF241:AM241)</f>
        <v/>
      </c>
      <c r="CB241" s="362">
        <f>SUM(AN241:AV241)</f>
        <v/>
      </c>
      <c r="CD241" s="432" t="inlineStr">
        <is>
          <t>ADA</t>
        </is>
      </c>
      <c r="CE241" s="362">
        <f>ROUND(BY241*$O241/1000,2)</f>
        <v/>
      </c>
      <c r="CF241" s="362">
        <f>ROUND(BZ241*$O241/1000,2)</f>
        <v/>
      </c>
      <c r="CG241" s="362">
        <f>ROUND(CA241*$O241/1000,2)</f>
        <v/>
      </c>
      <c r="CH241" s="362">
        <f>ROUND(CB241*$O241/1000,2)</f>
        <v/>
      </c>
      <c r="CI241" s="362">
        <f>SUM(CE241:CH241)</f>
        <v/>
      </c>
      <c r="CK241" s="362">
        <f>IFERROR(ROUND(BY241*$P241,2),"")</f>
        <v/>
      </c>
      <c r="CL241" s="362">
        <f>IFERROR(ROUND(BZ241*$P241,2),"")</f>
        <v/>
      </c>
      <c r="CM241" s="362">
        <f>IFERROR(ROUND(CA241*$P241,2),"")</f>
        <v/>
      </c>
      <c r="CN241" s="362">
        <f>IFERROR(ROUND(CB241*$P241,2),"")</f>
        <v/>
      </c>
      <c r="CO241" s="362">
        <f>SUM(CK241:CN241)</f>
        <v/>
      </c>
    </row>
    <row r="242" hidden="1" ht="15.6" customFormat="1" customHeight="1" s="362">
      <c r="A242" s="331" t="n"/>
      <c r="B242" s="344">
        <f>_xlfn.XLOOKUP(G242,销售需求表!A:A,销售需求表!C:C)</f>
        <v/>
      </c>
      <c r="C242" s="345">
        <f>IFERROR(MID(F242,FIND("R",F242)+1,2),"")</f>
        <v/>
      </c>
      <c r="D242" s="368">
        <f>B242&amp;C242&amp;"寸"</f>
        <v/>
      </c>
      <c r="E242" s="346">
        <f>LEFT(REPLACE(G242,1,2,""),FIND("[",REPLACE(G242,1,2,""))-1)&amp;"-"&amp;MID(REPLACE(G242,1,2,""),FIND("[",REPLACE(G242,1,2,""))+1,FIND("]",REPLACE(G242,1,2,""))-FIND("[",REPLACE(G242,1,2,""))-1)</f>
        <v/>
      </c>
      <c r="F242" s="347">
        <f>IFERROR(MID(G242,3,FIND("(",G242)-3)&amp;"-"&amp;SUBSTITUTE(MID(G242,FIND("[",G242)+1,FIND("]",G242)-FIND("[",G242)-1),"Strong Guard ",""),"")</f>
        <v/>
      </c>
      <c r="G242" s="346" t="inlineStr">
        <is>
          <t>ID10.00R20-18PR(149/146F)[MT100]UNITED</t>
        </is>
      </c>
      <c r="H242" s="344" t="n">
        <v>200</v>
      </c>
      <c r="I242" s="348" t="n"/>
      <c r="J242" s="349">
        <f>IFERROR(LEFT(F242,FIND("-",F242))&amp;MID(F242,FIND("PR",F242,FIND("-",F242))+3,LEN(F242)),F242)</f>
        <v/>
      </c>
      <c r="K242" s="352">
        <f>_xlfn.XLOOKUP(F242,投产规格!E:E,投产规格!D:D,"未投产")</f>
        <v/>
      </c>
      <c r="L242" s="352">
        <f>IFERROR(_xlfn.XLOOKUP(F242,硫化工艺!B:B,硫化工艺!C:C),"")</f>
        <v/>
      </c>
      <c r="M242" s="430">
        <f>IF(L242="","",L242/(L242+$L$1/60))</f>
        <v/>
      </c>
      <c r="N242" s="352">
        <f>C242&amp;"全钢"</f>
        <v/>
      </c>
      <c r="O242" s="352">
        <f>IFERROR(_xlfn.XLOOKUP(F242,轮胎重量!J:J,轮胎重量!G:G),"")</f>
        <v/>
      </c>
      <c r="P242" s="352">
        <f>IFERROR(_xlfn.XLOOKUP(G242,硫化工艺!I:I,硫化工艺!J:J),"")</f>
        <v/>
      </c>
      <c r="Q242" s="352">
        <f>IFERROR(ROUND(1440/L242*(I242)*M242,0),"")</f>
        <v/>
      </c>
      <c r="R242" s="352" t="n"/>
      <c r="S242" s="352" t="n"/>
      <c r="T242" s="352" t="n"/>
      <c r="U242" s="352" t="n"/>
      <c r="V242" s="352" t="n"/>
      <c r="W242" s="352" t="n"/>
      <c r="X242" s="352" t="n"/>
      <c r="Y242" s="352" t="n"/>
      <c r="Z242" s="352" t="n"/>
      <c r="AA242" s="352" t="n"/>
      <c r="AB242" s="352" t="n"/>
      <c r="AC242" s="352" t="n"/>
      <c r="AD242" s="352" t="n"/>
      <c r="AE242" s="352" t="n"/>
      <c r="AF242" s="352" t="n"/>
      <c r="AG242" s="352" t="n"/>
      <c r="AH242" s="352" t="n"/>
      <c r="AI242" s="352" t="n"/>
      <c r="AJ242" s="352" t="n"/>
      <c r="AK242" s="352" t="n"/>
      <c r="AL242" s="352" t="n"/>
      <c r="AM242" s="352" t="n"/>
      <c r="AN242" s="352" t="n"/>
      <c r="AO242" s="352" t="n"/>
      <c r="AP242" s="352" t="n"/>
      <c r="AQ242" s="352" t="n"/>
      <c r="AR242" s="352" t="n"/>
      <c r="AS242" s="352" t="n"/>
      <c r="AT242" s="352" t="n"/>
      <c r="AU242" s="352" t="n"/>
      <c r="AV242" s="352" t="n"/>
      <c r="AW242" s="352">
        <f>IF(SUM(R242:AV242)=0,"",SUM(R242:AV242))</f>
        <v/>
      </c>
      <c r="AX242" s="431">
        <f>IFERROR(AW242*O242/1000,"")</f>
        <v/>
      </c>
      <c r="AY242" s="431">
        <f>IFERROR(ROUND(AW242*P242/10000,3),"")</f>
        <v/>
      </c>
      <c r="AZ242" s="354" t="n">
        <v>293.54</v>
      </c>
      <c r="BA242" s="355" t="n">
        <v>21.02</v>
      </c>
      <c r="BB242" s="355" t="n">
        <v>36.06</v>
      </c>
      <c r="BC242" s="355" t="n">
        <v>39.59</v>
      </c>
      <c r="BD242" s="331" t="n"/>
      <c r="BE242" s="331">
        <f>AZ242*AW242</f>
        <v/>
      </c>
      <c r="BF242" s="331">
        <f>BA242*AW242</f>
        <v/>
      </c>
      <c r="BG242" s="331">
        <f>BB242*AW242</f>
        <v/>
      </c>
      <c r="BH242" s="331">
        <f>BC242*AW242</f>
        <v/>
      </c>
      <c r="BI242" s="331" t="n"/>
      <c r="BJ242" s="356">
        <f t="array" ref="BJ242:BM242">_xlfn.LET(_xlpm.data,$R242:$AV242,_xlpm.starts,{1,8,16,23},_xlpm.lengths,{7,7,8,9},_xlpm.arr,_xlfn.MAP(_xlpm.starts,_xlpm.lengths,_xlfn.LAMBDA(_xlpm.s,_xlpm.l,SUM(INDEX(_xlpm.data,,_xlfn.SEQUENCE(,_xlpm.l,_xlpm.s))))),ROUND(_xlpm.arr*$O242/1000,2))</f>
        <v/>
      </c>
      <c r="BK242" s="331" t="n">
        <v>0</v>
      </c>
      <c r="BL242" s="331" t="n">
        <v>0</v>
      </c>
      <c r="BM242" s="331" t="n">
        <v>0</v>
      </c>
      <c r="BN242" s="362">
        <f>SUM(BJ242:BM242)</f>
        <v/>
      </c>
      <c r="BO242" s="362" t="n">
        <v>0</v>
      </c>
      <c r="BP242" s="362" t="n">
        <v>0</v>
      </c>
      <c r="BQ242" s="362" t="n">
        <v>0</v>
      </c>
      <c r="BR242" s="362" t="n">
        <v>0</v>
      </c>
      <c r="BS242" s="115">
        <f>AC242*O242/1000</f>
        <v/>
      </c>
      <c r="BT242" s="362">
        <f t="array" ref="BT242:BW242">_xlfn.HSTACK(SUM(INDEX($R242:$AV242,1,1):INDEX($R242:$AV242,1,7)),SUM(INDEX($R242:$AV242,1,7):INDEX($R242:$AV242,1,13)),SUM(INDEX($R242:$AV242,1,16):INDEX($R242:$AV242,1,23)),SUM(INDEX($R242:$AV242,1,23):INDEX($R242:$AV242,1,31)))</f>
        <v/>
      </c>
      <c r="BU242" s="362" t="n">
        <v>0</v>
      </c>
      <c r="BV242" s="362" t="n">
        <v>0</v>
      </c>
      <c r="BW242" s="362" t="n">
        <v>0</v>
      </c>
      <c r="BY242" s="362">
        <f>SUM(R242:X242)</f>
        <v/>
      </c>
      <c r="BZ242" s="362">
        <f>SUM(Y242:AE242)</f>
        <v/>
      </c>
      <c r="CA242" s="362">
        <f>SUM(AF242:AM242)</f>
        <v/>
      </c>
      <c r="CB242" s="362">
        <f>SUM(AN242:AV242)</f>
        <v/>
      </c>
      <c r="CD242" s="432" t="inlineStr">
        <is>
          <t>ADA</t>
        </is>
      </c>
      <c r="CE242" s="362">
        <f>ROUND(BY242*$O242/1000,2)</f>
        <v/>
      </c>
      <c r="CF242" s="362">
        <f>ROUND(BZ242*$O242/1000,2)</f>
        <v/>
      </c>
      <c r="CG242" s="362">
        <f>ROUND(CA242*$O242/1000,2)</f>
        <v/>
      </c>
      <c r="CH242" s="362">
        <f>ROUND(CB242*$O242/1000,2)</f>
        <v/>
      </c>
      <c r="CI242" s="362">
        <f>SUM(CE242:CH242)</f>
        <v/>
      </c>
      <c r="CJ242" s="390" t="n"/>
      <c r="CK242" s="362">
        <f>IFERROR(ROUND(BY242*$P242,2),"")</f>
        <v/>
      </c>
      <c r="CL242" s="362">
        <f>IFERROR(ROUND(BZ242*$P242,2),"")</f>
        <v/>
      </c>
      <c r="CM242" s="362">
        <f>IFERROR(ROUND(CA242*$P242,2),"")</f>
        <v/>
      </c>
      <c r="CN242" s="362">
        <f>IFERROR(ROUND(CB242*$P242,2),"")</f>
        <v/>
      </c>
      <c r="CO242" s="362">
        <f>SUM(CK242:CN242)</f>
        <v/>
      </c>
    </row>
    <row r="243" ht="15.6" customHeight="1" s="428">
      <c r="B243" s="344">
        <f>_xlfn.XLOOKUP(G243,销售需求表!A:A,销售需求表!C:C)</f>
        <v/>
      </c>
      <c r="C243" s="345">
        <f>IFERROR(MID(F243,FIND("R",F243)+1,2),"")</f>
        <v/>
      </c>
      <c r="D243" s="368">
        <f>B243&amp;C243&amp;"寸"</f>
        <v/>
      </c>
      <c r="E243" s="346">
        <f>LEFT(REPLACE(G243,1,2,""),FIND("[",REPLACE(G243,1,2,""))-1)&amp;"-"&amp;MID(REPLACE(G243,1,2,""),FIND("[",REPLACE(G243,1,2,""))+1,FIND("]",REPLACE(G243,1,2,""))-FIND("[",REPLACE(G243,1,2,""))-1)</f>
        <v/>
      </c>
      <c r="F243" s="347">
        <f>IFERROR(MID(G243,3,FIND("(",G243)-3)&amp;"-"&amp;SUBSTITUTE(MID(G243,FIND("[",G243)+1,FIND("]",G243)-FIND("[",G243)-1),"Strong Guard ",""),"")</f>
        <v/>
      </c>
      <c r="G243" s="346" t="inlineStr">
        <is>
          <t>ID10.00R20-18PR(149/146J)[AZ601]威狮</t>
        </is>
      </c>
      <c r="H243" s="344" t="n">
        <v>1600</v>
      </c>
      <c r="I243" s="348" t="n"/>
      <c r="J243" s="349">
        <f>IFERROR(LEFT(F243,FIND("-",F243))&amp;MID(F243,FIND("PR",F243,FIND("-",F243))+3,LEN(F243)),F243)</f>
        <v/>
      </c>
      <c r="K243" s="352">
        <f>_xlfn.XLOOKUP(F243,投产规格!E:E,投产规格!D:D,"未投产")</f>
        <v/>
      </c>
      <c r="L243" s="352">
        <f>IFERROR(_xlfn.XLOOKUP(F243,硫化工艺!B:B,硫化工艺!C:C),"")</f>
        <v/>
      </c>
      <c r="M243" s="430">
        <f>IF(L243="","",L243/(L243+$L$1/60))</f>
        <v/>
      </c>
      <c r="N243" s="352">
        <f>C243&amp;"全钢"</f>
        <v/>
      </c>
      <c r="O243" s="352">
        <f>IFERROR(_xlfn.XLOOKUP(F243,轮胎重量!J:J,轮胎重量!G:G),"")</f>
        <v/>
      </c>
      <c r="P243" s="352">
        <f>IFERROR(_xlfn.XLOOKUP(G243,硫化工艺!I:I,硫化工艺!J:J),"")</f>
        <v/>
      </c>
      <c r="Q243" s="352">
        <f>IFERROR(ROUND(1440/L243*(I243)*M243,0),"")</f>
        <v/>
      </c>
      <c r="R243" s="352" t="n"/>
      <c r="S243" s="352" t="n"/>
      <c r="T243" s="352" t="n"/>
      <c r="U243" s="352" t="n"/>
      <c r="V243" s="352" t="n"/>
      <c r="W243" s="352" t="n"/>
      <c r="X243" s="352" t="n"/>
      <c r="Y243" s="352" t="n">
        <v>60</v>
      </c>
      <c r="Z243" s="352" t="n">
        <v>60</v>
      </c>
      <c r="AA243" s="352" t="n">
        <v>60</v>
      </c>
      <c r="AB243" s="352" t="n">
        <v>60</v>
      </c>
      <c r="AC243" s="352" t="n">
        <v>60</v>
      </c>
      <c r="AD243" s="352" t="n">
        <v>60</v>
      </c>
      <c r="AE243" s="352" t="n">
        <v>60</v>
      </c>
      <c r="AF243" s="352" t="n">
        <v>60</v>
      </c>
      <c r="AG243" s="352" t="n">
        <v>60</v>
      </c>
      <c r="AH243" s="352" t="n">
        <v>60</v>
      </c>
      <c r="AI243" s="352" t="n">
        <v>60</v>
      </c>
      <c r="AJ243" s="352" t="n">
        <v>60</v>
      </c>
      <c r="AK243" s="352" t="n">
        <v>60</v>
      </c>
      <c r="AL243" s="352" t="n">
        <v>60</v>
      </c>
      <c r="AM243" s="352" t="n">
        <v>60</v>
      </c>
      <c r="AN243" s="352" t="n">
        <v>60</v>
      </c>
      <c r="AO243" s="352" t="n">
        <v>60</v>
      </c>
      <c r="AP243" s="352" t="n">
        <v>60</v>
      </c>
      <c r="AQ243" s="352" t="n">
        <v>60</v>
      </c>
      <c r="AR243" s="352" t="n">
        <v>60</v>
      </c>
      <c r="AS243" s="352" t="n">
        <v>60</v>
      </c>
      <c r="AT243" s="352" t="n">
        <v>60</v>
      </c>
      <c r="AU243" s="352" t="n">
        <v>60</v>
      </c>
      <c r="AV243" s="352" t="n">
        <v>60</v>
      </c>
      <c r="AW243" s="352">
        <f>IF(SUM(R243:AV243)=0,"",SUM(R243:AV243))</f>
        <v/>
      </c>
      <c r="AX243" s="431">
        <f>IFERROR(AW243*O243/1000,"")</f>
        <v/>
      </c>
      <c r="AY243" s="431">
        <f>IFERROR(ROUND(AW243*P243/10000,3),"")</f>
        <v/>
      </c>
      <c r="AZ243" s="359" t="n"/>
      <c r="BE243" s="331">
        <f>AZ243*AW243</f>
        <v/>
      </c>
      <c r="BF243" s="331">
        <f>BA243*AW243</f>
        <v/>
      </c>
      <c r="BG243" s="331">
        <f>BB243*AW243</f>
        <v/>
      </c>
      <c r="BH243" s="331">
        <f>BC243*AW243</f>
        <v/>
      </c>
      <c r="BJ243" s="356">
        <f t="array" ref="BJ243:BM243">_xlfn.LET(_xlpm.data,$R243:$AV243,_xlpm.starts,{1,8,16,23},_xlpm.lengths,{7,7,8,9},_xlpm.arr,_xlfn.MAP(_xlpm.starts,_xlpm.lengths,_xlfn.LAMBDA(_xlpm.s,_xlpm.l,SUM(INDEX(_xlpm.data,,_xlfn.SEQUENCE(,_xlpm.l,_xlpm.s))))),ROUND(_xlpm.arr*$O243/1000,2))</f>
        <v/>
      </c>
      <c r="BK243" s="331" t="n">
        <v>24.58</v>
      </c>
      <c r="BL243" s="331" t="n">
        <v>28.09</v>
      </c>
      <c r="BM243" s="331" t="n">
        <v>31.6</v>
      </c>
      <c r="BN243" s="362">
        <f>SUM(BJ243:BM243)</f>
        <v/>
      </c>
      <c r="BO243" s="362" t="n">
        <v>0</v>
      </c>
      <c r="BP243" s="362" t="n">
        <v>0</v>
      </c>
      <c r="BQ243" s="362" t="n">
        <v>9.27</v>
      </c>
      <c r="BR243" s="362" t="n">
        <v>0</v>
      </c>
      <c r="BS243" s="115">
        <f>SUM(BS237:BS242)</f>
        <v/>
      </c>
      <c r="BT243" s="362">
        <f t="array" ref="BT243:BW243">_xlfn.HSTACK(SUM(INDEX($R243:$AV243,1,1):INDEX($R243:$AV243,1,7)),SUM(INDEX($R243:$AV243,1,7):INDEX($R243:$AV243,1,13)),SUM(INDEX($R243:$AV243,1,16):INDEX($R243:$AV243,1,23)),SUM(INDEX($R243:$AV243,1,23):INDEX($R243:$AV243,1,31)))</f>
        <v/>
      </c>
      <c r="BU243" s="362" t="n">
        <v>360</v>
      </c>
      <c r="BV243" s="362" t="n">
        <v>480</v>
      </c>
      <c r="BW243" s="362" t="n">
        <v>540</v>
      </c>
      <c r="BX243" s="362">
        <f>BS346-BS243</f>
        <v/>
      </c>
      <c r="BY243" s="362">
        <f>SUM(R243:X243)</f>
        <v/>
      </c>
      <c r="BZ243" s="362">
        <f>SUM(Y243:AE243)</f>
        <v/>
      </c>
      <c r="CA243" s="362">
        <f>SUM(AF243:AM243)</f>
        <v/>
      </c>
      <c r="CB243" s="362">
        <f>SUM(AN243:AV243)</f>
        <v/>
      </c>
      <c r="CD243" s="432" t="inlineStr">
        <is>
          <t>ADA</t>
        </is>
      </c>
      <c r="CE243" s="362">
        <f>ROUND(BY243*$O243/1000,2)</f>
        <v/>
      </c>
      <c r="CF243" s="362">
        <f>ROUND(BZ243*$O243/1000,2)</f>
        <v/>
      </c>
      <c r="CG243" s="362">
        <f>ROUND(CA243*$O243/1000,2)</f>
        <v/>
      </c>
      <c r="CH243" s="362">
        <f>ROUND(CB243*$O243/1000,2)</f>
        <v/>
      </c>
      <c r="CI243" s="362">
        <f>SUM(CE243:CH243)</f>
        <v/>
      </c>
      <c r="CK243" s="362">
        <f>IFERROR(ROUND(BY243*$P243,2),"")</f>
        <v/>
      </c>
      <c r="CL243" s="362">
        <f>IFERROR(ROUND(BZ243*$P243,2),"")</f>
        <v/>
      </c>
      <c r="CM243" s="362">
        <f>IFERROR(ROUND(CA243*$P243,2),"")</f>
        <v/>
      </c>
      <c r="CN243" s="362">
        <f>IFERROR(ROUND(CB243*$P243,2),"")</f>
        <v/>
      </c>
      <c r="CO243" s="362">
        <f>SUM(CK243:CN243)</f>
        <v/>
      </c>
    </row>
    <row r="244" ht="15.6" customHeight="1" s="428">
      <c r="B244" s="344">
        <f>_xlfn.XLOOKUP(G244,销售需求表!A:A,销售需求表!C:C)</f>
        <v/>
      </c>
      <c r="C244" s="345">
        <f>IFERROR(MID(F244,FIND("R",F244)+1,2),"")</f>
        <v/>
      </c>
      <c r="D244" s="368">
        <f>B244&amp;C244&amp;"寸"</f>
        <v/>
      </c>
      <c r="E244" s="346">
        <f>LEFT(REPLACE(G244,1,2,""),FIND("[",REPLACE(G244,1,2,""))-1)&amp;"-"&amp;MID(REPLACE(G244,1,2,""),FIND("[",REPLACE(G244,1,2,""))+1,FIND("]",REPLACE(G244,1,2,""))-FIND("[",REPLACE(G244,1,2,""))-1)</f>
        <v/>
      </c>
      <c r="F244" s="347">
        <f>IFERROR(MID(G244,3,FIND("(",G244)-3)&amp;"-"&amp;SUBSTITUTE(MID(G244,FIND("[",G244)+1,FIND("]",G244)-FIND("[",G244)-1),"Strong Guard ",""),"")</f>
        <v/>
      </c>
      <c r="G244" s="346" t="inlineStr">
        <is>
          <t>ID10.00R20-18PR(149/146J)[AZ676]TRAZANO(全诺)</t>
        </is>
      </c>
      <c r="H244" s="344" t="n">
        <v>3800</v>
      </c>
      <c r="I244" s="348" t="n">
        <v>2</v>
      </c>
      <c r="J244" s="349">
        <f>IFERROR(LEFT(F244,FIND("-",F244))&amp;MID(F244,FIND("PR",F244,FIND("-",F244))+3,LEN(F244)),F244)</f>
        <v/>
      </c>
      <c r="K244" s="352">
        <f>_xlfn.XLOOKUP(F244,投产规格!E:E,投产规格!D:D,"未投产")</f>
        <v/>
      </c>
      <c r="L244" s="352">
        <f>IFERROR(_xlfn.XLOOKUP(F244,硫化工艺!B:B,硫化工艺!C:C),"")</f>
        <v/>
      </c>
      <c r="M244" s="430">
        <f>IF(L244="","",L244/(L244+$L$1/60))</f>
        <v/>
      </c>
      <c r="N244" s="352">
        <f>C244&amp;"全钢"</f>
        <v/>
      </c>
      <c r="O244" s="352">
        <f>IFERROR(_xlfn.XLOOKUP(F244,轮胎重量!J:J,轮胎重量!G:G),"")</f>
        <v/>
      </c>
      <c r="P244" s="352">
        <f>IFERROR(_xlfn.XLOOKUP(G244,硫化工艺!I:I,硫化工艺!J:J),"")</f>
        <v/>
      </c>
      <c r="Q244" s="352">
        <f>IFERROR(ROUND(1440/L244*(I244)*M244,0),"")</f>
        <v/>
      </c>
      <c r="R244" s="352" t="n"/>
      <c r="S244" s="352" t="n"/>
      <c r="T244" s="352" t="n"/>
      <c r="U244" s="352" t="n"/>
      <c r="V244" s="352" t="n"/>
      <c r="W244" s="352" t="n"/>
      <c r="X244" s="352" t="n"/>
      <c r="Y244" s="352" t="n">
        <v>60</v>
      </c>
      <c r="Z244" s="352" t="n">
        <v>60</v>
      </c>
      <c r="AA244" s="352" t="n">
        <v>60</v>
      </c>
      <c r="AB244" s="352" t="n">
        <v>60</v>
      </c>
      <c r="AC244" s="352" t="n">
        <v>60</v>
      </c>
      <c r="AD244" s="352" t="n">
        <v>60</v>
      </c>
      <c r="AE244" s="352" t="n">
        <v>60</v>
      </c>
      <c r="AF244" s="352" t="n">
        <v>60</v>
      </c>
      <c r="AG244" s="352" t="n">
        <v>60</v>
      </c>
      <c r="AH244" s="352" t="n">
        <v>60</v>
      </c>
      <c r="AI244" s="352" t="n">
        <v>60</v>
      </c>
      <c r="AJ244" s="352" t="n">
        <v>60</v>
      </c>
      <c r="AK244" s="352" t="n">
        <v>60</v>
      </c>
      <c r="AL244" s="352" t="n">
        <v>60</v>
      </c>
      <c r="AM244" s="352" t="n">
        <v>60</v>
      </c>
      <c r="AN244" s="352" t="n">
        <v>60</v>
      </c>
      <c r="AO244" s="352" t="n">
        <v>60</v>
      </c>
      <c r="AP244" s="352" t="n">
        <v>120</v>
      </c>
      <c r="AQ244" s="352" t="n">
        <v>120</v>
      </c>
      <c r="AR244" s="352" t="n">
        <v>120</v>
      </c>
      <c r="AS244" s="352" t="n">
        <v>120</v>
      </c>
      <c r="AT244" s="352" t="n">
        <v>120</v>
      </c>
      <c r="AU244" s="352" t="n">
        <v>120</v>
      </c>
      <c r="AV244" s="352" t="n">
        <v>120</v>
      </c>
      <c r="AW244" s="352">
        <f>IF(SUM(R244:AV244)=0,"",SUM(R244:AV244))</f>
        <v/>
      </c>
      <c r="AX244" s="431">
        <f>IFERROR(AW244*O244/1000,"")</f>
        <v/>
      </c>
      <c r="AY244" s="431">
        <f>IFERROR(ROUND(AW244*P244/10000,3),"")</f>
        <v/>
      </c>
      <c r="AZ244" s="359" t="n"/>
      <c r="BE244" s="331">
        <f>AZ244*AW244</f>
        <v/>
      </c>
      <c r="BF244" s="331">
        <f>BA244*AW244</f>
        <v/>
      </c>
      <c r="BG244" s="331">
        <f>BB244*AW244</f>
        <v/>
      </c>
      <c r="BH244" s="331">
        <f>BC244*AW244</f>
        <v/>
      </c>
      <c r="BJ244" s="356">
        <f t="array" ref="BJ244:BM244">_xlfn.LET(_xlpm.data,$R244:$AV244,_xlpm.starts,{1,8,16,23},_xlpm.lengths,{7,7,8,9},_xlpm.arr,_xlfn.MAP(_xlpm.starts,_xlpm.lengths,_xlfn.LAMBDA(_xlpm.s,_xlpm.l,SUM(INDEX(_xlpm.data,,_xlfn.SEQUENCE(,_xlpm.l,_xlpm.s))))),ROUND(_xlpm.arr*$O244/1000,2))</f>
        <v/>
      </c>
      <c r="BK244" s="331" t="n">
        <v>25.51</v>
      </c>
      <c r="BL244" s="331" t="n">
        <v>29.16</v>
      </c>
      <c r="BM244" s="331" t="n">
        <v>58.31</v>
      </c>
      <c r="BN244" s="362">
        <f>SUM(BJ244:BM244)</f>
        <v/>
      </c>
      <c r="BO244" s="362" t="n">
        <v>0</v>
      </c>
      <c r="BP244" s="362" t="n">
        <v>6.18</v>
      </c>
      <c r="BQ244" s="362" t="n">
        <v>0</v>
      </c>
      <c r="BR244" s="362" t="n">
        <v>0</v>
      </c>
      <c r="BT244" s="362">
        <f t="array" ref="BT244:BW244">_xlfn.HSTACK(SUM(INDEX($R244:$AV244,1,1):INDEX($R244:$AV244,1,7)),SUM(INDEX($R244:$AV244,1,7):INDEX($R244:$AV244,1,13)),SUM(INDEX($R244:$AV244,1,16):INDEX($R244:$AV244,1,23)),SUM(INDEX($R244:$AV244,1,23):INDEX($R244:$AV244,1,31)))</f>
        <v/>
      </c>
      <c r="BU244" s="362" t="n">
        <v>360</v>
      </c>
      <c r="BV244" s="362" t="n">
        <v>480</v>
      </c>
      <c r="BW244" s="362" t="n">
        <v>960</v>
      </c>
      <c r="BY244" s="362">
        <f>SUM(R244:X244)</f>
        <v/>
      </c>
      <c r="BZ244" s="362">
        <f>SUM(Y244:AE244)</f>
        <v/>
      </c>
      <c r="CA244" s="362">
        <f>SUM(AF244:AM244)</f>
        <v/>
      </c>
      <c r="CB244" s="362">
        <f>SUM(AN244:AV244)</f>
        <v/>
      </c>
      <c r="CD244" s="432" t="inlineStr">
        <is>
          <t>ADA</t>
        </is>
      </c>
      <c r="CE244" s="362">
        <f>ROUND(BY244*$O244/1000,2)</f>
        <v/>
      </c>
      <c r="CF244" s="362">
        <f>ROUND(BZ244*$O244/1000,2)</f>
        <v/>
      </c>
      <c r="CG244" s="362">
        <f>ROUND(CA244*$O244/1000,2)</f>
        <v/>
      </c>
      <c r="CH244" s="362">
        <f>ROUND(CB244*$O244/1000,2)</f>
        <v/>
      </c>
      <c r="CI244" s="362">
        <f>SUM(CE244:CH244)</f>
        <v/>
      </c>
      <c r="CK244" s="362">
        <f>IFERROR(ROUND(BY244*$P244,2),"")</f>
        <v/>
      </c>
      <c r="CL244" s="362">
        <f>IFERROR(ROUND(BZ244*$P244,2),"")</f>
        <v/>
      </c>
      <c r="CM244" s="362">
        <f>IFERROR(ROUND(CA244*$P244,2),"")</f>
        <v/>
      </c>
      <c r="CN244" s="362">
        <f>IFERROR(ROUND(CB244*$P244,2),"")</f>
        <v/>
      </c>
      <c r="CO244" s="362">
        <f>SUM(CK244:CN244)</f>
        <v/>
      </c>
    </row>
    <row r="245" ht="15.6" customHeight="1" s="428">
      <c r="B245" s="344">
        <f>_xlfn.XLOOKUP(G245,销售需求表!A:A,销售需求表!C:C)</f>
        <v/>
      </c>
      <c r="C245" s="345">
        <f>IFERROR(MID(F245,FIND("R",F245)+1,2),"")</f>
        <v/>
      </c>
      <c r="D245" s="368">
        <f>B245&amp;C245&amp;"寸"</f>
        <v/>
      </c>
      <c r="E245" s="346">
        <f>LEFT(REPLACE(G245,1,2,""),FIND("[",REPLACE(G245,1,2,""))-1)&amp;"-"&amp;MID(REPLACE(G245,1,2,""),FIND("[",REPLACE(G245,1,2,""))+1,FIND("]",REPLACE(G245,1,2,""))-FIND("[",REPLACE(G245,1,2,""))-1)</f>
        <v/>
      </c>
      <c r="F245" s="347">
        <f>IFERROR(MID(G245,3,FIND("(",G245)-3)&amp;"-"&amp;SUBSTITUTE(MID(G245,FIND("[",G245)+1,FIND("]",G245)-FIND("[",G245)-1),"Strong Guard ",""),"")</f>
        <v/>
      </c>
      <c r="G245" s="346" t="inlineStr">
        <is>
          <t>ID10.00R20-18PR(149/146J)[AZ686]GOODRIDE(好运)</t>
        </is>
      </c>
      <c r="H245" s="344" t="n">
        <v>200</v>
      </c>
      <c r="I245" s="348" t="n"/>
      <c r="J245" s="349">
        <f>IFERROR(LEFT(F245,FIND("-",F245))&amp;MID(F245,FIND("PR",F245,FIND("-",F245))+3,LEN(F245)),F245)</f>
        <v/>
      </c>
      <c r="K245" s="352">
        <f>_xlfn.XLOOKUP(F245,投产规格!E:E,投产规格!D:D,"未投产")</f>
        <v/>
      </c>
      <c r="L245" s="352">
        <f>IFERROR(_xlfn.XLOOKUP(F245,硫化工艺!B:B,硫化工艺!C:C),"")</f>
        <v/>
      </c>
      <c r="M245" s="430">
        <f>IF(L245="","",L245/(L245+$L$1/60))</f>
        <v/>
      </c>
      <c r="N245" s="352">
        <f>C245&amp;"全钢"</f>
        <v/>
      </c>
      <c r="O245" s="352">
        <f>IFERROR(_xlfn.XLOOKUP(F245,轮胎重量!J:J,轮胎重量!G:G),"")</f>
        <v/>
      </c>
      <c r="P245" s="352">
        <f>IFERROR(_xlfn.XLOOKUP(G245,硫化工艺!I:I,硫化工艺!J:J),"")</f>
        <v/>
      </c>
      <c r="Q245" s="352">
        <f>IFERROR(ROUND(1440/L245*(I245)*M245,0),"")</f>
        <v/>
      </c>
      <c r="R245" s="352" t="n"/>
      <c r="S245" s="352" t="n"/>
      <c r="T245" s="352" t="n"/>
      <c r="U245" s="352" t="n"/>
      <c r="V245" s="352" t="n"/>
      <c r="W245" s="352" t="n"/>
      <c r="X245" s="352" t="n"/>
      <c r="Y245" s="352" t="n"/>
      <c r="Z245" s="352" t="n"/>
      <c r="AA245" s="352" t="n"/>
      <c r="AB245" s="352" t="n"/>
      <c r="AC245" s="352" t="n"/>
      <c r="AD245" s="352" t="n"/>
      <c r="AE245" s="352" t="n"/>
      <c r="AF245" s="352" t="n"/>
      <c r="AG245" s="352" t="n">
        <v>60</v>
      </c>
      <c r="AH245" s="352" t="n">
        <v>60</v>
      </c>
      <c r="AI245" s="352" t="n">
        <v>60</v>
      </c>
      <c r="AJ245" s="352" t="n">
        <v>60</v>
      </c>
      <c r="AK245" s="352" t="n">
        <v>60</v>
      </c>
      <c r="AL245" s="352" t="n"/>
      <c r="AM245" s="352" t="n"/>
      <c r="AN245" s="352" t="n"/>
      <c r="AO245" s="352" t="n"/>
      <c r="AP245" s="352" t="n"/>
      <c r="AQ245" s="352" t="n"/>
      <c r="AR245" s="352" t="n"/>
      <c r="AS245" s="352" t="n"/>
      <c r="AT245" s="352" t="n"/>
      <c r="AU245" s="352" t="n"/>
      <c r="AV245" s="352" t="n"/>
      <c r="AW245" s="352">
        <f>IF(SUM(R245:AV245)=0,"",SUM(R245:AV245))</f>
        <v/>
      </c>
      <c r="AX245" s="431">
        <f>IFERROR(AW245*O245/1000,"")</f>
        <v/>
      </c>
      <c r="AY245" s="431">
        <f>IFERROR(ROUND(AW245*P245/10000,3),"")</f>
        <v/>
      </c>
      <c r="AZ245" s="354" t="n">
        <v>662.5599999999999</v>
      </c>
      <c r="BA245" s="355" t="n">
        <v>41.87</v>
      </c>
      <c r="BB245" s="355" t="n">
        <v>63.47</v>
      </c>
      <c r="BC245" s="355" t="n">
        <v>70.94</v>
      </c>
      <c r="BE245" s="331">
        <f>AZ245*AW245</f>
        <v/>
      </c>
      <c r="BF245" s="331">
        <f>BA245*AW245</f>
        <v/>
      </c>
      <c r="BG245" s="331">
        <f>BB245*AW245</f>
        <v/>
      </c>
      <c r="BH245" s="331">
        <f>BC245*AW245</f>
        <v/>
      </c>
      <c r="BJ245" s="356">
        <f t="array" ref="BJ245:BM245">_xlfn.LET(_xlpm.data,$R245:$AV245,_xlpm.starts,{1,8,16,23},_xlpm.lengths,{7,7,8,9},_xlpm.arr,_xlfn.MAP(_xlpm.starts,_xlpm.lengths,_xlfn.LAMBDA(_xlpm.s,_xlpm.l,SUM(INDEX(_xlpm.data,,_xlfn.SEQUENCE(,_xlpm.l,_xlpm.s))))),ROUND(_xlpm.arr*$O245/1000,2))</f>
        <v/>
      </c>
      <c r="BK245" s="331" t="n">
        <v>0</v>
      </c>
      <c r="BL245" s="331" t="n">
        <v>17.56</v>
      </c>
      <c r="BM245" s="331" t="n">
        <v>0</v>
      </c>
      <c r="BN245" s="362">
        <f>SUM(BJ245:BM245)</f>
        <v/>
      </c>
      <c r="BO245" s="362" t="n">
        <v>0</v>
      </c>
      <c r="BP245" s="362" t="n">
        <v>13.68</v>
      </c>
      <c r="BQ245" s="362" t="n">
        <v>0</v>
      </c>
      <c r="BR245" s="362" t="n">
        <v>0</v>
      </c>
      <c r="BT245" s="362">
        <f t="array" ref="BT245:BW245">_xlfn.HSTACK(SUM(INDEX($R245:$AV245,1,1):INDEX($R245:$AV245,1,7)),SUM(INDEX($R245:$AV245,1,7):INDEX($R245:$AV245,1,13)),SUM(INDEX($R245:$AV245,1,16):INDEX($R245:$AV245,1,23)),SUM(INDEX($R245:$AV245,1,23):INDEX($R245:$AV245,1,31)))</f>
        <v/>
      </c>
      <c r="BU245" s="362" t="n">
        <v>0</v>
      </c>
      <c r="BV245" s="362" t="n">
        <v>300</v>
      </c>
      <c r="BW245" s="362" t="n">
        <v>0</v>
      </c>
      <c r="BY245" s="362">
        <f>SUM(R245:X245)</f>
        <v/>
      </c>
      <c r="BZ245" s="362">
        <f>SUM(Y245:AE245)</f>
        <v/>
      </c>
      <c r="CA245" s="362">
        <f>SUM(AF245:AM245)</f>
        <v/>
      </c>
      <c r="CB245" s="362">
        <f>SUM(AN245:AV245)</f>
        <v/>
      </c>
      <c r="CD245" s="432" t="inlineStr">
        <is>
          <t>ADA</t>
        </is>
      </c>
      <c r="CE245" s="362">
        <f>ROUND(BY245*$O245/1000,2)</f>
        <v/>
      </c>
      <c r="CF245" s="362">
        <f>ROUND(BZ245*$O245/1000,2)</f>
        <v/>
      </c>
      <c r="CG245" s="362">
        <f>ROUND(CA245*$O245/1000,2)</f>
        <v/>
      </c>
      <c r="CH245" s="362">
        <f>ROUND(CB245*$O245/1000,2)</f>
        <v/>
      </c>
      <c r="CI245" s="362">
        <f>SUM(CE245:CH245)</f>
        <v/>
      </c>
      <c r="CK245" s="362">
        <f>IFERROR(ROUND(BY245*$P245,2),"")</f>
        <v/>
      </c>
      <c r="CL245" s="362">
        <f>IFERROR(ROUND(BZ245*$P245,2),"")</f>
        <v/>
      </c>
      <c r="CM245" s="362">
        <f>IFERROR(ROUND(CA245*$P245,2),"")</f>
        <v/>
      </c>
      <c r="CN245" s="362">
        <f>IFERROR(ROUND(CB245*$P245,2),"")</f>
        <v/>
      </c>
      <c r="CO245" s="362">
        <f>SUM(CK245:CN245)</f>
        <v/>
      </c>
    </row>
    <row r="246" ht="15.6" customHeight="1" s="428">
      <c r="B246" s="344">
        <f>_xlfn.XLOOKUP(G246,销售需求表!A:A,销售需求表!C:C)</f>
        <v/>
      </c>
      <c r="C246" s="345">
        <f>IFERROR(MID(F246,FIND("R",F246)+1,2),"")</f>
        <v/>
      </c>
      <c r="D246" s="368">
        <f>B246&amp;C246&amp;"寸"</f>
        <v/>
      </c>
      <c r="E246" s="346">
        <f>LEFT(REPLACE(G246,1,2,""),FIND("[",REPLACE(G246,1,2,""))-1)&amp;"-"&amp;MID(REPLACE(G246,1,2,""),FIND("[",REPLACE(G246,1,2,""))+1,FIND("]",REPLACE(G246,1,2,""))-FIND("[",REPLACE(G246,1,2,""))-1)</f>
        <v/>
      </c>
      <c r="F246" s="347">
        <f>IFERROR(MID(G246,3,FIND("(",G246)-3)&amp;"-"&amp;SUBSTITUTE(MID(G246,FIND("[",G246)+1,FIND("]",G246)-FIND("[",G246)-1),"Strong Guard ",""),"")</f>
        <v/>
      </c>
      <c r="G246" s="346" t="inlineStr">
        <is>
          <t>ID10.00R20-18PR(149/146J)[AZ686]雅度</t>
        </is>
      </c>
      <c r="H246" s="344" t="n">
        <v>220</v>
      </c>
      <c r="I246" s="348" t="n"/>
      <c r="J246" s="349">
        <f>IFERROR(LEFT(F246,FIND("-",F246))&amp;MID(F246,FIND("PR",F246,FIND("-",F246))+3,LEN(F246)),F246)</f>
        <v/>
      </c>
      <c r="K246" s="352">
        <f>_xlfn.XLOOKUP(F246,投产规格!E:E,投产规格!D:D,"未投产")</f>
        <v/>
      </c>
      <c r="L246" s="352">
        <f>IFERROR(_xlfn.XLOOKUP(F246,硫化工艺!B:B,硫化工艺!C:C),"")</f>
        <v/>
      </c>
      <c r="M246" s="430">
        <f>IF(L246="","",L246/(L246+$L$1/60))</f>
        <v/>
      </c>
      <c r="N246" s="352">
        <f>C246&amp;"全钢"</f>
        <v/>
      </c>
      <c r="O246" s="352">
        <f>IFERROR(_xlfn.XLOOKUP(F246,轮胎重量!J:J,轮胎重量!G:G),"")</f>
        <v/>
      </c>
      <c r="P246" s="352">
        <f>IFERROR(_xlfn.XLOOKUP(G246,硫化工艺!I:I,硫化工艺!J:J),"")</f>
        <v/>
      </c>
      <c r="Q246" s="352">
        <f>IFERROR(ROUND(1440/L246*(I246)*M246,0),"")</f>
        <v/>
      </c>
      <c r="R246" s="352" t="n"/>
      <c r="S246" s="352" t="n"/>
      <c r="T246" s="352" t="n"/>
      <c r="U246" s="352" t="n"/>
      <c r="V246" s="352" t="n"/>
      <c r="W246" s="352" t="n"/>
      <c r="X246" s="352" t="n"/>
      <c r="Y246" s="352" t="n"/>
      <c r="Z246" s="352" t="n"/>
      <c r="AA246" s="352" t="n"/>
      <c r="AB246" s="352" t="n"/>
      <c r="AC246" s="352" t="n"/>
      <c r="AD246" s="352" t="n"/>
      <c r="AE246" s="352" t="n"/>
      <c r="AF246" s="352" t="n"/>
      <c r="AG246" s="352" t="n"/>
      <c r="AH246" s="352" t="n"/>
      <c r="AI246" s="352" t="n"/>
      <c r="AJ246" s="352" t="n"/>
      <c r="AK246" s="352" t="n"/>
      <c r="AL246" s="352" t="n">
        <v>60</v>
      </c>
      <c r="AM246" s="352" t="n">
        <v>60</v>
      </c>
      <c r="AN246" s="352" t="n">
        <v>60</v>
      </c>
      <c r="AO246" s="352" t="n">
        <v>60</v>
      </c>
      <c r="AP246" s="352" t="n">
        <v>60</v>
      </c>
      <c r="AQ246" s="352" t="n"/>
      <c r="AR246" s="352" t="n"/>
      <c r="AS246" s="352" t="n"/>
      <c r="AT246" s="352" t="n"/>
      <c r="AU246" s="352" t="n"/>
      <c r="AV246" s="352" t="n"/>
      <c r="AW246" s="352">
        <f>IF(SUM(R246:AV246)=0,"",SUM(R246:AV246))</f>
        <v/>
      </c>
      <c r="AX246" s="431">
        <f>IFERROR(AW246*O246/1000,"")</f>
        <v/>
      </c>
      <c r="AY246" s="431">
        <f>IFERROR(ROUND(AW246*P246/10000,3),"")</f>
        <v/>
      </c>
      <c r="AZ246" s="354" t="n">
        <v>662.5599999999999</v>
      </c>
      <c r="BA246" s="355" t="n">
        <v>41.87</v>
      </c>
      <c r="BB246" s="355" t="n">
        <v>63.47</v>
      </c>
      <c r="BC246" s="355" t="n">
        <v>70.94</v>
      </c>
      <c r="BE246" s="331">
        <f>AZ246*AW246</f>
        <v/>
      </c>
      <c r="BF246" s="331">
        <f>BA246*AW246</f>
        <v/>
      </c>
      <c r="BG246" s="331">
        <f>BB246*AW246</f>
        <v/>
      </c>
      <c r="BH246" s="331">
        <f>BC246*AW246</f>
        <v/>
      </c>
      <c r="BJ246" s="356">
        <f t="array" ref="BJ246:BM246">_xlfn.LET(_xlpm.data,$R246:$AV246,_xlpm.starts,{1,8,16,23},_xlpm.lengths,{7,7,8,9},_xlpm.arr,_xlfn.MAP(_xlpm.starts,_xlpm.lengths,_xlfn.LAMBDA(_xlpm.s,_xlpm.l,SUM(INDEX(_xlpm.data,,_xlfn.SEQUENCE(,_xlpm.l,_xlpm.s))))),ROUND(_xlpm.arr*$O246/1000,2))</f>
        <v/>
      </c>
      <c r="BK246" s="331" t="n">
        <v>0</v>
      </c>
      <c r="BL246" s="331" t="n">
        <v>10.53</v>
      </c>
      <c r="BM246" s="331" t="n">
        <v>10.53</v>
      </c>
      <c r="BN246" s="362">
        <f>SUM(BJ246:BM246)</f>
        <v/>
      </c>
      <c r="BO246" s="362" t="n">
        <v>0</v>
      </c>
      <c r="BP246" s="362" t="n">
        <v>13.68</v>
      </c>
      <c r="BQ246" s="362" t="n">
        <v>0</v>
      </c>
      <c r="BR246" s="362" t="n">
        <v>0</v>
      </c>
      <c r="BT246" s="362">
        <f t="array" ref="BT246:BW246">_xlfn.HSTACK(SUM(INDEX($R246:$AV246,1,1):INDEX($R246:$AV246,1,7)),SUM(INDEX($R246:$AV246,1,7):INDEX($R246:$AV246,1,13)),SUM(INDEX($R246:$AV246,1,16):INDEX($R246:$AV246,1,23)),SUM(INDEX($R246:$AV246,1,23):INDEX($R246:$AV246,1,31)))</f>
        <v/>
      </c>
      <c r="BU246" s="362" t="n">
        <v>0</v>
      </c>
      <c r="BV246" s="362" t="n">
        <v>180</v>
      </c>
      <c r="BW246" s="362" t="n">
        <v>180</v>
      </c>
      <c r="BY246" s="362">
        <f>SUM(R246:X246)</f>
        <v/>
      </c>
      <c r="BZ246" s="362">
        <f>SUM(Y246:AE246)</f>
        <v/>
      </c>
      <c r="CA246" s="362">
        <f>SUM(AF246:AM246)</f>
        <v/>
      </c>
      <c r="CB246" s="362">
        <f>SUM(AN246:AV246)</f>
        <v/>
      </c>
      <c r="CD246" s="432" t="inlineStr">
        <is>
          <t>ADA</t>
        </is>
      </c>
      <c r="CE246" s="362">
        <f>ROUND(BY246*$O246/1000,2)</f>
        <v/>
      </c>
      <c r="CF246" s="362">
        <f>ROUND(BZ246*$O246/1000,2)</f>
        <v/>
      </c>
      <c r="CG246" s="362">
        <f>ROUND(CA246*$O246/1000,2)</f>
        <v/>
      </c>
      <c r="CH246" s="362">
        <f>ROUND(CB246*$O246/1000,2)</f>
        <v/>
      </c>
      <c r="CI246" s="362">
        <f>SUM(CE246:CH246)</f>
        <v/>
      </c>
      <c r="CK246" s="362">
        <f>IFERROR(ROUND(BY246*$P246,2),"")</f>
        <v/>
      </c>
      <c r="CL246" s="362">
        <f>IFERROR(ROUND(BZ246*$P246,2),"")</f>
        <v/>
      </c>
      <c r="CM246" s="362">
        <f>IFERROR(ROUND(CA246*$P246,2),"")</f>
        <v/>
      </c>
      <c r="CN246" s="362">
        <f>IFERROR(ROUND(CB246*$P246,2),"")</f>
        <v/>
      </c>
      <c r="CO246" s="362">
        <f>SUM(CK246:CN246)</f>
        <v/>
      </c>
    </row>
    <row r="247" hidden="1" ht="15.6" customHeight="1" s="428">
      <c r="B247" s="344">
        <f>_xlfn.XLOOKUP(G247,销售需求表!A:A,销售需求表!C:C)</f>
        <v/>
      </c>
      <c r="C247" s="345">
        <f>IFERROR(MID(F247,FIND("R",F247)+1,2),"")</f>
        <v/>
      </c>
      <c r="D247" s="368">
        <f>B247&amp;C247&amp;"寸"</f>
        <v/>
      </c>
      <c r="E247" s="346">
        <f>LEFT(REPLACE(G247,1,2,""),FIND("[",REPLACE(G247,1,2,""))-1)&amp;"-"&amp;MID(REPLACE(G247,1,2,""),FIND("[",REPLACE(G247,1,2,""))+1,FIND("]",REPLACE(G247,1,2,""))-FIND("[",REPLACE(G247,1,2,""))-1)</f>
        <v/>
      </c>
      <c r="F247" s="347">
        <f>IFERROR(MID(G247,3,FIND("(",G247)-3)&amp;"-"&amp;SUBSTITUTE(MID(G247,FIND("[",G247)+1,FIND("]",G247)-FIND("[",G247)-1),"Strong Guard ",""),"")</f>
        <v/>
      </c>
      <c r="G247" s="346" t="inlineStr">
        <is>
          <t>ID10.00R20-18PR(149/146J)[AZ850]朝阳</t>
        </is>
      </c>
      <c r="H247" s="344" t="n">
        <v>380</v>
      </c>
      <c r="I247" s="348" t="n"/>
      <c r="J247" s="349">
        <f>IFERROR(LEFT(F247,FIND("-",F247))&amp;MID(F247,FIND("PR",F247,FIND("-",F247))+3,LEN(F247)),F247)</f>
        <v/>
      </c>
      <c r="K247" s="352">
        <f>_xlfn.XLOOKUP(F247,投产规格!E:E,投产规格!D:D,"未投产")</f>
        <v/>
      </c>
      <c r="L247" s="352">
        <f>IFERROR(_xlfn.XLOOKUP(F247,硫化工艺!B:B,硫化工艺!C:C),"")</f>
        <v/>
      </c>
      <c r="M247" s="430">
        <f>IF(L247="","",L247/(L247+$L$1/60))</f>
        <v/>
      </c>
      <c r="N247" s="352">
        <f>C247&amp;"全钢"</f>
        <v/>
      </c>
      <c r="O247" s="352">
        <f>IFERROR(_xlfn.XLOOKUP(F247,轮胎重量!J:J,轮胎重量!G:G),"")</f>
        <v/>
      </c>
      <c r="P247" s="352">
        <f>IFERROR(_xlfn.XLOOKUP(G247,硫化工艺!I:I,硫化工艺!J:J),"")</f>
        <v/>
      </c>
      <c r="Q247" s="352">
        <f>IFERROR(ROUND(1440/L247*(I247)*M247,0),"")</f>
        <v/>
      </c>
      <c r="R247" s="352" t="n"/>
      <c r="S247" s="352" t="n"/>
      <c r="T247" s="352" t="n"/>
      <c r="U247" s="352" t="n"/>
      <c r="V247" s="352" t="n"/>
      <c r="W247" s="352" t="n"/>
      <c r="X247" s="352" t="n"/>
      <c r="Y247" s="352" t="n"/>
      <c r="Z247" s="352" t="n"/>
      <c r="AA247" s="352" t="n"/>
      <c r="AB247" s="352" t="n"/>
      <c r="AC247" s="352" t="n"/>
      <c r="AD247" s="352" t="n"/>
      <c r="AE247" s="352" t="n"/>
      <c r="AF247" s="352" t="n"/>
      <c r="AG247" s="352" t="n"/>
      <c r="AH247" s="352" t="n"/>
      <c r="AI247" s="352" t="n"/>
      <c r="AJ247" s="352" t="n"/>
      <c r="AK247" s="352" t="n"/>
      <c r="AL247" s="352" t="n"/>
      <c r="AM247" s="352" t="n"/>
      <c r="AN247" s="352" t="n"/>
      <c r="AO247" s="352" t="n"/>
      <c r="AP247" s="352" t="n"/>
      <c r="AQ247" s="352" t="n"/>
      <c r="AR247" s="352" t="n"/>
      <c r="AS247" s="352" t="n"/>
      <c r="AT247" s="352" t="n"/>
      <c r="AU247" s="352" t="n"/>
      <c r="AV247" s="352" t="n"/>
      <c r="AW247" s="352">
        <f>IF(SUM(R247:AV247)=0,"",SUM(R247:AV247))</f>
        <v/>
      </c>
      <c r="AX247" s="431">
        <f>IFERROR(AW247*O247/1000,"")</f>
        <v/>
      </c>
      <c r="AY247" s="431">
        <f>IFERROR(ROUND(AW247*P247/10000,3),"")</f>
        <v/>
      </c>
      <c r="AZ247" s="354" t="n">
        <v>662.5599999999999</v>
      </c>
      <c r="BA247" s="355" t="n">
        <v>41.87</v>
      </c>
      <c r="BB247" s="355" t="n">
        <v>63.47</v>
      </c>
      <c r="BC247" s="355" t="n">
        <v>70.94</v>
      </c>
      <c r="BE247" s="331">
        <f>AZ247*AW247</f>
        <v/>
      </c>
      <c r="BF247" s="331">
        <f>BA247*AW247</f>
        <v/>
      </c>
      <c r="BG247" s="331">
        <f>BB247*AW247</f>
        <v/>
      </c>
      <c r="BH247" s="331">
        <f>BC247*AW247</f>
        <v/>
      </c>
      <c r="BJ247" s="356">
        <f t="array" ref="BJ247:BM247">_xlfn.LET(_xlpm.data,$R247:$AV247,_xlpm.starts,{1,8,16,23},_xlpm.lengths,{7,7,8,9},_xlpm.arr,_xlfn.MAP(_xlpm.starts,_xlpm.lengths,_xlfn.LAMBDA(_xlpm.s,_xlpm.l,SUM(INDEX(_xlpm.data,,_xlfn.SEQUENCE(,_xlpm.l,_xlpm.s))))),ROUND(_xlpm.arr*$O247/1000,2))</f>
        <v/>
      </c>
      <c r="BK247" s="331" t="n">
        <v>0</v>
      </c>
      <c r="BL247" s="331" t="n">
        <v>0</v>
      </c>
      <c r="BM247" s="331" t="n">
        <v>0</v>
      </c>
      <c r="BN247" s="362">
        <f>SUM(BJ247:BM247)</f>
        <v/>
      </c>
      <c r="BO247" s="362" t="n">
        <v>0</v>
      </c>
      <c r="BP247" s="362" t="n">
        <v>13.68</v>
      </c>
      <c r="BQ247" s="362" t="n">
        <v>0</v>
      </c>
      <c r="BR247" s="362" t="n">
        <v>0</v>
      </c>
      <c r="BT247" s="362">
        <f t="array" ref="BT247:BW247">_xlfn.HSTACK(SUM(INDEX($R247:$AV247,1,1):INDEX($R247:$AV247,1,7)),SUM(INDEX($R247:$AV247,1,7):INDEX($R247:$AV247,1,13)),SUM(INDEX($R247:$AV247,1,16):INDEX($R247:$AV247,1,23)),SUM(INDEX($R247:$AV247,1,23):INDEX($R247:$AV247,1,31)))</f>
        <v/>
      </c>
      <c r="BU247" s="362" t="n">
        <v>0</v>
      </c>
      <c r="BV247" s="362" t="n">
        <v>0</v>
      </c>
      <c r="BW247" s="362" t="n">
        <v>0</v>
      </c>
      <c r="BY247" s="362">
        <f>SUM(R247:X247)</f>
        <v/>
      </c>
      <c r="BZ247" s="362">
        <f>SUM(Y247:AE247)</f>
        <v/>
      </c>
      <c r="CA247" s="362">
        <f>SUM(AF247:AM247)</f>
        <v/>
      </c>
      <c r="CB247" s="362">
        <f>SUM(AN247:AV247)</f>
        <v/>
      </c>
      <c r="CD247" s="432" t="inlineStr">
        <is>
          <t>ADA</t>
        </is>
      </c>
      <c r="CE247" s="362">
        <f>ROUND(BY247*$O247/1000,2)</f>
        <v/>
      </c>
      <c r="CF247" s="362">
        <f>ROUND(BZ247*$O247/1000,2)</f>
        <v/>
      </c>
      <c r="CG247" s="362">
        <f>ROUND(CA247*$O247/1000,2)</f>
        <v/>
      </c>
      <c r="CH247" s="362">
        <f>ROUND(CB247*$O247/1000,2)</f>
        <v/>
      </c>
      <c r="CI247" s="362">
        <f>SUM(CE247:CH247)</f>
        <v/>
      </c>
      <c r="CK247" s="362">
        <f>IFERROR(ROUND(BY247*$P247,2),"")</f>
        <v/>
      </c>
      <c r="CL247" s="362">
        <f>IFERROR(ROUND(BZ247*$P247,2),"")</f>
        <v/>
      </c>
      <c r="CM247" s="362">
        <f>IFERROR(ROUND(CA247*$P247,2),"")</f>
        <v/>
      </c>
      <c r="CN247" s="362">
        <f>IFERROR(ROUND(CB247*$P247,2),"")</f>
        <v/>
      </c>
      <c r="CO247" s="362">
        <f>SUM(CK247:CN247)</f>
        <v/>
      </c>
    </row>
    <row r="248" hidden="1" ht="15.6" customHeight="1" s="428">
      <c r="B248" s="344">
        <f>_xlfn.XLOOKUP(G248,销售需求表!A:A,销售需求表!C:C)</f>
        <v/>
      </c>
      <c r="C248" s="345">
        <f>IFERROR(MID(F248,FIND("R",F248)+1,2),"")</f>
        <v/>
      </c>
      <c r="D248" s="368">
        <f>B248&amp;C248&amp;"寸"</f>
        <v/>
      </c>
      <c r="E248" s="346">
        <f>LEFT(REPLACE(G248,1,2,""),FIND("[",REPLACE(G248,1,2,""))-1)&amp;"-"&amp;MID(REPLACE(G248,1,2,""),FIND("[",REPLACE(G248,1,2,""))+1,FIND("]",REPLACE(G248,1,2,""))-FIND("[",REPLACE(G248,1,2,""))-1)</f>
        <v/>
      </c>
      <c r="F248" s="347">
        <f>IFERROR(MID(G248,3,FIND("(",G248)-3)&amp;"-"&amp;SUBSTITUTE(MID(G248,FIND("[",G248)+1,FIND("]",G248)-FIND("[",G248)-1),"Strong Guard ",""),"")</f>
        <v/>
      </c>
      <c r="G248" s="346" t="inlineStr">
        <is>
          <t>ID10.00R20-18PR(149/146J)[AZ850]雅度</t>
        </is>
      </c>
      <c r="H248" s="344" t="n">
        <v>220</v>
      </c>
      <c r="I248" s="348" t="n"/>
      <c r="J248" s="349">
        <f>IFERROR(LEFT(F248,FIND("-",F248))&amp;MID(F248,FIND("PR",F248,FIND("-",F248))+3,LEN(F248)),F248)</f>
        <v/>
      </c>
      <c r="K248" s="352">
        <f>_xlfn.XLOOKUP(F248,投产规格!E:E,投产规格!D:D,"未投产")</f>
        <v/>
      </c>
      <c r="L248" s="352">
        <f>IFERROR(_xlfn.XLOOKUP(F248,硫化工艺!B:B,硫化工艺!C:C),"")</f>
        <v/>
      </c>
      <c r="M248" s="430">
        <f>IF(L248="","",L248/(L248+$L$1/60))</f>
        <v/>
      </c>
      <c r="N248" s="352">
        <f>C248&amp;"全钢"</f>
        <v/>
      </c>
      <c r="O248" s="352">
        <f>IFERROR(_xlfn.XLOOKUP(F248,轮胎重量!J:J,轮胎重量!G:G),"")</f>
        <v/>
      </c>
      <c r="P248" s="352">
        <f>IFERROR(_xlfn.XLOOKUP(G248,硫化工艺!I:I,硫化工艺!J:J),"")</f>
        <v/>
      </c>
      <c r="Q248" s="352">
        <f>IFERROR(ROUND(1440/L248*(I248)*M248,0),"")</f>
        <v/>
      </c>
      <c r="R248" s="352" t="n"/>
      <c r="S248" s="352" t="n"/>
      <c r="T248" s="352" t="n"/>
      <c r="U248" s="352" t="n"/>
      <c r="V248" s="352" t="n"/>
      <c r="W248" s="352" t="n"/>
      <c r="X248" s="352" t="n"/>
      <c r="Y248" s="352" t="n"/>
      <c r="Z248" s="352" t="n"/>
      <c r="AA248" s="352" t="n"/>
      <c r="AB248" s="352" t="n"/>
      <c r="AC248" s="352" t="n"/>
      <c r="AD248" s="352" t="n"/>
      <c r="AE248" s="352" t="n"/>
      <c r="AF248" s="352" t="n"/>
      <c r="AG248" s="352" t="n"/>
      <c r="AH248" s="352" t="n"/>
      <c r="AI248" s="352" t="n"/>
      <c r="AJ248" s="352" t="n"/>
      <c r="AK248" s="352" t="n"/>
      <c r="AL248" s="352" t="n"/>
      <c r="AM248" s="352" t="n"/>
      <c r="AN248" s="352" t="n"/>
      <c r="AO248" s="352" t="n"/>
      <c r="AP248" s="352" t="n"/>
      <c r="AQ248" s="352" t="n"/>
      <c r="AR248" s="352" t="n"/>
      <c r="AS248" s="352" t="n"/>
      <c r="AT248" s="352" t="n"/>
      <c r="AU248" s="352" t="n"/>
      <c r="AV248" s="352" t="n"/>
      <c r="AW248" s="352">
        <f>IF(SUM(R248:AV248)=0,"",SUM(R248:AV248))</f>
        <v/>
      </c>
      <c r="AX248" s="431">
        <f>IFERROR(AW248*O248/1000,"")</f>
        <v/>
      </c>
      <c r="AY248" s="431">
        <f>IFERROR(ROUND(AW248*P248/10000,3),"")</f>
        <v/>
      </c>
      <c r="AZ248" s="354" t="n">
        <v>662.5599999999999</v>
      </c>
      <c r="BA248" s="355" t="n">
        <v>41.87</v>
      </c>
      <c r="BB248" s="355" t="n">
        <v>63.47</v>
      </c>
      <c r="BC248" s="355" t="n">
        <v>70.94</v>
      </c>
      <c r="BE248" s="331">
        <f>AZ248*AW248</f>
        <v/>
      </c>
      <c r="BF248" s="331">
        <f>BA248*AW248</f>
        <v/>
      </c>
      <c r="BG248" s="331">
        <f>BB248*AW248</f>
        <v/>
      </c>
      <c r="BH248" s="331">
        <f>BC248*AW248</f>
        <v/>
      </c>
      <c r="BJ248" s="356">
        <f t="array" ref="BJ248:BM248">_xlfn.LET(_xlpm.data,$R248:$AV248,_xlpm.starts,{1,8,16,23},_xlpm.lengths,{7,7,8,9},_xlpm.arr,_xlfn.MAP(_xlpm.starts,_xlpm.lengths,_xlfn.LAMBDA(_xlpm.s,_xlpm.l,SUM(INDEX(_xlpm.data,,_xlfn.SEQUENCE(,_xlpm.l,_xlpm.s))))),ROUND(_xlpm.arr*$O248/1000,2))</f>
        <v/>
      </c>
      <c r="BK248" s="331" t="n">
        <v>0</v>
      </c>
      <c r="BL248" s="331" t="n">
        <v>0</v>
      </c>
      <c r="BM248" s="331" t="n">
        <v>0</v>
      </c>
      <c r="BN248" s="362">
        <f>SUM(BJ248:BM248)</f>
        <v/>
      </c>
      <c r="BO248" s="362" t="n">
        <v>0</v>
      </c>
      <c r="BP248" s="362" t="n">
        <v>0</v>
      </c>
      <c r="BQ248" s="362" t="n">
        <v>0</v>
      </c>
      <c r="BR248" s="362" t="n">
        <v>0</v>
      </c>
      <c r="BT248" s="362">
        <f t="array" ref="BT248:BW248">_xlfn.HSTACK(SUM(INDEX($R248:$AV248,1,1):INDEX($R248:$AV248,1,7)),SUM(INDEX($R248:$AV248,1,7):INDEX($R248:$AV248,1,13)),SUM(INDEX($R248:$AV248,1,16):INDEX($R248:$AV248,1,23)),SUM(INDEX($R248:$AV248,1,23):INDEX($R248:$AV248,1,31)))</f>
        <v/>
      </c>
      <c r="BU248" s="362" t="n">
        <v>0</v>
      </c>
      <c r="BV248" s="362" t="n">
        <v>0</v>
      </c>
      <c r="BW248" s="362" t="n">
        <v>0</v>
      </c>
      <c r="BY248" s="362">
        <f>SUM(R248:X248)</f>
        <v/>
      </c>
      <c r="BZ248" s="362">
        <f>SUM(Y248:AE248)</f>
        <v/>
      </c>
      <c r="CA248" s="362">
        <f>SUM(AF248:AM248)</f>
        <v/>
      </c>
      <c r="CB248" s="362">
        <f>SUM(AN248:AV248)</f>
        <v/>
      </c>
      <c r="CD248" s="432" t="inlineStr">
        <is>
          <t>ADA</t>
        </is>
      </c>
      <c r="CE248" s="362">
        <f>ROUND(BY248*$O248/1000,2)</f>
        <v/>
      </c>
      <c r="CF248" s="362">
        <f>ROUND(BZ248*$O248/1000,2)</f>
        <v/>
      </c>
      <c r="CG248" s="362">
        <f>ROUND(CA248*$O248/1000,2)</f>
        <v/>
      </c>
      <c r="CH248" s="362">
        <f>ROUND(CB248*$O248/1000,2)</f>
        <v/>
      </c>
      <c r="CI248" s="362">
        <f>SUM(CE248:CH248)</f>
        <v/>
      </c>
      <c r="CK248" s="362">
        <f>IFERROR(ROUND(BY248*$P248,2),"")</f>
        <v/>
      </c>
      <c r="CL248" s="362">
        <f>IFERROR(ROUND(BZ248*$P248,2),"")</f>
        <v/>
      </c>
      <c r="CM248" s="362">
        <f>IFERROR(ROUND(CA248*$P248,2),"")</f>
        <v/>
      </c>
      <c r="CN248" s="362">
        <f>IFERROR(ROUND(CB248*$P248,2),"")</f>
        <v/>
      </c>
      <c r="CO248" s="362">
        <f>SUM(CK248:CN248)</f>
        <v/>
      </c>
    </row>
    <row r="249" hidden="1" ht="15.6" customHeight="1" s="428">
      <c r="B249" s="344">
        <f>_xlfn.XLOOKUP(G249,销售需求表!A:A,销售需求表!C:C)</f>
        <v/>
      </c>
      <c r="C249" s="345">
        <f>IFERROR(MID(F249,FIND("R",F249)+1,2),"")</f>
        <v/>
      </c>
      <c r="D249" s="368">
        <f>B249&amp;C249&amp;"寸"</f>
        <v/>
      </c>
      <c r="E249" s="346">
        <f>LEFT(REPLACE(G249,1,2,""),FIND("[",REPLACE(G249,1,2,""))-1)&amp;"-"&amp;MID(REPLACE(G249,1,2,""),FIND("[",REPLACE(G249,1,2,""))+1,FIND("]",REPLACE(G249,1,2,""))-FIND("[",REPLACE(G249,1,2,""))-1)</f>
        <v/>
      </c>
      <c r="F249" s="347">
        <f>IFERROR(MID(G249,3,FIND("(",G249)-3)&amp;"-"&amp;SUBSTITUTE(MID(G249,FIND("[",G249)+1,FIND("]",G249)-FIND("[",G249)-1),"Strong Guard ",""),"")</f>
        <v/>
      </c>
      <c r="G249" s="346" t="inlineStr">
        <is>
          <t>ID10.00R20-18PR(149/146J)[BMA08]BRANSALES</t>
        </is>
      </c>
      <c r="H249" s="344" t="n">
        <v>120</v>
      </c>
      <c r="I249" s="348" t="n"/>
      <c r="J249" s="349">
        <f>IFERROR(LEFT(F249,FIND("-",F249))&amp;MID(F249,FIND("PR",F249,FIND("-",F249))+3,LEN(F249)),F249)</f>
        <v/>
      </c>
      <c r="K249" s="352">
        <f>_xlfn.XLOOKUP(F249,投产规格!E:E,投产规格!D:D,"未投产")</f>
        <v/>
      </c>
      <c r="L249" s="352">
        <f>IFERROR(_xlfn.XLOOKUP(F249,硫化工艺!B:B,硫化工艺!C:C),"")</f>
        <v/>
      </c>
      <c r="M249" s="430">
        <f>IF(L249="","",L249/(L249+$L$1/60))</f>
        <v/>
      </c>
      <c r="N249" s="352">
        <f>C249&amp;"全钢"</f>
        <v/>
      </c>
      <c r="O249" s="352">
        <f>IFERROR(_xlfn.XLOOKUP(F249,轮胎重量!J:J,轮胎重量!G:G),"")</f>
        <v/>
      </c>
      <c r="P249" s="358">
        <f>O249*13.9</f>
        <v/>
      </c>
      <c r="Q249" s="352">
        <f>IFERROR(ROUND(1440/L249*(I249)*M249,0),"")</f>
        <v/>
      </c>
      <c r="R249" s="352" t="n"/>
      <c r="S249" s="352" t="n"/>
      <c r="T249" s="352" t="n"/>
      <c r="U249" s="352" t="n"/>
      <c r="V249" s="352" t="n"/>
      <c r="W249" s="352" t="n"/>
      <c r="X249" s="352" t="n"/>
      <c r="Y249" s="352" t="n"/>
      <c r="Z249" s="352" t="n"/>
      <c r="AA249" s="352" t="n"/>
      <c r="AB249" s="352" t="n"/>
      <c r="AC249" s="352" t="n"/>
      <c r="AD249" s="352" t="n"/>
      <c r="AE249" s="352" t="n"/>
      <c r="AF249" s="352" t="n"/>
      <c r="AG249" s="352" t="n"/>
      <c r="AH249" s="352" t="n"/>
      <c r="AI249" s="352" t="n"/>
      <c r="AJ249" s="352" t="n"/>
      <c r="AK249" s="352" t="n"/>
      <c r="AL249" s="352" t="n"/>
      <c r="AM249" s="352" t="n"/>
      <c r="AN249" s="352" t="n"/>
      <c r="AO249" s="352" t="n"/>
      <c r="AP249" s="352" t="n"/>
      <c r="AQ249" s="352" t="n"/>
      <c r="AR249" s="352" t="n"/>
      <c r="AS249" s="352" t="n"/>
      <c r="AT249" s="352" t="n"/>
      <c r="AU249" s="352" t="n"/>
      <c r="AV249" s="352" t="n"/>
      <c r="AW249" s="352">
        <f>IF(SUM(R249:AV249)=0,"",SUM(R249:AV249))</f>
        <v/>
      </c>
      <c r="AX249" s="431">
        <f>IFERROR(AW249*O249/1000,"")</f>
        <v/>
      </c>
      <c r="AY249" s="431">
        <f>IFERROR(ROUND(AW249*P249/10000,3),"")</f>
        <v/>
      </c>
      <c r="AZ249" s="354" t="n">
        <v>643.9400000000001</v>
      </c>
      <c r="BA249" s="355" t="n">
        <v>41.3</v>
      </c>
      <c r="BB249" s="355" t="n">
        <v>62.99</v>
      </c>
      <c r="BC249" s="355" t="n">
        <v>69.70999999999999</v>
      </c>
      <c r="BE249" s="331">
        <f>AZ249*AW249</f>
        <v/>
      </c>
      <c r="BF249" s="331">
        <f>BA249*AW249</f>
        <v/>
      </c>
      <c r="BG249" s="331">
        <f>BB249*AW249</f>
        <v/>
      </c>
      <c r="BH249" s="331">
        <f>BC249*AW249</f>
        <v/>
      </c>
      <c r="BJ249" s="356">
        <f t="array" ref="BJ249:BM249">_xlfn.LET(_xlpm.data,$R249:$AV249,_xlpm.starts,{1,8,16,23},_xlpm.lengths,{7,7,8,9},_xlpm.arr,_xlfn.MAP(_xlpm.starts,_xlpm.lengths,_xlfn.LAMBDA(_xlpm.s,_xlpm.l,SUM(INDEX(_xlpm.data,,_xlfn.SEQUENCE(,_xlpm.l,_xlpm.s))))),ROUND(_xlpm.arr*$O249/1000,2))</f>
        <v/>
      </c>
      <c r="BK249" s="331" t="n">
        <v>0</v>
      </c>
      <c r="BL249" s="331" t="n">
        <v>0</v>
      </c>
      <c r="BM249" s="331" t="n">
        <v>0</v>
      </c>
      <c r="BN249" s="362">
        <f>SUM(BJ249:BM249)</f>
        <v/>
      </c>
      <c r="BO249" s="362" t="n">
        <v>0</v>
      </c>
      <c r="BP249" s="362" t="n">
        <v>0</v>
      </c>
      <c r="BQ249" s="362" t="n">
        <v>0</v>
      </c>
      <c r="BR249" s="362" t="n">
        <v>0</v>
      </c>
      <c r="BT249" s="362">
        <f t="array" ref="BT249:BW249">_xlfn.HSTACK(SUM(INDEX($R249:$AV249,1,1):INDEX($R249:$AV249,1,7)),SUM(INDEX($R249:$AV249,1,7):INDEX($R249:$AV249,1,13)),SUM(INDEX($R249:$AV249,1,16):INDEX($R249:$AV249,1,23)),SUM(INDEX($R249:$AV249,1,23):INDEX($R249:$AV249,1,31)))</f>
        <v/>
      </c>
      <c r="BU249" s="362" t="n">
        <v>0</v>
      </c>
      <c r="BV249" s="362" t="n">
        <v>0</v>
      </c>
      <c r="BW249" s="362" t="n">
        <v>0</v>
      </c>
      <c r="BY249" s="362">
        <f>SUM(R249:X249)</f>
        <v/>
      </c>
      <c r="BZ249" s="362">
        <f>SUM(Y249:AE249)</f>
        <v/>
      </c>
      <c r="CA249" s="362">
        <f>SUM(AF249:AM249)</f>
        <v/>
      </c>
      <c r="CB249" s="362">
        <f>SUM(AN249:AV249)</f>
        <v/>
      </c>
      <c r="CD249" s="432" t="inlineStr">
        <is>
          <t>ADA</t>
        </is>
      </c>
      <c r="CE249" s="362">
        <f>ROUND(BY249*$O249/1000,2)</f>
        <v/>
      </c>
      <c r="CF249" s="362">
        <f>ROUND(BZ249*$O249/1000,2)</f>
        <v/>
      </c>
      <c r="CG249" s="362">
        <f>ROUND(CA249*$O249/1000,2)</f>
        <v/>
      </c>
      <c r="CH249" s="362">
        <f>ROUND(CB249*$O249/1000,2)</f>
        <v/>
      </c>
      <c r="CI249" s="362">
        <f>SUM(CE249:CH249)</f>
        <v/>
      </c>
      <c r="CK249" s="362">
        <f>IFERROR(ROUND(BY249*$P249,2),"")</f>
        <v/>
      </c>
      <c r="CL249" s="362">
        <f>IFERROR(ROUND(BZ249*$P249,2),"")</f>
        <v/>
      </c>
      <c r="CM249" s="362">
        <f>IFERROR(ROUND(CA249*$P249,2),"")</f>
        <v/>
      </c>
      <c r="CN249" s="362">
        <f>IFERROR(ROUND(CB249*$P249,2),"")</f>
        <v/>
      </c>
      <c r="CO249" s="362">
        <f>SUM(CK249:CN249)</f>
        <v/>
      </c>
    </row>
    <row r="250" ht="15.6" customFormat="1" customHeight="1" s="362">
      <c r="A250" s="331" t="n"/>
      <c r="B250" s="344">
        <f>_xlfn.XLOOKUP(G250,销售需求表!A:A,销售需求表!C:C)</f>
        <v/>
      </c>
      <c r="C250" s="345">
        <f>IFERROR(MID(F250,FIND("R",F250)+1,2),"")</f>
        <v/>
      </c>
      <c r="D250" s="368">
        <f>B250&amp;C250&amp;"寸"</f>
        <v/>
      </c>
      <c r="E250" s="346">
        <f>LEFT(REPLACE(G250,1,2,""),FIND("[",REPLACE(G250,1,2,""))-1)&amp;"-"&amp;MID(REPLACE(G250,1,2,""),FIND("[",REPLACE(G250,1,2,""))+1,FIND("]",REPLACE(G250,1,2,""))-FIND("[",REPLACE(G250,1,2,""))-1)</f>
        <v/>
      </c>
      <c r="F250" s="347">
        <f>IFERROR(MID(G250,3,FIND("(",G250)-3)&amp;"-"&amp;SUBSTITUTE(MID(G250,FIND("[",G250)+1,FIND("]",G250)-FIND("[",G250)-1),"Strong Guard ",""),"")</f>
        <v/>
      </c>
      <c r="G250" s="346" t="inlineStr">
        <is>
          <t>ID10.00R20-18PR(149/146J)[CM988]威狮</t>
        </is>
      </c>
      <c r="H250" s="344" t="n">
        <v>820</v>
      </c>
      <c r="I250" s="348" t="n">
        <v>2</v>
      </c>
      <c r="J250" s="349">
        <f>IFERROR(LEFT(F250,FIND("-",F250))&amp;MID(F250,FIND("PR",F250,FIND("-",F250))+3,LEN(F250)),F250)</f>
        <v/>
      </c>
      <c r="K250" s="352">
        <f>_xlfn.XLOOKUP(F250,投产规格!E:E,投产规格!D:D,"未投产")</f>
        <v/>
      </c>
      <c r="L250" s="352">
        <f>IFERROR(_xlfn.XLOOKUP(F250,硫化工艺!B:B,硫化工艺!C:C),"")</f>
        <v/>
      </c>
      <c r="M250" s="430">
        <f>IF(L250="","",L250/(L250+$L$1/60))</f>
        <v/>
      </c>
      <c r="N250" s="352">
        <f>C250&amp;"全钢"</f>
        <v/>
      </c>
      <c r="O250" s="352">
        <f>IFERROR(_xlfn.XLOOKUP(F250,轮胎重量!J:J,轮胎重量!G:G),"")</f>
        <v/>
      </c>
      <c r="P250" s="352">
        <f>IFERROR(_xlfn.XLOOKUP(G250,硫化工艺!I:I,硫化工艺!J:J),"")</f>
        <v/>
      </c>
      <c r="Q250" s="352">
        <f>IFERROR(ROUND(1440/L250*(I250)*M250,0),"")</f>
        <v/>
      </c>
      <c r="R250" s="352" t="n">
        <v>60</v>
      </c>
      <c r="S250" s="352" t="n">
        <v>60</v>
      </c>
      <c r="T250" s="352" t="n">
        <v>60</v>
      </c>
      <c r="U250" s="352" t="n">
        <v>60</v>
      </c>
      <c r="V250" s="352" t="n">
        <v>60</v>
      </c>
      <c r="W250" s="352" t="n">
        <v>60</v>
      </c>
      <c r="X250" s="352" t="n">
        <v>60</v>
      </c>
      <c r="Y250" s="352" t="n">
        <v>60</v>
      </c>
      <c r="Z250" s="352" t="n">
        <v>60</v>
      </c>
      <c r="AA250" s="352" t="n">
        <v>60</v>
      </c>
      <c r="AB250" s="352" t="n">
        <v>60</v>
      </c>
      <c r="AC250" s="352" t="n">
        <v>60</v>
      </c>
      <c r="AD250" s="352" t="n">
        <v>60</v>
      </c>
      <c r="AE250" s="352" t="n">
        <v>60</v>
      </c>
      <c r="AF250" s="352" t="n">
        <v>60</v>
      </c>
      <c r="AG250" s="352" t="n"/>
      <c r="AH250" s="352" t="n"/>
      <c r="AI250" s="352" t="n"/>
      <c r="AJ250" s="352" t="n"/>
      <c r="AK250" s="352" t="n"/>
      <c r="AL250" s="352" t="n"/>
      <c r="AM250" s="352" t="n"/>
      <c r="AN250" s="352" t="n"/>
      <c r="AO250" s="352" t="n"/>
      <c r="AP250" s="352" t="n"/>
      <c r="AQ250" s="352" t="n"/>
      <c r="AR250" s="352" t="n"/>
      <c r="AS250" s="352" t="n"/>
      <c r="AT250" s="352" t="n"/>
      <c r="AU250" s="352" t="n"/>
      <c r="AV250" s="352" t="n"/>
      <c r="AW250" s="352">
        <f>IF(SUM(R250:AV250)=0,"",SUM(R250:AV250))</f>
        <v/>
      </c>
      <c r="AX250" s="431">
        <f>IFERROR(AW250*O250/1000,"")</f>
        <v/>
      </c>
      <c r="AY250" s="431">
        <f>IFERROR(ROUND(AW250*P250/10000,3),"")</f>
        <v/>
      </c>
      <c r="AZ250" s="354" t="n">
        <v>643.9400000000001</v>
      </c>
      <c r="BA250" s="355" t="n">
        <v>41.3</v>
      </c>
      <c r="BB250" s="355" t="n">
        <v>62.99</v>
      </c>
      <c r="BC250" s="355" t="n">
        <v>69.70999999999999</v>
      </c>
      <c r="BD250" s="331" t="n"/>
      <c r="BE250" s="331">
        <f>AZ250*AW250</f>
        <v/>
      </c>
      <c r="BF250" s="331">
        <f>BA250*AW250</f>
        <v/>
      </c>
      <c r="BG250" s="331">
        <f>BB250*AW250</f>
        <v/>
      </c>
      <c r="BH250" s="331">
        <f>BC250*AW250</f>
        <v/>
      </c>
      <c r="BI250" s="331" t="n"/>
      <c r="BJ250" s="356">
        <f t="array" ref="BJ250:BM250">_xlfn.LET(_xlpm.data,$R250:$AV250,_xlpm.starts,{1,8,16,23},_xlpm.lengths,{7,7,8,9},_xlpm.arr,_xlfn.MAP(_xlpm.starts,_xlpm.lengths,_xlfn.LAMBDA(_xlpm.s,_xlpm.l,SUM(INDEX(_xlpm.data,,_xlfn.SEQUENCE(,_xlpm.l,_xlpm.s))))),ROUND(_xlpm.arr*$O250/1000,2))</f>
        <v/>
      </c>
      <c r="BK250" s="331" t="n">
        <v>26.58</v>
      </c>
      <c r="BL250" s="331" t="n">
        <v>0</v>
      </c>
      <c r="BM250" s="331" t="n">
        <v>0</v>
      </c>
      <c r="BN250" s="362">
        <f>SUM(BJ250:BM250)</f>
        <v/>
      </c>
      <c r="BO250" s="362" t="n">
        <v>25.02</v>
      </c>
      <c r="BP250" s="362" t="n">
        <v>10.72</v>
      </c>
      <c r="BQ250" s="362" t="n">
        <v>0</v>
      </c>
      <c r="BR250" s="362" t="n">
        <v>0</v>
      </c>
      <c r="BS250" s="115" t="n"/>
      <c r="BT250" s="362">
        <f t="array" ref="BT250:BW250">_xlfn.HSTACK(SUM(INDEX($R250:$AV250,1,1):INDEX($R250:$AV250,1,7)),SUM(INDEX($R250:$AV250,1,7):INDEX($R250:$AV250,1,13)),SUM(INDEX($R250:$AV250,1,16):INDEX($R250:$AV250,1,23)),SUM(INDEX($R250:$AV250,1,23):INDEX($R250:$AV250,1,31)))</f>
        <v/>
      </c>
      <c r="BU250" s="362" t="n">
        <v>420</v>
      </c>
      <c r="BV250" s="362" t="n">
        <v>0</v>
      </c>
      <c r="BW250" s="362" t="n">
        <v>0</v>
      </c>
      <c r="BY250" s="362">
        <f>SUM(R250:X250)</f>
        <v/>
      </c>
      <c r="BZ250" s="362">
        <f>SUM(Y250:AE250)</f>
        <v/>
      </c>
      <c r="CA250" s="362">
        <f>SUM(AF250:AM250)</f>
        <v/>
      </c>
      <c r="CB250" s="362">
        <f>SUM(AN250:AV250)</f>
        <v/>
      </c>
      <c r="CD250" s="432" t="inlineStr">
        <is>
          <t>ADA</t>
        </is>
      </c>
      <c r="CE250" s="362">
        <f>ROUND(BY250*$O250/1000,2)</f>
        <v/>
      </c>
      <c r="CF250" s="362">
        <f>ROUND(BZ250*$O250/1000,2)</f>
        <v/>
      </c>
      <c r="CG250" s="362">
        <f>ROUND(CA250*$O250/1000,2)</f>
        <v/>
      </c>
      <c r="CH250" s="362">
        <f>ROUND(CB250*$O250/1000,2)</f>
        <v/>
      </c>
      <c r="CI250" s="362">
        <f>SUM(CE250:CH250)</f>
        <v/>
      </c>
      <c r="CJ250" s="390" t="n"/>
      <c r="CK250" s="362">
        <f>IFERROR(ROUND(BY250*$P250,2),"")</f>
        <v/>
      </c>
      <c r="CL250" s="362">
        <f>IFERROR(ROUND(BZ250*$P250,2),"")</f>
        <v/>
      </c>
      <c r="CM250" s="362">
        <f>IFERROR(ROUND(CA250*$P250,2),"")</f>
        <v/>
      </c>
      <c r="CN250" s="362">
        <f>IFERROR(ROUND(CB250*$P250,2),"")</f>
        <v/>
      </c>
      <c r="CO250" s="362">
        <f>SUM(CK250:CN250)</f>
        <v/>
      </c>
    </row>
    <row r="251" ht="15.6" customHeight="1" s="428">
      <c r="B251" s="344">
        <f>_xlfn.XLOOKUP(G251,销售需求表!A:A,销售需求表!C:C)</f>
        <v/>
      </c>
      <c r="C251" s="345">
        <f>IFERROR(MID(F251,FIND("R",F251)+1,2),"")</f>
        <v/>
      </c>
      <c r="D251" s="368">
        <f>B251&amp;C251&amp;"寸"</f>
        <v/>
      </c>
      <c r="E251" s="346">
        <f>LEFT(REPLACE(G251,1,2,""),FIND("[",REPLACE(G251,1,2,""))-1)&amp;"-"&amp;MID(REPLACE(G251,1,2,""),FIND("[",REPLACE(G251,1,2,""))+1,FIND("]",REPLACE(G251,1,2,""))-FIND("[",REPLACE(G251,1,2,""))-1)</f>
        <v/>
      </c>
      <c r="F251" s="347">
        <f>IFERROR(MID(G251,3,FIND("(",G251)-3)&amp;"-"&amp;SUBSTITUTE(MID(G251,FIND("[",G251)+1,FIND("]",G251)-FIND("[",G251)-1),"Strong Guard ",""),"")</f>
        <v/>
      </c>
      <c r="G251" s="346" t="inlineStr">
        <is>
          <t>ID10.00R20-18PR(149/146J)[CR926]GOODRIDE(好运)</t>
        </is>
      </c>
      <c r="H251" s="344" t="n">
        <v>3800</v>
      </c>
      <c r="I251" s="348" t="n">
        <v>2</v>
      </c>
      <c r="J251" s="349">
        <f>IFERROR(LEFT(F251,FIND("-",F251))&amp;MID(F251,FIND("PR",F251,FIND("-",F251))+3,LEN(F251)),F251)</f>
        <v/>
      </c>
      <c r="K251" s="352">
        <f>_xlfn.XLOOKUP(F251,投产规格!E:E,投产规格!D:D,"未投产")</f>
        <v/>
      </c>
      <c r="L251" s="352">
        <f>IFERROR(_xlfn.XLOOKUP(F251,硫化工艺!B:B,硫化工艺!C:C),"")</f>
        <v/>
      </c>
      <c r="M251" s="430">
        <f>IF(L251="","",L251/(L251+$L$1/60))</f>
        <v/>
      </c>
      <c r="N251" s="352">
        <f>C251&amp;"全钢"</f>
        <v/>
      </c>
      <c r="O251" s="352">
        <f>IFERROR(_xlfn.XLOOKUP(F251,轮胎重量!J:J,轮胎重量!G:G),"")</f>
        <v/>
      </c>
      <c r="P251" s="352">
        <f>IFERROR(_xlfn.XLOOKUP(G251,硫化工艺!I:I,硫化工艺!J:J),"")</f>
        <v/>
      </c>
      <c r="Q251" s="352">
        <f>IFERROR(ROUND(1440/L251*(I251)*M251,0),"")</f>
        <v/>
      </c>
      <c r="R251" s="352" t="n">
        <v>60</v>
      </c>
      <c r="S251" s="352" t="n">
        <v>60</v>
      </c>
      <c r="T251" s="352" t="n">
        <v>60</v>
      </c>
      <c r="U251" s="352" t="n">
        <v>60</v>
      </c>
      <c r="V251" s="352" t="n">
        <v>60</v>
      </c>
      <c r="W251" s="352" t="n">
        <v>60</v>
      </c>
      <c r="X251" s="352" t="n">
        <v>60</v>
      </c>
      <c r="Y251" s="352" t="n">
        <v>60</v>
      </c>
      <c r="Z251" s="352" t="n">
        <v>60</v>
      </c>
      <c r="AA251" s="352" t="n">
        <v>60</v>
      </c>
      <c r="AB251" s="352" t="n">
        <v>60</v>
      </c>
      <c r="AC251" s="352" t="n">
        <v>60</v>
      </c>
      <c r="AD251" s="352" t="n">
        <v>60</v>
      </c>
      <c r="AE251" s="352" t="n">
        <v>60</v>
      </c>
      <c r="AF251" s="352" t="n">
        <v>60</v>
      </c>
      <c r="AG251" s="352" t="n">
        <v>60</v>
      </c>
      <c r="AH251" s="352" t="n">
        <v>60</v>
      </c>
      <c r="AI251" s="352" t="n">
        <v>60</v>
      </c>
      <c r="AJ251" s="352" t="n">
        <v>60</v>
      </c>
      <c r="AK251" s="352" t="n">
        <v>60</v>
      </c>
      <c r="AL251" s="352" t="n">
        <v>60</v>
      </c>
      <c r="AM251" s="352" t="n">
        <v>60</v>
      </c>
      <c r="AN251" s="352" t="n">
        <v>60</v>
      </c>
      <c r="AO251" s="352" t="n">
        <v>60</v>
      </c>
      <c r="AP251" s="352" t="n">
        <v>60</v>
      </c>
      <c r="AQ251" s="352" t="n">
        <v>60</v>
      </c>
      <c r="AR251" s="352" t="n">
        <v>60</v>
      </c>
      <c r="AS251" s="352" t="n">
        <v>60</v>
      </c>
      <c r="AT251" s="352" t="n">
        <v>60</v>
      </c>
      <c r="AU251" s="352" t="n">
        <v>60</v>
      </c>
      <c r="AV251" s="352" t="n">
        <v>60</v>
      </c>
      <c r="AW251" s="352">
        <f>IF(SUM(R251:AV251)=0,"",SUM(R251:AV251))</f>
        <v/>
      </c>
      <c r="AX251" s="431">
        <f>IFERROR(AW251*O251/1000,"")</f>
        <v/>
      </c>
      <c r="AY251" s="431">
        <f>IFERROR(ROUND(AW251*P251/10000,3),"")</f>
        <v/>
      </c>
      <c r="AZ251" s="354" t="n">
        <v>630.63</v>
      </c>
      <c r="BA251" s="355" t="n">
        <v>40.39</v>
      </c>
      <c r="BB251" s="355" t="n">
        <v>61.99</v>
      </c>
      <c r="BC251" s="355" t="n">
        <v>68.43000000000001</v>
      </c>
      <c r="BE251" s="331">
        <f>AZ251*AW251</f>
        <v/>
      </c>
      <c r="BF251" s="331">
        <f>BA251*AW251</f>
        <v/>
      </c>
      <c r="BG251" s="331">
        <f>BB251*AW251</f>
        <v/>
      </c>
      <c r="BH251" s="331">
        <f>BC251*AW251</f>
        <v/>
      </c>
      <c r="BJ251" s="356">
        <f t="array" ref="BJ251:BM251">_xlfn.LET(_xlpm.data,$R251:$AV251,_xlpm.starts,{1,8,16,23},_xlpm.lengths,{7,7,8,9},_xlpm.arr,_xlfn.MAP(_xlpm.starts,_xlpm.lengths,_xlfn.LAMBDA(_xlpm.s,_xlpm.l,SUM(INDEX(_xlpm.data,,_xlfn.SEQUENCE(,_xlpm.l,_xlpm.s))))),ROUND(_xlpm.arr*$O251/1000,2))</f>
        <v/>
      </c>
      <c r="BK251" s="331" t="n">
        <v>25.44</v>
      </c>
      <c r="BL251" s="331" t="n">
        <v>29.08</v>
      </c>
      <c r="BM251" s="331" t="n">
        <v>32.71</v>
      </c>
      <c r="BN251" s="362">
        <f>SUM(BJ251:BM251)</f>
        <v/>
      </c>
      <c r="BO251" s="362" t="n">
        <v>0</v>
      </c>
      <c r="BP251" s="362" t="n">
        <v>15.26</v>
      </c>
      <c r="BQ251" s="362" t="n">
        <v>0</v>
      </c>
      <c r="BR251" s="362" t="n">
        <v>0</v>
      </c>
      <c r="BT251" s="362">
        <f t="array" ref="BT251:BW251">_xlfn.HSTACK(SUM(INDEX($R251:$AV251,1,1):INDEX($R251:$AV251,1,7)),SUM(INDEX($R251:$AV251,1,7):INDEX($R251:$AV251,1,13)),SUM(INDEX($R251:$AV251,1,16):INDEX($R251:$AV251,1,23)),SUM(INDEX($R251:$AV251,1,23):INDEX($R251:$AV251,1,31)))</f>
        <v/>
      </c>
      <c r="BU251" s="362" t="n">
        <v>420</v>
      </c>
      <c r="BV251" s="362" t="n">
        <v>480</v>
      </c>
      <c r="BW251" s="362" t="n">
        <v>540</v>
      </c>
      <c r="BY251" s="362">
        <f>SUM(R251:X251)</f>
        <v/>
      </c>
      <c r="BZ251" s="362">
        <f>SUM(Y251:AE251)</f>
        <v/>
      </c>
      <c r="CA251" s="362">
        <f>SUM(AF251:AM251)</f>
        <v/>
      </c>
      <c r="CB251" s="362">
        <f>SUM(AN251:AV251)</f>
        <v/>
      </c>
      <c r="CD251" s="432" t="inlineStr">
        <is>
          <t>ADA</t>
        </is>
      </c>
      <c r="CE251" s="362">
        <f>ROUND(BY251*$O251/1000,2)</f>
        <v/>
      </c>
      <c r="CF251" s="362">
        <f>ROUND(BZ251*$O251/1000,2)</f>
        <v/>
      </c>
      <c r="CG251" s="362">
        <f>ROUND(CA251*$O251/1000,2)</f>
        <v/>
      </c>
      <c r="CH251" s="362">
        <f>ROUND(CB251*$O251/1000,2)</f>
        <v/>
      </c>
      <c r="CI251" s="362">
        <f>SUM(CE251:CH251)</f>
        <v/>
      </c>
      <c r="CK251" s="362">
        <f>IFERROR(ROUND(BY251*$P251,2),"")</f>
        <v/>
      </c>
      <c r="CL251" s="362">
        <f>IFERROR(ROUND(BZ251*$P251,2),"")</f>
        <v/>
      </c>
      <c r="CM251" s="362">
        <f>IFERROR(ROUND(CA251*$P251,2),"")</f>
        <v/>
      </c>
      <c r="CN251" s="362">
        <f>IFERROR(ROUND(CB251*$P251,2),"")</f>
        <v/>
      </c>
      <c r="CO251" s="362">
        <f>SUM(CK251:CN251)</f>
        <v/>
      </c>
    </row>
    <row r="252" ht="15.6" customHeight="1" s="428">
      <c r="B252" s="344">
        <f>_xlfn.XLOOKUP(G252,销售需求表!A:A,销售需求表!C:C)</f>
        <v/>
      </c>
      <c r="C252" s="345">
        <f>IFERROR(MID(F252,FIND("R",F252)+1,2),"")</f>
        <v/>
      </c>
      <c r="D252" s="368">
        <f>B252&amp;C252&amp;"寸"</f>
        <v/>
      </c>
      <c r="E252" s="346">
        <f>LEFT(REPLACE(G252,1,2,""),FIND("[",REPLACE(G252,1,2,""))-1)&amp;"-"&amp;MID(REPLACE(G252,1,2,""),FIND("[",REPLACE(G252,1,2,""))+1,FIND("]",REPLACE(G252,1,2,""))-FIND("[",REPLACE(G252,1,2,""))-1)</f>
        <v/>
      </c>
      <c r="F252" s="347">
        <f>IFERROR(MID(G252,3,FIND("(",G252)-3)&amp;"-"&amp;SUBSTITUTE(MID(G252,FIND("[",G252)+1,FIND("]",G252)-FIND("[",G252)-1),"Strong Guard ",""),"")</f>
        <v/>
      </c>
      <c r="G252" s="346" t="inlineStr">
        <is>
          <t>ID10.00R20-18PR(149/146J)[CR926]朝阳</t>
        </is>
      </c>
      <c r="H252" s="344" t="n">
        <v>350</v>
      </c>
      <c r="I252" s="348" t="n">
        <v>2</v>
      </c>
      <c r="J252" s="349">
        <f>IFERROR(LEFT(F252,FIND("-",F252))&amp;MID(F252,FIND("PR",F252,FIND("-",F252))+3,LEN(F252)),F252)</f>
        <v/>
      </c>
      <c r="K252" s="352">
        <f>_xlfn.XLOOKUP(F252,投产规格!E:E,投产规格!D:D,"未投产")</f>
        <v/>
      </c>
      <c r="L252" s="352">
        <f>IFERROR(_xlfn.XLOOKUP(F252,硫化工艺!B:B,硫化工艺!C:C),"")</f>
        <v/>
      </c>
      <c r="M252" s="430">
        <f>IF(L252="","",L252/(L252+$L$1/60))</f>
        <v/>
      </c>
      <c r="N252" s="352">
        <f>C252&amp;"全钢"</f>
        <v/>
      </c>
      <c r="O252" s="352">
        <f>IFERROR(_xlfn.XLOOKUP(F252,轮胎重量!J:J,轮胎重量!G:G),"")</f>
        <v/>
      </c>
      <c r="P252" s="352">
        <f>IFERROR(_xlfn.XLOOKUP(G252,硫化工艺!I:I,硫化工艺!J:J),"")</f>
        <v/>
      </c>
      <c r="Q252" s="352">
        <f>IFERROR(ROUND(1440/L252*(I252)*M252,0),"")</f>
        <v/>
      </c>
      <c r="R252" s="352" t="n">
        <v>60</v>
      </c>
      <c r="S252" s="352" t="n">
        <v>60</v>
      </c>
      <c r="T252" s="352" t="n">
        <v>60</v>
      </c>
      <c r="U252" s="352" t="n">
        <v>60</v>
      </c>
      <c r="V252" s="352" t="n">
        <v>60</v>
      </c>
      <c r="W252" s="352" t="n">
        <v>60</v>
      </c>
      <c r="X252" s="352" t="n"/>
      <c r="Y252" s="352" t="n"/>
      <c r="Z252" s="352" t="n"/>
      <c r="AA252" s="352" t="n"/>
      <c r="AB252" s="352" t="n"/>
      <c r="AC252" s="352" t="n"/>
      <c r="AD252" s="352" t="n"/>
      <c r="AE252" s="352" t="n"/>
      <c r="AF252" s="352" t="n"/>
      <c r="AG252" s="352" t="n"/>
      <c r="AH252" s="352" t="n"/>
      <c r="AI252" s="352" t="n"/>
      <c r="AJ252" s="352" t="n"/>
      <c r="AK252" s="352" t="n"/>
      <c r="AL252" s="352" t="n"/>
      <c r="AM252" s="352" t="n"/>
      <c r="AN252" s="352" t="n"/>
      <c r="AO252" s="352" t="n"/>
      <c r="AP252" s="352" t="n"/>
      <c r="AQ252" s="352" t="n"/>
      <c r="AR252" s="352" t="n"/>
      <c r="AS252" s="352" t="n"/>
      <c r="AT252" s="352" t="n"/>
      <c r="AU252" s="352" t="n"/>
      <c r="AV252" s="352" t="n"/>
      <c r="AW252" s="352">
        <f>IF(SUM(R252:AV252)=0,"",SUM(R252:AV252))</f>
        <v/>
      </c>
      <c r="AX252" s="431">
        <f>IFERROR(AW252*O252/1000,"")</f>
        <v/>
      </c>
      <c r="AY252" s="431">
        <f>IFERROR(ROUND(AW252*P252/10000,3),"")</f>
        <v/>
      </c>
      <c r="AZ252" s="359" t="n"/>
      <c r="BE252" s="331">
        <f>AZ252*AW252</f>
        <v/>
      </c>
      <c r="BF252" s="331">
        <f>BA252*AW252</f>
        <v/>
      </c>
      <c r="BG252" s="331">
        <f>BB252*AW252</f>
        <v/>
      </c>
      <c r="BH252" s="331">
        <f>BC252*AW252</f>
        <v/>
      </c>
      <c r="BJ252" s="356">
        <f t="array" ref="BJ252:BM252">_xlfn.LET(_xlpm.data,$R252:$AV252,_xlpm.starts,{1,8,16,23},_xlpm.lengths,{7,7,8,9},_xlpm.arr,_xlfn.MAP(_xlpm.starts,_xlpm.lengths,_xlfn.LAMBDA(_xlpm.s,_xlpm.l,SUM(INDEX(_xlpm.data,,_xlfn.SEQUENCE(,_xlpm.l,_xlpm.s))))),ROUND(_xlpm.arr*$O252/1000,2))</f>
        <v/>
      </c>
      <c r="BK252" s="331" t="n">
        <v>0</v>
      </c>
      <c r="BL252" s="331" t="n">
        <v>0</v>
      </c>
      <c r="BM252" s="331" t="n">
        <v>0</v>
      </c>
      <c r="BN252" s="362">
        <f>SUM(BJ252:BM252)</f>
        <v/>
      </c>
      <c r="BO252" s="362" t="n">
        <v>0</v>
      </c>
      <c r="BP252" s="362" t="n">
        <v>0</v>
      </c>
      <c r="BQ252" s="362" t="n">
        <v>8.92</v>
      </c>
      <c r="BR252" s="362" t="n">
        <v>0</v>
      </c>
      <c r="BT252" s="362">
        <f t="array" ref="BT252:BW252">_xlfn.HSTACK(SUM(INDEX($R252:$AV252,1,1):INDEX($R252:$AV252,1,7)),SUM(INDEX($R252:$AV252,1,7):INDEX($R252:$AV252,1,13)),SUM(INDEX($R252:$AV252,1,16):INDEX($R252:$AV252,1,23)),SUM(INDEX($R252:$AV252,1,23):INDEX($R252:$AV252,1,31)))</f>
        <v/>
      </c>
      <c r="BU252" s="362" t="n">
        <v>0</v>
      </c>
      <c r="BV252" s="362" t="n">
        <v>0</v>
      </c>
      <c r="BW252" s="362" t="n">
        <v>0</v>
      </c>
      <c r="BY252" s="362">
        <f>SUM(R252:X252)</f>
        <v/>
      </c>
      <c r="BZ252" s="362">
        <f>SUM(Y252:AE252)</f>
        <v/>
      </c>
      <c r="CA252" s="362">
        <f>SUM(AF252:AM252)</f>
        <v/>
      </c>
      <c r="CB252" s="362">
        <f>SUM(AN252:AV252)</f>
        <v/>
      </c>
      <c r="CD252" s="432" t="inlineStr">
        <is>
          <t>ADA</t>
        </is>
      </c>
      <c r="CE252" s="362">
        <f>ROUND(BY252*$O252/1000,2)</f>
        <v/>
      </c>
      <c r="CF252" s="362">
        <f>ROUND(BZ252*$O252/1000,2)</f>
        <v/>
      </c>
      <c r="CG252" s="362">
        <f>ROUND(CA252*$O252/1000,2)</f>
        <v/>
      </c>
      <c r="CH252" s="362">
        <f>ROUND(CB252*$O252/1000,2)</f>
        <v/>
      </c>
      <c r="CI252" s="362">
        <f>SUM(CE252:CH252)</f>
        <v/>
      </c>
      <c r="CK252" s="362">
        <f>IFERROR(ROUND(BY252*$P252,2),"")</f>
        <v/>
      </c>
      <c r="CL252" s="362">
        <f>IFERROR(ROUND(BZ252*$P252,2),"")</f>
        <v/>
      </c>
      <c r="CM252" s="362">
        <f>IFERROR(ROUND(CA252*$P252,2),"")</f>
        <v/>
      </c>
      <c r="CN252" s="362">
        <f>IFERROR(ROUND(CB252*$P252,2),"")</f>
        <v/>
      </c>
      <c r="CO252" s="362">
        <f>SUM(CK252:CN252)</f>
        <v/>
      </c>
    </row>
    <row r="253" ht="15.6" customHeight="1" s="428">
      <c r="B253" s="344">
        <f>_xlfn.XLOOKUP(G253,销售需求表!A:A,销售需求表!C:C)</f>
        <v/>
      </c>
      <c r="C253" s="345">
        <f>IFERROR(MID(F253,FIND("R",F253)+1,2),"")</f>
        <v/>
      </c>
      <c r="D253" s="368">
        <f>B253&amp;C253&amp;"寸"</f>
        <v/>
      </c>
      <c r="E253" s="346">
        <f>LEFT(REPLACE(G253,1,2,""),FIND("[",REPLACE(G253,1,2,""))-1)&amp;"-"&amp;MID(REPLACE(G253,1,2,""),FIND("[",REPLACE(G253,1,2,""))+1,FIND("]",REPLACE(G253,1,2,""))-FIND("[",REPLACE(G253,1,2,""))-1)</f>
        <v/>
      </c>
      <c r="F253" s="347">
        <f>IFERROR(MID(G253,3,FIND("(",G253)-3)&amp;"-"&amp;SUBSTITUTE(MID(G253,FIND("[",G253)+1,FIND("]",G253)-FIND("[",G253)-1),"Strong Guard ",""),"")</f>
        <v/>
      </c>
      <c r="G253" s="346" t="inlineStr">
        <is>
          <t>ID10.00R20-18PR(149/146J)[CR926]金冠</t>
        </is>
      </c>
      <c r="H253" s="344" t="n">
        <v>1800</v>
      </c>
      <c r="I253" s="348" t="n">
        <v>2</v>
      </c>
      <c r="J253" s="349">
        <f>IFERROR(LEFT(F253,FIND("-",F253))&amp;MID(F253,FIND("PR",F253,FIND("-",F253))+3,LEN(F253)),F253)</f>
        <v/>
      </c>
      <c r="K253" s="352">
        <f>_xlfn.XLOOKUP(F253,投产规格!E:E,投产规格!D:D,"未投产")</f>
        <v/>
      </c>
      <c r="L253" s="352">
        <f>IFERROR(_xlfn.XLOOKUP(F253,硫化工艺!B:B,硫化工艺!C:C),"")</f>
        <v/>
      </c>
      <c r="M253" s="430">
        <f>IF(L253="","",L253/(L253+$L$1/60))</f>
        <v/>
      </c>
      <c r="N253" s="352">
        <f>C253&amp;"全钢"</f>
        <v/>
      </c>
      <c r="O253" s="352">
        <f>IFERROR(_xlfn.XLOOKUP(F253,轮胎重量!J:J,轮胎重量!G:G),"")</f>
        <v/>
      </c>
      <c r="P253" s="352">
        <f>IFERROR(_xlfn.XLOOKUP(G253,硫化工艺!I:I,硫化工艺!J:J),"")</f>
        <v/>
      </c>
      <c r="Q253" s="352">
        <f>IFERROR(ROUND(1440/L253*(I253)*M253,0),"")</f>
        <v/>
      </c>
      <c r="R253" s="352" t="n">
        <v>60</v>
      </c>
      <c r="S253" s="352" t="n">
        <v>60</v>
      </c>
      <c r="T253" s="352" t="n">
        <v>60</v>
      </c>
      <c r="U253" s="352" t="n">
        <v>60</v>
      </c>
      <c r="V253" s="352" t="n">
        <v>60</v>
      </c>
      <c r="W253" s="352" t="n">
        <v>60</v>
      </c>
      <c r="X253" s="352" t="n">
        <v>60</v>
      </c>
      <c r="Y253" s="352" t="n">
        <v>60</v>
      </c>
      <c r="Z253" s="352" t="n">
        <v>60</v>
      </c>
      <c r="AA253" s="352" t="n">
        <v>60</v>
      </c>
      <c r="AB253" s="352" t="n">
        <v>60</v>
      </c>
      <c r="AC253" s="352" t="n">
        <v>60</v>
      </c>
      <c r="AD253" s="352" t="n">
        <v>60</v>
      </c>
      <c r="AE253" s="352" t="n">
        <v>60</v>
      </c>
      <c r="AF253" s="352" t="n">
        <v>60</v>
      </c>
      <c r="AG253" s="352" t="n">
        <v>60</v>
      </c>
      <c r="AH253" s="352" t="n">
        <v>60</v>
      </c>
      <c r="AI253" s="352" t="n">
        <v>60</v>
      </c>
      <c r="AJ253" s="352" t="n">
        <v>60</v>
      </c>
      <c r="AK253" s="352" t="n">
        <v>60</v>
      </c>
      <c r="AL253" s="352" t="n">
        <v>60</v>
      </c>
      <c r="AM253" s="352" t="n">
        <v>60</v>
      </c>
      <c r="AN253" s="352" t="n">
        <v>60</v>
      </c>
      <c r="AO253" s="352" t="n">
        <v>60</v>
      </c>
      <c r="AP253" s="352" t="n">
        <v>60</v>
      </c>
      <c r="AQ253" s="352" t="n">
        <v>60</v>
      </c>
      <c r="AR253" s="352" t="n">
        <v>60</v>
      </c>
      <c r="AS253" s="352" t="n">
        <v>60</v>
      </c>
      <c r="AT253" s="352" t="n">
        <v>60</v>
      </c>
      <c r="AU253" s="352" t="n">
        <v>60</v>
      </c>
      <c r="AV253" s="352" t="n">
        <v>60</v>
      </c>
      <c r="AW253" s="352">
        <f>IF(SUM(R253:AV253)=0,"",SUM(R253:AV253))</f>
        <v/>
      </c>
      <c r="AX253" s="431">
        <f>IFERROR(AW253*O253/1000,"")</f>
        <v/>
      </c>
      <c r="AY253" s="431">
        <f>IFERROR(ROUND(AW253*P253/10000,3),"")</f>
        <v/>
      </c>
      <c r="AZ253" s="359" t="n"/>
      <c r="BE253" s="331">
        <f>AZ253*AW253</f>
        <v/>
      </c>
      <c r="BF253" s="331">
        <f>BA253*AW253</f>
        <v/>
      </c>
      <c r="BG253" s="331">
        <f>BB253*AW253</f>
        <v/>
      </c>
      <c r="BH253" s="331">
        <f>BC253*AW253</f>
        <v/>
      </c>
      <c r="BJ253" s="356">
        <f t="array" ref="BJ253:BM253">_xlfn.LET(_xlpm.data,$R253:$AV253,_xlpm.starts,{1,8,16,23},_xlpm.lengths,{7,7,8,9},_xlpm.arr,_xlfn.MAP(_xlpm.starts,_xlpm.lengths,_xlfn.LAMBDA(_xlpm.s,_xlpm.l,SUM(INDEX(_xlpm.data,,_xlfn.SEQUENCE(,_xlpm.l,_xlpm.s))))),ROUND(_xlpm.arr*$O253/1000,2))</f>
        <v/>
      </c>
      <c r="BK253" s="331" t="n">
        <v>25.44</v>
      </c>
      <c r="BL253" s="331" t="n">
        <v>29.08</v>
      </c>
      <c r="BM253" s="331" t="n">
        <v>32.71</v>
      </c>
      <c r="BN253" s="362">
        <f>SUM(BJ253:BM253)</f>
        <v/>
      </c>
      <c r="BO253" s="362" t="n">
        <v>0</v>
      </c>
      <c r="BP253" s="362" t="n">
        <v>0</v>
      </c>
      <c r="BQ253" s="362" t="n">
        <v>0</v>
      </c>
      <c r="BR253" s="362" t="n">
        <v>0</v>
      </c>
      <c r="BT253" s="362">
        <f t="array" ref="BT253:BW253">_xlfn.HSTACK(SUM(INDEX($R253:$AV253,1,1):INDEX($R253:$AV253,1,7)),SUM(INDEX($R253:$AV253,1,7):INDEX($R253:$AV253,1,13)),SUM(INDEX($R253:$AV253,1,16):INDEX($R253:$AV253,1,23)),SUM(INDEX($R253:$AV253,1,23):INDEX($R253:$AV253,1,31)))</f>
        <v/>
      </c>
      <c r="BU253" s="362" t="n">
        <v>420</v>
      </c>
      <c r="BV253" s="362" t="n">
        <v>480</v>
      </c>
      <c r="BW253" s="362" t="n">
        <v>540</v>
      </c>
      <c r="BY253" s="362">
        <f>SUM(R253:X253)</f>
        <v/>
      </c>
      <c r="BZ253" s="362">
        <f>SUM(Y253:AE253)</f>
        <v/>
      </c>
      <c r="CA253" s="362">
        <f>SUM(AF253:AM253)</f>
        <v/>
      </c>
      <c r="CB253" s="362">
        <f>SUM(AN253:AV253)</f>
        <v/>
      </c>
      <c r="CD253" s="432" t="inlineStr">
        <is>
          <t>ADA</t>
        </is>
      </c>
      <c r="CE253" s="362">
        <f>ROUND(BY253*$O253/1000,2)</f>
        <v/>
      </c>
      <c r="CF253" s="362">
        <f>ROUND(BZ253*$O253/1000,2)</f>
        <v/>
      </c>
      <c r="CG253" s="362">
        <f>ROUND(CA253*$O253/1000,2)</f>
        <v/>
      </c>
      <c r="CH253" s="362">
        <f>ROUND(CB253*$O253/1000,2)</f>
        <v/>
      </c>
      <c r="CI253" s="362">
        <f>SUM(CE253:CH253)</f>
        <v/>
      </c>
      <c r="CK253" s="362">
        <f>IFERROR(ROUND(BY253*$P253,2),"")</f>
        <v/>
      </c>
      <c r="CL253" s="362">
        <f>IFERROR(ROUND(BZ253*$P253,2),"")</f>
        <v/>
      </c>
      <c r="CM253" s="362">
        <f>IFERROR(ROUND(CA253*$P253,2),"")</f>
        <v/>
      </c>
      <c r="CN253" s="362">
        <f>IFERROR(ROUND(CB253*$P253,2),"")</f>
        <v/>
      </c>
      <c r="CO253" s="362">
        <f>SUM(CK253:CN253)</f>
        <v/>
      </c>
    </row>
    <row r="254" ht="15.6" customHeight="1" s="428">
      <c r="B254" s="344">
        <f>_xlfn.XLOOKUP(G254,销售需求表!A:A,销售需求表!C:C)</f>
        <v/>
      </c>
      <c r="C254" s="345">
        <f>IFERROR(MID(F254,FIND("R",F254)+1,2),"")</f>
        <v/>
      </c>
      <c r="D254" s="368">
        <f>B254&amp;C254&amp;"寸"</f>
        <v/>
      </c>
      <c r="E254" s="346">
        <f>LEFT(REPLACE(G254,1,2,""),FIND("[",REPLACE(G254,1,2,""))-1)&amp;"-"&amp;MID(REPLACE(G254,1,2,""),FIND("[",REPLACE(G254,1,2,""))+1,FIND("]",REPLACE(G254,1,2,""))-FIND("[",REPLACE(G254,1,2,""))-1)</f>
        <v/>
      </c>
      <c r="F254" s="347">
        <f>IFERROR(MID(G254,3,FIND("(",G254)-3)&amp;"-"&amp;SUBSTITUTE(MID(G254,FIND("[",G254)+1,FIND("]",G254)-FIND("[",G254)-1),"Strong Guard ",""),"")</f>
        <v/>
      </c>
      <c r="G254" s="346" t="inlineStr">
        <is>
          <t>ID10.00R20-18PR(149/146J)[CR926]威狮</t>
        </is>
      </c>
      <c r="H254" s="344" t="n">
        <v>1700</v>
      </c>
      <c r="I254" s="348" t="n"/>
      <c r="J254" s="349">
        <f>IFERROR(LEFT(F254,FIND("-",F254))&amp;MID(F254,FIND("PR",F254,FIND("-",F254))+3,LEN(F254)),F254)</f>
        <v/>
      </c>
      <c r="K254" s="352">
        <f>_xlfn.XLOOKUP(F254,投产规格!E:E,投产规格!D:D,"未投产")</f>
        <v/>
      </c>
      <c r="L254" s="352">
        <f>IFERROR(_xlfn.XLOOKUP(F254,硫化工艺!B:B,硫化工艺!C:C),"")</f>
        <v/>
      </c>
      <c r="M254" s="430">
        <f>IF(L254="","",L254/(L254+$L$1/60))</f>
        <v/>
      </c>
      <c r="N254" s="352">
        <f>C254&amp;"全钢"</f>
        <v/>
      </c>
      <c r="O254" s="352">
        <f>IFERROR(_xlfn.XLOOKUP(F254,轮胎重量!J:J,轮胎重量!G:G),"")</f>
        <v/>
      </c>
      <c r="P254" s="352">
        <f>IFERROR(_xlfn.XLOOKUP(G254,硫化工艺!I:I,硫化工艺!J:J),"")</f>
        <v/>
      </c>
      <c r="Q254" s="352">
        <f>IFERROR(ROUND(1440/L254*(I254)*M254,0),"")</f>
        <v/>
      </c>
      <c r="R254" s="352" t="n"/>
      <c r="S254" s="352" t="n"/>
      <c r="T254" s="352" t="n"/>
      <c r="U254" s="352" t="n"/>
      <c r="V254" s="352" t="n"/>
      <c r="W254" s="352" t="n"/>
      <c r="X254" s="352" t="n">
        <v>60</v>
      </c>
      <c r="Y254" s="352" t="n">
        <v>60</v>
      </c>
      <c r="Z254" s="352" t="n">
        <v>60</v>
      </c>
      <c r="AA254" s="352" t="n">
        <v>60</v>
      </c>
      <c r="AB254" s="352" t="n">
        <v>60</v>
      </c>
      <c r="AC254" s="352" t="n">
        <v>60</v>
      </c>
      <c r="AD254" s="352" t="n">
        <v>60</v>
      </c>
      <c r="AE254" s="352" t="n">
        <v>60</v>
      </c>
      <c r="AF254" s="352" t="n">
        <v>60</v>
      </c>
      <c r="AG254" s="352" t="n">
        <v>60</v>
      </c>
      <c r="AH254" s="352" t="n">
        <v>60</v>
      </c>
      <c r="AI254" s="352" t="n">
        <v>60</v>
      </c>
      <c r="AJ254" s="352" t="n">
        <v>60</v>
      </c>
      <c r="AK254" s="352" t="n">
        <v>60</v>
      </c>
      <c r="AL254" s="352" t="n">
        <v>60</v>
      </c>
      <c r="AM254" s="352" t="n">
        <v>60</v>
      </c>
      <c r="AN254" s="352" t="n">
        <v>60</v>
      </c>
      <c r="AO254" s="352" t="n">
        <v>60</v>
      </c>
      <c r="AP254" s="352" t="n">
        <v>60</v>
      </c>
      <c r="AQ254" s="352" t="n">
        <v>60</v>
      </c>
      <c r="AR254" s="352" t="n">
        <v>60</v>
      </c>
      <c r="AS254" s="352" t="n">
        <v>60</v>
      </c>
      <c r="AT254" s="352" t="n">
        <v>60</v>
      </c>
      <c r="AU254" s="352" t="n">
        <v>60</v>
      </c>
      <c r="AV254" s="352" t="n">
        <v>60</v>
      </c>
      <c r="AW254" s="352">
        <f>IF(SUM(R254:AV254)=0,"",SUM(R254:AV254))</f>
        <v/>
      </c>
      <c r="AX254" s="431">
        <f>IFERROR(AW254*O254/1000,"")</f>
        <v/>
      </c>
      <c r="AY254" s="431">
        <f>IFERROR(ROUND(AW254*P254/10000,3),"")</f>
        <v/>
      </c>
      <c r="AZ254" s="359" t="n"/>
      <c r="BE254" s="331">
        <f>AZ254*AW254</f>
        <v/>
      </c>
      <c r="BF254" s="331">
        <f>BA254*AW254</f>
        <v/>
      </c>
      <c r="BG254" s="331">
        <f>BB254*AW254</f>
        <v/>
      </c>
      <c r="BH254" s="331">
        <f>BC254*AW254</f>
        <v/>
      </c>
      <c r="BJ254" s="356">
        <f t="array" ref="BJ254:BM254">_xlfn.LET(_xlpm.data,$R254:$AV254,_xlpm.starts,{1,8,16,23},_xlpm.lengths,{7,7,8,9},_xlpm.arr,_xlfn.MAP(_xlpm.starts,_xlpm.lengths,_xlfn.LAMBDA(_xlpm.s,_xlpm.l,SUM(INDEX(_xlpm.data,,_xlfn.SEQUENCE(,_xlpm.l,_xlpm.s))))),ROUND(_xlpm.arr*$O254/1000,2))</f>
        <v/>
      </c>
      <c r="BK254" s="331" t="n">
        <v>25.44</v>
      </c>
      <c r="BL254" s="331" t="n">
        <v>29.08</v>
      </c>
      <c r="BM254" s="331" t="n">
        <v>32.71</v>
      </c>
      <c r="BN254" s="362">
        <f>SUM(BJ254:BM254)</f>
        <v/>
      </c>
      <c r="BO254" s="362" t="n">
        <v>0</v>
      </c>
      <c r="BP254" s="362" t="n">
        <v>0</v>
      </c>
      <c r="BQ254" s="362" t="n">
        <v>0</v>
      </c>
      <c r="BR254" s="362" t="n">
        <v>0</v>
      </c>
      <c r="BT254" s="362">
        <f t="array" ref="BT254:BW254">_xlfn.HSTACK(SUM(INDEX($R254:$AV254,1,1):INDEX($R254:$AV254,1,7)),SUM(INDEX($R254:$AV254,1,7):INDEX($R254:$AV254,1,13)),SUM(INDEX($R254:$AV254,1,16):INDEX($R254:$AV254,1,23)),SUM(INDEX($R254:$AV254,1,23):INDEX($R254:$AV254,1,31)))</f>
        <v/>
      </c>
      <c r="BU254" s="362" t="n">
        <v>420</v>
      </c>
      <c r="BV254" s="362" t="n">
        <v>480</v>
      </c>
      <c r="BW254" s="362" t="n">
        <v>540</v>
      </c>
      <c r="BY254" s="362">
        <f>SUM(R254:X254)</f>
        <v/>
      </c>
      <c r="BZ254" s="362">
        <f>SUM(Y254:AE254)</f>
        <v/>
      </c>
      <c r="CA254" s="362">
        <f>SUM(AF254:AM254)</f>
        <v/>
      </c>
      <c r="CB254" s="362">
        <f>SUM(AN254:AV254)</f>
        <v/>
      </c>
      <c r="CD254" s="432" t="inlineStr">
        <is>
          <t>ADA</t>
        </is>
      </c>
      <c r="CE254" s="362">
        <f>ROUND(BY254*$O254/1000,2)</f>
        <v/>
      </c>
      <c r="CF254" s="362">
        <f>ROUND(BZ254*$O254/1000,2)</f>
        <v/>
      </c>
      <c r="CG254" s="362">
        <f>ROUND(CA254*$O254/1000,2)</f>
        <v/>
      </c>
      <c r="CH254" s="362">
        <f>ROUND(CB254*$O254/1000,2)</f>
        <v/>
      </c>
      <c r="CI254" s="362">
        <f>SUM(CE254:CH254)</f>
        <v/>
      </c>
      <c r="CK254" s="362">
        <f>IFERROR(ROUND(BY254*$P254,2),"")</f>
        <v/>
      </c>
      <c r="CL254" s="362">
        <f>IFERROR(ROUND(BZ254*$P254,2),"")</f>
        <v/>
      </c>
      <c r="CM254" s="362">
        <f>IFERROR(ROUND(CA254*$P254,2),"")</f>
        <v/>
      </c>
      <c r="CN254" s="362">
        <f>IFERROR(ROUND(CB254*$P254,2),"")</f>
        <v/>
      </c>
      <c r="CO254" s="362">
        <f>SUM(CK254:CN254)</f>
        <v/>
      </c>
    </row>
    <row r="255" ht="15.6" customHeight="1" s="428">
      <c r="B255" s="344">
        <f>_xlfn.XLOOKUP(G255,销售需求表!A:A,销售需求表!C:C)</f>
        <v/>
      </c>
      <c r="C255" s="345">
        <f>IFERROR(MID(F255,FIND("R",F255)+1,2),"")</f>
        <v/>
      </c>
      <c r="D255" s="368">
        <f>B255&amp;C255&amp;"寸"</f>
        <v/>
      </c>
      <c r="E255" s="346">
        <f>LEFT(REPLACE(G255,1,2,""),FIND("[",REPLACE(G255,1,2,""))-1)&amp;"-"&amp;MID(REPLACE(G255,1,2,""),FIND("[",REPLACE(G255,1,2,""))+1,FIND("]",REPLACE(G255,1,2,""))-FIND("[",REPLACE(G255,1,2,""))-1)</f>
        <v/>
      </c>
      <c r="F255" s="347">
        <f>IFERROR(MID(G255,3,FIND("(",G255)-3)&amp;"-"&amp;SUBSTITUTE(MID(G255,FIND("[",G255)+1,FIND("]",G255)-FIND("[",G255)-1),"Strong Guard ",""),"")</f>
        <v/>
      </c>
      <c r="G255" s="346" t="inlineStr">
        <is>
          <t>ID10.00R20-18PR(149/146J)[EZ369]雅度</t>
        </is>
      </c>
      <c r="H255" s="344" t="n">
        <v>300</v>
      </c>
      <c r="I255" s="348" t="n"/>
      <c r="J255" s="349">
        <f>IFERROR(LEFT(F255,FIND("-",F255))&amp;MID(F255,FIND("PR",F255,FIND("-",F255))+3,LEN(F255)),F255)</f>
        <v/>
      </c>
      <c r="K255" s="352">
        <f>_xlfn.XLOOKUP(F255,投产规格!E:E,投产规格!D:D,"未投产")</f>
        <v/>
      </c>
      <c r="L255" s="352">
        <f>IFERROR(_xlfn.XLOOKUP(F255,硫化工艺!B:B,硫化工艺!C:C),"")</f>
        <v/>
      </c>
      <c r="M255" s="430">
        <f>IF(L255="","",L255/(L255+$L$1/60))</f>
        <v/>
      </c>
      <c r="N255" s="352">
        <f>C255&amp;"全钢"</f>
        <v/>
      </c>
      <c r="O255" s="352">
        <f>IFERROR(_xlfn.XLOOKUP(F255,轮胎重量!J:J,轮胎重量!G:G),"")</f>
        <v/>
      </c>
      <c r="P255" s="358">
        <f>O255*13.9</f>
        <v/>
      </c>
      <c r="Q255" s="352">
        <f>IFERROR(ROUND(1440/L255*(I255)*M255,0),"")</f>
        <v/>
      </c>
      <c r="R255" s="352" t="n"/>
      <c r="S255" s="352" t="n"/>
      <c r="T255" s="352" t="n"/>
      <c r="U255" s="352" t="n"/>
      <c r="V255" s="352" t="n"/>
      <c r="W255" s="352" t="n"/>
      <c r="X255" s="352" t="n"/>
      <c r="Y255" s="352" t="n"/>
      <c r="Z255" s="352" t="n"/>
      <c r="AA255" s="352" t="n"/>
      <c r="AB255" s="352" t="n"/>
      <c r="AC255" s="352" t="n"/>
      <c r="AD255" s="352" t="n"/>
      <c r="AE255" s="352" t="n"/>
      <c r="AF255" s="352" t="n"/>
      <c r="AG255" s="352" t="n"/>
      <c r="AH255" s="352" t="n"/>
      <c r="AI255" s="352" t="n"/>
      <c r="AJ255" s="352" t="n"/>
      <c r="AK255" s="352" t="n"/>
      <c r="AL255" s="352" t="n"/>
      <c r="AM255" s="352" t="n"/>
      <c r="AN255" s="352" t="n"/>
      <c r="AO255" s="352" t="n"/>
      <c r="AP255" s="352" t="n"/>
      <c r="AQ255" s="352" t="n">
        <v>60</v>
      </c>
      <c r="AR255" s="352" t="n">
        <v>60</v>
      </c>
      <c r="AS255" s="352" t="n">
        <v>60</v>
      </c>
      <c r="AT255" s="352" t="n">
        <v>60</v>
      </c>
      <c r="AU255" s="352" t="n">
        <v>60</v>
      </c>
      <c r="AV255" s="352" t="n">
        <v>60</v>
      </c>
      <c r="AW255" s="352">
        <f>IF(SUM(R255:AV255)=0,"",SUM(R255:AV255))</f>
        <v/>
      </c>
      <c r="AX255" s="431">
        <f>IFERROR(AW255*O255/1000,"")</f>
        <v/>
      </c>
      <c r="AY255" s="431">
        <f>IFERROR(ROUND(AW255*P255/10000,3),"")</f>
        <v/>
      </c>
      <c r="AZ255" s="359" t="n"/>
      <c r="BE255" s="331">
        <f>AZ255*AW255</f>
        <v/>
      </c>
      <c r="BF255" s="331">
        <f>BA255*AW255</f>
        <v/>
      </c>
      <c r="BG255" s="331">
        <f>BB255*AW255</f>
        <v/>
      </c>
      <c r="BH255" s="331">
        <f>BC255*AW255</f>
        <v/>
      </c>
      <c r="BJ255" s="356">
        <f t="array" ref="BJ255:BM255">_xlfn.LET(_xlpm.data,$R255:$AV255,_xlpm.starts,{1,8,16,23},_xlpm.lengths,{7,7,8,9},_xlpm.arr,_xlfn.MAP(_xlpm.starts,_xlpm.lengths,_xlfn.LAMBDA(_xlpm.s,_xlpm.l,SUM(INDEX(_xlpm.data,,_xlfn.SEQUENCE(,_xlpm.l,_xlpm.s))))),ROUND(_xlpm.arr*$O255/1000,2))</f>
        <v/>
      </c>
      <c r="BK255" s="331" t="n">
        <v>0</v>
      </c>
      <c r="BL255" s="331" t="n">
        <v>0</v>
      </c>
      <c r="BM255" s="331" t="n">
        <v>22.61</v>
      </c>
      <c r="BN255" s="362">
        <f>SUM(BJ255:BM255)</f>
        <v/>
      </c>
      <c r="BO255" s="362" t="n">
        <v>0</v>
      </c>
      <c r="BP255" s="362" t="n">
        <v>0</v>
      </c>
      <c r="BQ255" s="362" t="n">
        <v>36.64</v>
      </c>
      <c r="BR255" s="362" t="n">
        <v>65.95</v>
      </c>
      <c r="BT255" s="362">
        <f t="array" ref="BT255:BW255">_xlfn.HSTACK(SUM(INDEX($R255:$AV255,1,1):INDEX($R255:$AV255,1,7)),SUM(INDEX($R255:$AV255,1,7):INDEX($R255:$AV255,1,13)),SUM(INDEX($R255:$AV255,1,16):INDEX($R255:$AV255,1,23)),SUM(INDEX($R255:$AV255,1,23):INDEX($R255:$AV255,1,31)))</f>
        <v/>
      </c>
      <c r="BU255" s="362" t="n">
        <v>0</v>
      </c>
      <c r="BV255" s="362" t="n">
        <v>0</v>
      </c>
      <c r="BW255" s="362" t="n">
        <v>360</v>
      </c>
      <c r="BY255" s="362">
        <f>SUM(R255:X255)</f>
        <v/>
      </c>
      <c r="BZ255" s="362">
        <f>SUM(Y255:AE255)</f>
        <v/>
      </c>
      <c r="CA255" s="362">
        <f>SUM(AF255:AM255)</f>
        <v/>
      </c>
      <c r="CB255" s="362">
        <f>SUM(AN255:AV255)</f>
        <v/>
      </c>
      <c r="CD255" s="432" t="inlineStr">
        <is>
          <t>ADA</t>
        </is>
      </c>
      <c r="CE255" s="362">
        <f>ROUND(BY255*$O255/1000,2)</f>
        <v/>
      </c>
      <c r="CF255" s="362">
        <f>ROUND(BZ255*$O255/1000,2)</f>
        <v/>
      </c>
      <c r="CG255" s="362">
        <f>ROUND(CA255*$O255/1000,2)</f>
        <v/>
      </c>
      <c r="CH255" s="362">
        <f>ROUND(CB255*$O255/1000,2)</f>
        <v/>
      </c>
      <c r="CI255" s="362">
        <f>SUM(CE255:CH255)</f>
        <v/>
      </c>
      <c r="CK255" s="362">
        <f>IFERROR(ROUND(BY255*$P255,2),"")</f>
        <v/>
      </c>
      <c r="CL255" s="362">
        <f>IFERROR(ROUND(BZ255*$P255,2),"")</f>
        <v/>
      </c>
      <c r="CM255" s="362">
        <f>IFERROR(ROUND(CA255*$P255,2),"")</f>
        <v/>
      </c>
      <c r="CN255" s="362">
        <f>IFERROR(ROUND(CB255*$P255,2),"")</f>
        <v/>
      </c>
      <c r="CO255" s="362">
        <f>SUM(CK255:CN255)</f>
        <v/>
      </c>
    </row>
    <row r="256" ht="15.6" customHeight="1" s="428">
      <c r="B256" s="344">
        <f>_xlfn.XLOOKUP(G256,销售需求表!A:A,销售需求表!C:C)</f>
        <v/>
      </c>
      <c r="C256" s="345">
        <f>IFERROR(MID(F256,FIND("R",F256)+1,2),"")</f>
        <v/>
      </c>
      <c r="D256" s="368">
        <f>B256&amp;C256&amp;"寸"</f>
        <v/>
      </c>
      <c r="E256" s="346">
        <f>LEFT(REPLACE(G256,1,2,""),FIND("[",REPLACE(G256,1,2,""))-1)&amp;"-"&amp;MID(REPLACE(G256,1,2,""),FIND("[",REPLACE(G256,1,2,""))+1,FIND("]",REPLACE(G256,1,2,""))-FIND("[",REPLACE(G256,1,2,""))-1)</f>
        <v/>
      </c>
      <c r="F256" s="347">
        <f>IFERROR(MID(G256,3,FIND("(",G256)-3)&amp;"-"&amp;SUBSTITUTE(MID(G256,FIND("[",G256)+1,FIND("]",G256)-FIND("[",G256)-1),"Strong Guard ",""),"")</f>
        <v/>
      </c>
      <c r="G256" s="346" t="inlineStr">
        <is>
          <t>ID10.00R20-18PR(149/146J)[MT200]UNITED</t>
        </is>
      </c>
      <c r="H256" s="344" t="n">
        <v>820</v>
      </c>
      <c r="I256" s="348" t="n"/>
      <c r="J256" s="349">
        <f>IFERROR(LEFT(F256,FIND("-",F256))&amp;MID(F256,FIND("PR",F256,FIND("-",F256))+3,LEN(F256)),F256)</f>
        <v/>
      </c>
      <c r="K256" s="352">
        <f>_xlfn.XLOOKUP(F256,投产规格!E:E,投产规格!D:D,"未投产")</f>
        <v/>
      </c>
      <c r="L256" s="352">
        <f>IFERROR(_xlfn.XLOOKUP(F256,硫化工艺!B:B,硫化工艺!C:C),"")</f>
        <v/>
      </c>
      <c r="M256" s="430">
        <f>IF(L256="","",L256/(L256+$L$1/60))</f>
        <v/>
      </c>
      <c r="N256" s="352">
        <f>C256&amp;"全钢"</f>
        <v/>
      </c>
      <c r="O256" s="352">
        <f>IFERROR(_xlfn.XLOOKUP(F256,轮胎重量!J:J,轮胎重量!G:G),"")</f>
        <v/>
      </c>
      <c r="P256" s="358">
        <f>O256*13.9</f>
        <v/>
      </c>
      <c r="Q256" s="352">
        <f>IFERROR(ROUND(1440/L256*(I256)*M256,0),"")</f>
        <v/>
      </c>
      <c r="R256" s="352" t="n"/>
      <c r="S256" s="352" t="n"/>
      <c r="T256" s="352" t="n"/>
      <c r="U256" s="352" t="n"/>
      <c r="V256" s="352" t="n"/>
      <c r="W256" s="352" t="n"/>
      <c r="X256" s="352" t="n"/>
      <c r="Y256" s="352" t="n"/>
      <c r="Z256" s="352" t="n"/>
      <c r="AA256" s="352" t="n"/>
      <c r="AB256" s="352" t="n"/>
      <c r="AC256" s="352" t="n"/>
      <c r="AD256" s="352" t="n">
        <v>60</v>
      </c>
      <c r="AE256" s="352" t="n">
        <v>60</v>
      </c>
      <c r="AF256" s="352" t="n">
        <v>60</v>
      </c>
      <c r="AG256" s="352" t="n">
        <v>60</v>
      </c>
      <c r="AH256" s="352" t="n">
        <v>60</v>
      </c>
      <c r="AI256" s="352" t="n">
        <v>60</v>
      </c>
      <c r="AJ256" s="352" t="n">
        <v>60</v>
      </c>
      <c r="AK256" s="352" t="n">
        <v>60</v>
      </c>
      <c r="AL256" s="352" t="n">
        <v>60</v>
      </c>
      <c r="AM256" s="352" t="n">
        <v>60</v>
      </c>
      <c r="AN256" s="352" t="n">
        <v>60</v>
      </c>
      <c r="AO256" s="352" t="n"/>
      <c r="AP256" s="352" t="n"/>
      <c r="AQ256" s="352" t="n"/>
      <c r="AR256" s="352" t="n"/>
      <c r="AS256" s="352" t="n"/>
      <c r="AT256" s="352" t="n"/>
      <c r="AU256" s="352" t="n"/>
      <c r="AV256" s="352" t="n"/>
      <c r="AW256" s="352">
        <f>IF(SUM(R256:AV256)=0,"",SUM(R256:AV256))</f>
        <v/>
      </c>
      <c r="AX256" s="431">
        <f>IFERROR(AW256*O256/1000,"")</f>
        <v/>
      </c>
      <c r="AY256" s="431">
        <f>IFERROR(ROUND(AW256*P256/10000,3),"")</f>
        <v/>
      </c>
      <c r="AZ256" s="359" t="n"/>
      <c r="BE256" s="331">
        <f>AZ256*AW256</f>
        <v/>
      </c>
      <c r="BF256" s="331">
        <f>BA256*AW256</f>
        <v/>
      </c>
      <c r="BG256" s="331">
        <f>BB256*AW256</f>
        <v/>
      </c>
      <c r="BH256" s="331">
        <f>BC256*AW256</f>
        <v/>
      </c>
      <c r="BJ256" s="356">
        <f t="array" ref="BJ256:BM256">_xlfn.LET(_xlpm.data,$R256:$AV256,_xlpm.starts,{1,8,16,23},_xlpm.lengths,{7,7,8,9},_xlpm.arr,_xlfn.MAP(_xlpm.starts,_xlpm.lengths,_xlfn.LAMBDA(_xlpm.s,_xlpm.l,SUM(INDEX(_xlpm.data,,_xlfn.SEQUENCE(,_xlpm.l,_xlpm.s))))),ROUND(_xlpm.arr*$O256/1000,2))</f>
        <v/>
      </c>
      <c r="BK256" s="331" t="n">
        <v>7.2</v>
      </c>
      <c r="BL256" s="331" t="n">
        <v>28.8</v>
      </c>
      <c r="BM256" s="331" t="n">
        <v>3.6</v>
      </c>
      <c r="BN256" s="362">
        <f>SUM(BJ256:BM256)</f>
        <v/>
      </c>
      <c r="BO256" s="362" t="n">
        <v>23.65</v>
      </c>
      <c r="BP256" s="362" t="n">
        <v>3.38</v>
      </c>
      <c r="BQ256" s="362" t="n">
        <v>0</v>
      </c>
      <c r="BR256" s="362" t="n">
        <v>0</v>
      </c>
      <c r="BT256" s="362">
        <f t="array" ref="BT256:BW256">_xlfn.HSTACK(SUM(INDEX($R256:$AV256,1,1):INDEX($R256:$AV256,1,7)),SUM(INDEX($R256:$AV256,1,7):INDEX($R256:$AV256,1,13)),SUM(INDEX($R256:$AV256,1,16):INDEX($R256:$AV256,1,23)),SUM(INDEX($R256:$AV256,1,23):INDEX($R256:$AV256,1,31)))</f>
        <v/>
      </c>
      <c r="BU256" s="362" t="n">
        <v>60</v>
      </c>
      <c r="BV256" s="362" t="n">
        <v>480</v>
      </c>
      <c r="BW256" s="362" t="n">
        <v>60</v>
      </c>
      <c r="BY256" s="362">
        <f>SUM(R256:X256)</f>
        <v/>
      </c>
      <c r="BZ256" s="362">
        <f>SUM(Y256:AE256)</f>
        <v/>
      </c>
      <c r="CA256" s="362">
        <f>SUM(AF256:AM256)</f>
        <v/>
      </c>
      <c r="CB256" s="362">
        <f>SUM(AN256:AV256)</f>
        <v/>
      </c>
      <c r="CD256" s="432" t="inlineStr">
        <is>
          <t>ADA</t>
        </is>
      </c>
      <c r="CE256" s="362">
        <f>ROUND(BY256*$O256/1000,2)</f>
        <v/>
      </c>
      <c r="CF256" s="362">
        <f>ROUND(BZ256*$O256/1000,2)</f>
        <v/>
      </c>
      <c r="CG256" s="362">
        <f>ROUND(CA256*$O256/1000,2)</f>
        <v/>
      </c>
      <c r="CH256" s="362">
        <f>ROUND(CB256*$O256/1000,2)</f>
        <v/>
      </c>
      <c r="CI256" s="362">
        <f>SUM(CE256:CH256)</f>
        <v/>
      </c>
      <c r="CK256" s="362">
        <f>IFERROR(ROUND(BY256*$P256,2),"")</f>
        <v/>
      </c>
      <c r="CL256" s="362">
        <f>IFERROR(ROUND(BZ256*$P256,2),"")</f>
        <v/>
      </c>
      <c r="CM256" s="362">
        <f>IFERROR(ROUND(CA256*$P256,2),"")</f>
        <v/>
      </c>
      <c r="CN256" s="362">
        <f>IFERROR(ROUND(CB256*$P256,2),"")</f>
        <v/>
      </c>
      <c r="CO256" s="362">
        <f>SUM(CK256:CN256)</f>
        <v/>
      </c>
    </row>
    <row r="257" ht="15.6" customHeight="1" s="428">
      <c r="B257" s="344">
        <f>_xlfn.XLOOKUP(G257,销售需求表!A:A,销售需求表!C:C)</f>
        <v/>
      </c>
      <c r="C257" s="345">
        <f>IFERROR(MID(F257,FIND("R",F257)+1,2),"")</f>
        <v/>
      </c>
      <c r="D257" s="368">
        <f>B257&amp;C257&amp;"寸"</f>
        <v/>
      </c>
      <c r="E257" s="346">
        <f>LEFT(REPLACE(G257,1,2,""),FIND("[",REPLACE(G257,1,2,""))-1)&amp;"-"&amp;MID(REPLACE(G257,1,2,""),FIND("[",REPLACE(G257,1,2,""))+1,FIND("]",REPLACE(G257,1,2,""))-FIND("[",REPLACE(G257,1,2,""))-1)</f>
        <v/>
      </c>
      <c r="F257" s="347">
        <f>IFERROR(MID(G257,3,FIND("(",G257)-3)&amp;"-"&amp;SUBSTITUTE(MID(G257,FIND("[",G257)+1,FIND("]",G257)-FIND("[",G257)-1),"Strong Guard ",""),"")</f>
        <v/>
      </c>
      <c r="G257" s="346" t="inlineStr">
        <is>
          <t>ID10.00R20-18PR(149/146J)[TZ202]TIANLI</t>
        </is>
      </c>
      <c r="H257" s="344" t="n">
        <v>2700</v>
      </c>
      <c r="I257" s="348" t="n">
        <v>2</v>
      </c>
      <c r="J257" s="349">
        <f>IFERROR(LEFT(F257,FIND("-",F257))&amp;MID(F257,FIND("PR",F257,FIND("-",F257))+3,LEN(F257)),F257)</f>
        <v/>
      </c>
      <c r="K257" s="352">
        <f>_xlfn.XLOOKUP(F257,投产规格!E:E,投产规格!D:D,"未投产")</f>
        <v/>
      </c>
      <c r="L257" s="352">
        <f>IFERROR(_xlfn.XLOOKUP(F257,硫化工艺!B:B,硫化工艺!C:C),"")</f>
        <v/>
      </c>
      <c r="M257" s="430">
        <f>IF(L257="","",L257/(L257+$L$1/60))</f>
        <v/>
      </c>
      <c r="N257" s="352">
        <f>C257&amp;"全钢"</f>
        <v/>
      </c>
      <c r="O257" s="352">
        <f>IFERROR(_xlfn.XLOOKUP(F257,轮胎重量!J:J,轮胎重量!G:G),"")</f>
        <v/>
      </c>
      <c r="P257" s="352">
        <f>IFERROR(_xlfn.XLOOKUP(G257,硫化工艺!I:I,硫化工艺!J:J),"")</f>
        <v/>
      </c>
      <c r="Q257" s="352">
        <f>IFERROR(ROUND(1440/L257*(I257)*M257,0),"")</f>
        <v/>
      </c>
      <c r="R257" s="352" t="n"/>
      <c r="S257" s="352" t="n"/>
      <c r="T257" s="352" t="n"/>
      <c r="U257" s="352" t="n"/>
      <c r="V257" s="352" t="n"/>
      <c r="W257" s="352" t="n"/>
      <c r="X257" s="352" t="n"/>
      <c r="Y257" s="352" t="n"/>
      <c r="Z257" s="352" t="n"/>
      <c r="AA257" s="352" t="n"/>
      <c r="AB257" s="352" t="n"/>
      <c r="AC257" s="352" t="n"/>
      <c r="AD257" s="352" t="n"/>
      <c r="AE257" s="352" t="n"/>
      <c r="AF257" s="352" t="n"/>
      <c r="AG257" s="352" t="n"/>
      <c r="AH257" s="352" t="n"/>
      <c r="AI257" s="352" t="n"/>
      <c r="AJ257" s="352" t="n"/>
      <c r="AK257" s="352" t="n"/>
      <c r="AL257" s="352" t="n"/>
      <c r="AM257" s="352" t="n"/>
      <c r="AN257" s="352" t="n"/>
      <c r="AO257" s="352" t="n"/>
      <c r="AP257" s="352" t="n">
        <v>120</v>
      </c>
      <c r="AQ257" s="352" t="n">
        <v>120</v>
      </c>
      <c r="AR257" s="352" t="n">
        <v>120</v>
      </c>
      <c r="AS257" s="352" t="n">
        <v>120</v>
      </c>
      <c r="AT257" s="352" t="n">
        <v>120</v>
      </c>
      <c r="AU257" s="352" t="n">
        <v>120</v>
      </c>
      <c r="AV257" s="352" t="n">
        <v>120</v>
      </c>
      <c r="AW257" s="352">
        <f>IF(SUM(R257:AV257)=0,"",SUM(R257:AV257))</f>
        <v/>
      </c>
      <c r="AX257" s="431">
        <f>IFERROR(AW257*O257/1000,"")</f>
        <v/>
      </c>
      <c r="AY257" s="431">
        <f>IFERROR(ROUND(AW257*P257/10000,3),"")</f>
        <v/>
      </c>
      <c r="AZ257" s="354" t="n">
        <v>587.8200000000001</v>
      </c>
      <c r="BA257" s="355" t="n">
        <v>35.89</v>
      </c>
      <c r="BB257" s="355" t="n">
        <v>57.47</v>
      </c>
      <c r="BC257" s="355" t="n">
        <v>60.86</v>
      </c>
      <c r="BE257" s="331">
        <f>AZ257*AW257</f>
        <v/>
      </c>
      <c r="BF257" s="331">
        <f>BA257*AW257</f>
        <v/>
      </c>
      <c r="BG257" s="331">
        <f>BB257*AW257</f>
        <v/>
      </c>
      <c r="BH257" s="331">
        <f>BC257*AW257</f>
        <v/>
      </c>
      <c r="BJ257" s="356">
        <f t="array" ref="BJ257:BM257">_xlfn.LET(_xlpm.data,$R257:$AV257,_xlpm.starts,{1,8,16,23},_xlpm.lengths,{7,7,8,9},_xlpm.arr,_xlfn.MAP(_xlpm.starts,_xlpm.lengths,_xlfn.LAMBDA(_xlpm.s,_xlpm.l,SUM(INDEX(_xlpm.data,,_xlfn.SEQUENCE(,_xlpm.l,_xlpm.s))))),ROUND(_xlpm.arr*$O257/1000,2))</f>
        <v/>
      </c>
      <c r="BK257" s="331" t="n">
        <v>0</v>
      </c>
      <c r="BL257" s="331" t="n">
        <v>0</v>
      </c>
      <c r="BM257" s="331" t="n">
        <v>50.88</v>
      </c>
      <c r="BN257" s="362">
        <f>SUM(BJ257:BM257)</f>
        <v/>
      </c>
      <c r="BO257" s="362" t="n">
        <v>25.95</v>
      </c>
      <c r="BP257" s="362" t="n">
        <v>25.95</v>
      </c>
      <c r="BQ257" s="362" t="n">
        <v>29.65</v>
      </c>
      <c r="BR257" s="362" t="n">
        <v>33.36</v>
      </c>
      <c r="BT257" s="362">
        <f t="array" ref="BT257:BW257">_xlfn.HSTACK(SUM(INDEX($R257:$AV257,1,1):INDEX($R257:$AV257,1,7)),SUM(INDEX($R257:$AV257,1,7):INDEX($R257:$AV257,1,13)),SUM(INDEX($R257:$AV257,1,16):INDEX($R257:$AV257,1,23)),SUM(INDEX($R257:$AV257,1,23):INDEX($R257:$AV257,1,31)))</f>
        <v/>
      </c>
      <c r="BU257" s="362" t="n">
        <v>0</v>
      </c>
      <c r="BV257" s="362" t="n">
        <v>0</v>
      </c>
      <c r="BW257" s="362" t="n">
        <v>840</v>
      </c>
      <c r="BY257" s="362">
        <f>SUM(R257:X257)</f>
        <v/>
      </c>
      <c r="BZ257" s="362">
        <f>SUM(Y257:AE257)</f>
        <v/>
      </c>
      <c r="CA257" s="362">
        <f>SUM(AF257:AM257)</f>
        <v/>
      </c>
      <c r="CB257" s="362">
        <f>SUM(AN257:AV257)</f>
        <v/>
      </c>
      <c r="CD257" s="432" t="inlineStr">
        <is>
          <t>ADA</t>
        </is>
      </c>
      <c r="CE257" s="362">
        <f>ROUND(BY257*$O257/1000,2)</f>
        <v/>
      </c>
      <c r="CF257" s="362">
        <f>ROUND(BZ257*$O257/1000,2)</f>
        <v/>
      </c>
      <c r="CG257" s="362">
        <f>ROUND(CA257*$O257/1000,2)</f>
        <v/>
      </c>
      <c r="CH257" s="362">
        <f>ROUND(CB257*$O257/1000,2)</f>
        <v/>
      </c>
      <c r="CI257" s="362">
        <f>SUM(CE257:CH257)</f>
        <v/>
      </c>
      <c r="CK257" s="362">
        <f>IFERROR(ROUND(BY257*$P257,2),"")</f>
        <v/>
      </c>
      <c r="CL257" s="362">
        <f>IFERROR(ROUND(BZ257*$P257,2),"")</f>
        <v/>
      </c>
      <c r="CM257" s="362">
        <f>IFERROR(ROUND(CA257*$P257,2),"")</f>
        <v/>
      </c>
      <c r="CN257" s="362">
        <f>IFERROR(ROUND(CB257*$P257,2),"")</f>
        <v/>
      </c>
      <c r="CO257" s="362">
        <f>SUM(CK257:CN257)</f>
        <v/>
      </c>
    </row>
    <row r="258" hidden="1" ht="15.6" customHeight="1" s="428">
      <c r="B258" s="344">
        <f>_xlfn.XLOOKUP(G258,销售需求表!A:A,销售需求表!C:C)</f>
        <v/>
      </c>
      <c r="C258" s="345">
        <f>IFERROR(MID(F258,FIND("R",F258)+1,2),"")</f>
        <v/>
      </c>
      <c r="D258" s="368">
        <f>B258&amp;C258&amp;"寸"</f>
        <v/>
      </c>
      <c r="E258" s="346">
        <f>LEFT(REPLACE(G258,1,2,""),FIND("[",REPLACE(G258,1,2,""))-1)&amp;"-"&amp;MID(REPLACE(G258,1,2,""),FIND("[",REPLACE(G258,1,2,""))+1,FIND("]",REPLACE(G258,1,2,""))-FIND("[",REPLACE(G258,1,2,""))-1)</f>
        <v/>
      </c>
      <c r="F258" s="347">
        <f>IFERROR(MID(G258,3,FIND("(",G258)-3)&amp;"-"&amp;SUBSTITUTE(MID(G258,FIND("[",G258)+1,FIND("]",G258)-FIND("[",G258)-1),"Strong Guard ",""),"")</f>
        <v/>
      </c>
      <c r="G258" s="346" t="inlineStr">
        <is>
          <t>ID10.00R20-18PR(149/146J)[TZ303]TIANLI</t>
        </is>
      </c>
      <c r="H258" s="344" t="n">
        <v>680</v>
      </c>
      <c r="I258" s="348" t="n"/>
      <c r="J258" s="349">
        <f>IFERROR(LEFT(F258,FIND("-",F258))&amp;MID(F258,FIND("PR",F258,FIND("-",F258))+3,LEN(F258)),F258)</f>
        <v/>
      </c>
      <c r="K258" s="352">
        <f>_xlfn.XLOOKUP(F258,投产规格!E:E,投产规格!D:D,"未投产")</f>
        <v/>
      </c>
      <c r="L258" s="352">
        <f>IFERROR(_xlfn.XLOOKUP(F258,硫化工艺!B:B,硫化工艺!C:C),"")</f>
        <v/>
      </c>
      <c r="M258" s="430">
        <f>IF(L258="","",L258/(L258+$L$1/60))</f>
        <v/>
      </c>
      <c r="N258" s="352">
        <f>C258&amp;"全钢"</f>
        <v/>
      </c>
      <c r="O258" s="352">
        <f>IFERROR(_xlfn.XLOOKUP(F258,轮胎重量!J:J,轮胎重量!G:G),"")</f>
        <v/>
      </c>
      <c r="P258" s="352">
        <f>IFERROR(_xlfn.XLOOKUP(G258,硫化工艺!I:I,硫化工艺!J:J),"")</f>
        <v/>
      </c>
      <c r="Q258" s="352">
        <f>IFERROR(ROUND(1440/L258*(I258)*M258,0),"")</f>
        <v/>
      </c>
      <c r="R258" s="352" t="n"/>
      <c r="S258" s="352" t="n"/>
      <c r="T258" s="352" t="n"/>
      <c r="U258" s="352" t="n"/>
      <c r="V258" s="352" t="n"/>
      <c r="W258" s="352" t="n"/>
      <c r="X258" s="352" t="n"/>
      <c r="Y258" s="352" t="n"/>
      <c r="Z258" s="352" t="n"/>
      <c r="AA258" s="352" t="n"/>
      <c r="AB258" s="352" t="n"/>
      <c r="AC258" s="352" t="n"/>
      <c r="AD258" s="352" t="n"/>
      <c r="AE258" s="352" t="n"/>
      <c r="AF258" s="352" t="n"/>
      <c r="AG258" s="352" t="n"/>
      <c r="AH258" s="352" t="n"/>
      <c r="AI258" s="352" t="n"/>
      <c r="AJ258" s="352" t="n"/>
      <c r="AK258" s="352" t="n"/>
      <c r="AL258" s="352" t="n"/>
      <c r="AM258" s="352" t="n"/>
      <c r="AN258" s="352" t="n"/>
      <c r="AO258" s="352" t="n"/>
      <c r="AP258" s="352" t="n"/>
      <c r="AQ258" s="352" t="n"/>
      <c r="AR258" s="352" t="n"/>
      <c r="AS258" s="352" t="n"/>
      <c r="AT258" s="352" t="n"/>
      <c r="AU258" s="352" t="n"/>
      <c r="AV258" s="352" t="n"/>
      <c r="AW258" s="352">
        <f>IF(SUM(R258:AV258)=0,"",SUM(R258:AV258))</f>
        <v/>
      </c>
      <c r="AX258" s="431">
        <f>IFERROR(AW258*O258/1000,"")</f>
        <v/>
      </c>
      <c r="AY258" s="431">
        <f>IFERROR(ROUND(AW258*P258/10000,3),"")</f>
        <v/>
      </c>
      <c r="AZ258" s="354" t="n">
        <v>596.36</v>
      </c>
      <c r="BA258" s="355" t="n">
        <v>38.01</v>
      </c>
      <c r="BB258" s="355" t="n">
        <v>59.39</v>
      </c>
      <c r="BC258" s="355" t="n">
        <v>64.97</v>
      </c>
      <c r="BE258" s="331">
        <f>AZ258*AW258</f>
        <v/>
      </c>
      <c r="BF258" s="331">
        <f>BA258*AW258</f>
        <v/>
      </c>
      <c r="BG258" s="331">
        <f>BB258*AW258</f>
        <v/>
      </c>
      <c r="BH258" s="331">
        <f>BC258*AW258</f>
        <v/>
      </c>
      <c r="BJ258" s="356">
        <f t="array" ref="BJ258:BM258">_xlfn.LET(_xlpm.data,$R258:$AV258,_xlpm.starts,{1,8,16,23},_xlpm.lengths,{7,7,8,9},_xlpm.arr,_xlfn.MAP(_xlpm.starts,_xlpm.lengths,_xlfn.LAMBDA(_xlpm.s,_xlpm.l,SUM(INDEX(_xlpm.data,,_xlfn.SEQUENCE(,_xlpm.l,_xlpm.s))))),ROUND(_xlpm.arr*$O258/1000,2))</f>
        <v/>
      </c>
      <c r="BK258" s="331" t="n">
        <v>0</v>
      </c>
      <c r="BL258" s="331" t="n">
        <v>0</v>
      </c>
      <c r="BM258" s="331" t="n">
        <v>0</v>
      </c>
      <c r="BN258" s="362">
        <f>SUM(BJ258:BM258)</f>
        <v/>
      </c>
      <c r="BO258" s="362" t="n">
        <v>0</v>
      </c>
      <c r="BP258" s="362" t="n">
        <v>0</v>
      </c>
      <c r="BQ258" s="362" t="n">
        <v>0</v>
      </c>
      <c r="BR258" s="362" t="n">
        <v>0</v>
      </c>
      <c r="BT258" s="362">
        <f t="array" ref="BT258:BW258">_xlfn.HSTACK(SUM(INDEX($R258:$AV258,1,1):INDEX($R258:$AV258,1,7)),SUM(INDEX($R258:$AV258,1,7):INDEX($R258:$AV258,1,13)),SUM(INDEX($R258:$AV258,1,16):INDEX($R258:$AV258,1,23)),SUM(INDEX($R258:$AV258,1,23):INDEX($R258:$AV258,1,31)))</f>
        <v/>
      </c>
      <c r="BU258" s="362" t="n">
        <v>0</v>
      </c>
      <c r="BV258" s="362" t="n">
        <v>0</v>
      </c>
      <c r="BW258" s="362" t="n">
        <v>0</v>
      </c>
      <c r="BY258" s="362">
        <f>SUM(R258:X258)</f>
        <v/>
      </c>
      <c r="BZ258" s="362">
        <f>SUM(Y258:AE258)</f>
        <v/>
      </c>
      <c r="CA258" s="362">
        <f>SUM(AF258:AM258)</f>
        <v/>
      </c>
      <c r="CB258" s="362">
        <f>SUM(AN258:AV258)</f>
        <v/>
      </c>
      <c r="CD258" s="432" t="inlineStr">
        <is>
          <t>ADA</t>
        </is>
      </c>
      <c r="CE258" s="362">
        <f>ROUND(BY258*$O258/1000,2)</f>
        <v/>
      </c>
      <c r="CF258" s="362">
        <f>ROUND(BZ258*$O258/1000,2)</f>
        <v/>
      </c>
      <c r="CG258" s="362">
        <f>ROUND(CA258*$O258/1000,2)</f>
        <v/>
      </c>
      <c r="CH258" s="362">
        <f>ROUND(CB258*$O258/1000,2)</f>
        <v/>
      </c>
      <c r="CI258" s="362">
        <f>SUM(CE258:CH258)</f>
        <v/>
      </c>
      <c r="CK258" s="362">
        <f>IFERROR(ROUND(BY258*$P258,2),"")</f>
        <v/>
      </c>
      <c r="CL258" s="362">
        <f>IFERROR(ROUND(BZ258*$P258,2),"")</f>
        <v/>
      </c>
      <c r="CM258" s="362">
        <f>IFERROR(ROUND(CA258*$P258,2),"")</f>
        <v/>
      </c>
      <c r="CN258" s="362">
        <f>IFERROR(ROUND(CB258*$P258,2),"")</f>
        <v/>
      </c>
      <c r="CO258" s="362">
        <f>SUM(CK258:CN258)</f>
        <v/>
      </c>
    </row>
    <row r="259" ht="15.6" customHeight="1" s="428">
      <c r="B259" s="344">
        <f>_xlfn.XLOOKUP(G259,销售需求表!A:A,销售需求表!C:C)</f>
        <v/>
      </c>
      <c r="C259" s="345">
        <f>IFERROR(MID(F259,FIND("R",F259)+1,2),"")</f>
        <v/>
      </c>
      <c r="D259" s="368">
        <f>B259&amp;C259&amp;"寸"</f>
        <v/>
      </c>
      <c r="E259" s="346">
        <f>LEFT(REPLACE(G259,1,2,""),FIND("[",REPLACE(G259,1,2,""))-1)&amp;"-"&amp;MID(REPLACE(G259,1,2,""),FIND("[",REPLACE(G259,1,2,""))+1,FIND("]",REPLACE(G259,1,2,""))-FIND("[",REPLACE(G259,1,2,""))-1)</f>
        <v/>
      </c>
      <c r="F259" s="347">
        <f>IFERROR(MID(G259,3,FIND("(",G259)-3)&amp;"-"&amp;SUBSTITUTE(MID(G259,FIND("[",G259)+1,FIND("]",G259)-FIND("[",G259)-1),"Strong Guard ",""),"")</f>
        <v/>
      </c>
      <c r="G259" s="346" t="inlineStr">
        <is>
          <t>ID10.00R20-18PR(149/146K)[FOLO.R109]EFFIPLUS</t>
        </is>
      </c>
      <c r="H259" s="344">
        <f>400+1000</f>
        <v/>
      </c>
      <c r="I259" s="348" t="n">
        <v>2</v>
      </c>
      <c r="J259" s="349">
        <f>IFERROR(LEFT(F259,FIND("-",F259))&amp;MID(F259,FIND("PR",F259,FIND("-",F259))+3,LEN(F259)),F259)</f>
        <v/>
      </c>
      <c r="K259" s="352">
        <f>_xlfn.XLOOKUP(F259,投产规格!E:E,投产规格!D:D,"未投产")</f>
        <v/>
      </c>
      <c r="L259" s="352">
        <f>IFERROR(_xlfn.XLOOKUP(F259,硫化工艺!B:B,硫化工艺!C:C),"")</f>
        <v/>
      </c>
      <c r="M259" s="430">
        <f>IF(L259="","",L259/(L259+$L$1/60))</f>
        <v/>
      </c>
      <c r="N259" s="352">
        <f>C259&amp;"全钢"</f>
        <v/>
      </c>
      <c r="O259" s="352">
        <f>IFERROR(_xlfn.XLOOKUP(F259,轮胎重量!J:J,轮胎重量!G:G),"")</f>
        <v/>
      </c>
      <c r="P259" s="352">
        <f>IFERROR(_xlfn.XLOOKUP(G259,硫化工艺!I:I,硫化工艺!J:J),"")</f>
        <v/>
      </c>
      <c r="Q259" s="352">
        <f>IFERROR(ROUND(1440/L259*(I259)*M259,0),"")</f>
        <v/>
      </c>
      <c r="R259" s="352" t="n"/>
      <c r="S259" s="352" t="n"/>
      <c r="T259" s="352" t="n"/>
      <c r="U259" s="352" t="n"/>
      <c r="V259" s="352" t="n"/>
      <c r="W259" s="352" t="n"/>
      <c r="X259" s="352" t="n"/>
      <c r="Y259" s="352" t="n">
        <v>60</v>
      </c>
      <c r="Z259" s="352" t="n">
        <v>60</v>
      </c>
      <c r="AA259" s="352" t="n">
        <v>60</v>
      </c>
      <c r="AB259" s="352" t="n">
        <v>60</v>
      </c>
      <c r="AC259" s="352" t="n">
        <v>60</v>
      </c>
      <c r="AD259" s="352" t="n">
        <v>60</v>
      </c>
      <c r="AE259" s="352" t="n">
        <v>60</v>
      </c>
      <c r="AF259" s="352" t="n">
        <v>60</v>
      </c>
      <c r="AG259" s="352" t="n">
        <v>60</v>
      </c>
      <c r="AH259" s="352" t="n">
        <v>60</v>
      </c>
      <c r="AI259" s="352" t="n">
        <v>60</v>
      </c>
      <c r="AJ259" s="352" t="n">
        <v>60</v>
      </c>
      <c r="AK259" s="352" t="n">
        <v>60</v>
      </c>
      <c r="AL259" s="352" t="n">
        <v>60</v>
      </c>
      <c r="AM259" s="352" t="n">
        <v>60</v>
      </c>
      <c r="AN259" s="352" t="n">
        <v>60</v>
      </c>
      <c r="AO259" s="352" t="n">
        <v>60</v>
      </c>
      <c r="AP259" s="352" t="n">
        <v>60</v>
      </c>
      <c r="AQ259" s="352" t="n">
        <v>60</v>
      </c>
      <c r="AR259" s="352" t="n">
        <v>60</v>
      </c>
      <c r="AS259" s="352" t="n">
        <v>60</v>
      </c>
      <c r="AT259" s="352" t="n">
        <v>60</v>
      </c>
      <c r="AU259" s="352" t="n">
        <v>60</v>
      </c>
      <c r="AV259" s="352" t="n">
        <v>60</v>
      </c>
      <c r="AW259" s="352">
        <f>IF(SUM(R259:AV259)=0,"",SUM(R259:AV259))</f>
        <v/>
      </c>
      <c r="AX259" s="431">
        <f>IFERROR(AW259*O259/1000,"")</f>
        <v/>
      </c>
      <c r="AY259" s="431">
        <f>IFERROR(ROUND(AW259*P259/10000,3),"")</f>
        <v/>
      </c>
      <c r="AZ259" s="354" t="n">
        <v>596.36</v>
      </c>
      <c r="BA259" s="355" t="n">
        <v>38.01</v>
      </c>
      <c r="BB259" s="355" t="n">
        <v>59.39</v>
      </c>
      <c r="BC259" s="355" t="n">
        <v>64.97</v>
      </c>
      <c r="BE259" s="331">
        <f>AZ259*AW259</f>
        <v/>
      </c>
      <c r="BF259" s="331">
        <f>BA259*AW259</f>
        <v/>
      </c>
      <c r="BG259" s="331">
        <f>BB259*AW259</f>
        <v/>
      </c>
      <c r="BH259" s="331">
        <f>BC259*AW259</f>
        <v/>
      </c>
      <c r="BJ259" s="356">
        <f t="array" ref="BJ259:BM259">_xlfn.LET(_xlpm.data,$R259:$AV259,_xlpm.starts,{1,8,16,23},_xlpm.lengths,{7,7,8,9},_xlpm.arr,_xlfn.MAP(_xlpm.starts,_xlpm.lengths,_xlfn.LAMBDA(_xlpm.s,_xlpm.l,SUM(INDEX(_xlpm.data,,_xlfn.SEQUENCE(,_xlpm.l,_xlpm.s))))),ROUND(_xlpm.arr*$O259/1000,2))</f>
        <v/>
      </c>
      <c r="BK259" s="331" t="n">
        <v>25.91</v>
      </c>
      <c r="BL259" s="331" t="n">
        <v>29.61</v>
      </c>
      <c r="BM259" s="331" t="n">
        <v>33.31</v>
      </c>
      <c r="BN259" s="362">
        <f>SUM(BJ259:BM259)</f>
        <v/>
      </c>
      <c r="BO259" s="362" t="n">
        <v>0</v>
      </c>
      <c r="BP259" s="362" t="n">
        <v>0</v>
      </c>
      <c r="BQ259" s="362" t="n">
        <v>0</v>
      </c>
      <c r="BR259" s="362" t="n">
        <v>0</v>
      </c>
      <c r="BT259" s="362">
        <f t="array" ref="BT259:BW259">_xlfn.HSTACK(SUM(INDEX($R259:$AV259,1,1):INDEX($R259:$AV259,1,7)),SUM(INDEX($R259:$AV259,1,7):INDEX($R259:$AV259,1,13)),SUM(INDEX($R259:$AV259,1,16):INDEX($R259:$AV259,1,23)),SUM(INDEX($R259:$AV259,1,23):INDEX($R259:$AV259,1,31)))</f>
        <v/>
      </c>
      <c r="BU259" s="362" t="n">
        <v>360</v>
      </c>
      <c r="BV259" s="362" t="n">
        <v>480</v>
      </c>
      <c r="BW259" s="362" t="n">
        <v>540</v>
      </c>
      <c r="BY259" s="362">
        <f>SUM(R259:X259)</f>
        <v/>
      </c>
      <c r="BZ259" s="362">
        <f>SUM(Y259:AE259)</f>
        <v/>
      </c>
      <c r="CA259" s="362">
        <f>SUM(AF259:AM259)</f>
        <v/>
      </c>
      <c r="CB259" s="362">
        <f>SUM(AN259:AV259)</f>
        <v/>
      </c>
      <c r="CD259" s="432" t="inlineStr">
        <is>
          <t>ADA</t>
        </is>
      </c>
      <c r="CE259" s="362">
        <f>ROUND(BY259*$O259/1000,2)</f>
        <v/>
      </c>
      <c r="CF259" s="362">
        <f>ROUND(BZ259*$O259/1000,2)</f>
        <v/>
      </c>
      <c r="CG259" s="362">
        <f>ROUND(CA259*$O259/1000,2)</f>
        <v/>
      </c>
      <c r="CH259" s="362">
        <f>ROUND(CB259*$O259/1000,2)</f>
        <v/>
      </c>
      <c r="CI259" s="362">
        <f>SUM(CE259:CH259)</f>
        <v/>
      </c>
      <c r="CK259" s="362">
        <f>IFERROR(ROUND(BY259*$P259,2),"")</f>
        <v/>
      </c>
      <c r="CL259" s="362">
        <f>IFERROR(ROUND(BZ259*$P259,2),"")</f>
        <v/>
      </c>
      <c r="CM259" s="362">
        <f>IFERROR(ROUND(CA259*$P259,2),"")</f>
        <v/>
      </c>
      <c r="CN259" s="362">
        <f>IFERROR(ROUND(CB259*$P259,2),"")</f>
        <v/>
      </c>
      <c r="CO259" s="362">
        <f>SUM(CK259:CN259)</f>
        <v/>
      </c>
    </row>
    <row r="260" ht="15.6" customHeight="1" s="428">
      <c r="B260" s="344">
        <f>_xlfn.XLOOKUP(G260,销售需求表!A:A,销售需求表!C:C)</f>
        <v/>
      </c>
      <c r="C260" s="345">
        <f>IFERROR(MID(F260,FIND("R",F260)+1,2),"")</f>
        <v/>
      </c>
      <c r="D260" s="368">
        <f>B260&amp;C260&amp;"寸"</f>
        <v/>
      </c>
      <c r="E260" s="346">
        <f>LEFT(REPLACE(G260,1,2,""),FIND("[",REPLACE(G260,1,2,""))-1)&amp;"-"&amp;MID(REPLACE(G260,1,2,""),FIND("[",REPLACE(G260,1,2,""))+1,FIND("]",REPLACE(G260,1,2,""))-FIND("[",REPLACE(G260,1,2,""))-1)</f>
        <v/>
      </c>
      <c r="F260" s="347">
        <f>IFERROR(MID(G260,3,FIND("(",G260)-3)&amp;"-"&amp;SUBSTITUTE(MID(G260,FIND("[",G260)+1,FIND("]",G260)-FIND("[",G260)-1),"Strong Guard ",""),"")</f>
        <v/>
      </c>
      <c r="G260" s="346" t="inlineStr">
        <is>
          <t>ID10.00R20-18PR(149/146K)[MOBY.R856X]EFFIPLUS</t>
        </is>
      </c>
      <c r="H260" s="344">
        <f>120+2400</f>
        <v/>
      </c>
      <c r="I260" s="348" t="n"/>
      <c r="J260" s="349">
        <f>IFERROR(LEFT(F260,FIND("-",F260))&amp;MID(F260,FIND("PR",F260,FIND("-",F260))+3,LEN(F260)),F260)</f>
        <v/>
      </c>
      <c r="K260" s="352">
        <f>_xlfn.XLOOKUP(F260,投产规格!E:E,投产规格!D:D,"未投产")</f>
        <v/>
      </c>
      <c r="L260" s="352">
        <f>IFERROR(_xlfn.XLOOKUP(F260,硫化工艺!B:B,硫化工艺!C:C),"")</f>
        <v/>
      </c>
      <c r="M260" s="430">
        <f>IF(L260="","",L260/(L260+$L$1/60))</f>
        <v/>
      </c>
      <c r="N260" s="352">
        <f>C260&amp;"全钢"</f>
        <v/>
      </c>
      <c r="O260" s="352">
        <f>IFERROR(_xlfn.XLOOKUP(F260,轮胎重量!J:J,轮胎重量!G:G),"")</f>
        <v/>
      </c>
      <c r="P260" s="352">
        <f>IFERROR(_xlfn.XLOOKUP(G260,硫化工艺!I:I,硫化工艺!J:J),"")</f>
        <v/>
      </c>
      <c r="Q260" s="352">
        <f>IFERROR(ROUND(1440/L260*(I260)*M260,0),"")</f>
        <v/>
      </c>
      <c r="R260" s="352" t="n"/>
      <c r="S260" s="352" t="n"/>
      <c r="T260" s="352" t="n"/>
      <c r="U260" s="352" t="n"/>
      <c r="V260" s="352" t="n"/>
      <c r="W260" s="352" t="n"/>
      <c r="X260" s="352" t="n"/>
      <c r="Y260" s="352" t="n">
        <v>60</v>
      </c>
      <c r="Z260" s="352" t="n">
        <v>60</v>
      </c>
      <c r="AA260" s="352" t="n">
        <v>60</v>
      </c>
      <c r="AB260" s="352" t="n">
        <v>60</v>
      </c>
      <c r="AC260" s="352" t="n">
        <v>60</v>
      </c>
      <c r="AD260" s="352" t="n">
        <v>60</v>
      </c>
      <c r="AE260" s="352" t="n">
        <v>60</v>
      </c>
      <c r="AF260" s="352" t="n">
        <v>60</v>
      </c>
      <c r="AG260" s="352" t="n">
        <v>60</v>
      </c>
      <c r="AH260" s="352" t="n">
        <v>60</v>
      </c>
      <c r="AI260" s="352" t="n">
        <v>60</v>
      </c>
      <c r="AJ260" s="352" t="n">
        <v>60</v>
      </c>
      <c r="AK260" s="352" t="n">
        <v>60</v>
      </c>
      <c r="AL260" s="352" t="n">
        <v>60</v>
      </c>
      <c r="AM260" s="352" t="n">
        <v>60</v>
      </c>
      <c r="AN260" s="352" t="n">
        <v>60</v>
      </c>
      <c r="AO260" s="352" t="n">
        <v>60</v>
      </c>
      <c r="AP260" s="352" t="n">
        <v>60</v>
      </c>
      <c r="AQ260" s="352" t="n">
        <v>60</v>
      </c>
      <c r="AR260" s="352" t="n">
        <v>60</v>
      </c>
      <c r="AS260" s="352" t="n">
        <v>60</v>
      </c>
      <c r="AT260" s="352" t="n">
        <v>60</v>
      </c>
      <c r="AU260" s="352" t="n">
        <v>60</v>
      </c>
      <c r="AV260" s="352" t="n">
        <v>60</v>
      </c>
      <c r="AW260" s="352">
        <f>IF(SUM(R260:AV260)=0,"",SUM(R260:AV260))</f>
        <v/>
      </c>
      <c r="AX260" s="431">
        <f>IFERROR(AW260*O260/1000,"")</f>
        <v/>
      </c>
      <c r="AY260" s="431">
        <f>IFERROR(ROUND(AW260*P260/10000,3),"")</f>
        <v/>
      </c>
      <c r="AZ260" s="359" t="n"/>
      <c r="BE260" s="331">
        <f>AZ260*AW260</f>
        <v/>
      </c>
      <c r="BF260" s="331">
        <f>BA260*AW260</f>
        <v/>
      </c>
      <c r="BG260" s="331">
        <f>BB260*AW260</f>
        <v/>
      </c>
      <c r="BH260" s="331">
        <f>BC260*AW260</f>
        <v/>
      </c>
      <c r="BJ260" s="356">
        <f t="array" ref="BJ260:BM260">_xlfn.LET(_xlpm.data,$R260:$AV260,_xlpm.starts,{1,8,16,23},_xlpm.lengths,{7,7,8,9},_xlpm.arr,_xlfn.MAP(_xlpm.starts,_xlpm.lengths,_xlfn.LAMBDA(_xlpm.s,_xlpm.l,SUM(INDEX(_xlpm.data,,_xlfn.SEQUENCE(,_xlpm.l,_xlpm.s))))),ROUND(_xlpm.arr*$O260/1000,2))</f>
        <v/>
      </c>
      <c r="BK260" s="331" t="n">
        <v>27.05</v>
      </c>
      <c r="BL260" s="331" t="n">
        <v>30.91</v>
      </c>
      <c r="BM260" s="331" t="n">
        <v>34.78</v>
      </c>
      <c r="BN260" s="362">
        <f>SUM(BJ260:BM260)</f>
        <v/>
      </c>
      <c r="BO260" s="362" t="n">
        <v>0</v>
      </c>
      <c r="BP260" s="362" t="n">
        <v>0</v>
      </c>
      <c r="BQ260" s="362" t="n">
        <v>0</v>
      </c>
      <c r="BR260" s="362" t="n">
        <v>0</v>
      </c>
      <c r="BT260" s="362">
        <f t="array" ref="BT260:BW260">_xlfn.HSTACK(SUM(INDEX($R260:$AV260,1,1):INDEX($R260:$AV260,1,7)),SUM(INDEX($R260:$AV260,1,7):INDEX($R260:$AV260,1,13)),SUM(INDEX($R260:$AV260,1,16):INDEX($R260:$AV260,1,23)),SUM(INDEX($R260:$AV260,1,23):INDEX($R260:$AV260,1,31)))</f>
        <v/>
      </c>
      <c r="BU260" s="362" t="n">
        <v>360</v>
      </c>
      <c r="BV260" s="362" t="n">
        <v>480</v>
      </c>
      <c r="BW260" s="362" t="n">
        <v>540</v>
      </c>
      <c r="BY260" s="362">
        <f>SUM(R260:X260)</f>
        <v/>
      </c>
      <c r="BZ260" s="362">
        <f>SUM(Y260:AE260)</f>
        <v/>
      </c>
      <c r="CA260" s="362">
        <f>SUM(AF260:AM260)</f>
        <v/>
      </c>
      <c r="CB260" s="362">
        <f>SUM(AN260:AV260)</f>
        <v/>
      </c>
      <c r="CD260" s="432" t="inlineStr">
        <is>
          <t>ADA</t>
        </is>
      </c>
      <c r="CE260" s="362">
        <f>ROUND(BY260*$O260/1000,2)</f>
        <v/>
      </c>
      <c r="CF260" s="362">
        <f>ROUND(BZ260*$O260/1000,2)</f>
        <v/>
      </c>
      <c r="CG260" s="362">
        <f>ROUND(CA260*$O260/1000,2)</f>
        <v/>
      </c>
      <c r="CH260" s="362">
        <f>ROUND(CB260*$O260/1000,2)</f>
        <v/>
      </c>
      <c r="CI260" s="362">
        <f>SUM(CE260:CH260)</f>
        <v/>
      </c>
      <c r="CK260" s="362">
        <f>IFERROR(ROUND(BY260*$P260,2),"")</f>
        <v/>
      </c>
      <c r="CL260" s="362">
        <f>IFERROR(ROUND(BZ260*$P260,2),"")</f>
        <v/>
      </c>
      <c r="CM260" s="362">
        <f>IFERROR(ROUND(CA260*$P260,2),"")</f>
        <v/>
      </c>
      <c r="CN260" s="362">
        <f>IFERROR(ROUND(CB260*$P260,2),"")</f>
        <v/>
      </c>
      <c r="CO260" s="362">
        <f>SUM(CK260:CN260)</f>
        <v/>
      </c>
    </row>
    <row r="261" ht="15.6" customHeight="1" s="428">
      <c r="B261" s="344">
        <f>_xlfn.XLOOKUP(G261,销售需求表!A:A,销售需求表!C:C)</f>
        <v/>
      </c>
      <c r="C261" s="345">
        <f>IFERROR(MID(F261,FIND("R",F261)+1,2),"")</f>
        <v/>
      </c>
      <c r="D261" s="368">
        <f>B261&amp;C261&amp;"寸"</f>
        <v/>
      </c>
      <c r="E261" s="346">
        <f>LEFT(REPLACE(G261,1,2,""),FIND("[",REPLACE(G261,1,2,""))-1)&amp;"-"&amp;MID(REPLACE(G261,1,2,""),FIND("[",REPLACE(G261,1,2,""))+1,FIND("]",REPLACE(G261,1,2,""))-FIND("[",REPLACE(G261,1,2,""))-1)</f>
        <v/>
      </c>
      <c r="F261" s="347">
        <f>IFERROR(MID(G261,3,FIND("(",G261)-3)&amp;"-"&amp;SUBSTITUTE(MID(G261,FIND("[",G261)+1,FIND("]",G261)-FIND("[",G261)-1),"Strong Guard ",""),"")</f>
        <v/>
      </c>
      <c r="G261" s="366" t="inlineStr">
        <is>
          <t>ID11.00R20-18PR(152/149F)[CB332A]威狮</t>
        </is>
      </c>
      <c r="H261" s="344" t="n">
        <v>700</v>
      </c>
      <c r="I261" s="348" t="n"/>
      <c r="J261" s="349">
        <f>IFERROR(LEFT(F261,FIND("-",F261))&amp;MID(F261,FIND("PR",F261,FIND("-",F261))+3,LEN(F261)),F261)</f>
        <v/>
      </c>
      <c r="K261" s="352">
        <f>_xlfn.XLOOKUP(F261,投产规格!E:E,投产规格!D:D,"未投产")</f>
        <v/>
      </c>
      <c r="L261" s="352">
        <f>IFERROR(_xlfn.XLOOKUP(F261,硫化工艺!B:B,硫化工艺!C:C),"")</f>
        <v/>
      </c>
      <c r="M261" s="430">
        <f>IF(L261="","",L261/(L261+$L$1/60))</f>
        <v/>
      </c>
      <c r="N261" s="352">
        <f>C261&amp;"全钢"</f>
        <v/>
      </c>
      <c r="O261" s="352">
        <f>IFERROR(_xlfn.XLOOKUP(F261,轮胎重量!J:J,轮胎重量!G:G),"")</f>
        <v/>
      </c>
      <c r="P261" s="352">
        <f>IFERROR(_xlfn.XLOOKUP(G261,硫化工艺!I:I,硫化工艺!J:J),"")</f>
        <v/>
      </c>
      <c r="Q261" s="352">
        <f>IFERROR(ROUND(1440/L261*(I261)*M261,0),"")</f>
        <v/>
      </c>
      <c r="R261" s="352" t="n"/>
      <c r="S261" s="352" t="n"/>
      <c r="T261" s="352" t="n"/>
      <c r="U261" s="352" t="n"/>
      <c r="V261" s="352" t="n"/>
      <c r="W261" s="352" t="n"/>
      <c r="X261" s="352" t="n"/>
      <c r="Y261" s="352" t="n"/>
      <c r="Z261" s="352" t="n"/>
      <c r="AA261" s="352" t="n"/>
      <c r="AB261" s="352" t="n"/>
      <c r="AC261" s="352" t="n"/>
      <c r="AD261" s="352" t="n"/>
      <c r="AE261" s="352" t="n"/>
      <c r="AF261" s="352" t="n"/>
      <c r="AG261" s="352" t="n"/>
      <c r="AH261" s="352" t="n"/>
      <c r="AI261" s="352" t="n"/>
      <c r="AJ261" s="352" t="n">
        <v>50</v>
      </c>
      <c r="AK261" s="352" t="n">
        <v>50</v>
      </c>
      <c r="AL261" s="352" t="n">
        <v>50</v>
      </c>
      <c r="AM261" s="352" t="n">
        <v>50</v>
      </c>
      <c r="AN261" s="352" t="n">
        <v>50</v>
      </c>
      <c r="AO261" s="352" t="n">
        <v>50</v>
      </c>
      <c r="AP261" s="352" t="n">
        <v>50</v>
      </c>
      <c r="AQ261" s="352" t="n">
        <v>50</v>
      </c>
      <c r="AR261" s="352" t="n">
        <v>50</v>
      </c>
      <c r="AS261" s="352" t="n">
        <v>50</v>
      </c>
      <c r="AT261" s="352" t="n">
        <v>50</v>
      </c>
      <c r="AU261" s="352" t="n">
        <v>50</v>
      </c>
      <c r="AV261" s="352" t="n">
        <v>50</v>
      </c>
      <c r="AW261" s="352">
        <f>IF(SUM(R261:AV261)=0,"",SUM(R261:AV261))</f>
        <v/>
      </c>
      <c r="AX261" s="431">
        <f>IFERROR(AW261*O261/1000,"")</f>
        <v/>
      </c>
      <c r="AY261" s="431">
        <f>IFERROR(ROUND(AW261*P261/10000,3),"")</f>
        <v/>
      </c>
      <c r="AZ261" s="359" t="n"/>
      <c r="BE261" s="331">
        <f>AZ261*AW261</f>
        <v/>
      </c>
      <c r="BF261" s="331">
        <f>BA261*AW261</f>
        <v/>
      </c>
      <c r="BG261" s="331">
        <f>BB261*AW261</f>
        <v/>
      </c>
      <c r="BH261" s="331">
        <f>BC261*AW261</f>
        <v/>
      </c>
      <c r="BJ261" s="356">
        <f t="array" ref="BJ261:BM261">_xlfn.LET(_xlpm.data,$R261:$AV261,_xlpm.starts,{1,8,16,23},_xlpm.lengths,{7,7,8,9},_xlpm.arr,_xlfn.MAP(_xlpm.starts,_xlpm.lengths,_xlfn.LAMBDA(_xlpm.s,_xlpm.l,SUM(INDEX(_xlpm.data,,_xlfn.SEQUENCE(,_xlpm.l,_xlpm.s))))),ROUND(_xlpm.arr*$O261/1000,2))</f>
        <v/>
      </c>
      <c r="BK261" s="331" t="n">
        <v>0</v>
      </c>
      <c r="BL261" s="331" t="n">
        <v>18.01</v>
      </c>
      <c r="BM261" s="331" t="n">
        <v>32.43</v>
      </c>
      <c r="BN261" s="362">
        <f>SUM(BJ261:BM261)</f>
        <v/>
      </c>
      <c r="BO261" s="362" t="n">
        <v>0</v>
      </c>
      <c r="BP261" s="362" t="n">
        <v>0</v>
      </c>
      <c r="BQ261" s="362" t="n">
        <v>0</v>
      </c>
      <c r="BR261" s="362" t="n">
        <v>0</v>
      </c>
      <c r="BT261" s="362">
        <f t="array" ref="BT261:BW261">_xlfn.HSTACK(SUM(INDEX($R261:$AV261,1,1):INDEX($R261:$AV261,1,7)),SUM(INDEX($R261:$AV261,1,7):INDEX($R261:$AV261,1,13)),SUM(INDEX($R261:$AV261,1,16):INDEX($R261:$AV261,1,23)),SUM(INDEX($R261:$AV261,1,23):INDEX($R261:$AV261,1,31)))</f>
        <v/>
      </c>
      <c r="BU261" s="362" t="n">
        <v>0</v>
      </c>
      <c r="BV261" s="362" t="n">
        <v>250</v>
      </c>
      <c r="BW261" s="362" t="n">
        <v>450</v>
      </c>
      <c r="BY261" s="362">
        <f>SUM(R261:X261)</f>
        <v/>
      </c>
      <c r="BZ261" s="362">
        <f>SUM(Y261:AE261)</f>
        <v/>
      </c>
      <c r="CA261" s="362">
        <f>SUM(AF261:AM261)</f>
        <v/>
      </c>
      <c r="CB261" s="362">
        <f>SUM(AN261:AV261)</f>
        <v/>
      </c>
      <c r="CD261" s="432" t="inlineStr">
        <is>
          <t>ADA</t>
        </is>
      </c>
      <c r="CE261" s="362">
        <f>ROUND(BY261*$O261/1000,2)</f>
        <v/>
      </c>
      <c r="CF261" s="362">
        <f>ROUND(BZ261*$O261/1000,2)</f>
        <v/>
      </c>
      <c r="CG261" s="362">
        <f>ROUND(CA261*$O261/1000,2)</f>
        <v/>
      </c>
      <c r="CH261" s="362">
        <f>ROUND(CB261*$O261/1000,2)</f>
        <v/>
      </c>
      <c r="CI261" s="362">
        <f>SUM(CE261:CH261)</f>
        <v/>
      </c>
      <c r="CK261" s="362">
        <f>IFERROR(ROUND(BY261*$P261,2),"")</f>
        <v/>
      </c>
      <c r="CL261" s="362">
        <f>IFERROR(ROUND(BZ261*$P261,2),"")</f>
        <v/>
      </c>
      <c r="CM261" s="362">
        <f>IFERROR(ROUND(CA261*$P261,2),"")</f>
        <v/>
      </c>
      <c r="CN261" s="362">
        <f>IFERROR(ROUND(CB261*$P261,2),"")</f>
        <v/>
      </c>
      <c r="CO261" s="362">
        <f>SUM(CK261:CN261)</f>
        <v/>
      </c>
    </row>
    <row r="262" ht="15.6" customHeight="1" s="428">
      <c r="B262" s="344">
        <f>_xlfn.XLOOKUP(G262,销售需求表!A:A,销售需求表!C:C)</f>
        <v/>
      </c>
      <c r="C262" s="345">
        <f>IFERROR(MID(F262,FIND("R",F262)+1,2),"")</f>
        <v/>
      </c>
      <c r="D262" s="368">
        <f>B262&amp;C262&amp;"寸"</f>
        <v/>
      </c>
      <c r="E262" s="346">
        <f>LEFT(REPLACE(G262,1,2,""),FIND("[",REPLACE(G262,1,2,""))-1)&amp;"-"&amp;MID(REPLACE(G262,1,2,""),FIND("[",REPLACE(G262,1,2,""))+1,FIND("]",REPLACE(G262,1,2,""))-FIND("[",REPLACE(G262,1,2,""))-1)</f>
        <v/>
      </c>
      <c r="F262" s="347">
        <f>IFERROR(MID(G262,3,FIND("(",G262)-3)&amp;"-"&amp;SUBSTITUTE(MID(G262,FIND("[",G262)+1,FIND("]",G262)-FIND("[",G262)-1),"Strong Guard ",""),"")</f>
        <v/>
      </c>
      <c r="G262" s="366" t="inlineStr">
        <is>
          <t>ID11.00R20-18PR(152/149F)[CB972]朝阳</t>
        </is>
      </c>
      <c r="H262" s="344" t="n">
        <v>220</v>
      </c>
      <c r="I262" s="348" t="n"/>
      <c r="J262" s="349">
        <f>IFERROR(LEFT(F262,FIND("-",F262))&amp;MID(F262,FIND("PR",F262,FIND("-",F262))+3,LEN(F262)),F262)</f>
        <v/>
      </c>
      <c r="K262" s="352">
        <f>_xlfn.XLOOKUP(F262,投产规格!E:E,投产规格!D:D,"未投产")</f>
        <v/>
      </c>
      <c r="L262" s="352">
        <f>IFERROR(_xlfn.XLOOKUP(F262,硫化工艺!B:B,硫化工艺!C:C),"")</f>
        <v/>
      </c>
      <c r="M262" s="430">
        <f>IF(L262="","",L262/(L262+$L$1/60))</f>
        <v/>
      </c>
      <c r="N262" s="352">
        <f>C262&amp;"全钢"</f>
        <v/>
      </c>
      <c r="O262" s="352">
        <f>IFERROR(_xlfn.XLOOKUP(F262,轮胎重量!J:J,轮胎重量!G:G),"")</f>
        <v/>
      </c>
      <c r="P262" s="352">
        <f>IFERROR(_xlfn.XLOOKUP(G262,硫化工艺!I:I,硫化工艺!J:J),"")</f>
        <v/>
      </c>
      <c r="Q262" s="352">
        <f>IFERROR(ROUND(1440/L262*(I262)*M262,0),"")</f>
        <v/>
      </c>
      <c r="R262" s="352" t="n"/>
      <c r="S262" s="352" t="n"/>
      <c r="T262" s="352" t="n"/>
      <c r="U262" s="352" t="n"/>
      <c r="V262" s="352" t="n"/>
      <c r="W262" s="352" t="n"/>
      <c r="X262" s="352" t="n"/>
      <c r="Y262" s="352" t="n"/>
      <c r="Z262" s="352" t="n"/>
      <c r="AA262" s="352" t="n"/>
      <c r="AB262" s="352" t="n"/>
      <c r="AC262" s="352" t="n"/>
      <c r="AD262" s="352" t="n"/>
      <c r="AE262" s="352" t="n">
        <v>50</v>
      </c>
      <c r="AF262" s="352" t="n">
        <v>50</v>
      </c>
      <c r="AG262" s="352" t="n">
        <v>50</v>
      </c>
      <c r="AH262" s="352" t="n">
        <v>50</v>
      </c>
      <c r="AI262" s="352" t="n">
        <v>50</v>
      </c>
      <c r="AJ262" s="352" t="n"/>
      <c r="AK262" s="352" t="n"/>
      <c r="AL262" s="352" t="n"/>
      <c r="AM262" s="352" t="n"/>
      <c r="AN262" s="352" t="n"/>
      <c r="AO262" s="352" t="n"/>
      <c r="AP262" s="352" t="n"/>
      <c r="AQ262" s="352" t="n"/>
      <c r="AR262" s="352" t="n"/>
      <c r="AS262" s="352" t="n"/>
      <c r="AT262" s="352" t="n"/>
      <c r="AU262" s="352" t="n"/>
      <c r="AV262" s="352" t="n"/>
      <c r="AW262" s="352">
        <f>IF(SUM(R262:AV262)=0,"",SUM(R262:AV262))</f>
        <v/>
      </c>
      <c r="AX262" s="431">
        <f>IFERROR(AW262*O262/1000,"")</f>
        <v/>
      </c>
      <c r="AY262" s="431">
        <f>IFERROR(ROUND(AW262*P262/10000,3),"")</f>
        <v/>
      </c>
      <c r="AZ262" s="354" t="n">
        <v>716.49</v>
      </c>
      <c r="BA262" s="355" t="n">
        <v>44.5</v>
      </c>
      <c r="BB262" s="355" t="n">
        <v>67.45</v>
      </c>
      <c r="BC262" s="355" t="n">
        <v>73.48</v>
      </c>
      <c r="BE262" s="331">
        <f>AZ262*AW262</f>
        <v/>
      </c>
      <c r="BF262" s="331">
        <f>BA262*AW262</f>
        <v/>
      </c>
      <c r="BG262" s="331">
        <f>BB262*AW262</f>
        <v/>
      </c>
      <c r="BH262" s="331">
        <f>BC262*AW262</f>
        <v/>
      </c>
      <c r="BJ262" s="356">
        <f t="array" ref="BJ262:BM262">_xlfn.LET(_xlpm.data,$R262:$AV262,_xlpm.starts,{1,8,16,23},_xlpm.lengths,{7,7,8,9},_xlpm.arr,_xlfn.MAP(_xlpm.starts,_xlpm.lengths,_xlfn.LAMBDA(_xlpm.s,_xlpm.l,SUM(INDEX(_xlpm.data,,_xlfn.SEQUENCE(,_xlpm.l,_xlpm.s))))),ROUND(_xlpm.arr*$O262/1000,2))</f>
        <v/>
      </c>
      <c r="BK262" s="331" t="n">
        <v>3.81</v>
      </c>
      <c r="BL262" s="331" t="n">
        <v>11.43</v>
      </c>
      <c r="BM262" s="331" t="n">
        <v>0</v>
      </c>
      <c r="BN262" s="362">
        <f>SUM(BJ262:BM262)</f>
        <v/>
      </c>
      <c r="BO262" s="362" t="n">
        <v>45.69</v>
      </c>
      <c r="BP262" s="362" t="n">
        <v>0</v>
      </c>
      <c r="BQ262" s="362" t="n">
        <v>0</v>
      </c>
      <c r="BR262" s="362" t="n">
        <v>0</v>
      </c>
      <c r="BT262" s="362">
        <f t="array" ref="BT262:BW262">_xlfn.HSTACK(SUM(INDEX($R262:$AV262,1,1):INDEX($R262:$AV262,1,7)),SUM(INDEX($R262:$AV262,1,7):INDEX($R262:$AV262,1,13)),SUM(INDEX($R262:$AV262,1,16):INDEX($R262:$AV262,1,23)),SUM(INDEX($R262:$AV262,1,23):INDEX($R262:$AV262,1,31)))</f>
        <v/>
      </c>
      <c r="BU262" s="362" t="n">
        <v>0</v>
      </c>
      <c r="BV262" s="362" t="n">
        <v>150</v>
      </c>
      <c r="BW262" s="362" t="n">
        <v>0</v>
      </c>
      <c r="BY262" s="362">
        <f>SUM(R262:X262)</f>
        <v/>
      </c>
      <c r="BZ262" s="362">
        <f>SUM(Y262:AE262)</f>
        <v/>
      </c>
      <c r="CA262" s="362">
        <f>SUM(AF262:AM262)</f>
        <v/>
      </c>
      <c r="CB262" s="362">
        <f>SUM(AN262:AV262)</f>
        <v/>
      </c>
      <c r="CD262" s="432" t="inlineStr">
        <is>
          <t>ADA</t>
        </is>
      </c>
      <c r="CE262" s="362">
        <f>ROUND(BY262*$O262/1000,2)</f>
        <v/>
      </c>
      <c r="CF262" s="362">
        <f>ROUND(BZ262*$O262/1000,2)</f>
        <v/>
      </c>
      <c r="CG262" s="362">
        <f>ROUND(CA262*$O262/1000,2)</f>
        <v/>
      </c>
      <c r="CH262" s="362">
        <f>ROUND(CB262*$O262/1000,2)</f>
        <v/>
      </c>
      <c r="CI262" s="362">
        <f>SUM(CE262:CH262)</f>
        <v/>
      </c>
      <c r="CK262" s="362">
        <f>IFERROR(ROUND(BY262*$P262,2),"")</f>
        <v/>
      </c>
      <c r="CL262" s="362">
        <f>IFERROR(ROUND(BZ262*$P262,2),"")</f>
        <v/>
      </c>
      <c r="CM262" s="362">
        <f>IFERROR(ROUND(CA262*$P262,2),"")</f>
        <v/>
      </c>
      <c r="CN262" s="362">
        <f>IFERROR(ROUND(CB262*$P262,2),"")</f>
        <v/>
      </c>
      <c r="CO262" s="362">
        <f>SUM(CK262:CN262)</f>
        <v/>
      </c>
    </row>
    <row r="263" ht="15.6" customHeight="1" s="428">
      <c r="B263" s="344">
        <f>_xlfn.XLOOKUP(G263,销售需求表!A:A,销售需求表!C:C)</f>
        <v/>
      </c>
      <c r="C263" s="345">
        <f>IFERROR(MID(F263,FIND("R",F263)+1,2),"")</f>
        <v/>
      </c>
      <c r="D263" s="368">
        <f>B263&amp;C263&amp;"寸"</f>
        <v/>
      </c>
      <c r="E263" s="346">
        <f>LEFT(REPLACE(G263,1,2,""),FIND("[",REPLACE(G263,1,2,""))-1)&amp;"-"&amp;MID(REPLACE(G263,1,2,""),FIND("[",REPLACE(G263,1,2,""))+1,FIND("]",REPLACE(G263,1,2,""))-FIND("[",REPLACE(G263,1,2,""))-1)</f>
        <v/>
      </c>
      <c r="F263" s="347">
        <f>IFERROR(MID(G263,3,FIND("(",G263)-3)&amp;"-"&amp;SUBSTITUTE(MID(G263,FIND("[",G263)+1,FIND("]",G263)-FIND("[",G263)-1),"Strong Guard ",""),"")</f>
        <v/>
      </c>
      <c r="G263" s="366" t="inlineStr">
        <is>
          <t>ID11.00R20-18PR(152/149F)[CB972]威狮</t>
        </is>
      </c>
      <c r="H263" s="344" t="n">
        <v>900</v>
      </c>
      <c r="I263" s="348" t="n"/>
      <c r="J263" s="349">
        <f>IFERROR(LEFT(F263,FIND("-",F263))&amp;MID(F263,FIND("PR",F263,FIND("-",F263))+3,LEN(F263)),F263)</f>
        <v/>
      </c>
      <c r="K263" s="352">
        <f>_xlfn.XLOOKUP(F263,投产规格!E:E,投产规格!D:D,"未投产")</f>
        <v/>
      </c>
      <c r="L263" s="352">
        <f>IFERROR(_xlfn.XLOOKUP(F263,硫化工艺!B:B,硫化工艺!C:C),"")</f>
        <v/>
      </c>
      <c r="M263" s="430">
        <f>IF(L263="","",L263/(L263+$L$1/60))</f>
        <v/>
      </c>
      <c r="N263" s="352">
        <f>C263&amp;"全钢"</f>
        <v/>
      </c>
      <c r="O263" s="352">
        <f>IFERROR(_xlfn.XLOOKUP(F263,轮胎重量!J:J,轮胎重量!G:G),"")</f>
        <v/>
      </c>
      <c r="P263" s="352">
        <f>IFERROR(_xlfn.XLOOKUP(G263,硫化工艺!I:I,硫化工艺!J:J),"")</f>
        <v/>
      </c>
      <c r="Q263" s="352">
        <f>IFERROR(ROUND(1440/L263*(I263)*M263,0),"")</f>
        <v/>
      </c>
      <c r="R263" s="352" t="n"/>
      <c r="S263" s="352" t="n"/>
      <c r="T263" s="352" t="n"/>
      <c r="U263" s="352" t="n"/>
      <c r="V263" s="352" t="n"/>
      <c r="W263" s="352" t="n"/>
      <c r="X263" s="352" t="n"/>
      <c r="Y263" s="352" t="n"/>
      <c r="Z263" s="352" t="n"/>
      <c r="AA263" s="352" t="n"/>
      <c r="AB263" s="352" t="n"/>
      <c r="AC263" s="352" t="n"/>
      <c r="AD263" s="352" t="n"/>
      <c r="AE263" s="352" t="n">
        <v>50</v>
      </c>
      <c r="AF263" s="352" t="n">
        <v>50</v>
      </c>
      <c r="AG263" s="352" t="n">
        <v>50</v>
      </c>
      <c r="AH263" s="352" t="n">
        <v>50</v>
      </c>
      <c r="AI263" s="352" t="n">
        <v>50</v>
      </c>
      <c r="AJ263" s="352" t="n">
        <v>50</v>
      </c>
      <c r="AK263" s="352" t="n">
        <v>50</v>
      </c>
      <c r="AL263" s="352" t="n">
        <v>50</v>
      </c>
      <c r="AM263" s="352" t="n">
        <v>50</v>
      </c>
      <c r="AN263" s="352" t="n">
        <v>50</v>
      </c>
      <c r="AO263" s="352" t="n">
        <v>50</v>
      </c>
      <c r="AP263" s="352" t="n">
        <v>50</v>
      </c>
      <c r="AQ263" s="352" t="n">
        <v>50</v>
      </c>
      <c r="AR263" s="352" t="n">
        <v>50</v>
      </c>
      <c r="AS263" s="352" t="n">
        <v>50</v>
      </c>
      <c r="AT263" s="352" t="n">
        <v>50</v>
      </c>
      <c r="AU263" s="352" t="n">
        <v>50</v>
      </c>
      <c r="AV263" s="352" t="n">
        <v>50</v>
      </c>
      <c r="AW263" s="352">
        <f>IF(SUM(R263:AV263)=0,"",SUM(R263:AV263))</f>
        <v/>
      </c>
      <c r="AX263" s="431">
        <f>IFERROR(AW263*O263/1000,"")</f>
        <v/>
      </c>
      <c r="AY263" s="431">
        <f>IFERROR(ROUND(AW263*P263/10000,3),"")</f>
        <v/>
      </c>
      <c r="AZ263" s="354" t="n">
        <v>618.6</v>
      </c>
      <c r="BA263" s="355" t="n">
        <v>39.01</v>
      </c>
      <c r="BB263" s="355" t="n">
        <v>60.79</v>
      </c>
      <c r="BC263" s="355" t="n">
        <v>65.95999999999999</v>
      </c>
      <c r="BE263" s="331">
        <f>AZ263*AW263</f>
        <v/>
      </c>
      <c r="BF263" s="331">
        <f>BA263*AW263</f>
        <v/>
      </c>
      <c r="BG263" s="331">
        <f>BB263*AW263</f>
        <v/>
      </c>
      <c r="BH263" s="331">
        <f>BC263*AW263</f>
        <v/>
      </c>
      <c r="BJ263" s="356">
        <f t="array" ref="BJ263:BM263">_xlfn.LET(_xlpm.data,$R263:$AV263,_xlpm.starts,{1,8,16,23},_xlpm.lengths,{7,7,8,9},_xlpm.arr,_xlfn.MAP(_xlpm.starts,_xlpm.lengths,_xlfn.LAMBDA(_xlpm.s,_xlpm.l,SUM(INDEX(_xlpm.data,,_xlfn.SEQUENCE(,_xlpm.l,_xlpm.s))))),ROUND(_xlpm.arr*$O263/1000,2))</f>
        <v/>
      </c>
      <c r="BK263" s="331" t="n">
        <v>3.81</v>
      </c>
      <c r="BL263" s="331" t="n">
        <v>30.47</v>
      </c>
      <c r="BM263" s="331" t="n">
        <v>34.28</v>
      </c>
      <c r="BN263" s="362">
        <f>SUM(BJ263:BM263)</f>
        <v/>
      </c>
      <c r="BO263" s="362" t="n">
        <v>21.64</v>
      </c>
      <c r="BP263" s="362" t="n">
        <v>50.5</v>
      </c>
      <c r="BQ263" s="362" t="n">
        <v>0</v>
      </c>
      <c r="BR263" s="362" t="n">
        <v>0</v>
      </c>
      <c r="BT263" s="362">
        <f t="array" ref="BT263:BW263">_xlfn.HSTACK(SUM(INDEX($R263:$AV263,1,1):INDEX($R263:$AV263,1,7)),SUM(INDEX($R263:$AV263,1,7):INDEX($R263:$AV263,1,13)),SUM(INDEX($R263:$AV263,1,16):INDEX($R263:$AV263,1,23)),SUM(INDEX($R263:$AV263,1,23):INDEX($R263:$AV263,1,31)))</f>
        <v/>
      </c>
      <c r="BU263" s="362" t="n">
        <v>0</v>
      </c>
      <c r="BV263" s="362" t="n">
        <v>400</v>
      </c>
      <c r="BW263" s="362" t="n">
        <v>450</v>
      </c>
      <c r="BY263" s="362">
        <f>SUM(R263:X263)</f>
        <v/>
      </c>
      <c r="BZ263" s="362">
        <f>SUM(Y263:AE263)</f>
        <v/>
      </c>
      <c r="CA263" s="362">
        <f>SUM(AF263:AM263)</f>
        <v/>
      </c>
      <c r="CB263" s="362">
        <f>SUM(AN263:AV263)</f>
        <v/>
      </c>
      <c r="CD263" s="432" t="inlineStr">
        <is>
          <t>ADA</t>
        </is>
      </c>
      <c r="CE263" s="362">
        <f>ROUND(BY263*$O263/1000,2)</f>
        <v/>
      </c>
      <c r="CF263" s="362">
        <f>ROUND(BZ263*$O263/1000,2)</f>
        <v/>
      </c>
      <c r="CG263" s="362">
        <f>ROUND(CA263*$O263/1000,2)</f>
        <v/>
      </c>
      <c r="CH263" s="362">
        <f>ROUND(CB263*$O263/1000,2)</f>
        <v/>
      </c>
      <c r="CI263" s="362">
        <f>SUM(CE263:CH263)</f>
        <v/>
      </c>
      <c r="CK263" s="362">
        <f>IFERROR(ROUND(BY263*$P263,2),"")</f>
        <v/>
      </c>
      <c r="CL263" s="362">
        <f>IFERROR(ROUND(BZ263*$P263,2),"")</f>
        <v/>
      </c>
      <c r="CM263" s="362">
        <f>IFERROR(ROUND(CA263*$P263,2),"")</f>
        <v/>
      </c>
      <c r="CN263" s="362">
        <f>IFERROR(ROUND(CB263*$P263,2),"")</f>
        <v/>
      </c>
      <c r="CO263" s="362">
        <f>SUM(CK263:CN263)</f>
        <v/>
      </c>
    </row>
    <row r="264" ht="15.6" customHeight="1" s="428">
      <c r="B264" s="344">
        <f>_xlfn.XLOOKUP(G264,销售需求表!A:A,销售需求表!C:C)</f>
        <v/>
      </c>
      <c r="C264" s="345">
        <f>IFERROR(MID(F264,FIND("R",F264)+1,2),"")</f>
        <v/>
      </c>
      <c r="D264" s="368">
        <f>B264&amp;C264&amp;"寸"</f>
        <v/>
      </c>
      <c r="E264" s="346">
        <f>LEFT(REPLACE(G264,1,2,""),FIND("[",REPLACE(G264,1,2,""))-1)&amp;"-"&amp;MID(REPLACE(G264,1,2,""),FIND("[",REPLACE(G264,1,2,""))+1,FIND("]",REPLACE(G264,1,2,""))-FIND("[",REPLACE(G264,1,2,""))-1)</f>
        <v/>
      </c>
      <c r="F264" s="347">
        <f>IFERROR(MID(G264,3,FIND("(",G264)-3)&amp;"-"&amp;SUBSTITUTE(MID(G264,FIND("[",G264)+1,FIND("]",G264)-FIND("[",G264)-1),"Strong Guard ",""),"")</f>
        <v/>
      </c>
      <c r="G264" s="366" t="inlineStr">
        <is>
          <t>ID11.00R20-18PR(152/149F)[CB972]雅度</t>
        </is>
      </c>
      <c r="H264" s="344" t="n">
        <v>1900</v>
      </c>
      <c r="I264" s="348" t="n">
        <v>6</v>
      </c>
      <c r="J264" s="349">
        <f>IFERROR(LEFT(F264,FIND("-",F264))&amp;MID(F264,FIND("PR",F264,FIND("-",F264))+3,LEN(F264)),F264)</f>
        <v/>
      </c>
      <c r="K264" s="352">
        <f>_xlfn.XLOOKUP(F264,投产规格!E:E,投产规格!D:D,"未投产")</f>
        <v/>
      </c>
      <c r="L264" s="352">
        <f>IFERROR(_xlfn.XLOOKUP(F264,硫化工艺!B:B,硫化工艺!C:C),"")</f>
        <v/>
      </c>
      <c r="M264" s="430">
        <f>IF(L264="","",L264/(L264+$L$1/60))</f>
        <v/>
      </c>
      <c r="N264" s="352">
        <f>C264&amp;"全钢"</f>
        <v/>
      </c>
      <c r="O264" s="352">
        <f>IFERROR(_xlfn.XLOOKUP(F264,轮胎重量!J:J,轮胎重量!G:G),"")</f>
        <v/>
      </c>
      <c r="P264" s="352">
        <f>IFERROR(_xlfn.XLOOKUP(G264,硫化工艺!I:I,硫化工艺!J:J),"")</f>
        <v/>
      </c>
      <c r="Q264" s="352">
        <f>IFERROR(ROUND(1440/L264*(I264)*M264,0),"")</f>
        <v/>
      </c>
      <c r="R264" s="352" t="n">
        <v>150</v>
      </c>
      <c r="S264" s="352" t="n">
        <v>150</v>
      </c>
      <c r="T264" s="352" t="n">
        <v>150</v>
      </c>
      <c r="U264" s="352" t="n">
        <v>150</v>
      </c>
      <c r="V264" s="352" t="n">
        <v>150</v>
      </c>
      <c r="W264" s="352" t="n">
        <v>150</v>
      </c>
      <c r="X264" s="352" t="n">
        <v>150</v>
      </c>
      <c r="Y264" s="352" t="n">
        <v>150</v>
      </c>
      <c r="Z264" s="352" t="n">
        <v>150</v>
      </c>
      <c r="AA264" s="352" t="n">
        <v>150</v>
      </c>
      <c r="AB264" s="352" t="n">
        <v>150</v>
      </c>
      <c r="AC264" s="352" t="n">
        <v>150</v>
      </c>
      <c r="AD264" s="352" t="n">
        <v>150</v>
      </c>
      <c r="AE264" s="352" t="n"/>
      <c r="AF264" s="352" t="n"/>
      <c r="AG264" s="352" t="n"/>
      <c r="AH264" s="352" t="n"/>
      <c r="AI264" s="352" t="n"/>
      <c r="AJ264" s="352" t="n"/>
      <c r="AK264" s="352" t="n"/>
      <c r="AL264" s="352" t="n"/>
      <c r="AM264" s="352" t="n"/>
      <c r="AN264" s="352" t="n"/>
      <c r="AO264" s="352" t="n"/>
      <c r="AP264" s="352" t="n"/>
      <c r="AQ264" s="352" t="n"/>
      <c r="AR264" s="352" t="n"/>
      <c r="AS264" s="352" t="n"/>
      <c r="AT264" s="352" t="n"/>
      <c r="AU264" s="352" t="n"/>
      <c r="AV264" s="352" t="n"/>
      <c r="AW264" s="352">
        <f>IF(SUM(R264:AV264)=0,"",SUM(R264:AV264))</f>
        <v/>
      </c>
      <c r="AX264" s="431">
        <f>IFERROR(AW264*O264/1000,"")</f>
        <v/>
      </c>
      <c r="AY264" s="431">
        <f>IFERROR(ROUND(AW264*P264/10000,3),"")</f>
        <v/>
      </c>
      <c r="AZ264" s="354" t="n">
        <v>618.6</v>
      </c>
      <c r="BA264" s="355" t="n">
        <v>39.01</v>
      </c>
      <c r="BB264" s="355" t="n">
        <v>60.79</v>
      </c>
      <c r="BC264" s="355" t="n">
        <v>65.95999999999999</v>
      </c>
      <c r="BE264" s="331">
        <f>AZ264*AW264</f>
        <v/>
      </c>
      <c r="BF264" s="331">
        <f>BA264*AW264</f>
        <v/>
      </c>
      <c r="BG264" s="331">
        <f>BB264*AW264</f>
        <v/>
      </c>
      <c r="BH264" s="331">
        <f>BC264*AW264</f>
        <v/>
      </c>
      <c r="BJ264" s="356">
        <f t="array" ref="BJ264:BM264">_xlfn.LET(_xlpm.data,$R264:$AV264,_xlpm.starts,{1,8,16,23},_xlpm.lengths,{7,7,8,9},_xlpm.arr,_xlfn.MAP(_xlpm.starts,_xlpm.lengths,_xlfn.LAMBDA(_xlpm.s,_xlpm.l,SUM(INDEX(_xlpm.data,,_xlfn.SEQUENCE(,_xlpm.l,_xlpm.s))))),ROUND(_xlpm.arr*$O264/1000,2))</f>
        <v/>
      </c>
      <c r="BK264" s="331" t="n">
        <v>68.55</v>
      </c>
      <c r="BL264" s="331" t="n">
        <v>0</v>
      </c>
      <c r="BM264" s="331" t="n">
        <v>0</v>
      </c>
      <c r="BN264" s="362">
        <f>SUM(BJ264:BM264)</f>
        <v/>
      </c>
      <c r="BO264" s="362" t="n">
        <v>21.64</v>
      </c>
      <c r="BP264" s="362" t="n">
        <v>50.5</v>
      </c>
      <c r="BQ264" s="362" t="n">
        <v>0</v>
      </c>
      <c r="BR264" s="362" t="n">
        <v>0</v>
      </c>
      <c r="BT264" s="362">
        <f t="array" ref="BT264:BW264">_xlfn.HSTACK(SUM(INDEX($R264:$AV264,1,1):INDEX($R264:$AV264,1,7)),SUM(INDEX($R264:$AV264,1,7):INDEX($R264:$AV264,1,13)),SUM(INDEX($R264:$AV264,1,16):INDEX($R264:$AV264,1,23)),SUM(INDEX($R264:$AV264,1,23):INDEX($R264:$AV264,1,31)))</f>
        <v/>
      </c>
      <c r="BU264" s="362" t="n">
        <v>1050</v>
      </c>
      <c r="BV264" s="362" t="n">
        <v>0</v>
      </c>
      <c r="BW264" s="362" t="n">
        <v>0</v>
      </c>
      <c r="BY264" s="362">
        <f>SUM(R264:X264)</f>
        <v/>
      </c>
      <c r="BZ264" s="362">
        <f>SUM(Y264:AE264)</f>
        <v/>
      </c>
      <c r="CA264" s="362">
        <f>SUM(AF264:AM264)</f>
        <v/>
      </c>
      <c r="CB264" s="362">
        <f>SUM(AN264:AV264)</f>
        <v/>
      </c>
      <c r="CD264" s="432" t="inlineStr">
        <is>
          <t>ADA</t>
        </is>
      </c>
      <c r="CE264" s="362">
        <f>ROUND(BY264*$O264/1000,2)</f>
        <v/>
      </c>
      <c r="CF264" s="362">
        <f>ROUND(BZ264*$O264/1000,2)</f>
        <v/>
      </c>
      <c r="CG264" s="362">
        <f>ROUND(CA264*$O264/1000,2)</f>
        <v/>
      </c>
      <c r="CH264" s="362">
        <f>ROUND(CB264*$O264/1000,2)</f>
        <v/>
      </c>
      <c r="CI264" s="362">
        <f>SUM(CE264:CH264)</f>
        <v/>
      </c>
      <c r="CK264" s="362">
        <f>IFERROR(ROUND(BY264*$P264,2),"")</f>
        <v/>
      </c>
      <c r="CL264" s="362">
        <f>IFERROR(ROUND(BZ264*$P264,2),"")</f>
        <v/>
      </c>
      <c r="CM264" s="362">
        <f>IFERROR(ROUND(CA264*$P264,2),"")</f>
        <v/>
      </c>
      <c r="CN264" s="362">
        <f>IFERROR(ROUND(CB264*$P264,2),"")</f>
        <v/>
      </c>
      <c r="CO264" s="362">
        <f>SUM(CK264:CN264)</f>
        <v/>
      </c>
    </row>
    <row r="265" ht="15.6" customHeight="1" s="428">
      <c r="B265" s="344">
        <f>_xlfn.XLOOKUP(G265,销售需求表!A:A,销售需求表!C:C)</f>
        <v/>
      </c>
      <c r="C265" s="345">
        <f>IFERROR(MID(F265,FIND("R",F265)+1,2),"")</f>
        <v/>
      </c>
      <c r="D265" s="368">
        <f>B265&amp;C265&amp;"寸"</f>
        <v/>
      </c>
      <c r="E265" s="346">
        <f>LEFT(REPLACE(G265,1,2,""),FIND("[",REPLACE(G265,1,2,""))-1)&amp;"-"&amp;MID(REPLACE(G265,1,2,""),FIND("[",REPLACE(G265,1,2,""))+1,FIND("]",REPLACE(G265,1,2,""))-FIND("[",REPLACE(G265,1,2,""))-1)</f>
        <v/>
      </c>
      <c r="F265" s="347">
        <f>IFERROR(MID(G265,3,FIND("(",G265)-3)&amp;"-"&amp;SUBSTITUTE(MID(G265,FIND("[",G265)+1,FIND("]",G265)-FIND("[",G265)-1),"Strong Guard ",""),"")</f>
        <v/>
      </c>
      <c r="G265" s="366" t="inlineStr">
        <is>
          <t>ID11.00R20-18PR(152/149F)[EZ330A]雅度</t>
        </is>
      </c>
      <c r="H265" s="344" t="n">
        <v>160</v>
      </c>
      <c r="I265" s="348" t="n"/>
      <c r="J265" s="349">
        <f>IFERROR(LEFT(F265,FIND("-",F265))&amp;MID(F265,FIND("PR",F265,FIND("-",F265))+3,LEN(F265)),F265)</f>
        <v/>
      </c>
      <c r="K265" s="352">
        <f>_xlfn.XLOOKUP(F265,投产规格!E:E,投产规格!D:D,"未投产")</f>
        <v/>
      </c>
      <c r="L265" s="352">
        <f>IFERROR(_xlfn.XLOOKUP(F265,硫化工艺!B:B,硫化工艺!C:C),"")</f>
        <v/>
      </c>
      <c r="M265" s="430">
        <f>IF(L265="","",L265/(L265+$L$1/60))</f>
        <v/>
      </c>
      <c r="N265" s="352">
        <f>C265&amp;"全钢"</f>
        <v/>
      </c>
      <c r="O265" s="352">
        <f>IFERROR(_xlfn.XLOOKUP(F265,轮胎重量!J:J,轮胎重量!G:G),"")</f>
        <v/>
      </c>
      <c r="P265" s="352">
        <f>IFERROR(_xlfn.XLOOKUP(G265,硫化工艺!I:I,硫化工艺!J:J),"")</f>
        <v/>
      </c>
      <c r="Q265" s="352">
        <f>IFERROR(ROUND(1440/L265*(I265)*M265,0),"")</f>
        <v/>
      </c>
      <c r="R265" s="352" t="n"/>
      <c r="S265" s="352" t="n"/>
      <c r="T265" s="352" t="n"/>
      <c r="U265" s="352" t="n"/>
      <c r="V265" s="352" t="n"/>
      <c r="W265" s="352" t="n"/>
      <c r="X265" s="352" t="n"/>
      <c r="Y265" s="352" t="n"/>
      <c r="Z265" s="352" t="n"/>
      <c r="AA265" s="352" t="n"/>
      <c r="AB265" s="352" t="n"/>
      <c r="AC265" s="352" t="n"/>
      <c r="AD265" s="352" t="n"/>
      <c r="AE265" s="352" t="n"/>
      <c r="AF265" s="352" t="n"/>
      <c r="AG265" s="352" t="n"/>
      <c r="AH265" s="352" t="n"/>
      <c r="AI265" s="352" t="n"/>
      <c r="AJ265" s="352" t="n"/>
      <c r="AK265" s="352" t="n"/>
      <c r="AL265" s="352" t="n"/>
      <c r="AM265" s="352" t="n"/>
      <c r="AN265" s="352" t="n">
        <v>60</v>
      </c>
      <c r="AO265" s="352" t="n">
        <v>60</v>
      </c>
      <c r="AP265" s="352" t="n">
        <v>60</v>
      </c>
      <c r="AQ265" s="352" t="n">
        <v>60</v>
      </c>
      <c r="AR265" s="352" t="n">
        <v>60</v>
      </c>
      <c r="AS265" s="352" t="n"/>
      <c r="AT265" s="352" t="n"/>
      <c r="AU265" s="352" t="n"/>
      <c r="AV265" s="352" t="n"/>
      <c r="AW265" s="352">
        <f>IF(SUM(R265:AV265)=0,"",SUM(R265:AV265))</f>
        <v/>
      </c>
      <c r="AX265" s="431">
        <f>IFERROR(AW265*O265/1000,"")</f>
        <v/>
      </c>
      <c r="AY265" s="431">
        <f>IFERROR(ROUND(AW265*P265/10000,3),"")</f>
        <v/>
      </c>
      <c r="AZ265" s="354" t="n">
        <v>618.6</v>
      </c>
      <c r="BA265" s="355" t="n">
        <v>39.01</v>
      </c>
      <c r="BB265" s="355" t="n">
        <v>60.79</v>
      </c>
      <c r="BC265" s="355" t="n">
        <v>65.95999999999999</v>
      </c>
      <c r="BE265" s="331">
        <f>AZ265*AW265</f>
        <v/>
      </c>
      <c r="BF265" s="331">
        <f>BA265*AW265</f>
        <v/>
      </c>
      <c r="BG265" s="331">
        <f>BB265*AW265</f>
        <v/>
      </c>
      <c r="BH265" s="331">
        <f>BC265*AW265</f>
        <v/>
      </c>
      <c r="BJ265" s="356">
        <f t="array" ref="BJ265:BM265">_xlfn.LET(_xlpm.data,$R265:$AV265,_xlpm.starts,{1,8,16,23},_xlpm.lengths,{7,7,8,9},_xlpm.arr,_xlfn.MAP(_xlpm.starts,_xlpm.lengths,_xlfn.LAMBDA(_xlpm.s,_xlpm.l,SUM(INDEX(_xlpm.data,,_xlfn.SEQUENCE(,_xlpm.l,_xlpm.s))))),ROUND(_xlpm.arr*$O265/1000,2))</f>
        <v/>
      </c>
      <c r="BK265" s="331" t="n">
        <v>0</v>
      </c>
      <c r="BL265" s="331" t="n">
        <v>4.32</v>
      </c>
      <c r="BM265" s="331" t="n">
        <v>21.62</v>
      </c>
      <c r="BN265" s="362">
        <f>SUM(BJ265:BM265)</f>
        <v/>
      </c>
      <c r="BO265" s="362" t="n">
        <v>21.64</v>
      </c>
      <c r="BP265" s="362" t="n">
        <v>50.5</v>
      </c>
      <c r="BQ265" s="362" t="n">
        <v>0</v>
      </c>
      <c r="BR265" s="362" t="n">
        <v>0</v>
      </c>
      <c r="BT265" s="362">
        <f t="array" ref="BT265:BW265">_xlfn.HSTACK(SUM(INDEX($R265:$AV265,1,1):INDEX($R265:$AV265,1,7)),SUM(INDEX($R265:$AV265,1,7):INDEX($R265:$AV265,1,13)),SUM(INDEX($R265:$AV265,1,16):INDEX($R265:$AV265,1,23)),SUM(INDEX($R265:$AV265,1,23):INDEX($R265:$AV265,1,31)))</f>
        <v/>
      </c>
      <c r="BU265" s="362" t="n">
        <v>0</v>
      </c>
      <c r="BV265" s="362" t="n">
        <v>60</v>
      </c>
      <c r="BW265" s="362" t="n">
        <v>300</v>
      </c>
      <c r="BY265" s="362">
        <f>SUM(R265:X265)</f>
        <v/>
      </c>
      <c r="BZ265" s="362">
        <f>SUM(Y265:AE265)</f>
        <v/>
      </c>
      <c r="CA265" s="362">
        <f>SUM(AF265:AM265)</f>
        <v/>
      </c>
      <c r="CB265" s="362">
        <f>SUM(AN265:AV265)</f>
        <v/>
      </c>
      <c r="CD265" s="432" t="inlineStr">
        <is>
          <t>ADA</t>
        </is>
      </c>
      <c r="CE265" s="362">
        <f>ROUND(BY265*$O265/1000,2)</f>
        <v/>
      </c>
      <c r="CF265" s="362">
        <f>ROUND(BZ265*$O265/1000,2)</f>
        <v/>
      </c>
      <c r="CG265" s="362">
        <f>ROUND(CA265*$O265/1000,2)</f>
        <v/>
      </c>
      <c r="CH265" s="362">
        <f>ROUND(CB265*$O265/1000,2)</f>
        <v/>
      </c>
      <c r="CI265" s="362">
        <f>SUM(CE265:CH265)</f>
        <v/>
      </c>
      <c r="CK265" s="362">
        <f>IFERROR(ROUND(BY265*$P265,2),"")</f>
        <v/>
      </c>
      <c r="CL265" s="362">
        <f>IFERROR(ROUND(BZ265*$P265,2),"")</f>
        <v/>
      </c>
      <c r="CM265" s="362">
        <f>IFERROR(ROUND(CA265*$P265,2),"")</f>
        <v/>
      </c>
      <c r="CN265" s="362">
        <f>IFERROR(ROUND(CB265*$P265,2),"")</f>
        <v/>
      </c>
      <c r="CO265" s="362">
        <f>SUM(CK265:CN265)</f>
        <v/>
      </c>
    </row>
    <row r="266" ht="15.6" customHeight="1" s="428">
      <c r="B266" s="344">
        <f>_xlfn.XLOOKUP(G266,销售需求表!A:A,销售需求表!C:C)</f>
        <v/>
      </c>
      <c r="C266" s="345">
        <f>IFERROR(MID(F266,FIND("R",F266)+1,2),"")</f>
        <v/>
      </c>
      <c r="D266" s="368">
        <f>B266&amp;C266&amp;"寸"</f>
        <v/>
      </c>
      <c r="E266" s="346">
        <f>LEFT(REPLACE(G266,1,2,""),FIND("[",REPLACE(G266,1,2,""))-1)&amp;"-"&amp;MID(REPLACE(G266,1,2,""),FIND("[",REPLACE(G266,1,2,""))+1,FIND("]",REPLACE(G266,1,2,""))-FIND("[",REPLACE(G266,1,2,""))-1)</f>
        <v/>
      </c>
      <c r="F266" s="347">
        <f>IFERROR(MID(G266,3,FIND("(",G266)-3)&amp;"-"&amp;SUBSTITUTE(MID(G266,FIND("[",G266)+1,FIND("]",G266)-FIND("[",G266)-1),"Strong Guard ",""),"")</f>
        <v/>
      </c>
      <c r="G266" s="366" t="inlineStr">
        <is>
          <t>ID11.00R20-18PR(152/149F)[TZ101]TIANLI</t>
        </is>
      </c>
      <c r="H266" s="344" t="n">
        <v>880</v>
      </c>
      <c r="I266" s="348" t="n"/>
      <c r="J266" s="349">
        <f>IFERROR(LEFT(F266,FIND("-",F266))&amp;MID(F266,FIND("PR",F266,FIND("-",F266))+3,LEN(F266)),F266)</f>
        <v/>
      </c>
      <c r="K266" s="352">
        <f>_xlfn.XLOOKUP(F266,投产规格!E:E,投产规格!D:D,"未投产")</f>
        <v/>
      </c>
      <c r="L266" s="352">
        <f>IFERROR(_xlfn.XLOOKUP(F266,硫化工艺!B:B,硫化工艺!C:C),"")</f>
        <v/>
      </c>
      <c r="M266" s="430">
        <f>IF(L266="","",L266/(L266+$L$1/60))</f>
        <v/>
      </c>
      <c r="N266" s="352">
        <f>C266&amp;"全钢"</f>
        <v/>
      </c>
      <c r="O266" s="352">
        <f>IFERROR(_xlfn.XLOOKUP(F266,轮胎重量!J:J,轮胎重量!G:G),"")</f>
        <v/>
      </c>
      <c r="P266" s="352">
        <f>IFERROR(_xlfn.XLOOKUP(G266,硫化工艺!I:I,硫化工艺!J:J),"")</f>
        <v/>
      </c>
      <c r="Q266" s="352">
        <f>IFERROR(ROUND(1440/L266*(I266)*M266,0),"")</f>
        <v/>
      </c>
      <c r="R266" s="352" t="n"/>
      <c r="S266" s="352" t="n"/>
      <c r="T266" s="352" t="n"/>
      <c r="U266" s="352" t="n"/>
      <c r="V266" s="352" t="n"/>
      <c r="W266" s="352" t="n"/>
      <c r="X266" s="352" t="n"/>
      <c r="Y266" s="352" t="n"/>
      <c r="Z266" s="352" t="n"/>
      <c r="AA266" s="352" t="n"/>
      <c r="AB266" s="352" t="n"/>
      <c r="AC266" s="352" t="n"/>
      <c r="AD266" s="352" t="n"/>
      <c r="AE266" s="352" t="n">
        <v>50</v>
      </c>
      <c r="AF266" s="352" t="n">
        <v>50</v>
      </c>
      <c r="AG266" s="352" t="n">
        <v>50</v>
      </c>
      <c r="AH266" s="352" t="n">
        <v>50</v>
      </c>
      <c r="AI266" s="352" t="n">
        <v>50</v>
      </c>
      <c r="AJ266" s="352" t="n">
        <v>50</v>
      </c>
      <c r="AK266" s="352" t="n">
        <v>50</v>
      </c>
      <c r="AL266" s="352" t="n">
        <v>50</v>
      </c>
      <c r="AM266" s="352" t="n">
        <v>50</v>
      </c>
      <c r="AN266" s="352" t="n">
        <v>50</v>
      </c>
      <c r="AO266" s="352" t="n">
        <v>50</v>
      </c>
      <c r="AP266" s="352" t="n">
        <v>50</v>
      </c>
      <c r="AQ266" s="352" t="n">
        <v>50</v>
      </c>
      <c r="AR266" s="352" t="n">
        <v>50</v>
      </c>
      <c r="AS266" s="352" t="n">
        <v>50</v>
      </c>
      <c r="AT266" s="352" t="n">
        <v>50</v>
      </c>
      <c r="AU266" s="352" t="n">
        <v>50</v>
      </c>
      <c r="AV266" s="352" t="n">
        <v>50</v>
      </c>
      <c r="AW266" s="352">
        <f>IF(SUM(R266:AV266)=0,"",SUM(R266:AV266))</f>
        <v/>
      </c>
      <c r="AX266" s="431">
        <f>IFERROR(AW266*O266/1000,"")</f>
        <v/>
      </c>
      <c r="AY266" s="431">
        <f>IFERROR(ROUND(AW266*P266/10000,3),"")</f>
        <v/>
      </c>
      <c r="AZ266" s="354" t="n">
        <v>657.83</v>
      </c>
      <c r="BA266" s="355" t="n">
        <v>42.94</v>
      </c>
      <c r="BB266" s="355" t="n">
        <v>64.48999999999999</v>
      </c>
      <c r="BC266" s="355" t="n">
        <v>73.23</v>
      </c>
      <c r="BE266" s="331">
        <f>AZ266*AW266</f>
        <v/>
      </c>
      <c r="BF266" s="331">
        <f>BA266*AW266</f>
        <v/>
      </c>
      <c r="BG266" s="331">
        <f>BB266*AW266</f>
        <v/>
      </c>
      <c r="BH266" s="331">
        <f>BC266*AW266</f>
        <v/>
      </c>
      <c r="BJ266" s="356">
        <f t="array" ref="BJ266:BM266">_xlfn.LET(_xlpm.data,$R266:$AV266,_xlpm.starts,{1,8,16,23},_xlpm.lengths,{7,7,8,9},_xlpm.arr,_xlfn.MAP(_xlpm.starts,_xlpm.lengths,_xlfn.LAMBDA(_xlpm.s,_xlpm.l,SUM(INDEX(_xlpm.data,,_xlfn.SEQUENCE(,_xlpm.l,_xlpm.s))))),ROUND(_xlpm.arr*$O266/1000,2))</f>
        <v/>
      </c>
      <c r="BK266" s="331" t="n">
        <v>3.81</v>
      </c>
      <c r="BL266" s="331" t="n">
        <v>30.47</v>
      </c>
      <c r="BM266" s="331" t="n">
        <v>34.28</v>
      </c>
      <c r="BN266" s="362">
        <f>SUM(BJ266:BM266)</f>
        <v/>
      </c>
      <c r="BO266" s="362" t="n">
        <v>0</v>
      </c>
      <c r="BP266" s="362" t="n">
        <v>0</v>
      </c>
      <c r="BQ266" s="362" t="n">
        <v>24.25</v>
      </c>
      <c r="BR266" s="362" t="n">
        <v>27.28</v>
      </c>
      <c r="BT266" s="362">
        <f t="array" ref="BT266:BW266">_xlfn.HSTACK(SUM(INDEX($R266:$AV266,1,1):INDEX($R266:$AV266,1,7)),SUM(INDEX($R266:$AV266,1,7):INDEX($R266:$AV266,1,13)),SUM(INDEX($R266:$AV266,1,16):INDEX($R266:$AV266,1,23)),SUM(INDEX($R266:$AV266,1,23):INDEX($R266:$AV266,1,31)))</f>
        <v/>
      </c>
      <c r="BU266" s="362" t="n">
        <v>0</v>
      </c>
      <c r="BV266" s="362" t="n">
        <v>400</v>
      </c>
      <c r="BW266" s="362" t="n">
        <v>450</v>
      </c>
      <c r="BY266" s="362">
        <f>SUM(R266:X266)</f>
        <v/>
      </c>
      <c r="BZ266" s="362">
        <f>SUM(Y266:AE266)</f>
        <v/>
      </c>
      <c r="CA266" s="362">
        <f>SUM(AF266:AM266)</f>
        <v/>
      </c>
      <c r="CB266" s="362">
        <f>SUM(AN266:AV266)</f>
        <v/>
      </c>
      <c r="CD266" s="432" t="inlineStr">
        <is>
          <t>ADA</t>
        </is>
      </c>
      <c r="CE266" s="362">
        <f>ROUND(BY266*$O266/1000,2)</f>
        <v/>
      </c>
      <c r="CF266" s="362">
        <f>ROUND(BZ266*$O266/1000,2)</f>
        <v/>
      </c>
      <c r="CG266" s="362">
        <f>ROUND(CA266*$O266/1000,2)</f>
        <v/>
      </c>
      <c r="CH266" s="362">
        <f>ROUND(CB266*$O266/1000,2)</f>
        <v/>
      </c>
      <c r="CI266" s="362">
        <f>SUM(CE266:CH266)</f>
        <v/>
      </c>
      <c r="CK266" s="362">
        <f>IFERROR(ROUND(BY266*$P266,2),"")</f>
        <v/>
      </c>
      <c r="CL266" s="362">
        <f>IFERROR(ROUND(BZ266*$P266,2),"")</f>
        <v/>
      </c>
      <c r="CM266" s="362">
        <f>IFERROR(ROUND(CA266*$P266,2),"")</f>
        <v/>
      </c>
      <c r="CN266" s="362">
        <f>IFERROR(ROUND(CB266*$P266,2),"")</f>
        <v/>
      </c>
      <c r="CO266" s="362">
        <f>SUM(CK266:CN266)</f>
        <v/>
      </c>
    </row>
    <row r="267" ht="15.6" customFormat="1" customHeight="1" s="362">
      <c r="A267" s="331" t="n"/>
      <c r="B267" s="344">
        <f>_xlfn.XLOOKUP(G267,销售需求表!A:A,销售需求表!C:C)</f>
        <v/>
      </c>
      <c r="C267" s="345">
        <f>IFERROR(MID(F267,FIND("R",F267)+1,2),"")</f>
        <v/>
      </c>
      <c r="D267" s="368">
        <f>B267&amp;C267&amp;"寸"</f>
        <v/>
      </c>
      <c r="E267" s="346">
        <f>LEFT(REPLACE(G267,1,2,""),FIND("[",REPLACE(G267,1,2,""))-1)&amp;"-"&amp;MID(REPLACE(G267,1,2,""),FIND("[",REPLACE(G267,1,2,""))+1,FIND("]",REPLACE(G267,1,2,""))-FIND("[",REPLACE(G267,1,2,""))-1)</f>
        <v/>
      </c>
      <c r="F267" s="347">
        <f>IFERROR(MID(G267,3,FIND("(",G267)-3)&amp;"-"&amp;SUBSTITUTE(MID(G267,FIND("[",G267)+1,FIND("]",G267)-FIND("[",G267)-1),"Strong Guard ",""),"")</f>
        <v/>
      </c>
      <c r="G267" s="366" t="inlineStr">
        <is>
          <t>ID11.00R20-18PR(152/149K)[AM4S.Q679]EFFIPLUS</t>
        </is>
      </c>
      <c r="H267" s="344" t="n">
        <v>280</v>
      </c>
      <c r="I267" s="348" t="n"/>
      <c r="J267" s="349">
        <f>IFERROR(LEFT(F267,FIND("-",F267))&amp;MID(F267,FIND("PR",F267,FIND("-",F267))+3,LEN(F267)),F267)</f>
        <v/>
      </c>
      <c r="K267" s="352">
        <f>_xlfn.XLOOKUP(F267,投产规格!E:E,投产规格!D:D,"未投产")</f>
        <v/>
      </c>
      <c r="L267" s="352">
        <f>IFERROR(_xlfn.XLOOKUP(F267,硫化工艺!B:B,硫化工艺!C:C),"")</f>
        <v/>
      </c>
      <c r="M267" s="430">
        <f>IF(L267="","",L267/(L267+$L$1/60))</f>
        <v/>
      </c>
      <c r="N267" s="352">
        <f>C267&amp;"全钢"</f>
        <v/>
      </c>
      <c r="O267" s="352">
        <f>IFERROR(_xlfn.XLOOKUP(F267,轮胎重量!J:J,轮胎重量!G:G),"")</f>
        <v/>
      </c>
      <c r="P267" s="358">
        <f>O267*13.9</f>
        <v/>
      </c>
      <c r="Q267" s="352">
        <f>IFERROR(ROUND(1440/L267*(I267)*M267,0),"")</f>
        <v/>
      </c>
      <c r="R267" s="352" t="n"/>
      <c r="S267" s="352" t="n"/>
      <c r="T267" s="352" t="n"/>
      <c r="U267" s="352" t="n"/>
      <c r="V267" s="352" t="n"/>
      <c r="W267" s="352" t="n"/>
      <c r="X267" s="352" t="n"/>
      <c r="Y267" s="352" t="n"/>
      <c r="Z267" s="352" t="n"/>
      <c r="AA267" s="352" t="n"/>
      <c r="AB267" s="352" t="n"/>
      <c r="AC267" s="352" t="n"/>
      <c r="AD267" s="352" t="n"/>
      <c r="AE267" s="352" t="n"/>
      <c r="AF267" s="352" t="n"/>
      <c r="AG267" s="352" t="n"/>
      <c r="AH267" s="352" t="n"/>
      <c r="AI267" s="352" t="n"/>
      <c r="AJ267" s="352" t="n"/>
      <c r="AK267" s="352" t="n"/>
      <c r="AL267" s="352" t="n"/>
      <c r="AM267" s="352" t="n"/>
      <c r="AN267" s="352" t="n"/>
      <c r="AO267" s="352" t="n"/>
      <c r="AP267" s="352" t="n"/>
      <c r="AQ267" s="352" t="n"/>
      <c r="AR267" s="352" t="n"/>
      <c r="AS267" s="352" t="n">
        <v>60</v>
      </c>
      <c r="AT267" s="352" t="n">
        <v>60</v>
      </c>
      <c r="AU267" s="352" t="n">
        <v>60</v>
      </c>
      <c r="AV267" s="352" t="n">
        <v>60</v>
      </c>
      <c r="AW267" s="352">
        <f>IF(SUM(R267:AV267)=0,"",SUM(R267:AV267))</f>
        <v/>
      </c>
      <c r="AX267" s="431">
        <f>IFERROR(AW267*O267/1000,"")</f>
        <v/>
      </c>
      <c r="AY267" s="431">
        <f>IFERROR(ROUND(AW267*P267/10000,3),"")</f>
        <v/>
      </c>
      <c r="AZ267" s="354" t="n">
        <v>657.83</v>
      </c>
      <c r="BA267" s="355" t="n">
        <v>42.94</v>
      </c>
      <c r="BB267" s="355" t="n">
        <v>64.48999999999999</v>
      </c>
      <c r="BC267" s="355" t="n">
        <v>73.23</v>
      </c>
      <c r="BD267" s="331" t="n"/>
      <c r="BE267" s="331">
        <f>AZ267*AW267</f>
        <v/>
      </c>
      <c r="BF267" s="331">
        <f>BA267*AW267</f>
        <v/>
      </c>
      <c r="BG267" s="331">
        <f>BB267*AW267</f>
        <v/>
      </c>
      <c r="BH267" s="331">
        <f>BC267*AW267</f>
        <v/>
      </c>
      <c r="BI267" s="331" t="n"/>
      <c r="BJ267" s="356">
        <f t="array" ref="BJ267:BM267">_xlfn.LET(_xlpm.data,$R267:$AV267,_xlpm.starts,{1,8,16,23},_xlpm.lengths,{7,7,8,9},_xlpm.arr,_xlfn.MAP(_xlpm.starts,_xlpm.lengths,_xlfn.LAMBDA(_xlpm.s,_xlpm.l,SUM(INDEX(_xlpm.data,,_xlfn.SEQUENCE(,_xlpm.l,_xlpm.s))))),ROUND(_xlpm.arr*$O267/1000,2))</f>
        <v/>
      </c>
      <c r="BK267" s="331" t="n">
        <v>0</v>
      </c>
      <c r="BL267" s="331" t="n">
        <v>0</v>
      </c>
      <c r="BM267" s="331" t="n">
        <v>18.78</v>
      </c>
      <c r="BN267" s="362">
        <f>SUM(BJ267:BM267)</f>
        <v/>
      </c>
      <c r="BO267" s="362" t="n">
        <v>0</v>
      </c>
      <c r="BP267" s="362" t="n">
        <v>0</v>
      </c>
      <c r="BQ267" s="362" t="n">
        <v>24.25</v>
      </c>
      <c r="BR267" s="362" t="n">
        <v>27.28</v>
      </c>
      <c r="BS267" s="115" t="n"/>
      <c r="BT267" s="362">
        <f t="array" ref="BT267:BW267">_xlfn.HSTACK(SUM(INDEX($R267:$AV267,1,1):INDEX($R267:$AV267,1,7)),SUM(INDEX($R267:$AV267,1,7):INDEX($R267:$AV267,1,13)),SUM(INDEX($R267:$AV267,1,16):INDEX($R267:$AV267,1,23)),SUM(INDEX($R267:$AV267,1,23):INDEX($R267:$AV267,1,31)))</f>
        <v/>
      </c>
      <c r="BU267" s="362" t="n">
        <v>0</v>
      </c>
      <c r="BV267" s="362" t="n">
        <v>0</v>
      </c>
      <c r="BW267" s="362" t="n">
        <v>240</v>
      </c>
      <c r="BY267" s="362">
        <f>SUM(R267:X267)</f>
        <v/>
      </c>
      <c r="BZ267" s="362">
        <f>SUM(Y267:AE267)</f>
        <v/>
      </c>
      <c r="CA267" s="362">
        <f>SUM(AF267:AM267)</f>
        <v/>
      </c>
      <c r="CB267" s="362">
        <f>SUM(AN267:AV267)</f>
        <v/>
      </c>
      <c r="CD267" s="432" t="inlineStr">
        <is>
          <t>ADA</t>
        </is>
      </c>
      <c r="CE267" s="362">
        <f>ROUND(BY267*$O267/1000,2)</f>
        <v/>
      </c>
      <c r="CF267" s="362">
        <f>ROUND(BZ267*$O267/1000,2)</f>
        <v/>
      </c>
      <c r="CG267" s="362">
        <f>ROUND(CA267*$O267/1000,2)</f>
        <v/>
      </c>
      <c r="CH267" s="362">
        <f>ROUND(CB267*$O267/1000,2)</f>
        <v/>
      </c>
      <c r="CI267" s="362">
        <f>SUM(CE267:CH267)</f>
        <v/>
      </c>
      <c r="CJ267" s="390" t="n"/>
      <c r="CK267" s="362">
        <f>IFERROR(ROUND(BY267*$P267,2),"")</f>
        <v/>
      </c>
      <c r="CL267" s="362">
        <f>IFERROR(ROUND(BZ267*$P267,2),"")</f>
        <v/>
      </c>
      <c r="CM267" s="362">
        <f>IFERROR(ROUND(CA267*$P267,2),"")</f>
        <v/>
      </c>
      <c r="CN267" s="362">
        <f>IFERROR(ROUND(CB267*$P267,2),"")</f>
        <v/>
      </c>
      <c r="CO267" s="362">
        <f>SUM(CK267:CN267)</f>
        <v/>
      </c>
    </row>
    <row r="268" ht="15.6" customFormat="1" customHeight="1" s="362">
      <c r="A268" s="331" t="n"/>
      <c r="B268" s="344">
        <f>_xlfn.XLOOKUP(G268,销售需求表!A:A,销售需求表!C:C)</f>
        <v/>
      </c>
      <c r="C268" s="345">
        <f>IFERROR(MID(F268,FIND("R",F268)+1,2),"")</f>
        <v/>
      </c>
      <c r="D268" s="368">
        <f>B268&amp;C268&amp;"寸"</f>
        <v/>
      </c>
      <c r="E268" s="346">
        <f>LEFT(REPLACE(G268,1,2,""),FIND("[",REPLACE(G268,1,2,""))-1)&amp;"-"&amp;MID(REPLACE(G268,1,2,""),FIND("[",REPLACE(G268,1,2,""))+1,FIND("]",REPLACE(G268,1,2,""))-FIND("[",REPLACE(G268,1,2,""))-1)</f>
        <v/>
      </c>
      <c r="F268" s="347">
        <f>IFERROR(MID(G268,3,FIND("(",G268)-3)&amp;"-"&amp;SUBSTITUTE(MID(G268,FIND("[",G268)+1,FIND("]",G268)-FIND("[",G268)-1),"Strong Guard ",""),"")</f>
        <v/>
      </c>
      <c r="G268" s="366" t="inlineStr">
        <is>
          <t>ID11.00R20-18PR(152/149K)[AS578]雅度</t>
        </is>
      </c>
      <c r="H268" s="344" t="n">
        <v>500</v>
      </c>
      <c r="I268" s="348" t="n"/>
      <c r="J268" s="349">
        <f>IFERROR(LEFT(F268,FIND("-",F268))&amp;MID(F268,FIND("PR",F268,FIND("-",F268))+3,LEN(F268)),F268)</f>
        <v/>
      </c>
      <c r="K268" s="352">
        <f>_xlfn.XLOOKUP(F268,投产规格!E:E,投产规格!D:D,"未投产")</f>
        <v/>
      </c>
      <c r="L268" s="352">
        <f>IFERROR(_xlfn.XLOOKUP(F268,硫化工艺!B:B,硫化工艺!C:C),"")</f>
        <v/>
      </c>
      <c r="M268" s="430">
        <f>IF(L268="","",L268/(L268+$L$1/60))</f>
        <v/>
      </c>
      <c r="N268" s="352">
        <f>C268&amp;"全钢"</f>
        <v/>
      </c>
      <c r="O268" s="352">
        <f>IFERROR(_xlfn.XLOOKUP(F268,轮胎重量!J:J,轮胎重量!G:G),"")</f>
        <v/>
      </c>
      <c r="P268" s="352">
        <f>IFERROR(_xlfn.XLOOKUP(G268,硫化工艺!I:I,硫化工艺!J:J),"")</f>
        <v/>
      </c>
      <c r="Q268" s="352">
        <f>IFERROR(ROUND(1440/L268*(I268)*M268,0),"")</f>
        <v/>
      </c>
      <c r="R268" s="352" t="n"/>
      <c r="S268" s="352" t="n"/>
      <c r="T268" s="352" t="n"/>
      <c r="U268" s="352" t="n"/>
      <c r="V268" s="352" t="n"/>
      <c r="W268" s="352" t="n"/>
      <c r="X268" s="352" t="n"/>
      <c r="Y268" s="352" t="n"/>
      <c r="Z268" s="352" t="n"/>
      <c r="AA268" s="352" t="n"/>
      <c r="AB268" s="352" t="n"/>
      <c r="AC268" s="352" t="n"/>
      <c r="AD268" s="352" t="n"/>
      <c r="AE268" s="352" t="n">
        <v>60</v>
      </c>
      <c r="AF268" s="352" t="n">
        <v>60</v>
      </c>
      <c r="AG268" s="352" t="n">
        <v>60</v>
      </c>
      <c r="AH268" s="352" t="n">
        <v>60</v>
      </c>
      <c r="AI268" s="352" t="n">
        <v>60</v>
      </c>
      <c r="AJ268" s="352" t="n">
        <v>60</v>
      </c>
      <c r="AK268" s="352" t="n">
        <v>60</v>
      </c>
      <c r="AL268" s="352" t="n">
        <v>60</v>
      </c>
      <c r="AM268" s="352" t="n">
        <v>60</v>
      </c>
      <c r="AN268" s="352" t="n"/>
      <c r="AO268" s="352" t="n"/>
      <c r="AP268" s="352" t="n"/>
      <c r="AQ268" s="352" t="n"/>
      <c r="AR268" s="352" t="n"/>
      <c r="AS268" s="352" t="n"/>
      <c r="AT268" s="352" t="n"/>
      <c r="AU268" s="352" t="n"/>
      <c r="AV268" s="352" t="n"/>
      <c r="AW268" s="352">
        <f>IF(SUM(R268:AV268)=0,"",SUM(R268:AV268))</f>
        <v/>
      </c>
      <c r="AX268" s="431">
        <f>IFERROR(AW268*O268/1000,"")</f>
        <v/>
      </c>
      <c r="AY268" s="431">
        <f>IFERROR(ROUND(AW268*P268/10000,3),"")</f>
        <v/>
      </c>
      <c r="AZ268" s="354" t="n">
        <v>657.83</v>
      </c>
      <c r="BA268" s="355" t="n">
        <v>42.94</v>
      </c>
      <c r="BB268" s="355" t="n">
        <v>64.48999999999999</v>
      </c>
      <c r="BC268" s="355" t="n">
        <v>73.23</v>
      </c>
      <c r="BD268" s="331" t="n"/>
      <c r="BE268" s="331">
        <f>AZ268*AW268</f>
        <v/>
      </c>
      <c r="BF268" s="331">
        <f>BA268*AW268</f>
        <v/>
      </c>
      <c r="BG268" s="331">
        <f>BB268*AW268</f>
        <v/>
      </c>
      <c r="BH268" s="331">
        <f>BC268*AW268</f>
        <v/>
      </c>
      <c r="BI268" s="331" t="n"/>
      <c r="BJ268" s="356">
        <f t="array" ref="BJ268:BM268">_xlfn.LET(_xlpm.data,$R268:$AV268,_xlpm.starts,{1,8,16,23},_xlpm.lengths,{7,7,8,9},_xlpm.arr,_xlfn.MAP(_xlpm.starts,_xlpm.lengths,_xlfn.LAMBDA(_xlpm.s,_xlpm.l,SUM(INDEX(_xlpm.data,,_xlfn.SEQUENCE(,_xlpm.l,_xlpm.s))))),ROUND(_xlpm.arr*$O268/1000,2))</f>
        <v/>
      </c>
      <c r="BK268" s="331" t="n">
        <v>4.04</v>
      </c>
      <c r="BL268" s="331" t="n">
        <v>28.3</v>
      </c>
      <c r="BM268" s="331" t="n">
        <v>0</v>
      </c>
      <c r="BN268" s="362">
        <f>SUM(BJ268:BM268)</f>
        <v/>
      </c>
      <c r="BO268" s="362" t="n">
        <v>0</v>
      </c>
      <c r="BP268" s="362" t="n">
        <v>0</v>
      </c>
      <c r="BQ268" s="362" t="n">
        <v>24.25</v>
      </c>
      <c r="BR268" s="362" t="n">
        <v>27.28</v>
      </c>
      <c r="BS268" s="115" t="n"/>
      <c r="BT268" s="362">
        <f t="array" ref="BT268:BW268">_xlfn.HSTACK(SUM(INDEX($R268:$AV268,1,1):INDEX($R268:$AV268,1,7)),SUM(INDEX($R268:$AV268,1,7):INDEX($R268:$AV268,1,13)),SUM(INDEX($R268:$AV268,1,16):INDEX($R268:$AV268,1,23)),SUM(INDEX($R268:$AV268,1,23):INDEX($R268:$AV268,1,31)))</f>
        <v/>
      </c>
      <c r="BU268" s="362" t="n">
        <v>0</v>
      </c>
      <c r="BV268" s="362" t="n">
        <v>420</v>
      </c>
      <c r="BW268" s="362" t="n">
        <v>0</v>
      </c>
      <c r="BY268" s="362">
        <f>SUM(R268:X268)</f>
        <v/>
      </c>
      <c r="BZ268" s="362">
        <f>SUM(Y268:AE268)</f>
        <v/>
      </c>
      <c r="CA268" s="362">
        <f>SUM(AF268:AM268)</f>
        <v/>
      </c>
      <c r="CB268" s="362">
        <f>SUM(AN268:AV268)</f>
        <v/>
      </c>
      <c r="CD268" s="432" t="inlineStr">
        <is>
          <t>ADA</t>
        </is>
      </c>
      <c r="CE268" s="362">
        <f>ROUND(BY268*$O268/1000,2)</f>
        <v/>
      </c>
      <c r="CF268" s="362">
        <f>ROUND(BZ268*$O268/1000,2)</f>
        <v/>
      </c>
      <c r="CG268" s="362">
        <f>ROUND(CA268*$O268/1000,2)</f>
        <v/>
      </c>
      <c r="CH268" s="362">
        <f>ROUND(CB268*$O268/1000,2)</f>
        <v/>
      </c>
      <c r="CI268" s="362">
        <f>SUM(CE268:CH268)</f>
        <v/>
      </c>
      <c r="CJ268" s="390" t="n"/>
      <c r="CK268" s="362">
        <f>IFERROR(ROUND(BY268*$P268,2),"")</f>
        <v/>
      </c>
      <c r="CL268" s="362">
        <f>IFERROR(ROUND(BZ268*$P268,2),"")</f>
        <v/>
      </c>
      <c r="CM268" s="362">
        <f>IFERROR(ROUND(CA268*$P268,2),"")</f>
        <v/>
      </c>
      <c r="CN268" s="362">
        <f>IFERROR(ROUND(CB268*$P268,2),"")</f>
        <v/>
      </c>
      <c r="CO268" s="362">
        <f>SUM(CK268:CN268)</f>
        <v/>
      </c>
    </row>
    <row r="269" ht="15.6" customHeight="1" s="428">
      <c r="B269" s="344">
        <f>_xlfn.XLOOKUP(G269,销售需求表!A:A,销售需求表!C:C)</f>
        <v/>
      </c>
      <c r="C269" s="345">
        <f>IFERROR(MID(F269,FIND("R",F269)+1,2),"")</f>
        <v/>
      </c>
      <c r="D269" s="368">
        <f>B269&amp;C269&amp;"寸"</f>
        <v/>
      </c>
      <c r="E269" s="346">
        <f>LEFT(REPLACE(G269,1,2,""),FIND("[",REPLACE(G269,1,2,""))-1)&amp;"-"&amp;MID(REPLACE(G269,1,2,""),FIND("[",REPLACE(G269,1,2,""))+1,FIND("]",REPLACE(G269,1,2,""))-FIND("[",REPLACE(G269,1,2,""))-1)</f>
        <v/>
      </c>
      <c r="F269" s="347">
        <f>IFERROR(MID(G269,3,FIND("(",G269)-3)&amp;"-"&amp;SUBSTITUTE(MID(G269,FIND("[",G269)+1,FIND("]",G269)-FIND("[",G269)-1),"Strong Guard ",""),"")</f>
        <v/>
      </c>
      <c r="G269" s="366" t="inlineStr">
        <is>
          <t>ID11.00R20-18PR(152/149K)[AZ676]TRAZANO(全诺)</t>
        </is>
      </c>
      <c r="H269" s="344" t="n">
        <v>660</v>
      </c>
      <c r="I269" s="348" t="n">
        <v>2</v>
      </c>
      <c r="J269" s="349">
        <f>IFERROR(LEFT(F269,FIND("-",F269))&amp;MID(F269,FIND("PR",F269,FIND("-",F269))+3,LEN(F269)),F269)</f>
        <v/>
      </c>
      <c r="K269" s="352">
        <f>_xlfn.XLOOKUP(F269,投产规格!E:E,投产规格!D:D,"未投产")</f>
        <v/>
      </c>
      <c r="L269" s="352">
        <f>IFERROR(_xlfn.XLOOKUP(F269,硫化工艺!B:B,硫化工艺!C:C),"")</f>
        <v/>
      </c>
      <c r="M269" s="430">
        <f>IF(L269="","",L269/(L269+$L$1/60))</f>
        <v/>
      </c>
      <c r="N269" s="352">
        <f>C269&amp;"全钢"</f>
        <v/>
      </c>
      <c r="O269" s="352">
        <f>IFERROR(_xlfn.XLOOKUP(F269,轮胎重量!J:J,轮胎重量!G:G),"")</f>
        <v/>
      </c>
      <c r="P269" s="352">
        <f>IFERROR(_xlfn.XLOOKUP(G269,硫化工艺!I:I,硫化工艺!J:J),"")</f>
        <v/>
      </c>
      <c r="Q269" s="352">
        <f>IFERROR(ROUND(1440/L269*(I269)*M269,0),"")</f>
        <v/>
      </c>
      <c r="R269" s="352" t="n">
        <v>50</v>
      </c>
      <c r="S269" s="352" t="n">
        <v>50</v>
      </c>
      <c r="T269" s="352" t="n">
        <v>50</v>
      </c>
      <c r="U269" s="352" t="n">
        <v>50</v>
      </c>
      <c r="V269" s="352" t="n">
        <v>50</v>
      </c>
      <c r="W269" s="352" t="n">
        <v>50</v>
      </c>
      <c r="X269" s="352" t="n">
        <v>50</v>
      </c>
      <c r="Y269" s="352" t="n">
        <v>50</v>
      </c>
      <c r="Z269" s="352" t="n">
        <v>50</v>
      </c>
      <c r="AA269" s="352" t="n">
        <v>50</v>
      </c>
      <c r="AB269" s="352" t="n">
        <v>50</v>
      </c>
      <c r="AC269" s="352" t="n">
        <v>50</v>
      </c>
      <c r="AD269" s="352" t="n">
        <v>50</v>
      </c>
      <c r="AE269" s="352" t="n"/>
      <c r="AF269" s="352" t="n"/>
      <c r="AG269" s="352" t="n"/>
      <c r="AH269" s="352" t="n"/>
      <c r="AI269" s="352" t="n"/>
      <c r="AJ269" s="352" t="n"/>
      <c r="AK269" s="352" t="n"/>
      <c r="AL269" s="352" t="n"/>
      <c r="AM269" s="352" t="n"/>
      <c r="AN269" s="352" t="n"/>
      <c r="AO269" s="352" t="n"/>
      <c r="AP269" s="352" t="n"/>
      <c r="AQ269" s="352" t="n"/>
      <c r="AR269" s="352" t="n"/>
      <c r="AS269" s="352" t="n"/>
      <c r="AT269" s="352" t="n"/>
      <c r="AU269" s="352" t="n"/>
      <c r="AV269" s="352" t="n"/>
      <c r="AW269" s="352">
        <f>IF(SUM(R269:AV269)=0,"",SUM(R269:AV269))</f>
        <v/>
      </c>
      <c r="AX269" s="431">
        <f>IFERROR(AW269*O269/1000,"")</f>
        <v/>
      </c>
      <c r="AY269" s="431">
        <f>IFERROR(ROUND(AW269*P269/10000,3),"")</f>
        <v/>
      </c>
      <c r="AZ269" s="354" t="n">
        <v>677.88</v>
      </c>
      <c r="BA269" s="355" t="n">
        <v>44.56</v>
      </c>
      <c r="BB269" s="355" t="n">
        <v>66.37</v>
      </c>
      <c r="BC269" s="355" t="n">
        <v>75.26000000000001</v>
      </c>
      <c r="BE269" s="331">
        <f>AZ269*AW269</f>
        <v/>
      </c>
      <c r="BF269" s="331">
        <f>BA269*AW269</f>
        <v/>
      </c>
      <c r="BG269" s="331">
        <f>BB269*AW269</f>
        <v/>
      </c>
      <c r="BH269" s="331">
        <f>BC269*AW269</f>
        <v/>
      </c>
      <c r="BJ269" s="356">
        <f t="array" ref="BJ269:BM269">_xlfn.LET(_xlpm.data,$R269:$AV269,_xlpm.starts,{1,8,16,23},_xlpm.lengths,{7,7,8,9},_xlpm.arr,_xlfn.MAP(_xlpm.starts,_xlpm.lengths,_xlfn.LAMBDA(_xlpm.s,_xlpm.l,SUM(INDEX(_xlpm.data,,_xlfn.SEQUENCE(,_xlpm.l,_xlpm.s))))),ROUND(_xlpm.arr*$O269/1000,2))</f>
        <v/>
      </c>
      <c r="BK269" s="331" t="n">
        <v>19.83</v>
      </c>
      <c r="BL269" s="331" t="n">
        <v>0</v>
      </c>
      <c r="BM269" s="331" t="n">
        <v>0</v>
      </c>
      <c r="BN269" s="362">
        <f>SUM(BJ269:BM269)</f>
        <v/>
      </c>
      <c r="BO269" s="362" t="n">
        <v>0</v>
      </c>
      <c r="BP269" s="362" t="n">
        <v>0</v>
      </c>
      <c r="BQ269" s="362" t="n">
        <v>0</v>
      </c>
      <c r="BR269" s="362" t="n">
        <v>0</v>
      </c>
      <c r="BT269" s="362">
        <f t="array" ref="BT269:BW269">_xlfn.HSTACK(SUM(INDEX($R269:$AV269,1,1):INDEX($R269:$AV269,1,7)),SUM(INDEX($R269:$AV269,1,7):INDEX($R269:$AV269,1,13)),SUM(INDEX($R269:$AV269,1,16):INDEX($R269:$AV269,1,23)),SUM(INDEX($R269:$AV269,1,23):INDEX($R269:$AV269,1,31)))</f>
        <v/>
      </c>
      <c r="BU269" s="362" t="n">
        <v>350</v>
      </c>
      <c r="BV269" s="362" t="n">
        <v>0</v>
      </c>
      <c r="BW269" s="362" t="n">
        <v>0</v>
      </c>
      <c r="BY269" s="362">
        <f>SUM(R269:X269)</f>
        <v/>
      </c>
      <c r="BZ269" s="362">
        <f>SUM(Y269:AE269)</f>
        <v/>
      </c>
      <c r="CA269" s="362">
        <f>SUM(AF269:AM269)</f>
        <v/>
      </c>
      <c r="CB269" s="362">
        <f>SUM(AN269:AV269)</f>
        <v/>
      </c>
      <c r="CD269" s="432" t="inlineStr">
        <is>
          <t>ADA</t>
        </is>
      </c>
      <c r="CE269" s="362">
        <f>ROUND(BY269*$O269/1000,2)</f>
        <v/>
      </c>
      <c r="CF269" s="362">
        <f>ROUND(BZ269*$O269/1000,2)</f>
        <v/>
      </c>
      <c r="CG269" s="362">
        <f>ROUND(CA269*$O269/1000,2)</f>
        <v/>
      </c>
      <c r="CH269" s="362">
        <f>ROUND(CB269*$O269/1000,2)</f>
        <v/>
      </c>
      <c r="CI269" s="362">
        <f>SUM(CE269:CH269)</f>
        <v/>
      </c>
      <c r="CK269" s="362">
        <f>IFERROR(ROUND(BY269*$P269,2),"")</f>
        <v/>
      </c>
      <c r="CL269" s="362">
        <f>IFERROR(ROUND(BZ269*$P269,2),"")</f>
        <v/>
      </c>
      <c r="CM269" s="362">
        <f>IFERROR(ROUND(CA269*$P269,2),"")</f>
        <v/>
      </c>
      <c r="CN269" s="362">
        <f>IFERROR(ROUND(CB269*$P269,2),"")</f>
        <v/>
      </c>
      <c r="CO269" s="362">
        <f>SUM(CK269:CN269)</f>
        <v/>
      </c>
    </row>
    <row r="270" ht="15.6" customHeight="1" s="428">
      <c r="B270" s="344">
        <f>_xlfn.XLOOKUP(G270,销售需求表!A:A,销售需求表!C:C)</f>
        <v/>
      </c>
      <c r="C270" s="345">
        <f>IFERROR(MID(F270,FIND("R",F270)+1,2),"")</f>
        <v/>
      </c>
      <c r="D270" s="368">
        <f>B270&amp;C270&amp;"寸"</f>
        <v/>
      </c>
      <c r="E270" s="346">
        <f>LEFT(REPLACE(G270,1,2,""),FIND("[",REPLACE(G270,1,2,""))-1)&amp;"-"&amp;MID(REPLACE(G270,1,2,""),FIND("[",REPLACE(G270,1,2,""))+1,FIND("]",REPLACE(G270,1,2,""))-FIND("[",REPLACE(G270,1,2,""))-1)</f>
        <v/>
      </c>
      <c r="F270" s="347">
        <f>IFERROR(MID(G270,3,FIND("(",G270)-3)&amp;"-"&amp;SUBSTITUTE(MID(G270,FIND("[",G270)+1,FIND("]",G270)-FIND("[",G270)-1),"Strong Guard ",""),"")</f>
        <v/>
      </c>
      <c r="G270" s="366" t="inlineStr">
        <is>
          <t>ID11.00R20-18PR(152/149K)[AZ850]朝阳</t>
        </is>
      </c>
      <c r="H270" s="344" t="n">
        <v>200</v>
      </c>
      <c r="I270" s="348" t="n"/>
      <c r="J270" s="349">
        <f>IFERROR(LEFT(F270,FIND("-",F270))&amp;MID(F270,FIND("PR",F270,FIND("-",F270))+3,LEN(F270)),F270)</f>
        <v/>
      </c>
      <c r="K270" s="352">
        <f>_xlfn.XLOOKUP(F270,投产规格!E:E,投产规格!D:D,"未投产")</f>
        <v/>
      </c>
      <c r="L270" s="352">
        <f>IFERROR(_xlfn.XLOOKUP(F270,硫化工艺!B:B,硫化工艺!C:C),"")</f>
        <v/>
      </c>
      <c r="M270" s="430">
        <f>IF(L270="","",L270/(L270+$L$1/60))</f>
        <v/>
      </c>
      <c r="N270" s="352">
        <f>C270&amp;"全钢"</f>
        <v/>
      </c>
      <c r="O270" s="352">
        <f>IFERROR(_xlfn.XLOOKUP(F270,轮胎重量!J:J,轮胎重量!G:G),"")</f>
        <v/>
      </c>
      <c r="P270" s="352">
        <f>IFERROR(_xlfn.XLOOKUP(G270,硫化工艺!I:I,硫化工艺!J:J),"")</f>
        <v/>
      </c>
      <c r="Q270" s="352">
        <f>IFERROR(ROUND(1440/L270*(I270)*M270,0),"")</f>
        <v/>
      </c>
      <c r="R270" s="352" t="n"/>
      <c r="S270" s="352" t="n"/>
      <c r="T270" s="352" t="n"/>
      <c r="U270" s="352" t="n"/>
      <c r="V270" s="352" t="n"/>
      <c r="W270" s="352" t="n"/>
      <c r="X270" s="352" t="n"/>
      <c r="Y270" s="352" t="n"/>
      <c r="Z270" s="352" t="n"/>
      <c r="AA270" s="352" t="n"/>
      <c r="AB270" s="352" t="n"/>
      <c r="AC270" s="352" t="n"/>
      <c r="AD270" s="352" t="n"/>
      <c r="AE270" s="352" t="n"/>
      <c r="AF270" s="352" t="n">
        <v>50</v>
      </c>
      <c r="AG270" s="352" t="n">
        <v>50</v>
      </c>
      <c r="AH270" s="352" t="n">
        <v>50</v>
      </c>
      <c r="AI270" s="352" t="n">
        <v>50</v>
      </c>
      <c r="AJ270" s="352" t="n">
        <v>50</v>
      </c>
      <c r="AK270" s="352" t="n">
        <v>50</v>
      </c>
      <c r="AL270" s="352" t="n">
        <v>50</v>
      </c>
      <c r="AM270" s="352" t="n">
        <v>50</v>
      </c>
      <c r="AN270" s="352" t="n"/>
      <c r="AO270" s="352" t="n"/>
      <c r="AP270" s="352" t="n"/>
      <c r="AQ270" s="352" t="n"/>
      <c r="AR270" s="352" t="n"/>
      <c r="AS270" s="352" t="n"/>
      <c r="AT270" s="352" t="n"/>
      <c r="AU270" s="352" t="n"/>
      <c r="AV270" s="352" t="n"/>
      <c r="AW270" s="352">
        <f>IF(SUM(R270:AV270)=0,"",SUM(R270:AV270))</f>
        <v/>
      </c>
      <c r="AX270" s="431">
        <f>IFERROR(AW270*O270/1000,"")</f>
        <v/>
      </c>
      <c r="AY270" s="431">
        <f>IFERROR(ROUND(AW270*P270/10000,3),"")</f>
        <v/>
      </c>
      <c r="AZ270" s="354" t="n">
        <v>677.88</v>
      </c>
      <c r="BA270" s="355" t="n">
        <v>44.56</v>
      </c>
      <c r="BB270" s="355" t="n">
        <v>66.37</v>
      </c>
      <c r="BC270" s="355" t="n">
        <v>75.26000000000001</v>
      </c>
      <c r="BE270" s="331">
        <f>AZ270*AW270</f>
        <v/>
      </c>
      <c r="BF270" s="331">
        <f>BA270*AW270</f>
        <v/>
      </c>
      <c r="BG270" s="331">
        <f>BB270*AW270</f>
        <v/>
      </c>
      <c r="BH270" s="331">
        <f>BC270*AW270</f>
        <v/>
      </c>
      <c r="BJ270" s="356">
        <f t="array" ref="BJ270:BM270">_xlfn.LET(_xlpm.data,$R270:$AV270,_xlpm.starts,{1,8,16,23},_xlpm.lengths,{7,7,8,9},_xlpm.arr,_xlfn.MAP(_xlpm.starts,_xlpm.lengths,_xlfn.LAMBDA(_xlpm.s,_xlpm.l,SUM(INDEX(_xlpm.data,,_xlfn.SEQUENCE(,_xlpm.l,_xlpm.s))))),ROUND(_xlpm.arr*$O270/1000,2))</f>
        <v/>
      </c>
      <c r="BK270" s="331" t="n">
        <v>0</v>
      </c>
      <c r="BL270" s="331" t="n">
        <v>23.87</v>
      </c>
      <c r="BM270" s="331" t="n">
        <v>0</v>
      </c>
      <c r="BN270" s="362">
        <f>SUM(BJ270:BM270)</f>
        <v/>
      </c>
      <c r="BO270" s="362" t="n">
        <v>0</v>
      </c>
      <c r="BP270" s="362" t="n">
        <v>0</v>
      </c>
      <c r="BQ270" s="362" t="n">
        <v>25.61</v>
      </c>
      <c r="BR270" s="362" t="n">
        <v>28.81</v>
      </c>
      <c r="BT270" s="362">
        <f t="array" ref="BT270:BW270">_xlfn.HSTACK(SUM(INDEX($R270:$AV270,1,1):INDEX($R270:$AV270,1,7)),SUM(INDEX($R270:$AV270,1,7):INDEX($R270:$AV270,1,13)),SUM(INDEX($R270:$AV270,1,16):INDEX($R270:$AV270,1,23)),SUM(INDEX($R270:$AV270,1,23):INDEX($R270:$AV270,1,31)))</f>
        <v/>
      </c>
      <c r="BU270" s="362" t="n">
        <v>0</v>
      </c>
      <c r="BV270" s="362" t="n">
        <v>350</v>
      </c>
      <c r="BW270" s="362" t="n">
        <v>0</v>
      </c>
      <c r="BY270" s="362">
        <f>SUM(R270:X270)</f>
        <v/>
      </c>
      <c r="BZ270" s="362">
        <f>SUM(Y270:AE270)</f>
        <v/>
      </c>
      <c r="CA270" s="362">
        <f>SUM(AF270:AM270)</f>
        <v/>
      </c>
      <c r="CB270" s="362">
        <f>SUM(AN270:AV270)</f>
        <v/>
      </c>
      <c r="CD270" s="432" t="inlineStr">
        <is>
          <t>ADA</t>
        </is>
      </c>
      <c r="CE270" s="362">
        <f>ROUND(BY270*$O270/1000,2)</f>
        <v/>
      </c>
      <c r="CF270" s="362">
        <f>ROUND(BZ270*$O270/1000,2)</f>
        <v/>
      </c>
      <c r="CG270" s="362">
        <f>ROUND(CA270*$O270/1000,2)</f>
        <v/>
      </c>
      <c r="CH270" s="362">
        <f>ROUND(CB270*$O270/1000,2)</f>
        <v/>
      </c>
      <c r="CI270" s="362">
        <f>SUM(CE270:CH270)</f>
        <v/>
      </c>
      <c r="CK270" s="362">
        <f>IFERROR(ROUND(BY270*$P270,2),"")</f>
        <v/>
      </c>
      <c r="CL270" s="362">
        <f>IFERROR(ROUND(BZ270*$P270,2),"")</f>
        <v/>
      </c>
      <c r="CM270" s="362">
        <f>IFERROR(ROUND(CA270*$P270,2),"")</f>
        <v/>
      </c>
      <c r="CN270" s="362">
        <f>IFERROR(ROUND(CB270*$P270,2),"")</f>
        <v/>
      </c>
      <c r="CO270" s="362">
        <f>SUM(CK270:CN270)</f>
        <v/>
      </c>
    </row>
    <row r="271" ht="15.6" customHeight="1" s="428">
      <c r="B271" s="344">
        <f>_xlfn.XLOOKUP(G271,销售需求表!A:A,销售需求表!C:C)</f>
        <v/>
      </c>
      <c r="C271" s="345">
        <f>IFERROR(MID(F271,FIND("R",F271)+1,2),"")</f>
        <v/>
      </c>
      <c r="D271" s="368">
        <f>B271&amp;C271&amp;"寸"</f>
        <v/>
      </c>
      <c r="E271" s="346">
        <f>LEFT(REPLACE(G271,1,2,""),FIND("[",REPLACE(G271,1,2,""))-1)&amp;"-"&amp;MID(REPLACE(G271,1,2,""),FIND("[",REPLACE(G271,1,2,""))+1,FIND("]",REPLACE(G271,1,2,""))-FIND("[",REPLACE(G271,1,2,""))-1)</f>
        <v/>
      </c>
      <c r="F271" s="347">
        <f>IFERROR(MID(G271,3,FIND("(",G271)-3)&amp;"-"&amp;SUBSTITUTE(MID(G271,FIND("[",G271)+1,FIND("]",G271)-FIND("[",G271)-1),"Strong Guard ",""),"")</f>
        <v/>
      </c>
      <c r="G271" s="366" t="inlineStr">
        <is>
          <t>ID11.00R20-18PR(152/149K)[CM988]金冠</t>
        </is>
      </c>
      <c r="H271" s="344" t="n">
        <v>300</v>
      </c>
      <c r="I271" s="348" t="n"/>
      <c r="J271" s="349">
        <f>IFERROR(LEFT(F271,FIND("-",F271))&amp;MID(F271,FIND("PR",F271,FIND("-",F271))+3,LEN(F271)),F271)</f>
        <v/>
      </c>
      <c r="K271" s="352">
        <f>_xlfn.XLOOKUP(F271,投产规格!E:E,投产规格!D:D,"未投产")</f>
        <v/>
      </c>
      <c r="L271" s="352">
        <f>IFERROR(_xlfn.XLOOKUP(F271,硫化工艺!B:B,硫化工艺!C:C),"")</f>
        <v/>
      </c>
      <c r="M271" s="430">
        <f>IF(L271="","",L271/(L271+$L$1/60))</f>
        <v/>
      </c>
      <c r="N271" s="352">
        <f>C271&amp;"全钢"</f>
        <v/>
      </c>
      <c r="O271" s="352">
        <f>IFERROR(_xlfn.XLOOKUP(F271,轮胎重量!J:J,轮胎重量!G:G),"")</f>
        <v/>
      </c>
      <c r="P271" s="358">
        <f>O271*13.9</f>
        <v/>
      </c>
      <c r="Q271" s="352">
        <f>IFERROR(ROUND(1440/L271*(I271)*M271,0),"")</f>
        <v/>
      </c>
      <c r="R271" s="352" t="n"/>
      <c r="S271" s="352" t="n"/>
      <c r="T271" s="352" t="n"/>
      <c r="U271" s="352" t="n"/>
      <c r="V271" s="352" t="n"/>
      <c r="W271" s="352" t="n"/>
      <c r="X271" s="352" t="n"/>
      <c r="Y271" s="352" t="n">
        <v>50</v>
      </c>
      <c r="Z271" s="352" t="n">
        <v>50</v>
      </c>
      <c r="AA271" s="352" t="n">
        <v>50</v>
      </c>
      <c r="AB271" s="352" t="n">
        <v>50</v>
      </c>
      <c r="AC271" s="352" t="n">
        <v>50</v>
      </c>
      <c r="AD271" s="352" t="n">
        <v>50</v>
      </c>
      <c r="AE271" s="352" t="n">
        <v>50</v>
      </c>
      <c r="AF271" s="352" t="n"/>
      <c r="AG271" s="352" t="n"/>
      <c r="AH271" s="352" t="n"/>
      <c r="AI271" s="352" t="n"/>
      <c r="AJ271" s="352" t="n"/>
      <c r="AK271" s="352" t="n"/>
      <c r="AL271" s="352" t="n"/>
      <c r="AM271" s="352" t="n"/>
      <c r="AN271" s="352" t="n"/>
      <c r="AO271" s="352" t="n"/>
      <c r="AP271" s="352" t="n"/>
      <c r="AQ271" s="352" t="n"/>
      <c r="AR271" s="352" t="n"/>
      <c r="AS271" s="352" t="n"/>
      <c r="AT271" s="352" t="n"/>
      <c r="AU271" s="352" t="n"/>
      <c r="AV271" s="352" t="n"/>
      <c r="AW271" s="352">
        <f>IF(SUM(R271:AV271)=0,"",SUM(R271:AV271))</f>
        <v/>
      </c>
      <c r="AX271" s="431">
        <f>IFERROR(AW271*O271/1000,"")</f>
        <v/>
      </c>
      <c r="AY271" s="431">
        <f>IFERROR(ROUND(AW271*P271/10000,3),"")</f>
        <v/>
      </c>
      <c r="AZ271" s="354" t="n">
        <v>677.88</v>
      </c>
      <c r="BA271" s="355" t="n">
        <v>44.56</v>
      </c>
      <c r="BB271" s="355" t="n">
        <v>66.37</v>
      </c>
      <c r="BC271" s="355" t="n">
        <v>75.26000000000001</v>
      </c>
      <c r="BE271" s="331">
        <f>AZ271*AW271</f>
        <v/>
      </c>
      <c r="BF271" s="331">
        <f>BA271*AW271</f>
        <v/>
      </c>
      <c r="BG271" s="331">
        <f>BB271*AW271</f>
        <v/>
      </c>
      <c r="BH271" s="331">
        <f>BC271*AW271</f>
        <v/>
      </c>
      <c r="BJ271" s="356">
        <f t="array" ref="BJ271:BM271">_xlfn.LET(_xlpm.data,$R271:$AV271,_xlpm.starts,{1,8,16,23},_xlpm.lengths,{7,7,8,9},_xlpm.arr,_xlfn.MAP(_xlpm.starts,_xlpm.lengths,_xlfn.LAMBDA(_xlpm.s,_xlpm.l,SUM(INDEX(_xlpm.data,,_xlfn.SEQUENCE(,_xlpm.l,_xlpm.s))))),ROUND(_xlpm.arr*$O271/1000,2))</f>
        <v/>
      </c>
      <c r="BK271" s="331" t="n">
        <v>23.79</v>
      </c>
      <c r="BL271" s="331" t="n">
        <v>0</v>
      </c>
      <c r="BM271" s="331" t="n">
        <v>0</v>
      </c>
      <c r="BN271" s="362">
        <f>SUM(BJ271:BM271)</f>
        <v/>
      </c>
      <c r="BO271" s="362" t="n">
        <v>0</v>
      </c>
      <c r="BP271" s="362" t="n">
        <v>0</v>
      </c>
      <c r="BQ271" s="362" t="n">
        <v>0</v>
      </c>
      <c r="BR271" s="362" t="n">
        <v>0</v>
      </c>
      <c r="BT271" s="362">
        <f t="array" ref="BT271:BW271">_xlfn.HSTACK(SUM(INDEX($R271:$AV271,1,1):INDEX($R271:$AV271,1,7)),SUM(INDEX($R271:$AV271,1,7):INDEX($R271:$AV271,1,13)),SUM(INDEX($R271:$AV271,1,16):INDEX($R271:$AV271,1,23)),SUM(INDEX($R271:$AV271,1,23):INDEX($R271:$AV271,1,31)))</f>
        <v/>
      </c>
      <c r="BU271" s="362" t="n">
        <v>300</v>
      </c>
      <c r="BV271" s="362" t="n">
        <v>0</v>
      </c>
      <c r="BW271" s="362" t="n">
        <v>0</v>
      </c>
      <c r="BY271" s="362">
        <f>SUM(R271:X271)</f>
        <v/>
      </c>
      <c r="BZ271" s="362">
        <f>SUM(Y271:AE271)</f>
        <v/>
      </c>
      <c r="CA271" s="362">
        <f>SUM(AF271:AM271)</f>
        <v/>
      </c>
      <c r="CB271" s="362">
        <f>SUM(AN271:AV271)</f>
        <v/>
      </c>
      <c r="CD271" s="432" t="inlineStr">
        <is>
          <t>ADA</t>
        </is>
      </c>
      <c r="CE271" s="362">
        <f>ROUND(BY271*$O271/1000,2)</f>
        <v/>
      </c>
      <c r="CF271" s="362">
        <f>ROUND(BZ271*$O271/1000,2)</f>
        <v/>
      </c>
      <c r="CG271" s="362">
        <f>ROUND(CA271*$O271/1000,2)</f>
        <v/>
      </c>
      <c r="CH271" s="362">
        <f>ROUND(CB271*$O271/1000,2)</f>
        <v/>
      </c>
      <c r="CI271" s="362">
        <f>SUM(CE271:CH271)</f>
        <v/>
      </c>
      <c r="CK271" s="362">
        <f>IFERROR(ROUND(BY271*$P271,2),"")</f>
        <v/>
      </c>
      <c r="CL271" s="362">
        <f>IFERROR(ROUND(BZ271*$P271,2),"")</f>
        <v/>
      </c>
      <c r="CM271" s="362">
        <f>IFERROR(ROUND(CA271*$P271,2),"")</f>
        <v/>
      </c>
      <c r="CN271" s="362">
        <f>IFERROR(ROUND(CB271*$P271,2),"")</f>
        <v/>
      </c>
      <c r="CO271" s="362">
        <f>SUM(CK271:CN271)</f>
        <v/>
      </c>
    </row>
    <row r="272" ht="15.6" customFormat="1" customHeight="1" s="362">
      <c r="A272" s="331" t="n"/>
      <c r="B272" s="344">
        <f>_xlfn.XLOOKUP(G272,销售需求表!A:A,销售需求表!C:C)</f>
        <v/>
      </c>
      <c r="C272" s="345">
        <f>IFERROR(MID(F272,FIND("R",F272)+1,2),"")</f>
        <v/>
      </c>
      <c r="D272" s="368">
        <f>B272&amp;C272&amp;"寸"</f>
        <v/>
      </c>
      <c r="E272" s="346">
        <f>LEFT(REPLACE(G272,1,2,""),FIND("[",REPLACE(G272,1,2,""))-1)&amp;"-"&amp;MID(REPLACE(G272,1,2,""),FIND("[",REPLACE(G272,1,2,""))+1,FIND("]",REPLACE(G272,1,2,""))-FIND("[",REPLACE(G272,1,2,""))-1)</f>
        <v/>
      </c>
      <c r="F272" s="347">
        <f>IFERROR(MID(G272,3,FIND("(",G272)-3)&amp;"-"&amp;SUBSTITUTE(MID(G272,FIND("[",G272)+1,FIND("]",G272)-FIND("[",G272)-1),"Strong Guard ",""),"")</f>
        <v/>
      </c>
      <c r="G272" s="366" t="inlineStr">
        <is>
          <t>ID11.00R20-18PR(152/149K)[CR926+]GOODRIDE(好运)</t>
        </is>
      </c>
      <c r="H272" s="344" t="n">
        <v>1700</v>
      </c>
      <c r="I272" s="348" t="n">
        <v>2</v>
      </c>
      <c r="J272" s="349">
        <f>IFERROR(LEFT(F272,FIND("-",F272))&amp;MID(F272,FIND("PR",F272,FIND("-",F272))+3,LEN(F272)),F272)</f>
        <v/>
      </c>
      <c r="K272" s="352">
        <f>_xlfn.XLOOKUP(F272,投产规格!E:E,投产规格!D:D,"未投产")</f>
        <v/>
      </c>
      <c r="L272" s="352">
        <f>IFERROR(_xlfn.XLOOKUP(F272,硫化工艺!B:B,硫化工艺!C:C),"")</f>
        <v/>
      </c>
      <c r="M272" s="430">
        <f>IF(L272="","",L272/(L272+$L$1/60))</f>
        <v/>
      </c>
      <c r="N272" s="352">
        <f>C272&amp;"全钢"</f>
        <v/>
      </c>
      <c r="O272" s="352">
        <f>IFERROR(_xlfn.XLOOKUP(F272,轮胎重量!J:J,轮胎重量!G:G),"")</f>
        <v/>
      </c>
      <c r="P272" s="352">
        <f>IFERROR(_xlfn.XLOOKUP(G272,硫化工艺!I:I,硫化工艺!J:J),"")</f>
        <v/>
      </c>
      <c r="Q272" s="352">
        <f>IFERROR(ROUND(1440/L272*(I272)*M272,0),"")</f>
        <v/>
      </c>
      <c r="R272" s="352" t="n">
        <v>60</v>
      </c>
      <c r="S272" s="352" t="n">
        <v>60</v>
      </c>
      <c r="T272" s="352" t="n">
        <v>60</v>
      </c>
      <c r="U272" s="352" t="n">
        <v>60</v>
      </c>
      <c r="V272" s="352" t="n">
        <v>60</v>
      </c>
      <c r="W272" s="352" t="n">
        <v>60</v>
      </c>
      <c r="X272" s="352" t="n">
        <v>60</v>
      </c>
      <c r="Y272" s="352" t="n">
        <v>60</v>
      </c>
      <c r="Z272" s="352" t="n">
        <v>60</v>
      </c>
      <c r="AA272" s="352" t="n">
        <v>60</v>
      </c>
      <c r="AB272" s="352" t="n">
        <v>60</v>
      </c>
      <c r="AC272" s="352" t="n">
        <v>60</v>
      </c>
      <c r="AD272" s="352" t="n">
        <v>60</v>
      </c>
      <c r="AE272" s="352" t="n">
        <v>60</v>
      </c>
      <c r="AF272" s="352" t="n">
        <v>60</v>
      </c>
      <c r="AG272" s="352" t="n">
        <v>60</v>
      </c>
      <c r="AH272" s="352" t="n">
        <v>60</v>
      </c>
      <c r="AI272" s="352" t="n">
        <v>60</v>
      </c>
      <c r="AJ272" s="352" t="n">
        <v>60</v>
      </c>
      <c r="AK272" s="352" t="n">
        <v>60</v>
      </c>
      <c r="AL272" s="352" t="n">
        <v>60</v>
      </c>
      <c r="AM272" s="352" t="n">
        <v>60</v>
      </c>
      <c r="AN272" s="352" t="n">
        <v>60</v>
      </c>
      <c r="AO272" s="352" t="n">
        <v>60</v>
      </c>
      <c r="AP272" s="352" t="n">
        <v>60</v>
      </c>
      <c r="AQ272" s="352" t="n">
        <v>60</v>
      </c>
      <c r="AR272" s="352" t="n">
        <v>60</v>
      </c>
      <c r="AS272" s="352" t="n"/>
      <c r="AT272" s="352" t="n"/>
      <c r="AU272" s="352" t="n"/>
      <c r="AV272" s="352" t="n"/>
      <c r="AW272" s="352">
        <f>IF(SUM(R272:AV272)=0,"",SUM(R272:AV272))</f>
        <v/>
      </c>
      <c r="AX272" s="431">
        <f>IFERROR(AW272*O272/1000,"")</f>
        <v/>
      </c>
      <c r="AY272" s="431">
        <f>IFERROR(ROUND(AW272*P272/10000,3),"")</f>
        <v/>
      </c>
      <c r="AZ272" s="354" t="n">
        <v>677.88</v>
      </c>
      <c r="BA272" s="355" t="n">
        <v>44.56</v>
      </c>
      <c r="BB272" s="355" t="n">
        <v>66.37</v>
      </c>
      <c r="BC272" s="355" t="n">
        <v>75.26000000000001</v>
      </c>
      <c r="BD272" s="331" t="n"/>
      <c r="BE272" s="331">
        <f>AZ272*AW272</f>
        <v/>
      </c>
      <c r="BF272" s="331">
        <f>BA272*AW272</f>
        <v/>
      </c>
      <c r="BG272" s="331">
        <f>BB272*AW272</f>
        <v/>
      </c>
      <c r="BH272" s="331">
        <f>BC272*AW272</f>
        <v/>
      </c>
      <c r="BI272" s="331" t="n"/>
      <c r="BJ272" s="356">
        <f t="array" ref="BJ272:BM272">_xlfn.LET(_xlpm.data,$R272:$AV272,_xlpm.starts,{1,8,16,23},_xlpm.lengths,{7,7,8,9},_xlpm.arr,_xlfn.MAP(_xlpm.starts,_xlpm.lengths,_xlfn.LAMBDA(_xlpm.s,_xlpm.l,SUM(INDEX(_xlpm.data,,_xlfn.SEQUENCE(,_xlpm.l,_xlpm.s))))),ROUND(_xlpm.arr*$O272/1000,2))</f>
        <v/>
      </c>
      <c r="BK272" s="331" t="n">
        <v>27.14</v>
      </c>
      <c r="BL272" s="331" t="n">
        <v>31.02</v>
      </c>
      <c r="BM272" s="331" t="n">
        <v>19.39</v>
      </c>
      <c r="BN272" s="362">
        <f>SUM(BJ272:BM272)</f>
        <v/>
      </c>
      <c r="BO272" s="362" t="n">
        <v>17.96</v>
      </c>
      <c r="BP272" s="362" t="n">
        <v>25.14</v>
      </c>
      <c r="BQ272" s="362" t="n">
        <v>28.73</v>
      </c>
      <c r="BR272" s="362" t="n">
        <v>32.32</v>
      </c>
      <c r="BS272" s="115" t="n"/>
      <c r="BT272" s="362">
        <f t="array" ref="BT272:BW272">_xlfn.HSTACK(SUM(INDEX($R272:$AV272,1,1):INDEX($R272:$AV272,1,7)),SUM(INDEX($R272:$AV272,1,7):INDEX($R272:$AV272,1,13)),SUM(INDEX($R272:$AV272,1,16):INDEX($R272:$AV272,1,23)),SUM(INDEX($R272:$AV272,1,23):INDEX($R272:$AV272,1,31)))</f>
        <v/>
      </c>
      <c r="BU272" s="362" t="n">
        <v>420</v>
      </c>
      <c r="BV272" s="362" t="n">
        <v>480</v>
      </c>
      <c r="BW272" s="362" t="n">
        <v>300</v>
      </c>
      <c r="BY272" s="362">
        <f>SUM(R272:X272)</f>
        <v/>
      </c>
      <c r="BZ272" s="362">
        <f>SUM(Y272:AE272)</f>
        <v/>
      </c>
      <c r="CA272" s="362">
        <f>SUM(AF272:AM272)</f>
        <v/>
      </c>
      <c r="CB272" s="362">
        <f>SUM(AN272:AV272)</f>
        <v/>
      </c>
      <c r="CD272" s="432" t="inlineStr">
        <is>
          <t>ADA</t>
        </is>
      </c>
      <c r="CE272" s="362">
        <f>ROUND(BY272*$O272/1000,2)</f>
        <v/>
      </c>
      <c r="CF272" s="362">
        <f>ROUND(BZ272*$O272/1000,2)</f>
        <v/>
      </c>
      <c r="CG272" s="362">
        <f>ROUND(CA272*$O272/1000,2)</f>
        <v/>
      </c>
      <c r="CH272" s="362">
        <f>ROUND(CB272*$O272/1000,2)</f>
        <v/>
      </c>
      <c r="CI272" s="362">
        <f>SUM(CE272:CH272)</f>
        <v/>
      </c>
      <c r="CJ272" s="390" t="n"/>
      <c r="CK272" s="362">
        <f>IFERROR(ROUND(BY272*$P272,2),"")</f>
        <v/>
      </c>
      <c r="CL272" s="362">
        <f>IFERROR(ROUND(BZ272*$P272,2),"")</f>
        <v/>
      </c>
      <c r="CM272" s="362">
        <f>IFERROR(ROUND(CA272*$P272,2),"")</f>
        <v/>
      </c>
      <c r="CN272" s="362">
        <f>IFERROR(ROUND(CB272*$P272,2),"")</f>
        <v/>
      </c>
      <c r="CO272" s="362">
        <f>SUM(CK272:CN272)</f>
        <v/>
      </c>
    </row>
    <row r="273" ht="15.6" customFormat="1" customHeight="1" s="362">
      <c r="A273" s="331" t="n"/>
      <c r="B273" s="344">
        <f>_xlfn.XLOOKUP(G273,销售需求表!A:A,销售需求表!C:C)</f>
        <v/>
      </c>
      <c r="C273" s="345">
        <f>IFERROR(MID(F273,FIND("R",F273)+1,2),"")</f>
        <v/>
      </c>
      <c r="D273" s="368">
        <f>B273&amp;C273&amp;"寸"</f>
        <v/>
      </c>
      <c r="E273" s="346">
        <f>LEFT(REPLACE(G273,1,2,""),FIND("[",REPLACE(G273,1,2,""))-1)&amp;"-"&amp;MID(REPLACE(G273,1,2,""),FIND("[",REPLACE(G273,1,2,""))+1,FIND("]",REPLACE(G273,1,2,""))-FIND("[",REPLACE(G273,1,2,""))-1)</f>
        <v/>
      </c>
      <c r="F273" s="347">
        <f>IFERROR(MID(G273,3,FIND("(",G273)-3)&amp;"-"&amp;SUBSTITUTE(MID(G273,FIND("[",G273)+1,FIND("]",G273)-FIND("[",G273)-1),"Strong Guard ",""),"")</f>
        <v/>
      </c>
      <c r="G273" s="366" t="inlineStr">
        <is>
          <t>ID11.00R20-18PR(152/149K)[CR926+]金冠</t>
        </is>
      </c>
      <c r="H273" s="344" t="n">
        <v>2200</v>
      </c>
      <c r="I273" s="348" t="n">
        <v>2</v>
      </c>
      <c r="J273" s="349">
        <f>IFERROR(LEFT(F273,FIND("-",F273))&amp;MID(F273,FIND("PR",F273,FIND("-",F273))+3,LEN(F273)),F273)</f>
        <v/>
      </c>
      <c r="K273" s="352">
        <f>_xlfn.XLOOKUP(F273,投产规格!E:E,投产规格!D:D,"未投产")</f>
        <v/>
      </c>
      <c r="L273" s="352">
        <f>IFERROR(_xlfn.XLOOKUP(F273,硫化工艺!B:B,硫化工艺!C:C),"")</f>
        <v/>
      </c>
      <c r="M273" s="430">
        <f>IF(L273="","",L273/(L273+$L$1/60))</f>
        <v/>
      </c>
      <c r="N273" s="352">
        <f>C273&amp;"全钢"</f>
        <v/>
      </c>
      <c r="O273" s="352">
        <f>IFERROR(_xlfn.XLOOKUP(F273,轮胎重量!J:J,轮胎重量!G:G),"")</f>
        <v/>
      </c>
      <c r="P273" s="352">
        <f>IFERROR(_xlfn.XLOOKUP(G273,硫化工艺!I:I,硫化工艺!J:J),"")</f>
        <v/>
      </c>
      <c r="Q273" s="352">
        <f>IFERROR(ROUND(1440/L273*(I273)*M273,0),"")</f>
        <v/>
      </c>
      <c r="R273" s="352" t="n">
        <v>60</v>
      </c>
      <c r="S273" s="352" t="n">
        <v>60</v>
      </c>
      <c r="T273" s="352" t="n">
        <v>60</v>
      </c>
      <c r="U273" s="352" t="n">
        <v>60</v>
      </c>
      <c r="V273" s="352" t="n">
        <v>60</v>
      </c>
      <c r="W273" s="352" t="n">
        <v>60</v>
      </c>
      <c r="X273" s="352" t="n">
        <v>60</v>
      </c>
      <c r="Y273" s="352" t="n">
        <v>60</v>
      </c>
      <c r="Z273" s="352" t="n">
        <v>60</v>
      </c>
      <c r="AA273" s="352" t="n">
        <v>60</v>
      </c>
      <c r="AB273" s="352" t="n">
        <v>60</v>
      </c>
      <c r="AC273" s="352" t="n">
        <v>60</v>
      </c>
      <c r="AD273" s="352" t="n">
        <v>60</v>
      </c>
      <c r="AE273" s="352" t="n">
        <v>60</v>
      </c>
      <c r="AF273" s="352" t="n">
        <v>60</v>
      </c>
      <c r="AG273" s="352" t="n">
        <v>60</v>
      </c>
      <c r="AH273" s="352" t="n">
        <v>60</v>
      </c>
      <c r="AI273" s="352" t="n">
        <v>60</v>
      </c>
      <c r="AJ273" s="352" t="n">
        <v>60</v>
      </c>
      <c r="AK273" s="352" t="n">
        <v>60</v>
      </c>
      <c r="AL273" s="352" t="n">
        <v>60</v>
      </c>
      <c r="AM273" s="352" t="n">
        <v>60</v>
      </c>
      <c r="AN273" s="352" t="n">
        <v>60</v>
      </c>
      <c r="AO273" s="352" t="n">
        <v>60</v>
      </c>
      <c r="AP273" s="352" t="n">
        <v>60</v>
      </c>
      <c r="AQ273" s="352" t="n">
        <v>60</v>
      </c>
      <c r="AR273" s="352" t="n">
        <v>60</v>
      </c>
      <c r="AS273" s="352" t="n">
        <v>120</v>
      </c>
      <c r="AT273" s="352" t="n">
        <v>120</v>
      </c>
      <c r="AU273" s="352" t="n">
        <v>120</v>
      </c>
      <c r="AV273" s="352" t="n">
        <v>120</v>
      </c>
      <c r="AW273" s="352">
        <f>IF(SUM(R273:AV273)=0,"",SUM(R273:AV273))</f>
        <v/>
      </c>
      <c r="AX273" s="431">
        <f>IFERROR(AW273*O273/1000,"")</f>
        <v/>
      </c>
      <c r="AY273" s="431">
        <f>IFERROR(ROUND(AW273*P273/10000,3),"")</f>
        <v/>
      </c>
      <c r="AZ273" s="354" t="n">
        <v>677.88</v>
      </c>
      <c r="BA273" s="355" t="n">
        <v>44.56</v>
      </c>
      <c r="BB273" s="355" t="n">
        <v>66.37</v>
      </c>
      <c r="BC273" s="355" t="n">
        <v>75.26000000000001</v>
      </c>
      <c r="BD273" s="331" t="n"/>
      <c r="BE273" s="331">
        <f>AZ273*AW273</f>
        <v/>
      </c>
      <c r="BF273" s="331">
        <f>BA273*AW273</f>
        <v/>
      </c>
      <c r="BG273" s="331">
        <f>BB273*AW273</f>
        <v/>
      </c>
      <c r="BH273" s="331">
        <f>BC273*AW273</f>
        <v/>
      </c>
      <c r="BI273" s="331" t="n"/>
      <c r="BJ273" s="356">
        <f t="array" ref="BJ273:BM273">_xlfn.LET(_xlpm.data,$R273:$AV273,_xlpm.starts,{1,8,16,23},_xlpm.lengths,{7,7,8,9},_xlpm.arr,_xlfn.MAP(_xlpm.starts,_xlpm.lengths,_xlfn.LAMBDA(_xlpm.s,_xlpm.l,SUM(INDEX(_xlpm.data,,_xlfn.SEQUENCE(,_xlpm.l,_xlpm.s))))),ROUND(_xlpm.arr*$O273/1000,2))</f>
        <v/>
      </c>
      <c r="BK273" s="331" t="n">
        <v>27.14</v>
      </c>
      <c r="BL273" s="331" t="n">
        <v>31.02</v>
      </c>
      <c r="BM273" s="331" t="n">
        <v>50.41</v>
      </c>
      <c r="BN273" s="362">
        <f>SUM(BJ273:BM273)</f>
        <v/>
      </c>
      <c r="BO273" s="362" t="n">
        <v>17.96</v>
      </c>
      <c r="BP273" s="362" t="n">
        <v>25.14</v>
      </c>
      <c r="BQ273" s="362" t="n">
        <v>28.73</v>
      </c>
      <c r="BR273" s="362" t="n">
        <v>32.32</v>
      </c>
      <c r="BS273" s="115" t="n"/>
      <c r="BT273" s="362">
        <f t="array" ref="BT273:BW273">_xlfn.HSTACK(SUM(INDEX($R273:$AV273,1,1):INDEX($R273:$AV273,1,7)),SUM(INDEX($R273:$AV273,1,7):INDEX($R273:$AV273,1,13)),SUM(INDEX($R273:$AV273,1,16):INDEX($R273:$AV273,1,23)),SUM(INDEX($R273:$AV273,1,23):INDEX($R273:$AV273,1,31)))</f>
        <v/>
      </c>
      <c r="BU273" s="362" t="n">
        <v>420</v>
      </c>
      <c r="BV273" s="362" t="n">
        <v>480</v>
      </c>
      <c r="BW273" s="362" t="n">
        <v>780</v>
      </c>
      <c r="BY273" s="362">
        <f>SUM(R273:X273)</f>
        <v/>
      </c>
      <c r="BZ273" s="362">
        <f>SUM(Y273:AE273)</f>
        <v/>
      </c>
      <c r="CA273" s="362">
        <f>SUM(AF273:AM273)</f>
        <v/>
      </c>
      <c r="CB273" s="362">
        <f>SUM(AN273:AV273)</f>
        <v/>
      </c>
      <c r="CD273" s="432" t="inlineStr">
        <is>
          <t>ADA</t>
        </is>
      </c>
      <c r="CE273" s="362">
        <f>ROUND(BY273*$O273/1000,2)</f>
        <v/>
      </c>
      <c r="CF273" s="362">
        <f>ROUND(BZ273*$O273/1000,2)</f>
        <v/>
      </c>
      <c r="CG273" s="362">
        <f>ROUND(CA273*$O273/1000,2)</f>
        <v/>
      </c>
      <c r="CH273" s="362">
        <f>ROUND(CB273*$O273/1000,2)</f>
        <v/>
      </c>
      <c r="CI273" s="362">
        <f>SUM(CE273:CH273)</f>
        <v/>
      </c>
      <c r="CJ273" s="390" t="n"/>
      <c r="CK273" s="362">
        <f>IFERROR(ROUND(BY273*$P273,2),"")</f>
        <v/>
      </c>
      <c r="CL273" s="362">
        <f>IFERROR(ROUND(BZ273*$P273,2),"")</f>
        <v/>
      </c>
      <c r="CM273" s="362">
        <f>IFERROR(ROUND(CA273*$P273,2),"")</f>
        <v/>
      </c>
      <c r="CN273" s="362">
        <f>IFERROR(ROUND(CB273*$P273,2),"")</f>
        <v/>
      </c>
      <c r="CO273" s="362">
        <f>SUM(CK273:CN273)</f>
        <v/>
      </c>
    </row>
    <row r="274" hidden="1" ht="15.6" customFormat="1" customHeight="1" s="362">
      <c r="A274" s="331" t="n"/>
      <c r="B274" s="344">
        <f>_xlfn.XLOOKUP(G274,销售需求表!A:A,销售需求表!C:C)</f>
        <v/>
      </c>
      <c r="C274" s="345">
        <f>IFERROR(MID(F274,FIND("R",F274)+1,2),"")</f>
        <v/>
      </c>
      <c r="D274" s="368">
        <f>B274&amp;C274&amp;"寸"</f>
        <v/>
      </c>
      <c r="E274" s="346">
        <f>LEFT(REPLACE(G274,1,2,""),FIND("[",REPLACE(G274,1,2,""))-1)&amp;"-"&amp;MID(REPLACE(G274,1,2,""),FIND("[",REPLACE(G274,1,2,""))+1,FIND("]",REPLACE(G274,1,2,""))-FIND("[",REPLACE(G274,1,2,""))-1)</f>
        <v/>
      </c>
      <c r="F274" s="347">
        <f>IFERROR(MID(G274,3,FIND("(",G274)-3)&amp;"-"&amp;SUBSTITUTE(MID(G274,FIND("[",G274)+1,FIND("]",G274)-FIND("[",G274)-1),"Strong Guard ",""),"")</f>
        <v/>
      </c>
      <c r="G274" s="366" t="inlineStr">
        <is>
          <t>ID11.00R20-18PR(152/149K)[CR926+]威狮</t>
        </is>
      </c>
      <c r="H274" s="344" t="n">
        <v>950</v>
      </c>
      <c r="I274" s="348" t="n"/>
      <c r="J274" s="349">
        <f>IFERROR(LEFT(F274,FIND("-",F274))&amp;MID(F274,FIND("PR",F274,FIND("-",F274))+3,LEN(F274)),F274)</f>
        <v/>
      </c>
      <c r="K274" s="352">
        <f>_xlfn.XLOOKUP(F274,投产规格!E:E,投产规格!D:D,"未投产")</f>
        <v/>
      </c>
      <c r="L274" s="352">
        <f>IFERROR(_xlfn.XLOOKUP(F274,硫化工艺!B:B,硫化工艺!C:C),"")</f>
        <v/>
      </c>
      <c r="M274" s="430">
        <f>IF(L274="","",L274/(L274+$L$1/60))</f>
        <v/>
      </c>
      <c r="N274" s="352">
        <f>C274&amp;"全钢"</f>
        <v/>
      </c>
      <c r="O274" s="352">
        <f>IFERROR(_xlfn.XLOOKUP(F274,轮胎重量!J:J,轮胎重量!G:G),"")</f>
        <v/>
      </c>
      <c r="P274" s="352">
        <f>IFERROR(_xlfn.XLOOKUP(G274,硫化工艺!I:I,硫化工艺!J:J),"")</f>
        <v/>
      </c>
      <c r="Q274" s="352">
        <f>IFERROR(ROUND(1440/L274*(I274)*M274,0),"")</f>
        <v/>
      </c>
      <c r="R274" s="352" t="n"/>
      <c r="S274" s="352" t="n"/>
      <c r="T274" s="352" t="n"/>
      <c r="U274" s="352" t="n"/>
      <c r="V274" s="352" t="n"/>
      <c r="W274" s="352" t="n"/>
      <c r="X274" s="352" t="n"/>
      <c r="Y274" s="352" t="n"/>
      <c r="Z274" s="352" t="n"/>
      <c r="AA274" s="352" t="n"/>
      <c r="AB274" s="352" t="n"/>
      <c r="AC274" s="352" t="n"/>
      <c r="AD274" s="352" t="n"/>
      <c r="AE274" s="352" t="n"/>
      <c r="AF274" s="352" t="n"/>
      <c r="AG274" s="352" t="n"/>
      <c r="AH274" s="352" t="n"/>
      <c r="AI274" s="352" t="n"/>
      <c r="AJ274" s="352" t="n"/>
      <c r="AK274" s="352" t="n"/>
      <c r="AL274" s="352" t="n"/>
      <c r="AM274" s="352" t="n"/>
      <c r="AN274" s="352" t="n"/>
      <c r="AO274" s="352" t="n"/>
      <c r="AP274" s="352" t="n"/>
      <c r="AQ274" s="352" t="n"/>
      <c r="AR274" s="352" t="n"/>
      <c r="AS274" s="352" t="n"/>
      <c r="AT274" s="352" t="n"/>
      <c r="AU274" s="352" t="n"/>
      <c r="AV274" s="352" t="n"/>
      <c r="AW274" s="352">
        <f>IF(SUM(R274:AV274)=0,"",SUM(R274:AV274))</f>
        <v/>
      </c>
      <c r="AX274" s="431">
        <f>IFERROR(AW274*O274/1000,"")</f>
        <v/>
      </c>
      <c r="AY274" s="431">
        <f>IFERROR(ROUND(AW274*P274/10000,3),"")</f>
        <v/>
      </c>
      <c r="AZ274" s="354" t="n">
        <v>677.88</v>
      </c>
      <c r="BA274" s="355" t="n">
        <v>44.56</v>
      </c>
      <c r="BB274" s="355" t="n">
        <v>66.37</v>
      </c>
      <c r="BC274" s="355" t="n">
        <v>75.26000000000001</v>
      </c>
      <c r="BD274" s="331" t="n"/>
      <c r="BE274" s="331">
        <f>AZ274*AW274</f>
        <v/>
      </c>
      <c r="BF274" s="331">
        <f>BA274*AW274</f>
        <v/>
      </c>
      <c r="BG274" s="331">
        <f>BB274*AW274</f>
        <v/>
      </c>
      <c r="BH274" s="331">
        <f>BC274*AW274</f>
        <v/>
      </c>
      <c r="BI274" s="331" t="n"/>
      <c r="BJ274" s="356">
        <f t="array" ref="BJ274:BM274">_xlfn.LET(_xlpm.data,$R274:$AV274,_xlpm.starts,{1,8,16,23},_xlpm.lengths,{7,7,8,9},_xlpm.arr,_xlfn.MAP(_xlpm.starts,_xlpm.lengths,_xlfn.LAMBDA(_xlpm.s,_xlpm.l,SUM(INDEX(_xlpm.data,,_xlfn.SEQUENCE(,_xlpm.l,_xlpm.s))))),ROUND(_xlpm.arr*$O274/1000,2))</f>
        <v/>
      </c>
      <c r="BK274" s="331" t="n">
        <v>0</v>
      </c>
      <c r="BL274" s="331" t="n">
        <v>0</v>
      </c>
      <c r="BM274" s="331" t="n">
        <v>0</v>
      </c>
      <c r="BN274" s="362">
        <f>SUM(BJ274:BM274)</f>
        <v/>
      </c>
      <c r="BO274" s="362" t="n">
        <v>19.42</v>
      </c>
      <c r="BP274" s="362" t="n">
        <v>27.19</v>
      </c>
      <c r="BQ274" s="362" t="n">
        <v>31.07</v>
      </c>
      <c r="BR274" s="362" t="n">
        <v>34.96</v>
      </c>
      <c r="BS274" s="115" t="n"/>
      <c r="BT274" s="362">
        <f t="array" ref="BT274:BW274">_xlfn.HSTACK(SUM(INDEX($R274:$AV274,1,1):INDEX($R274:$AV274,1,7)),SUM(INDEX($R274:$AV274,1,7):INDEX($R274:$AV274,1,13)),SUM(INDEX($R274:$AV274,1,16):INDEX($R274:$AV274,1,23)),SUM(INDEX($R274:$AV274,1,23):INDEX($R274:$AV274,1,31)))</f>
        <v/>
      </c>
      <c r="BU274" s="362" t="n">
        <v>0</v>
      </c>
      <c r="BV274" s="362" t="n">
        <v>0</v>
      </c>
      <c r="BW274" s="362" t="n">
        <v>0</v>
      </c>
      <c r="BY274" s="362">
        <f>SUM(R274:X274)</f>
        <v/>
      </c>
      <c r="BZ274" s="362">
        <f>SUM(Y274:AE274)</f>
        <v/>
      </c>
      <c r="CA274" s="362">
        <f>SUM(AF274:AM274)</f>
        <v/>
      </c>
      <c r="CB274" s="362">
        <f>SUM(AN274:AV274)</f>
        <v/>
      </c>
      <c r="CD274" s="432" t="inlineStr">
        <is>
          <t>ADA</t>
        </is>
      </c>
      <c r="CE274" s="362">
        <f>ROUND(BY274*$O274/1000,2)</f>
        <v/>
      </c>
      <c r="CF274" s="362">
        <f>ROUND(BZ274*$O274/1000,2)</f>
        <v/>
      </c>
      <c r="CG274" s="362">
        <f>ROUND(CA274*$O274/1000,2)</f>
        <v/>
      </c>
      <c r="CH274" s="362">
        <f>ROUND(CB274*$O274/1000,2)</f>
        <v/>
      </c>
      <c r="CI274" s="362">
        <f>SUM(CE274:CH274)</f>
        <v/>
      </c>
      <c r="CJ274" s="390" t="n"/>
      <c r="CK274" s="362">
        <f>IFERROR(ROUND(BY274*$P274,2),"")</f>
        <v/>
      </c>
      <c r="CL274" s="362">
        <f>IFERROR(ROUND(BZ274*$P274,2),"")</f>
        <v/>
      </c>
      <c r="CM274" s="362">
        <f>IFERROR(ROUND(CA274*$P274,2),"")</f>
        <v/>
      </c>
      <c r="CN274" s="362">
        <f>IFERROR(ROUND(CB274*$P274,2),"")</f>
        <v/>
      </c>
      <c r="CO274" s="362">
        <f>SUM(CK274:CN274)</f>
        <v/>
      </c>
    </row>
    <row r="275" hidden="1" ht="15.6" customFormat="1" customHeight="1" s="362">
      <c r="A275" s="331" t="n"/>
      <c r="B275" s="344">
        <f>_xlfn.XLOOKUP(G275,销售需求表!A:A,销售需求表!C:C)</f>
        <v/>
      </c>
      <c r="C275" s="345">
        <f>IFERROR(MID(F275,FIND("R",F275)+1,2),"")</f>
        <v/>
      </c>
      <c r="D275" s="368">
        <f>B275&amp;C275&amp;"寸"</f>
        <v/>
      </c>
      <c r="E275" s="346">
        <f>LEFT(REPLACE(G275,1,2,""),FIND("[",REPLACE(G275,1,2,""))-1)&amp;"-"&amp;MID(REPLACE(G275,1,2,""),FIND("[",REPLACE(G275,1,2,""))+1,FIND("]",REPLACE(G275,1,2,""))-FIND("[",REPLACE(G275,1,2,""))-1)</f>
        <v/>
      </c>
      <c r="F275" s="347">
        <f>IFERROR(MID(G275,3,FIND("(",G275)-3)&amp;"-"&amp;SUBSTITUTE(MID(G275,FIND("[",G275)+1,FIND("]",G275)-FIND("[",G275)-1),"Strong Guard ",""),"")</f>
        <v/>
      </c>
      <c r="G275" s="366" t="inlineStr">
        <is>
          <t>ID11.00R20-18PR(152/149K)[EZ369]朝阳</t>
        </is>
      </c>
      <c r="H275" s="344" t="n">
        <v>230</v>
      </c>
      <c r="I275" s="348" t="n"/>
      <c r="J275" s="349">
        <f>IFERROR(LEFT(F275,FIND("-",F275))&amp;MID(F275,FIND("PR",F275,FIND("-",F275))+3,LEN(F275)),F275)</f>
        <v/>
      </c>
      <c r="K275" s="352">
        <f>_xlfn.XLOOKUP(F275,投产规格!E:E,投产规格!D:D,"未投产")</f>
        <v/>
      </c>
      <c r="L275" s="352">
        <f>IFERROR(_xlfn.XLOOKUP(F275,硫化工艺!B:B,硫化工艺!C:C),"")</f>
        <v/>
      </c>
      <c r="M275" s="430">
        <f>IF(L275="","",L275/(L275+$L$1/60))</f>
        <v/>
      </c>
      <c r="N275" s="352">
        <f>C275&amp;"全钢"</f>
        <v/>
      </c>
      <c r="O275" s="352">
        <f>IFERROR(_xlfn.XLOOKUP(F275,轮胎重量!J:J,轮胎重量!G:G),"")</f>
        <v/>
      </c>
      <c r="P275" s="352">
        <f>IFERROR(_xlfn.XLOOKUP(G275,硫化工艺!I:I,硫化工艺!J:J),"")</f>
        <v/>
      </c>
      <c r="Q275" s="352">
        <f>IFERROR(ROUND(1440/L275*(I275)*M275,0),"")</f>
        <v/>
      </c>
      <c r="R275" s="352" t="n"/>
      <c r="S275" s="352" t="n"/>
      <c r="T275" s="352" t="n"/>
      <c r="U275" s="352" t="n"/>
      <c r="V275" s="352" t="n"/>
      <c r="W275" s="352" t="n"/>
      <c r="X275" s="352" t="n"/>
      <c r="Y275" s="352" t="n"/>
      <c r="Z275" s="352" t="n"/>
      <c r="AA275" s="352" t="n"/>
      <c r="AB275" s="352" t="n"/>
      <c r="AC275" s="352" t="n"/>
      <c r="AD275" s="352" t="n"/>
      <c r="AE275" s="352" t="n"/>
      <c r="AF275" s="352" t="n"/>
      <c r="AG275" s="352" t="n"/>
      <c r="AH275" s="352" t="n"/>
      <c r="AI275" s="352" t="n"/>
      <c r="AJ275" s="352" t="n"/>
      <c r="AK275" s="352" t="n"/>
      <c r="AL275" s="352" t="n"/>
      <c r="AM275" s="352" t="n"/>
      <c r="AN275" s="352" t="n"/>
      <c r="AO275" s="352" t="n"/>
      <c r="AP275" s="352" t="n"/>
      <c r="AQ275" s="352" t="n"/>
      <c r="AR275" s="352" t="n"/>
      <c r="AS275" s="352" t="n"/>
      <c r="AT275" s="352" t="n"/>
      <c r="AU275" s="352" t="n"/>
      <c r="AV275" s="352" t="n"/>
      <c r="AW275" s="352">
        <f>IF(SUM(R275:AV275)=0,"",SUM(R275:AV275))</f>
        <v/>
      </c>
      <c r="AX275" s="431">
        <f>IFERROR(AW275*O275/1000,"")</f>
        <v/>
      </c>
      <c r="AY275" s="431">
        <f>IFERROR(ROUND(AW275*P275/10000,3),"")</f>
        <v/>
      </c>
      <c r="AZ275" s="354" t="n">
        <v>677.88</v>
      </c>
      <c r="BA275" s="355" t="n">
        <v>44.56</v>
      </c>
      <c r="BB275" s="355" t="n">
        <v>66.37</v>
      </c>
      <c r="BC275" s="355" t="n">
        <v>75.26000000000001</v>
      </c>
      <c r="BD275" s="331" t="n"/>
      <c r="BE275" s="331">
        <f>AZ275*AW275</f>
        <v/>
      </c>
      <c r="BF275" s="331">
        <f>BA275*AW275</f>
        <v/>
      </c>
      <c r="BG275" s="331">
        <f>BB275*AW275</f>
        <v/>
      </c>
      <c r="BH275" s="331">
        <f>BC275*AW275</f>
        <v/>
      </c>
      <c r="BI275" s="331" t="n"/>
      <c r="BJ275" s="356">
        <f t="array" ref="BJ275:BM275">_xlfn.LET(_xlpm.data,$R275:$AV275,_xlpm.starts,{1,8,16,23},_xlpm.lengths,{7,7,8,9},_xlpm.arr,_xlfn.MAP(_xlpm.starts,_xlpm.lengths,_xlfn.LAMBDA(_xlpm.s,_xlpm.l,SUM(INDEX(_xlpm.data,,_xlfn.SEQUENCE(,_xlpm.l,_xlpm.s))))),ROUND(_xlpm.arr*$O275/1000,2))</f>
        <v/>
      </c>
      <c r="BK275" s="331" t="n">
        <v>0</v>
      </c>
      <c r="BL275" s="331" t="n">
        <v>0</v>
      </c>
      <c r="BM275" s="331" t="n">
        <v>0</v>
      </c>
      <c r="BN275" s="362">
        <f>SUM(BJ275:BM275)</f>
        <v/>
      </c>
      <c r="BO275" s="362" t="n">
        <v>19.42</v>
      </c>
      <c r="BP275" s="362" t="n">
        <v>27.19</v>
      </c>
      <c r="BQ275" s="362" t="n">
        <v>31.07</v>
      </c>
      <c r="BR275" s="362" t="n">
        <v>34.96</v>
      </c>
      <c r="BS275" s="115" t="n"/>
      <c r="BT275" s="362">
        <f t="array" ref="BT275:BW275">_xlfn.HSTACK(SUM(INDEX($R275:$AV275,1,1):INDEX($R275:$AV275,1,7)),SUM(INDEX($R275:$AV275,1,7):INDEX($R275:$AV275,1,13)),SUM(INDEX($R275:$AV275,1,16):INDEX($R275:$AV275,1,23)),SUM(INDEX($R275:$AV275,1,23):INDEX($R275:$AV275,1,31)))</f>
        <v/>
      </c>
      <c r="BU275" s="362" t="n">
        <v>0</v>
      </c>
      <c r="BV275" s="362" t="n">
        <v>0</v>
      </c>
      <c r="BW275" s="362" t="n">
        <v>0</v>
      </c>
      <c r="BY275" s="362">
        <f>SUM(R275:X275)</f>
        <v/>
      </c>
      <c r="BZ275" s="362">
        <f>SUM(Y275:AE275)</f>
        <v/>
      </c>
      <c r="CA275" s="362">
        <f>SUM(AF275:AM275)</f>
        <v/>
      </c>
      <c r="CB275" s="362">
        <f>SUM(AN275:AV275)</f>
        <v/>
      </c>
      <c r="CD275" s="432" t="inlineStr">
        <is>
          <t>ADA</t>
        </is>
      </c>
      <c r="CE275" s="362">
        <f>ROUND(BY275*$O275/1000,2)</f>
        <v/>
      </c>
      <c r="CF275" s="362">
        <f>ROUND(BZ275*$O275/1000,2)</f>
        <v/>
      </c>
      <c r="CG275" s="362">
        <f>ROUND(CA275*$O275/1000,2)</f>
        <v/>
      </c>
      <c r="CH275" s="362">
        <f>ROUND(CB275*$O275/1000,2)</f>
        <v/>
      </c>
      <c r="CI275" s="362">
        <f>SUM(CE275:CH275)</f>
        <v/>
      </c>
      <c r="CJ275" s="390" t="n"/>
      <c r="CK275" s="362">
        <f>IFERROR(ROUND(BY275*$P275,2),"")</f>
        <v/>
      </c>
      <c r="CL275" s="362">
        <f>IFERROR(ROUND(BZ275*$P275,2),"")</f>
        <v/>
      </c>
      <c r="CM275" s="362">
        <f>IFERROR(ROUND(CA275*$P275,2),"")</f>
        <v/>
      </c>
      <c r="CN275" s="362">
        <f>IFERROR(ROUND(CB275*$P275,2),"")</f>
        <v/>
      </c>
      <c r="CO275" s="362">
        <f>SUM(CK275:CN275)</f>
        <v/>
      </c>
    </row>
    <row r="276" hidden="1" ht="15.6" customFormat="1" customHeight="1" s="362">
      <c r="A276" s="331" t="n"/>
      <c r="B276" s="344">
        <f>_xlfn.XLOOKUP(G276,销售需求表!A:A,销售需求表!C:C)</f>
        <v/>
      </c>
      <c r="C276" s="345">
        <f>IFERROR(MID(F276,FIND("R",F276)+1,2),"")</f>
        <v/>
      </c>
      <c r="D276" s="368">
        <f>B276&amp;C276&amp;"寸"</f>
        <v/>
      </c>
      <c r="E276" s="346">
        <f>LEFT(REPLACE(G276,1,2,""),FIND("[",REPLACE(G276,1,2,""))-1)&amp;"-"&amp;MID(REPLACE(G276,1,2,""),FIND("[",REPLACE(G276,1,2,""))+1,FIND("]",REPLACE(G276,1,2,""))-FIND("[",REPLACE(G276,1,2,""))-1)</f>
        <v/>
      </c>
      <c r="F276" s="347">
        <f>IFERROR(MID(G276,3,FIND("(",G276)-3)&amp;"-"&amp;SUBSTITUTE(MID(G276,FIND("[",G276)+1,FIND("]",G276)-FIND("[",G276)-1),"Strong Guard ",""),"")</f>
        <v/>
      </c>
      <c r="G276" s="366" t="inlineStr">
        <is>
          <t>ID11.00R20-18PR(152/149K)[EZ867]金冠</t>
        </is>
      </c>
      <c r="H276" s="344" t="n">
        <v>1000</v>
      </c>
      <c r="I276" s="348" t="n"/>
      <c r="J276" s="349">
        <f>IFERROR(LEFT(F276,FIND("-",F276))&amp;MID(F276,FIND("PR",F276,FIND("-",F276))+3,LEN(F276)),F276)</f>
        <v/>
      </c>
      <c r="K276" s="352">
        <f>_xlfn.XLOOKUP(F276,投产规格!E:E,投产规格!D:D,"未投产")</f>
        <v/>
      </c>
      <c r="L276" s="352">
        <f>IFERROR(_xlfn.XLOOKUP(F276,硫化工艺!B:B,硫化工艺!C:C),"")</f>
        <v/>
      </c>
      <c r="M276" s="430">
        <f>IF(L276="","",L276/(L276+$L$1/60))</f>
        <v/>
      </c>
      <c r="N276" s="352">
        <f>C276&amp;"全钢"</f>
        <v/>
      </c>
      <c r="O276" s="352">
        <f>IFERROR(_xlfn.XLOOKUP(F276,轮胎重量!J:J,轮胎重量!G:G),"")</f>
        <v/>
      </c>
      <c r="P276" s="358">
        <f>O276*13.9</f>
        <v/>
      </c>
      <c r="Q276" s="352">
        <f>IFERROR(ROUND(1440/L276*(I276)*M276,0),"")</f>
        <v/>
      </c>
      <c r="R276" s="352" t="n"/>
      <c r="S276" s="352" t="n"/>
      <c r="T276" s="352" t="n"/>
      <c r="U276" s="352" t="n"/>
      <c r="V276" s="352" t="n"/>
      <c r="W276" s="352" t="n"/>
      <c r="X276" s="352" t="n"/>
      <c r="Y276" s="352" t="n"/>
      <c r="Z276" s="352" t="n"/>
      <c r="AA276" s="352" t="n"/>
      <c r="AB276" s="352" t="n"/>
      <c r="AC276" s="352" t="n"/>
      <c r="AD276" s="352" t="n"/>
      <c r="AE276" s="352" t="n"/>
      <c r="AF276" s="352" t="n"/>
      <c r="AG276" s="352" t="n"/>
      <c r="AH276" s="352" t="n"/>
      <c r="AI276" s="352" t="n"/>
      <c r="AJ276" s="352" t="n"/>
      <c r="AK276" s="352" t="n"/>
      <c r="AL276" s="352" t="n"/>
      <c r="AM276" s="352" t="n"/>
      <c r="AN276" s="352" t="n"/>
      <c r="AO276" s="352" t="n"/>
      <c r="AP276" s="352" t="n"/>
      <c r="AQ276" s="352" t="n"/>
      <c r="AR276" s="352" t="n"/>
      <c r="AS276" s="352" t="n"/>
      <c r="AT276" s="352" t="n"/>
      <c r="AU276" s="352" t="n"/>
      <c r="AV276" s="352" t="n"/>
      <c r="AW276" s="352">
        <f>IF(SUM(R276:AV276)=0,"",SUM(R276:AV276))</f>
        <v/>
      </c>
      <c r="AX276" s="431">
        <f>IFERROR(AW276*O276/1000,"")</f>
        <v/>
      </c>
      <c r="AY276" s="431">
        <f>IFERROR(ROUND(AW276*P276/10000,3),"")</f>
        <v/>
      </c>
      <c r="AZ276" s="354" t="n">
        <v>677.88</v>
      </c>
      <c r="BA276" s="355" t="n">
        <v>44.56</v>
      </c>
      <c r="BB276" s="355" t="n">
        <v>66.37</v>
      </c>
      <c r="BC276" s="355" t="n">
        <v>75.26000000000001</v>
      </c>
      <c r="BD276" s="331" t="n"/>
      <c r="BE276" s="331">
        <f>AZ276*AW276</f>
        <v/>
      </c>
      <c r="BF276" s="331">
        <f>BA276*AW276</f>
        <v/>
      </c>
      <c r="BG276" s="331">
        <f>BB276*AW276</f>
        <v/>
      </c>
      <c r="BH276" s="331">
        <f>BC276*AW276</f>
        <v/>
      </c>
      <c r="BI276" s="331" t="n"/>
      <c r="BJ276" s="356">
        <f t="array" ref="BJ276:BM276">_xlfn.LET(_xlpm.data,$R276:$AV276,_xlpm.starts,{1,8,16,23},_xlpm.lengths,{7,7,8,9},_xlpm.arr,_xlfn.MAP(_xlpm.starts,_xlpm.lengths,_xlfn.LAMBDA(_xlpm.s,_xlpm.l,SUM(INDEX(_xlpm.data,,_xlfn.SEQUENCE(,_xlpm.l,_xlpm.s))))),ROUND(_xlpm.arr*$O276/1000,2))</f>
        <v/>
      </c>
      <c r="BK276" s="331" t="n">
        <v>0</v>
      </c>
      <c r="BL276" s="331" t="n">
        <v>0</v>
      </c>
      <c r="BM276" s="331" t="n">
        <v>0</v>
      </c>
      <c r="BN276" s="362">
        <f>SUM(BJ276:BM276)</f>
        <v/>
      </c>
      <c r="BO276" s="362" t="n">
        <v>19.42</v>
      </c>
      <c r="BP276" s="362" t="n">
        <v>27.19</v>
      </c>
      <c r="BQ276" s="362" t="n">
        <v>31.07</v>
      </c>
      <c r="BR276" s="362" t="n">
        <v>34.96</v>
      </c>
      <c r="BS276" s="115" t="n"/>
      <c r="BT276" s="362">
        <f t="array" ref="BT276:BW276">_xlfn.HSTACK(SUM(INDEX($R276:$AV276,1,1):INDEX($R276:$AV276,1,7)),SUM(INDEX($R276:$AV276,1,7):INDEX($R276:$AV276,1,13)),SUM(INDEX($R276:$AV276,1,16):INDEX($R276:$AV276,1,23)),SUM(INDEX($R276:$AV276,1,23):INDEX($R276:$AV276,1,31)))</f>
        <v/>
      </c>
      <c r="BU276" s="362" t="n">
        <v>0</v>
      </c>
      <c r="BV276" s="362" t="n">
        <v>0</v>
      </c>
      <c r="BW276" s="362" t="n">
        <v>0</v>
      </c>
      <c r="BY276" s="362">
        <f>SUM(R276:X276)</f>
        <v/>
      </c>
      <c r="BZ276" s="362">
        <f>SUM(Y276:AE276)</f>
        <v/>
      </c>
      <c r="CA276" s="362">
        <f>SUM(AF276:AM276)</f>
        <v/>
      </c>
      <c r="CB276" s="362">
        <f>SUM(AN276:AV276)</f>
        <v/>
      </c>
      <c r="CD276" s="432" t="inlineStr">
        <is>
          <t>ADA</t>
        </is>
      </c>
      <c r="CE276" s="362">
        <f>ROUND(BY276*$O276/1000,2)</f>
        <v/>
      </c>
      <c r="CF276" s="362">
        <f>ROUND(BZ276*$O276/1000,2)</f>
        <v/>
      </c>
      <c r="CG276" s="362">
        <f>ROUND(CA276*$O276/1000,2)</f>
        <v/>
      </c>
      <c r="CH276" s="362">
        <f>ROUND(CB276*$O276/1000,2)</f>
        <v/>
      </c>
      <c r="CI276" s="362">
        <f>SUM(CE276:CH276)</f>
        <v/>
      </c>
      <c r="CJ276" s="390" t="n"/>
      <c r="CK276" s="362">
        <f>IFERROR(ROUND(BY276*$P276,2),"")</f>
        <v/>
      </c>
      <c r="CL276" s="362">
        <f>IFERROR(ROUND(BZ276*$P276,2),"")</f>
        <v/>
      </c>
      <c r="CM276" s="362">
        <f>IFERROR(ROUND(CA276*$P276,2),"")</f>
        <v/>
      </c>
      <c r="CN276" s="362">
        <f>IFERROR(ROUND(CB276*$P276,2),"")</f>
        <v/>
      </c>
      <c r="CO276" s="362">
        <f>SUM(CK276:CN276)</f>
        <v/>
      </c>
    </row>
    <row r="277" ht="15.6" customFormat="1" customHeight="1" s="362">
      <c r="A277" s="331" t="n"/>
      <c r="B277" s="344">
        <f>_xlfn.XLOOKUP(G277,销售需求表!A:A,销售需求表!C:C)</f>
        <v/>
      </c>
      <c r="C277" s="345">
        <f>IFERROR(MID(F277,FIND("R",F277)+1,2),"")</f>
        <v/>
      </c>
      <c r="D277" s="368">
        <f>B277&amp;C277&amp;"寸"</f>
        <v/>
      </c>
      <c r="E277" s="346">
        <f>LEFT(REPLACE(G277,1,2,""),FIND("[",REPLACE(G277,1,2,""))-1)&amp;"-"&amp;MID(REPLACE(G277,1,2,""),FIND("[",REPLACE(G277,1,2,""))+1,FIND("]",REPLACE(G277,1,2,""))-FIND("[",REPLACE(G277,1,2,""))-1)</f>
        <v/>
      </c>
      <c r="F277" s="347">
        <f>IFERROR(MID(G277,3,FIND("(",G277)-3)&amp;"-"&amp;SUBSTITUTE(MID(G277,FIND("[",G277)+1,FIND("]",G277)-FIND("[",G277)-1),"Strong Guard ",""),"")</f>
        <v/>
      </c>
      <c r="G277" s="366" t="inlineStr">
        <is>
          <t>ID11.00R20-18PR(152/149K)[MT200]UNITED</t>
        </is>
      </c>
      <c r="H277" s="344" t="n">
        <v>720</v>
      </c>
      <c r="I277" s="348" t="n">
        <v>2</v>
      </c>
      <c r="J277" s="349">
        <f>IFERROR(LEFT(F277,FIND("-",F277))&amp;MID(F277,FIND("PR",F277,FIND("-",F277))+3,LEN(F277)),F277)</f>
        <v/>
      </c>
      <c r="K277" s="352">
        <f>_xlfn.XLOOKUP(F277,投产规格!E:E,投产规格!D:D,"未投产")</f>
        <v/>
      </c>
      <c r="L277" s="352">
        <f>IFERROR(_xlfn.XLOOKUP(F277,硫化工艺!B:B,硫化工艺!C:C),"")</f>
        <v/>
      </c>
      <c r="M277" s="430">
        <f>IF(L277="","",L277/(L277+$L$1/60))</f>
        <v/>
      </c>
      <c r="N277" s="352">
        <f>C277&amp;"全钢"</f>
        <v/>
      </c>
      <c r="O277" s="352">
        <f>IFERROR(_xlfn.XLOOKUP(F277,轮胎重量!J:J,轮胎重量!G:G),"")</f>
        <v/>
      </c>
      <c r="P277" s="358">
        <f>O277*13.9</f>
        <v/>
      </c>
      <c r="Q277" s="352">
        <f>IFERROR(ROUND(1440/L277*(I277)*M277,0),"")</f>
        <v/>
      </c>
      <c r="R277" s="352" t="n">
        <v>60</v>
      </c>
      <c r="S277" s="352" t="n">
        <v>60</v>
      </c>
      <c r="T277" s="352" t="n">
        <v>60</v>
      </c>
      <c r="U277" s="352" t="n">
        <v>60</v>
      </c>
      <c r="V277" s="352" t="n">
        <v>60</v>
      </c>
      <c r="W277" s="352" t="n">
        <v>60</v>
      </c>
      <c r="X277" s="352" t="n">
        <v>60</v>
      </c>
      <c r="Y277" s="352" t="n">
        <v>60</v>
      </c>
      <c r="Z277" s="352" t="n">
        <v>60</v>
      </c>
      <c r="AA277" s="352" t="n">
        <v>60</v>
      </c>
      <c r="AB277" s="352" t="n">
        <v>60</v>
      </c>
      <c r="AC277" s="352" t="n">
        <v>60</v>
      </c>
      <c r="AD277" s="352" t="n"/>
      <c r="AE277" s="352" t="n"/>
      <c r="AF277" s="352" t="n"/>
      <c r="AG277" s="352" t="n"/>
      <c r="AH277" s="352" t="n"/>
      <c r="AI277" s="352" t="n"/>
      <c r="AJ277" s="352" t="n"/>
      <c r="AK277" s="352" t="n"/>
      <c r="AL277" s="352" t="n"/>
      <c r="AM277" s="352" t="n"/>
      <c r="AN277" s="352" t="n"/>
      <c r="AO277" s="352" t="n"/>
      <c r="AP277" s="352" t="n"/>
      <c r="AQ277" s="352" t="n"/>
      <c r="AR277" s="352" t="n"/>
      <c r="AS277" s="352" t="n"/>
      <c r="AT277" s="352" t="n"/>
      <c r="AU277" s="352" t="n"/>
      <c r="AV277" s="352" t="n"/>
      <c r="AW277" s="352">
        <f>IF(SUM(R277:AV277)=0,"",SUM(R277:AV277))</f>
        <v/>
      </c>
      <c r="AX277" s="431">
        <f>IFERROR(AW277*O277/1000,"")</f>
        <v/>
      </c>
      <c r="AY277" s="431">
        <f>IFERROR(ROUND(AW277*P277/10000,3),"")</f>
        <v/>
      </c>
      <c r="AZ277" s="354" t="n">
        <v>677.88</v>
      </c>
      <c r="BA277" s="355" t="n">
        <v>44.56</v>
      </c>
      <c r="BB277" s="355" t="n">
        <v>66.37</v>
      </c>
      <c r="BC277" s="355" t="n">
        <v>75.26000000000001</v>
      </c>
      <c r="BD277" s="331" t="n"/>
      <c r="BE277" s="331">
        <f>AZ277*AW277</f>
        <v/>
      </c>
      <c r="BF277" s="331">
        <f>BA277*AW277</f>
        <v/>
      </c>
      <c r="BG277" s="331">
        <f>BB277*AW277</f>
        <v/>
      </c>
      <c r="BH277" s="331">
        <f>BC277*AW277</f>
        <v/>
      </c>
      <c r="BI277" s="331" t="n"/>
      <c r="BJ277" s="356">
        <f t="array" ref="BJ277:BM277">_xlfn.LET(_xlpm.data,$R277:$AV277,_xlpm.starts,{1,8,16,23},_xlpm.lengths,{7,7,8,9},_xlpm.arr,_xlfn.MAP(_xlpm.starts,_xlpm.lengths,_xlfn.LAMBDA(_xlpm.s,_xlpm.l,SUM(INDEX(_xlpm.data,,_xlfn.SEQUENCE(,_xlpm.l,_xlpm.s))))),ROUND(_xlpm.arr*$O277/1000,2))</f>
        <v/>
      </c>
      <c r="BK277" s="331" t="n">
        <v>19.39</v>
      </c>
      <c r="BL277" s="331" t="n">
        <v>0</v>
      </c>
      <c r="BM277" s="331" t="n">
        <v>0</v>
      </c>
      <c r="BN277" s="362">
        <f>SUM(BJ277:BM277)</f>
        <v/>
      </c>
      <c r="BO277" s="362" t="n">
        <v>19.42</v>
      </c>
      <c r="BP277" s="362" t="n">
        <v>27.19</v>
      </c>
      <c r="BQ277" s="362" t="n">
        <v>31.07</v>
      </c>
      <c r="BR277" s="362" t="n">
        <v>34.96</v>
      </c>
      <c r="BS277" s="115" t="n"/>
      <c r="BT277" s="362">
        <f t="array" ref="BT277:BW277">_xlfn.HSTACK(SUM(INDEX($R277:$AV277,1,1):INDEX($R277:$AV277,1,7)),SUM(INDEX($R277:$AV277,1,7):INDEX($R277:$AV277,1,13)),SUM(INDEX($R277:$AV277,1,16):INDEX($R277:$AV277,1,23)),SUM(INDEX($R277:$AV277,1,23):INDEX($R277:$AV277,1,31)))</f>
        <v/>
      </c>
      <c r="BU277" s="362" t="n">
        <v>360</v>
      </c>
      <c r="BV277" s="362" t="n">
        <v>0</v>
      </c>
      <c r="BW277" s="362" t="n">
        <v>0</v>
      </c>
      <c r="BY277" s="362">
        <f>SUM(R277:X277)</f>
        <v/>
      </c>
      <c r="BZ277" s="362">
        <f>SUM(Y277:AE277)</f>
        <v/>
      </c>
      <c r="CA277" s="362">
        <f>SUM(AF277:AM277)</f>
        <v/>
      </c>
      <c r="CB277" s="362">
        <f>SUM(AN277:AV277)</f>
        <v/>
      </c>
      <c r="CD277" s="432" t="inlineStr">
        <is>
          <t>ADA</t>
        </is>
      </c>
      <c r="CE277" s="362">
        <f>ROUND(BY277*$O277/1000,2)</f>
        <v/>
      </c>
      <c r="CF277" s="362">
        <f>ROUND(BZ277*$O277/1000,2)</f>
        <v/>
      </c>
      <c r="CG277" s="362">
        <f>ROUND(CA277*$O277/1000,2)</f>
        <v/>
      </c>
      <c r="CH277" s="362">
        <f>ROUND(CB277*$O277/1000,2)</f>
        <v/>
      </c>
      <c r="CI277" s="362">
        <f>SUM(CE277:CH277)</f>
        <v/>
      </c>
      <c r="CJ277" s="390" t="n"/>
      <c r="CK277" s="362">
        <f>IFERROR(ROUND(BY277*$P277,2),"")</f>
        <v/>
      </c>
      <c r="CL277" s="362">
        <f>IFERROR(ROUND(BZ277*$P277,2),"")</f>
        <v/>
      </c>
      <c r="CM277" s="362">
        <f>IFERROR(ROUND(CA277*$P277,2),"")</f>
        <v/>
      </c>
      <c r="CN277" s="362">
        <f>IFERROR(ROUND(CB277*$P277,2),"")</f>
        <v/>
      </c>
      <c r="CO277" s="362">
        <f>SUM(CK277:CN277)</f>
        <v/>
      </c>
    </row>
    <row r="278" ht="15.6" customHeight="1" s="428">
      <c r="B278" s="344">
        <f>_xlfn.XLOOKUP(G278,销售需求表!A:A,销售需求表!C:C)</f>
        <v/>
      </c>
      <c r="C278" s="345">
        <f>IFERROR(MID(F278,FIND("R",F278)+1,2),"")</f>
        <v/>
      </c>
      <c r="D278" s="368">
        <f>B278&amp;C278&amp;"寸"</f>
        <v/>
      </c>
      <c r="E278" s="346">
        <f>LEFT(REPLACE(G278,1,2,""),FIND("[",REPLACE(G278,1,2,""))-1)&amp;"-"&amp;MID(REPLACE(G278,1,2,""),FIND("[",REPLACE(G278,1,2,""))+1,FIND("]",REPLACE(G278,1,2,""))-FIND("[",REPLACE(G278,1,2,""))-1)</f>
        <v/>
      </c>
      <c r="F278" s="347">
        <f>IFERROR(MID(G278,3,FIND("(",G278)-3)&amp;"-"&amp;SUBSTITUTE(MID(G278,FIND("[",G278)+1,FIND("]",G278)-FIND("[",G278)-1),"Strong Guard ",""),"")</f>
        <v/>
      </c>
      <c r="G278" s="366" t="inlineStr">
        <is>
          <t>ID11.00R20-18PR(152/149K)[TZ202]TIANLI</t>
        </is>
      </c>
      <c r="H278" s="344" t="n">
        <v>1200</v>
      </c>
      <c r="I278" s="348" t="n"/>
      <c r="J278" s="349">
        <f>IFERROR(LEFT(F278,FIND("-",F278))&amp;MID(F278,FIND("PR",F278,FIND("-",F278))+3,LEN(F278)),F278)</f>
        <v/>
      </c>
      <c r="K278" s="352">
        <f>_xlfn.XLOOKUP(F278,投产规格!E:E,投产规格!D:D,"未投产")</f>
        <v/>
      </c>
      <c r="L278" s="352">
        <f>IFERROR(_xlfn.XLOOKUP(F278,硫化工艺!B:B,硫化工艺!C:C),"")</f>
        <v/>
      </c>
      <c r="M278" s="430">
        <f>IF(L278="","",L278/(L278+$L$1/60))</f>
        <v/>
      </c>
      <c r="N278" s="352">
        <f>C278&amp;"全钢"</f>
        <v/>
      </c>
      <c r="O278" s="352">
        <f>IFERROR(_xlfn.XLOOKUP(F278,轮胎重量!J:J,轮胎重量!G:G),"")</f>
        <v/>
      </c>
      <c r="P278" s="352">
        <f>IFERROR(_xlfn.XLOOKUP(G278,硫化工艺!I:I,硫化工艺!J:J),"")</f>
        <v/>
      </c>
      <c r="Q278" s="352">
        <f>IFERROR(ROUND(1440/L278*(I278)*M278,0),"")</f>
        <v/>
      </c>
      <c r="R278" s="352" t="n"/>
      <c r="S278" s="352" t="n"/>
      <c r="T278" s="352" t="n"/>
      <c r="U278" s="352" t="n"/>
      <c r="V278" s="352" t="n"/>
      <c r="W278" s="352" t="n"/>
      <c r="X278" s="352" t="n"/>
      <c r="Y278" s="352" t="n"/>
      <c r="Z278" s="352" t="n"/>
      <c r="AA278" s="352" t="n"/>
      <c r="AB278" s="352" t="n"/>
      <c r="AC278" s="352" t="n"/>
      <c r="AD278" s="352" t="n">
        <v>60</v>
      </c>
      <c r="AE278" s="352" t="n">
        <v>60</v>
      </c>
      <c r="AF278" s="352" t="n">
        <v>60</v>
      </c>
      <c r="AG278" s="352" t="n">
        <v>60</v>
      </c>
      <c r="AH278" s="352" t="n">
        <v>60</v>
      </c>
      <c r="AI278" s="352" t="n">
        <v>60</v>
      </c>
      <c r="AJ278" s="352" t="n">
        <v>60</v>
      </c>
      <c r="AK278" s="352" t="n">
        <v>60</v>
      </c>
      <c r="AL278" s="352" t="n">
        <v>60</v>
      </c>
      <c r="AM278" s="352" t="n"/>
      <c r="AN278" s="352" t="n"/>
      <c r="AO278" s="352" t="n"/>
      <c r="AP278" s="352" t="n"/>
      <c r="AQ278" s="352" t="n"/>
      <c r="AR278" s="352" t="n"/>
      <c r="AS278" s="352" t="n"/>
      <c r="AT278" s="352" t="n"/>
      <c r="AU278" s="352" t="n"/>
      <c r="AV278" s="352" t="n"/>
      <c r="AW278" s="352">
        <f>IF(SUM(R278:AV278)=0,"",SUM(R278:AV278))</f>
        <v/>
      </c>
      <c r="AX278" s="431">
        <f>IFERROR(AW278*O278/1000,"")</f>
        <v/>
      </c>
      <c r="AY278" s="431">
        <f>IFERROR(ROUND(AW278*P278/10000,3),"")</f>
        <v/>
      </c>
      <c r="AZ278" s="354" t="n">
        <v>819.5</v>
      </c>
      <c r="BA278" s="355" t="n">
        <v>49.61</v>
      </c>
      <c r="BB278" s="355" t="n">
        <v>74.31</v>
      </c>
      <c r="BC278" s="355" t="n">
        <v>81.81999999999999</v>
      </c>
      <c r="BE278" s="331">
        <f>AZ278*AW278</f>
        <v/>
      </c>
      <c r="BF278" s="331">
        <f>BA278*AW278</f>
        <v/>
      </c>
      <c r="BG278" s="331">
        <f>BB278*AW278</f>
        <v/>
      </c>
      <c r="BH278" s="331">
        <f>BC278*AW278</f>
        <v/>
      </c>
      <c r="BJ278" s="356">
        <f t="array" ref="BJ278:BM278">_xlfn.LET(_xlpm.data,$R278:$AV278,_xlpm.starts,{1,8,16,23},_xlpm.lengths,{7,7,8,9},_xlpm.arr,_xlfn.MAP(_xlpm.starts,_xlpm.lengths,_xlfn.LAMBDA(_xlpm.s,_xlpm.l,SUM(INDEX(_xlpm.data,,_xlfn.SEQUENCE(,_xlpm.l,_xlpm.s))))),ROUND(_xlpm.arr*$O278/1000,2))</f>
        <v/>
      </c>
      <c r="BK278" s="331" t="n">
        <v>7.75</v>
      </c>
      <c r="BL278" s="331" t="n">
        <v>23.26</v>
      </c>
      <c r="BM278" s="331" t="n">
        <v>0</v>
      </c>
      <c r="BN278" s="362">
        <f>SUM(BJ278:BM278)</f>
        <v/>
      </c>
      <c r="BO278" s="362" t="n">
        <v>76.98999999999999</v>
      </c>
      <c r="BP278" s="362" t="n">
        <v>76.98999999999999</v>
      </c>
      <c r="BQ278" s="362" t="n">
        <v>87.98999999999999</v>
      </c>
      <c r="BR278" s="362" t="n">
        <v>98.98999999999999</v>
      </c>
      <c r="BT278" s="362">
        <f t="array" ref="BT278:BW278">_xlfn.HSTACK(SUM(INDEX($R278:$AV278,1,1):INDEX($R278:$AV278,1,7)),SUM(INDEX($R278:$AV278,1,7):INDEX($R278:$AV278,1,13)),SUM(INDEX($R278:$AV278,1,16):INDEX($R278:$AV278,1,23)),SUM(INDEX($R278:$AV278,1,23):INDEX($R278:$AV278,1,31)))</f>
        <v/>
      </c>
      <c r="BU278" s="362" t="n">
        <v>60</v>
      </c>
      <c r="BV278" s="362" t="n">
        <v>360</v>
      </c>
      <c r="BW278" s="362" t="n">
        <v>0</v>
      </c>
      <c r="BY278" s="362">
        <f>SUM(R278:X278)</f>
        <v/>
      </c>
      <c r="BZ278" s="362">
        <f>SUM(Y278:AE278)</f>
        <v/>
      </c>
      <c r="CA278" s="362">
        <f>SUM(AF278:AM278)</f>
        <v/>
      </c>
      <c r="CB278" s="362">
        <f>SUM(AN278:AV278)</f>
        <v/>
      </c>
      <c r="CD278" s="432" t="inlineStr">
        <is>
          <t>ADA</t>
        </is>
      </c>
      <c r="CE278" s="362">
        <f>ROUND(BY278*$O278/1000,2)</f>
        <v/>
      </c>
      <c r="CF278" s="362">
        <f>ROUND(BZ278*$O278/1000,2)</f>
        <v/>
      </c>
      <c r="CG278" s="362">
        <f>ROUND(CA278*$O278/1000,2)</f>
        <v/>
      </c>
      <c r="CH278" s="362">
        <f>ROUND(CB278*$O278/1000,2)</f>
        <v/>
      </c>
      <c r="CI278" s="362">
        <f>SUM(CE278:CH278)</f>
        <v/>
      </c>
      <c r="CK278" s="362">
        <f>IFERROR(ROUND(BY278*$P278,2),"")</f>
        <v/>
      </c>
      <c r="CL278" s="362">
        <f>IFERROR(ROUND(BZ278*$P278,2),"")</f>
        <v/>
      </c>
      <c r="CM278" s="362">
        <f>IFERROR(ROUND(CA278*$P278,2),"")</f>
        <v/>
      </c>
      <c r="CN278" s="362">
        <f>IFERROR(ROUND(CB278*$P278,2),"")</f>
        <v/>
      </c>
      <c r="CO278" s="362">
        <f>SUM(CK278:CN278)</f>
        <v/>
      </c>
    </row>
    <row r="279" ht="15.6" customHeight="1" s="428">
      <c r="B279" s="344">
        <f>_xlfn.XLOOKUP(G279,销售需求表!A:A,销售需求表!C:C)</f>
        <v/>
      </c>
      <c r="C279" s="345">
        <f>IFERROR(MID(F279,FIND("R",F279)+1,2),"")</f>
        <v/>
      </c>
      <c r="D279" s="368">
        <f>B279&amp;C279&amp;"寸"</f>
        <v/>
      </c>
      <c r="E279" s="346">
        <f>LEFT(REPLACE(G279,1,2,""),FIND("[",REPLACE(G279,1,2,""))-1)&amp;"-"&amp;MID(REPLACE(G279,1,2,""),FIND("[",REPLACE(G279,1,2,""))+1,FIND("]",REPLACE(G279,1,2,""))-FIND("[",REPLACE(G279,1,2,""))-1)</f>
        <v/>
      </c>
      <c r="F279" s="347">
        <f>IFERROR(MID(G279,3,FIND("(",G279)-3)&amp;"-"&amp;SUBSTITUTE(MID(G279,FIND("[",G279)+1,FIND("]",G279)-FIND("[",G279)-1),"Strong Guard ",""),"")</f>
        <v/>
      </c>
      <c r="G279" s="366" t="inlineStr">
        <is>
          <t>ID11.00R20-18PR(152/149L)[FOLO.R109]EFFIPLUS</t>
        </is>
      </c>
      <c r="H279" s="344">
        <f>150+500</f>
        <v/>
      </c>
      <c r="I279" s="348" t="n"/>
      <c r="J279" s="349">
        <f>IFERROR(LEFT(F279,FIND("-",F279))&amp;MID(F279,FIND("PR",F279,FIND("-",F279))+3,LEN(F279)),F279)</f>
        <v/>
      </c>
      <c r="K279" s="352">
        <f>_xlfn.XLOOKUP(F279,投产规格!E:E,投产规格!D:D,"未投产")</f>
        <v/>
      </c>
      <c r="L279" s="352">
        <f>IFERROR(_xlfn.XLOOKUP(F279,硫化工艺!B:B,硫化工艺!C:C),"")</f>
        <v/>
      </c>
      <c r="M279" s="430">
        <f>IF(L279="","",L279/(L279+$L$1/60))</f>
        <v/>
      </c>
      <c r="N279" s="352">
        <f>C279&amp;"全钢"</f>
        <v/>
      </c>
      <c r="O279" s="352">
        <f>IFERROR(_xlfn.XLOOKUP(F279,轮胎重量!J:J,轮胎重量!G:G),"")</f>
        <v/>
      </c>
      <c r="P279" s="352">
        <f>IFERROR(_xlfn.XLOOKUP(G279,硫化工艺!I:I,硫化工艺!J:J),"")</f>
        <v/>
      </c>
      <c r="Q279" s="352">
        <f>IFERROR(ROUND(1440/L279*(I279)*M279,0),"")</f>
        <v/>
      </c>
      <c r="R279" s="352" t="n"/>
      <c r="S279" s="352" t="n"/>
      <c r="T279" s="352" t="n"/>
      <c r="U279" s="352" t="n"/>
      <c r="V279" s="352" t="n"/>
      <c r="W279" s="352" t="n"/>
      <c r="X279" s="352" t="n"/>
      <c r="Y279" s="352" t="n"/>
      <c r="Z279" s="352" t="n"/>
      <c r="AA279" s="352" t="n"/>
      <c r="AB279" s="352" t="n"/>
      <c r="AC279" s="352" t="n"/>
      <c r="AD279" s="352" t="n"/>
      <c r="AE279" s="352" t="n"/>
      <c r="AF279" s="352" t="n"/>
      <c r="AG279" s="352" t="n"/>
      <c r="AH279" s="352" t="n"/>
      <c r="AI279" s="352" t="n"/>
      <c r="AJ279" s="352" t="n"/>
      <c r="AK279" s="352" t="n"/>
      <c r="AL279" s="352" t="n"/>
      <c r="AM279" s="352" t="n">
        <v>60</v>
      </c>
      <c r="AN279" s="352" t="n">
        <v>60</v>
      </c>
      <c r="AO279" s="352" t="n">
        <v>60</v>
      </c>
      <c r="AP279" s="352" t="n">
        <v>60</v>
      </c>
      <c r="AQ279" s="352" t="n">
        <v>60</v>
      </c>
      <c r="AR279" s="352" t="n">
        <v>60</v>
      </c>
      <c r="AS279" s="352" t="n">
        <v>60</v>
      </c>
      <c r="AT279" s="352" t="n">
        <v>60</v>
      </c>
      <c r="AU279" s="352" t="n">
        <v>60</v>
      </c>
      <c r="AV279" s="352" t="n">
        <v>60</v>
      </c>
      <c r="AW279" s="352">
        <f>IF(SUM(R279:AV279)=0,"",SUM(R279:AV279))</f>
        <v/>
      </c>
      <c r="AX279" s="431">
        <f>IFERROR(AW279*O279/1000,"")</f>
        <v/>
      </c>
      <c r="AY279" s="431">
        <f>IFERROR(ROUND(AW279*P279/10000,3),"")</f>
        <v/>
      </c>
      <c r="AZ279" s="354" t="n">
        <v>768.71</v>
      </c>
      <c r="BA279" s="355" t="n">
        <v>46.75</v>
      </c>
      <c r="BB279" s="355" t="n">
        <v>71.52</v>
      </c>
      <c r="BC279" s="355" t="n">
        <v>76.56999999999999</v>
      </c>
      <c r="BE279" s="331">
        <f>AZ279*AW279</f>
        <v/>
      </c>
      <c r="BF279" s="331">
        <f>BA279*AW279</f>
        <v/>
      </c>
      <c r="BG279" s="331">
        <f>BB279*AW279</f>
        <v/>
      </c>
      <c r="BH279" s="331">
        <f>BC279*AW279</f>
        <v/>
      </c>
      <c r="BJ279" s="356">
        <f t="array" ref="BJ279:BM279">_xlfn.LET(_xlpm.data,$R279:$AV279,_xlpm.starts,{1,8,16,23},_xlpm.lengths,{7,7,8,9},_xlpm.arr,_xlfn.MAP(_xlpm.starts,_xlpm.lengths,_xlfn.LAMBDA(_xlpm.s,_xlpm.l,SUM(INDEX(_xlpm.data,,_xlfn.SEQUENCE(,_xlpm.l,_xlpm.s))))),ROUND(_xlpm.arr*$O279/1000,2))</f>
        <v/>
      </c>
      <c r="BK279" s="331" t="n">
        <v>0</v>
      </c>
      <c r="BL279" s="331" t="n">
        <v>8.09</v>
      </c>
      <c r="BM279" s="331" t="n">
        <v>36.39</v>
      </c>
      <c r="BN279" s="362">
        <f>SUM(BJ279:BM279)</f>
        <v/>
      </c>
      <c r="BO279" s="362" t="n">
        <v>51.56</v>
      </c>
      <c r="BP279" s="362" t="n">
        <v>51.56</v>
      </c>
      <c r="BQ279" s="362" t="n">
        <v>58.92</v>
      </c>
      <c r="BR279" s="362" t="n">
        <v>66.29000000000001</v>
      </c>
      <c r="BT279" s="362">
        <f t="array" ref="BT279:BW279">_xlfn.HSTACK(SUM(INDEX($R279:$AV279,1,1):INDEX($R279:$AV279,1,7)),SUM(INDEX($R279:$AV279,1,7):INDEX($R279:$AV279,1,13)),SUM(INDEX($R279:$AV279,1,16):INDEX($R279:$AV279,1,23)),SUM(INDEX($R279:$AV279,1,23):INDEX($R279:$AV279,1,31)))</f>
        <v/>
      </c>
      <c r="BU279" s="362" t="n">
        <v>0</v>
      </c>
      <c r="BV279" s="362" t="n">
        <v>120</v>
      </c>
      <c r="BW279" s="362" t="n">
        <v>540</v>
      </c>
      <c r="BY279" s="362">
        <f>SUM(R279:X279)</f>
        <v/>
      </c>
      <c r="BZ279" s="362">
        <f>SUM(Y279:AE279)</f>
        <v/>
      </c>
      <c r="CA279" s="362">
        <f>SUM(AF279:AM279)</f>
        <v/>
      </c>
      <c r="CB279" s="362">
        <f>SUM(AN279:AV279)</f>
        <v/>
      </c>
      <c r="CD279" s="432" t="inlineStr">
        <is>
          <t>ADA</t>
        </is>
      </c>
      <c r="CE279" s="362">
        <f>ROUND(BY279*$O279/1000,2)</f>
        <v/>
      </c>
      <c r="CF279" s="362">
        <f>ROUND(BZ279*$O279/1000,2)</f>
        <v/>
      </c>
      <c r="CG279" s="362">
        <f>ROUND(CA279*$O279/1000,2)</f>
        <v/>
      </c>
      <c r="CH279" s="362">
        <f>ROUND(CB279*$O279/1000,2)</f>
        <v/>
      </c>
      <c r="CI279" s="362">
        <f>SUM(CE279:CH279)</f>
        <v/>
      </c>
      <c r="CK279" s="362">
        <f>IFERROR(ROUND(BY279*$P279,2),"")</f>
        <v/>
      </c>
      <c r="CL279" s="362">
        <f>IFERROR(ROUND(BZ279*$P279,2),"")</f>
        <v/>
      </c>
      <c r="CM279" s="362">
        <f>IFERROR(ROUND(CA279*$P279,2),"")</f>
        <v/>
      </c>
      <c r="CN279" s="362">
        <f>IFERROR(ROUND(CB279*$P279,2),"")</f>
        <v/>
      </c>
      <c r="CO279" s="362">
        <f>SUM(CK279:CN279)</f>
        <v/>
      </c>
    </row>
    <row r="280" ht="15.6" customHeight="1" s="428">
      <c r="B280" s="344">
        <f>_xlfn.XLOOKUP(G280,销售需求表!A:A,销售需求表!C:C)</f>
        <v/>
      </c>
      <c r="C280" s="345">
        <f>IFERROR(MID(F280,FIND("R",F280)+1,2),"")</f>
        <v/>
      </c>
      <c r="D280" s="368">
        <f>B280&amp;C280&amp;"寸"</f>
        <v/>
      </c>
      <c r="E280" s="346">
        <f>LEFT(REPLACE(G280,1,2,""),FIND("[",REPLACE(G280,1,2,""))-1)&amp;"-"&amp;MID(REPLACE(G280,1,2,""),FIND("[",REPLACE(G280,1,2,""))+1,FIND("]",REPLACE(G280,1,2,""))-FIND("[",REPLACE(G280,1,2,""))-1)</f>
        <v/>
      </c>
      <c r="F280" s="347">
        <f>IFERROR(MID(G280,3,FIND("(",G280)-3)&amp;"-"&amp;SUBSTITUTE(MID(G280,FIND("[",G280)+1,FIND("]",G280)-FIND("[",G280)-1),"Strong Guard ",""),"")</f>
        <v/>
      </c>
      <c r="G280" s="366" t="inlineStr">
        <is>
          <t>ID11.00R20-20PR(154/151D)[AZ850]雅度 东南亚</t>
        </is>
      </c>
      <c r="H280" s="344" t="n">
        <v>350</v>
      </c>
      <c r="I280" s="348" t="n"/>
      <c r="J280" s="349">
        <f>IFERROR(LEFT(F280,FIND("-",F280))&amp;MID(F280,FIND("PR",F280,FIND("-",F280))+3,LEN(F280)),F280)</f>
        <v/>
      </c>
      <c r="K280" s="352">
        <f>_xlfn.XLOOKUP(F280,投产规格!E:E,投产规格!D:D,"未投产")</f>
        <v/>
      </c>
      <c r="L280" s="352">
        <f>IFERROR(_xlfn.XLOOKUP(F280,硫化工艺!B:B,硫化工艺!C:C),"")</f>
        <v/>
      </c>
      <c r="M280" s="430">
        <f>IF(L280="","",L280/(L280+$L$1/60))</f>
        <v/>
      </c>
      <c r="N280" s="352">
        <f>C280&amp;"全钢"</f>
        <v/>
      </c>
      <c r="O280" s="352">
        <f>IFERROR(_xlfn.XLOOKUP(F280,轮胎重量!J:J,轮胎重量!G:G),"")</f>
        <v/>
      </c>
      <c r="P280" s="352">
        <f>IFERROR(_xlfn.XLOOKUP(G280,硫化工艺!I:I,硫化工艺!J:J),"")</f>
        <v/>
      </c>
      <c r="Q280" s="352">
        <f>IFERROR(ROUND(1440/L280*(I280)*M280,0),"")</f>
        <v/>
      </c>
      <c r="R280" s="352" t="n"/>
      <c r="S280" s="352" t="n"/>
      <c r="T280" s="352" t="n"/>
      <c r="U280" s="352" t="n"/>
      <c r="V280" s="352" t="n"/>
      <c r="W280" s="352" t="n"/>
      <c r="X280" s="352" t="n"/>
      <c r="Y280" s="352" t="n">
        <v>50</v>
      </c>
      <c r="Z280" s="352" t="n">
        <v>50</v>
      </c>
      <c r="AA280" s="352" t="n">
        <v>50</v>
      </c>
      <c r="AB280" s="352" t="n">
        <v>50</v>
      </c>
      <c r="AC280" s="352" t="n">
        <v>50</v>
      </c>
      <c r="AD280" s="352" t="n">
        <v>50</v>
      </c>
      <c r="AE280" s="352" t="n">
        <v>50</v>
      </c>
      <c r="AF280" s="352" t="n">
        <v>50</v>
      </c>
      <c r="AG280" s="352" t="n">
        <v>50</v>
      </c>
      <c r="AH280" s="352" t="n">
        <v>50</v>
      </c>
      <c r="AI280" s="352" t="n">
        <v>50</v>
      </c>
      <c r="AJ280" s="352" t="n">
        <v>50</v>
      </c>
      <c r="AK280" s="352" t="n">
        <v>50</v>
      </c>
      <c r="AL280" s="352" t="n">
        <v>50</v>
      </c>
      <c r="AM280" s="352" t="n">
        <v>50</v>
      </c>
      <c r="AN280" s="352" t="n"/>
      <c r="AO280" s="352" t="n"/>
      <c r="AP280" s="352" t="n"/>
      <c r="AQ280" s="352" t="n"/>
      <c r="AR280" s="352" t="n"/>
      <c r="AS280" s="352" t="n"/>
      <c r="AT280" s="352" t="n"/>
      <c r="AU280" s="352" t="n"/>
      <c r="AV280" s="352" t="n"/>
      <c r="AW280" s="352">
        <f>IF(SUM(R280:AV280)=0,"",SUM(R280:AV280))</f>
        <v/>
      </c>
      <c r="AX280" s="431">
        <f>IFERROR(AW280*O280/1000,"")</f>
        <v/>
      </c>
      <c r="AY280" s="431">
        <f>IFERROR(ROUND(AW280*P280/10000,3),"")</f>
        <v/>
      </c>
      <c r="AZ280" s="354" t="n">
        <v>660.8</v>
      </c>
      <c r="BA280" s="355" t="n">
        <v>42.02</v>
      </c>
      <c r="BB280" s="355" t="n">
        <v>65.11</v>
      </c>
      <c r="BC280" s="355" t="n">
        <v>70.93000000000001</v>
      </c>
      <c r="BE280" s="331">
        <f>AZ280*AW280</f>
        <v/>
      </c>
      <c r="BF280" s="331">
        <f>BA280*AW280</f>
        <v/>
      </c>
      <c r="BG280" s="331">
        <f>BB280*AW280</f>
        <v/>
      </c>
      <c r="BH280" s="331">
        <f>BC280*AW280</f>
        <v/>
      </c>
      <c r="BJ280" s="356">
        <f t="array" ref="BJ280:BM280">_xlfn.LET(_xlpm.data,$R280:$AV280,_xlpm.starts,{1,8,16,23},_xlpm.lengths,{7,7,8,9},_xlpm.arr,_xlfn.MAP(_xlpm.starts,_xlpm.lengths,_xlfn.LAMBDA(_xlpm.s,_xlpm.l,SUM(INDEX(_xlpm.data,,_xlfn.SEQUENCE(,_xlpm.l,_xlpm.s))))),ROUND(_xlpm.arr*$O280/1000,2))</f>
        <v/>
      </c>
      <c r="BK280" s="331" t="n">
        <v>23.87</v>
      </c>
      <c r="BL280" s="331" t="n">
        <v>23.87</v>
      </c>
      <c r="BM280" s="331" t="n">
        <v>0</v>
      </c>
      <c r="BN280" s="362">
        <f>SUM(BJ280:BM280)</f>
        <v/>
      </c>
      <c r="BO280" s="362" t="n">
        <v>53.95</v>
      </c>
      <c r="BP280" s="362" t="n">
        <v>0</v>
      </c>
      <c r="BQ280" s="362" t="n">
        <v>0</v>
      </c>
      <c r="BR280" s="362" t="n">
        <v>0</v>
      </c>
      <c r="BT280" s="362">
        <f t="array" ref="BT280:BW280">_xlfn.HSTACK(SUM(INDEX($R280:$AV280,1,1):INDEX($R280:$AV280,1,7)),SUM(INDEX($R280:$AV280,1,7):INDEX($R280:$AV280,1,13)),SUM(INDEX($R280:$AV280,1,16):INDEX($R280:$AV280,1,23)),SUM(INDEX($R280:$AV280,1,23):INDEX($R280:$AV280,1,31)))</f>
        <v/>
      </c>
      <c r="BU280" s="362" t="n">
        <v>300</v>
      </c>
      <c r="BV280" s="362" t="n">
        <v>350</v>
      </c>
      <c r="BW280" s="362" t="n">
        <v>0</v>
      </c>
      <c r="BY280" s="362">
        <f>SUM(R280:X280)</f>
        <v/>
      </c>
      <c r="BZ280" s="362">
        <f>SUM(Y280:AE280)</f>
        <v/>
      </c>
      <c r="CA280" s="362">
        <f>SUM(AF280:AM280)</f>
        <v/>
      </c>
      <c r="CB280" s="362">
        <f>SUM(AN280:AV280)</f>
        <v/>
      </c>
      <c r="CD280" s="432" t="inlineStr">
        <is>
          <t>ADA</t>
        </is>
      </c>
      <c r="CE280" s="362">
        <f>ROUND(BY280*$O280/1000,2)</f>
        <v/>
      </c>
      <c r="CF280" s="362">
        <f>ROUND(BZ280*$O280/1000,2)</f>
        <v/>
      </c>
      <c r="CG280" s="362">
        <f>ROUND(CA280*$O280/1000,2)</f>
        <v/>
      </c>
      <c r="CH280" s="362">
        <f>ROUND(CB280*$O280/1000,2)</f>
        <v/>
      </c>
      <c r="CI280" s="362">
        <f>SUM(CE280:CH280)</f>
        <v/>
      </c>
      <c r="CK280" s="362">
        <f>IFERROR(ROUND(BY280*$P280,2),"")</f>
        <v/>
      </c>
      <c r="CL280" s="362">
        <f>IFERROR(ROUND(BZ280*$P280,2),"")</f>
        <v/>
      </c>
      <c r="CM280" s="362">
        <f>IFERROR(ROUND(CA280*$P280,2),"")</f>
        <v/>
      </c>
      <c r="CN280" s="362">
        <f>IFERROR(ROUND(CB280*$P280,2),"")</f>
        <v/>
      </c>
      <c r="CO280" s="362">
        <f>SUM(CK280:CN280)</f>
        <v/>
      </c>
    </row>
    <row r="281" hidden="1" ht="15.6" customHeight="1" s="428">
      <c r="B281" s="344">
        <f>_xlfn.XLOOKUP(G281,销售需求表!A:A,销售需求表!C:C)</f>
        <v/>
      </c>
      <c r="C281" s="345">
        <f>IFERROR(MID(F281,FIND("R",F281)+1,2),"")</f>
        <v/>
      </c>
      <c r="D281" s="368">
        <f>B281&amp;C281&amp;"寸"</f>
        <v/>
      </c>
      <c r="E281" s="346">
        <f>LEFT(REPLACE(G281,1,2,""),FIND("[",REPLACE(G281,1,2,""))-1)&amp;"-"&amp;MID(REPLACE(G281,1,2,""),FIND("[",REPLACE(G281,1,2,""))+1,FIND("]",REPLACE(G281,1,2,""))-FIND("[",REPLACE(G281,1,2,""))-1)</f>
        <v/>
      </c>
      <c r="F281" s="347">
        <f>IFERROR(MID(G281,3,FIND("(",G281)-3)&amp;"-"&amp;SUBSTITUTE(MID(G281,FIND("[",G281)+1,FIND("]",G281)-FIND("[",G281)-1),"Strong Guard ",""),"")</f>
        <v/>
      </c>
      <c r="G281" s="366" t="inlineStr">
        <is>
          <t>ID11.00R20-20PR(154/151D)[CB905A]雅度 东南亚</t>
        </is>
      </c>
      <c r="H281" s="344" t="n">
        <v>150</v>
      </c>
      <c r="I281" s="348" t="n"/>
      <c r="J281" s="349">
        <f>IFERROR(LEFT(F281,FIND("-",F281))&amp;MID(F281,FIND("PR",F281,FIND("-",F281))+3,LEN(F281)),F281)</f>
        <v/>
      </c>
      <c r="K281" s="352">
        <f>_xlfn.XLOOKUP(F281,投产规格!E:E,投产规格!D:D,"未投产")</f>
        <v/>
      </c>
      <c r="L281" s="352">
        <f>IFERROR(_xlfn.XLOOKUP(F281,硫化工艺!B:B,硫化工艺!C:C),"")</f>
        <v/>
      </c>
      <c r="M281" s="430">
        <f>IF(L281="","",L281/(L281+$L$1/60))</f>
        <v/>
      </c>
      <c r="N281" s="352">
        <f>C281&amp;"全钢"</f>
        <v/>
      </c>
      <c r="O281" s="352">
        <f>IFERROR(_xlfn.XLOOKUP(F281,轮胎重量!J:J,轮胎重量!G:G),"")</f>
        <v/>
      </c>
      <c r="P281" s="352">
        <f>IFERROR(_xlfn.XLOOKUP(G281,硫化工艺!I:I,硫化工艺!J:J),"")</f>
        <v/>
      </c>
      <c r="Q281" s="352">
        <f>IFERROR(ROUND(1440/L281*(I281)*M281,0),"")</f>
        <v/>
      </c>
      <c r="R281" s="352" t="n"/>
      <c r="S281" s="352" t="n"/>
      <c r="T281" s="352" t="n"/>
      <c r="U281" s="352" t="n"/>
      <c r="V281" s="352" t="n"/>
      <c r="W281" s="352" t="n"/>
      <c r="X281" s="352" t="n"/>
      <c r="Y281" s="352" t="n"/>
      <c r="Z281" s="352" t="n"/>
      <c r="AA281" s="352" t="n"/>
      <c r="AB281" s="352" t="n"/>
      <c r="AC281" s="352" t="n"/>
      <c r="AD281" s="352" t="n"/>
      <c r="AE281" s="352" t="n"/>
      <c r="AF281" s="352" t="n"/>
      <c r="AG281" s="352" t="n"/>
      <c r="AH281" s="352" t="n"/>
      <c r="AI281" s="352" t="n"/>
      <c r="AJ281" s="352" t="n"/>
      <c r="AK281" s="352" t="n"/>
      <c r="AL281" s="352" t="n"/>
      <c r="AM281" s="352" t="n"/>
      <c r="AN281" s="352" t="n"/>
      <c r="AO281" s="352" t="n"/>
      <c r="AP281" s="352" t="n"/>
      <c r="AQ281" s="352" t="n"/>
      <c r="AR281" s="352" t="n"/>
      <c r="AS281" s="352" t="n"/>
      <c r="AT281" s="352" t="n"/>
      <c r="AU281" s="352" t="n"/>
      <c r="AV281" s="352" t="n"/>
      <c r="AW281" s="352">
        <f>IF(SUM(R281:AV281)=0,"",SUM(R281:AV281))</f>
        <v/>
      </c>
      <c r="AX281" s="431">
        <f>IFERROR(AW281*O281/1000,"")</f>
        <v/>
      </c>
      <c r="AY281" s="431">
        <f>IFERROR(ROUND(AW281*P281/10000,3),"")</f>
        <v/>
      </c>
      <c r="AZ281" s="354" t="n">
        <v>660.8</v>
      </c>
      <c r="BA281" s="355" t="n">
        <v>42.02</v>
      </c>
      <c r="BB281" s="355" t="n">
        <v>65.11</v>
      </c>
      <c r="BC281" s="355" t="n">
        <v>70.93000000000001</v>
      </c>
      <c r="BE281" s="331">
        <f>AZ281*AW281</f>
        <v/>
      </c>
      <c r="BF281" s="331">
        <f>BA281*AW281</f>
        <v/>
      </c>
      <c r="BG281" s="331">
        <f>BB281*AW281</f>
        <v/>
      </c>
      <c r="BH281" s="331">
        <f>BC281*AW281</f>
        <v/>
      </c>
      <c r="BJ281" s="356">
        <f t="array" ref="BJ281:BM281">_xlfn.LET(_xlpm.data,$R281:$AV281,_xlpm.starts,{1,8,16,23},_xlpm.lengths,{7,7,8,9},_xlpm.arr,_xlfn.MAP(_xlpm.starts,_xlpm.lengths,_xlfn.LAMBDA(_xlpm.s,_xlpm.l,SUM(INDEX(_xlpm.data,,_xlfn.SEQUENCE(,_xlpm.l,_xlpm.s))))),ROUND(_xlpm.arr*$O281/1000,2))</f>
        <v/>
      </c>
      <c r="BK281" s="331" t="n">
        <v>0</v>
      </c>
      <c r="BL281" s="331" t="n">
        <v>0</v>
      </c>
      <c r="BM281" s="331" t="n">
        <v>0</v>
      </c>
      <c r="BN281" s="362">
        <f>SUM(BJ281:BM281)</f>
        <v/>
      </c>
      <c r="BO281" s="362" t="n">
        <v>53.95</v>
      </c>
      <c r="BP281" s="362" t="n">
        <v>0</v>
      </c>
      <c r="BQ281" s="362" t="n">
        <v>0</v>
      </c>
      <c r="BR281" s="362" t="n">
        <v>0</v>
      </c>
      <c r="BT281" s="362">
        <f t="array" ref="BT281:BW281">_xlfn.HSTACK(SUM(INDEX($R281:$AV281,1,1):INDEX($R281:$AV281,1,7)),SUM(INDEX($R281:$AV281,1,7):INDEX($R281:$AV281,1,13)),SUM(INDEX($R281:$AV281,1,16):INDEX($R281:$AV281,1,23)),SUM(INDEX($R281:$AV281,1,23):INDEX($R281:$AV281,1,31)))</f>
        <v/>
      </c>
      <c r="BU281" s="362" t="n">
        <v>0</v>
      </c>
      <c r="BV281" s="362" t="n">
        <v>0</v>
      </c>
      <c r="BW281" s="362" t="n">
        <v>0</v>
      </c>
      <c r="BY281" s="362">
        <f>SUM(R281:X281)</f>
        <v/>
      </c>
      <c r="BZ281" s="362">
        <f>SUM(Y281:AE281)</f>
        <v/>
      </c>
      <c r="CA281" s="362">
        <f>SUM(AF281:AM281)</f>
        <v/>
      </c>
      <c r="CB281" s="362">
        <f>SUM(AN281:AV281)</f>
        <v/>
      </c>
      <c r="CD281" s="432" t="inlineStr">
        <is>
          <t>ADA</t>
        </is>
      </c>
      <c r="CE281" s="362">
        <f>ROUND(BY281*$O281/1000,2)</f>
        <v/>
      </c>
      <c r="CF281" s="362">
        <f>ROUND(BZ281*$O281/1000,2)</f>
        <v/>
      </c>
      <c r="CG281" s="362">
        <f>ROUND(CA281*$O281/1000,2)</f>
        <v/>
      </c>
      <c r="CH281" s="362">
        <f>ROUND(CB281*$O281/1000,2)</f>
        <v/>
      </c>
      <c r="CI281" s="362">
        <f>SUM(CE281:CH281)</f>
        <v/>
      </c>
      <c r="CK281" s="362">
        <f>IFERROR(ROUND(BY281*$P281,2),"")</f>
        <v/>
      </c>
      <c r="CL281" s="362">
        <f>IFERROR(ROUND(BZ281*$P281,2),"")</f>
        <v/>
      </c>
      <c r="CM281" s="362">
        <f>IFERROR(ROUND(CA281*$P281,2),"")</f>
        <v/>
      </c>
      <c r="CN281" s="362">
        <f>IFERROR(ROUND(CB281*$P281,2),"")</f>
        <v/>
      </c>
      <c r="CO281" s="362">
        <f>SUM(CK281:CN281)</f>
        <v/>
      </c>
    </row>
    <row r="282" hidden="1" ht="15.6" customHeight="1" s="428">
      <c r="B282" s="344">
        <f>_xlfn.XLOOKUP(G282,销售需求表!A:A,销售需求表!C:C)</f>
        <v/>
      </c>
      <c r="C282" s="345">
        <f>IFERROR(MID(F282,FIND("R",F282)+1,2),"")</f>
        <v/>
      </c>
      <c r="D282" s="368">
        <f>B282&amp;C282&amp;"寸"</f>
        <v/>
      </c>
      <c r="E282" s="346">
        <f>LEFT(REPLACE(G282,1,2,""),FIND("[",REPLACE(G282,1,2,""))-1)&amp;"-"&amp;MID(REPLACE(G282,1,2,""),FIND("[",REPLACE(G282,1,2,""))+1,FIND("]",REPLACE(G282,1,2,""))-FIND("[",REPLACE(G282,1,2,""))-1)</f>
        <v/>
      </c>
      <c r="F282" s="347">
        <f>IFERROR(MID(G282,3,FIND("(",G282)-3)&amp;"-"&amp;SUBSTITUTE(MID(G282,FIND("[",G282)+1,FIND("]",G282)-FIND("[",G282)-1),"Strong Guard ",""),"")</f>
        <v/>
      </c>
      <c r="G282" s="346" t="inlineStr">
        <is>
          <t>ID12.00R20-18PR(154/151F)[CB919]ARISUN</t>
        </is>
      </c>
      <c r="H282" s="344" t="n">
        <v>200</v>
      </c>
      <c r="I282" s="348" t="n"/>
      <c r="J282" s="349">
        <f>IFERROR(LEFT(F282,FIND("-",F282))&amp;MID(F282,FIND("PR",F282,FIND("-",F282))+3,LEN(F282)),F282)</f>
        <v/>
      </c>
      <c r="K282" s="352">
        <f>_xlfn.XLOOKUP(F282,投产规格!E:E,投产规格!D:D,"未投产")</f>
        <v/>
      </c>
      <c r="L282" s="352">
        <f>IFERROR(_xlfn.XLOOKUP(F282,硫化工艺!B:B,硫化工艺!C:C),"")</f>
        <v/>
      </c>
      <c r="M282" s="430">
        <f>IF(L282="","",L282/(L282+$L$1/60))</f>
        <v/>
      </c>
      <c r="N282" s="352">
        <f>C282&amp;"全钢"</f>
        <v/>
      </c>
      <c r="O282" s="352">
        <f>IFERROR(_xlfn.XLOOKUP(F282,轮胎重量!J:J,轮胎重量!G:G),"")</f>
        <v/>
      </c>
      <c r="P282" s="352">
        <f>IFERROR(_xlfn.XLOOKUP(G282,硫化工艺!I:I,硫化工艺!J:J),"")</f>
        <v/>
      </c>
      <c r="Q282" s="352">
        <f>IFERROR(ROUND(1440/L282*(I282)*M282,0),"")</f>
        <v/>
      </c>
      <c r="R282" s="352" t="n"/>
      <c r="S282" s="352" t="n"/>
      <c r="T282" s="352" t="n"/>
      <c r="U282" s="352" t="n"/>
      <c r="V282" s="352" t="n"/>
      <c r="W282" s="352" t="n"/>
      <c r="X282" s="352" t="n"/>
      <c r="Y282" s="352" t="n"/>
      <c r="Z282" s="352" t="n"/>
      <c r="AA282" s="352" t="n"/>
      <c r="AB282" s="352" t="n"/>
      <c r="AC282" s="352" t="n"/>
      <c r="AD282" s="352" t="n"/>
      <c r="AE282" s="352" t="n"/>
      <c r="AF282" s="352" t="n"/>
      <c r="AG282" s="352" t="n"/>
      <c r="AH282" s="352" t="n"/>
      <c r="AI282" s="352" t="n"/>
      <c r="AJ282" s="352" t="n"/>
      <c r="AK282" s="352" t="n"/>
      <c r="AL282" s="352" t="n"/>
      <c r="AM282" s="352" t="n"/>
      <c r="AN282" s="352" t="n"/>
      <c r="AO282" s="352" t="n"/>
      <c r="AP282" s="352" t="n"/>
      <c r="AQ282" s="352" t="n"/>
      <c r="AR282" s="352" t="n"/>
      <c r="AS282" s="352" t="n"/>
      <c r="AT282" s="352" t="n"/>
      <c r="AU282" s="352" t="n"/>
      <c r="AV282" s="352" t="n"/>
      <c r="AW282" s="352">
        <f>IF(SUM(R282:AV282)=0,"",SUM(R282:AV282))</f>
        <v/>
      </c>
      <c r="AX282" s="431">
        <f>IFERROR(AW282*O282/1000,"")</f>
        <v/>
      </c>
      <c r="AY282" s="431">
        <f>IFERROR(ROUND(AW282*P282/10000,3),"")</f>
        <v/>
      </c>
      <c r="AZ282" s="354" t="n">
        <v>660.8</v>
      </c>
      <c r="BA282" s="355" t="n">
        <v>42.02</v>
      </c>
      <c r="BB282" s="355" t="n">
        <v>65.11</v>
      </c>
      <c r="BC282" s="355" t="n">
        <v>70.93000000000001</v>
      </c>
      <c r="BE282" s="331">
        <f>AZ282*AW282</f>
        <v/>
      </c>
      <c r="BF282" s="331">
        <f>BA282*AW282</f>
        <v/>
      </c>
      <c r="BG282" s="331">
        <f>BB282*AW282</f>
        <v/>
      </c>
      <c r="BH282" s="331">
        <f>BC282*AW282</f>
        <v/>
      </c>
      <c r="BJ282" s="356">
        <f t="array" ref="BJ282:BM282">_xlfn.LET(_xlpm.data,$R282:$AV282,_xlpm.starts,{1,8,16,23},_xlpm.lengths,{7,7,8,9},_xlpm.arr,_xlfn.MAP(_xlpm.starts,_xlpm.lengths,_xlfn.LAMBDA(_xlpm.s,_xlpm.l,SUM(INDEX(_xlpm.data,,_xlfn.SEQUENCE(,_xlpm.l,_xlpm.s))))),ROUND(_xlpm.arr*$O282/1000,2))</f>
        <v/>
      </c>
      <c r="BK282" s="331" t="n">
        <v>0</v>
      </c>
      <c r="BL282" s="331" t="n">
        <v>0</v>
      </c>
      <c r="BM282" s="331" t="n">
        <v>0</v>
      </c>
      <c r="BN282" s="362">
        <f>SUM(BJ282:BM282)</f>
        <v/>
      </c>
      <c r="BO282" s="362" t="n">
        <v>53.95</v>
      </c>
      <c r="BP282" s="362" t="n">
        <v>0</v>
      </c>
      <c r="BQ282" s="362" t="n">
        <v>0</v>
      </c>
      <c r="BR282" s="362" t="n">
        <v>0</v>
      </c>
      <c r="BT282" s="362">
        <f t="array" ref="BT282:BW282">_xlfn.HSTACK(SUM(INDEX($R282:$AV282,1,1):INDEX($R282:$AV282,1,7)),SUM(INDEX($R282:$AV282,1,7):INDEX($R282:$AV282,1,13)),SUM(INDEX($R282:$AV282,1,16):INDEX($R282:$AV282,1,23)),SUM(INDEX($R282:$AV282,1,23):INDEX($R282:$AV282,1,31)))</f>
        <v/>
      </c>
      <c r="BU282" s="362" t="n">
        <v>0</v>
      </c>
      <c r="BV282" s="362" t="n">
        <v>0</v>
      </c>
      <c r="BW282" s="362" t="n">
        <v>0</v>
      </c>
      <c r="BY282" s="362">
        <f>SUM(R282:X282)</f>
        <v/>
      </c>
      <c r="BZ282" s="362">
        <f>SUM(Y282:AE282)</f>
        <v/>
      </c>
      <c r="CA282" s="362">
        <f>SUM(AF282:AM282)</f>
        <v/>
      </c>
      <c r="CB282" s="362">
        <f>SUM(AN282:AV282)</f>
        <v/>
      </c>
      <c r="CD282" s="432" t="inlineStr">
        <is>
          <t>ADA</t>
        </is>
      </c>
      <c r="CE282" s="362">
        <f>ROUND(BY282*$O282/1000,2)</f>
        <v/>
      </c>
      <c r="CF282" s="362">
        <f>ROUND(BZ282*$O282/1000,2)</f>
        <v/>
      </c>
      <c r="CG282" s="362">
        <f>ROUND(CA282*$O282/1000,2)</f>
        <v/>
      </c>
      <c r="CH282" s="362">
        <f>ROUND(CB282*$O282/1000,2)</f>
        <v/>
      </c>
      <c r="CI282" s="362">
        <f>SUM(CE282:CH282)</f>
        <v/>
      </c>
      <c r="CK282" s="362">
        <f>IFERROR(ROUND(BY282*$P282,2),"")</f>
        <v/>
      </c>
      <c r="CL282" s="362">
        <f>IFERROR(ROUND(BZ282*$P282,2),"")</f>
        <v/>
      </c>
      <c r="CM282" s="362">
        <f>IFERROR(ROUND(CA282*$P282,2),"")</f>
        <v/>
      </c>
      <c r="CN282" s="362">
        <f>IFERROR(ROUND(CB282*$P282,2),"")</f>
        <v/>
      </c>
      <c r="CO282" s="362">
        <f>SUM(CK282:CN282)</f>
        <v/>
      </c>
    </row>
    <row r="283" hidden="1" ht="15.6" customHeight="1" s="428">
      <c r="B283" s="344">
        <f>_xlfn.XLOOKUP(G283,销售需求表!A:A,销售需求表!C:C)</f>
        <v/>
      </c>
      <c r="C283" s="345">
        <f>IFERROR(MID(F283,FIND("R",F283)+1,2),"")</f>
        <v/>
      </c>
      <c r="D283" s="368">
        <f>B283&amp;C283&amp;"寸"</f>
        <v/>
      </c>
      <c r="E283" s="346">
        <f>LEFT(REPLACE(G283,1,2,""),FIND("[",REPLACE(G283,1,2,""))-1)&amp;"-"&amp;MID(REPLACE(G283,1,2,""),FIND("[",REPLACE(G283,1,2,""))+1,FIND("]",REPLACE(G283,1,2,""))-FIND("[",REPLACE(G283,1,2,""))-1)</f>
        <v/>
      </c>
      <c r="F283" s="347">
        <f>IFERROR(MID(G283,3,FIND("(",G283)-3)&amp;"-"&amp;SUBSTITUTE(MID(G283,FIND("[",G283)+1,FIND("]",G283)-FIND("[",G283)-1),"Strong Guard ",""),"")</f>
        <v/>
      </c>
      <c r="G283" s="346" t="inlineStr">
        <is>
          <t>ID12.00R20-18PR(154/151F)[EZ336]雅度</t>
        </is>
      </c>
      <c r="H283" s="344" t="n">
        <v>150</v>
      </c>
      <c r="I283" s="348" t="n"/>
      <c r="J283" s="349">
        <f>IFERROR(LEFT(F283,FIND("-",F283))&amp;MID(F283,FIND("PR",F283,FIND("-",F283))+3,LEN(F283)),F283)</f>
        <v/>
      </c>
      <c r="K283" s="352">
        <f>_xlfn.XLOOKUP(F283,投产规格!E:E,投产规格!D:D,"未投产")</f>
        <v/>
      </c>
      <c r="L283" s="352">
        <f>IFERROR(_xlfn.XLOOKUP(F283,硫化工艺!B:B,硫化工艺!C:C),"")</f>
        <v/>
      </c>
      <c r="M283" s="430">
        <f>IF(L283="","",L283/(L283+$L$1/60))</f>
        <v/>
      </c>
      <c r="N283" s="352">
        <f>C283&amp;"全钢"</f>
        <v/>
      </c>
      <c r="O283" s="352">
        <f>IFERROR(_xlfn.XLOOKUP(F283,轮胎重量!J:J,轮胎重量!G:G),"")</f>
        <v/>
      </c>
      <c r="P283" s="352">
        <f>IFERROR(_xlfn.XLOOKUP(G283,硫化工艺!I:I,硫化工艺!J:J),"")</f>
        <v/>
      </c>
      <c r="Q283" s="352">
        <f>IFERROR(ROUND(1440/L283*(I283)*M283,0),"")</f>
        <v/>
      </c>
      <c r="R283" s="352" t="n"/>
      <c r="S283" s="352" t="n"/>
      <c r="T283" s="352" t="n"/>
      <c r="U283" s="352" t="n"/>
      <c r="V283" s="352" t="n"/>
      <c r="W283" s="352" t="n"/>
      <c r="X283" s="352" t="n"/>
      <c r="Y283" s="352" t="n"/>
      <c r="Z283" s="352" t="n"/>
      <c r="AA283" s="352" t="n"/>
      <c r="AB283" s="352" t="n"/>
      <c r="AC283" s="352" t="n"/>
      <c r="AD283" s="352" t="n"/>
      <c r="AE283" s="352" t="n"/>
      <c r="AF283" s="352" t="n"/>
      <c r="AG283" s="352" t="n"/>
      <c r="AH283" s="352" t="n"/>
      <c r="AI283" s="352" t="n"/>
      <c r="AJ283" s="352" t="n"/>
      <c r="AK283" s="352" t="n"/>
      <c r="AL283" s="352" t="n"/>
      <c r="AM283" s="352" t="n"/>
      <c r="AN283" s="352" t="n"/>
      <c r="AO283" s="352" t="n"/>
      <c r="AP283" s="352" t="n"/>
      <c r="AQ283" s="352" t="n"/>
      <c r="AR283" s="352" t="n"/>
      <c r="AS283" s="352" t="n"/>
      <c r="AT283" s="352" t="n"/>
      <c r="AU283" s="352" t="n"/>
      <c r="AV283" s="352" t="n"/>
      <c r="AW283" s="352">
        <f>IF(SUM(R283:AV283)=0,"",SUM(R283:AV283))</f>
        <v/>
      </c>
      <c r="AX283" s="431">
        <f>IFERROR(AW283*O283/1000,"")</f>
        <v/>
      </c>
      <c r="AY283" s="431">
        <f>IFERROR(ROUND(AW283*P283/10000,3),"")</f>
        <v/>
      </c>
      <c r="AZ283" s="354" t="n">
        <v>660.8</v>
      </c>
      <c r="BA283" s="355" t="n">
        <v>42.02</v>
      </c>
      <c r="BB283" s="355" t="n">
        <v>65.11</v>
      </c>
      <c r="BC283" s="355" t="n">
        <v>70.93000000000001</v>
      </c>
      <c r="BE283" s="331">
        <f>AZ283*AW283</f>
        <v/>
      </c>
      <c r="BF283" s="331">
        <f>BA283*AW283</f>
        <v/>
      </c>
      <c r="BG283" s="331">
        <f>BB283*AW283</f>
        <v/>
      </c>
      <c r="BH283" s="331">
        <f>BC283*AW283</f>
        <v/>
      </c>
      <c r="BJ283" s="356">
        <f t="array" ref="BJ283:BM283">_xlfn.LET(_xlpm.data,$R283:$AV283,_xlpm.starts,{1,8,16,23},_xlpm.lengths,{7,7,8,9},_xlpm.arr,_xlfn.MAP(_xlpm.starts,_xlpm.lengths,_xlfn.LAMBDA(_xlpm.s,_xlpm.l,SUM(INDEX(_xlpm.data,,_xlfn.SEQUENCE(,_xlpm.l,_xlpm.s))))),ROUND(_xlpm.arr*$O283/1000,2))</f>
        <v/>
      </c>
      <c r="BK283" s="331" t="n">
        <v>0</v>
      </c>
      <c r="BL283" s="331" t="n">
        <v>0</v>
      </c>
      <c r="BM283" s="331" t="n">
        <v>0</v>
      </c>
      <c r="BN283" s="362">
        <f>SUM(BJ283:BM283)</f>
        <v/>
      </c>
      <c r="BO283" s="362" t="n">
        <v>53.95</v>
      </c>
      <c r="BP283" s="362" t="n">
        <v>0</v>
      </c>
      <c r="BQ283" s="362" t="n">
        <v>0</v>
      </c>
      <c r="BR283" s="362" t="n">
        <v>0</v>
      </c>
      <c r="BT283" s="362">
        <f t="array" ref="BT283:BW283">_xlfn.HSTACK(SUM(INDEX($R283:$AV283,1,1):INDEX($R283:$AV283,1,7)),SUM(INDEX($R283:$AV283,1,7):INDEX($R283:$AV283,1,13)),SUM(INDEX($R283:$AV283,1,16):INDEX($R283:$AV283,1,23)),SUM(INDEX($R283:$AV283,1,23):INDEX($R283:$AV283,1,31)))</f>
        <v/>
      </c>
      <c r="BU283" s="362" t="n">
        <v>0</v>
      </c>
      <c r="BV283" s="362" t="n">
        <v>0</v>
      </c>
      <c r="BW283" s="362" t="n">
        <v>0</v>
      </c>
      <c r="BY283" s="362">
        <f>SUM(R283:X283)</f>
        <v/>
      </c>
      <c r="BZ283" s="362">
        <f>SUM(Y283:AE283)</f>
        <v/>
      </c>
      <c r="CA283" s="362">
        <f>SUM(AF283:AM283)</f>
        <v/>
      </c>
      <c r="CB283" s="362">
        <f>SUM(AN283:AV283)</f>
        <v/>
      </c>
      <c r="CD283" s="432" t="inlineStr">
        <is>
          <t>ADA</t>
        </is>
      </c>
      <c r="CE283" s="362">
        <f>ROUND(BY283*$O283/1000,2)</f>
        <v/>
      </c>
      <c r="CF283" s="362">
        <f>ROUND(BZ283*$O283/1000,2)</f>
        <v/>
      </c>
      <c r="CG283" s="362">
        <f>ROUND(CA283*$O283/1000,2)</f>
        <v/>
      </c>
      <c r="CH283" s="362">
        <f>ROUND(CB283*$O283/1000,2)</f>
        <v/>
      </c>
      <c r="CI283" s="362">
        <f>SUM(CE283:CH283)</f>
        <v/>
      </c>
      <c r="CK283" s="362">
        <f>IFERROR(ROUND(BY283*$P283,2),"")</f>
        <v/>
      </c>
      <c r="CL283" s="362">
        <f>IFERROR(ROUND(BZ283*$P283,2),"")</f>
        <v/>
      </c>
      <c r="CM283" s="362">
        <f>IFERROR(ROUND(CA283*$P283,2),"")</f>
        <v/>
      </c>
      <c r="CN283" s="362">
        <f>IFERROR(ROUND(CB283*$P283,2),"")</f>
        <v/>
      </c>
      <c r="CO283" s="362">
        <f>SUM(CK283:CN283)</f>
        <v/>
      </c>
    </row>
    <row r="284" hidden="1" ht="15.6" customHeight="1" s="428">
      <c r="B284" s="344">
        <f>_xlfn.XLOOKUP(G284,销售需求表!A:A,销售需求表!C:C)</f>
        <v/>
      </c>
      <c r="C284" s="345">
        <f>IFERROR(MID(F284,FIND("R",F284)+1,2),"")</f>
        <v/>
      </c>
      <c r="D284" s="368">
        <f>B284&amp;C284&amp;"寸"</f>
        <v/>
      </c>
      <c r="E284" s="346">
        <f>LEFT(REPLACE(G284,1,2,""),FIND("[",REPLACE(G284,1,2,""))-1)&amp;"-"&amp;MID(REPLACE(G284,1,2,""),FIND("[",REPLACE(G284,1,2,""))+1,FIND("]",REPLACE(G284,1,2,""))-FIND("[",REPLACE(G284,1,2,""))-1)</f>
        <v/>
      </c>
      <c r="F284" s="347">
        <f>IFERROR(MID(G284,3,FIND("(",G284)-3)&amp;"-"&amp;SUBSTITUTE(MID(G284,FIND("[",G284)+1,FIND("]",G284)-FIND("[",G284)-1),"Strong Guard ",""),"")</f>
        <v/>
      </c>
      <c r="G284" s="346" t="inlineStr">
        <is>
          <t>ID12.00R20-18PR(154/151F)[MT100]UNITED</t>
        </is>
      </c>
      <c r="H284" s="344" t="n">
        <v>200</v>
      </c>
      <c r="I284" s="348" t="n"/>
      <c r="J284" s="349">
        <f>IFERROR(LEFT(F284,FIND("-",F284))&amp;MID(F284,FIND("PR",F284,FIND("-",F284))+3,LEN(F284)),F284)</f>
        <v/>
      </c>
      <c r="K284" s="352">
        <f>_xlfn.XLOOKUP(F284,投产规格!E:E,投产规格!D:D,"未投产")</f>
        <v/>
      </c>
      <c r="L284" s="352">
        <f>IFERROR(_xlfn.XLOOKUP(F284,硫化工艺!B:B,硫化工艺!C:C),"")</f>
        <v/>
      </c>
      <c r="M284" s="430">
        <f>IF(L284="","",L284/(L284+$L$1/60))</f>
        <v/>
      </c>
      <c r="N284" s="352">
        <f>C284&amp;"全钢"</f>
        <v/>
      </c>
      <c r="O284" s="352">
        <f>IFERROR(_xlfn.XLOOKUP(F284,轮胎重量!J:J,轮胎重量!G:G),"")</f>
        <v/>
      </c>
      <c r="P284" s="352">
        <f>IFERROR(_xlfn.XLOOKUP(G284,硫化工艺!I:I,硫化工艺!J:J),"")</f>
        <v/>
      </c>
      <c r="Q284" s="352">
        <f>IFERROR(ROUND(1440/L284*(I284)*M284,0),"")</f>
        <v/>
      </c>
      <c r="R284" s="352" t="n"/>
      <c r="S284" s="352" t="n"/>
      <c r="T284" s="352" t="n"/>
      <c r="U284" s="352" t="n"/>
      <c r="V284" s="352" t="n"/>
      <c r="W284" s="352" t="n"/>
      <c r="X284" s="352" t="n"/>
      <c r="Y284" s="352" t="n"/>
      <c r="Z284" s="352" t="n"/>
      <c r="AA284" s="352" t="n"/>
      <c r="AB284" s="352" t="n"/>
      <c r="AC284" s="352" t="n"/>
      <c r="AD284" s="352" t="n"/>
      <c r="AE284" s="352" t="n"/>
      <c r="AF284" s="352" t="n"/>
      <c r="AG284" s="352" t="n"/>
      <c r="AH284" s="352" t="n"/>
      <c r="AI284" s="352" t="n"/>
      <c r="AJ284" s="352" t="n"/>
      <c r="AK284" s="352" t="n"/>
      <c r="AL284" s="352" t="n"/>
      <c r="AM284" s="352" t="n"/>
      <c r="AN284" s="352" t="n"/>
      <c r="AO284" s="352" t="n"/>
      <c r="AP284" s="352" t="n"/>
      <c r="AQ284" s="352" t="n"/>
      <c r="AR284" s="352" t="n"/>
      <c r="AS284" s="352" t="n"/>
      <c r="AT284" s="352" t="n"/>
      <c r="AU284" s="352" t="n"/>
      <c r="AV284" s="352" t="n"/>
      <c r="AW284" s="352">
        <f>IF(SUM(R284:AV284)=0,"",SUM(R284:AV284))</f>
        <v/>
      </c>
      <c r="AX284" s="431">
        <f>IFERROR(AW284*O284/1000,"")</f>
        <v/>
      </c>
      <c r="AY284" s="431">
        <f>IFERROR(ROUND(AW284*P284/10000,3),"")</f>
        <v/>
      </c>
      <c r="AZ284" s="354" t="n">
        <v>828.4</v>
      </c>
      <c r="BA284" s="355" t="n">
        <v>50.66</v>
      </c>
      <c r="BB284" s="355" t="n">
        <v>75.77</v>
      </c>
      <c r="BC284" s="355" t="n">
        <v>82.47</v>
      </c>
      <c r="BE284" s="331">
        <f>AZ284*AW284</f>
        <v/>
      </c>
      <c r="BF284" s="331">
        <f>BA284*AW284</f>
        <v/>
      </c>
      <c r="BG284" s="331">
        <f>BB284*AW284</f>
        <v/>
      </c>
      <c r="BH284" s="331">
        <f>BC284*AW284</f>
        <v/>
      </c>
      <c r="BJ284" s="356">
        <f t="array" ref="BJ284:BM284">_xlfn.LET(_xlpm.data,$R284:$AV284,_xlpm.starts,{1,8,16,23},_xlpm.lengths,{7,7,8,9},_xlpm.arr,_xlfn.MAP(_xlpm.starts,_xlpm.lengths,_xlfn.LAMBDA(_xlpm.s,_xlpm.l,SUM(INDEX(_xlpm.data,,_xlfn.SEQUENCE(,_xlpm.l,_xlpm.s))))),ROUND(_xlpm.arr*$O284/1000,2))</f>
        <v/>
      </c>
      <c r="BK284" s="331" t="n">
        <v>0</v>
      </c>
      <c r="BL284" s="331" t="n">
        <v>0</v>
      </c>
      <c r="BM284" s="331" t="n">
        <v>0</v>
      </c>
      <c r="BN284" s="362">
        <f>SUM(BJ284:BM284)</f>
        <v/>
      </c>
      <c r="BO284" s="362" t="n">
        <v>0</v>
      </c>
      <c r="BP284" s="362" t="n">
        <v>0</v>
      </c>
      <c r="BQ284" s="362" t="n">
        <v>0</v>
      </c>
      <c r="BR284" s="362" t="n">
        <v>16.09</v>
      </c>
      <c r="BT284" s="362">
        <f t="array" ref="BT284:BW284">_xlfn.HSTACK(SUM(INDEX($R284:$AV284,1,1):INDEX($R284:$AV284,1,7)),SUM(INDEX($R284:$AV284,1,7):INDEX($R284:$AV284,1,13)),SUM(INDEX($R284:$AV284,1,16):INDEX($R284:$AV284,1,23)),SUM(INDEX($R284:$AV284,1,23):INDEX($R284:$AV284,1,31)))</f>
        <v/>
      </c>
      <c r="BU284" s="362" t="n">
        <v>0</v>
      </c>
      <c r="BV284" s="362" t="n">
        <v>0</v>
      </c>
      <c r="BW284" s="362" t="n">
        <v>0</v>
      </c>
      <c r="BY284" s="362">
        <f>SUM(R284:X284)</f>
        <v/>
      </c>
      <c r="BZ284" s="362">
        <f>SUM(Y284:AE284)</f>
        <v/>
      </c>
      <c r="CA284" s="362">
        <f>SUM(AF284:AM284)</f>
        <v/>
      </c>
      <c r="CB284" s="362">
        <f>SUM(AN284:AV284)</f>
        <v/>
      </c>
      <c r="CD284" s="432" t="inlineStr">
        <is>
          <t>ADA</t>
        </is>
      </c>
      <c r="CE284" s="362">
        <f>ROUND(BY284*$O284/1000,2)</f>
        <v/>
      </c>
      <c r="CF284" s="362">
        <f>ROUND(BZ284*$O284/1000,2)</f>
        <v/>
      </c>
      <c r="CG284" s="362">
        <f>ROUND(CA284*$O284/1000,2)</f>
        <v/>
      </c>
      <c r="CH284" s="362">
        <f>ROUND(CB284*$O284/1000,2)</f>
        <v/>
      </c>
      <c r="CI284" s="362">
        <f>SUM(CE284:CH284)</f>
        <v/>
      </c>
      <c r="CK284" s="362">
        <f>IFERROR(ROUND(BY284*$P284,2),"")</f>
        <v/>
      </c>
      <c r="CL284" s="362">
        <f>IFERROR(ROUND(BZ284*$P284,2),"")</f>
        <v/>
      </c>
      <c r="CM284" s="362">
        <f>IFERROR(ROUND(CA284*$P284,2),"")</f>
        <v/>
      </c>
      <c r="CN284" s="362">
        <f>IFERROR(ROUND(CB284*$P284,2),"")</f>
        <v/>
      </c>
      <c r="CO284" s="362">
        <f>SUM(CK284:CN284)</f>
        <v/>
      </c>
    </row>
    <row r="285" ht="15.6" customFormat="1" customHeight="1" s="362">
      <c r="A285" s="433" t="n"/>
      <c r="B285" s="434">
        <f>_xlfn.XLOOKUP(G285,销售需求表!A:A,销售需求表!C:C)</f>
        <v/>
      </c>
      <c r="C285" s="435">
        <f>IFERROR(MID(F285,FIND("R",F285)+1,2),"")</f>
        <v/>
      </c>
      <c r="D285" s="434">
        <f>B285&amp;C285&amp;"寸"</f>
        <v/>
      </c>
      <c r="E285" s="436">
        <f>LEFT(REPLACE(G285,1,2,""),FIND("[",REPLACE(G285,1,2,""))-1)&amp;"-"&amp;MID(REPLACE(G285,1,2,""),FIND("[",REPLACE(G285,1,2,""))+1,FIND("]",REPLACE(G285,1,2,""))-FIND("[",REPLACE(G285,1,2,""))-1)</f>
        <v/>
      </c>
      <c r="F285" s="437">
        <f>IFERROR(MID(G285,3,FIND("(",G285)-3)&amp;"-"&amp;SUBSTITUTE(MID(G285,FIND("[",G285)+1,FIND("]",G285)-FIND("[",G285)-1),"Strong Guard ",""),"")</f>
        <v/>
      </c>
      <c r="G285" s="436" t="inlineStr">
        <is>
          <t>ID12.00R20-20PR(156/153F)[CB332]威狮</t>
        </is>
      </c>
      <c r="H285" s="434" t="n">
        <v>2800</v>
      </c>
      <c r="I285" s="434" t="n">
        <v>4</v>
      </c>
      <c r="J285" s="435">
        <f>IFERROR(LEFT(F285,FIND("-",F285))&amp;MID(F285,FIND("PR",F285,FIND("-",F285))+3,LEN(F285)),F285)</f>
        <v/>
      </c>
      <c r="K285" s="434">
        <f>_xlfn.XLOOKUP(F285,投产规格!E:E,投产规格!D:D,"未投产")</f>
        <v/>
      </c>
      <c r="L285" s="434">
        <f>IFERROR(_xlfn.XLOOKUP(F285,硫化工艺!B:B,硫化工艺!C:C),"")</f>
        <v/>
      </c>
      <c r="M285" s="438">
        <f>IF(L285="","",L285/(L285+$L$1/60))</f>
        <v/>
      </c>
      <c r="N285" s="434">
        <f>C285&amp;"全钢"</f>
        <v/>
      </c>
      <c r="O285" s="434">
        <f>IFERROR(_xlfn.XLOOKUP(F285,轮胎重量!J:J,轮胎重量!G:G),"")</f>
        <v/>
      </c>
      <c r="P285" s="434">
        <f>IFERROR(_xlfn.XLOOKUP(G285,硫化工艺!I:I,硫化工艺!J:J),"")</f>
        <v/>
      </c>
      <c r="Q285" s="434">
        <f>IFERROR(ROUND(1440/L285*(I285)*M285,0),"")</f>
        <v/>
      </c>
      <c r="R285" s="352" t="n">
        <v>90</v>
      </c>
      <c r="S285" s="352" t="n">
        <v>90</v>
      </c>
      <c r="T285" s="352" t="n">
        <v>90</v>
      </c>
      <c r="U285" s="352" t="n">
        <v>90</v>
      </c>
      <c r="V285" s="352" t="n">
        <v>90</v>
      </c>
      <c r="W285" s="352" t="n">
        <v>90</v>
      </c>
      <c r="X285" s="352" t="n">
        <v>90</v>
      </c>
      <c r="Y285" s="352" t="n">
        <v>90</v>
      </c>
      <c r="Z285" s="352" t="n">
        <v>90</v>
      </c>
      <c r="AA285" s="352" t="n">
        <v>90</v>
      </c>
      <c r="AB285" s="352" t="n">
        <v>90</v>
      </c>
      <c r="AC285" s="352" t="n">
        <v>90</v>
      </c>
      <c r="AD285" s="352" t="n">
        <v>90</v>
      </c>
      <c r="AE285" s="352" t="n">
        <v>90</v>
      </c>
      <c r="AF285" s="352" t="n">
        <v>90</v>
      </c>
      <c r="AG285" s="352" t="n">
        <v>90</v>
      </c>
      <c r="AH285" s="352" t="n">
        <v>90</v>
      </c>
      <c r="AI285" s="352" t="n">
        <v>90</v>
      </c>
      <c r="AJ285" s="352" t="n">
        <v>90</v>
      </c>
      <c r="AK285" s="352" t="n">
        <v>90</v>
      </c>
      <c r="AL285" s="352" t="n">
        <v>90</v>
      </c>
      <c r="AM285" s="352" t="n">
        <v>90</v>
      </c>
      <c r="AN285" s="352" t="n">
        <v>90</v>
      </c>
      <c r="AO285" s="352" t="n">
        <v>90</v>
      </c>
      <c r="AP285" s="352" t="n">
        <v>90</v>
      </c>
      <c r="AQ285" s="352" t="n">
        <v>90</v>
      </c>
      <c r="AR285" s="352" t="n">
        <v>90</v>
      </c>
      <c r="AS285" s="352" t="n">
        <v>90</v>
      </c>
      <c r="AT285" s="352" t="n">
        <v>90</v>
      </c>
      <c r="AU285" s="352" t="n">
        <v>90</v>
      </c>
      <c r="AV285" s="352" t="n">
        <v>90</v>
      </c>
      <c r="AW285" s="352">
        <f>IF(SUM(R285:AV285)=0,"",SUM(R285:AV285))</f>
        <v/>
      </c>
      <c r="AX285" s="431">
        <f>IFERROR(AW285*O285/1000,"")</f>
        <v/>
      </c>
      <c r="AY285" s="431">
        <f>IFERROR(ROUND(AW285*P285/10000,3),"")</f>
        <v/>
      </c>
      <c r="AZ285" s="354" t="n">
        <v>768.71</v>
      </c>
      <c r="BA285" s="355" t="n">
        <v>46.75</v>
      </c>
      <c r="BB285" s="355" t="n">
        <v>71.52</v>
      </c>
      <c r="BC285" s="355" t="n">
        <v>76.56999999999999</v>
      </c>
      <c r="BD285" s="331" t="n"/>
      <c r="BE285" s="331">
        <f>AZ285*AW285</f>
        <v/>
      </c>
      <c r="BF285" s="331">
        <f>BA285*AW285</f>
        <v/>
      </c>
      <c r="BG285" s="331">
        <f>BB285*AW285</f>
        <v/>
      </c>
      <c r="BH285" s="331">
        <f>BC285*AW285</f>
        <v/>
      </c>
      <c r="BI285" s="331" t="n"/>
      <c r="BJ285" s="356">
        <f t="array" ref="BJ285:BM285">_xlfn.LET(_xlpm.data,$R285:$AV285,_xlpm.starts,{1,8,16,23},_xlpm.lengths,{7,7,8,9},_xlpm.arr,_xlfn.MAP(_xlpm.starts,_xlpm.lengths,_xlfn.LAMBDA(_xlpm.s,_xlpm.l,SUM(INDEX(_xlpm.data,,_xlfn.SEQUENCE(,_xlpm.l,_xlpm.s))))),ROUND(_xlpm.arr*$O285/1000,2))</f>
        <v/>
      </c>
      <c r="BK285" s="331" t="n">
        <v>55.69</v>
      </c>
      <c r="BL285" s="331" t="n">
        <v>63.64</v>
      </c>
      <c r="BM285" s="331" t="n">
        <v>71.59999999999999</v>
      </c>
      <c r="BN285" s="362">
        <f>SUM(BJ285:BM285)</f>
        <v/>
      </c>
      <c r="BO285" s="362" t="n">
        <v>51.56</v>
      </c>
      <c r="BP285" s="362" t="n">
        <v>51.56</v>
      </c>
      <c r="BQ285" s="362" t="n">
        <v>58.92</v>
      </c>
      <c r="BR285" s="362" t="n">
        <v>66.29000000000001</v>
      </c>
      <c r="BS285" s="115">
        <f>Q285*O285</f>
        <v/>
      </c>
      <c r="BT285" s="362">
        <f t="array" ref="BT285:BW285">_xlfn.HSTACK(SUM(INDEX($R285:$AV285,1,1):INDEX($R285:$AV285,1,7)),SUM(INDEX($R285:$AV285,1,7):INDEX($R285:$AV285,1,13)),SUM(INDEX($R285:$AV285,1,16):INDEX($R285:$AV285,1,23)),SUM(INDEX($R285:$AV285,1,23):INDEX($R285:$AV285,1,31)))</f>
        <v/>
      </c>
      <c r="BU285" s="362" t="n">
        <v>630</v>
      </c>
      <c r="BV285" s="362" t="n">
        <v>720</v>
      </c>
      <c r="BW285" s="362" t="n">
        <v>810</v>
      </c>
      <c r="BY285" s="362">
        <f>SUM(R285:X285)</f>
        <v/>
      </c>
      <c r="BZ285" s="362">
        <f>SUM(Y285:AE285)</f>
        <v/>
      </c>
      <c r="CA285" s="362">
        <f>SUM(AF285:AM285)</f>
        <v/>
      </c>
      <c r="CB285" s="362">
        <f>SUM(AN285:AV285)</f>
        <v/>
      </c>
      <c r="CD285" s="440" t="inlineStr">
        <is>
          <t>TIDAK ADA</t>
        </is>
      </c>
      <c r="CE285" s="362">
        <f>ROUND(BY285*$O285/1000,2)</f>
        <v/>
      </c>
      <c r="CF285" s="362">
        <f>ROUND(BZ285*$O285/1000,2)</f>
        <v/>
      </c>
      <c r="CG285" s="362">
        <f>ROUND(CA285*$O285/1000,2)</f>
        <v/>
      </c>
      <c r="CH285" s="362">
        <f>ROUND(CB285*$O285/1000,2)</f>
        <v/>
      </c>
      <c r="CI285" s="362">
        <f>SUM(CE285:CH285)</f>
        <v/>
      </c>
      <c r="CJ285" s="390" t="n"/>
      <c r="CK285" s="362">
        <f>IFERROR(ROUND(BY285*$P285,2),"")</f>
        <v/>
      </c>
      <c r="CL285" s="362">
        <f>IFERROR(ROUND(BZ285*$P285,2),"")</f>
        <v/>
      </c>
      <c r="CM285" s="362">
        <f>IFERROR(ROUND(CA285*$P285,2),"")</f>
        <v/>
      </c>
      <c r="CN285" s="362">
        <f>IFERROR(ROUND(CB285*$P285,2),"")</f>
        <v/>
      </c>
      <c r="CO285" s="362">
        <f>SUM(CK285:CN285)</f>
        <v/>
      </c>
    </row>
    <row r="286" hidden="1" ht="15.6" customHeight="1" s="428">
      <c r="B286" s="344">
        <f>_xlfn.XLOOKUP(G286,销售需求表!A:A,销售需求表!C:C)</f>
        <v/>
      </c>
      <c r="C286" s="345">
        <f>IFERROR(MID(F286,FIND("R",F286)+1,2),"")</f>
        <v/>
      </c>
      <c r="D286" s="368">
        <f>B286&amp;C286&amp;"寸"</f>
        <v/>
      </c>
      <c r="E286" s="346">
        <f>LEFT(REPLACE(G286,1,2,""),FIND("[",REPLACE(G286,1,2,""))-1)&amp;"-"&amp;MID(REPLACE(G286,1,2,""),FIND("[",REPLACE(G286,1,2,""))+1,FIND("]",REPLACE(G286,1,2,""))-FIND("[",REPLACE(G286,1,2,""))-1)</f>
        <v/>
      </c>
      <c r="F286" s="347">
        <f>IFERROR(MID(G286,3,FIND("(",G286)-3)&amp;"-"&amp;SUBSTITUTE(MID(G286,FIND("[",G286)+1,FIND("]",G286)-FIND("[",G286)-1),"Strong Guard ",""),"")</f>
        <v/>
      </c>
      <c r="G286" s="346" t="inlineStr">
        <is>
          <t>ID12.00R20-20PR(156/153F)[CB972]朝阳</t>
        </is>
      </c>
      <c r="H286" s="344" t="n">
        <v>500</v>
      </c>
      <c r="I286" s="348" t="n"/>
      <c r="J286" s="349">
        <f>IFERROR(LEFT(F286,FIND("-",F286))&amp;MID(F286,FIND("PR",F286,FIND("-",F286))+3,LEN(F286)),F286)</f>
        <v/>
      </c>
      <c r="K286" s="352">
        <f>_xlfn.XLOOKUP(F286,投产规格!E:E,投产规格!D:D,"未投产")</f>
        <v/>
      </c>
      <c r="L286" s="352">
        <f>IFERROR(_xlfn.XLOOKUP(F286,硫化工艺!B:B,硫化工艺!C:C),"")</f>
        <v/>
      </c>
      <c r="M286" s="430">
        <f>IF(L286="","",L286/(L286+$L$1/60))</f>
        <v/>
      </c>
      <c r="N286" s="352">
        <f>C286&amp;"全钢"</f>
        <v/>
      </c>
      <c r="O286" s="352">
        <f>IFERROR(_xlfn.XLOOKUP(F286,轮胎重量!J:J,轮胎重量!G:G),"")</f>
        <v/>
      </c>
      <c r="P286" s="352">
        <f>IFERROR(_xlfn.XLOOKUP(G286,硫化工艺!I:I,硫化工艺!J:J),"")</f>
        <v/>
      </c>
      <c r="Q286" s="352">
        <f>IFERROR(ROUND(1440/L286*(I286)*M286,0),"")</f>
        <v/>
      </c>
      <c r="R286" s="352" t="n"/>
      <c r="S286" s="352" t="n"/>
      <c r="T286" s="352" t="n"/>
      <c r="U286" s="352" t="n"/>
      <c r="V286" s="352" t="n"/>
      <c r="W286" s="352" t="n"/>
      <c r="X286" s="352" t="n"/>
      <c r="Y286" s="352" t="n"/>
      <c r="Z286" s="352" t="n"/>
      <c r="AA286" s="352" t="n"/>
      <c r="AB286" s="352" t="n"/>
      <c r="AC286" s="352" t="n"/>
      <c r="AD286" s="352" t="n"/>
      <c r="AE286" s="352" t="n"/>
      <c r="AF286" s="352" t="n"/>
      <c r="AG286" s="352" t="n"/>
      <c r="AH286" s="352" t="n"/>
      <c r="AI286" s="352" t="n"/>
      <c r="AJ286" s="352" t="n"/>
      <c r="AK286" s="352" t="n"/>
      <c r="AL286" s="352" t="n"/>
      <c r="AM286" s="352" t="n"/>
      <c r="AN286" s="352" t="n"/>
      <c r="AO286" s="352" t="n"/>
      <c r="AP286" s="352" t="n"/>
      <c r="AQ286" s="352" t="n"/>
      <c r="AR286" s="352" t="n"/>
      <c r="AS286" s="352" t="n"/>
      <c r="AT286" s="352" t="n"/>
      <c r="AU286" s="352" t="n"/>
      <c r="AV286" s="352" t="n"/>
      <c r="AW286" s="352">
        <f>IF(SUM(R286:AV286)=0,"",SUM(R286:AV286))</f>
        <v/>
      </c>
      <c r="AX286" s="431">
        <f>IFERROR(AW286*O286/1000,"")</f>
        <v/>
      </c>
      <c r="AY286" s="431">
        <f>IFERROR(ROUND(AW286*P286/10000,3),"")</f>
        <v/>
      </c>
      <c r="AZ286" s="354" t="n">
        <v>828.4</v>
      </c>
      <c r="BA286" s="355" t="n">
        <v>50.66</v>
      </c>
      <c r="BB286" s="355" t="n">
        <v>75.77</v>
      </c>
      <c r="BC286" s="355" t="n">
        <v>82.47</v>
      </c>
      <c r="BE286" s="331">
        <f>AZ286*AW286</f>
        <v/>
      </c>
      <c r="BF286" s="331">
        <f>BA286*AW286</f>
        <v/>
      </c>
      <c r="BG286" s="331">
        <f>BB286*AW286</f>
        <v/>
      </c>
      <c r="BH286" s="331">
        <f>BC286*AW286</f>
        <v/>
      </c>
      <c r="BJ286" s="356">
        <f t="array" ref="BJ286:BM286">_xlfn.LET(_xlpm.data,$R286:$AV286,_xlpm.starts,{1,8,16,23},_xlpm.lengths,{7,7,8,9},_xlpm.arr,_xlfn.MAP(_xlpm.starts,_xlpm.lengths,_xlfn.LAMBDA(_xlpm.s,_xlpm.l,SUM(INDEX(_xlpm.data,,_xlfn.SEQUENCE(,_xlpm.l,_xlpm.s))))),ROUND(_xlpm.arr*$O286/1000,2))</f>
        <v/>
      </c>
      <c r="BK286" s="331" t="n">
        <v>0</v>
      </c>
      <c r="BL286" s="331" t="n">
        <v>0</v>
      </c>
      <c r="BM286" s="331" t="n">
        <v>0</v>
      </c>
      <c r="BN286" s="362">
        <f>SUM(BJ286:BM286)</f>
        <v/>
      </c>
      <c r="BO286" s="362" t="n">
        <v>0</v>
      </c>
      <c r="BP286" s="362" t="n">
        <v>0</v>
      </c>
      <c r="BQ286" s="362" t="n">
        <v>0</v>
      </c>
      <c r="BR286" s="362" t="n">
        <v>16.09</v>
      </c>
      <c r="BT286" s="362">
        <f t="array" ref="BT286:BW286">_xlfn.HSTACK(SUM(INDEX($R286:$AV286,1,1):INDEX($R286:$AV286,1,7)),SUM(INDEX($R286:$AV286,1,7):INDEX($R286:$AV286,1,13)),SUM(INDEX($R286:$AV286,1,16):INDEX($R286:$AV286,1,23)),SUM(INDEX($R286:$AV286,1,23):INDEX($R286:$AV286,1,31)))</f>
        <v/>
      </c>
      <c r="BU286" s="362" t="n">
        <v>0</v>
      </c>
      <c r="BV286" s="362" t="n">
        <v>0</v>
      </c>
      <c r="BW286" s="362" t="n">
        <v>0</v>
      </c>
      <c r="BY286" s="362">
        <f>SUM(R286:X286)</f>
        <v/>
      </c>
      <c r="BZ286" s="362">
        <f>SUM(Y286:AE286)</f>
        <v/>
      </c>
      <c r="CA286" s="362">
        <f>SUM(AF286:AM286)</f>
        <v/>
      </c>
      <c r="CB286" s="362">
        <f>SUM(AN286:AV286)</f>
        <v/>
      </c>
      <c r="CD286" s="432" t="inlineStr">
        <is>
          <t>ADA</t>
        </is>
      </c>
      <c r="CE286" s="362">
        <f>ROUND(BY286*$O286/1000,2)</f>
        <v/>
      </c>
      <c r="CF286" s="362">
        <f>ROUND(BZ286*$O286/1000,2)</f>
        <v/>
      </c>
      <c r="CG286" s="362">
        <f>ROUND(CA286*$O286/1000,2)</f>
        <v/>
      </c>
      <c r="CH286" s="362">
        <f>ROUND(CB286*$O286/1000,2)</f>
        <v/>
      </c>
      <c r="CI286" s="362">
        <f>SUM(CE286:CH286)</f>
        <v/>
      </c>
      <c r="CK286" s="362">
        <f>IFERROR(ROUND(BY286*$P286,2),"")</f>
        <v/>
      </c>
      <c r="CL286" s="362">
        <f>IFERROR(ROUND(BZ286*$P286,2),"")</f>
        <v/>
      </c>
      <c r="CM286" s="362">
        <f>IFERROR(ROUND(CA286*$P286,2),"")</f>
        <v/>
      </c>
      <c r="CN286" s="362">
        <f>IFERROR(ROUND(CB286*$P286,2),"")</f>
        <v/>
      </c>
      <c r="CO286" s="362">
        <f>SUM(CK286:CN286)</f>
        <v/>
      </c>
    </row>
    <row r="287" hidden="1" ht="15.6" customFormat="1" customHeight="1" s="362">
      <c r="A287" s="331" t="n"/>
      <c r="B287" s="344">
        <f>_xlfn.XLOOKUP(G287,销售需求表!A:A,销售需求表!C:C)</f>
        <v/>
      </c>
      <c r="C287" s="345">
        <f>IFERROR(MID(F287,FIND("R",F287)+1,2),"")</f>
        <v/>
      </c>
      <c r="D287" s="368">
        <f>B287&amp;C287&amp;"寸"</f>
        <v/>
      </c>
      <c r="E287" s="346">
        <f>LEFT(REPLACE(G287,1,2,""),FIND("[",REPLACE(G287,1,2,""))-1)&amp;"-"&amp;MID(REPLACE(G287,1,2,""),FIND("[",REPLACE(G287,1,2,""))+1,FIND("]",REPLACE(G287,1,2,""))-FIND("[",REPLACE(G287,1,2,""))-1)</f>
        <v/>
      </c>
      <c r="F287" s="347">
        <f>IFERROR(MID(G287,3,FIND("(",G287)-3)&amp;"-"&amp;SUBSTITUTE(MID(G287,FIND("[",G287)+1,FIND("]",G287)-FIND("[",G287)-1),"Strong Guard ",""),"")</f>
        <v/>
      </c>
      <c r="G287" s="346" t="inlineStr">
        <is>
          <t>ID12.00R20-20PR(156/153F)[CB972]威狮</t>
        </is>
      </c>
      <c r="H287" s="344" t="n">
        <v>2000</v>
      </c>
      <c r="I287" s="348" t="n"/>
      <c r="J287" s="349">
        <f>IFERROR(LEFT(F287,FIND("-",F287))&amp;MID(F287,FIND("PR",F287,FIND("-",F287))+3,LEN(F287)),F287)</f>
        <v/>
      </c>
      <c r="K287" s="352">
        <f>_xlfn.XLOOKUP(F287,投产规格!E:E,投产规格!D:D,"未投产")</f>
        <v/>
      </c>
      <c r="L287" s="352">
        <f>IFERROR(_xlfn.XLOOKUP(F287,硫化工艺!B:B,硫化工艺!C:C),"")</f>
        <v/>
      </c>
      <c r="M287" s="430">
        <f>IF(L287="","",L287/(L287+$L$1/60))</f>
        <v/>
      </c>
      <c r="N287" s="352">
        <f>C287&amp;"全钢"</f>
        <v/>
      </c>
      <c r="O287" s="352">
        <f>IFERROR(_xlfn.XLOOKUP(F287,轮胎重量!J:J,轮胎重量!G:G),"")</f>
        <v/>
      </c>
      <c r="P287" s="352">
        <f>IFERROR(_xlfn.XLOOKUP(G287,硫化工艺!I:I,硫化工艺!J:J),"")</f>
        <v/>
      </c>
      <c r="Q287" s="352">
        <f>IFERROR(ROUND(1440/L287*(I287)*M287,0),"")</f>
        <v/>
      </c>
      <c r="R287" s="352" t="n"/>
      <c r="S287" s="352" t="n"/>
      <c r="T287" s="352" t="n"/>
      <c r="U287" s="352" t="n"/>
      <c r="V287" s="352" t="n"/>
      <c r="W287" s="352" t="n"/>
      <c r="X287" s="352" t="n"/>
      <c r="Y287" s="352" t="n"/>
      <c r="Z287" s="352" t="n"/>
      <c r="AA287" s="352" t="n"/>
      <c r="AB287" s="352" t="n"/>
      <c r="AC287" s="352" t="n"/>
      <c r="AD287" s="352" t="n"/>
      <c r="AE287" s="352" t="n"/>
      <c r="AF287" s="352" t="n"/>
      <c r="AG287" s="352" t="n"/>
      <c r="AH287" s="352" t="n"/>
      <c r="AI287" s="352" t="n"/>
      <c r="AJ287" s="352" t="n"/>
      <c r="AK287" s="352" t="n"/>
      <c r="AL287" s="352" t="n"/>
      <c r="AM287" s="352" t="n"/>
      <c r="AN287" s="352" t="n"/>
      <c r="AO287" s="352" t="n"/>
      <c r="AP287" s="352" t="n"/>
      <c r="AQ287" s="352" t="n"/>
      <c r="AR287" s="352" t="n"/>
      <c r="AS287" s="352" t="n"/>
      <c r="AT287" s="352" t="n"/>
      <c r="AU287" s="352" t="n"/>
      <c r="AV287" s="352" t="n"/>
      <c r="AW287" s="352">
        <f>IF(SUM(R287:AV287)=0,"",SUM(R287:AV287))</f>
        <v/>
      </c>
      <c r="AX287" s="431">
        <f>IFERROR(AW287*O287/1000,"")</f>
        <v/>
      </c>
      <c r="AY287" s="431">
        <f>IFERROR(ROUND(AW287*P287/10000,3),"")</f>
        <v/>
      </c>
      <c r="AZ287" s="354" t="n">
        <v>828.4</v>
      </c>
      <c r="BA287" s="355" t="n">
        <v>50.66</v>
      </c>
      <c r="BB287" s="355" t="n">
        <v>75.77</v>
      </c>
      <c r="BC287" s="355" t="n">
        <v>82.47</v>
      </c>
      <c r="BD287" s="331" t="n"/>
      <c r="BE287" s="331">
        <f>AZ287*AW287</f>
        <v/>
      </c>
      <c r="BF287" s="331">
        <f>BA287*AW287</f>
        <v/>
      </c>
      <c r="BG287" s="331">
        <f>BB287*AW287</f>
        <v/>
      </c>
      <c r="BH287" s="331">
        <f>BC287*AW287</f>
        <v/>
      </c>
      <c r="BI287" s="331" t="n"/>
      <c r="BJ287" s="356">
        <f t="array" ref="BJ287:BM287">_xlfn.LET(_xlpm.data,$R287:$AV287,_xlpm.starts,{1,8,16,23},_xlpm.lengths,{7,7,8,9},_xlpm.arr,_xlfn.MAP(_xlpm.starts,_xlpm.lengths,_xlfn.LAMBDA(_xlpm.s,_xlpm.l,SUM(INDEX(_xlpm.data,,_xlfn.SEQUENCE(,_xlpm.l,_xlpm.s))))),ROUND(_xlpm.arr*$O287/1000,2))</f>
        <v/>
      </c>
      <c r="BK287" s="331" t="n">
        <v>0</v>
      </c>
      <c r="BL287" s="331" t="n">
        <v>0</v>
      </c>
      <c r="BM287" s="331" t="n">
        <v>0</v>
      </c>
      <c r="BN287" s="362">
        <f>SUM(BJ287:BM287)</f>
        <v/>
      </c>
      <c r="BO287" s="362" t="n">
        <v>0</v>
      </c>
      <c r="BP287" s="362" t="n">
        <v>0</v>
      </c>
      <c r="BQ287" s="362" t="n">
        <v>0</v>
      </c>
      <c r="BR287" s="362" t="n">
        <v>16.09</v>
      </c>
      <c r="BS287" s="115">
        <f>Q287*O287</f>
        <v/>
      </c>
      <c r="BT287" s="362">
        <f t="array" ref="BT287:BW287">_xlfn.HSTACK(SUM(INDEX($R287:$AV287,1,1):INDEX($R287:$AV287,1,7)),SUM(INDEX($R287:$AV287,1,7):INDEX($R287:$AV287,1,13)),SUM(INDEX($R287:$AV287,1,16):INDEX($R287:$AV287,1,23)),SUM(INDEX($R287:$AV287,1,23):INDEX($R287:$AV287,1,31)))</f>
        <v/>
      </c>
      <c r="BU287" s="362" t="n">
        <v>0</v>
      </c>
      <c r="BV287" s="362" t="n">
        <v>0</v>
      </c>
      <c r="BW287" s="362" t="n">
        <v>0</v>
      </c>
      <c r="BY287" s="362">
        <f>SUM(R287:X287)</f>
        <v/>
      </c>
      <c r="BZ287" s="362">
        <f>SUM(Y287:AE287)</f>
        <v/>
      </c>
      <c r="CA287" s="362">
        <f>SUM(AF287:AM287)</f>
        <v/>
      </c>
      <c r="CB287" s="362">
        <f>SUM(AN287:AV287)</f>
        <v/>
      </c>
      <c r="CD287" s="432" t="inlineStr">
        <is>
          <t>ADA</t>
        </is>
      </c>
      <c r="CE287" s="362">
        <f>ROUND(BY287*$O287/1000,2)</f>
        <v/>
      </c>
      <c r="CF287" s="362">
        <f>ROUND(BZ287*$O287/1000,2)</f>
        <v/>
      </c>
      <c r="CG287" s="362">
        <f>ROUND(CA287*$O287/1000,2)</f>
        <v/>
      </c>
      <c r="CH287" s="362">
        <f>ROUND(CB287*$O287/1000,2)</f>
        <v/>
      </c>
      <c r="CI287" s="362">
        <f>SUM(CE287:CH287)</f>
        <v/>
      </c>
      <c r="CJ287" s="390" t="n"/>
      <c r="CK287" s="362">
        <f>IFERROR(ROUND(BY287*$P287,2),"")</f>
        <v/>
      </c>
      <c r="CL287" s="362">
        <f>IFERROR(ROUND(BZ287*$P287,2),"")</f>
        <v/>
      </c>
      <c r="CM287" s="362">
        <f>IFERROR(ROUND(CA287*$P287,2),"")</f>
        <v/>
      </c>
      <c r="CN287" s="362">
        <f>IFERROR(ROUND(CB287*$P287,2),"")</f>
        <v/>
      </c>
      <c r="CO287" s="362">
        <f>SUM(CK287:CN287)</f>
        <v/>
      </c>
    </row>
    <row r="288" ht="15.6" customHeight="1" s="428">
      <c r="A288" s="441" t="n"/>
      <c r="B288" s="434">
        <f>_xlfn.XLOOKUP(G288,销售需求表!A:A,销售需求表!C:C)</f>
        <v/>
      </c>
      <c r="C288" s="435">
        <f>IFERROR(MID(F288,FIND("R",F288)+1,2),"")</f>
        <v/>
      </c>
      <c r="D288" s="434">
        <f>B288&amp;C288&amp;"寸"</f>
        <v/>
      </c>
      <c r="E288" s="436">
        <f>LEFT(REPLACE(G288,1,2,""),FIND("[",REPLACE(G288,1,2,""))-1)&amp;"-"&amp;MID(REPLACE(G288,1,2,""),FIND("[",REPLACE(G288,1,2,""))+1,FIND("]",REPLACE(G288,1,2,""))-FIND("[",REPLACE(G288,1,2,""))-1)</f>
        <v/>
      </c>
      <c r="F288" s="437">
        <f>IFERROR(MID(G288,3,FIND("(",G288)-3)&amp;"-"&amp;SUBSTITUTE(MID(G288,FIND("[",G288)+1,FIND("]",G288)-FIND("[",G288)-1),"Strong Guard ",""),"")</f>
        <v/>
      </c>
      <c r="G288" s="436" t="inlineStr">
        <is>
          <t>ID12.00R20-20PR(156/153F)[EZ336]雅度</t>
        </is>
      </c>
      <c r="H288" s="434" t="n">
        <v>4000</v>
      </c>
      <c r="I288" s="434" t="n">
        <v>12</v>
      </c>
      <c r="J288" s="435">
        <f>IFERROR(LEFT(F288,FIND("-",F288))&amp;MID(F288,FIND("PR",F288,FIND("-",F288))+3,LEN(F288)),F288)</f>
        <v/>
      </c>
      <c r="K288" s="434">
        <f>_xlfn.XLOOKUP(F288,投产规格!E:E,投产规格!D:D,"未投产")</f>
        <v/>
      </c>
      <c r="L288" s="434">
        <f>IFERROR(_xlfn.XLOOKUP(F288,硫化工艺!B:B,硫化工艺!C:C),"")</f>
        <v/>
      </c>
      <c r="M288" s="438">
        <f>IF(L288="","",L288/(L288+$L$1/60))</f>
        <v/>
      </c>
      <c r="N288" s="434">
        <f>C288&amp;"全钢"</f>
        <v/>
      </c>
      <c r="O288" s="434">
        <f>IFERROR(_xlfn.XLOOKUP(F288,轮胎重量!J:J,轮胎重量!G:G),"")</f>
        <v/>
      </c>
      <c r="P288" s="434">
        <f>IFERROR(_xlfn.XLOOKUP(G288,硫化工艺!I:I,硫化工艺!J:J),"")</f>
        <v/>
      </c>
      <c r="Q288" s="434">
        <f>IFERROR(ROUND(1440/L288*(I288)*M288,0),"")</f>
        <v/>
      </c>
      <c r="R288" s="352" t="n">
        <v>280</v>
      </c>
      <c r="S288" s="352" t="n">
        <v>280</v>
      </c>
      <c r="T288" s="352" t="n">
        <v>280</v>
      </c>
      <c r="U288" s="352" t="n">
        <v>280</v>
      </c>
      <c r="V288" s="352" t="n">
        <v>280</v>
      </c>
      <c r="W288" s="352" t="n">
        <v>280</v>
      </c>
      <c r="X288" s="352" t="n">
        <v>280</v>
      </c>
      <c r="Y288" s="352" t="n">
        <v>280</v>
      </c>
      <c r="Z288" s="352" t="n">
        <v>280</v>
      </c>
      <c r="AA288" s="352" t="n">
        <v>280</v>
      </c>
      <c r="AB288" s="352" t="n">
        <v>280</v>
      </c>
      <c r="AC288" s="352" t="n">
        <v>280</v>
      </c>
      <c r="AD288" s="352" t="n">
        <v>280</v>
      </c>
      <c r="AE288" s="352" t="n">
        <v>280</v>
      </c>
      <c r="AF288" s="352" t="n">
        <v>280</v>
      </c>
      <c r="AG288" s="352" t="n">
        <v>280</v>
      </c>
      <c r="AH288" s="352" t="n"/>
      <c r="AI288" s="352" t="n"/>
      <c r="AJ288" s="352" t="n"/>
      <c r="AK288" s="352" t="n"/>
      <c r="AL288" s="352" t="n"/>
      <c r="AM288" s="352" t="n"/>
      <c r="AN288" s="352" t="n"/>
      <c r="AO288" s="352" t="n"/>
      <c r="AP288" s="352" t="n"/>
      <c r="AQ288" s="352" t="n"/>
      <c r="AR288" s="352" t="n"/>
      <c r="AS288" s="352" t="n"/>
      <c r="AT288" s="352" t="n"/>
      <c r="AU288" s="352" t="n"/>
      <c r="AV288" s="352" t="n"/>
      <c r="AW288" s="352">
        <f>IF(SUM(R288:AV288)=0,"",SUM(R288:AV288))</f>
        <v/>
      </c>
      <c r="AX288" s="431">
        <f>IFERROR(AW288*O288/1000,"")</f>
        <v/>
      </c>
      <c r="AY288" s="431">
        <f>IFERROR(ROUND(AW288*P288/10000,3),"")</f>
        <v/>
      </c>
      <c r="AZ288" s="359" t="n"/>
      <c r="BE288" s="331">
        <f>AZ288*AW288</f>
        <v/>
      </c>
      <c r="BF288" s="331">
        <f>BA288*AW288</f>
        <v/>
      </c>
      <c r="BG288" s="331">
        <f>BB288*AW288</f>
        <v/>
      </c>
      <c r="BH288" s="331">
        <f>BC288*AW288</f>
        <v/>
      </c>
      <c r="BJ288" s="356">
        <f t="array" ref="BJ288:BM288">_xlfn.LET(_xlpm.data,$R288:$AV288,_xlpm.starts,{1,8,16,23},_xlpm.lengths,{7,7,8,9},_xlpm.arr,_xlfn.MAP(_xlpm.starts,_xlpm.lengths,_xlfn.LAMBDA(_xlpm.s,_xlpm.l,SUM(INDEX(_xlpm.data,,_xlfn.SEQUENCE(,_xlpm.l,_xlpm.s))))),ROUND(_xlpm.arr*$O288/1000,2))</f>
        <v/>
      </c>
      <c r="BK288" s="331" t="n">
        <v>164.49</v>
      </c>
      <c r="BL288" s="331" t="n">
        <v>23.5</v>
      </c>
      <c r="BM288" s="331" t="n">
        <v>0</v>
      </c>
      <c r="BN288" s="362">
        <f>SUM(BJ288:BM288)</f>
        <v/>
      </c>
      <c r="BO288" s="362" t="n">
        <v>0</v>
      </c>
      <c r="BP288" s="362" t="n">
        <v>0</v>
      </c>
      <c r="BQ288" s="362" t="n">
        <v>0</v>
      </c>
      <c r="BR288" s="362" t="n">
        <v>0</v>
      </c>
      <c r="BS288" s="115">
        <f>SUM(BS285:BS287)/1000</f>
        <v/>
      </c>
      <c r="BT288" s="362">
        <f t="array" ref="BT288:BW288">_xlfn.HSTACK(SUM(INDEX($R288:$AV288,1,1):INDEX($R288:$AV288,1,7)),SUM(INDEX($R288:$AV288,1,7):INDEX($R288:$AV288,1,13)),SUM(INDEX($R288:$AV288,1,16):INDEX($R288:$AV288,1,23)),SUM(INDEX($R288:$AV288,1,23):INDEX($R288:$AV288,1,31)))</f>
        <v/>
      </c>
      <c r="BU288" s="362" t="n">
        <v>1960</v>
      </c>
      <c r="BV288" s="362" t="n">
        <v>280</v>
      </c>
      <c r="BW288" s="362" t="n">
        <v>0</v>
      </c>
      <c r="BY288" s="362">
        <f>SUM(R288:X288)</f>
        <v/>
      </c>
      <c r="BZ288" s="362">
        <f>SUM(Y288:AE288)</f>
        <v/>
      </c>
      <c r="CA288" s="362">
        <f>SUM(AF288:AM288)</f>
        <v/>
      </c>
      <c r="CB288" s="362">
        <f>SUM(AN288:AV288)</f>
        <v/>
      </c>
      <c r="CD288" s="440" t="inlineStr">
        <is>
          <t>TIDAK ADA</t>
        </is>
      </c>
      <c r="CE288" s="362">
        <f>ROUND(BY288*$O288/1000,2)</f>
        <v/>
      </c>
      <c r="CF288" s="362">
        <f>ROUND(BZ288*$O288/1000,2)</f>
        <v/>
      </c>
      <c r="CG288" s="362">
        <f>ROUND(CA288*$O288/1000,2)</f>
        <v/>
      </c>
      <c r="CH288" s="362">
        <f>ROUND(CB288*$O288/1000,2)</f>
        <v/>
      </c>
      <c r="CI288" s="362">
        <f>SUM(CE288:CH288)</f>
        <v/>
      </c>
      <c r="CK288" s="362">
        <f>IFERROR(ROUND(BY288*$P288,2),"")</f>
        <v/>
      </c>
      <c r="CL288" s="362">
        <f>IFERROR(ROUND(BZ288*$P288,2),"")</f>
        <v/>
      </c>
      <c r="CM288" s="362">
        <f>IFERROR(ROUND(CA288*$P288,2),"")</f>
        <v/>
      </c>
      <c r="CN288" s="362">
        <f>IFERROR(ROUND(CB288*$P288,2),"")</f>
        <v/>
      </c>
      <c r="CO288" s="362">
        <f>SUM(CK288:CN288)</f>
        <v/>
      </c>
    </row>
    <row r="289" ht="15.6" customHeight="1" s="428">
      <c r="B289" s="344">
        <f>_xlfn.XLOOKUP(G289,销售需求表!A:A,销售需求表!C:C)</f>
        <v/>
      </c>
      <c r="C289" s="345">
        <f>IFERROR(MID(F289,FIND("R",F289)+1,2),"")</f>
        <v/>
      </c>
      <c r="D289" s="368">
        <f>B289&amp;C289&amp;"寸"</f>
        <v/>
      </c>
      <c r="E289" s="346">
        <f>LEFT(REPLACE(G289,1,2,""),FIND("[",REPLACE(G289,1,2,""))-1)&amp;"-"&amp;MID(REPLACE(G289,1,2,""),FIND("[",REPLACE(G289,1,2,""))+1,FIND("]",REPLACE(G289,1,2,""))-FIND("[",REPLACE(G289,1,2,""))-1)</f>
        <v/>
      </c>
      <c r="F289" s="347">
        <f>IFERROR(MID(G289,3,FIND("(",G289)-3)&amp;"-"&amp;SUBSTITUTE(MID(G289,FIND("[",G289)+1,FIND("]",G289)-FIND("[",G289)-1),"Strong Guard ",""),"")</f>
        <v/>
      </c>
      <c r="G289" s="346" t="inlineStr">
        <is>
          <t>ID12.00R20-20PR(156/153F)[EZ345]雅度</t>
        </is>
      </c>
      <c r="H289" s="344" t="n">
        <v>2400</v>
      </c>
      <c r="I289" s="348" t="n">
        <v>4</v>
      </c>
      <c r="J289" s="349">
        <f>IFERROR(LEFT(F289,FIND("-",F289))&amp;MID(F289,FIND("PR",F289,FIND("-",F289))+3,LEN(F289)),F289)</f>
        <v/>
      </c>
      <c r="K289" s="352">
        <f>_xlfn.XLOOKUP(F289,投产规格!E:E,投产规格!D:D,"未投产")</f>
        <v/>
      </c>
      <c r="L289" s="352">
        <f>IFERROR(_xlfn.XLOOKUP(F289,硫化工艺!B:B,硫化工艺!C:C),"")</f>
        <v/>
      </c>
      <c r="M289" s="430">
        <f>IF(L289="","",L289/(L289+$L$1/60))</f>
        <v/>
      </c>
      <c r="N289" s="352">
        <f>C289&amp;"全钢"</f>
        <v/>
      </c>
      <c r="O289" s="352">
        <f>IFERROR(_xlfn.XLOOKUP(F289,轮胎重量!J:J,轮胎重量!G:G),"")</f>
        <v/>
      </c>
      <c r="P289" s="352">
        <f>IFERROR(_xlfn.XLOOKUP(G289,硫化工艺!I:I,硫化工艺!J:J),"")</f>
        <v/>
      </c>
      <c r="Q289" s="352">
        <f>IFERROR(ROUND(1440/L289*(I289)*M289,0),"")</f>
        <v/>
      </c>
      <c r="R289" s="352" t="n">
        <v>100</v>
      </c>
      <c r="S289" s="352" t="n">
        <v>100</v>
      </c>
      <c r="T289" s="352" t="n">
        <v>100</v>
      </c>
      <c r="U289" s="352" t="n">
        <v>100</v>
      </c>
      <c r="V289" s="352" t="n">
        <v>100</v>
      </c>
      <c r="W289" s="352" t="n">
        <v>100</v>
      </c>
      <c r="X289" s="352" t="n">
        <v>100</v>
      </c>
      <c r="Y289" s="352" t="n">
        <v>100</v>
      </c>
      <c r="Z289" s="352" t="n">
        <v>100</v>
      </c>
      <c r="AA289" s="352" t="n">
        <v>100</v>
      </c>
      <c r="AB289" s="352" t="n">
        <v>100</v>
      </c>
      <c r="AC289" s="352" t="n">
        <v>100</v>
      </c>
      <c r="AD289" s="352" t="n">
        <v>100</v>
      </c>
      <c r="AE289" s="352" t="n">
        <v>100</v>
      </c>
      <c r="AF289" s="352" t="n">
        <v>100</v>
      </c>
      <c r="AG289" s="352" t="n">
        <v>100</v>
      </c>
      <c r="AH289" s="352" t="n">
        <v>100</v>
      </c>
      <c r="AI289" s="352" t="n">
        <v>100</v>
      </c>
      <c r="AJ289" s="352" t="n">
        <v>100</v>
      </c>
      <c r="AK289" s="352" t="n">
        <v>100</v>
      </c>
      <c r="AL289" s="352" t="n">
        <v>100</v>
      </c>
      <c r="AM289" s="352" t="n">
        <v>100</v>
      </c>
      <c r="AN289" s="352" t="n">
        <v>100</v>
      </c>
      <c r="AO289" s="352" t="n">
        <v>100</v>
      </c>
      <c r="AP289" s="352" t="n"/>
      <c r="AQ289" s="352" t="n"/>
      <c r="AR289" s="352" t="n"/>
      <c r="AS289" s="352" t="n"/>
      <c r="AT289" s="352" t="n"/>
      <c r="AU289" s="352" t="n"/>
      <c r="AV289" s="352" t="n"/>
      <c r="AW289" s="352">
        <f>IF(SUM(R289:AV289)=0,"",SUM(R289:AV289))</f>
        <v/>
      </c>
      <c r="AX289" s="431">
        <f>IFERROR(AW289*O289/1000,"")</f>
        <v/>
      </c>
      <c r="AY289" s="431">
        <f>IFERROR(ROUND(AW289*P289/10000,3),"")</f>
        <v/>
      </c>
      <c r="AZ289" s="354" t="n">
        <v>871.58</v>
      </c>
      <c r="BA289" s="355" t="n">
        <v>54.12</v>
      </c>
      <c r="BB289" s="355" t="n">
        <v>79.59999999999999</v>
      </c>
      <c r="BC289" s="355" t="n">
        <v>87.22</v>
      </c>
      <c r="BE289" s="331">
        <f>AZ289*AW289</f>
        <v/>
      </c>
      <c r="BF289" s="331">
        <f>BA289*AW289</f>
        <v/>
      </c>
      <c r="BG289" s="331">
        <f>BB289*AW289</f>
        <v/>
      </c>
      <c r="BH289" s="331">
        <f>BC289*AW289</f>
        <v/>
      </c>
      <c r="BJ289" s="356">
        <f t="array" ref="BJ289:BM289">_xlfn.LET(_xlpm.data,$R289:$AV289,_xlpm.starts,{1,8,16,23},_xlpm.lengths,{7,7,8,9},_xlpm.arr,_xlfn.MAP(_xlpm.starts,_xlpm.lengths,_xlfn.LAMBDA(_xlpm.s,_xlpm.l,SUM(INDEX(_xlpm.data,,_xlfn.SEQUENCE(,_xlpm.l,_xlpm.s))))),ROUND(_xlpm.arr*$O289/1000,2))</f>
        <v/>
      </c>
      <c r="BK289" s="331" t="n">
        <v>48.52</v>
      </c>
      <c r="BL289" s="331" t="n">
        <v>55.46</v>
      </c>
      <c r="BM289" s="331" t="n">
        <v>13.86</v>
      </c>
      <c r="BN289" s="362">
        <f>SUM(BJ289:BM289)</f>
        <v/>
      </c>
      <c r="BO289" s="362" t="n">
        <v>145.92</v>
      </c>
      <c r="BP289" s="362" t="n">
        <v>145.92</v>
      </c>
      <c r="BQ289" s="362" t="n">
        <v>166.76</v>
      </c>
      <c r="BR289" s="362" t="n">
        <v>187.61</v>
      </c>
      <c r="BT289" s="362">
        <f t="array" ref="BT289:BW289">_xlfn.HSTACK(SUM(INDEX($R289:$AV289,1,1):INDEX($R289:$AV289,1,7)),SUM(INDEX($R289:$AV289,1,7):INDEX($R289:$AV289,1,13)),SUM(INDEX($R289:$AV289,1,16):INDEX($R289:$AV289,1,23)),SUM(INDEX($R289:$AV289,1,23):INDEX($R289:$AV289,1,31)))</f>
        <v/>
      </c>
      <c r="BU289" s="362" t="n">
        <v>700</v>
      </c>
      <c r="BV289" s="362" t="n">
        <v>800</v>
      </c>
      <c r="BW289" s="362" t="n">
        <v>200</v>
      </c>
      <c r="BY289" s="362">
        <f>SUM(R289:X289)</f>
        <v/>
      </c>
      <c r="BZ289" s="362">
        <f>SUM(Y289:AE289)</f>
        <v/>
      </c>
      <c r="CA289" s="362">
        <f>SUM(AF289:AM289)</f>
        <v/>
      </c>
      <c r="CB289" s="362">
        <f>SUM(AN289:AV289)</f>
        <v/>
      </c>
      <c r="CD289" s="432" t="inlineStr">
        <is>
          <t>ADA</t>
        </is>
      </c>
      <c r="CE289" s="362">
        <f>ROUND(BY289*$O289/1000,2)</f>
        <v/>
      </c>
      <c r="CF289" s="362">
        <f>ROUND(BZ289*$O289/1000,2)</f>
        <v/>
      </c>
      <c r="CG289" s="362">
        <f>ROUND(CA289*$O289/1000,2)</f>
        <v/>
      </c>
      <c r="CH289" s="362">
        <f>ROUND(CB289*$O289/1000,2)</f>
        <v/>
      </c>
      <c r="CI289" s="362">
        <f>SUM(CE289:CH289)</f>
        <v/>
      </c>
      <c r="CK289" s="362">
        <f>IFERROR(ROUND(BY289*$P289,2),"")</f>
        <v/>
      </c>
      <c r="CL289" s="362">
        <f>IFERROR(ROUND(BZ289*$P289,2),"")</f>
        <v/>
      </c>
      <c r="CM289" s="362">
        <f>IFERROR(ROUND(CA289*$P289,2),"")</f>
        <v/>
      </c>
      <c r="CN289" s="362">
        <f>IFERROR(ROUND(CB289*$P289,2),"")</f>
        <v/>
      </c>
      <c r="CO289" s="362">
        <f>SUM(CK289:CN289)</f>
        <v/>
      </c>
    </row>
    <row r="290" ht="15.6" customHeight="1" s="428">
      <c r="B290" s="344">
        <f>_xlfn.XLOOKUP(G290,销售需求表!A:A,销售需求表!C:C)</f>
        <v/>
      </c>
      <c r="C290" s="345">
        <f>IFERROR(MID(F290,FIND("R",F290)+1,2),"")</f>
        <v/>
      </c>
      <c r="D290" s="368">
        <f>B290&amp;C290&amp;"寸"</f>
        <v/>
      </c>
      <c r="E290" s="346">
        <f>LEFT(REPLACE(G290,1,2,""),FIND("[",REPLACE(G290,1,2,""))-1)&amp;"-"&amp;MID(REPLACE(G290,1,2,""),FIND("[",REPLACE(G290,1,2,""))+1,FIND("]",REPLACE(G290,1,2,""))-FIND("[",REPLACE(G290,1,2,""))-1)</f>
        <v/>
      </c>
      <c r="F290" s="347">
        <f>IFERROR(MID(G290,3,FIND("(",G290)-3)&amp;"-"&amp;SUBSTITUTE(MID(G290,FIND("[",G290)+1,FIND("]",G290)-FIND("[",G290)-1),"Strong Guard ",""),"")</f>
        <v/>
      </c>
      <c r="G290" s="346" t="inlineStr">
        <is>
          <t>ID12.00R20-20PR(156/153F)[TZ101]天力</t>
        </is>
      </c>
      <c r="H290" s="344" t="n">
        <v>400</v>
      </c>
      <c r="I290" s="348" t="n"/>
      <c r="J290" s="349">
        <f>IFERROR(LEFT(F290,FIND("-",F290))&amp;MID(F290,FIND("PR",F290,FIND("-",F290))+3,LEN(F290)),F290)</f>
        <v/>
      </c>
      <c r="K290" s="352">
        <f>_xlfn.XLOOKUP(F290,投产规格!E:E,投产规格!D:D,"未投产")</f>
        <v/>
      </c>
      <c r="L290" s="352">
        <f>IFERROR(_xlfn.XLOOKUP(F290,硫化工艺!B:B,硫化工艺!C:C),"")</f>
        <v/>
      </c>
      <c r="M290" s="430">
        <f>IF(L290="","",L290/(L290+$L$1/60))</f>
        <v/>
      </c>
      <c r="N290" s="352">
        <f>C290&amp;"全钢"</f>
        <v/>
      </c>
      <c r="O290" s="352">
        <f>IFERROR(_xlfn.XLOOKUP(F290,轮胎重量!J:J,轮胎重量!G:G),"")</f>
        <v/>
      </c>
      <c r="P290" s="352">
        <f>IFERROR(_xlfn.XLOOKUP(G290,硫化工艺!I:I,硫化工艺!J:J),"")</f>
        <v/>
      </c>
      <c r="Q290" s="352">
        <f>IFERROR(ROUND(1440/L290*(I290)*M290,0),"")</f>
        <v/>
      </c>
      <c r="R290" s="352" t="n"/>
      <c r="S290" s="352" t="n"/>
      <c r="T290" s="352" t="n"/>
      <c r="U290" s="352" t="n"/>
      <c r="V290" s="352" t="n"/>
      <c r="W290" s="352" t="n"/>
      <c r="X290" s="352" t="n"/>
      <c r="Y290" s="352" t="n"/>
      <c r="Z290" s="352" t="n"/>
      <c r="AA290" s="352" t="n"/>
      <c r="AB290" s="352" t="n"/>
      <c r="AC290" s="352" t="n"/>
      <c r="AD290" s="352" t="n"/>
      <c r="AE290" s="352" t="n"/>
      <c r="AF290" s="352" t="n"/>
      <c r="AG290" s="352" t="n"/>
      <c r="AH290" s="352" t="n">
        <v>50</v>
      </c>
      <c r="AI290" s="352" t="n">
        <v>50</v>
      </c>
      <c r="AJ290" s="352" t="n">
        <v>50</v>
      </c>
      <c r="AK290" s="352" t="n">
        <v>50</v>
      </c>
      <c r="AL290" s="352" t="n">
        <v>50</v>
      </c>
      <c r="AM290" s="352" t="n">
        <v>50</v>
      </c>
      <c r="AN290" s="352" t="n">
        <v>50</v>
      </c>
      <c r="AO290" s="352" t="n">
        <v>50</v>
      </c>
      <c r="AP290" s="352" t="n">
        <v>50</v>
      </c>
      <c r="AQ290" s="352" t="n">
        <v>50</v>
      </c>
      <c r="AR290" s="352" t="n">
        <v>50</v>
      </c>
      <c r="AS290" s="352" t="n">
        <v>50</v>
      </c>
      <c r="AT290" s="352" t="n">
        <v>50</v>
      </c>
      <c r="AU290" s="352" t="n">
        <v>50</v>
      </c>
      <c r="AV290" s="352" t="n">
        <v>50</v>
      </c>
      <c r="AW290" s="352">
        <f>IF(SUM(R290:AV290)=0,"",SUM(R290:AV290))</f>
        <v/>
      </c>
      <c r="AX290" s="431">
        <f>IFERROR(AW290*O290/1000,"")</f>
        <v/>
      </c>
      <c r="AY290" s="431">
        <f>IFERROR(ROUND(AW290*P290/10000,3),"")</f>
        <v/>
      </c>
      <c r="AZ290" s="354" t="n">
        <v>871.58</v>
      </c>
      <c r="BA290" s="355" t="n">
        <v>54.12</v>
      </c>
      <c r="BB290" s="355" t="n">
        <v>79.59999999999999</v>
      </c>
      <c r="BC290" s="355" t="n">
        <v>87.22</v>
      </c>
      <c r="BE290" s="331">
        <f>AZ290*AW290</f>
        <v/>
      </c>
      <c r="BF290" s="331">
        <f>BA290*AW290</f>
        <v/>
      </c>
      <c r="BG290" s="331">
        <f>BB290*AW290</f>
        <v/>
      </c>
      <c r="BH290" s="331">
        <f>BC290*AW290</f>
        <v/>
      </c>
      <c r="BJ290" s="356">
        <f t="array" ref="BJ290:BM290">_xlfn.LET(_xlpm.data,$R290:$AV290,_xlpm.starts,{1,8,16,23},_xlpm.lengths,{7,7,8,9},_xlpm.arr,_xlfn.MAP(_xlpm.starts,_xlpm.lengths,_xlfn.LAMBDA(_xlpm.s,_xlpm.l,SUM(INDEX(_xlpm.data,,_xlfn.SEQUENCE(,_xlpm.l,_xlpm.s))))),ROUND(_xlpm.arr*$O290/1000,2))</f>
        <v/>
      </c>
      <c r="BK290" s="331" t="n">
        <v>0</v>
      </c>
      <c r="BL290" s="331" t="n">
        <v>28.78</v>
      </c>
      <c r="BM290" s="331" t="n">
        <v>37</v>
      </c>
      <c r="BN290" s="362">
        <f>SUM(BJ290:BM290)</f>
        <v/>
      </c>
      <c r="BO290" s="362" t="n">
        <v>84.68000000000001</v>
      </c>
      <c r="BP290" s="362" t="n">
        <v>84.68000000000001</v>
      </c>
      <c r="BQ290" s="362" t="n">
        <v>92.69</v>
      </c>
      <c r="BR290" s="362" t="n">
        <v>72.03</v>
      </c>
      <c r="BT290" s="362">
        <f t="array" ref="BT290:BW290">_xlfn.HSTACK(SUM(INDEX($R290:$AV290,1,1):INDEX($R290:$AV290,1,7)),SUM(INDEX($R290:$AV290,1,7):INDEX($R290:$AV290,1,13)),SUM(INDEX($R290:$AV290,1,16):INDEX($R290:$AV290,1,23)),SUM(INDEX($R290:$AV290,1,23):INDEX($R290:$AV290,1,31)))</f>
        <v/>
      </c>
      <c r="BU290" s="362" t="n">
        <v>0</v>
      </c>
      <c r="BV290" s="362" t="n">
        <v>350</v>
      </c>
      <c r="BW290" s="362" t="n">
        <v>450</v>
      </c>
      <c r="BY290" s="362">
        <f>SUM(R290:X290)</f>
        <v/>
      </c>
      <c r="BZ290" s="362">
        <f>SUM(Y290:AE290)</f>
        <v/>
      </c>
      <c r="CA290" s="362">
        <f>SUM(AF290:AM290)</f>
        <v/>
      </c>
      <c r="CB290" s="362">
        <f>SUM(AN290:AV290)</f>
        <v/>
      </c>
      <c r="CD290" s="432" t="inlineStr">
        <is>
          <t>ADA</t>
        </is>
      </c>
      <c r="CE290" s="362">
        <f>ROUND(BY290*$O290/1000,2)</f>
        <v/>
      </c>
      <c r="CF290" s="362">
        <f>ROUND(BZ290*$O290/1000,2)</f>
        <v/>
      </c>
      <c r="CG290" s="362">
        <f>ROUND(CA290*$O290/1000,2)</f>
        <v/>
      </c>
      <c r="CH290" s="362">
        <f>ROUND(CB290*$O290/1000,2)</f>
        <v/>
      </c>
      <c r="CI290" s="362">
        <f>SUM(CE290:CH290)</f>
        <v/>
      </c>
      <c r="CK290" s="362">
        <f>IFERROR(ROUND(BY290*$P290,2),"")</f>
        <v/>
      </c>
      <c r="CL290" s="362">
        <f>IFERROR(ROUND(BZ290*$P290,2),"")</f>
        <v/>
      </c>
      <c r="CM290" s="362">
        <f>IFERROR(ROUND(CA290*$P290,2),"")</f>
        <v/>
      </c>
      <c r="CN290" s="362">
        <f>IFERROR(ROUND(CB290*$P290,2),"")</f>
        <v/>
      </c>
      <c r="CO290" s="362">
        <f>SUM(CK290:CN290)</f>
        <v/>
      </c>
    </row>
    <row r="291" hidden="1" ht="15.6" customHeight="1" s="428">
      <c r="B291" s="344">
        <f>_xlfn.XLOOKUP(G291,销售需求表!A:A,销售需求表!C:C)</f>
        <v/>
      </c>
      <c r="C291" s="345">
        <f>IFERROR(MID(F291,FIND("R",F291)+1,2),"")</f>
        <v/>
      </c>
      <c r="D291" s="368">
        <f>B291&amp;C291&amp;"寸"</f>
        <v/>
      </c>
      <c r="E291" s="346">
        <f>LEFT(REPLACE(G291,1,2,""),FIND("[",REPLACE(G291,1,2,""))-1)&amp;"-"&amp;MID(REPLACE(G291,1,2,""),FIND("[",REPLACE(G291,1,2,""))+1,FIND("]",REPLACE(G291,1,2,""))-FIND("[",REPLACE(G291,1,2,""))-1)</f>
        <v/>
      </c>
      <c r="F291" s="347">
        <f>IFERROR(MID(G291,3,FIND("(",G291)-3)&amp;"-"&amp;SUBSTITUTE(MID(G291,FIND("[",G291)+1,FIND("]",G291)-FIND("[",G291)-1),"Strong Guard ",""),"")</f>
        <v/>
      </c>
      <c r="G291" s="346" t="inlineStr">
        <is>
          <t>ID12.00R20-22PR(158/155F)[CB919]雅度</t>
        </is>
      </c>
      <c r="H291" s="344" t="n">
        <v>420</v>
      </c>
      <c r="I291" s="348" t="n"/>
      <c r="J291" s="349">
        <f>IFERROR(LEFT(F291,FIND("-",F291))&amp;MID(F291,FIND("PR",F291,FIND("-",F291))+3,LEN(F291)),F291)</f>
        <v/>
      </c>
      <c r="K291" s="352">
        <f>_xlfn.XLOOKUP(F291,投产规格!E:E,投产规格!D:D,"未投产")</f>
        <v/>
      </c>
      <c r="L291" s="352">
        <f>IFERROR(_xlfn.XLOOKUP(F291,硫化工艺!B:B,硫化工艺!C:C),"")</f>
        <v/>
      </c>
      <c r="M291" s="430">
        <f>IF(L291="","",L291/(L291+$L$1/60))</f>
        <v/>
      </c>
      <c r="N291" s="352">
        <f>C291&amp;"全钢"</f>
        <v/>
      </c>
      <c r="O291" s="352">
        <f>IFERROR(_xlfn.XLOOKUP(F291,轮胎重量!J:J,轮胎重量!G:G),"")</f>
        <v/>
      </c>
      <c r="P291" s="352">
        <f>IFERROR(_xlfn.XLOOKUP(G291,硫化工艺!I:I,硫化工艺!J:J),"")</f>
        <v/>
      </c>
      <c r="Q291" s="352">
        <f>IFERROR(ROUND(1440/L291*(I291)*M291,0),"")</f>
        <v/>
      </c>
      <c r="R291" s="352" t="n"/>
      <c r="S291" s="352" t="n"/>
      <c r="T291" s="352" t="n"/>
      <c r="U291" s="352" t="n"/>
      <c r="V291" s="352" t="n"/>
      <c r="W291" s="352" t="n"/>
      <c r="X291" s="352" t="n"/>
      <c r="Y291" s="352" t="n"/>
      <c r="Z291" s="352" t="n"/>
      <c r="AA291" s="352" t="n"/>
      <c r="AB291" s="352" t="n"/>
      <c r="AC291" s="352" t="n"/>
      <c r="AD291" s="352" t="n"/>
      <c r="AE291" s="352" t="n"/>
      <c r="AF291" s="352" t="n"/>
      <c r="AG291" s="352" t="n"/>
      <c r="AH291" s="352" t="n"/>
      <c r="AI291" s="352" t="n"/>
      <c r="AJ291" s="352" t="n"/>
      <c r="AK291" s="352" t="n"/>
      <c r="AL291" s="352" t="n"/>
      <c r="AM291" s="352" t="n"/>
      <c r="AN291" s="352" t="n"/>
      <c r="AO291" s="352" t="n"/>
      <c r="AP291" s="352" t="n"/>
      <c r="AQ291" s="352" t="n"/>
      <c r="AR291" s="352" t="n"/>
      <c r="AS291" s="352" t="n"/>
      <c r="AT291" s="352" t="n"/>
      <c r="AU291" s="352" t="n"/>
      <c r="AV291" s="352" t="n"/>
      <c r="AW291" s="352">
        <f>IF(SUM(R291:AV291)=0,"",SUM(R291:AV291))</f>
        <v/>
      </c>
      <c r="AX291" s="431">
        <f>IFERROR(AW291*O291/1000,"")</f>
        <v/>
      </c>
      <c r="AY291" s="431">
        <f>IFERROR(ROUND(AW291*P291/10000,3),"")</f>
        <v/>
      </c>
      <c r="AZ291" s="354" t="n">
        <v>871.58</v>
      </c>
      <c r="BA291" s="355" t="n">
        <v>54.12</v>
      </c>
      <c r="BB291" s="355" t="n">
        <v>79.59999999999999</v>
      </c>
      <c r="BC291" s="355" t="n">
        <v>87.22</v>
      </c>
      <c r="BE291" s="331">
        <f>AZ291*AW291</f>
        <v/>
      </c>
      <c r="BF291" s="331">
        <f>BA291*AW291</f>
        <v/>
      </c>
      <c r="BG291" s="331">
        <f>BB291*AW291</f>
        <v/>
      </c>
      <c r="BH291" s="331">
        <f>BC291*AW291</f>
        <v/>
      </c>
      <c r="BJ291" s="356">
        <f t="array" ref="BJ291:BM291">_xlfn.LET(_xlpm.data,$R291:$AV291,_xlpm.starts,{1,8,16,23},_xlpm.lengths,{7,7,8,9},_xlpm.arr,_xlfn.MAP(_xlpm.starts,_xlpm.lengths,_xlfn.LAMBDA(_xlpm.s,_xlpm.l,SUM(INDEX(_xlpm.data,,_xlfn.SEQUENCE(,_xlpm.l,_xlpm.s))))),ROUND(_xlpm.arr*$O291/1000,2))</f>
        <v/>
      </c>
      <c r="BK291" s="331" t="n">
        <v>0</v>
      </c>
      <c r="BL291" s="331" t="n">
        <v>0</v>
      </c>
      <c r="BM291" s="331" t="n">
        <v>0</v>
      </c>
      <c r="BN291" s="362">
        <f>SUM(BJ291:BM291)</f>
        <v/>
      </c>
      <c r="BO291" s="362" t="n">
        <v>26.69</v>
      </c>
      <c r="BP291" s="362" t="n">
        <v>26.69</v>
      </c>
      <c r="BQ291" s="362" t="n">
        <v>30.5</v>
      </c>
      <c r="BR291" s="362" t="n">
        <v>34.31</v>
      </c>
      <c r="BT291" s="362">
        <f t="array" ref="BT291:BW291">_xlfn.HSTACK(SUM(INDEX($R291:$AV291,1,1):INDEX($R291:$AV291,1,7)),SUM(INDEX($R291:$AV291,1,7):INDEX($R291:$AV291,1,13)),SUM(INDEX($R291:$AV291,1,16):INDEX($R291:$AV291,1,23)),SUM(INDEX($R291:$AV291,1,23):INDEX($R291:$AV291,1,31)))</f>
        <v/>
      </c>
      <c r="BU291" s="362" t="n">
        <v>0</v>
      </c>
      <c r="BV291" s="362" t="n">
        <v>0</v>
      </c>
      <c r="BW291" s="362" t="n">
        <v>0</v>
      </c>
      <c r="BY291" s="362">
        <f>SUM(R291:X291)</f>
        <v/>
      </c>
      <c r="BZ291" s="362">
        <f>SUM(Y291:AE291)</f>
        <v/>
      </c>
      <c r="CA291" s="362">
        <f>SUM(AF291:AM291)</f>
        <v/>
      </c>
      <c r="CB291" s="362">
        <f>SUM(AN291:AV291)</f>
        <v/>
      </c>
      <c r="CD291" s="432" t="inlineStr">
        <is>
          <t>ADA</t>
        </is>
      </c>
      <c r="CE291" s="362">
        <f>ROUND(BY291*$O291/1000,2)</f>
        <v/>
      </c>
      <c r="CF291" s="362">
        <f>ROUND(BZ291*$O291/1000,2)</f>
        <v/>
      </c>
      <c r="CG291" s="362">
        <f>ROUND(CA291*$O291/1000,2)</f>
        <v/>
      </c>
      <c r="CH291" s="362">
        <f>ROUND(CB291*$O291/1000,2)</f>
        <v/>
      </c>
      <c r="CI291" s="362">
        <f>SUM(CE291:CH291)</f>
        <v/>
      </c>
      <c r="CK291" s="362">
        <f>IFERROR(ROUND(BY291*$P291,2),"")</f>
        <v/>
      </c>
      <c r="CL291" s="362">
        <f>IFERROR(ROUND(BZ291*$P291,2),"")</f>
        <v/>
      </c>
      <c r="CM291" s="362">
        <f>IFERROR(ROUND(CA291*$P291,2),"")</f>
        <v/>
      </c>
      <c r="CN291" s="362">
        <f>IFERROR(ROUND(CB291*$P291,2),"")</f>
        <v/>
      </c>
      <c r="CO291" s="362">
        <f>SUM(CK291:CN291)</f>
        <v/>
      </c>
    </row>
    <row r="292" ht="15.6" customHeight="1" s="428">
      <c r="B292" s="344">
        <f>_xlfn.XLOOKUP(G292,销售需求表!A:A,销售需求表!C:C)</f>
        <v/>
      </c>
      <c r="C292" s="345">
        <f>IFERROR(MID(F292,FIND("R",F292)+1,2),"")</f>
        <v/>
      </c>
      <c r="D292" s="368">
        <f>B292&amp;C292&amp;"寸"</f>
        <v/>
      </c>
      <c r="E292" s="346">
        <f>LEFT(REPLACE(G292,1,2,""),FIND("[",REPLACE(G292,1,2,""))-1)&amp;"-"&amp;MID(REPLACE(G292,1,2,""),FIND("[",REPLACE(G292,1,2,""))+1,FIND("]",REPLACE(G292,1,2,""))-FIND("[",REPLACE(G292,1,2,""))-1)</f>
        <v/>
      </c>
      <c r="F292" s="347">
        <f>IFERROR(MID(G292,3,FIND("(",G292)-3)&amp;"-"&amp;SUBSTITUTE(MID(G292,FIND("[",G292)+1,FIND("]",G292)-FIND("[",G292)-1),"Strong Guard ",""),"")</f>
        <v/>
      </c>
      <c r="G292" s="346" t="inlineStr">
        <is>
          <t>ID12.00R20-22PR(158/155F)[TRD-79]TRAZANO(全诺) 东南亚</t>
        </is>
      </c>
      <c r="H292" s="344" t="n">
        <v>1900</v>
      </c>
      <c r="I292" s="348" t="n">
        <v>2</v>
      </c>
      <c r="J292" s="349">
        <f>IFERROR(LEFT(F292,FIND("-",F292))&amp;MID(F292,FIND("PR",F292,FIND("-",F292))+3,LEN(F292)),F292)</f>
        <v/>
      </c>
      <c r="K292" s="352">
        <f>_xlfn.XLOOKUP(F292,投产规格!E:E,投产规格!D:D,"未投产")</f>
        <v/>
      </c>
      <c r="L292" s="352">
        <f>IFERROR(_xlfn.XLOOKUP(F292,硫化工艺!B:B,硫化工艺!C:C),"")</f>
        <v/>
      </c>
      <c r="M292" s="430">
        <f>IF(L292="","",L292/(L292+$L$1/60))</f>
        <v/>
      </c>
      <c r="N292" s="352">
        <f>C292&amp;"全钢"</f>
        <v/>
      </c>
      <c r="O292" s="352">
        <f>IFERROR(_xlfn.XLOOKUP(F292,轮胎重量!J:J,轮胎重量!G:G),"")</f>
        <v/>
      </c>
      <c r="P292" s="358">
        <f>O292*13.9</f>
        <v/>
      </c>
      <c r="Q292" s="352">
        <f>IFERROR(ROUND(1440/L292*(I292)*M292,0),"")</f>
        <v/>
      </c>
      <c r="R292" s="352" t="n">
        <v>50</v>
      </c>
      <c r="S292" s="352" t="n">
        <v>50</v>
      </c>
      <c r="T292" s="352" t="n">
        <v>50</v>
      </c>
      <c r="U292" s="352" t="n">
        <v>50</v>
      </c>
      <c r="V292" s="352" t="n">
        <v>50</v>
      </c>
      <c r="W292" s="352" t="n">
        <v>50</v>
      </c>
      <c r="X292" s="352" t="n">
        <v>50</v>
      </c>
      <c r="Y292" s="352" t="n">
        <v>50</v>
      </c>
      <c r="Z292" s="352" t="n">
        <v>50</v>
      </c>
      <c r="AA292" s="352" t="n">
        <v>50</v>
      </c>
      <c r="AB292" s="352" t="n">
        <v>50</v>
      </c>
      <c r="AC292" s="352" t="n">
        <v>50</v>
      </c>
      <c r="AD292" s="352" t="n">
        <v>50</v>
      </c>
      <c r="AE292" s="352" t="n">
        <v>50</v>
      </c>
      <c r="AF292" s="352" t="n">
        <v>50</v>
      </c>
      <c r="AG292" s="352" t="n">
        <v>50</v>
      </c>
      <c r="AH292" s="352" t="n">
        <v>50</v>
      </c>
      <c r="AI292" s="352" t="n">
        <v>50</v>
      </c>
      <c r="AJ292" s="352" t="n">
        <v>50</v>
      </c>
      <c r="AK292" s="352" t="n">
        <v>50</v>
      </c>
      <c r="AL292" s="352" t="n">
        <v>50</v>
      </c>
      <c r="AM292" s="352" t="n">
        <v>50</v>
      </c>
      <c r="AN292" s="352" t="n">
        <v>50</v>
      </c>
      <c r="AO292" s="352" t="n">
        <v>50</v>
      </c>
      <c r="AP292" s="352" t="n">
        <v>50</v>
      </c>
      <c r="AQ292" s="352" t="n">
        <v>50</v>
      </c>
      <c r="AR292" s="352" t="n">
        <v>50</v>
      </c>
      <c r="AS292" s="352" t="n">
        <v>50</v>
      </c>
      <c r="AT292" s="352" t="n">
        <v>50</v>
      </c>
      <c r="AU292" s="352" t="n">
        <v>50</v>
      </c>
      <c r="AV292" s="352" t="n">
        <v>50</v>
      </c>
      <c r="AW292" s="352">
        <f>IF(SUM(R292:AV292)=0,"",SUM(R292:AV292))</f>
        <v/>
      </c>
      <c r="AX292" s="431">
        <f>IFERROR(AW292*O292/1000,"")</f>
        <v/>
      </c>
      <c r="AY292" s="431">
        <f>IFERROR(ROUND(AW292*P292/10000,3),"")</f>
        <v/>
      </c>
      <c r="AZ292" s="354" t="n">
        <v>861.64</v>
      </c>
      <c r="BA292" s="355" t="n">
        <v>52.93</v>
      </c>
      <c r="BB292" s="355" t="n">
        <v>78.33</v>
      </c>
      <c r="BC292" s="355" t="n">
        <v>85.7</v>
      </c>
      <c r="BE292" s="331">
        <f>AZ292*AW292</f>
        <v/>
      </c>
      <c r="BF292" s="331">
        <f>BA292*AW292</f>
        <v/>
      </c>
      <c r="BG292" s="331">
        <f>BB292*AW292</f>
        <v/>
      </c>
      <c r="BH292" s="331">
        <f>BC292*AW292</f>
        <v/>
      </c>
      <c r="BJ292" s="356">
        <f t="array" ref="BJ292:BM292">_xlfn.LET(_xlpm.data,$R292:$AV292,_xlpm.starts,{1,8,16,23},_xlpm.lengths,{7,7,8,9},_xlpm.arr,_xlfn.MAP(_xlpm.starts,_xlpm.lengths,_xlfn.LAMBDA(_xlpm.s,_xlpm.l,SUM(INDEX(_xlpm.data,,_xlfn.SEQUENCE(,_xlpm.l,_xlpm.s))))),ROUND(_xlpm.arr*$O292/1000,2))</f>
        <v/>
      </c>
      <c r="BK292" s="331" t="n">
        <v>30.94</v>
      </c>
      <c r="BL292" s="331" t="n">
        <v>35.36</v>
      </c>
      <c r="BM292" s="331" t="n">
        <v>39.78</v>
      </c>
      <c r="BN292" s="362">
        <f>SUM(BJ292:BM292)</f>
        <v/>
      </c>
      <c r="BO292" s="362" t="n">
        <v>0</v>
      </c>
      <c r="BP292" s="362" t="n">
        <v>0</v>
      </c>
      <c r="BQ292" s="362" t="n">
        <v>0</v>
      </c>
      <c r="BR292" s="362" t="n">
        <v>0</v>
      </c>
      <c r="BT292" s="362">
        <f t="array" ref="BT292:BW292">_xlfn.HSTACK(SUM(INDEX($R292:$AV292,1,1):INDEX($R292:$AV292,1,7)),SUM(INDEX($R292:$AV292,1,7):INDEX($R292:$AV292,1,13)),SUM(INDEX($R292:$AV292,1,16):INDEX($R292:$AV292,1,23)),SUM(INDEX($R292:$AV292,1,23):INDEX($R292:$AV292,1,31)))</f>
        <v/>
      </c>
      <c r="BU292" s="362" t="n">
        <v>350</v>
      </c>
      <c r="BV292" s="362" t="n">
        <v>400</v>
      </c>
      <c r="BW292" s="362" t="n">
        <v>450</v>
      </c>
      <c r="BY292" s="362">
        <f>SUM(R292:X292)</f>
        <v/>
      </c>
      <c r="BZ292" s="362">
        <f>SUM(Y292:AE292)</f>
        <v/>
      </c>
      <c r="CA292" s="362">
        <f>SUM(AF292:AM292)</f>
        <v/>
      </c>
      <c r="CB292" s="362">
        <f>SUM(AN292:AV292)</f>
        <v/>
      </c>
      <c r="CD292" s="432" t="inlineStr">
        <is>
          <t>ADA</t>
        </is>
      </c>
      <c r="CE292" s="362">
        <f>ROUND(BY292*$O292/1000,2)</f>
        <v/>
      </c>
      <c r="CF292" s="362">
        <f>ROUND(BZ292*$O292/1000,2)</f>
        <v/>
      </c>
      <c r="CG292" s="362">
        <f>ROUND(CA292*$O292/1000,2)</f>
        <v/>
      </c>
      <c r="CH292" s="362">
        <f>ROUND(CB292*$O292/1000,2)</f>
        <v/>
      </c>
      <c r="CI292" s="362">
        <f>SUM(CE292:CH292)</f>
        <v/>
      </c>
      <c r="CK292" s="362">
        <f>IFERROR(ROUND(BY292*$P292,2),"")</f>
        <v/>
      </c>
      <c r="CL292" s="362">
        <f>IFERROR(ROUND(BZ292*$P292,2),"")</f>
        <v/>
      </c>
      <c r="CM292" s="362">
        <f>IFERROR(ROUND(CA292*$P292,2),"")</f>
        <v/>
      </c>
      <c r="CN292" s="362">
        <f>IFERROR(ROUND(CB292*$P292,2),"")</f>
        <v/>
      </c>
      <c r="CO292" s="362">
        <f>SUM(CK292:CN292)</f>
        <v/>
      </c>
    </row>
    <row r="293" ht="15.6" customFormat="1" customHeight="1" s="362">
      <c r="A293" s="331" t="n"/>
      <c r="B293" s="344">
        <f>_xlfn.XLOOKUP(G293,销售需求表!A:A,销售需求表!C:C)</f>
        <v/>
      </c>
      <c r="C293" s="345">
        <f>IFERROR(MID(F293,FIND("R",F293)+1,2),"")</f>
        <v/>
      </c>
      <c r="D293" s="368">
        <f>B293&amp;C293&amp;"寸"</f>
        <v/>
      </c>
      <c r="E293" s="346">
        <f>LEFT(REPLACE(G293,1,2,""),FIND("[",REPLACE(G293,1,2,""))-1)&amp;"-"&amp;MID(REPLACE(G293,1,2,""),FIND("[",REPLACE(G293,1,2,""))+1,FIND("]",REPLACE(G293,1,2,""))-FIND("[",REPLACE(G293,1,2,""))-1)</f>
        <v/>
      </c>
      <c r="F293" s="347">
        <f>IFERROR(MID(G293,3,FIND("(",G293)-3)&amp;"-"&amp;SUBSTITUTE(MID(G293,FIND("[",G293)+1,FIND("]",G293)-FIND("[",G293)-1),"Strong Guard ",""),"")</f>
        <v/>
      </c>
      <c r="G293" s="346" t="inlineStr">
        <is>
          <t>ID12.00R20-22PR(158/155F)[CB972]雅度 东南亚</t>
        </is>
      </c>
      <c r="H293" s="344" t="n">
        <v>3500</v>
      </c>
      <c r="I293" s="348" t="n"/>
      <c r="J293" s="349">
        <f>IFERROR(LEFT(F293,FIND("-",F293))&amp;MID(F293,FIND("PR",F293,FIND("-",F293))+3,LEN(F293)),F293)</f>
        <v/>
      </c>
      <c r="K293" s="352">
        <f>_xlfn.XLOOKUP(F293,投产规格!E:E,投产规格!D:D,"未投产")</f>
        <v/>
      </c>
      <c r="L293" s="352">
        <f>IFERROR(_xlfn.XLOOKUP(F293,硫化工艺!B:B,硫化工艺!C:C),"")</f>
        <v/>
      </c>
      <c r="M293" s="430">
        <f>IF(L293="","",L293/(L293+$L$1/60))</f>
        <v/>
      </c>
      <c r="N293" s="352">
        <f>C293&amp;"全钢"</f>
        <v/>
      </c>
      <c r="O293" s="352">
        <f>IFERROR(_xlfn.XLOOKUP(F293,轮胎重量!J:J,轮胎重量!G:G),"")</f>
        <v/>
      </c>
      <c r="P293" s="352">
        <f>IFERROR(_xlfn.XLOOKUP(G293,硫化工艺!I:I,硫化工艺!J:J),"")</f>
        <v/>
      </c>
      <c r="Q293" s="352">
        <f>IFERROR(ROUND(1440/L293*(I293)*M293,0),"")</f>
        <v/>
      </c>
      <c r="R293" s="352" t="n"/>
      <c r="S293" s="352" t="n"/>
      <c r="T293" s="352" t="n"/>
      <c r="U293" s="352" t="n"/>
      <c r="V293" s="352" t="n"/>
      <c r="W293" s="352" t="n"/>
      <c r="X293" s="352" t="n"/>
      <c r="Y293" s="352" t="n"/>
      <c r="Z293" s="352" t="n"/>
      <c r="AA293" s="352" t="n"/>
      <c r="AB293" s="352" t="n"/>
      <c r="AC293" s="352" t="n"/>
      <c r="AD293" s="352" t="n"/>
      <c r="AE293" s="352" t="n"/>
      <c r="AF293" s="352" t="n"/>
      <c r="AG293" s="352" t="n"/>
      <c r="AH293" s="352" t="n">
        <v>260</v>
      </c>
      <c r="AI293" s="352" t="n">
        <v>260</v>
      </c>
      <c r="AJ293" s="352" t="n">
        <v>260</v>
      </c>
      <c r="AK293" s="352" t="n">
        <v>260</v>
      </c>
      <c r="AL293" s="352" t="n">
        <v>260</v>
      </c>
      <c r="AM293" s="352" t="n">
        <v>260</v>
      </c>
      <c r="AN293" s="352" t="n">
        <v>260</v>
      </c>
      <c r="AO293" s="352" t="n">
        <v>260</v>
      </c>
      <c r="AP293" s="352" t="n">
        <v>260</v>
      </c>
      <c r="AQ293" s="352" t="n">
        <v>260</v>
      </c>
      <c r="AR293" s="352" t="n">
        <v>260</v>
      </c>
      <c r="AS293" s="352" t="n">
        <v>260</v>
      </c>
      <c r="AT293" s="352" t="n">
        <v>260</v>
      </c>
      <c r="AU293" s="352" t="n">
        <v>260</v>
      </c>
      <c r="AV293" s="352" t="n">
        <v>260</v>
      </c>
      <c r="AW293" s="352">
        <f>IF(SUM(R293:AV293)=0,"",SUM(R293:AV293))</f>
        <v/>
      </c>
      <c r="AX293" s="431">
        <f>IFERROR(AW293*O293/1000,"")</f>
        <v/>
      </c>
      <c r="AY293" s="431">
        <f>IFERROR(ROUND(AW293*P293/10000,3),"")</f>
        <v/>
      </c>
      <c r="AZ293" s="354" t="n">
        <v>828.4</v>
      </c>
      <c r="BA293" s="355" t="n">
        <v>50.66</v>
      </c>
      <c r="BB293" s="355" t="n">
        <v>75.77</v>
      </c>
      <c r="BC293" s="355" t="n">
        <v>82.47</v>
      </c>
      <c r="BD293" s="331" t="n"/>
      <c r="BE293" s="331">
        <f>AZ293*AW293</f>
        <v/>
      </c>
      <c r="BF293" s="331">
        <f>BA293*AW293</f>
        <v/>
      </c>
      <c r="BG293" s="331">
        <f>BB293*AW293</f>
        <v/>
      </c>
      <c r="BH293" s="331">
        <f>BC293*AW293</f>
        <v/>
      </c>
      <c r="BI293" s="331" t="n"/>
      <c r="BJ293" s="356">
        <f t="array" ref="BJ293:BM293">_xlfn.LET(_xlpm.data,$R293:$AV293,_xlpm.starts,{1,8,16,23},_xlpm.lengths,{7,7,8,9},_xlpm.arr,_xlfn.MAP(_xlpm.starts,_xlpm.lengths,_xlfn.LAMBDA(_xlpm.s,_xlpm.l,SUM(INDEX(_xlpm.data,,_xlfn.SEQUENCE(,_xlpm.l,_xlpm.s))))),ROUND(_xlpm.arr*$O293/1000,2))</f>
        <v/>
      </c>
      <c r="BK293" s="331" t="n">
        <v>0</v>
      </c>
      <c r="BL293" s="331" t="n">
        <v>149.65</v>
      </c>
      <c r="BM293" s="331" t="n">
        <v>192.41</v>
      </c>
      <c r="BN293" s="362">
        <f>SUM(BJ293:BM293)</f>
        <v/>
      </c>
      <c r="BO293" s="362" t="n">
        <v>0</v>
      </c>
      <c r="BP293" s="362" t="n">
        <v>0</v>
      </c>
      <c r="BQ293" s="362" t="n">
        <v>0</v>
      </c>
      <c r="BR293" s="362" t="n">
        <v>16.09</v>
      </c>
      <c r="BS293" s="115">
        <f>Q293*O293</f>
        <v/>
      </c>
      <c r="BT293" s="362">
        <f t="array" ref="BT293:BW293">_xlfn.HSTACK(SUM(INDEX($R293:$AV293,1,1):INDEX($R293:$AV293,1,7)),SUM(INDEX($R293:$AV293,1,7):INDEX($R293:$AV293,1,13)),SUM(INDEX($R293:$AV293,1,16):INDEX($R293:$AV293,1,23)),SUM(INDEX($R293:$AV293,1,23):INDEX($R293:$AV293,1,31)))</f>
        <v/>
      </c>
      <c r="BU293" s="362" t="n">
        <v>0</v>
      </c>
      <c r="BV293" s="362" t="n">
        <v>1820</v>
      </c>
      <c r="BW293" s="362" t="n">
        <v>2340</v>
      </c>
      <c r="BY293" s="362">
        <f>SUM(R293:X293)</f>
        <v/>
      </c>
      <c r="BZ293" s="362">
        <f>SUM(Y293:AE293)</f>
        <v/>
      </c>
      <c r="CA293" s="362">
        <f>SUM(AF293:AM293)</f>
        <v/>
      </c>
      <c r="CB293" s="362">
        <f>SUM(AN293:AV293)</f>
        <v/>
      </c>
      <c r="CD293" s="432" t="inlineStr">
        <is>
          <t>ADA</t>
        </is>
      </c>
      <c r="CE293" s="362">
        <f>ROUND(BY293*$O293/1000,2)</f>
        <v/>
      </c>
      <c r="CF293" s="362">
        <f>ROUND(BZ293*$O293/1000,2)</f>
        <v/>
      </c>
      <c r="CG293" s="362">
        <f>ROUND(CA293*$O293/1000,2)</f>
        <v/>
      </c>
      <c r="CH293" s="362">
        <f>ROUND(CB293*$O293/1000,2)</f>
        <v/>
      </c>
      <c r="CI293" s="362">
        <f>SUM(CE293:CH293)</f>
        <v/>
      </c>
      <c r="CJ293" s="390" t="n"/>
      <c r="CK293" s="362">
        <f>IFERROR(ROUND(BY293*$P293,2),"")</f>
        <v/>
      </c>
      <c r="CL293" s="362">
        <f>IFERROR(ROUND(BZ293*$P293,2),"")</f>
        <v/>
      </c>
      <c r="CM293" s="362">
        <f>IFERROR(ROUND(CA293*$P293,2),"")</f>
        <v/>
      </c>
      <c r="CN293" s="362">
        <f>IFERROR(ROUND(CB293*$P293,2),"")</f>
        <v/>
      </c>
      <c r="CO293" s="362">
        <f>SUM(CK293:CN293)</f>
        <v/>
      </c>
    </row>
    <row r="294" ht="15.6" customHeight="1" s="428">
      <c r="B294" s="344">
        <f>_xlfn.XLOOKUP(G294,销售需求表!A:A,销售需求表!C:C)</f>
        <v/>
      </c>
      <c r="C294" s="345">
        <f>IFERROR(MID(F294,FIND("R",F294)+1,2),"")</f>
        <v/>
      </c>
      <c r="D294" s="368">
        <f>B294&amp;C294&amp;"寸"</f>
        <v/>
      </c>
      <c r="E294" s="346">
        <f>LEFT(REPLACE(G294,1,2,""),FIND("[",REPLACE(G294,1,2,""))-1)&amp;"-"&amp;MID(REPLACE(G294,1,2,""),FIND("[",REPLACE(G294,1,2,""))+1,FIND("]",REPLACE(G294,1,2,""))-FIND("[",REPLACE(G294,1,2,""))-1)</f>
        <v/>
      </c>
      <c r="F294" s="347">
        <f>IFERROR(MID(G294,3,FIND("(",G294)-3)&amp;"-"&amp;SUBSTITUTE(MID(G294,FIND("[",G294)+1,FIND("]",G294)-FIND("[",G294)-1),"Strong Guard ",""),"")</f>
        <v/>
      </c>
      <c r="G294" s="346" t="inlineStr">
        <is>
          <t>ID12.00R20-22PR(158/155F)[EZ310 pro]雅度</t>
        </is>
      </c>
      <c r="H294" s="344" t="n">
        <v>8000</v>
      </c>
      <c r="I294" s="348" t="n">
        <v>8</v>
      </c>
      <c r="J294" s="349">
        <f>IFERROR(LEFT(F294,FIND("-",F294))&amp;MID(F294,FIND("PR",F294,FIND("-",F294))+3,LEN(F294)),F294)</f>
        <v/>
      </c>
      <c r="K294" s="352">
        <f>_xlfn.XLOOKUP(F294,投产规格!E:E,投产规格!D:D,"未投产")</f>
        <v/>
      </c>
      <c r="L294" s="352">
        <f>IFERROR(_xlfn.XLOOKUP(F294,硫化工艺!B:B,硫化工艺!C:C),"")</f>
        <v/>
      </c>
      <c r="M294" s="430">
        <f>IF(L294="","",L294/(L294+$L$1/60))</f>
        <v/>
      </c>
      <c r="N294" s="352">
        <f>C294&amp;"全钢"</f>
        <v/>
      </c>
      <c r="O294" s="352">
        <f>IFERROR(_xlfn.XLOOKUP(F294,轮胎重量!J:J,轮胎重量!G:G),"")</f>
        <v/>
      </c>
      <c r="P294" s="352">
        <f>IFERROR(_xlfn.XLOOKUP(G294,硫化工艺!I:I,硫化工艺!J:J),"")</f>
        <v/>
      </c>
      <c r="Q294" s="352">
        <f>IFERROR(ROUND(1440/L294*(I294)*M294,0),"")</f>
        <v/>
      </c>
      <c r="R294" s="352" t="n">
        <v>140</v>
      </c>
      <c r="S294" s="352" t="n">
        <v>140</v>
      </c>
      <c r="T294" s="352" t="n">
        <v>140</v>
      </c>
      <c r="U294" s="352" t="n">
        <v>140</v>
      </c>
      <c r="V294" s="352" t="n">
        <v>140</v>
      </c>
      <c r="W294" s="352" t="n">
        <v>140</v>
      </c>
      <c r="X294" s="352" t="n">
        <v>140</v>
      </c>
      <c r="Y294" s="352" t="n">
        <v>140</v>
      </c>
      <c r="Z294" s="352" t="n">
        <v>140</v>
      </c>
      <c r="AA294" s="352" t="n">
        <v>140</v>
      </c>
      <c r="AB294" s="352" t="n">
        <v>140</v>
      </c>
      <c r="AC294" s="352" t="n">
        <v>140</v>
      </c>
      <c r="AD294" s="352" t="n">
        <v>140</v>
      </c>
      <c r="AE294" s="352" t="n">
        <v>140</v>
      </c>
      <c r="AF294" s="352" t="n">
        <v>140</v>
      </c>
      <c r="AG294" s="352" t="n">
        <v>140</v>
      </c>
      <c r="AH294" s="352" t="n">
        <v>140</v>
      </c>
      <c r="AI294" s="352" t="n">
        <v>140</v>
      </c>
      <c r="AJ294" s="352" t="n">
        <v>140</v>
      </c>
      <c r="AK294" s="352" t="n">
        <v>140</v>
      </c>
      <c r="AL294" s="352" t="n">
        <v>140</v>
      </c>
      <c r="AM294" s="352" t="n">
        <v>140</v>
      </c>
      <c r="AN294" s="352" t="n">
        <v>140</v>
      </c>
      <c r="AO294" s="352" t="n">
        <v>140</v>
      </c>
      <c r="AP294" s="352" t="n">
        <v>140</v>
      </c>
      <c r="AQ294" s="352" t="n">
        <v>140</v>
      </c>
      <c r="AR294" s="352" t="n">
        <v>140</v>
      </c>
      <c r="AS294" s="352" t="n">
        <v>140</v>
      </c>
      <c r="AT294" s="352" t="n">
        <v>140</v>
      </c>
      <c r="AU294" s="352" t="n">
        <v>140</v>
      </c>
      <c r="AV294" s="352" t="n">
        <v>140</v>
      </c>
      <c r="AW294" s="352">
        <f>IF(SUM(R294:AV294)=0,"",SUM(R294:AV294))</f>
        <v/>
      </c>
      <c r="AX294" s="431">
        <f>IFERROR(AW294*O294/1000,"")</f>
        <v/>
      </c>
      <c r="AY294" s="431">
        <f>IFERROR(ROUND(AW294*P294/10000,3),"")</f>
        <v/>
      </c>
      <c r="AZ294" s="354" t="n">
        <v>864.55</v>
      </c>
      <c r="BA294" s="355" t="n">
        <v>53.34</v>
      </c>
      <c r="BB294" s="355" t="n">
        <v>78.72</v>
      </c>
      <c r="BC294" s="355" t="n">
        <v>86.44</v>
      </c>
      <c r="BE294" s="331">
        <f>AZ294*AW294</f>
        <v/>
      </c>
      <c r="BF294" s="331">
        <f>BA294*AW294</f>
        <v/>
      </c>
      <c r="BG294" s="331">
        <f>BB294*AW294</f>
        <v/>
      </c>
      <c r="BH294" s="331">
        <f>BC294*AW294</f>
        <v/>
      </c>
      <c r="BJ294" s="356">
        <f t="array" ref="BJ294:BM294">_xlfn.LET(_xlpm.data,$R294:$AV294,_xlpm.starts,{1,8,16,23},_xlpm.lengths,{7,7,8,9},_xlpm.arr,_xlfn.MAP(_xlpm.starts,_xlpm.lengths,_xlfn.LAMBDA(_xlpm.s,_xlpm.l,SUM(INDEX(_xlpm.data,,_xlfn.SEQUENCE(,_xlpm.l,_xlpm.s))))),ROUND(_xlpm.arr*$O294/1000,2))</f>
        <v/>
      </c>
      <c r="BK294" s="331" t="n">
        <v>93.48</v>
      </c>
      <c r="BL294" s="331" t="n">
        <v>106.83</v>
      </c>
      <c r="BM294" s="331" t="n">
        <v>120.19</v>
      </c>
      <c r="BN294" s="362">
        <f>SUM(BJ294:BM294)</f>
        <v/>
      </c>
      <c r="BO294" s="362" t="n">
        <v>0</v>
      </c>
      <c r="BP294" s="362" t="n">
        <v>0</v>
      </c>
      <c r="BQ294" s="362" t="n">
        <v>4.04</v>
      </c>
      <c r="BR294" s="362" t="n">
        <v>20.2</v>
      </c>
      <c r="BT294" s="362">
        <f t="array" ref="BT294:BW294">_xlfn.HSTACK(SUM(INDEX($R294:$AV294,1,1):INDEX($R294:$AV294,1,7)),SUM(INDEX($R294:$AV294,1,7):INDEX($R294:$AV294,1,13)),SUM(INDEX($R294:$AV294,1,16):INDEX($R294:$AV294,1,23)),SUM(INDEX($R294:$AV294,1,23):INDEX($R294:$AV294,1,31)))</f>
        <v/>
      </c>
      <c r="BU294" s="362" t="n">
        <v>980</v>
      </c>
      <c r="BV294" s="362" t="n">
        <v>1120</v>
      </c>
      <c r="BW294" s="362" t="n">
        <v>1260</v>
      </c>
      <c r="BY294" s="362">
        <f>SUM(R294:X294)</f>
        <v/>
      </c>
      <c r="BZ294" s="362">
        <f>SUM(Y294:AE294)</f>
        <v/>
      </c>
      <c r="CA294" s="362">
        <f>SUM(AF294:AM294)</f>
        <v/>
      </c>
      <c r="CB294" s="362">
        <f>SUM(AN294:AV294)</f>
        <v/>
      </c>
      <c r="CD294" s="432" t="inlineStr">
        <is>
          <t>ADA</t>
        </is>
      </c>
      <c r="CE294" s="362">
        <f>ROUND(BY294*$O294/1000,2)</f>
        <v/>
      </c>
      <c r="CF294" s="362">
        <f>ROUND(BZ294*$O294/1000,2)</f>
        <v/>
      </c>
      <c r="CG294" s="362">
        <f>ROUND(CA294*$O294/1000,2)</f>
        <v/>
      </c>
      <c r="CH294" s="362">
        <f>ROUND(CB294*$O294/1000,2)</f>
        <v/>
      </c>
      <c r="CI294" s="362">
        <f>SUM(CE294:CH294)</f>
        <v/>
      </c>
      <c r="CK294" s="362">
        <f>IFERROR(ROUND(BY294*$P294,2),"")</f>
        <v/>
      </c>
      <c r="CL294" s="362">
        <f>IFERROR(ROUND(BZ294*$P294,2),"")</f>
        <v/>
      </c>
      <c r="CM294" s="362">
        <f>IFERROR(ROUND(CA294*$P294,2),"")</f>
        <v/>
      </c>
      <c r="CN294" s="362">
        <f>IFERROR(ROUND(CB294*$P294,2),"")</f>
        <v/>
      </c>
      <c r="CO294" s="362">
        <f>SUM(CK294:CN294)</f>
        <v/>
      </c>
    </row>
    <row r="295" ht="15.6" customFormat="1" customHeight="1" s="362">
      <c r="A295" s="331" t="n"/>
      <c r="B295" s="344">
        <f>_xlfn.XLOOKUP(G295,销售需求表!A:A,销售需求表!C:C)</f>
        <v/>
      </c>
      <c r="C295" s="345">
        <f>IFERROR(MID(F295,FIND("R",F295)+1,2),"")</f>
        <v/>
      </c>
      <c r="D295" s="368">
        <f>B295&amp;C295&amp;"寸"</f>
        <v/>
      </c>
      <c r="E295" s="346">
        <f>LEFT(REPLACE(G295,1,2,""),FIND("[",REPLACE(G295,1,2,""))-1)&amp;"-"&amp;MID(REPLACE(G295,1,2,""),FIND("[",REPLACE(G295,1,2,""))+1,FIND("]",REPLACE(G295,1,2,""))-FIND("[",REPLACE(G295,1,2,""))-1)</f>
        <v/>
      </c>
      <c r="F295" s="347">
        <f>IFERROR(MID(G295,3,FIND("(",G295)-3)&amp;"-"&amp;SUBSTITUTE(MID(G295,FIND("[",G295)+1,FIND("]",G295)-FIND("[",G295)-1),"Strong Guard ",""),"")</f>
        <v/>
      </c>
      <c r="G295" s="346" t="inlineStr">
        <is>
          <t>ID12.00R20-22PR(158/155J)[AZ850]雅度 东南亚</t>
        </is>
      </c>
      <c r="H295" s="344" t="n">
        <v>400</v>
      </c>
      <c r="I295" s="348" t="n"/>
      <c r="J295" s="349">
        <f>IFERROR(LEFT(F295,FIND("-",F295))&amp;MID(F295,FIND("PR",F295,FIND("-",F295))+3,LEN(F295)),F295)</f>
        <v/>
      </c>
      <c r="K295" s="352">
        <f>_xlfn.XLOOKUP(F295,投产规格!E:E,投产规格!D:D,"未投产")</f>
        <v/>
      </c>
      <c r="L295" s="352">
        <f>IFERROR(_xlfn.XLOOKUP(F295,硫化工艺!B:B,硫化工艺!C:C),"")</f>
        <v/>
      </c>
      <c r="M295" s="430">
        <f>IF(L295="","",L295/(L295+$L$1/60))</f>
        <v/>
      </c>
      <c r="N295" s="352">
        <f>C295&amp;"全钢"</f>
        <v/>
      </c>
      <c r="O295" s="352">
        <f>IFERROR(_xlfn.XLOOKUP(F295,轮胎重量!J:J,轮胎重量!G:G),"")</f>
        <v/>
      </c>
      <c r="P295" s="352">
        <f>IFERROR(_xlfn.XLOOKUP(G295,硫化工艺!I:I,硫化工艺!J:J),"")</f>
        <v/>
      </c>
      <c r="Q295" s="352">
        <f>IFERROR(ROUND(1440/L295*(I295)*M295,0),"")</f>
        <v/>
      </c>
      <c r="R295" s="352" t="n"/>
      <c r="S295" s="352" t="n"/>
      <c r="T295" s="352" t="n"/>
      <c r="U295" s="352" t="n"/>
      <c r="V295" s="352" t="n"/>
      <c r="W295" s="352" t="n"/>
      <c r="X295" s="352" t="n"/>
      <c r="Y295" s="352" t="n"/>
      <c r="Z295" s="352" t="n"/>
      <c r="AA295" s="352" t="n"/>
      <c r="AB295" s="352" t="n"/>
      <c r="AC295" s="352" t="n"/>
      <c r="AD295" s="352" t="n"/>
      <c r="AE295" s="352" t="n"/>
      <c r="AF295" s="352" t="n"/>
      <c r="AG295" s="352" t="n"/>
      <c r="AH295" s="352" t="n"/>
      <c r="AI295" s="352" t="n"/>
      <c r="AJ295" s="352" t="n"/>
      <c r="AK295" s="352" t="n"/>
      <c r="AL295" s="352" t="n"/>
      <c r="AM295" s="352" t="n"/>
      <c r="AN295" s="352" t="n"/>
      <c r="AO295" s="352" t="n"/>
      <c r="AP295" s="352" t="n">
        <v>50</v>
      </c>
      <c r="AQ295" s="352" t="n">
        <v>50</v>
      </c>
      <c r="AR295" s="352" t="n">
        <v>50</v>
      </c>
      <c r="AS295" s="352" t="n">
        <v>50</v>
      </c>
      <c r="AT295" s="352" t="n">
        <v>50</v>
      </c>
      <c r="AU295" s="352" t="n">
        <v>50</v>
      </c>
      <c r="AV295" s="352" t="n">
        <v>50</v>
      </c>
      <c r="AW295" s="352">
        <f>IF(SUM(R295:AV295)=0,"",SUM(R295:AV295))</f>
        <v/>
      </c>
      <c r="AX295" s="431">
        <f>IFERROR(AW295*O295/1000,"")</f>
        <v/>
      </c>
      <c r="AY295" s="431">
        <f>IFERROR(ROUND(AW295*P295/10000,3),"")</f>
        <v/>
      </c>
      <c r="AZ295" s="354" t="n">
        <v>864.55</v>
      </c>
      <c r="BA295" s="355" t="n">
        <v>53.34</v>
      </c>
      <c r="BB295" s="355" t="n">
        <v>78.72</v>
      </c>
      <c r="BC295" s="355" t="n">
        <v>86.44</v>
      </c>
      <c r="BD295" s="331" t="n"/>
      <c r="BE295" s="331">
        <f>AZ295*AW295</f>
        <v/>
      </c>
      <c r="BF295" s="331">
        <f>BA295*AW295</f>
        <v/>
      </c>
      <c r="BG295" s="331">
        <f>BB295*AW295</f>
        <v/>
      </c>
      <c r="BH295" s="331">
        <f>BC295*AW295</f>
        <v/>
      </c>
      <c r="BI295" s="331" t="n"/>
      <c r="BJ295" s="356">
        <f t="array" ref="BJ295:BM295">_xlfn.LET(_xlpm.data,$R295:$AV295,_xlpm.starts,{1,8,16,23},_xlpm.lengths,{7,7,8,9},_xlpm.arr,_xlfn.MAP(_xlpm.starts,_xlpm.lengths,_xlfn.LAMBDA(_xlpm.s,_xlpm.l,SUM(INDEX(_xlpm.data,,_xlfn.SEQUENCE(,_xlpm.l,_xlpm.s))))),ROUND(_xlpm.arr*$O295/1000,2))</f>
        <v/>
      </c>
      <c r="BK295" s="331" t="n">
        <v>0</v>
      </c>
      <c r="BL295" s="331" t="n">
        <v>0</v>
      </c>
      <c r="BM295" s="331" t="n">
        <v>29.03</v>
      </c>
      <c r="BN295" s="362">
        <f>SUM(BJ295:BM295)</f>
        <v/>
      </c>
      <c r="BO295" s="362" t="n">
        <v>0</v>
      </c>
      <c r="BP295" s="362" t="n">
        <v>0</v>
      </c>
      <c r="BQ295" s="362" t="n">
        <v>0</v>
      </c>
      <c r="BR295" s="362" t="n">
        <v>15.99</v>
      </c>
      <c r="BS295" s="115" t="n"/>
      <c r="BT295" s="362">
        <f t="array" ref="BT295:BW295">_xlfn.HSTACK(SUM(INDEX($R295:$AV295,1,1):INDEX($R295:$AV295,1,7)),SUM(INDEX($R295:$AV295,1,7):INDEX($R295:$AV295,1,13)),SUM(INDEX($R295:$AV295,1,16):INDEX($R295:$AV295,1,23)),SUM(INDEX($R295:$AV295,1,23):INDEX($R295:$AV295,1,31)))</f>
        <v/>
      </c>
      <c r="BU295" s="362" t="n">
        <v>0</v>
      </c>
      <c r="BV295" s="362" t="n">
        <v>0</v>
      </c>
      <c r="BW295" s="362" t="n">
        <v>350</v>
      </c>
      <c r="BY295" s="362">
        <f>SUM(R295:X295)</f>
        <v/>
      </c>
      <c r="BZ295" s="362">
        <f>SUM(Y295:AE295)</f>
        <v/>
      </c>
      <c r="CA295" s="362">
        <f>SUM(AF295:AM295)</f>
        <v/>
      </c>
      <c r="CB295" s="362">
        <f>SUM(AN295:AV295)</f>
        <v/>
      </c>
      <c r="CD295" s="432" t="inlineStr">
        <is>
          <t>ADA</t>
        </is>
      </c>
      <c r="CE295" s="362">
        <f>ROUND(BY295*$O295/1000,2)</f>
        <v/>
      </c>
      <c r="CF295" s="362">
        <f>ROUND(BZ295*$O295/1000,2)</f>
        <v/>
      </c>
      <c r="CG295" s="362">
        <f>ROUND(CA295*$O295/1000,2)</f>
        <v/>
      </c>
      <c r="CH295" s="362">
        <f>ROUND(CB295*$O295/1000,2)</f>
        <v/>
      </c>
      <c r="CI295" s="362">
        <f>SUM(CE295:CH295)</f>
        <v/>
      </c>
      <c r="CJ295" s="390" t="n"/>
      <c r="CK295" s="362">
        <f>IFERROR(ROUND(BY295*$P295,2),"")</f>
        <v/>
      </c>
      <c r="CL295" s="362">
        <f>IFERROR(ROUND(BZ295*$P295,2),"")</f>
        <v/>
      </c>
      <c r="CM295" s="362">
        <f>IFERROR(ROUND(CA295*$P295,2),"")</f>
        <v/>
      </c>
      <c r="CN295" s="362">
        <f>IFERROR(ROUND(CB295*$P295,2),"")</f>
        <v/>
      </c>
      <c r="CO295" s="362">
        <f>SUM(CK295:CN295)</f>
        <v/>
      </c>
    </row>
    <row r="296" ht="15.6" customFormat="1" customHeight="1" s="362">
      <c r="A296" s="331" t="n"/>
      <c r="B296" s="344">
        <f>_xlfn.XLOOKUP(G296,销售需求表!A:A,销售需求表!C:C)</f>
        <v/>
      </c>
      <c r="C296" s="345">
        <f>IFERROR(MID(F296,FIND("R",F296)+1,2),"")</f>
        <v/>
      </c>
      <c r="D296" s="368">
        <f>B296&amp;C296&amp;"寸"</f>
        <v/>
      </c>
      <c r="E296" s="346">
        <f>LEFT(REPLACE(G296,1,2,""),FIND("[",REPLACE(G296,1,2,""))-1)&amp;"-"&amp;MID(REPLACE(G296,1,2,""),FIND("[",REPLACE(G296,1,2,""))+1,FIND("]",REPLACE(G296,1,2,""))-FIND("[",REPLACE(G296,1,2,""))-1)</f>
        <v/>
      </c>
      <c r="F296" s="347">
        <f>IFERROR(MID(G296,3,FIND("(",G296)-3)&amp;"-"&amp;SUBSTITUTE(MID(G296,FIND("[",G296)+1,FIND("]",G296)-FIND("[",G296)-1),"Strong Guard ",""),"")</f>
        <v/>
      </c>
      <c r="G296" s="346" t="inlineStr">
        <is>
          <t>ID12.00R20-22PR(158/155J)[EZ867]雅度 东南亚</t>
        </is>
      </c>
      <c r="H296" s="344" t="n">
        <v>200</v>
      </c>
      <c r="I296" s="348" t="n"/>
      <c r="J296" s="349">
        <f>IFERROR(LEFT(F296,FIND("-",F296))&amp;MID(F296,FIND("PR",F296,FIND("-",F296))+3,LEN(F296)),F296)</f>
        <v/>
      </c>
      <c r="K296" s="352">
        <f>_xlfn.XLOOKUP(F296,投产规格!E:E,投产规格!D:D,"未投产")</f>
        <v/>
      </c>
      <c r="L296" s="352">
        <f>IFERROR(_xlfn.XLOOKUP(F296,硫化工艺!B:B,硫化工艺!C:C),"")</f>
        <v/>
      </c>
      <c r="M296" s="430">
        <f>IF(L296="","",L296/(L296+$L$1/60))</f>
        <v/>
      </c>
      <c r="N296" s="352">
        <f>C296&amp;"全钢"</f>
        <v/>
      </c>
      <c r="O296" s="352">
        <f>IFERROR(_xlfn.XLOOKUP(F296,轮胎重量!J:J,轮胎重量!G:G),"")</f>
        <v/>
      </c>
      <c r="P296" s="352">
        <f>IFERROR(_xlfn.XLOOKUP(G296,硫化工艺!I:I,硫化工艺!J:J),"")</f>
        <v/>
      </c>
      <c r="Q296" s="352">
        <f>IFERROR(ROUND(1440/L296*(I296)*M296,0),"")</f>
        <v/>
      </c>
      <c r="R296" s="352" t="n"/>
      <c r="S296" s="352" t="n"/>
      <c r="T296" s="352" t="n"/>
      <c r="U296" s="352" t="n"/>
      <c r="V296" s="352" t="n"/>
      <c r="W296" s="352" t="n"/>
      <c r="X296" s="352" t="n"/>
      <c r="Y296" s="352" t="n"/>
      <c r="Z296" s="352" t="n"/>
      <c r="AA296" s="352" t="n"/>
      <c r="AB296" s="352" t="n"/>
      <c r="AC296" s="352" t="n"/>
      <c r="AD296" s="352" t="n"/>
      <c r="AE296" s="352" t="n"/>
      <c r="AF296" s="352" t="n"/>
      <c r="AG296" s="352" t="n"/>
      <c r="AH296" s="352" t="n"/>
      <c r="AI296" s="352" t="n"/>
      <c r="AJ296" s="352" t="n"/>
      <c r="AK296" s="352" t="n"/>
      <c r="AL296" s="352" t="n"/>
      <c r="AM296" s="352" t="n"/>
      <c r="AN296" s="352" t="n"/>
      <c r="AO296" s="352" t="n"/>
      <c r="AP296" s="352" t="n">
        <v>50</v>
      </c>
      <c r="AQ296" s="352" t="n">
        <v>50</v>
      </c>
      <c r="AR296" s="352" t="n">
        <v>50</v>
      </c>
      <c r="AS296" s="352" t="n">
        <v>50</v>
      </c>
      <c r="AT296" s="352" t="n">
        <v>50</v>
      </c>
      <c r="AU296" s="352" t="n">
        <v>50</v>
      </c>
      <c r="AV296" s="352" t="n">
        <v>50</v>
      </c>
      <c r="AW296" s="352">
        <f>IF(SUM(R296:AV296)=0,"",SUM(R296:AV296))</f>
        <v/>
      </c>
      <c r="AX296" s="431">
        <f>IFERROR(AW296*O296/1000,"")</f>
        <v/>
      </c>
      <c r="AY296" s="431">
        <f>IFERROR(ROUND(AW296*P296/10000,3),"")</f>
        <v/>
      </c>
      <c r="AZ296" s="354" t="n">
        <v>864.55</v>
      </c>
      <c r="BA296" s="355" t="n">
        <v>53.34</v>
      </c>
      <c r="BB296" s="355" t="n">
        <v>78.72</v>
      </c>
      <c r="BC296" s="355" t="n">
        <v>86.44</v>
      </c>
      <c r="BD296" s="331" t="n"/>
      <c r="BE296" s="331">
        <f>AZ296*AW296</f>
        <v/>
      </c>
      <c r="BF296" s="331">
        <f>BA296*AW296</f>
        <v/>
      </c>
      <c r="BG296" s="331">
        <f>BB296*AW296</f>
        <v/>
      </c>
      <c r="BH296" s="331">
        <f>BC296*AW296</f>
        <v/>
      </c>
      <c r="BI296" s="331" t="n"/>
      <c r="BJ296" s="356">
        <f t="array" ref="BJ296:BM296">_xlfn.LET(_xlpm.data,$R296:$AV296,_xlpm.starts,{1,8,16,23},_xlpm.lengths,{7,7,8,9},_xlpm.arr,_xlfn.MAP(_xlpm.starts,_xlpm.lengths,_xlfn.LAMBDA(_xlpm.s,_xlpm.l,SUM(INDEX(_xlpm.data,,_xlfn.SEQUENCE(,_xlpm.l,_xlpm.s))))),ROUND(_xlpm.arr*$O296/1000,2))</f>
        <v/>
      </c>
      <c r="BK296" s="331" t="n">
        <v>0</v>
      </c>
      <c r="BL296" s="331" t="n">
        <v>0</v>
      </c>
      <c r="BM296" s="331" t="n">
        <v>30.11</v>
      </c>
      <c r="BN296" s="362">
        <f>SUM(BJ296:BM296)</f>
        <v/>
      </c>
      <c r="BO296" s="362" t="n">
        <v>0</v>
      </c>
      <c r="BP296" s="362" t="n">
        <v>0</v>
      </c>
      <c r="BQ296" s="362" t="n">
        <v>0</v>
      </c>
      <c r="BR296" s="362" t="n">
        <v>0</v>
      </c>
      <c r="BS296" s="115" t="n"/>
      <c r="BT296" s="362">
        <f t="array" ref="BT296:BW296">_xlfn.HSTACK(SUM(INDEX($R296:$AV296,1,1):INDEX($R296:$AV296,1,7)),SUM(INDEX($R296:$AV296,1,7):INDEX($R296:$AV296,1,13)),SUM(INDEX($R296:$AV296,1,16):INDEX($R296:$AV296,1,23)),SUM(INDEX($R296:$AV296,1,23):INDEX($R296:$AV296,1,31)))</f>
        <v/>
      </c>
      <c r="BU296" s="362" t="n">
        <v>0</v>
      </c>
      <c r="BV296" s="362" t="n">
        <v>0</v>
      </c>
      <c r="BW296" s="362" t="n">
        <v>350</v>
      </c>
      <c r="BY296" s="362">
        <f>SUM(R296:X296)</f>
        <v/>
      </c>
      <c r="BZ296" s="362">
        <f>SUM(Y296:AE296)</f>
        <v/>
      </c>
      <c r="CA296" s="362">
        <f>SUM(AF296:AM296)</f>
        <v/>
      </c>
      <c r="CB296" s="362">
        <f>SUM(AN296:AV296)</f>
        <v/>
      </c>
      <c r="CD296" s="432" t="inlineStr">
        <is>
          <t>ADA</t>
        </is>
      </c>
      <c r="CE296" s="362">
        <f>ROUND(BY296*$O296/1000,2)</f>
        <v/>
      </c>
      <c r="CF296" s="362">
        <f>ROUND(BZ296*$O296/1000,2)</f>
        <v/>
      </c>
      <c r="CG296" s="362">
        <f>ROUND(CA296*$O296/1000,2)</f>
        <v/>
      </c>
      <c r="CH296" s="362">
        <f>ROUND(CB296*$O296/1000,2)</f>
        <v/>
      </c>
      <c r="CI296" s="362">
        <f>SUM(CE296:CH296)</f>
        <v/>
      </c>
      <c r="CJ296" s="390" t="n"/>
      <c r="CK296" s="362">
        <f>IFERROR(ROUND(BY296*$P296,2),"")</f>
        <v/>
      </c>
      <c r="CL296" s="362">
        <f>IFERROR(ROUND(BZ296*$P296,2),"")</f>
        <v/>
      </c>
      <c r="CM296" s="362">
        <f>IFERROR(ROUND(CA296*$P296,2),"")</f>
        <v/>
      </c>
      <c r="CN296" s="362">
        <f>IFERROR(ROUND(CB296*$P296,2),"")</f>
        <v/>
      </c>
      <c r="CO296" s="362">
        <f>SUM(CK296:CN296)</f>
        <v/>
      </c>
    </row>
    <row r="297" ht="15.6" customFormat="1" customHeight="1" s="362">
      <c r="A297" s="331" t="n"/>
      <c r="B297" s="344">
        <f>_xlfn.XLOOKUP(G297,销售需求表!A:A,销售需求表!C:C)</f>
        <v/>
      </c>
      <c r="C297" s="345">
        <f>IFERROR(MID(F297,FIND("R",F297)+1,2),"")</f>
        <v/>
      </c>
      <c r="D297" s="368">
        <f>B297&amp;C297&amp;"寸"</f>
        <v/>
      </c>
      <c r="E297" s="346">
        <f>LEFT(REPLACE(G297,1,2,""),FIND("[",REPLACE(G297,1,2,""))-1)&amp;"-"&amp;MID(REPLACE(G297,1,2,""),FIND("[",REPLACE(G297,1,2,""))+1,FIND("]",REPLACE(G297,1,2,""))-FIND("[",REPLACE(G297,1,2,""))-1)</f>
        <v/>
      </c>
      <c r="F297" s="347">
        <f>IFERROR(MID(G297,3,FIND("(",G297)-3)&amp;"-"&amp;SUBSTITUTE(MID(G297,FIND("[",G297)+1,FIND("]",G297)-FIND("[",G297)-1),"Strong Guard ",""),"")</f>
        <v/>
      </c>
      <c r="G297" s="346" t="inlineStr">
        <is>
          <t>ID12.00R20-☆☆(158/155C)PR[XC809]路诚 综合型</t>
        </is>
      </c>
      <c r="H297" s="344" t="n">
        <v>5000</v>
      </c>
      <c r="I297" s="348" t="n">
        <v>8</v>
      </c>
      <c r="J297" s="349">
        <f>IFERROR(LEFT(F297,FIND("-",F297))&amp;MID(F297,FIND("PR",F297,FIND("-",F297))+3,LEN(F297)),F297)</f>
        <v/>
      </c>
      <c r="K297" s="352">
        <f>_xlfn.XLOOKUP(F297,投产规格!E:E,投产规格!D:D,"未投产")</f>
        <v/>
      </c>
      <c r="L297" s="352">
        <f>IFERROR(_xlfn.XLOOKUP(F297,硫化工艺!B:B,硫化工艺!C:C),"")</f>
        <v/>
      </c>
      <c r="M297" s="430">
        <f>IF(L297="","",L297/(L297+$L$1/60))</f>
        <v/>
      </c>
      <c r="N297" s="352">
        <f>C297&amp;"全钢"</f>
        <v/>
      </c>
      <c r="O297" s="352">
        <f>IFERROR(_xlfn.XLOOKUP(F297,轮胎重量!J:J,轮胎重量!G:G),"")</f>
        <v/>
      </c>
      <c r="P297" s="352">
        <f>IFERROR(_xlfn.XLOOKUP(G297,硫化工艺!I:I,硫化工艺!J:J),"")</f>
        <v/>
      </c>
      <c r="Q297" s="352">
        <f>IFERROR(ROUND(1440/L297*(I297)*M297,0),"")</f>
        <v/>
      </c>
      <c r="R297" s="352" t="n">
        <v>210</v>
      </c>
      <c r="S297" s="352" t="n">
        <v>210</v>
      </c>
      <c r="T297" s="352" t="n">
        <v>210</v>
      </c>
      <c r="U297" s="352" t="n">
        <v>210</v>
      </c>
      <c r="V297" s="352" t="n">
        <v>210</v>
      </c>
      <c r="W297" s="352" t="n">
        <v>210</v>
      </c>
      <c r="X297" s="352" t="n">
        <v>210</v>
      </c>
      <c r="Y297" s="352" t="n">
        <v>210</v>
      </c>
      <c r="Z297" s="352" t="n">
        <v>210</v>
      </c>
      <c r="AA297" s="352" t="n">
        <v>210</v>
      </c>
      <c r="AB297" s="352" t="n">
        <v>210</v>
      </c>
      <c r="AC297" s="352" t="n">
        <v>210</v>
      </c>
      <c r="AD297" s="352" t="n">
        <v>210</v>
      </c>
      <c r="AE297" s="352" t="n">
        <v>210</v>
      </c>
      <c r="AF297" s="352" t="n">
        <v>210</v>
      </c>
      <c r="AG297" s="352" t="n">
        <v>210</v>
      </c>
      <c r="AH297" s="352" t="n">
        <v>210</v>
      </c>
      <c r="AI297" s="352" t="n">
        <v>210</v>
      </c>
      <c r="AJ297" s="352" t="n">
        <v>210</v>
      </c>
      <c r="AK297" s="352" t="n">
        <v>210</v>
      </c>
      <c r="AL297" s="352" t="n">
        <v>210</v>
      </c>
      <c r="AM297" s="352" t="n">
        <v>210</v>
      </c>
      <c r="AN297" s="352" t="n">
        <v>210</v>
      </c>
      <c r="AO297" s="352" t="n">
        <v>210</v>
      </c>
      <c r="AP297" s="352" t="n">
        <v>210</v>
      </c>
      <c r="AQ297" s="352" t="n">
        <v>210</v>
      </c>
      <c r="AR297" s="352" t="n">
        <v>210</v>
      </c>
      <c r="AS297" s="352" t="n">
        <v>210</v>
      </c>
      <c r="AT297" s="352" t="n">
        <v>210</v>
      </c>
      <c r="AU297" s="352" t="n">
        <v>210</v>
      </c>
      <c r="AV297" s="352" t="n">
        <v>210</v>
      </c>
      <c r="AW297" s="352">
        <f>IF(SUM(R297:AV297)=0,"",SUM(R297:AV297))</f>
        <v/>
      </c>
      <c r="AX297" s="431">
        <f>IFERROR(AW297*O297/1000,"")</f>
        <v/>
      </c>
      <c r="AY297" s="431">
        <f>IFERROR(ROUND(AW297*P297/10000,3),"")</f>
        <v/>
      </c>
      <c r="AZ297" s="354" t="n">
        <v>864.55</v>
      </c>
      <c r="BA297" s="355" t="n">
        <v>53.34</v>
      </c>
      <c r="BB297" s="355" t="n">
        <v>78.72</v>
      </c>
      <c r="BC297" s="355" t="n">
        <v>86.44</v>
      </c>
      <c r="BD297" s="331" t="n"/>
      <c r="BE297" s="331">
        <f>AZ297*AW297</f>
        <v/>
      </c>
      <c r="BF297" s="331">
        <f>BA297*AW297</f>
        <v/>
      </c>
      <c r="BG297" s="331">
        <f>BB297*AW297</f>
        <v/>
      </c>
      <c r="BH297" s="331">
        <f>BC297*AW297</f>
        <v/>
      </c>
      <c r="BI297" s="331" t="n"/>
      <c r="BJ297" s="356">
        <f t="array" ref="BJ297:BM297">_xlfn.LET(_xlpm.data,$R297:$AV297,_xlpm.starts,{1,8,16,23},_xlpm.lengths,{7,7,8,9},_xlpm.arr,_xlfn.MAP(_xlpm.starts,_xlpm.lengths,_xlfn.LAMBDA(_xlpm.s,_xlpm.l,SUM(INDEX(_xlpm.data,,_xlfn.SEQUENCE(,_xlpm.l,_xlpm.s))))),ROUND(_xlpm.arr*$O297/1000,2))</f>
        <v/>
      </c>
      <c r="BK297" s="331" t="n">
        <v>103.07</v>
      </c>
      <c r="BL297" s="331" t="n">
        <v>117.8</v>
      </c>
      <c r="BM297" s="331" t="n">
        <v>132.52</v>
      </c>
      <c r="BN297" s="362">
        <f>SUM(BJ297:BM297)</f>
        <v/>
      </c>
      <c r="BO297" s="362" t="n">
        <v>28.66</v>
      </c>
      <c r="BP297" s="362" t="n">
        <v>28.66</v>
      </c>
      <c r="BQ297" s="362" t="n">
        <v>32.76</v>
      </c>
      <c r="BR297" s="362" t="n">
        <v>36.85</v>
      </c>
      <c r="BS297" s="115" t="n"/>
      <c r="BT297" s="362">
        <f t="array" ref="BT297:BW297">_xlfn.HSTACK(SUM(INDEX($R297:$AV297,1,1):INDEX($R297:$AV297,1,7)),SUM(INDEX($R297:$AV297,1,7):INDEX($R297:$AV297,1,13)),SUM(INDEX($R297:$AV297,1,16):INDEX($R297:$AV297,1,23)),SUM(INDEX($R297:$AV297,1,23):INDEX($R297:$AV297,1,31)))</f>
        <v/>
      </c>
      <c r="BU297" s="362" t="n">
        <v>1470</v>
      </c>
      <c r="BV297" s="362" t="n">
        <v>1680</v>
      </c>
      <c r="BW297" s="362" t="n">
        <v>1890</v>
      </c>
      <c r="BY297" s="362">
        <f>SUM(R297:X297)</f>
        <v/>
      </c>
      <c r="BZ297" s="362">
        <f>SUM(Y297:AE297)</f>
        <v/>
      </c>
      <c r="CA297" s="362">
        <f>SUM(AF297:AM297)</f>
        <v/>
      </c>
      <c r="CB297" s="362">
        <f>SUM(AN297:AV297)</f>
        <v/>
      </c>
      <c r="CD297" s="432" t="inlineStr">
        <is>
          <t>ADA</t>
        </is>
      </c>
      <c r="CE297" s="362">
        <f>ROUND(BY297*$O297/1000,2)</f>
        <v/>
      </c>
      <c r="CF297" s="362">
        <f>ROUND(BZ297*$O297/1000,2)</f>
        <v/>
      </c>
      <c r="CG297" s="362">
        <f>ROUND(CA297*$O297/1000,2)</f>
        <v/>
      </c>
      <c r="CH297" s="362">
        <f>ROUND(CB297*$O297/1000,2)</f>
        <v/>
      </c>
      <c r="CI297" s="362">
        <f>SUM(CE297:CH297)</f>
        <v/>
      </c>
      <c r="CJ297" s="390" t="n"/>
      <c r="CK297" s="362">
        <f>IFERROR(ROUND(BY297*$P297,2),"")</f>
        <v/>
      </c>
      <c r="CL297" s="362">
        <f>IFERROR(ROUND(BZ297*$P297,2),"")</f>
        <v/>
      </c>
      <c r="CM297" s="362">
        <f>IFERROR(ROUND(CA297*$P297,2),"")</f>
        <v/>
      </c>
      <c r="CN297" s="362">
        <f>IFERROR(ROUND(CB297*$P297,2),"")</f>
        <v/>
      </c>
      <c r="CO297" s="362">
        <f>SUM(CK297:CN297)</f>
        <v/>
      </c>
    </row>
    <row r="298" ht="15.6" customHeight="1" s="428">
      <c r="B298" s="344">
        <f>_xlfn.XLOOKUP(G298,销售需求表!A:A,销售需求表!C:C)</f>
        <v/>
      </c>
      <c r="C298" s="345">
        <f>IFERROR(MID(F298,FIND("R",F298)+1,2),"")</f>
        <v/>
      </c>
      <c r="D298" s="369">
        <f>B298&amp;C298&amp;"寸"</f>
        <v/>
      </c>
      <c r="E298" s="346">
        <f>LEFT(REPLACE(G298,1,2,""),FIND("[",REPLACE(G298,1,2,""))-1)&amp;"-"&amp;MID(REPLACE(G298,1,2,""),FIND("[",REPLACE(G298,1,2,""))+1,FIND("]",REPLACE(G298,1,2,""))-FIND("[",REPLACE(G298,1,2,""))-1)</f>
        <v/>
      </c>
      <c r="F298" s="347">
        <f>IFERROR(MID(G298,3,FIND("(",G298)-3)&amp;"-"&amp;SUBSTITUTE(MID(G298,FIND("[",G298)+1,FIND("]",G298)-FIND("[",G298)-1),"Strong Guard ",""),"")</f>
        <v/>
      </c>
      <c r="G298" s="366" t="inlineStr">
        <is>
          <t>ID12.00R24-20PR(160/156F)[ETOT]TECHKING</t>
        </is>
      </c>
      <c r="H298" s="344" t="n">
        <v>1400</v>
      </c>
      <c r="I298" s="348" t="n">
        <v>2</v>
      </c>
      <c r="J298" s="349">
        <f>IFERROR(LEFT(F298,FIND("-",F298))&amp;MID(F298,FIND("PR",F298,FIND("-",F298))+3,LEN(F298)),F298)</f>
        <v/>
      </c>
      <c r="K298" s="352">
        <f>_xlfn.XLOOKUP(F298,投产规格!E:E,投产规格!D:D,"未投产")</f>
        <v/>
      </c>
      <c r="L298" s="352">
        <f>IFERROR(_xlfn.XLOOKUP(F298,硫化工艺!B:B,硫化工艺!C:C),"")</f>
        <v/>
      </c>
      <c r="M298" s="430">
        <f>IF(L298="","",L298/(L298+$L$1/60))</f>
        <v/>
      </c>
      <c r="N298" s="352">
        <f>C298&amp;"全钢"</f>
        <v/>
      </c>
      <c r="O298" s="352">
        <f>IFERROR(_xlfn.XLOOKUP(F298,轮胎重量!J:J,轮胎重量!G:G),"")</f>
        <v/>
      </c>
      <c r="P298" s="352">
        <f>IFERROR(_xlfn.XLOOKUP(G298,硫化工艺!I:I,硫化工艺!J:J),"")</f>
        <v/>
      </c>
      <c r="Q298" s="352">
        <f>IFERROR(ROUND(1440/L298*(I298)*M298,0),"")</f>
        <v/>
      </c>
      <c r="R298" s="352" t="n">
        <v>42</v>
      </c>
      <c r="S298" s="352" t="n">
        <v>42</v>
      </c>
      <c r="T298" s="352" t="n">
        <v>42</v>
      </c>
      <c r="U298" s="352" t="n">
        <v>42</v>
      </c>
      <c r="V298" s="352" t="n">
        <v>42</v>
      </c>
      <c r="W298" s="352" t="n">
        <v>42</v>
      </c>
      <c r="X298" s="352" t="n">
        <v>42</v>
      </c>
      <c r="Y298" s="352" t="n">
        <v>42</v>
      </c>
      <c r="Z298" s="352" t="n">
        <v>42</v>
      </c>
      <c r="AA298" s="352" t="n">
        <v>42</v>
      </c>
      <c r="AB298" s="352" t="n">
        <v>42</v>
      </c>
      <c r="AC298" s="352">
        <f>42*3</f>
        <v/>
      </c>
      <c r="AD298" s="352">
        <f>42*3</f>
        <v/>
      </c>
      <c r="AE298" s="352">
        <f>42*3</f>
        <v/>
      </c>
      <c r="AF298" s="352">
        <f>42*3</f>
        <v/>
      </c>
      <c r="AG298" s="352">
        <f>42*3</f>
        <v/>
      </c>
      <c r="AH298" s="352">
        <f>42*3</f>
        <v/>
      </c>
      <c r="AI298" s="352">
        <f>42*3</f>
        <v/>
      </c>
      <c r="AJ298" s="352">
        <f>42*3</f>
        <v/>
      </c>
      <c r="AK298" s="352">
        <f>42*3</f>
        <v/>
      </c>
      <c r="AL298" s="352">
        <f>42*3</f>
        <v/>
      </c>
      <c r="AM298" s="352">
        <f>42*3</f>
        <v/>
      </c>
      <c r="AN298" s="352">
        <f>42*3</f>
        <v/>
      </c>
      <c r="AO298" s="352">
        <f>42*3</f>
        <v/>
      </c>
      <c r="AP298" s="352">
        <f>42*3</f>
        <v/>
      </c>
      <c r="AQ298" s="352">
        <f>42*3</f>
        <v/>
      </c>
      <c r="AR298" s="352">
        <f>42*3</f>
        <v/>
      </c>
      <c r="AS298" s="352">
        <f>42*3</f>
        <v/>
      </c>
      <c r="AT298" s="352">
        <f>42*3</f>
        <v/>
      </c>
      <c r="AU298" s="352">
        <f>42*3</f>
        <v/>
      </c>
      <c r="AV298" s="352">
        <f>42*3</f>
        <v/>
      </c>
      <c r="AW298" s="352">
        <f>IF(SUM(R298:AV298)=0,"",SUM(R298:AV298))</f>
        <v/>
      </c>
      <c r="AX298" s="431">
        <f>IFERROR(AW298*O298/1000,"")</f>
        <v/>
      </c>
      <c r="AY298" s="431">
        <f>IFERROR(ROUND(AW298*P298/10000,3),"")</f>
        <v/>
      </c>
      <c r="AZ298" s="354" t="n">
        <v>842.39</v>
      </c>
      <c r="BA298" s="355" t="n">
        <v>47.68</v>
      </c>
      <c r="BB298" s="355" t="n">
        <v>74.78</v>
      </c>
      <c r="BC298" s="355" t="n">
        <v>76.28</v>
      </c>
      <c r="BE298" s="331">
        <f>AZ298*AW298</f>
        <v/>
      </c>
      <c r="BF298" s="331">
        <f>BA298*AW298</f>
        <v/>
      </c>
      <c r="BG298" s="331">
        <f>BB298*AW298</f>
        <v/>
      </c>
      <c r="BH298" s="331">
        <f>BC298*AW298</f>
        <v/>
      </c>
      <c r="BJ298" s="356">
        <f t="array" ref="BJ298:BM298">_xlfn.LET(_xlpm.data,$R298:$AV298,_xlpm.starts,{1,8,16,23},_xlpm.lengths,{7,7,8,9},_xlpm.arr,_xlfn.MAP(_xlpm.starts,_xlpm.lengths,_xlfn.LAMBDA(_xlpm.s,_xlpm.l,SUM(INDEX(_xlpm.data,,_xlfn.SEQUENCE(,_xlpm.l,_xlpm.s))))),ROUND(_xlpm.arr*$O298/1000,2))</f>
        <v/>
      </c>
      <c r="BK298" s="331" t="n">
        <v>54.54</v>
      </c>
      <c r="BL298" s="331" t="n">
        <v>100.69</v>
      </c>
      <c r="BM298" s="331" t="n">
        <v>113.28</v>
      </c>
      <c r="BN298" s="362">
        <f>SUM(BJ298:BM298)</f>
        <v/>
      </c>
      <c r="BO298" s="362" t="n">
        <v>67.98</v>
      </c>
      <c r="BP298" s="362" t="n">
        <v>57.82</v>
      </c>
      <c r="BQ298" s="362" t="n">
        <v>0</v>
      </c>
      <c r="BR298" s="362" t="n">
        <v>0</v>
      </c>
      <c r="BT298" s="362">
        <f t="array" ref="BT298:BW298">_xlfn.HSTACK(SUM(INDEX($R298:$AV298,1,1):INDEX($R298:$AV298,1,7)),SUM(INDEX($R298:$AV298,1,7):INDEX($R298:$AV298,1,13)),SUM(INDEX($R298:$AV298,1,16):INDEX($R298:$AV298,1,23)),SUM(INDEX($R298:$AV298,1,23):INDEX($R298:$AV298,1,31)))</f>
        <v/>
      </c>
      <c r="BU298" s="362" t="n">
        <v>462</v>
      </c>
      <c r="BV298" s="362" t="n">
        <v>1008</v>
      </c>
      <c r="BW298" s="362" t="n">
        <v>1134</v>
      </c>
      <c r="BY298" s="362">
        <f>SUM(R298:X298)</f>
        <v/>
      </c>
      <c r="BZ298" s="362">
        <f>SUM(Y298:AE298)</f>
        <v/>
      </c>
      <c r="CA298" s="362">
        <f>SUM(AF298:AM298)</f>
        <v/>
      </c>
      <c r="CB298" s="362">
        <f>SUM(AN298:AV298)</f>
        <v/>
      </c>
      <c r="CD298" s="432" t="inlineStr">
        <is>
          <t>ADA</t>
        </is>
      </c>
      <c r="CE298" s="362">
        <f>ROUND(BY298*$O298/1000,2)</f>
        <v/>
      </c>
      <c r="CF298" s="362">
        <f>ROUND(BZ298*$O298/1000,2)</f>
        <v/>
      </c>
      <c r="CG298" s="362">
        <f>ROUND(CA298*$O298/1000,2)</f>
        <v/>
      </c>
      <c r="CH298" s="362">
        <f>ROUND(CB298*$O298/1000,2)</f>
        <v/>
      </c>
      <c r="CI298" s="362">
        <f>SUM(CE298:CH298)</f>
        <v/>
      </c>
      <c r="CK298" s="362">
        <f>IFERROR(ROUND(BY298*$P298,2),"")</f>
        <v/>
      </c>
      <c r="CL298" s="362">
        <f>IFERROR(ROUND(BZ298*$P298,2),"")</f>
        <v/>
      </c>
      <c r="CM298" s="362">
        <f>IFERROR(ROUND(CA298*$P298,2),"")</f>
        <v/>
      </c>
      <c r="CN298" s="362">
        <f>IFERROR(ROUND(CB298*$P298,2),"")</f>
        <v/>
      </c>
      <c r="CO298" s="362">
        <f>SUM(CK298:CN298)</f>
        <v/>
      </c>
    </row>
    <row r="299" ht="15.6" customHeight="1" s="428">
      <c r="B299" s="344">
        <f>_xlfn.XLOOKUP(G299,销售需求表!A:A,销售需求表!C:C)</f>
        <v/>
      </c>
      <c r="C299" s="345">
        <f>IFERROR(MID(F299,FIND("R",F299)+1,2),"")</f>
        <v/>
      </c>
      <c r="D299" s="369">
        <f>B299&amp;C299&amp;"寸"</f>
        <v/>
      </c>
      <c r="E299" s="346">
        <f>LEFT(REPLACE(G299,1,2,""),FIND("[",REPLACE(G299,1,2,""))-1)&amp;"-"&amp;MID(REPLACE(G299,1,2,""),FIND("[",REPLACE(G299,1,2,""))+1,FIND("]",REPLACE(G299,1,2,""))-FIND("[",REPLACE(G299,1,2,""))-1)</f>
        <v/>
      </c>
      <c r="F299" s="347">
        <f>IFERROR(MID(G299,3,FIND("(",G299)-3)&amp;"-"&amp;SUBSTITUTE(MID(G299,FIND("[",G299)+1,FIND("]",G299)-FIND("[",G299)-1),"Strong Guard ",""),"")</f>
        <v/>
      </c>
      <c r="G299" s="366" t="inlineStr">
        <is>
          <t>ID12.00R24-20PR(160/157F)[CB332]威狮</t>
        </is>
      </c>
      <c r="H299" s="344" t="n">
        <v>450</v>
      </c>
      <c r="I299" s="348" t="n"/>
      <c r="J299" s="349">
        <f>IFERROR(LEFT(F299,FIND("-",F299))&amp;MID(F299,FIND("PR",F299,FIND("-",F299))+3,LEN(F299)),F299)</f>
        <v/>
      </c>
      <c r="K299" s="352">
        <f>_xlfn.XLOOKUP(F299,投产规格!E:E,投产规格!D:D,"未投产")</f>
        <v/>
      </c>
      <c r="L299" s="352">
        <f>IFERROR(_xlfn.XLOOKUP(F299,硫化工艺!B:B,硫化工艺!C:C),"")</f>
        <v/>
      </c>
      <c r="M299" s="430">
        <f>IF(L299="","",L299/(L299+$L$1/60))</f>
        <v/>
      </c>
      <c r="N299" s="352">
        <f>C299&amp;"全钢"</f>
        <v/>
      </c>
      <c r="O299" s="352">
        <f>IFERROR(_xlfn.XLOOKUP(F299,轮胎重量!J:J,轮胎重量!G:G),"")</f>
        <v/>
      </c>
      <c r="P299" s="352">
        <f>IFERROR(_xlfn.XLOOKUP(G299,硫化工艺!I:I,硫化工艺!J:J),"")</f>
        <v/>
      </c>
      <c r="Q299" s="352">
        <f>IFERROR(ROUND(1440/L299*(I299)*M299,0),"")</f>
        <v/>
      </c>
      <c r="R299" s="352" t="n"/>
      <c r="S299" s="352" t="n"/>
      <c r="T299" s="352" t="n"/>
      <c r="U299" s="352" t="n"/>
      <c r="V299" s="352" t="n"/>
      <c r="W299" s="352" t="n"/>
      <c r="X299" s="352" t="n"/>
      <c r="Y299" s="352" t="n"/>
      <c r="Z299" s="352" t="n"/>
      <c r="AA299" s="352" t="n"/>
      <c r="AB299" s="352" t="n"/>
      <c r="AC299" s="352" t="n"/>
      <c r="AD299" s="352" t="n"/>
      <c r="AE299" s="352" t="n"/>
      <c r="AF299" s="352" t="n"/>
      <c r="AG299" s="352" t="n"/>
      <c r="AH299" s="352" t="n"/>
      <c r="AI299" s="352" t="n"/>
      <c r="AJ299" s="352" t="n"/>
      <c r="AK299" s="352" t="n"/>
      <c r="AL299" s="352" t="n"/>
      <c r="AM299" s="352" t="n"/>
      <c r="AN299" s="352" t="n"/>
      <c r="AO299" s="352" t="n"/>
      <c r="AP299" s="352" t="n"/>
      <c r="AQ299" s="352" t="n"/>
      <c r="AR299" s="352" t="n">
        <v>130</v>
      </c>
      <c r="AS299" s="352" t="n">
        <v>130</v>
      </c>
      <c r="AT299" s="352" t="n">
        <v>130</v>
      </c>
      <c r="AU299" s="352" t="n">
        <v>130</v>
      </c>
      <c r="AV299" s="352" t="n">
        <v>130</v>
      </c>
      <c r="AW299" s="352">
        <f>IF(SUM(R299:AV299)=0,"",SUM(R299:AV299))</f>
        <v/>
      </c>
      <c r="AX299" s="431">
        <f>IFERROR(AW299*O299/1000,"")</f>
        <v/>
      </c>
      <c r="AY299" s="431">
        <f>IFERROR(ROUND(AW299*P299/10000,3),"")</f>
        <v/>
      </c>
      <c r="AZ299" s="354" t="n">
        <v>842.39</v>
      </c>
      <c r="BA299" s="355" t="n">
        <v>47.68</v>
      </c>
      <c r="BB299" s="355" t="n">
        <v>74.78</v>
      </c>
      <c r="BC299" s="355" t="n">
        <v>76.28</v>
      </c>
      <c r="BE299" s="331">
        <f>AZ299*AW299</f>
        <v/>
      </c>
      <c r="BF299" s="331">
        <f>BA299*AW299</f>
        <v/>
      </c>
      <c r="BG299" s="331">
        <f>BB299*AW299</f>
        <v/>
      </c>
      <c r="BH299" s="331">
        <f>BC299*AW299</f>
        <v/>
      </c>
      <c r="BJ299" s="356">
        <f t="array" ref="BJ299:BM299">_xlfn.LET(_xlpm.data,$R299:$AV299,_xlpm.starts,{1,8,16,23},_xlpm.lengths,{7,7,8,9},_xlpm.arr,_xlfn.MAP(_xlpm.starts,_xlpm.lengths,_xlfn.LAMBDA(_xlpm.s,_xlpm.l,SUM(INDEX(_xlpm.data,,_xlfn.SEQUENCE(,_xlpm.l,_xlpm.s))))),ROUND(_xlpm.arr*$O299/1000,2))</f>
        <v/>
      </c>
      <c r="BK299" s="331" t="n">
        <v>0</v>
      </c>
      <c r="BL299" s="331" t="n">
        <v>0</v>
      </c>
      <c r="BM299" s="331" t="n">
        <v>59.58</v>
      </c>
      <c r="BN299" s="362">
        <f>SUM(BJ299:BM299)</f>
        <v/>
      </c>
      <c r="BO299" s="362" t="n">
        <v>67.98</v>
      </c>
      <c r="BP299" s="362" t="n">
        <v>57.82</v>
      </c>
      <c r="BQ299" s="362" t="n">
        <v>0</v>
      </c>
      <c r="BR299" s="362" t="n">
        <v>0</v>
      </c>
      <c r="BT299" s="362">
        <f t="array" ref="BT299:BW299">_xlfn.HSTACK(SUM(INDEX($R299:$AV299,1,1):INDEX($R299:$AV299,1,7)),SUM(INDEX($R299:$AV299,1,7):INDEX($R299:$AV299,1,13)),SUM(INDEX($R299:$AV299,1,16):INDEX($R299:$AV299,1,23)),SUM(INDEX($R299:$AV299,1,23):INDEX($R299:$AV299,1,31)))</f>
        <v/>
      </c>
      <c r="BU299" s="362" t="n">
        <v>0</v>
      </c>
      <c r="BV299" s="362" t="n">
        <v>0</v>
      </c>
      <c r="BW299" s="362" t="n">
        <v>650</v>
      </c>
      <c r="BY299" s="362">
        <f>SUM(R299:X299)</f>
        <v/>
      </c>
      <c r="BZ299" s="362">
        <f>SUM(Y299:AE299)</f>
        <v/>
      </c>
      <c r="CA299" s="362">
        <f>SUM(AF299:AM299)</f>
        <v/>
      </c>
      <c r="CB299" s="362">
        <f>SUM(AN299:AV299)</f>
        <v/>
      </c>
      <c r="CD299" s="432" t="inlineStr">
        <is>
          <t>ADA</t>
        </is>
      </c>
      <c r="CE299" s="362">
        <f>ROUND(BY299*$O299/1000,2)</f>
        <v/>
      </c>
      <c r="CF299" s="362">
        <f>ROUND(BZ299*$O299/1000,2)</f>
        <v/>
      </c>
      <c r="CG299" s="362">
        <f>ROUND(CA299*$O299/1000,2)</f>
        <v/>
      </c>
      <c r="CH299" s="362">
        <f>ROUND(CB299*$O299/1000,2)</f>
        <v/>
      </c>
      <c r="CI299" s="362">
        <f>SUM(CE299:CH299)</f>
        <v/>
      </c>
      <c r="CK299" s="362">
        <f>IFERROR(ROUND(BY299*$P299,2),"")</f>
        <v/>
      </c>
      <c r="CL299" s="362">
        <f>IFERROR(ROUND(BZ299*$P299,2),"")</f>
        <v/>
      </c>
      <c r="CM299" s="362">
        <f>IFERROR(ROUND(CA299*$P299,2),"")</f>
        <v/>
      </c>
      <c r="CN299" s="362">
        <f>IFERROR(ROUND(CB299*$P299,2),"")</f>
        <v/>
      </c>
      <c r="CO299" s="362">
        <f>SUM(CK299:CN299)</f>
        <v/>
      </c>
    </row>
    <row r="300" ht="15.6" customHeight="1" s="428">
      <c r="B300" s="344">
        <f>_xlfn.XLOOKUP(G300,销售需求表!A:A,销售需求表!C:C)</f>
        <v/>
      </c>
      <c r="C300" s="345">
        <f>IFERROR(MID(F300,FIND("R",F300)+1,2),"")</f>
        <v/>
      </c>
      <c r="D300" s="369">
        <f>B300&amp;C300&amp;"寸"</f>
        <v/>
      </c>
      <c r="E300" s="346">
        <f>LEFT(REPLACE(G300,1,2,""),FIND("[",REPLACE(G300,1,2,""))-1)&amp;"-"&amp;MID(REPLACE(G300,1,2,""),FIND("[",REPLACE(G300,1,2,""))+1,FIND("]",REPLACE(G300,1,2,""))-FIND("[",REPLACE(G300,1,2,""))-1)</f>
        <v/>
      </c>
      <c r="F300" s="347">
        <f>IFERROR(MID(G300,3,FIND("(",G300)-3)&amp;"-"&amp;SUBSTITUTE(MID(G300,FIND("[",G300)+1,FIND("]",G300)-FIND("[",G300)-1),"Strong Guard ",""),"")</f>
        <v/>
      </c>
      <c r="G300" s="366" t="inlineStr">
        <is>
          <t>ID12.00R24-20PR(160/157F)[CB972]雅度</t>
        </is>
      </c>
      <c r="H300" s="344" t="n">
        <v>3400</v>
      </c>
      <c r="I300" s="348" t="n">
        <v>4</v>
      </c>
      <c r="J300" s="349">
        <f>IFERROR(LEFT(F300,FIND("-",F300))&amp;MID(F300,FIND("PR",F300,FIND("-",F300))+3,LEN(F300)),F300)</f>
        <v/>
      </c>
      <c r="K300" s="352">
        <f>_xlfn.XLOOKUP(F300,投产规格!E:E,投产规格!D:D,"未投产")</f>
        <v/>
      </c>
      <c r="L300" s="352">
        <f>IFERROR(_xlfn.XLOOKUP(F300,硫化工艺!B:B,硫化工艺!C:C),"")</f>
        <v/>
      </c>
      <c r="M300" s="430">
        <f>IF(L300="","",L300/(L300+$L$1/60))</f>
        <v/>
      </c>
      <c r="N300" s="352">
        <f>C300&amp;"全钢"</f>
        <v/>
      </c>
      <c r="O300" s="352">
        <f>IFERROR(_xlfn.XLOOKUP(F300,轮胎重量!J:J,轮胎重量!G:G),"")</f>
        <v/>
      </c>
      <c r="P300" s="352">
        <f>IFERROR(_xlfn.XLOOKUP(G300,硫化工艺!I:I,硫化工艺!J:J),"")</f>
        <v/>
      </c>
      <c r="Q300" s="352">
        <f>IFERROR(ROUND(1440/L300*(I300)*M300,0),"")</f>
        <v/>
      </c>
      <c r="R300" s="352" t="n">
        <v>100</v>
      </c>
      <c r="S300" s="352" t="n">
        <v>100</v>
      </c>
      <c r="T300" s="352" t="n">
        <v>100</v>
      </c>
      <c r="U300" s="352" t="n">
        <v>100</v>
      </c>
      <c r="V300" s="352" t="n">
        <v>100</v>
      </c>
      <c r="W300" s="352" t="n">
        <v>100</v>
      </c>
      <c r="X300" s="352" t="n">
        <v>100</v>
      </c>
      <c r="Y300" s="352" t="n">
        <v>100</v>
      </c>
      <c r="Z300" s="352" t="n">
        <v>100</v>
      </c>
      <c r="AA300" s="352" t="n">
        <v>100</v>
      </c>
      <c r="AB300" s="352" t="n">
        <v>100</v>
      </c>
      <c r="AC300" s="352" t="n">
        <v>100</v>
      </c>
      <c r="AD300" s="352" t="n">
        <v>100</v>
      </c>
      <c r="AE300" s="352" t="n">
        <v>100</v>
      </c>
      <c r="AF300" s="352" t="n">
        <v>100</v>
      </c>
      <c r="AG300" s="352" t="n">
        <v>100</v>
      </c>
      <c r="AH300" s="352" t="n">
        <v>100</v>
      </c>
      <c r="AI300" s="352" t="n">
        <v>100</v>
      </c>
      <c r="AJ300" s="352" t="n">
        <v>100</v>
      </c>
      <c r="AK300" s="352" t="n">
        <v>100</v>
      </c>
      <c r="AL300" s="352" t="n">
        <v>100</v>
      </c>
      <c r="AM300" s="352" t="n">
        <v>100</v>
      </c>
      <c r="AN300" s="352" t="n">
        <v>100</v>
      </c>
      <c r="AO300" s="352" t="n">
        <v>100</v>
      </c>
      <c r="AP300" s="352" t="n">
        <v>100</v>
      </c>
      <c r="AQ300" s="352" t="n">
        <v>100</v>
      </c>
      <c r="AR300" s="352" t="n">
        <v>100</v>
      </c>
      <c r="AS300" s="352" t="n">
        <v>100</v>
      </c>
      <c r="AT300" s="352" t="n">
        <v>100</v>
      </c>
      <c r="AU300" s="352" t="n">
        <v>100</v>
      </c>
      <c r="AV300" s="352" t="n">
        <v>100</v>
      </c>
      <c r="AW300" s="352">
        <f>IF(SUM(R300:AV300)=0,"",SUM(R300:AV300))</f>
        <v/>
      </c>
      <c r="AX300" s="431">
        <f>IFERROR(AW300*O300/1000,"")</f>
        <v/>
      </c>
      <c r="AY300" s="431">
        <f>IFERROR(ROUND(AW300*P300/10000,3),"")</f>
        <v/>
      </c>
      <c r="AZ300" s="354" t="n">
        <v>842.39</v>
      </c>
      <c r="BA300" s="355" t="n">
        <v>47.68</v>
      </c>
      <c r="BB300" s="355" t="n">
        <v>74.78</v>
      </c>
      <c r="BC300" s="355" t="n">
        <v>76.28</v>
      </c>
      <c r="BE300" s="331">
        <f>AZ300*AW300</f>
        <v/>
      </c>
      <c r="BF300" s="331">
        <f>BA300*AW300</f>
        <v/>
      </c>
      <c r="BG300" s="331">
        <f>BB300*AW300</f>
        <v/>
      </c>
      <c r="BH300" s="331">
        <f>BC300*AW300</f>
        <v/>
      </c>
      <c r="BJ300" s="356">
        <f t="array" ref="BJ300:BM300">_xlfn.LET(_xlpm.data,$R300:$AV300,_xlpm.starts,{1,8,16,23},_xlpm.lengths,{7,7,8,9},_xlpm.arr,_xlfn.MAP(_xlpm.starts,_xlpm.lengths,_xlfn.LAMBDA(_xlpm.s,_xlpm.l,SUM(INDEX(_xlpm.data,,_xlfn.SEQUENCE(,_xlpm.l,_xlpm.s))))),ROUND(_xlpm.arr*$O300/1000,2))</f>
        <v/>
      </c>
      <c r="BK300" s="331" t="n">
        <v>57.88</v>
      </c>
      <c r="BL300" s="331" t="n">
        <v>66.15000000000001</v>
      </c>
      <c r="BM300" s="331" t="n">
        <v>74.42</v>
      </c>
      <c r="BN300" s="362">
        <f>SUM(BJ300:BM300)</f>
        <v/>
      </c>
      <c r="BO300" s="362" t="n">
        <v>67.98</v>
      </c>
      <c r="BP300" s="362" t="n">
        <v>57.82</v>
      </c>
      <c r="BQ300" s="362" t="n">
        <v>0</v>
      </c>
      <c r="BR300" s="362" t="n">
        <v>0</v>
      </c>
      <c r="BT300" s="362">
        <f t="array" ref="BT300:BW300">_xlfn.HSTACK(SUM(INDEX($R300:$AV300,1,1):INDEX($R300:$AV300,1,7)),SUM(INDEX($R300:$AV300,1,7):INDEX($R300:$AV300,1,13)),SUM(INDEX($R300:$AV300,1,16):INDEX($R300:$AV300,1,23)),SUM(INDEX($R300:$AV300,1,23):INDEX($R300:$AV300,1,31)))</f>
        <v/>
      </c>
      <c r="BU300" s="362" t="n">
        <v>700</v>
      </c>
      <c r="BV300" s="362" t="n">
        <v>800</v>
      </c>
      <c r="BW300" s="362" t="n">
        <v>900</v>
      </c>
      <c r="BY300" s="362">
        <f>SUM(R300:X300)</f>
        <v/>
      </c>
      <c r="BZ300" s="362">
        <f>SUM(Y300:AE300)</f>
        <v/>
      </c>
      <c r="CA300" s="362">
        <f>SUM(AF300:AM300)</f>
        <v/>
      </c>
      <c r="CB300" s="362">
        <f>SUM(AN300:AV300)</f>
        <v/>
      </c>
      <c r="CD300" s="432" t="inlineStr">
        <is>
          <t>ADA</t>
        </is>
      </c>
      <c r="CE300" s="362">
        <f>ROUND(BY300*$O300/1000,2)</f>
        <v/>
      </c>
      <c r="CF300" s="362">
        <f>ROUND(BZ300*$O300/1000,2)</f>
        <v/>
      </c>
      <c r="CG300" s="362">
        <f>ROUND(CA300*$O300/1000,2)</f>
        <v/>
      </c>
      <c r="CH300" s="362">
        <f>ROUND(CB300*$O300/1000,2)</f>
        <v/>
      </c>
      <c r="CI300" s="362">
        <f>SUM(CE300:CH300)</f>
        <v/>
      </c>
      <c r="CK300" s="362">
        <f>IFERROR(ROUND(BY300*$P300,2),"")</f>
        <v/>
      </c>
      <c r="CL300" s="362">
        <f>IFERROR(ROUND(BZ300*$P300,2),"")</f>
        <v/>
      </c>
      <c r="CM300" s="362">
        <f>IFERROR(ROUND(CA300*$P300,2),"")</f>
        <v/>
      </c>
      <c r="CN300" s="362">
        <f>IFERROR(ROUND(CB300*$P300,2),"")</f>
        <v/>
      </c>
      <c r="CO300" s="362">
        <f>SUM(CK300:CN300)</f>
        <v/>
      </c>
    </row>
    <row r="301" ht="15.6" customHeight="1" s="428">
      <c r="B301" s="344">
        <f>_xlfn.XLOOKUP(G301,销售需求表!A:A,销售需求表!C:C)</f>
        <v/>
      </c>
      <c r="C301" s="345">
        <f>IFERROR(MID(F301,FIND("R",F301)+1,2),"")</f>
        <v/>
      </c>
      <c r="D301" s="369">
        <f>B301&amp;C301&amp;"寸"</f>
        <v/>
      </c>
      <c r="E301" s="346">
        <f>LEFT(REPLACE(G301,1,2,""),FIND("[",REPLACE(G301,1,2,""))-1)&amp;"-"&amp;MID(REPLACE(G301,1,2,""),FIND("[",REPLACE(G301,1,2,""))+1,FIND("]",REPLACE(G301,1,2,""))-FIND("[",REPLACE(G301,1,2,""))-1)</f>
        <v/>
      </c>
      <c r="F301" s="347">
        <f>IFERROR(MID(G301,3,FIND("(",G301)-3)&amp;"-"&amp;SUBSTITUTE(MID(G301,FIND("[",G301)+1,FIND("]",G301)-FIND("[",G301)-1),"Strong Guard ",""),"")</f>
        <v/>
      </c>
      <c r="G301" s="366" t="inlineStr">
        <is>
          <t>ID12.00R24-20PR(160/157F)[CB972E]GOODRIDE(好运)</t>
        </is>
      </c>
      <c r="H301" s="344" t="n">
        <v>380</v>
      </c>
      <c r="I301" s="348" t="n"/>
      <c r="J301" s="349">
        <f>IFERROR(LEFT(F301,FIND("-",F301))&amp;MID(F301,FIND("PR",F301,FIND("-",F301))+3,LEN(F301)),F301)</f>
        <v/>
      </c>
      <c r="K301" s="352">
        <f>_xlfn.XLOOKUP(F301,投产规格!E:E,投产规格!D:D,"未投产")</f>
        <v/>
      </c>
      <c r="L301" s="352">
        <f>IFERROR(_xlfn.XLOOKUP(F301,硫化工艺!B:B,硫化工艺!C:C),"")</f>
        <v/>
      </c>
      <c r="M301" s="430">
        <f>IF(L301="","",L301/(L301+$L$1/60))</f>
        <v/>
      </c>
      <c r="N301" s="352">
        <f>C301&amp;"全钢"</f>
        <v/>
      </c>
      <c r="O301" s="352" t="n">
        <v>62.812</v>
      </c>
      <c r="P301" s="352">
        <f>IFERROR(_xlfn.XLOOKUP(G301,硫化工艺!I:I,硫化工艺!J:J),"")</f>
        <v/>
      </c>
      <c r="Q301" s="352">
        <f>IFERROR(ROUND(1440/L301*(I301)*M301,0),"")</f>
        <v/>
      </c>
      <c r="R301" s="352" t="n"/>
      <c r="S301" s="352" t="n"/>
      <c r="T301" s="352" t="n"/>
      <c r="U301" s="352" t="n"/>
      <c r="V301" s="352" t="n"/>
      <c r="W301" s="352" t="n"/>
      <c r="X301" s="352" t="n"/>
      <c r="Y301" s="352" t="n"/>
      <c r="Z301" s="352" t="n"/>
      <c r="AA301" s="352" t="n"/>
      <c r="AB301" s="352" t="n"/>
      <c r="AC301" s="352" t="n"/>
      <c r="AD301" s="352" t="n"/>
      <c r="AE301" s="352" t="n"/>
      <c r="AF301" s="352" t="n"/>
      <c r="AG301" s="352" t="n"/>
      <c r="AH301" s="352" t="n"/>
      <c r="AI301" s="352" t="n"/>
      <c r="AJ301" s="352" t="n"/>
      <c r="AK301" s="352" t="n"/>
      <c r="AL301" s="352" t="n"/>
      <c r="AM301" s="352" t="n"/>
      <c r="AN301" s="352" t="n">
        <v>174</v>
      </c>
      <c r="AO301" s="352" t="n">
        <v>174</v>
      </c>
      <c r="AP301" s="352" t="n">
        <v>174</v>
      </c>
      <c r="AQ301" s="352" t="n">
        <v>174</v>
      </c>
      <c r="AR301" s="352" t="n"/>
      <c r="AS301" s="352" t="n"/>
      <c r="AT301" s="352" t="n"/>
      <c r="AU301" s="352" t="n"/>
      <c r="AV301" s="352" t="n"/>
      <c r="AW301" s="352">
        <f>IF(SUM(R301:AV301)=0,"",SUM(R301:AV301))</f>
        <v/>
      </c>
      <c r="AX301" s="431">
        <f>IFERROR(AW301*O301/1000,"")</f>
        <v/>
      </c>
      <c r="AY301" s="431">
        <f>IFERROR(ROUND(AW301*P301/10000,3),"")</f>
        <v/>
      </c>
      <c r="AZ301" s="354" t="n">
        <v>834.98</v>
      </c>
      <c r="BA301" s="355" t="n">
        <v>49.6</v>
      </c>
      <c r="BB301" s="355" t="n">
        <v>76.03</v>
      </c>
      <c r="BC301" s="355" t="n">
        <v>81.43000000000001</v>
      </c>
      <c r="BE301" s="331">
        <f>AZ301*AW301</f>
        <v/>
      </c>
      <c r="BF301" s="331">
        <f>BA301*AW301</f>
        <v/>
      </c>
      <c r="BG301" s="331">
        <f>BB301*AW301</f>
        <v/>
      </c>
      <c r="BH301" s="331">
        <f>BC301*AW301</f>
        <v/>
      </c>
      <c r="BJ301" s="356">
        <f t="array" ref="BJ301:BM301">_xlfn.LET(_xlpm.data,$R301:$AV301,_xlpm.starts,{1,8,16,23},_xlpm.lengths,{7,7,8,9},_xlpm.arr,_xlfn.MAP(_xlpm.starts,_xlpm.lengths,_xlfn.LAMBDA(_xlpm.s,_xlpm.l,SUM(INDEX(_xlpm.data,,_xlfn.SEQUENCE(,_xlpm.l,_xlpm.s))))),ROUND(_xlpm.arr*$O301/1000,2))</f>
        <v/>
      </c>
      <c r="BK301" s="331" t="n">
        <v>0</v>
      </c>
      <c r="BL301" s="331" t="n">
        <v>10.93</v>
      </c>
      <c r="BM301" s="331" t="n">
        <v>43.72</v>
      </c>
      <c r="BN301" s="362">
        <f>SUM(BJ301:BM301)</f>
        <v/>
      </c>
      <c r="BO301" s="362" t="n">
        <v>0</v>
      </c>
      <c r="BP301" s="362" t="n">
        <v>8.34</v>
      </c>
      <c r="BQ301" s="362" t="n">
        <v>66.73999999999999</v>
      </c>
      <c r="BR301" s="362" t="n">
        <v>75.08</v>
      </c>
      <c r="BT301" s="362">
        <f t="array" ref="BT301:BW301">_xlfn.HSTACK(SUM(INDEX($R301:$AV301,1,1):INDEX($R301:$AV301,1,7)),SUM(INDEX($R301:$AV301,1,7):INDEX($R301:$AV301,1,13)),SUM(INDEX($R301:$AV301,1,16):INDEX($R301:$AV301,1,23)),SUM(INDEX($R301:$AV301,1,23):INDEX($R301:$AV301,1,31)))</f>
        <v/>
      </c>
      <c r="BU301" s="362" t="n">
        <v>0</v>
      </c>
      <c r="BV301" s="362" t="n">
        <v>174</v>
      </c>
      <c r="BW301" s="362" t="n">
        <v>696</v>
      </c>
      <c r="BY301" s="362">
        <f>SUM(R301:X301)</f>
        <v/>
      </c>
      <c r="BZ301" s="362">
        <f>SUM(Y301:AE301)</f>
        <v/>
      </c>
      <c r="CA301" s="362">
        <f>SUM(AF301:AM301)</f>
        <v/>
      </c>
      <c r="CB301" s="362">
        <f>SUM(AN301:AV301)</f>
        <v/>
      </c>
      <c r="CD301" s="432" t="inlineStr">
        <is>
          <t>ADA</t>
        </is>
      </c>
      <c r="CE301" s="362">
        <f>ROUND(BY301*$O301/1000,2)</f>
        <v/>
      </c>
      <c r="CF301" s="362">
        <f>ROUND(BZ301*$O301/1000,2)</f>
        <v/>
      </c>
      <c r="CG301" s="362">
        <f>ROUND(CA301*$O301/1000,2)</f>
        <v/>
      </c>
      <c r="CH301" s="362">
        <f>ROUND(CB301*$O301/1000,2)</f>
        <v/>
      </c>
      <c r="CI301" s="362">
        <f>SUM(CE301:CH301)</f>
        <v/>
      </c>
      <c r="CK301" s="362">
        <f>IFERROR(ROUND(BY301*$P301,2),"")</f>
        <v/>
      </c>
      <c r="CL301" s="362">
        <f>IFERROR(ROUND(BZ301*$P301,2),"")</f>
        <v/>
      </c>
      <c r="CM301" s="362">
        <f>IFERROR(ROUND(CA301*$P301,2),"")</f>
        <v/>
      </c>
      <c r="CN301" s="362">
        <f>IFERROR(ROUND(CB301*$P301,2),"")</f>
        <v/>
      </c>
      <c r="CO301" s="362">
        <f>SUM(CK301:CN301)</f>
        <v/>
      </c>
    </row>
    <row r="302" ht="15.6" customHeight="1" s="428">
      <c r="B302" s="344">
        <f>_xlfn.XLOOKUP(G302,销售需求表!A:A,销售需求表!C:C)</f>
        <v/>
      </c>
      <c r="C302" s="345">
        <f>IFERROR(MID(F302,FIND("R",F302)+1,2),"")</f>
        <v/>
      </c>
      <c r="D302" s="369">
        <f>B302&amp;C302&amp;"寸"</f>
        <v/>
      </c>
      <c r="E302" s="346">
        <f>LEFT(REPLACE(G302,1,2,""),FIND("[",REPLACE(G302,1,2,""))-1)&amp;"-"&amp;MID(REPLACE(G302,1,2,""),FIND("[",REPLACE(G302,1,2,""))+1,FIND("]",REPLACE(G302,1,2,""))-FIND("[",REPLACE(G302,1,2,""))-1)</f>
        <v/>
      </c>
      <c r="F302" s="347">
        <f>IFERROR(MID(G302,3,FIND("(",G302)-3)&amp;"-"&amp;SUBSTITUTE(MID(G302,FIND("[",G302)+1,FIND("]",G302)-FIND("[",G302)-1),"Strong Guard ",""),"")</f>
        <v/>
      </c>
      <c r="G302" s="366" t="inlineStr">
        <is>
          <t>ID12.00R24-20PR(160/157F)[CB972E]威狮</t>
        </is>
      </c>
      <c r="H302" s="344" t="n">
        <v>1000</v>
      </c>
      <c r="I302" s="348" t="n">
        <v>6</v>
      </c>
      <c r="J302" s="349">
        <f>IFERROR(LEFT(F302,FIND("-",F302))&amp;MID(F302,FIND("PR",F302,FIND("-",F302))+3,LEN(F302)),F302)</f>
        <v/>
      </c>
      <c r="K302" s="352">
        <f>_xlfn.XLOOKUP(F302,投产规格!E:E,投产规格!D:D,"未投产")</f>
        <v/>
      </c>
      <c r="L302" s="352">
        <f>IFERROR(_xlfn.XLOOKUP(F302,硫化工艺!B:B,硫化工艺!C:C),"")</f>
        <v/>
      </c>
      <c r="M302" s="430">
        <f>IF(L302="","",L302/(L302+$L$1/60))</f>
        <v/>
      </c>
      <c r="N302" s="352">
        <f>C302&amp;"全钢"</f>
        <v/>
      </c>
      <c r="O302" s="352">
        <f>IFERROR(_xlfn.XLOOKUP(F302,轮胎重量!J:J,轮胎重量!G:G),"")</f>
        <v/>
      </c>
      <c r="P302" s="352">
        <f>IFERROR(_xlfn.XLOOKUP(G302,硫化工艺!I:I,硫化工艺!J:J),"")</f>
        <v/>
      </c>
      <c r="Q302" s="352">
        <f>IFERROR(ROUND(1440/L302*(I302)*M302,0),"")</f>
        <v/>
      </c>
      <c r="R302" s="352" t="n">
        <v>130</v>
      </c>
      <c r="S302" s="352" t="n">
        <v>130</v>
      </c>
      <c r="T302" s="352" t="n">
        <v>130</v>
      </c>
      <c r="U302" s="352" t="n">
        <v>130</v>
      </c>
      <c r="V302" s="352" t="n">
        <v>130</v>
      </c>
      <c r="W302" s="352" t="n">
        <v>130</v>
      </c>
      <c r="X302" s="352" t="n">
        <v>130</v>
      </c>
      <c r="Y302" s="352" t="n">
        <v>130</v>
      </c>
      <c r="Z302" s="352" t="n"/>
      <c r="AA302" s="352" t="n"/>
      <c r="AB302" s="352" t="n"/>
      <c r="AC302" s="352" t="n"/>
      <c r="AD302" s="352" t="n"/>
      <c r="AE302" s="352" t="n"/>
      <c r="AF302" s="352" t="n"/>
      <c r="AG302" s="352" t="n"/>
      <c r="AH302" s="352" t="n"/>
      <c r="AI302" s="352" t="n"/>
      <c r="AJ302" s="352" t="n"/>
      <c r="AK302" s="352" t="n"/>
      <c r="AL302" s="352" t="n"/>
      <c r="AM302" s="352" t="n"/>
      <c r="AN302" s="352" t="n"/>
      <c r="AO302" s="352" t="n"/>
      <c r="AP302" s="352" t="n"/>
      <c r="AQ302" s="352" t="n"/>
      <c r="AR302" s="352" t="n"/>
      <c r="AS302" s="352" t="n"/>
      <c r="AT302" s="352" t="n"/>
      <c r="AU302" s="352" t="n"/>
      <c r="AV302" s="352" t="n"/>
      <c r="AW302" s="352">
        <f>IF(SUM(R302:AV302)=0,"",SUM(R302:AV302))</f>
        <v/>
      </c>
      <c r="AX302" s="431">
        <f>IFERROR(AW302*O302/1000,"")</f>
        <v/>
      </c>
      <c r="AY302" s="431">
        <f>IFERROR(ROUND(AW302*P302/10000,3),"")</f>
        <v/>
      </c>
      <c r="AZ302" s="354" t="n">
        <v>834.98</v>
      </c>
      <c r="BA302" s="355" t="n">
        <v>49.6</v>
      </c>
      <c r="BB302" s="355" t="n">
        <v>76.03</v>
      </c>
      <c r="BC302" s="355" t="n">
        <v>81.43000000000001</v>
      </c>
      <c r="BE302" s="331">
        <f>AZ302*AW302</f>
        <v/>
      </c>
      <c r="BF302" s="331">
        <f>BA302*AW302</f>
        <v/>
      </c>
      <c r="BG302" s="331">
        <f>BB302*AW302</f>
        <v/>
      </c>
      <c r="BH302" s="331">
        <f>BC302*AW302</f>
        <v/>
      </c>
      <c r="BJ302" s="356">
        <f t="array" ref="BJ302:BM302">_xlfn.LET(_xlpm.data,$R302:$AV302,_xlpm.starts,{1,8,16,23},_xlpm.lengths,{7,7,8,9},_xlpm.arr,_xlfn.MAP(_xlpm.starts,_xlpm.lengths,_xlfn.LAMBDA(_xlpm.s,_xlpm.l,SUM(INDEX(_xlpm.data,,_xlfn.SEQUENCE(,_xlpm.l,_xlpm.s))))),ROUND(_xlpm.arr*$O302/1000,2))</f>
        <v/>
      </c>
      <c r="BK302" s="331" t="n">
        <v>12.03</v>
      </c>
      <c r="BL302" s="331" t="n">
        <v>0</v>
      </c>
      <c r="BM302" s="331" t="n">
        <v>0</v>
      </c>
      <c r="BN302" s="362">
        <f>SUM(BJ302:BM302)</f>
        <v/>
      </c>
      <c r="BO302" s="362" t="n">
        <v>0</v>
      </c>
      <c r="BP302" s="362" t="n">
        <v>8.34</v>
      </c>
      <c r="BQ302" s="362" t="n">
        <v>66.73999999999999</v>
      </c>
      <c r="BR302" s="362" t="n">
        <v>75.08</v>
      </c>
      <c r="BT302" s="362">
        <f t="array" ref="BT302:BW302">_xlfn.HSTACK(SUM(INDEX($R302:$AV302,1,1):INDEX($R302:$AV302,1,7)),SUM(INDEX($R302:$AV302,1,7):INDEX($R302:$AV302,1,13)),SUM(INDEX($R302:$AV302,1,16):INDEX($R302:$AV302,1,23)),SUM(INDEX($R302:$AV302,1,23):INDEX($R302:$AV302,1,31)))</f>
        <v/>
      </c>
      <c r="BU302" s="362" t="n">
        <v>260</v>
      </c>
      <c r="BV302" s="362" t="n">
        <v>0</v>
      </c>
      <c r="BW302" s="362" t="n">
        <v>0</v>
      </c>
      <c r="BY302" s="362">
        <f>SUM(R302:X302)</f>
        <v/>
      </c>
      <c r="BZ302" s="362">
        <f>SUM(Y302:AE302)</f>
        <v/>
      </c>
      <c r="CA302" s="362">
        <f>SUM(AF302:AM302)</f>
        <v/>
      </c>
      <c r="CB302" s="362">
        <f>SUM(AN302:AV302)</f>
        <v/>
      </c>
      <c r="CD302" s="432" t="inlineStr">
        <is>
          <t>ADA</t>
        </is>
      </c>
      <c r="CE302" s="362">
        <f>ROUND(BY302*$O302/1000,2)</f>
        <v/>
      </c>
      <c r="CF302" s="362">
        <f>ROUND(BZ302*$O302/1000,2)</f>
        <v/>
      </c>
      <c r="CG302" s="362">
        <f>ROUND(CA302*$O302/1000,2)</f>
        <v/>
      </c>
      <c r="CH302" s="362">
        <f>ROUND(CB302*$O302/1000,2)</f>
        <v/>
      </c>
      <c r="CI302" s="362">
        <f>SUM(CE302:CH302)</f>
        <v/>
      </c>
      <c r="CK302" s="362">
        <f>IFERROR(ROUND(BY302*$P302,2),"")</f>
        <v/>
      </c>
      <c r="CL302" s="362">
        <f>IFERROR(ROUND(BZ302*$P302,2),"")</f>
        <v/>
      </c>
      <c r="CM302" s="362">
        <f>IFERROR(ROUND(CA302*$P302,2),"")</f>
        <v/>
      </c>
      <c r="CN302" s="362">
        <f>IFERROR(ROUND(CB302*$P302,2),"")</f>
        <v/>
      </c>
      <c r="CO302" s="362">
        <f>SUM(CK302:CN302)</f>
        <v/>
      </c>
    </row>
    <row r="303" ht="15.6" customHeight="1" s="428">
      <c r="B303" s="344">
        <f>_xlfn.XLOOKUP(G303,销售需求表!A:A,销售需求表!C:C)</f>
        <v/>
      </c>
      <c r="C303" s="345">
        <f>IFERROR(MID(F303,FIND("R",F303)+1,2),"")</f>
        <v/>
      </c>
      <c r="D303" s="369">
        <f>B303&amp;C303&amp;"寸"</f>
        <v/>
      </c>
      <c r="E303" s="346">
        <f>LEFT(REPLACE(G303,1,2,""),FIND("[",REPLACE(G303,1,2,""))-1)&amp;"-"&amp;MID(REPLACE(G303,1,2,""),FIND("[",REPLACE(G303,1,2,""))+1,FIND("]",REPLACE(G303,1,2,""))-FIND("[",REPLACE(G303,1,2,""))-1)</f>
        <v/>
      </c>
      <c r="F303" s="347">
        <f>IFERROR(MID(G303,3,FIND("(",G303)-3)&amp;"-"&amp;SUBSTITUTE(MID(G303,FIND("[",G303)+1,FIND("]",G303)-FIND("[",G303)-1),"Strong Guard ",""),"")</f>
        <v/>
      </c>
      <c r="G303" s="366" t="inlineStr">
        <is>
          <t>ID12.00R24-20PR(160/157F)[CB972E]雅度</t>
        </is>
      </c>
      <c r="H303" s="344" t="n">
        <v>1700</v>
      </c>
      <c r="I303" s="348" t="n"/>
      <c r="J303" s="349">
        <f>IFERROR(LEFT(F303,FIND("-",F303))&amp;MID(F303,FIND("PR",F303,FIND("-",F303))+3,LEN(F303)),F303)</f>
        <v/>
      </c>
      <c r="K303" s="352">
        <f>_xlfn.XLOOKUP(F303,投产规格!E:E,投产规格!D:D,"未投产")</f>
        <v/>
      </c>
      <c r="L303" s="352">
        <f>IFERROR(_xlfn.XLOOKUP(F303,硫化工艺!B:B,硫化工艺!C:C),"")</f>
        <v/>
      </c>
      <c r="M303" s="430">
        <f>IF(L303="","",L303/(L303+$L$1/60))</f>
        <v/>
      </c>
      <c r="N303" s="352">
        <f>C303&amp;"全钢"</f>
        <v/>
      </c>
      <c r="O303" s="352">
        <f>IFERROR(_xlfn.XLOOKUP(F303,轮胎重量!J:J,轮胎重量!G:G),"")</f>
        <v/>
      </c>
      <c r="P303" s="352">
        <f>IFERROR(_xlfn.XLOOKUP(G303,硫化工艺!I:I,硫化工艺!J:J),"")</f>
        <v/>
      </c>
      <c r="Q303" s="352">
        <f>IFERROR(ROUND(1440/L303*(I303)*M303,0),"")</f>
        <v/>
      </c>
      <c r="R303" s="352" t="n"/>
      <c r="S303" s="352" t="n"/>
      <c r="T303" s="352" t="n"/>
      <c r="U303" s="352" t="n"/>
      <c r="V303" s="352" t="n"/>
      <c r="W303" s="352" t="n"/>
      <c r="X303" s="352" t="n"/>
      <c r="Y303" s="352" t="n"/>
      <c r="Z303" s="352" t="n">
        <v>130</v>
      </c>
      <c r="AA303" s="352" t="n">
        <v>130</v>
      </c>
      <c r="AB303" s="352" t="n">
        <v>130</v>
      </c>
      <c r="AC303" s="352" t="n">
        <v>174</v>
      </c>
      <c r="AD303" s="352" t="n">
        <v>174</v>
      </c>
      <c r="AE303" s="352" t="n">
        <v>174</v>
      </c>
      <c r="AF303" s="352" t="n">
        <v>174</v>
      </c>
      <c r="AG303" s="352" t="n">
        <v>174</v>
      </c>
      <c r="AH303" s="352" t="n">
        <v>174</v>
      </c>
      <c r="AI303" s="352" t="n">
        <v>174</v>
      </c>
      <c r="AJ303" s="352" t="n">
        <v>174</v>
      </c>
      <c r="AK303" s="352" t="n">
        <v>174</v>
      </c>
      <c r="AL303" s="352" t="n">
        <v>174</v>
      </c>
      <c r="AM303" s="352" t="n">
        <v>174</v>
      </c>
      <c r="AN303" s="352" t="n"/>
      <c r="AO303" s="352" t="n"/>
      <c r="AP303" s="352" t="n"/>
      <c r="AQ303" s="352" t="n"/>
      <c r="AR303" s="352" t="n"/>
      <c r="AS303" s="352" t="n"/>
      <c r="AT303" s="352" t="n"/>
      <c r="AU303" s="352" t="n"/>
      <c r="AV303" s="352" t="n"/>
      <c r="AW303" s="352">
        <f>IF(SUM(R303:AV303)=0,"",SUM(R303:AV303))</f>
        <v/>
      </c>
      <c r="AX303" s="431">
        <f>IFERROR(AW303*O303/1000,"")</f>
        <v/>
      </c>
      <c r="AY303" s="431">
        <f>IFERROR(ROUND(AW303*P303/10000,3),"")</f>
        <v/>
      </c>
      <c r="AZ303" s="354" t="n">
        <v>811.96</v>
      </c>
      <c r="BA303" s="355" t="n">
        <v>46.38</v>
      </c>
      <c r="BB303" s="355" t="n">
        <v>73.08</v>
      </c>
      <c r="BC303" s="355" t="n">
        <v>75.20999999999999</v>
      </c>
      <c r="BE303" s="331">
        <f>AZ303*AW303</f>
        <v/>
      </c>
      <c r="BF303" s="331">
        <f>BA303*AW303</f>
        <v/>
      </c>
      <c r="BG303" s="331">
        <f>BB303*AW303</f>
        <v/>
      </c>
      <c r="BH303" s="331">
        <f>BC303*AW303</f>
        <v/>
      </c>
      <c r="BJ303" s="356">
        <f t="array" ref="BJ303:BM303">_xlfn.LET(_xlpm.data,$R303:$AV303,_xlpm.starts,{1,8,16,23},_xlpm.lengths,{7,7,8,9},_xlpm.arr,_xlfn.MAP(_xlpm.starts,_xlpm.lengths,_xlfn.LAMBDA(_xlpm.s,_xlpm.l,SUM(INDEX(_xlpm.data,,_xlfn.SEQUENCE(,_xlpm.l,_xlpm.s))))),ROUND(_xlpm.arr*$O303/1000,2))</f>
        <v/>
      </c>
      <c r="BK303" s="331" t="n">
        <v>84.41</v>
      </c>
      <c r="BL303" s="331" t="n">
        <v>112.74</v>
      </c>
      <c r="BM303" s="331" t="n">
        <v>0</v>
      </c>
      <c r="BN303" s="362">
        <f>SUM(BJ303:BM303)</f>
        <v/>
      </c>
      <c r="BO303" s="362" t="n">
        <v>29.92</v>
      </c>
      <c r="BP303" s="362" t="n">
        <v>29.92</v>
      </c>
      <c r="BQ303" s="362" t="n">
        <v>34.2</v>
      </c>
      <c r="BR303" s="362" t="n">
        <v>38.47</v>
      </c>
      <c r="BT303" s="362">
        <f t="array" ref="BT303:BW303">_xlfn.HSTACK(SUM(INDEX($R303:$AV303,1,1):INDEX($R303:$AV303,1,7)),SUM(INDEX($R303:$AV303,1,7):INDEX($R303:$AV303,1,13)),SUM(INDEX($R303:$AV303,1,16):INDEX($R303:$AV303,1,23)),SUM(INDEX($R303:$AV303,1,23):INDEX($R303:$AV303,1,31)))</f>
        <v/>
      </c>
      <c r="BU303" s="362" t="n">
        <v>738</v>
      </c>
      <c r="BV303" s="362" t="n">
        <v>1218</v>
      </c>
      <c r="BW303" s="362" t="n">
        <v>0</v>
      </c>
      <c r="BY303" s="362">
        <f>SUM(R303:X303)</f>
        <v/>
      </c>
      <c r="BZ303" s="362">
        <f>SUM(Y303:AE303)</f>
        <v/>
      </c>
      <c r="CA303" s="362">
        <f>SUM(AF303:AM303)</f>
        <v/>
      </c>
      <c r="CB303" s="362">
        <f>SUM(AN303:AV303)</f>
        <v/>
      </c>
      <c r="CD303" s="432" t="inlineStr">
        <is>
          <t>ADA</t>
        </is>
      </c>
      <c r="CE303" s="362">
        <f>ROUND(BY303*$O303/1000,2)</f>
        <v/>
      </c>
      <c r="CF303" s="362">
        <f>ROUND(BZ303*$O303/1000,2)</f>
        <v/>
      </c>
      <c r="CG303" s="362">
        <f>ROUND(CA303*$O303/1000,2)</f>
        <v/>
      </c>
      <c r="CH303" s="362">
        <f>ROUND(CB303*$O303/1000,2)</f>
        <v/>
      </c>
      <c r="CI303" s="362">
        <f>SUM(CE303:CH303)</f>
        <v/>
      </c>
      <c r="CK303" s="362">
        <f>IFERROR(ROUND(BY303*$P303,2),"")</f>
        <v/>
      </c>
      <c r="CL303" s="362">
        <f>IFERROR(ROUND(BZ303*$P303,2),"")</f>
        <v/>
      </c>
      <c r="CM303" s="362">
        <f>IFERROR(ROUND(CA303*$P303,2),"")</f>
        <v/>
      </c>
      <c r="CN303" s="362">
        <f>IFERROR(ROUND(CB303*$P303,2),"")</f>
        <v/>
      </c>
      <c r="CO303" s="362">
        <f>SUM(CK303:CN303)</f>
        <v/>
      </c>
    </row>
    <row r="304" ht="15.6" customHeight="1" s="428">
      <c r="B304" s="344">
        <f>_xlfn.XLOOKUP(G304,销售需求表!A:A,销售需求表!C:C)</f>
        <v/>
      </c>
      <c r="C304" s="345">
        <f>IFERROR(MID(F304,FIND("R",F304)+1,2),"")</f>
        <v/>
      </c>
      <c r="D304" s="368">
        <f>B304&amp;C304&amp;"寸"</f>
        <v/>
      </c>
      <c r="E304" s="346">
        <f>LEFT(REPLACE(G304,1,2,""),FIND("[",REPLACE(G304,1,2,""))-1)&amp;"-"&amp;MID(REPLACE(G304,1,2,""),FIND("[",REPLACE(G304,1,2,""))+1,FIND("]",REPLACE(G304,1,2,""))-FIND("[",REPLACE(G304,1,2,""))-1)</f>
        <v/>
      </c>
      <c r="F304" s="347">
        <f>IFERROR(MID(G304,3,FIND("(",G304)-3)&amp;"-"&amp;SUBSTITUTE(MID(G304,FIND("[",G304)+1,FIND("]",G304)-FIND("[",G304)-1),"Strong Guard ",""),"")</f>
        <v/>
      </c>
      <c r="G304" s="366" t="inlineStr">
        <is>
          <t>ID12.00R24-20PR(160/157F)[TZ101 PRO]天力</t>
        </is>
      </c>
      <c r="H304" s="344" t="n">
        <v>2000</v>
      </c>
      <c r="I304" s="348" t="n">
        <v>2</v>
      </c>
      <c r="J304" s="349">
        <f>IFERROR(LEFT(F304,FIND("-",F304))&amp;MID(F304,FIND("PR",F304,FIND("-",F304))+3,LEN(F304)),F304)</f>
        <v/>
      </c>
      <c r="K304" s="352">
        <f>_xlfn.XLOOKUP(F304,投产规格!E:E,投产规格!D:D,"未投产")</f>
        <v/>
      </c>
      <c r="L304" s="352">
        <f>IFERROR(_xlfn.XLOOKUP(F304,硫化工艺!B:B,硫化工艺!C:C),"")</f>
        <v/>
      </c>
      <c r="M304" s="430">
        <f>IF(L304="","",L304/(L304+$L$1/60))</f>
        <v/>
      </c>
      <c r="N304" s="352">
        <f>C304&amp;"全钢"</f>
        <v/>
      </c>
      <c r="O304" s="352">
        <f>IFERROR(_xlfn.XLOOKUP(F304,轮胎重量!J:J,轮胎重量!G:G),"")</f>
        <v/>
      </c>
      <c r="P304" s="352">
        <f>IFERROR(_xlfn.XLOOKUP(G304,硫化工艺!I:I,硫化工艺!J:J),"")</f>
        <v/>
      </c>
      <c r="Q304" s="352">
        <f>IFERROR(ROUND(1440/L304*(I304)*M304,0),"")</f>
        <v/>
      </c>
      <c r="R304" s="352" t="n">
        <v>44</v>
      </c>
      <c r="S304" s="352" t="n">
        <v>44</v>
      </c>
      <c r="T304" s="352" t="n">
        <v>44</v>
      </c>
      <c r="U304" s="352" t="n">
        <v>44</v>
      </c>
      <c r="V304" s="352" t="n">
        <v>44</v>
      </c>
      <c r="W304" s="352" t="n">
        <v>44</v>
      </c>
      <c r="X304" s="352" t="n">
        <v>44</v>
      </c>
      <c r="Y304" s="352" t="n">
        <v>44</v>
      </c>
      <c r="Z304" s="352" t="n">
        <v>44</v>
      </c>
      <c r="AA304" s="352" t="n">
        <v>44</v>
      </c>
      <c r="AB304" s="352" t="n">
        <v>44</v>
      </c>
      <c r="AC304" s="352" t="n">
        <v>44</v>
      </c>
      <c r="AD304" s="352" t="n">
        <v>44</v>
      </c>
      <c r="AE304" s="352" t="n">
        <v>44</v>
      </c>
      <c r="AF304" s="352" t="n">
        <v>44</v>
      </c>
      <c r="AG304" s="352" t="n">
        <v>44</v>
      </c>
      <c r="AH304" s="352" t="n">
        <v>44</v>
      </c>
      <c r="AI304" s="352" t="n">
        <v>44</v>
      </c>
      <c r="AJ304" s="352" t="n">
        <v>44</v>
      </c>
      <c r="AK304" s="352" t="n">
        <v>44</v>
      </c>
      <c r="AL304" s="352" t="n">
        <v>44</v>
      </c>
      <c r="AM304" s="352" t="n">
        <v>44</v>
      </c>
      <c r="AN304" s="352" t="n">
        <v>44</v>
      </c>
      <c r="AO304" s="352" t="n">
        <v>44</v>
      </c>
      <c r="AP304" s="352" t="n">
        <v>44</v>
      </c>
      <c r="AQ304" s="352" t="n">
        <v>44</v>
      </c>
      <c r="AR304" s="352" t="n">
        <v>44</v>
      </c>
      <c r="AS304" s="352" t="n">
        <v>44</v>
      </c>
      <c r="AT304" s="352" t="n">
        <v>44</v>
      </c>
      <c r="AU304" s="352" t="n">
        <v>44</v>
      </c>
      <c r="AV304" s="352" t="n">
        <v>44</v>
      </c>
      <c r="AW304" s="352">
        <f>IF(SUM(R304:AV304)=0,"",SUM(R304:AV304))</f>
        <v/>
      </c>
      <c r="AX304" s="431">
        <f>IFERROR(AW304*O304/1000,"")</f>
        <v/>
      </c>
      <c r="AY304" s="431">
        <f>IFERROR(ROUND(AW304*P304/10000,3),"")</f>
        <v/>
      </c>
      <c r="AZ304" s="354" t="n">
        <v>618.6</v>
      </c>
      <c r="BA304" s="355" t="n">
        <v>39.01</v>
      </c>
      <c r="BB304" s="355" t="n">
        <v>60.79</v>
      </c>
      <c r="BC304" s="355" t="n">
        <v>65.95999999999999</v>
      </c>
      <c r="BE304" s="331">
        <f>AZ304*AW304</f>
        <v/>
      </c>
      <c r="BF304" s="331">
        <f>BA304*AW304</f>
        <v/>
      </c>
      <c r="BG304" s="331">
        <f>BB304*AW304</f>
        <v/>
      </c>
      <c r="BH304" s="331">
        <f>BC304*AW304</f>
        <v/>
      </c>
      <c r="BJ304" s="356">
        <f t="array" ref="BJ304:BM304">_xlfn.LET(_xlpm.data,$R304:$AV304,_xlpm.starts,{1,8,16,23},_xlpm.lengths,{7,7,8,9},_xlpm.arr,_xlfn.MAP(_xlpm.starts,_xlpm.lengths,_xlfn.LAMBDA(_xlpm.s,_xlpm.l,SUM(INDEX(_xlpm.data,,_xlfn.SEQUENCE(,_xlpm.l,_xlpm.s))))),ROUND(_xlpm.arr*$O304/1000,2))</f>
        <v/>
      </c>
      <c r="BK304" s="331" t="n">
        <v>28.51</v>
      </c>
      <c r="BL304" s="331" t="n">
        <v>32.58</v>
      </c>
      <c r="BM304" s="331" t="n">
        <v>36.65</v>
      </c>
      <c r="BN304" s="362">
        <f>SUM(BJ304:BM304)</f>
        <v/>
      </c>
      <c r="BO304" s="362" t="n">
        <v>21.64</v>
      </c>
      <c r="BP304" s="362" t="n">
        <v>50.5</v>
      </c>
      <c r="BQ304" s="362" t="n">
        <v>0</v>
      </c>
      <c r="BR304" s="362" t="n">
        <v>0</v>
      </c>
      <c r="BT304" s="362">
        <f t="array" ref="BT304:BW304">_xlfn.HSTACK(SUM(INDEX($R304:$AV304,1,1):INDEX($R304:$AV304,1,7)),SUM(INDEX($R304:$AV304,1,7):INDEX($R304:$AV304,1,13)),SUM(INDEX($R304:$AV304,1,16):INDEX($R304:$AV304,1,23)),SUM(INDEX($R304:$AV304,1,23):INDEX($R304:$AV304,1,31)))</f>
        <v/>
      </c>
      <c r="BU304" s="362" t="n">
        <v>308</v>
      </c>
      <c r="BV304" s="362" t="n">
        <v>352</v>
      </c>
      <c r="BW304" s="362" t="n">
        <v>396</v>
      </c>
      <c r="BY304" s="362">
        <f>SUM(R304:X304)</f>
        <v/>
      </c>
      <c r="BZ304" s="362">
        <f>SUM(Y304:AE304)</f>
        <v/>
      </c>
      <c r="CA304" s="362">
        <f>SUM(AF304:AM304)</f>
        <v/>
      </c>
      <c r="CB304" s="362">
        <f>SUM(AN304:AV304)</f>
        <v/>
      </c>
      <c r="CD304" s="432" t="inlineStr">
        <is>
          <t>ADA</t>
        </is>
      </c>
      <c r="CE304" s="362">
        <f>ROUND(BY304*$O304/1000,2)</f>
        <v/>
      </c>
      <c r="CF304" s="362">
        <f>ROUND(BZ304*$O304/1000,2)</f>
        <v/>
      </c>
      <c r="CG304" s="362">
        <f>ROUND(CA304*$O304/1000,2)</f>
        <v/>
      </c>
      <c r="CH304" s="362">
        <f>ROUND(CB304*$O304/1000,2)</f>
        <v/>
      </c>
      <c r="CI304" s="362">
        <f>SUM(CE304:CH304)</f>
        <v/>
      </c>
      <c r="CK304" s="362">
        <f>IFERROR(ROUND(BY304*$P304,2),"")</f>
        <v/>
      </c>
      <c r="CL304" s="362">
        <f>IFERROR(ROUND(BZ304*$P304,2),"")</f>
        <v/>
      </c>
      <c r="CM304" s="362">
        <f>IFERROR(ROUND(CA304*$P304,2),"")</f>
        <v/>
      </c>
      <c r="CN304" s="362">
        <f>IFERROR(ROUND(CB304*$P304,2),"")</f>
        <v/>
      </c>
      <c r="CO304" s="362">
        <f>SUM(CK304:CN304)</f>
        <v/>
      </c>
    </row>
    <row r="305" ht="15.6" customHeight="1" s="428">
      <c r="B305" s="344">
        <f>_xlfn.XLOOKUP(G305,销售需求表!A:A,销售需求表!C:C)</f>
        <v/>
      </c>
      <c r="C305" s="345">
        <f>IFERROR(MID(F305,FIND("R",F305)+1,2),"")</f>
        <v/>
      </c>
      <c r="D305" s="368">
        <f>B305&amp;C305&amp;"寸"</f>
        <v/>
      </c>
      <c r="E305" s="346">
        <f>LEFT(REPLACE(G305,1,2,""),FIND("[",REPLACE(G305,1,2,""))-1)&amp;"-"&amp;MID(REPLACE(G305,1,2,""),FIND("[",REPLACE(G305,1,2,""))+1,FIND("]",REPLACE(G305,1,2,""))-FIND("[",REPLACE(G305,1,2,""))-1)</f>
        <v/>
      </c>
      <c r="F305" s="347">
        <f>IFERROR(MID(G305,3,FIND("(",G305)-3)&amp;"-"&amp;SUBSTITUTE(MID(G305,FIND("[",G305)+1,FIND("]",G305)-FIND("[",G305)-1),"Strong Guard ",""),"")</f>
        <v/>
      </c>
      <c r="G305" s="366" t="inlineStr">
        <is>
          <t>ID12.00R24-20PR(160/157F)[TZ101]TIANLI</t>
        </is>
      </c>
      <c r="H305" s="344" t="n">
        <v>1400</v>
      </c>
      <c r="I305" s="348" t="n"/>
      <c r="J305" s="349">
        <f>IFERROR(LEFT(F305,FIND("-",F305))&amp;MID(F305,FIND("PR",F305,FIND("-",F305))+3,LEN(F305)),F305)</f>
        <v/>
      </c>
      <c r="K305" s="352">
        <f>_xlfn.XLOOKUP(F305,投产规格!E:E,投产规格!D:D,"未投产")</f>
        <v/>
      </c>
      <c r="L305" s="352">
        <f>IFERROR(_xlfn.XLOOKUP(F305,硫化工艺!B:B,硫化工艺!C:C),"")</f>
        <v/>
      </c>
      <c r="M305" s="430">
        <f>IF(L305="","",L305/(L305+$L$1/60))</f>
        <v/>
      </c>
      <c r="N305" s="352">
        <f>C305&amp;"全钢"</f>
        <v/>
      </c>
      <c r="O305" s="352">
        <f>IFERROR(_xlfn.XLOOKUP(F305,轮胎重量!J:J,轮胎重量!G:G),"")</f>
        <v/>
      </c>
      <c r="P305" s="352">
        <f>IFERROR(_xlfn.XLOOKUP(G305,硫化工艺!I:I,硫化工艺!J:J),"")</f>
        <v/>
      </c>
      <c r="Q305" s="352">
        <f>IFERROR(ROUND(1440/L305*(I305)*M305,0),"")</f>
        <v/>
      </c>
      <c r="R305" s="352" t="n"/>
      <c r="S305" s="352" t="n"/>
      <c r="T305" s="352" t="n"/>
      <c r="U305" s="352" t="n"/>
      <c r="V305" s="352" t="n"/>
      <c r="W305" s="352" t="n"/>
      <c r="X305" s="352" t="n"/>
      <c r="Y305" s="352" t="n"/>
      <c r="Z305" s="352" t="n"/>
      <c r="AA305" s="352" t="n"/>
      <c r="AB305" s="352" t="n"/>
      <c r="AC305" s="352" t="n"/>
      <c r="AD305" s="352" t="n">
        <v>50</v>
      </c>
      <c r="AE305" s="352" t="n">
        <v>50</v>
      </c>
      <c r="AF305" s="352" t="n">
        <v>50</v>
      </c>
      <c r="AG305" s="352" t="n">
        <v>50</v>
      </c>
      <c r="AH305" s="352" t="n">
        <v>50</v>
      </c>
      <c r="AI305" s="352" t="n">
        <v>50</v>
      </c>
      <c r="AJ305" s="352" t="n">
        <v>50</v>
      </c>
      <c r="AK305" s="352" t="n">
        <v>50</v>
      </c>
      <c r="AL305" s="352" t="n">
        <v>50</v>
      </c>
      <c r="AM305" s="352" t="n">
        <v>50</v>
      </c>
      <c r="AN305" s="352" t="n">
        <v>50</v>
      </c>
      <c r="AO305" s="352" t="n">
        <v>50</v>
      </c>
      <c r="AP305" s="352" t="n">
        <v>50</v>
      </c>
      <c r="AQ305" s="352" t="n">
        <v>50</v>
      </c>
      <c r="AR305" s="352" t="n">
        <v>50</v>
      </c>
      <c r="AS305" s="352" t="n">
        <v>50</v>
      </c>
      <c r="AT305" s="352" t="n">
        <v>50</v>
      </c>
      <c r="AU305" s="352" t="n">
        <v>50</v>
      </c>
      <c r="AV305" s="352" t="n">
        <v>50</v>
      </c>
      <c r="AW305" s="352">
        <f>IF(SUM(R305:AV305)=0,"",SUM(R305:AV305))</f>
        <v/>
      </c>
      <c r="AX305" s="431">
        <f>IFERROR(AW305*O305/1000,"")</f>
        <v/>
      </c>
      <c r="AY305" s="431">
        <f>IFERROR(ROUND(AW305*P305/10000,3),"")</f>
        <v/>
      </c>
      <c r="AZ305" s="354" t="n">
        <v>618.6</v>
      </c>
      <c r="BA305" s="355" t="n">
        <v>39.01</v>
      </c>
      <c r="BB305" s="355" t="n">
        <v>60.79</v>
      </c>
      <c r="BC305" s="355" t="n">
        <v>65.95999999999999</v>
      </c>
      <c r="BE305" s="331">
        <f>AZ305*AW305</f>
        <v/>
      </c>
      <c r="BF305" s="331">
        <f>BA305*AW305</f>
        <v/>
      </c>
      <c r="BG305" s="331">
        <f>BB305*AW305</f>
        <v/>
      </c>
      <c r="BH305" s="331">
        <f>BC305*AW305</f>
        <v/>
      </c>
      <c r="BJ305" s="356">
        <f t="array" ref="BJ305:BM305">_xlfn.LET(_xlpm.data,$R305:$AV305,_xlpm.starts,{1,8,16,23},_xlpm.lengths,{7,7,8,9},_xlpm.arr,_xlfn.MAP(_xlpm.starts,_xlpm.lengths,_xlfn.LAMBDA(_xlpm.s,_xlpm.l,SUM(INDEX(_xlpm.data,,_xlfn.SEQUENCE(,_xlpm.l,_xlpm.s))))),ROUND(_xlpm.arr*$O305/1000,2))</f>
        <v/>
      </c>
      <c r="BK305" s="331" t="n">
        <v>8.27</v>
      </c>
      <c r="BL305" s="331" t="n">
        <v>33.08</v>
      </c>
      <c r="BM305" s="331" t="n">
        <v>37.21</v>
      </c>
      <c r="BN305" s="362">
        <f>SUM(BJ305:BM305)</f>
        <v/>
      </c>
      <c r="BO305" s="362" t="n">
        <v>21.64</v>
      </c>
      <c r="BP305" s="362" t="n">
        <v>50.5</v>
      </c>
      <c r="BQ305" s="362" t="n">
        <v>0</v>
      </c>
      <c r="BR305" s="362" t="n">
        <v>0</v>
      </c>
      <c r="BT305" s="362">
        <f t="array" ref="BT305:BW305">_xlfn.HSTACK(SUM(INDEX($R305:$AV305,1,1):INDEX($R305:$AV305,1,7)),SUM(INDEX($R305:$AV305,1,7):INDEX($R305:$AV305,1,13)),SUM(INDEX($R305:$AV305,1,16):INDEX($R305:$AV305,1,23)),SUM(INDEX($R305:$AV305,1,23):INDEX($R305:$AV305,1,31)))</f>
        <v/>
      </c>
      <c r="BU305" s="362" t="n">
        <v>50</v>
      </c>
      <c r="BV305" s="362" t="n">
        <v>400</v>
      </c>
      <c r="BW305" s="362" t="n">
        <v>450</v>
      </c>
      <c r="BY305" s="362">
        <f>SUM(R305:X305)</f>
        <v/>
      </c>
      <c r="BZ305" s="362">
        <f>SUM(Y305:AE305)</f>
        <v/>
      </c>
      <c r="CA305" s="362">
        <f>SUM(AF305:AM305)</f>
        <v/>
      </c>
      <c r="CB305" s="362">
        <f>SUM(AN305:AV305)</f>
        <v/>
      </c>
      <c r="CD305" s="432" t="inlineStr">
        <is>
          <t>ADA</t>
        </is>
      </c>
      <c r="CE305" s="362">
        <f>ROUND(BY305*$O305/1000,2)</f>
        <v/>
      </c>
      <c r="CF305" s="362">
        <f>ROUND(BZ305*$O305/1000,2)</f>
        <v/>
      </c>
      <c r="CG305" s="362">
        <f>ROUND(CA305*$O305/1000,2)</f>
        <v/>
      </c>
      <c r="CH305" s="362">
        <f>ROUND(CB305*$O305/1000,2)</f>
        <v/>
      </c>
      <c r="CI305" s="362">
        <f>SUM(CE305:CH305)</f>
        <v/>
      </c>
      <c r="CK305" s="362">
        <f>IFERROR(ROUND(BY305*$P305,2),"")</f>
        <v/>
      </c>
      <c r="CL305" s="362">
        <f>IFERROR(ROUND(BZ305*$P305,2),"")</f>
        <v/>
      </c>
      <c r="CM305" s="362">
        <f>IFERROR(ROUND(CA305*$P305,2),"")</f>
        <v/>
      </c>
      <c r="CN305" s="362">
        <f>IFERROR(ROUND(CB305*$P305,2),"")</f>
        <v/>
      </c>
      <c r="CO305" s="362">
        <f>SUM(CK305:CN305)</f>
        <v/>
      </c>
    </row>
    <row r="306" ht="15.6" customHeight="1" s="428">
      <c r="B306" s="344">
        <f>_xlfn.XLOOKUP(G306,销售需求表!A:A,销售需求表!C:C)</f>
        <v/>
      </c>
      <c r="C306" s="345">
        <f>IFERROR(MID(F306,FIND("R",F306)+1,2),"")</f>
        <v/>
      </c>
      <c r="D306" s="368">
        <f>B306&amp;C306&amp;"寸"</f>
        <v/>
      </c>
      <c r="E306" s="346">
        <f>LEFT(REPLACE(G306,1,2,""),FIND("[",REPLACE(G306,1,2,""))-1)&amp;"-"&amp;MID(REPLACE(G306,1,2,""),FIND("[",REPLACE(G306,1,2,""))+1,FIND("]",REPLACE(G306,1,2,""))-FIND("[",REPLACE(G306,1,2,""))-1)</f>
        <v/>
      </c>
      <c r="F306" s="347">
        <f>IFERROR(MID(G306,3,FIND("(",G306)-3)&amp;"-"&amp;SUBSTITUTE(MID(G306,FIND("[",G306)+1,FIND("]",G306)-FIND("[",G306)-1),"Strong Guard ",""),"")</f>
        <v/>
      </c>
      <c r="G306" s="366" t="inlineStr">
        <is>
          <t>ID12.00R24-20PR(160/157F)[TZ304]天力</t>
        </is>
      </c>
      <c r="H306" s="344" t="n">
        <v>150</v>
      </c>
      <c r="I306" s="348" t="n"/>
      <c r="J306" s="349">
        <f>IFERROR(LEFT(F306,FIND("-",F306))&amp;MID(F306,FIND("PR",F306,FIND("-",F306))+3,LEN(F306)),F306)</f>
        <v/>
      </c>
      <c r="K306" s="352">
        <f>_xlfn.XLOOKUP(F306,投产规格!E:E,投产规格!D:D,"未投产")</f>
        <v/>
      </c>
      <c r="L306" s="352">
        <f>IFERROR(_xlfn.XLOOKUP(F306,硫化工艺!B:B,硫化工艺!C:C),"")</f>
        <v/>
      </c>
      <c r="M306" s="430">
        <f>IF(L306="","",L306/(L306+$L$1/60))</f>
        <v/>
      </c>
      <c r="N306" s="352">
        <f>C306&amp;"全钢"</f>
        <v/>
      </c>
      <c r="O306" s="352">
        <f>IFERROR(_xlfn.XLOOKUP(F306,轮胎重量!J:J,轮胎重量!G:G),"")</f>
        <v/>
      </c>
      <c r="P306" s="352">
        <f>IFERROR(_xlfn.XLOOKUP(G306,硫化工艺!I:I,硫化工艺!J:J),"")</f>
        <v/>
      </c>
      <c r="Q306" s="352">
        <f>IFERROR(ROUND(1440/L306*(I306)*M306,0),"")</f>
        <v/>
      </c>
      <c r="R306" s="352" t="n"/>
      <c r="S306" s="352" t="n"/>
      <c r="T306" s="352" t="n"/>
      <c r="U306" s="352" t="n"/>
      <c r="V306" s="352" t="n"/>
      <c r="W306" s="352" t="n"/>
      <c r="X306" s="352" t="n"/>
      <c r="Y306" s="352" t="n"/>
      <c r="Z306" s="352" t="n"/>
      <c r="AA306" s="352" t="n"/>
      <c r="AB306" s="352" t="n"/>
      <c r="AC306" s="352" t="n"/>
      <c r="AD306" s="352" t="n"/>
      <c r="AE306" s="352" t="n"/>
      <c r="AF306" s="352" t="n"/>
      <c r="AG306" s="352" t="n"/>
      <c r="AH306" s="352" t="n"/>
      <c r="AI306" s="352" t="n"/>
      <c r="AJ306" s="352" t="n"/>
      <c r="AK306" s="352" t="n"/>
      <c r="AL306" s="352" t="n"/>
      <c r="AM306" s="352" t="n"/>
      <c r="AN306" s="352" t="n"/>
      <c r="AO306" s="352" t="n"/>
      <c r="AP306" s="352" t="n"/>
      <c r="AQ306" s="352" t="n"/>
      <c r="AR306" s="352" t="n">
        <v>44</v>
      </c>
      <c r="AS306" s="352" t="n">
        <v>44</v>
      </c>
      <c r="AT306" s="352" t="n">
        <v>44</v>
      </c>
      <c r="AU306" s="352" t="n">
        <v>44</v>
      </c>
      <c r="AV306" s="352" t="n">
        <v>44</v>
      </c>
      <c r="AW306" s="352">
        <f>IF(SUM(R306:AV306)=0,"",SUM(R306:AV306))</f>
        <v/>
      </c>
      <c r="AX306" s="431">
        <f>IFERROR(AW306*O306/1000,"")</f>
        <v/>
      </c>
      <c r="AY306" s="431">
        <f>IFERROR(ROUND(AW306*P306/10000,3),"")</f>
        <v/>
      </c>
      <c r="AZ306" s="354" t="n">
        <v>657.83</v>
      </c>
      <c r="BA306" s="355" t="n">
        <v>42.94</v>
      </c>
      <c r="BB306" s="355" t="n">
        <v>64.48999999999999</v>
      </c>
      <c r="BC306" s="355" t="n">
        <v>73.23</v>
      </c>
      <c r="BE306" s="331">
        <f>AZ306*AW306</f>
        <v/>
      </c>
      <c r="BF306" s="331">
        <f>BA306*AW306</f>
        <v/>
      </c>
      <c r="BG306" s="331">
        <f>BB306*AW306</f>
        <v/>
      </c>
      <c r="BH306" s="331">
        <f>BC306*AW306</f>
        <v/>
      </c>
      <c r="BJ306" s="356">
        <f t="array" ref="BJ306:BM306">_xlfn.LET(_xlpm.data,$R306:$AV306,_xlpm.starts,{1,8,16,23},_xlpm.lengths,{7,7,8,9},_xlpm.arr,_xlfn.MAP(_xlpm.starts,_xlpm.lengths,_xlfn.LAMBDA(_xlpm.s,_xlpm.l,SUM(INDEX(_xlpm.data,,_xlfn.SEQUENCE(,_xlpm.l,_xlpm.s))))),ROUND(_xlpm.arr*$O306/1000,2))</f>
        <v/>
      </c>
      <c r="BK306" s="331" t="n">
        <v>0</v>
      </c>
      <c r="BL306" s="331" t="n">
        <v>0</v>
      </c>
      <c r="BM306" s="331" t="n">
        <v>20.08</v>
      </c>
      <c r="BN306" s="362">
        <f>SUM(BJ306:BM306)</f>
        <v/>
      </c>
      <c r="BO306" s="362" t="n">
        <v>0</v>
      </c>
      <c r="BP306" s="362" t="n">
        <v>0</v>
      </c>
      <c r="BQ306" s="362" t="n">
        <v>24.25</v>
      </c>
      <c r="BR306" s="362" t="n">
        <v>27.28</v>
      </c>
      <c r="BT306" s="362">
        <f t="array" ref="BT306:BW306">_xlfn.HSTACK(SUM(INDEX($R306:$AV306,1,1):INDEX($R306:$AV306,1,7)),SUM(INDEX($R306:$AV306,1,7):INDEX($R306:$AV306,1,13)),SUM(INDEX($R306:$AV306,1,16):INDEX($R306:$AV306,1,23)),SUM(INDEX($R306:$AV306,1,23):INDEX($R306:$AV306,1,31)))</f>
        <v/>
      </c>
      <c r="BU306" s="362" t="n">
        <v>0</v>
      </c>
      <c r="BV306" s="362" t="n">
        <v>0</v>
      </c>
      <c r="BW306" s="362" t="n">
        <v>220</v>
      </c>
      <c r="BY306" s="362">
        <f>SUM(R306:X306)</f>
        <v/>
      </c>
      <c r="BZ306" s="362">
        <f>SUM(Y306:AE306)</f>
        <v/>
      </c>
      <c r="CA306" s="362">
        <f>SUM(AF306:AM306)</f>
        <v/>
      </c>
      <c r="CB306" s="362">
        <f>SUM(AN306:AV306)</f>
        <v/>
      </c>
      <c r="CD306" s="432" t="inlineStr">
        <is>
          <t>ADA</t>
        </is>
      </c>
      <c r="CE306" s="362">
        <f>ROUND(BY306*$O306/1000,2)</f>
        <v/>
      </c>
      <c r="CF306" s="362">
        <f>ROUND(BZ306*$O306/1000,2)</f>
        <v/>
      </c>
      <c r="CG306" s="362">
        <f>ROUND(CA306*$O306/1000,2)</f>
        <v/>
      </c>
      <c r="CH306" s="362">
        <f>ROUND(CB306*$O306/1000,2)</f>
        <v/>
      </c>
      <c r="CI306" s="362">
        <f>SUM(CE306:CH306)</f>
        <v/>
      </c>
      <c r="CK306" s="362">
        <f>IFERROR(ROUND(BY306*$P306,2),"")</f>
        <v/>
      </c>
      <c r="CL306" s="362">
        <f>IFERROR(ROUND(BZ306*$P306,2),"")</f>
        <v/>
      </c>
      <c r="CM306" s="362">
        <f>IFERROR(ROUND(CA306*$P306,2),"")</f>
        <v/>
      </c>
      <c r="CN306" s="362">
        <f>IFERROR(ROUND(CB306*$P306,2),"")</f>
        <v/>
      </c>
      <c r="CO306" s="362">
        <f>SUM(CK306:CN306)</f>
        <v/>
      </c>
    </row>
    <row r="307" ht="15.6" customFormat="1" customHeight="1" s="362">
      <c r="A307" s="331" t="n"/>
      <c r="B307" s="344">
        <f>_xlfn.XLOOKUP(G307,销售需求表!A:A,销售需求表!C:C)</f>
        <v/>
      </c>
      <c r="C307" s="345">
        <f>IFERROR(MID(F307,FIND("R",F307)+1,2),"")</f>
        <v/>
      </c>
      <c r="D307" s="368">
        <f>B307&amp;C307&amp;"寸"</f>
        <v/>
      </c>
      <c r="E307" s="346">
        <f>LEFT(REPLACE(G307,1,2,""),FIND("[",REPLACE(G307,1,2,""))-1)&amp;"-"&amp;MID(REPLACE(G307,1,2,""),FIND("[",REPLACE(G307,1,2,""))+1,FIND("]",REPLACE(G307,1,2,""))-FIND("[",REPLACE(G307,1,2,""))-1)</f>
        <v/>
      </c>
      <c r="F307" s="347">
        <f>IFERROR(MID(G307,3,FIND("(",G307)-3)&amp;"-"&amp;SUBSTITUTE(MID(G307,FIND("[",G307)+1,FIND("]",G307)-FIND("[",G307)-1),"Strong Guard ",""),"")</f>
        <v/>
      </c>
      <c r="G307" s="366" t="inlineStr">
        <is>
          <t>ID12.00R24-20PR(160/157K)[I-301]IRONMAN</t>
        </is>
      </c>
      <c r="H307" s="344" t="n">
        <v>600</v>
      </c>
      <c r="I307" s="348" t="n">
        <v>2</v>
      </c>
      <c r="J307" s="349">
        <f>IFERROR(LEFT(F307,FIND("-",F307))&amp;MID(F307,FIND("PR",F307,FIND("-",F307))+3,LEN(F307)),F307)</f>
        <v/>
      </c>
      <c r="K307" s="352">
        <f>_xlfn.XLOOKUP(F307,投产规格!E:E,投产规格!D:D,"未投产")</f>
        <v/>
      </c>
      <c r="L307" s="352">
        <f>IFERROR(_xlfn.XLOOKUP(F307,硫化工艺!B:B,硫化工艺!C:C),"")</f>
        <v/>
      </c>
      <c r="M307" s="430">
        <f>IF(L307="","",L307/(L307+$L$1/60))</f>
        <v/>
      </c>
      <c r="N307" s="352">
        <f>C307&amp;"全钢"</f>
        <v/>
      </c>
      <c r="O307" s="352">
        <f>IFERROR(_xlfn.XLOOKUP(F307,轮胎重量!J:J,轮胎重量!G:G),"")</f>
        <v/>
      </c>
      <c r="P307" s="352">
        <f>IFERROR(_xlfn.XLOOKUP(G307,硫化工艺!I:I,硫化工艺!J:J),"")</f>
        <v/>
      </c>
      <c r="Q307" s="352">
        <f>IFERROR(ROUND(1440/L307*(I307)*M307,0),"")</f>
        <v/>
      </c>
      <c r="R307" s="352" t="n">
        <v>50</v>
      </c>
      <c r="S307" s="352" t="n">
        <v>50</v>
      </c>
      <c r="T307" s="352" t="n">
        <v>50</v>
      </c>
      <c r="U307" s="352" t="n">
        <v>50</v>
      </c>
      <c r="V307" s="352" t="n">
        <v>50</v>
      </c>
      <c r="W307" s="352" t="n">
        <v>50</v>
      </c>
      <c r="X307" s="352" t="n">
        <v>50</v>
      </c>
      <c r="Y307" s="352" t="n">
        <v>50</v>
      </c>
      <c r="Z307" s="352" t="n">
        <v>50</v>
      </c>
      <c r="AA307" s="352" t="n">
        <v>50</v>
      </c>
      <c r="AB307" s="352" t="n">
        <v>50</v>
      </c>
      <c r="AC307" s="352" t="n">
        <v>50</v>
      </c>
      <c r="AD307" s="352" t="n"/>
      <c r="AE307" s="352" t="n"/>
      <c r="AF307" s="352" t="n"/>
      <c r="AG307" s="352" t="n"/>
      <c r="AH307" s="352" t="n"/>
      <c r="AI307" s="352" t="n"/>
      <c r="AJ307" s="352" t="n"/>
      <c r="AK307" s="352" t="n"/>
      <c r="AL307" s="352" t="n"/>
      <c r="AM307" s="352" t="n"/>
      <c r="AN307" s="352" t="n"/>
      <c r="AO307" s="352" t="n"/>
      <c r="AP307" s="352" t="n"/>
      <c r="AQ307" s="352" t="n"/>
      <c r="AR307" s="352" t="n"/>
      <c r="AS307" s="352" t="n"/>
      <c r="AT307" s="352" t="n"/>
      <c r="AU307" s="352" t="n"/>
      <c r="AV307" s="352" t="n"/>
      <c r="AW307" s="352">
        <f>IF(SUM(R307:AV307)=0,"",SUM(R307:AV307))</f>
        <v/>
      </c>
      <c r="AX307" s="431">
        <f>IFERROR(AW307*O307/1000,"")</f>
        <v/>
      </c>
      <c r="AY307" s="431">
        <f>IFERROR(ROUND(AW307*P307/10000,3),"")</f>
        <v/>
      </c>
      <c r="AZ307" s="354" t="n">
        <v>657.83</v>
      </c>
      <c r="BA307" s="355" t="n">
        <v>42.94</v>
      </c>
      <c r="BB307" s="355" t="n">
        <v>64.48999999999999</v>
      </c>
      <c r="BC307" s="355" t="n">
        <v>73.23</v>
      </c>
      <c r="BD307" s="331" t="n"/>
      <c r="BE307" s="331">
        <f>AZ307*AW307</f>
        <v/>
      </c>
      <c r="BF307" s="331">
        <f>BA307*AW307</f>
        <v/>
      </c>
      <c r="BG307" s="331">
        <f>BB307*AW307</f>
        <v/>
      </c>
      <c r="BH307" s="331">
        <f>BC307*AW307</f>
        <v/>
      </c>
      <c r="BI307" s="331" t="n"/>
      <c r="BJ307" s="356">
        <f t="array" ref="BJ307:BM307">_xlfn.LET(_xlpm.data,$R307:$AV307,_xlpm.starts,{1,8,16,23},_xlpm.lengths,{7,7,8,9},_xlpm.arr,_xlfn.MAP(_xlpm.starts,_xlpm.lengths,_xlfn.LAMBDA(_xlpm.s,_xlpm.l,SUM(INDEX(_xlpm.data,,_xlfn.SEQUENCE(,_xlpm.l,_xlpm.s))))),ROUND(_xlpm.arr*$O307/1000,2))</f>
        <v/>
      </c>
      <c r="BK307" s="331" t="n">
        <v>19.46</v>
      </c>
      <c r="BL307" s="331" t="n">
        <v>0</v>
      </c>
      <c r="BM307" s="331" t="n">
        <v>0</v>
      </c>
      <c r="BN307" s="362">
        <f>SUM(BJ307:BM307)</f>
        <v/>
      </c>
      <c r="BO307" s="362" t="n">
        <v>0</v>
      </c>
      <c r="BP307" s="362" t="n">
        <v>0</v>
      </c>
      <c r="BQ307" s="362" t="n">
        <v>24.25</v>
      </c>
      <c r="BR307" s="362" t="n">
        <v>27.28</v>
      </c>
      <c r="BS307" s="115" t="n"/>
      <c r="BT307" s="362">
        <f t="array" ref="BT307:BW307">_xlfn.HSTACK(SUM(INDEX($R307:$AV307,1,1):INDEX($R307:$AV307,1,7)),SUM(INDEX($R307:$AV307,1,7):INDEX($R307:$AV307,1,13)),SUM(INDEX($R307:$AV307,1,16):INDEX($R307:$AV307,1,23)),SUM(INDEX($R307:$AV307,1,23):INDEX($R307:$AV307,1,31)))</f>
        <v/>
      </c>
      <c r="BU307" s="362" t="n">
        <v>300</v>
      </c>
      <c r="BV307" s="362" t="n">
        <v>0</v>
      </c>
      <c r="BW307" s="362" t="n">
        <v>0</v>
      </c>
      <c r="BY307" s="362">
        <f>SUM(R307:X307)</f>
        <v/>
      </c>
      <c r="BZ307" s="362">
        <f>SUM(Y307:AE307)</f>
        <v/>
      </c>
      <c r="CA307" s="362">
        <f>SUM(AF307:AM307)</f>
        <v/>
      </c>
      <c r="CB307" s="362">
        <f>SUM(AN307:AV307)</f>
        <v/>
      </c>
      <c r="CD307" s="432" t="inlineStr">
        <is>
          <t>ADA</t>
        </is>
      </c>
      <c r="CE307" s="362">
        <f>ROUND(BY307*$O307/1000,2)</f>
        <v/>
      </c>
      <c r="CF307" s="362">
        <f>ROUND(BZ307*$O307/1000,2)</f>
        <v/>
      </c>
      <c r="CG307" s="362">
        <f>ROUND(CA307*$O307/1000,2)</f>
        <v/>
      </c>
      <c r="CH307" s="362">
        <f>ROUND(CB307*$O307/1000,2)</f>
        <v/>
      </c>
      <c r="CI307" s="362">
        <f>SUM(CE307:CH307)</f>
        <v/>
      </c>
      <c r="CJ307" s="390" t="n"/>
      <c r="CK307" s="362">
        <f>IFERROR(ROUND(BY307*$P307,2),"")</f>
        <v/>
      </c>
      <c r="CL307" s="362">
        <f>IFERROR(ROUND(BZ307*$P307,2),"")</f>
        <v/>
      </c>
      <c r="CM307" s="362">
        <f>IFERROR(ROUND(CA307*$P307,2),"")</f>
        <v/>
      </c>
      <c r="CN307" s="362">
        <f>IFERROR(ROUND(CB307*$P307,2),"")</f>
        <v/>
      </c>
      <c r="CO307" s="362">
        <f>SUM(CK307:CN307)</f>
        <v/>
      </c>
    </row>
    <row r="308" ht="15.6" customFormat="1" customHeight="1" s="362">
      <c r="A308" s="331" t="n"/>
      <c r="B308" s="344">
        <f>_xlfn.XLOOKUP(G308,销售需求表!A:A,销售需求表!C:C)</f>
        <v/>
      </c>
      <c r="C308" s="345">
        <f>IFERROR(MID(F308,FIND("R",F308)+1,2),"")</f>
        <v/>
      </c>
      <c r="D308" s="368">
        <f>B308&amp;C308&amp;"寸"</f>
        <v/>
      </c>
      <c r="E308" s="346">
        <f>LEFT(REPLACE(G308,1,2,""),FIND("[",REPLACE(G308,1,2,""))-1)&amp;"-"&amp;MID(REPLACE(G308,1,2,""),FIND("[",REPLACE(G308,1,2,""))+1,FIND("]",REPLACE(G308,1,2,""))-FIND("[",REPLACE(G308,1,2,""))-1)</f>
        <v/>
      </c>
      <c r="F308" s="347">
        <f>IFERROR(MID(G308,3,FIND("(",G308)-3)&amp;"-"&amp;SUBSTITUTE(MID(G308,FIND("[",G308)+1,FIND("]",G308)-FIND("[",G308)-1),"Strong Guard ",""),"")</f>
        <v/>
      </c>
      <c r="G308" s="366" t="inlineStr">
        <is>
          <t>ID12.00R24-20PR(160/157F)[TRD-79]TRAZANO(全诺)</t>
        </is>
      </c>
      <c r="H308" s="344" t="n">
        <v>1400</v>
      </c>
      <c r="I308" s="348" t="n">
        <v>6</v>
      </c>
      <c r="J308" s="349">
        <f>IFERROR(LEFT(F308,FIND("-",F308))&amp;MID(F308,FIND("PR",F308,FIND("-",F308))+3,LEN(F308)),F308)</f>
        <v/>
      </c>
      <c r="K308" s="352">
        <f>_xlfn.XLOOKUP(F308,投产规格!E:E,投产规格!D:D,"未投产")</f>
        <v/>
      </c>
      <c r="L308" s="352">
        <f>IFERROR(_xlfn.XLOOKUP(F308,硫化工艺!B:B,硫化工艺!C:C),"")</f>
        <v/>
      </c>
      <c r="M308" s="430">
        <f>IF(L308="","",L308/(L308+$L$1/60))</f>
        <v/>
      </c>
      <c r="N308" s="352">
        <f>C308&amp;"全钢"</f>
        <v/>
      </c>
      <c r="O308" s="352">
        <f>IFERROR(_xlfn.XLOOKUP(F308,轮胎重量!J:J,轮胎重量!G:G),"")</f>
        <v/>
      </c>
      <c r="P308" s="358">
        <f>O308*13.9</f>
        <v/>
      </c>
      <c r="Q308" s="352">
        <f>IFERROR(ROUND(1440/L308*(I308)*M308,0),"")</f>
        <v/>
      </c>
      <c r="R308" s="352">
        <f>44*3</f>
        <v/>
      </c>
      <c r="S308" s="352">
        <f>44*3</f>
        <v/>
      </c>
      <c r="T308" s="352">
        <f>44*3</f>
        <v/>
      </c>
      <c r="U308" s="352">
        <f>44*3</f>
        <v/>
      </c>
      <c r="V308" s="352">
        <f>44*3</f>
        <v/>
      </c>
      <c r="W308" s="352">
        <f>44*3</f>
        <v/>
      </c>
      <c r="X308" s="352">
        <f>44*3</f>
        <v/>
      </c>
      <c r="Y308" s="352">
        <f>44*3</f>
        <v/>
      </c>
      <c r="Z308" s="352">
        <f>44*3</f>
        <v/>
      </c>
      <c r="AA308" s="352">
        <f>44*3</f>
        <v/>
      </c>
      <c r="AB308" s="352">
        <f>44*3</f>
        <v/>
      </c>
      <c r="AC308" s="352" t="n"/>
      <c r="AD308" s="352" t="n"/>
      <c r="AE308" s="352" t="n"/>
      <c r="AF308" s="352" t="n"/>
      <c r="AG308" s="352" t="n"/>
      <c r="AH308" s="352" t="n"/>
      <c r="AI308" s="352" t="n"/>
      <c r="AJ308" s="352" t="n"/>
      <c r="AK308" s="352" t="n"/>
      <c r="AL308" s="352" t="n"/>
      <c r="AM308" s="352" t="n"/>
      <c r="AN308" s="352" t="n"/>
      <c r="AO308" s="352" t="n"/>
      <c r="AP308" s="352" t="n"/>
      <c r="AQ308" s="352" t="n"/>
      <c r="AR308" s="352" t="n"/>
      <c r="AS308" s="352" t="n"/>
      <c r="AT308" s="352" t="n"/>
      <c r="AU308" s="352" t="n"/>
      <c r="AV308" s="352" t="n"/>
      <c r="AW308" s="352">
        <f>IF(SUM(R308:AV308)=0,"",SUM(R308:AV308))</f>
        <v/>
      </c>
      <c r="AX308" s="431">
        <f>IFERROR(AW308*O308/1000,"")</f>
        <v/>
      </c>
      <c r="AY308" s="431">
        <f>IFERROR(ROUND(AW308*P308/10000,3),"")</f>
        <v/>
      </c>
      <c r="AZ308" s="354" t="n">
        <v>657.83</v>
      </c>
      <c r="BA308" s="355" t="n">
        <v>42.94</v>
      </c>
      <c r="BB308" s="355" t="n">
        <v>64.48999999999999</v>
      </c>
      <c r="BC308" s="355" t="n">
        <v>73.23</v>
      </c>
      <c r="BD308" s="331" t="n"/>
      <c r="BE308" s="331">
        <f>AZ308*AW308</f>
        <v/>
      </c>
      <c r="BF308" s="331">
        <f>BA308*AW308</f>
        <v/>
      </c>
      <c r="BG308" s="331">
        <f>BB308*AW308</f>
        <v/>
      </c>
      <c r="BH308" s="331">
        <f>BC308*AW308</f>
        <v/>
      </c>
      <c r="BI308" s="331" t="n"/>
      <c r="BJ308" s="356">
        <f t="array" ref="BJ308:BM308">_xlfn.LET(_xlpm.data,$R308:$AV308,_xlpm.starts,{1,8,16,23},_xlpm.lengths,{7,7,8,9},_xlpm.arr,_xlfn.MAP(_xlpm.starts,_xlpm.lengths,_xlfn.LAMBDA(_xlpm.s,_xlpm.l,SUM(INDEX(_xlpm.data,,_xlfn.SEQUENCE(,_xlpm.l,_xlpm.s))))),ROUND(_xlpm.arr*$O308/1000,2))</f>
        <v/>
      </c>
      <c r="BK308" s="331" t="n">
        <v>48.87</v>
      </c>
      <c r="BL308" s="331" t="n">
        <v>0</v>
      </c>
      <c r="BM308" s="331" t="n">
        <v>0</v>
      </c>
      <c r="BN308" s="362">
        <f>SUM(BJ308:BM308)</f>
        <v/>
      </c>
      <c r="BO308" s="362" t="n">
        <v>0</v>
      </c>
      <c r="BP308" s="362" t="n">
        <v>0</v>
      </c>
      <c r="BQ308" s="362" t="n">
        <v>24.25</v>
      </c>
      <c r="BR308" s="362" t="n">
        <v>27.28</v>
      </c>
      <c r="BS308" s="115" t="n"/>
      <c r="BT308" s="362">
        <f t="array" ref="BT308:BW308">_xlfn.HSTACK(SUM(INDEX($R308:$AV308,1,1):INDEX($R308:$AV308,1,7)),SUM(INDEX($R308:$AV308,1,7):INDEX($R308:$AV308,1,13)),SUM(INDEX($R308:$AV308,1,16):INDEX($R308:$AV308,1,23)),SUM(INDEX($R308:$AV308,1,23):INDEX($R308:$AV308,1,31)))</f>
        <v/>
      </c>
      <c r="BU308" s="362" t="n">
        <v>660</v>
      </c>
      <c r="BV308" s="362" t="n">
        <v>0</v>
      </c>
      <c r="BW308" s="362" t="n">
        <v>0</v>
      </c>
      <c r="BY308" s="362">
        <f>SUM(R308:X308)</f>
        <v/>
      </c>
      <c r="BZ308" s="362">
        <f>SUM(Y308:AE308)</f>
        <v/>
      </c>
      <c r="CA308" s="362">
        <f>SUM(AF308:AM308)</f>
        <v/>
      </c>
      <c r="CB308" s="362">
        <f>SUM(AN308:AV308)</f>
        <v/>
      </c>
      <c r="CD308" s="432" t="inlineStr">
        <is>
          <t>ADA</t>
        </is>
      </c>
      <c r="CE308" s="362">
        <f>ROUND(BY308*$O308/1000,2)</f>
        <v/>
      </c>
      <c r="CF308" s="362">
        <f>ROUND(BZ308*$O308/1000,2)</f>
        <v/>
      </c>
      <c r="CG308" s="362">
        <f>ROUND(CA308*$O308/1000,2)</f>
        <v/>
      </c>
      <c r="CH308" s="362">
        <f>ROUND(CB308*$O308/1000,2)</f>
        <v/>
      </c>
      <c r="CI308" s="362">
        <f>SUM(CE308:CH308)</f>
        <v/>
      </c>
      <c r="CJ308" s="390" t="n"/>
      <c r="CK308" s="362">
        <f>IFERROR(ROUND(BY308*$P308,2),"")</f>
        <v/>
      </c>
      <c r="CL308" s="362">
        <f>IFERROR(ROUND(BZ308*$P308,2),"")</f>
        <v/>
      </c>
      <c r="CM308" s="362">
        <f>IFERROR(ROUND(CA308*$P308,2),"")</f>
        <v/>
      </c>
      <c r="CN308" s="362">
        <f>IFERROR(ROUND(CB308*$P308,2),"")</f>
        <v/>
      </c>
      <c r="CO308" s="362">
        <f>SUM(CK308:CN308)</f>
        <v/>
      </c>
    </row>
    <row r="309" hidden="1" ht="15.6" customFormat="1" customHeight="1" s="362">
      <c r="A309" s="331" t="n"/>
      <c r="B309" s="344">
        <f>_xlfn.XLOOKUP(G309,销售需求表!A:A,销售需求表!C:C)</f>
        <v/>
      </c>
      <c r="C309" s="345">
        <f>IFERROR(MID(F309,FIND("R",F309)+1,2),"")</f>
        <v/>
      </c>
      <c r="D309" s="368">
        <f>B309&amp;C309&amp;"寸"</f>
        <v/>
      </c>
      <c r="E309" s="346">
        <f>LEFT(REPLACE(G309,1,2,""),FIND("[",REPLACE(G309,1,2,""))-1)&amp;"-"&amp;MID(REPLACE(G309,1,2,""),FIND("[",REPLACE(G309,1,2,""))+1,FIND("]",REPLACE(G309,1,2,""))-FIND("[",REPLACE(G309,1,2,""))-1)</f>
        <v/>
      </c>
      <c r="F309" s="347">
        <f>IFERROR(MID(G309,3,FIND("(",G309)-3)&amp;"-"&amp;SUBSTITUTE(MID(G309,FIND("[",G309)+1,FIND("]",G309)-FIND("[",G309)-1),"Strong Guard ",""),"")</f>
        <v/>
      </c>
      <c r="G309" s="366" t="inlineStr">
        <is>
          <t>ID12.00R24-☆☆(162/160C)PR[XC819]路诚 综合型</t>
        </is>
      </c>
      <c r="H309" s="344" t="n">
        <v>120</v>
      </c>
      <c r="I309" s="348" t="n"/>
      <c r="J309" s="349">
        <f>IFERROR(LEFT(F309,FIND("-",F309))&amp;MID(F309,FIND("PR",F309,FIND("-",F309))+3,LEN(F309)),F309)</f>
        <v/>
      </c>
      <c r="K309" s="352">
        <f>_xlfn.XLOOKUP(F309,投产规格!E:E,投产规格!D:D,"未投产")</f>
        <v/>
      </c>
      <c r="L309" s="352">
        <f>IFERROR(_xlfn.XLOOKUP(F309,硫化工艺!B:B,硫化工艺!C:C),"")</f>
        <v/>
      </c>
      <c r="M309" s="430">
        <f>IF(L309="","",L309/(L309+$L$1/60))</f>
        <v/>
      </c>
      <c r="N309" s="352">
        <f>C309&amp;"全钢"</f>
        <v/>
      </c>
      <c r="O309" s="352">
        <f>IFERROR(_xlfn.XLOOKUP(F309,轮胎重量!J:J,轮胎重量!G:G),"")</f>
        <v/>
      </c>
      <c r="P309" s="352">
        <f>IFERROR(_xlfn.XLOOKUP(G309,硫化工艺!I:I,硫化工艺!J:J),"")</f>
        <v/>
      </c>
      <c r="Q309" s="352">
        <f>IFERROR(ROUND(1440/L309*(I309)*M309,0),"")</f>
        <v/>
      </c>
      <c r="R309" s="352" t="n"/>
      <c r="S309" s="352" t="n"/>
      <c r="T309" s="352" t="n"/>
      <c r="U309" s="352" t="n"/>
      <c r="V309" s="352" t="n"/>
      <c r="W309" s="352" t="n"/>
      <c r="X309" s="352" t="n"/>
      <c r="Y309" s="352" t="n"/>
      <c r="Z309" s="352" t="n"/>
      <c r="AA309" s="352" t="n"/>
      <c r="AB309" s="352" t="n"/>
      <c r="AC309" s="352" t="n"/>
      <c r="AD309" s="352" t="n"/>
      <c r="AE309" s="352" t="n"/>
      <c r="AF309" s="352" t="n"/>
      <c r="AG309" s="352" t="n"/>
      <c r="AH309" s="352" t="n"/>
      <c r="AI309" s="352" t="n"/>
      <c r="AJ309" s="352" t="n"/>
      <c r="AK309" s="352" t="n"/>
      <c r="AL309" s="352" t="n"/>
      <c r="AM309" s="352" t="n"/>
      <c r="AN309" s="352" t="n"/>
      <c r="AO309" s="352" t="n"/>
      <c r="AP309" s="352" t="n"/>
      <c r="AQ309" s="352" t="n"/>
      <c r="AR309" s="352" t="n"/>
      <c r="AS309" s="352" t="n"/>
      <c r="AT309" s="352" t="n"/>
      <c r="AU309" s="352" t="n"/>
      <c r="AV309" s="352" t="n"/>
      <c r="AW309" s="352">
        <f>IF(SUM(R309:AV309)=0,"",SUM(R309:AV309))</f>
        <v/>
      </c>
      <c r="AX309" s="431">
        <f>IFERROR(AW309*O309/1000,"")</f>
        <v/>
      </c>
      <c r="AY309" s="431">
        <f>IFERROR(ROUND(AW309*P309/10000,3),"")</f>
        <v/>
      </c>
      <c r="AZ309" s="354" t="n">
        <v>657.83</v>
      </c>
      <c r="BA309" s="355" t="n">
        <v>42.94</v>
      </c>
      <c r="BB309" s="355" t="n">
        <v>64.48999999999999</v>
      </c>
      <c r="BC309" s="355" t="n">
        <v>73.23</v>
      </c>
      <c r="BD309" s="331" t="n"/>
      <c r="BE309" s="331">
        <f>AZ309*AW309</f>
        <v/>
      </c>
      <c r="BF309" s="331">
        <f>BA309*AW309</f>
        <v/>
      </c>
      <c r="BG309" s="331">
        <f>BB309*AW309</f>
        <v/>
      </c>
      <c r="BH309" s="331">
        <f>BC309*AW309</f>
        <v/>
      </c>
      <c r="BI309" s="331" t="n"/>
      <c r="BJ309" s="356">
        <f t="array" ref="BJ309:BM309">_xlfn.LET(_xlpm.data,$R309:$AV309,_xlpm.starts,{1,8,16,23},_xlpm.lengths,{7,7,8,9},_xlpm.arr,_xlfn.MAP(_xlpm.starts,_xlpm.lengths,_xlfn.LAMBDA(_xlpm.s,_xlpm.l,SUM(INDEX(_xlpm.data,,_xlfn.SEQUENCE(,_xlpm.l,_xlpm.s))))),ROUND(_xlpm.arr*$O309/1000,2))</f>
        <v/>
      </c>
      <c r="BK309" s="331" t="n">
        <v>0</v>
      </c>
      <c r="BL309" s="331" t="n">
        <v>0</v>
      </c>
      <c r="BM309" s="331" t="n">
        <v>0</v>
      </c>
      <c r="BN309" s="362">
        <f>SUM(BJ309:BM309)</f>
        <v/>
      </c>
      <c r="BO309" s="362" t="n">
        <v>0</v>
      </c>
      <c r="BP309" s="362" t="n">
        <v>0</v>
      </c>
      <c r="BQ309" s="362" t="n">
        <v>24.25</v>
      </c>
      <c r="BR309" s="362" t="n">
        <v>27.28</v>
      </c>
      <c r="BS309" s="115" t="n"/>
      <c r="BT309" s="362">
        <f t="array" ref="BT309:BW309">_xlfn.HSTACK(SUM(INDEX($R309:$AV309,1,1):INDEX($R309:$AV309,1,7)),SUM(INDEX($R309:$AV309,1,7):INDEX($R309:$AV309,1,13)),SUM(INDEX($R309:$AV309,1,16):INDEX($R309:$AV309,1,23)),SUM(INDEX($R309:$AV309,1,23):INDEX($R309:$AV309,1,31)))</f>
        <v/>
      </c>
      <c r="BU309" s="362" t="n">
        <v>0</v>
      </c>
      <c r="BV309" s="362" t="n">
        <v>0</v>
      </c>
      <c r="BW309" s="362" t="n">
        <v>0</v>
      </c>
      <c r="BY309" s="362">
        <f>SUM(R309:X309)</f>
        <v/>
      </c>
      <c r="BZ309" s="362">
        <f>SUM(Y309:AE309)</f>
        <v/>
      </c>
      <c r="CA309" s="362">
        <f>SUM(AF309:AM309)</f>
        <v/>
      </c>
      <c r="CB309" s="362">
        <f>SUM(AN309:AV309)</f>
        <v/>
      </c>
      <c r="CD309" s="432" t="inlineStr">
        <is>
          <t>ADA</t>
        </is>
      </c>
      <c r="CE309" s="362">
        <f>ROUND(BY309*$O309/1000,2)</f>
        <v/>
      </c>
      <c r="CF309" s="362">
        <f>ROUND(BZ309*$O309/1000,2)</f>
        <v/>
      </c>
      <c r="CG309" s="362">
        <f>ROUND(CA309*$O309/1000,2)</f>
        <v/>
      </c>
      <c r="CH309" s="362">
        <f>ROUND(CB309*$O309/1000,2)</f>
        <v/>
      </c>
      <c r="CI309" s="362">
        <f>SUM(CE309:CH309)</f>
        <v/>
      </c>
      <c r="CJ309" s="390" t="n"/>
      <c r="CK309" s="362">
        <f>IFERROR(ROUND(BY309*$P309,2),"")</f>
        <v/>
      </c>
      <c r="CL309" s="362">
        <f>IFERROR(ROUND(BZ309*$P309,2),"")</f>
        <v/>
      </c>
      <c r="CM309" s="362">
        <f>IFERROR(ROUND(CA309*$P309,2),"")</f>
        <v/>
      </c>
      <c r="CN309" s="362">
        <f>IFERROR(ROUND(CB309*$P309,2),"")</f>
        <v/>
      </c>
      <c r="CO309" s="362">
        <f>SUM(CK309:CN309)</f>
        <v/>
      </c>
    </row>
    <row r="310" hidden="1" ht="15.6" customHeight="1" s="428">
      <c r="B310" s="344">
        <f>_xlfn.XLOOKUP(G310,销售需求表!A:A,销售需求表!C:C)</f>
        <v/>
      </c>
      <c r="C310" s="345">
        <f>IFERROR(MID(F310,FIND("R",F310)+1,2),"")</f>
        <v/>
      </c>
      <c r="D310" s="368">
        <f>B310&amp;C310&amp;"寸"</f>
        <v/>
      </c>
      <c r="E310" s="346">
        <f>LEFT(REPLACE(G310,1,2,""),FIND("[",REPLACE(G310,1,2,""))-1)&amp;"-"&amp;MID(REPLACE(G310,1,2,""),FIND("[",REPLACE(G310,1,2,""))+1,FIND("]",REPLACE(G310,1,2,""))-FIND("[",REPLACE(G310,1,2,""))-1)</f>
        <v/>
      </c>
      <c r="F310" s="347">
        <f>IFERROR(MID(G310,3,FIND("(",G310)-3)&amp;"-"&amp;SUBSTITUTE(MID(G310,FIND("[",G310)+1,FIND("]",G310)-FIND("[",G310)-1),"Strong Guard ",""),"")</f>
        <v/>
      </c>
      <c r="G310" s="346" t="inlineStr">
        <is>
          <t>ID325/95R24-22PR(162/160F)[CB972]威狮无内</t>
        </is>
      </c>
      <c r="H310" s="344" t="n">
        <v>600</v>
      </c>
      <c r="I310" s="348" t="n"/>
      <c r="J310" s="349">
        <f>IFERROR(LEFT(F310,FIND("-",F310))&amp;MID(F310,FIND("PR",F310,FIND("-",F310))+3,LEN(F310)),F310)</f>
        <v/>
      </c>
      <c r="K310" s="352">
        <f>_xlfn.XLOOKUP(F310,投产规格!E:E,投产规格!D:D,"未投产")</f>
        <v/>
      </c>
      <c r="L310" s="352">
        <f>IFERROR(_xlfn.XLOOKUP(F310,硫化工艺!B:B,硫化工艺!C:C),"")</f>
        <v/>
      </c>
      <c r="M310" s="430">
        <f>IF(L310="","",L310/(L310+$L$1/60))</f>
        <v/>
      </c>
      <c r="N310" s="352">
        <f>C310&amp;"全钢"</f>
        <v/>
      </c>
      <c r="O310" s="352">
        <f>IFERROR(_xlfn.XLOOKUP(F310,轮胎重量!J:J,轮胎重量!G:G),"")</f>
        <v/>
      </c>
      <c r="P310" s="352">
        <f>IFERROR(_xlfn.XLOOKUP(G310,硫化工艺!I:I,硫化工艺!J:J),"")</f>
        <v/>
      </c>
      <c r="Q310" s="352">
        <f>IFERROR(ROUND(1440/L310*(I310)*M310,0),"")</f>
        <v/>
      </c>
      <c r="R310" s="352" t="n"/>
      <c r="S310" s="352" t="n"/>
      <c r="T310" s="352" t="n"/>
      <c r="U310" s="352" t="n"/>
      <c r="V310" s="352" t="n"/>
      <c r="W310" s="352" t="n"/>
      <c r="X310" s="352" t="n"/>
      <c r="Y310" s="352" t="n"/>
      <c r="Z310" s="352" t="n"/>
      <c r="AA310" s="352" t="n"/>
      <c r="AB310" s="352" t="n"/>
      <c r="AC310" s="352" t="n"/>
      <c r="AD310" s="352" t="n"/>
      <c r="AE310" s="352" t="n"/>
      <c r="AF310" s="352" t="n"/>
      <c r="AG310" s="352" t="n"/>
      <c r="AH310" s="352" t="n"/>
      <c r="AI310" s="352" t="n"/>
      <c r="AJ310" s="352" t="n"/>
      <c r="AK310" s="352" t="n"/>
      <c r="AL310" s="352" t="n"/>
      <c r="AM310" s="352" t="n"/>
      <c r="AN310" s="352" t="n"/>
      <c r="AO310" s="352" t="n"/>
      <c r="AP310" s="352" t="n"/>
      <c r="AQ310" s="352" t="n"/>
      <c r="AR310" s="352" t="n"/>
      <c r="AS310" s="352" t="n"/>
      <c r="AT310" s="352" t="n"/>
      <c r="AU310" s="352" t="n"/>
      <c r="AV310" s="352" t="n"/>
      <c r="AW310" s="352">
        <f>IF(SUM(R310:AV310)=0,"",SUM(R310:AV310))</f>
        <v/>
      </c>
      <c r="AX310" s="431">
        <f>IFERROR(AW310*O310/1000,"")</f>
        <v/>
      </c>
      <c r="AY310" s="431">
        <f>IFERROR(ROUND(AW310*P310/10000,3),"")</f>
        <v/>
      </c>
      <c r="AZ310" s="354" t="n">
        <v>677.88</v>
      </c>
      <c r="BA310" s="355" t="n">
        <v>44.56</v>
      </c>
      <c r="BB310" s="355" t="n">
        <v>66.37</v>
      </c>
      <c r="BC310" s="355" t="n">
        <v>75.26000000000001</v>
      </c>
      <c r="BE310" s="331">
        <f>AZ310*AW310</f>
        <v/>
      </c>
      <c r="BF310" s="331">
        <f>BA310*AW310</f>
        <v/>
      </c>
      <c r="BG310" s="331">
        <f>BB310*AW310</f>
        <v/>
      </c>
      <c r="BH310" s="331">
        <f>BC310*AW310</f>
        <v/>
      </c>
      <c r="BJ310" s="356">
        <f t="array" ref="BJ310:BM310">_xlfn.LET(_xlpm.data,$R310:$AV310,_xlpm.starts,{1,8,16,23},_xlpm.lengths,{7,7,8,9},_xlpm.arr,_xlfn.MAP(_xlpm.starts,_xlpm.lengths,_xlfn.LAMBDA(_xlpm.s,_xlpm.l,SUM(INDEX(_xlpm.data,,_xlfn.SEQUENCE(,_xlpm.l,_xlpm.s))))),ROUND(_xlpm.arr*$O310/1000,2))</f>
        <v/>
      </c>
      <c r="BK310" s="331" t="n">
        <v>0</v>
      </c>
      <c r="BL310" s="331" t="n">
        <v>0</v>
      </c>
      <c r="BM310" s="331" t="n">
        <v>0</v>
      </c>
      <c r="BN310" s="362">
        <f>SUM(BJ310:BM310)</f>
        <v/>
      </c>
      <c r="BO310" s="362" t="n">
        <v>0</v>
      </c>
      <c r="BP310" s="362" t="n">
        <v>0</v>
      </c>
      <c r="BQ310" s="362" t="n">
        <v>0</v>
      </c>
      <c r="BR310" s="362" t="n">
        <v>0</v>
      </c>
      <c r="BT310" s="362">
        <f t="array" ref="BT310:BW310">_xlfn.HSTACK(SUM(INDEX($R310:$AV310,1,1):INDEX($R310:$AV310,1,7)),SUM(INDEX($R310:$AV310,1,7):INDEX($R310:$AV310,1,13)),SUM(INDEX($R310:$AV310,1,16):INDEX($R310:$AV310,1,23)),SUM(INDEX($R310:$AV310,1,23):INDEX($R310:$AV310,1,31)))</f>
        <v/>
      </c>
      <c r="BU310" s="362" t="n">
        <v>0</v>
      </c>
      <c r="BV310" s="362" t="n">
        <v>0</v>
      </c>
      <c r="BW310" s="362" t="n">
        <v>0</v>
      </c>
      <c r="BY310" s="362">
        <f>SUM(R310:X310)</f>
        <v/>
      </c>
      <c r="BZ310" s="362">
        <f>SUM(Y310:AE310)</f>
        <v/>
      </c>
      <c r="CA310" s="362">
        <f>SUM(AF310:AM310)</f>
        <v/>
      </c>
      <c r="CB310" s="362">
        <f>SUM(AN310:AV310)</f>
        <v/>
      </c>
      <c r="CD310" s="432" t="inlineStr">
        <is>
          <t>ADA</t>
        </is>
      </c>
      <c r="CE310" s="362">
        <f>ROUND(BY310*$O310/1000,2)</f>
        <v/>
      </c>
      <c r="CF310" s="362">
        <f>ROUND(BZ310*$O310/1000,2)</f>
        <v/>
      </c>
      <c r="CG310" s="362">
        <f>ROUND(CA310*$O310/1000,2)</f>
        <v/>
      </c>
      <c r="CH310" s="362">
        <f>ROUND(CB310*$O310/1000,2)</f>
        <v/>
      </c>
      <c r="CI310" s="362">
        <f>SUM(CE310:CH310)</f>
        <v/>
      </c>
      <c r="CK310" s="362">
        <f>IFERROR(ROUND(BY310*$P310,2),"")</f>
        <v/>
      </c>
      <c r="CL310" s="362">
        <f>IFERROR(ROUND(BZ310*$P310,2),"")</f>
        <v/>
      </c>
      <c r="CM310" s="362">
        <f>IFERROR(ROUND(CA310*$P310,2),"")</f>
        <v/>
      </c>
      <c r="CN310" s="362">
        <f>IFERROR(ROUND(CB310*$P310,2),"")</f>
        <v/>
      </c>
      <c r="CO310" s="362">
        <f>SUM(CK310:CN310)</f>
        <v/>
      </c>
    </row>
    <row r="311" hidden="1" ht="15.6" customHeight="1" s="428">
      <c r="B311" s="344">
        <f>_xlfn.XLOOKUP(G311,销售需求表!A:A,销售需求表!C:C)</f>
        <v/>
      </c>
      <c r="C311" s="345">
        <f>IFERROR(MID(F311,FIND("R",F311)+1,2),"")</f>
        <v/>
      </c>
      <c r="D311" s="368">
        <f>B311&amp;C311&amp;"寸"</f>
        <v/>
      </c>
      <c r="E311" s="346">
        <f>LEFT(REPLACE(G311,1,2,""),FIND("[",REPLACE(G311,1,2,""))-1)&amp;"-"&amp;MID(REPLACE(G311,1,2,""),FIND("[",REPLACE(G311,1,2,""))+1,FIND("]",REPLACE(G311,1,2,""))-FIND("[",REPLACE(G311,1,2,""))-1)</f>
        <v/>
      </c>
      <c r="F311" s="347">
        <f>IFERROR(MID(G311,3,FIND("(",G311)-3)&amp;"-"&amp;SUBSTITUTE(MID(G311,FIND("[",G311)+1,FIND("]",G311)-FIND("[",G311)-1),"Strong Guard ",""),"")</f>
        <v/>
      </c>
      <c r="G311" s="346" t="inlineStr">
        <is>
          <t>ID325/95R24-22PR(162/160K)[AZ828]威狮无内</t>
        </is>
      </c>
      <c r="H311" s="344" t="n">
        <v>250</v>
      </c>
      <c r="I311" s="348" t="n"/>
      <c r="J311" s="349">
        <f>IFERROR(LEFT(F311,FIND("-",F311))&amp;MID(F311,FIND("PR",F311,FIND("-",F311))+3,LEN(F311)),F311)</f>
        <v/>
      </c>
      <c r="K311" s="352">
        <f>_xlfn.XLOOKUP(F311,投产规格!E:E,投产规格!D:D,"未投产")</f>
        <v/>
      </c>
      <c r="L311" s="352">
        <f>IFERROR(_xlfn.XLOOKUP(F311,硫化工艺!B:B,硫化工艺!C:C),"")</f>
        <v/>
      </c>
      <c r="M311" s="430">
        <f>IF(L311="","",L311/(L311+$L$1/60))</f>
        <v/>
      </c>
      <c r="N311" s="352">
        <f>C311&amp;"全钢"</f>
        <v/>
      </c>
      <c r="O311" s="352">
        <f>IFERROR(_xlfn.XLOOKUP(F311,轮胎重量!J:J,轮胎重量!G:G),"")</f>
        <v/>
      </c>
      <c r="P311" s="352">
        <f>IFERROR(_xlfn.XLOOKUP(G311,硫化工艺!I:I,硫化工艺!J:J),"")</f>
        <v/>
      </c>
      <c r="Q311" s="352">
        <f>IFERROR(ROUND(1440/L311*(I311)*M311,0),"")</f>
        <v/>
      </c>
      <c r="R311" s="352" t="n"/>
      <c r="S311" s="352" t="n"/>
      <c r="T311" s="352" t="n"/>
      <c r="U311" s="352" t="n"/>
      <c r="V311" s="352" t="n"/>
      <c r="W311" s="352" t="n"/>
      <c r="X311" s="352" t="n"/>
      <c r="Y311" s="352" t="n"/>
      <c r="Z311" s="352" t="n"/>
      <c r="AA311" s="352" t="n"/>
      <c r="AB311" s="352" t="n"/>
      <c r="AC311" s="352" t="n"/>
      <c r="AD311" s="352" t="n"/>
      <c r="AE311" s="352" t="n"/>
      <c r="AF311" s="352" t="n"/>
      <c r="AG311" s="352" t="n"/>
      <c r="AH311" s="352" t="n"/>
      <c r="AI311" s="352" t="n"/>
      <c r="AJ311" s="352" t="n"/>
      <c r="AK311" s="352" t="n"/>
      <c r="AL311" s="352" t="n"/>
      <c r="AM311" s="352" t="n"/>
      <c r="AN311" s="352" t="n"/>
      <c r="AO311" s="352" t="n"/>
      <c r="AP311" s="352" t="n"/>
      <c r="AQ311" s="352" t="n"/>
      <c r="AR311" s="352" t="n"/>
      <c r="AS311" s="352" t="n"/>
      <c r="AT311" s="352" t="n"/>
      <c r="AU311" s="352" t="n"/>
      <c r="AV311" s="352" t="n"/>
      <c r="AW311" s="352">
        <f>IF(SUM(R311:AV311)=0,"",SUM(R311:AV311))</f>
        <v/>
      </c>
      <c r="AX311" s="431">
        <f>IFERROR(AW311*O311/1000,"")</f>
        <v/>
      </c>
      <c r="AY311" s="431">
        <f>IFERROR(ROUND(AW311*P311/10000,3),"")</f>
        <v/>
      </c>
      <c r="AZ311" s="354" t="n">
        <v>677.88</v>
      </c>
      <c r="BA311" s="355" t="n">
        <v>44.56</v>
      </c>
      <c r="BB311" s="355" t="n">
        <v>66.37</v>
      </c>
      <c r="BC311" s="355" t="n">
        <v>75.26000000000001</v>
      </c>
      <c r="BE311" s="331">
        <f>AZ311*AW311</f>
        <v/>
      </c>
      <c r="BF311" s="331">
        <f>BA311*AW311</f>
        <v/>
      </c>
      <c r="BG311" s="331">
        <f>BB311*AW311</f>
        <v/>
      </c>
      <c r="BH311" s="331">
        <f>BC311*AW311</f>
        <v/>
      </c>
      <c r="BJ311" s="356">
        <f t="array" ref="BJ311:BM311">_xlfn.LET(_xlpm.data,$R311:$AV311,_xlpm.starts,{1,8,16,23},_xlpm.lengths,{7,7,8,9},_xlpm.arr,_xlfn.MAP(_xlpm.starts,_xlpm.lengths,_xlfn.LAMBDA(_xlpm.s,_xlpm.l,SUM(INDEX(_xlpm.data,,_xlfn.SEQUENCE(,_xlpm.l,_xlpm.s))))),ROUND(_xlpm.arr*$O311/1000,2))</f>
        <v/>
      </c>
      <c r="BK311" s="331" t="n">
        <v>0</v>
      </c>
      <c r="BL311" s="331" t="n">
        <v>0</v>
      </c>
      <c r="BM311" s="331" t="n">
        <v>0</v>
      </c>
      <c r="BN311" s="362">
        <f>SUM(BJ311:BM311)</f>
        <v/>
      </c>
      <c r="BO311" s="362" t="n">
        <v>0</v>
      </c>
      <c r="BP311" s="362" t="n">
        <v>0</v>
      </c>
      <c r="BQ311" s="362" t="n">
        <v>25.61</v>
      </c>
      <c r="BR311" s="362" t="n">
        <v>28.81</v>
      </c>
      <c r="BT311" s="362">
        <f t="array" ref="BT311:BW311">_xlfn.HSTACK(SUM(INDEX($R311:$AV311,1,1):INDEX($R311:$AV311,1,7)),SUM(INDEX($R311:$AV311,1,7):INDEX($R311:$AV311,1,13)),SUM(INDEX($R311:$AV311,1,16):INDEX($R311:$AV311,1,23)),SUM(INDEX($R311:$AV311,1,23):INDEX($R311:$AV311,1,31)))</f>
        <v/>
      </c>
      <c r="BU311" s="362" t="n">
        <v>0</v>
      </c>
      <c r="BV311" s="362" t="n">
        <v>0</v>
      </c>
      <c r="BW311" s="362" t="n">
        <v>0</v>
      </c>
      <c r="BY311" s="362">
        <f>SUM(R311:X311)</f>
        <v/>
      </c>
      <c r="BZ311" s="362">
        <f>SUM(Y311:AE311)</f>
        <v/>
      </c>
      <c r="CA311" s="362">
        <f>SUM(AF311:AM311)</f>
        <v/>
      </c>
      <c r="CB311" s="362">
        <f>SUM(AN311:AV311)</f>
        <v/>
      </c>
      <c r="CD311" s="432" t="inlineStr">
        <is>
          <t>ADA</t>
        </is>
      </c>
      <c r="CE311" s="362">
        <f>ROUND(BY311*$O311/1000,2)</f>
        <v/>
      </c>
      <c r="CF311" s="362">
        <f>ROUND(BZ311*$O311/1000,2)</f>
        <v/>
      </c>
      <c r="CG311" s="362">
        <f>ROUND(CA311*$O311/1000,2)</f>
        <v/>
      </c>
      <c r="CH311" s="362">
        <f>ROUND(CB311*$O311/1000,2)</f>
        <v/>
      </c>
      <c r="CI311" s="362">
        <f>SUM(CE311:CH311)</f>
        <v/>
      </c>
      <c r="CK311" s="362">
        <f>IFERROR(ROUND(BY311*$P311,2),"")</f>
        <v/>
      </c>
      <c r="CL311" s="362">
        <f>IFERROR(ROUND(BZ311*$P311,2),"")</f>
        <v/>
      </c>
      <c r="CM311" s="362">
        <f>IFERROR(ROUND(CA311*$P311,2),"")</f>
        <v/>
      </c>
      <c r="CN311" s="362">
        <f>IFERROR(ROUND(CB311*$P311,2),"")</f>
        <v/>
      </c>
      <c r="CO311" s="362">
        <f>SUM(CK311:CN311)</f>
        <v/>
      </c>
    </row>
    <row r="312" hidden="1" ht="15.6" customHeight="1" s="428">
      <c r="B312" s="344">
        <f>_xlfn.XLOOKUP(G312,销售需求表!A:A,销售需求表!C:C)</f>
        <v/>
      </c>
      <c r="C312" s="345">
        <f>IFERROR(MID(F312,FIND("R",F312)+1,2),"")</f>
        <v/>
      </c>
      <c r="D312" s="368">
        <f>B312&amp;C312&amp;"寸"</f>
        <v/>
      </c>
      <c r="E312" s="346">
        <f>LEFT(REPLACE(G312,1,2,""),FIND("[",REPLACE(G312,1,2,""))-1)&amp;"-"&amp;MID(REPLACE(G312,1,2,""),FIND("[",REPLACE(G312,1,2,""))+1,FIND("]",REPLACE(G312,1,2,""))-FIND("[",REPLACE(G312,1,2,""))-1)</f>
        <v/>
      </c>
      <c r="F312" s="347">
        <f>IFERROR(MID(G312,3,FIND("(",G312)-3)&amp;"-"&amp;SUBSTITUTE(MID(G312,FIND("[",G312)+1,FIND("]",G312)-FIND("[",G312)-1),"Strong Guard ",""),"")</f>
        <v/>
      </c>
      <c r="G312" s="346" t="inlineStr">
        <is>
          <t>ID325/95R24-22PR(162/160K)[MD752]TRAZANO(全诺)无内</t>
        </is>
      </c>
      <c r="H312" s="344" t="n">
        <v>100</v>
      </c>
      <c r="I312" s="348" t="n"/>
      <c r="J312" s="349">
        <f>IFERROR(LEFT(F312,FIND("-",F312))&amp;MID(F312,FIND("PR",F312,FIND("-",F312))+3,LEN(F312)),F312)</f>
        <v/>
      </c>
      <c r="K312" s="352">
        <f>_xlfn.XLOOKUP(F312,投产规格!E:E,投产规格!D:D,"未投产")</f>
        <v/>
      </c>
      <c r="L312" s="352">
        <f>IFERROR(_xlfn.XLOOKUP(F312,硫化工艺!B:B,硫化工艺!C:C),"")</f>
        <v/>
      </c>
      <c r="M312" s="430">
        <f>IF(L312="","",L312/(L312+$L$1/60))</f>
        <v/>
      </c>
      <c r="N312" s="352">
        <f>C312&amp;"全钢"</f>
        <v/>
      </c>
      <c r="O312" s="352">
        <f>IFERROR(_xlfn.XLOOKUP(F312,轮胎重量!J:J,轮胎重量!G:G),"")</f>
        <v/>
      </c>
      <c r="P312" s="358">
        <f>O312*13.9</f>
        <v/>
      </c>
      <c r="Q312" s="352">
        <f>IFERROR(ROUND(1440/L312*(I312)*M312,0),"")</f>
        <v/>
      </c>
      <c r="R312" s="352" t="n"/>
      <c r="S312" s="352" t="n"/>
      <c r="T312" s="352" t="n"/>
      <c r="U312" s="352" t="n"/>
      <c r="V312" s="352" t="n"/>
      <c r="W312" s="352" t="n"/>
      <c r="X312" s="352" t="n"/>
      <c r="Y312" s="352" t="n"/>
      <c r="Z312" s="352" t="n"/>
      <c r="AA312" s="352" t="n"/>
      <c r="AB312" s="352" t="n"/>
      <c r="AC312" s="352" t="n"/>
      <c r="AD312" s="352" t="n"/>
      <c r="AE312" s="352" t="n"/>
      <c r="AF312" s="352" t="n"/>
      <c r="AG312" s="352" t="n"/>
      <c r="AH312" s="352" t="n"/>
      <c r="AI312" s="352" t="n"/>
      <c r="AJ312" s="352" t="n"/>
      <c r="AK312" s="352" t="n"/>
      <c r="AL312" s="352" t="n"/>
      <c r="AM312" s="352" t="n"/>
      <c r="AN312" s="352" t="n"/>
      <c r="AO312" s="352" t="n"/>
      <c r="AP312" s="352" t="n"/>
      <c r="AQ312" s="352" t="n"/>
      <c r="AR312" s="352" t="n"/>
      <c r="AS312" s="352" t="n"/>
      <c r="AT312" s="352" t="n"/>
      <c r="AU312" s="352" t="n"/>
      <c r="AV312" s="352" t="n"/>
      <c r="AW312" s="352">
        <f>IF(SUM(R312:AV312)=0,"",SUM(R312:AV312))</f>
        <v/>
      </c>
      <c r="AX312" s="431">
        <f>IFERROR(AW312*O312/1000,"")</f>
        <v/>
      </c>
      <c r="AY312" s="431">
        <f>IFERROR(ROUND(AW312*P312/10000,3),"")</f>
        <v/>
      </c>
      <c r="AZ312" s="354" t="n">
        <v>677.88</v>
      </c>
      <c r="BA312" s="355" t="n">
        <v>44.56</v>
      </c>
      <c r="BB312" s="355" t="n">
        <v>66.37</v>
      </c>
      <c r="BC312" s="355" t="n">
        <v>75.26000000000001</v>
      </c>
      <c r="BE312" s="331">
        <f>AZ312*AW312</f>
        <v/>
      </c>
      <c r="BF312" s="331">
        <f>BA312*AW312</f>
        <v/>
      </c>
      <c r="BG312" s="331">
        <f>BB312*AW312</f>
        <v/>
      </c>
      <c r="BH312" s="331">
        <f>BC312*AW312</f>
        <v/>
      </c>
      <c r="BJ312" s="356">
        <f t="array" ref="BJ312:BM312">_xlfn.LET(_xlpm.data,$R312:$AV312,_xlpm.starts,{1,8,16,23},_xlpm.lengths,{7,7,8,9},_xlpm.arr,_xlfn.MAP(_xlpm.starts,_xlpm.lengths,_xlfn.LAMBDA(_xlpm.s,_xlpm.l,SUM(INDEX(_xlpm.data,,_xlfn.SEQUENCE(,_xlpm.l,_xlpm.s))))),ROUND(_xlpm.arr*$O312/1000,2))</f>
        <v/>
      </c>
      <c r="BK312" s="331" t="n">
        <v>0</v>
      </c>
      <c r="BL312" s="331" t="n">
        <v>0</v>
      </c>
      <c r="BM312" s="331" t="n">
        <v>0</v>
      </c>
      <c r="BN312" s="362">
        <f>SUM(BJ312:BM312)</f>
        <v/>
      </c>
      <c r="BO312" s="362" t="n">
        <v>0</v>
      </c>
      <c r="BP312" s="362" t="n">
        <v>0</v>
      </c>
      <c r="BQ312" s="362" t="n">
        <v>0</v>
      </c>
      <c r="BR312" s="362" t="n">
        <v>0</v>
      </c>
      <c r="BT312" s="362">
        <f t="array" ref="BT312:BW312">_xlfn.HSTACK(SUM(INDEX($R312:$AV312,1,1):INDEX($R312:$AV312,1,7)),SUM(INDEX($R312:$AV312,1,7):INDEX($R312:$AV312,1,13)),SUM(INDEX($R312:$AV312,1,16):INDEX($R312:$AV312,1,23)),SUM(INDEX($R312:$AV312,1,23):INDEX($R312:$AV312,1,31)))</f>
        <v/>
      </c>
      <c r="BU312" s="362" t="n">
        <v>0</v>
      </c>
      <c r="BV312" s="362" t="n">
        <v>0</v>
      </c>
      <c r="BW312" s="362" t="n">
        <v>0</v>
      </c>
      <c r="BY312" s="362">
        <f>SUM(R312:X312)</f>
        <v/>
      </c>
      <c r="BZ312" s="362">
        <f>SUM(Y312:AE312)</f>
        <v/>
      </c>
      <c r="CA312" s="362">
        <f>SUM(AF312:AM312)</f>
        <v/>
      </c>
      <c r="CB312" s="362">
        <f>SUM(AN312:AV312)</f>
        <v/>
      </c>
      <c r="CD312" s="432" t="inlineStr">
        <is>
          <t>ADA</t>
        </is>
      </c>
      <c r="CE312" s="362">
        <f>ROUND(BY312*$O312/1000,2)</f>
        <v/>
      </c>
      <c r="CF312" s="362">
        <f>ROUND(BZ312*$O312/1000,2)</f>
        <v/>
      </c>
      <c r="CG312" s="362">
        <f>ROUND(CA312*$O312/1000,2)</f>
        <v/>
      </c>
      <c r="CH312" s="362">
        <f>ROUND(CB312*$O312/1000,2)</f>
        <v/>
      </c>
      <c r="CI312" s="362">
        <f>SUM(CE312:CH312)</f>
        <v/>
      </c>
      <c r="CK312" s="362">
        <f>IFERROR(ROUND(BY312*$P312,2),"")</f>
        <v/>
      </c>
      <c r="CL312" s="362">
        <f>IFERROR(ROUND(BZ312*$P312,2),"")</f>
        <v/>
      </c>
      <c r="CM312" s="362">
        <f>IFERROR(ROUND(CA312*$P312,2),"")</f>
        <v/>
      </c>
      <c r="CN312" s="362">
        <f>IFERROR(ROUND(CB312*$P312,2),"")</f>
        <v/>
      </c>
      <c r="CO312" s="362">
        <f>SUM(CK312:CN312)</f>
        <v/>
      </c>
    </row>
    <row r="313" hidden="1" ht="15.6" customFormat="1" customHeight="1" s="362">
      <c r="A313" s="331" t="n"/>
      <c r="B313" s="344">
        <f>_xlfn.XLOOKUP(G313,销售需求表!A:A,销售需求表!C:C)</f>
        <v/>
      </c>
      <c r="C313" s="345">
        <f>IFERROR(MID(F313,FIND("R",F313)+1,2),"")</f>
        <v/>
      </c>
      <c r="D313" s="368">
        <f>B313&amp;C313&amp;"寸"</f>
        <v/>
      </c>
      <c r="E313" s="346">
        <f>LEFT(REPLACE(G313,1,2,""),FIND("[",REPLACE(G313,1,2,""))-1)&amp;"-"&amp;MID(REPLACE(G313,1,2,""),FIND("[",REPLACE(G313,1,2,""))+1,FIND("]",REPLACE(G313,1,2,""))-FIND("[",REPLACE(G313,1,2,""))-1)</f>
        <v/>
      </c>
      <c r="F313" s="347">
        <f>IFERROR(MID(G313,3,FIND("(",G313)-3)&amp;"-"&amp;SUBSTITUTE(MID(G313,FIND("[",G313)+1,FIND("]",G313)-FIND("[",G313)-1),"Strong Guard ",""),"")</f>
        <v/>
      </c>
      <c r="G313" s="346" t="inlineStr">
        <is>
          <t>ID325/95R24-22PR(162/160K)[MD752]威狮无内</t>
        </is>
      </c>
      <c r="H313" s="344" t="n">
        <v>480</v>
      </c>
      <c r="I313" s="348" t="n"/>
      <c r="J313" s="349">
        <f>IFERROR(LEFT(F313,FIND("-",F313))&amp;MID(F313,FIND("PR",F313,FIND("-",F313))+3,LEN(F313)),F313)</f>
        <v/>
      </c>
      <c r="K313" s="352">
        <f>_xlfn.XLOOKUP(F313,投产规格!E:E,投产规格!D:D,"未投产")</f>
        <v/>
      </c>
      <c r="L313" s="352">
        <f>IFERROR(_xlfn.XLOOKUP(F313,硫化工艺!B:B,硫化工艺!C:C),"")</f>
        <v/>
      </c>
      <c r="M313" s="430">
        <f>IF(L313="","",L313/(L313+$L$1/60))</f>
        <v/>
      </c>
      <c r="N313" s="352">
        <f>C313&amp;"全钢"</f>
        <v/>
      </c>
      <c r="O313" s="352">
        <f>IFERROR(_xlfn.XLOOKUP(F313,轮胎重量!J:J,轮胎重量!G:G),"")</f>
        <v/>
      </c>
      <c r="P313" s="352">
        <f>IFERROR(_xlfn.XLOOKUP(G313,硫化工艺!I:I,硫化工艺!J:J),"")</f>
        <v/>
      </c>
      <c r="Q313" s="352">
        <f>IFERROR(ROUND(1440/L313*(I313)*M313,0),"")</f>
        <v/>
      </c>
      <c r="R313" s="352" t="n"/>
      <c r="S313" s="352" t="n"/>
      <c r="T313" s="352" t="n"/>
      <c r="U313" s="352" t="n"/>
      <c r="V313" s="352" t="n"/>
      <c r="W313" s="352" t="n"/>
      <c r="X313" s="352" t="n"/>
      <c r="Y313" s="352" t="n"/>
      <c r="Z313" s="352" t="n"/>
      <c r="AA313" s="352" t="n"/>
      <c r="AB313" s="352" t="n"/>
      <c r="AC313" s="352" t="n"/>
      <c r="AD313" s="352" t="n"/>
      <c r="AE313" s="352" t="n"/>
      <c r="AF313" s="352" t="n"/>
      <c r="AG313" s="352" t="n"/>
      <c r="AH313" s="352" t="n"/>
      <c r="AI313" s="352" t="n"/>
      <c r="AJ313" s="352" t="n"/>
      <c r="AK313" s="352" t="n"/>
      <c r="AL313" s="352" t="n"/>
      <c r="AM313" s="352" t="n"/>
      <c r="AN313" s="352" t="n"/>
      <c r="AO313" s="352" t="n"/>
      <c r="AP313" s="352" t="n"/>
      <c r="AQ313" s="352" t="n"/>
      <c r="AR313" s="352" t="n"/>
      <c r="AS313" s="352" t="n"/>
      <c r="AT313" s="352" t="n"/>
      <c r="AU313" s="352" t="n"/>
      <c r="AV313" s="352" t="n"/>
      <c r="AW313" s="352">
        <f>IF(SUM(R313:AV313)=0,"",SUM(R313:AV313))</f>
        <v/>
      </c>
      <c r="AX313" s="431">
        <f>IFERROR(AW313*O313/1000,"")</f>
        <v/>
      </c>
      <c r="AY313" s="431">
        <f>IFERROR(ROUND(AW313*P313/10000,3),"")</f>
        <v/>
      </c>
      <c r="AZ313" s="354" t="n">
        <v>677.88</v>
      </c>
      <c r="BA313" s="355" t="n">
        <v>44.56</v>
      </c>
      <c r="BB313" s="355" t="n">
        <v>66.37</v>
      </c>
      <c r="BC313" s="355" t="n">
        <v>75.26000000000001</v>
      </c>
      <c r="BD313" s="331" t="n"/>
      <c r="BE313" s="331">
        <f>AZ313*AW313</f>
        <v/>
      </c>
      <c r="BF313" s="331">
        <f>BA313*AW313</f>
        <v/>
      </c>
      <c r="BG313" s="331">
        <f>BB313*AW313</f>
        <v/>
      </c>
      <c r="BH313" s="331">
        <f>BC313*AW313</f>
        <v/>
      </c>
      <c r="BI313" s="331" t="n"/>
      <c r="BJ313" s="356">
        <f t="array" ref="BJ313:BM313">_xlfn.LET(_xlpm.data,$R313:$AV313,_xlpm.starts,{1,8,16,23},_xlpm.lengths,{7,7,8,9},_xlpm.arr,_xlfn.MAP(_xlpm.starts,_xlpm.lengths,_xlfn.LAMBDA(_xlpm.s,_xlpm.l,SUM(INDEX(_xlpm.data,,_xlfn.SEQUENCE(,_xlpm.l,_xlpm.s))))),ROUND(_xlpm.arr*$O313/1000,2))</f>
        <v/>
      </c>
      <c r="BK313" s="331" t="n">
        <v>0</v>
      </c>
      <c r="BL313" s="331" t="n">
        <v>0</v>
      </c>
      <c r="BM313" s="331" t="n">
        <v>0</v>
      </c>
      <c r="BN313" s="362">
        <f>SUM(BJ313:BM313)</f>
        <v/>
      </c>
      <c r="BO313" s="362" t="n">
        <v>17.96</v>
      </c>
      <c r="BP313" s="362" t="n">
        <v>25.14</v>
      </c>
      <c r="BQ313" s="362" t="n">
        <v>28.73</v>
      </c>
      <c r="BR313" s="362" t="n">
        <v>32.32</v>
      </c>
      <c r="BS313" s="115" t="n"/>
      <c r="BT313" s="362">
        <f t="array" ref="BT313:BW313">_xlfn.HSTACK(SUM(INDEX($R313:$AV313,1,1):INDEX($R313:$AV313,1,7)),SUM(INDEX($R313:$AV313,1,7):INDEX($R313:$AV313,1,13)),SUM(INDEX($R313:$AV313,1,16):INDEX($R313:$AV313,1,23)),SUM(INDEX($R313:$AV313,1,23):INDEX($R313:$AV313,1,31)))</f>
        <v/>
      </c>
      <c r="BU313" s="362" t="n">
        <v>0</v>
      </c>
      <c r="BV313" s="362" t="n">
        <v>0</v>
      </c>
      <c r="BW313" s="362" t="n">
        <v>0</v>
      </c>
      <c r="BY313" s="362">
        <f>SUM(R313:X313)</f>
        <v/>
      </c>
      <c r="BZ313" s="362">
        <f>SUM(Y313:AE313)</f>
        <v/>
      </c>
      <c r="CA313" s="362">
        <f>SUM(AF313:AM313)</f>
        <v/>
      </c>
      <c r="CB313" s="362">
        <f>SUM(AN313:AV313)</f>
        <v/>
      </c>
      <c r="CD313" s="432" t="inlineStr">
        <is>
          <t>ADA</t>
        </is>
      </c>
      <c r="CE313" s="362">
        <f>ROUND(BY313*$O313/1000,2)</f>
        <v/>
      </c>
      <c r="CF313" s="362">
        <f>ROUND(BZ313*$O313/1000,2)</f>
        <v/>
      </c>
      <c r="CG313" s="362">
        <f>ROUND(CA313*$O313/1000,2)</f>
        <v/>
      </c>
      <c r="CH313" s="362">
        <f>ROUND(CB313*$O313/1000,2)</f>
        <v/>
      </c>
      <c r="CI313" s="362">
        <f>SUM(CE313:CH313)</f>
        <v/>
      </c>
      <c r="CJ313" s="390" t="n"/>
      <c r="CK313" s="362">
        <f>IFERROR(ROUND(BY313*$P313,2),"")</f>
        <v/>
      </c>
      <c r="CL313" s="362">
        <f>IFERROR(ROUND(BZ313*$P313,2),"")</f>
        <v/>
      </c>
      <c r="CM313" s="362">
        <f>IFERROR(ROUND(CA313*$P313,2),"")</f>
        <v/>
      </c>
      <c r="CN313" s="362">
        <f>IFERROR(ROUND(CB313*$P313,2),"")</f>
        <v/>
      </c>
      <c r="CO313" s="362">
        <f>SUM(CK313:CN313)</f>
        <v/>
      </c>
    </row>
    <row r="314" ht="15.6" customFormat="1" customHeight="1" s="362">
      <c r="A314" s="433" t="n"/>
      <c r="B314" s="434">
        <f>_xlfn.XLOOKUP(G314,销售需求表!A:A,销售需求表!C:C)</f>
        <v/>
      </c>
      <c r="C314" s="435">
        <f>IFERROR(MID(F314,FIND("R",F314)+1,2),"")</f>
        <v/>
      </c>
      <c r="D314" s="434">
        <f>B314&amp;C314&amp;"寸"</f>
        <v/>
      </c>
      <c r="E314" s="436">
        <f>LEFT(REPLACE(G314,1,2,""),FIND("[",REPLACE(G314,1,2,""))-1)&amp;"-"&amp;MID(REPLACE(G314,1,2,""),FIND("[",REPLACE(G314,1,2,""))+1,FIND("]",REPLACE(G314,1,2,""))-FIND("[",REPLACE(G314,1,2,""))-1)</f>
        <v/>
      </c>
      <c r="F314" s="437">
        <f>IFERROR(MID(G314,3,FIND("(",G314)-3)&amp;"-"&amp;SUBSTITUTE(MID(G314,FIND("[",G314)+1,FIND("]",G314)-FIND("[",G314)-1),"Strong Guard ",""),"")</f>
        <v/>
      </c>
      <c r="G314" s="436" t="inlineStr">
        <is>
          <t>ID7.50R16-14PR(122/118F)[CB972pro]雅度</t>
        </is>
      </c>
      <c r="H314" s="434" t="n">
        <v>630</v>
      </c>
      <c r="I314" s="434" t="n"/>
      <c r="J314" s="435">
        <f>IFERROR(LEFT(F314,FIND("-",F314))&amp;MID(F314,FIND("PR",F314,FIND("-",F314))+3,LEN(F314)),F314)</f>
        <v/>
      </c>
      <c r="K314" s="434">
        <f>_xlfn.XLOOKUP(F314,投产规格!E:E,投产规格!D:D,"未投产")</f>
        <v/>
      </c>
      <c r="L314" s="434">
        <f>IFERROR(_xlfn.XLOOKUP(F314,硫化工艺!B:B,硫化工艺!C:C),"")</f>
        <v/>
      </c>
      <c r="M314" s="438">
        <f>IF(L314="","",L314/(L314+$L$1/60))</f>
        <v/>
      </c>
      <c r="N314" s="434">
        <f>C314&amp;"全钢"</f>
        <v/>
      </c>
      <c r="O314" s="434">
        <f>IFERROR(_xlfn.XLOOKUP(F314,轮胎重量!J:J,轮胎重量!G:G),"")</f>
        <v/>
      </c>
      <c r="P314" s="439">
        <f>O314*13.9</f>
        <v/>
      </c>
      <c r="Q314" s="434">
        <f>IFERROR(ROUND(1440/L314*(I314)*M314,0),"")</f>
        <v/>
      </c>
      <c r="R314" s="352" t="n"/>
      <c r="S314" s="352" t="n"/>
      <c r="T314" s="352" t="n"/>
      <c r="U314" s="352" t="n"/>
      <c r="V314" s="352" t="n"/>
      <c r="W314" s="352" t="n"/>
      <c r="X314" s="352" t="n"/>
      <c r="Y314" s="352" t="n"/>
      <c r="Z314" s="352" t="n"/>
      <c r="AA314" s="352" t="n"/>
      <c r="AB314" s="352" t="n">
        <v>80</v>
      </c>
      <c r="AC314" s="352" t="n">
        <v>80</v>
      </c>
      <c r="AD314" s="352" t="n">
        <v>80</v>
      </c>
      <c r="AE314" s="352" t="n">
        <v>80</v>
      </c>
      <c r="AF314" s="352" t="n">
        <v>80</v>
      </c>
      <c r="AG314" s="352" t="n">
        <v>80</v>
      </c>
      <c r="AH314" s="352" t="n">
        <v>80</v>
      </c>
      <c r="AI314" s="352" t="n">
        <v>80</v>
      </c>
      <c r="AJ314" s="352" t="n">
        <v>80</v>
      </c>
      <c r="AK314" s="352" t="n"/>
      <c r="AL314" s="352" t="n"/>
      <c r="AM314" s="352" t="n"/>
      <c r="AN314" s="352" t="n"/>
      <c r="AO314" s="352" t="n"/>
      <c r="AP314" s="352" t="n"/>
      <c r="AQ314" s="352" t="n"/>
      <c r="AR314" s="352" t="n"/>
      <c r="AS314" s="352" t="n"/>
      <c r="AT314" s="352" t="n"/>
      <c r="AU314" s="352" t="n"/>
      <c r="AV314" s="352" t="n"/>
      <c r="AW314" s="352">
        <f>IF(SUM(R314:AV314)=0,"",SUM(R314:AV314))</f>
        <v/>
      </c>
      <c r="AX314" s="431">
        <f>IFERROR(AW314*O314/1000,"")</f>
        <v/>
      </c>
      <c r="AY314" s="431">
        <f>IFERROR(ROUND(AW314*P314/10000,3),"")</f>
        <v/>
      </c>
      <c r="AZ314" s="354" t="n">
        <v>677.88</v>
      </c>
      <c r="BA314" s="355" t="n">
        <v>44.56</v>
      </c>
      <c r="BB314" s="355" t="n">
        <v>66.37</v>
      </c>
      <c r="BC314" s="355" t="n">
        <v>75.26000000000001</v>
      </c>
      <c r="BD314" s="331" t="n"/>
      <c r="BE314" s="331">
        <f>AZ314*AW314</f>
        <v/>
      </c>
      <c r="BF314" s="331">
        <f>BA314*AW314</f>
        <v/>
      </c>
      <c r="BG314" s="331">
        <f>BB314*AW314</f>
        <v/>
      </c>
      <c r="BH314" s="331">
        <f>BC314*AW314</f>
        <v/>
      </c>
      <c r="BI314" s="331" t="n"/>
      <c r="BJ314" s="356">
        <f t="array" ref="BJ314:BM314">_xlfn.LET(_xlpm.data,$R314:$AV314,_xlpm.starts,{1,8,16,23},_xlpm.lengths,{7,7,8,9},_xlpm.arr,_xlfn.MAP(_xlpm.starts,_xlpm.lengths,_xlfn.LAMBDA(_xlpm.s,_xlpm.l,SUM(INDEX(_xlpm.data,,_xlfn.SEQUENCE(,_xlpm.l,_xlpm.s))))),ROUND(_xlpm.arr*$O314/1000,2))</f>
        <v/>
      </c>
      <c r="BK314" s="331" t="n">
        <v>9.619999999999999</v>
      </c>
      <c r="BL314" s="331" t="n">
        <v>9.619999999999999</v>
      </c>
      <c r="BM314" s="331" t="n">
        <v>0</v>
      </c>
      <c r="BN314" s="362">
        <f>SUM(BJ314:BM314)</f>
        <v/>
      </c>
      <c r="BO314" s="362" t="n">
        <v>19.42</v>
      </c>
      <c r="BP314" s="362" t="n">
        <v>27.19</v>
      </c>
      <c r="BQ314" s="362" t="n">
        <v>31.07</v>
      </c>
      <c r="BR314" s="362" t="n">
        <v>34.96</v>
      </c>
      <c r="BS314" s="115" t="n"/>
      <c r="BT314" s="362">
        <f t="array" ref="BT314:BW314">_xlfn.HSTACK(SUM(INDEX($R314:$AV314,1,1):INDEX($R314:$AV314,1,7)),SUM(INDEX($R314:$AV314,1,7):INDEX($R314:$AV314,1,13)),SUM(INDEX($R314:$AV314,1,16):INDEX($R314:$AV314,1,23)),SUM(INDEX($R314:$AV314,1,23):INDEX($R314:$AV314,1,31)))</f>
        <v/>
      </c>
      <c r="BU314" s="362" t="n">
        <v>240</v>
      </c>
      <c r="BV314" s="362" t="n">
        <v>320</v>
      </c>
      <c r="BW314" s="362" t="n">
        <v>0</v>
      </c>
      <c r="BY314" s="362">
        <f>SUM(R314:X314)</f>
        <v/>
      </c>
      <c r="BZ314" s="362">
        <f>SUM(Y314:AE314)</f>
        <v/>
      </c>
      <c r="CA314" s="362">
        <f>SUM(AF314:AM314)</f>
        <v/>
      </c>
      <c r="CB314" s="362">
        <f>SUM(AN314:AV314)</f>
        <v/>
      </c>
      <c r="CD314" s="440" t="inlineStr">
        <is>
          <t>TIDAK ADA</t>
        </is>
      </c>
      <c r="CE314" s="362">
        <f>ROUND(BY314*$O314/1000,2)</f>
        <v/>
      </c>
      <c r="CF314" s="362">
        <f>ROUND(BZ314*$O314/1000,2)</f>
        <v/>
      </c>
      <c r="CG314" s="362">
        <f>ROUND(CA314*$O314/1000,2)</f>
        <v/>
      </c>
      <c r="CH314" s="362">
        <f>ROUND(CB314*$O314/1000,2)</f>
        <v/>
      </c>
      <c r="CI314" s="362">
        <f>SUM(CE314:CH314)</f>
        <v/>
      </c>
      <c r="CJ314" s="390" t="n"/>
      <c r="CK314" s="362">
        <f>IFERROR(ROUND(BY314*$P314,2),"")</f>
        <v/>
      </c>
      <c r="CL314" s="362">
        <f>IFERROR(ROUND(BZ314*$P314,2),"")</f>
        <v/>
      </c>
      <c r="CM314" s="362">
        <f>IFERROR(ROUND(CA314*$P314,2),"")</f>
        <v/>
      </c>
      <c r="CN314" s="362">
        <f>IFERROR(ROUND(CB314*$P314,2),"")</f>
        <v/>
      </c>
      <c r="CO314" s="362">
        <f>SUM(CK314:CN314)</f>
        <v/>
      </c>
    </row>
    <row r="315" ht="15.6" customFormat="1" customHeight="1" s="362">
      <c r="A315" s="433" t="n"/>
      <c r="B315" s="434">
        <f>_xlfn.XLOOKUP(G315,销售需求表!A:A,销售需求表!C:C)</f>
        <v/>
      </c>
      <c r="C315" s="435">
        <f>IFERROR(MID(F315,FIND("R",F315)+1,2),"")</f>
        <v/>
      </c>
      <c r="D315" s="434">
        <f>B315&amp;C315&amp;"寸"</f>
        <v/>
      </c>
      <c r="E315" s="436">
        <f>LEFT(REPLACE(G315,1,2,""),FIND("[",REPLACE(G315,1,2,""))-1)&amp;"-"&amp;MID(REPLACE(G315,1,2,""),FIND("[",REPLACE(G315,1,2,""))+1,FIND("]",REPLACE(G315,1,2,""))-FIND("[",REPLACE(G315,1,2,""))-1)</f>
        <v/>
      </c>
      <c r="F315" s="437">
        <f>IFERROR(MID(G315,3,FIND("(",G315)-3)&amp;"-"&amp;SUBSTITUTE(MID(G315,FIND("[",G315)+1,FIND("]",G315)-FIND("[",G315)-1),"Strong Guard ",""),"")</f>
        <v/>
      </c>
      <c r="G315" s="436" t="inlineStr">
        <is>
          <t>ID7.50R16-14PR(122/118F)[CB972pro]好运</t>
        </is>
      </c>
      <c r="H315" s="434" t="n">
        <v>630</v>
      </c>
      <c r="I315" s="434" t="n"/>
      <c r="J315" s="435">
        <f>IFERROR(LEFT(F315,FIND("-",F315))&amp;MID(F315,FIND("PR",F315,FIND("-",F315))+3,LEN(F315)),F315)</f>
        <v/>
      </c>
      <c r="K315" s="434">
        <f>_xlfn.XLOOKUP(F315,投产规格!E:E,投产规格!D:D,"未投产")</f>
        <v/>
      </c>
      <c r="L315" s="434">
        <f>IFERROR(_xlfn.XLOOKUP(F315,硫化工艺!B:B,硫化工艺!C:C),"")</f>
        <v/>
      </c>
      <c r="M315" s="438">
        <f>IF(L315="","",L315/(L315+$L$1/60))</f>
        <v/>
      </c>
      <c r="N315" s="434">
        <f>C315&amp;"全钢"</f>
        <v/>
      </c>
      <c r="O315" s="434">
        <f>IFERROR(_xlfn.XLOOKUP(F315,轮胎重量!J:J,轮胎重量!G:G),"")</f>
        <v/>
      </c>
      <c r="P315" s="439">
        <f>O315*13.9</f>
        <v/>
      </c>
      <c r="Q315" s="434">
        <f>IFERROR(ROUND(1440/L315*(I315)*M315,0),"")</f>
        <v/>
      </c>
      <c r="R315" s="352" t="n"/>
      <c r="S315" s="352" t="n"/>
      <c r="T315" s="352" t="n"/>
      <c r="U315" s="352" t="n"/>
      <c r="V315" s="352" t="n"/>
      <c r="W315" s="352" t="n"/>
      <c r="X315" s="352" t="n"/>
      <c r="Y315" s="352" t="n"/>
      <c r="Z315" s="352" t="n"/>
      <c r="AA315" s="352" t="n"/>
      <c r="AB315" s="352" t="n"/>
      <c r="AC315" s="352" t="n"/>
      <c r="AD315" s="352" t="n"/>
      <c r="AE315" s="352" t="n"/>
      <c r="AF315" s="352" t="n"/>
      <c r="AG315" s="352" t="n"/>
      <c r="AH315" s="352" t="n"/>
      <c r="AI315" s="352" t="n"/>
      <c r="AJ315" s="352" t="n"/>
      <c r="AK315" s="352" t="n">
        <v>80</v>
      </c>
      <c r="AL315" s="352" t="n">
        <v>80</v>
      </c>
      <c r="AM315" s="352" t="n">
        <v>80</v>
      </c>
      <c r="AN315" s="352" t="n">
        <v>80</v>
      </c>
      <c r="AO315" s="352" t="n">
        <v>80</v>
      </c>
      <c r="AP315" s="352" t="n">
        <v>80</v>
      </c>
      <c r="AQ315" s="352" t="n">
        <v>160</v>
      </c>
      <c r="AR315" s="352" t="n">
        <v>160</v>
      </c>
      <c r="AS315" s="352" t="n">
        <v>160</v>
      </c>
      <c r="AT315" s="352" t="n">
        <v>160</v>
      </c>
      <c r="AU315" s="352" t="n">
        <v>160</v>
      </c>
      <c r="AV315" s="352" t="n">
        <v>160</v>
      </c>
      <c r="AW315" s="352">
        <f>IF(SUM(R315:AV315)=0,"",SUM(R315:AV315))</f>
        <v/>
      </c>
      <c r="AX315" s="431">
        <f>IFERROR(AW315*O315/1000,"")</f>
        <v/>
      </c>
      <c r="AY315" s="431">
        <f>IFERROR(ROUND(AW315*P315/10000,3),"")</f>
        <v/>
      </c>
      <c r="AZ315" s="354" t="n">
        <v>677.88</v>
      </c>
      <c r="BA315" s="355" t="n">
        <v>44.56</v>
      </c>
      <c r="BB315" s="355" t="n">
        <v>66.37</v>
      </c>
      <c r="BC315" s="355" t="n">
        <v>75.26000000000001</v>
      </c>
      <c r="BD315" s="331" t="n"/>
      <c r="BE315" s="331">
        <f>AZ315*AW315</f>
        <v/>
      </c>
      <c r="BF315" s="331">
        <f>BA315*AW315</f>
        <v/>
      </c>
      <c r="BG315" s="331">
        <f>BB315*AW315</f>
        <v/>
      </c>
      <c r="BH315" s="331">
        <f>BC315*AW315</f>
        <v/>
      </c>
      <c r="BI315" s="331" t="n"/>
      <c r="BJ315" s="356">
        <f t="array" ref="BJ315:BM315">_xlfn.LET(_xlpm.data,$R315:$AV315,_xlpm.starts,{1,8,16,23},_xlpm.lengths,{7,7,8,9},_xlpm.arr,_xlfn.MAP(_xlpm.starts,_xlpm.lengths,_xlfn.LAMBDA(_xlpm.s,_xlpm.l,SUM(INDEX(_xlpm.data,,_xlfn.SEQUENCE(,_xlpm.l,_xlpm.s))))),ROUND(_xlpm.arr*$O315/1000,2))</f>
        <v/>
      </c>
      <c r="BK315" s="331" t="n">
        <v>0</v>
      </c>
      <c r="BL315" s="331" t="n">
        <v>9.619999999999999</v>
      </c>
      <c r="BM315" s="331" t="n">
        <v>36.07</v>
      </c>
      <c r="BN315" s="362">
        <f>SUM(BJ315:BM315)</f>
        <v/>
      </c>
      <c r="BO315" s="362" t="n">
        <v>19.42</v>
      </c>
      <c r="BP315" s="362" t="n">
        <v>27.19</v>
      </c>
      <c r="BQ315" s="362" t="n">
        <v>31.07</v>
      </c>
      <c r="BR315" s="362" t="n">
        <v>34.96</v>
      </c>
      <c r="BS315" s="115" t="n"/>
      <c r="BT315" s="362">
        <f t="array" ref="BT315:BW315">_xlfn.HSTACK(SUM(INDEX($R315:$AV315,1,1):INDEX($R315:$AV315,1,7)),SUM(INDEX($R315:$AV315,1,7):INDEX($R315:$AV315,1,13)),SUM(INDEX($R315:$AV315,1,16):INDEX($R315:$AV315,1,23)),SUM(INDEX($R315:$AV315,1,23):INDEX($R315:$AV315,1,31)))</f>
        <v/>
      </c>
      <c r="BU315" s="362" t="n">
        <v>0</v>
      </c>
      <c r="BV315" s="362" t="n">
        <v>320</v>
      </c>
      <c r="BW315" s="362" t="n">
        <v>1200</v>
      </c>
      <c r="BY315" s="362">
        <f>SUM(R315:X315)</f>
        <v/>
      </c>
      <c r="BZ315" s="362">
        <f>SUM(Y315:AE315)</f>
        <v/>
      </c>
      <c r="CA315" s="362">
        <f>SUM(AF315:AM315)</f>
        <v/>
      </c>
      <c r="CB315" s="362">
        <f>SUM(AN315:AV315)</f>
        <v/>
      </c>
      <c r="CD315" s="440" t="inlineStr">
        <is>
          <t>TIDAK ADA</t>
        </is>
      </c>
      <c r="CE315" s="362">
        <f>ROUND(BY315*$O315/1000,2)</f>
        <v/>
      </c>
      <c r="CF315" s="362">
        <f>ROUND(BZ315*$O315/1000,2)</f>
        <v/>
      </c>
      <c r="CG315" s="362">
        <f>ROUND(CA315*$O315/1000,2)</f>
        <v/>
      </c>
      <c r="CH315" s="362">
        <f>ROUND(CB315*$O315/1000,2)</f>
        <v/>
      </c>
      <c r="CI315" s="362">
        <f>SUM(CE315:CH315)</f>
        <v/>
      </c>
      <c r="CJ315" s="390" t="n"/>
      <c r="CK315" s="362">
        <f>IFERROR(ROUND(BY315*$P315,2),"")</f>
        <v/>
      </c>
      <c r="CL315" s="362">
        <f>IFERROR(ROUND(BZ315*$P315,2),"")</f>
        <v/>
      </c>
      <c r="CM315" s="362">
        <f>IFERROR(ROUND(CA315*$P315,2),"")</f>
        <v/>
      </c>
      <c r="CN315" s="362">
        <f>IFERROR(ROUND(CB315*$P315,2),"")</f>
        <v/>
      </c>
      <c r="CO315" s="362">
        <f>SUM(CK315:CN315)</f>
        <v/>
      </c>
    </row>
    <row r="316" ht="15.6" customFormat="1" customHeight="1" s="362">
      <c r="A316" s="433" t="n"/>
      <c r="B316" s="434">
        <f>_xlfn.XLOOKUP(G316,销售需求表!A:A,销售需求表!C:C)</f>
        <v/>
      </c>
      <c r="C316" s="435">
        <f>IFERROR(MID(F316,FIND("R",F316)+1,2),"")</f>
        <v/>
      </c>
      <c r="D316" s="434">
        <f>B316&amp;C316&amp;"寸"</f>
        <v/>
      </c>
      <c r="E316" s="436">
        <f>LEFT(REPLACE(G316,1,2,""),FIND("[",REPLACE(G316,1,2,""))-1)&amp;"-"&amp;MID(REPLACE(G316,1,2,""),FIND("[",REPLACE(G316,1,2,""))+1,FIND("]",REPLACE(G316,1,2,""))-FIND("[",REPLACE(G316,1,2,""))-1)</f>
        <v/>
      </c>
      <c r="F316" s="437">
        <f>IFERROR(MID(G316,3,FIND("(",G316)-3)&amp;"-"&amp;SUBSTITUTE(MID(G316,FIND("[",G316)+1,FIND("]",G316)-FIND("[",G316)-1),"Strong Guard ",""),"")</f>
        <v/>
      </c>
      <c r="G316" s="436" t="inlineStr">
        <is>
          <t>ID7.50R16-14PR(122/118F)[CB972pro]威狮</t>
        </is>
      </c>
      <c r="H316" s="434" t="n">
        <v>630</v>
      </c>
      <c r="I316" s="434" t="n"/>
      <c r="J316" s="435">
        <f>IFERROR(LEFT(F316,FIND("-",F316))&amp;MID(F316,FIND("PR",F316,FIND("-",F316))+3,LEN(F316)),F316)</f>
        <v/>
      </c>
      <c r="K316" s="434">
        <f>_xlfn.XLOOKUP(F316,投产规格!E:E,投产规格!D:D,"未投产")</f>
        <v/>
      </c>
      <c r="L316" s="434">
        <f>IFERROR(_xlfn.XLOOKUP(F316,硫化工艺!B:B,硫化工艺!C:C),"")</f>
        <v/>
      </c>
      <c r="M316" s="438">
        <f>IF(L316="","",L316/(L316+$L$1/60))</f>
        <v/>
      </c>
      <c r="N316" s="434">
        <f>C316&amp;"全钢"</f>
        <v/>
      </c>
      <c r="O316" s="434">
        <f>IFERROR(_xlfn.XLOOKUP(F316,轮胎重量!J:J,轮胎重量!G:G),"")</f>
        <v/>
      </c>
      <c r="P316" s="439">
        <f>O316*13.9</f>
        <v/>
      </c>
      <c r="Q316" s="434">
        <f>IFERROR(ROUND(1440/L316*(I316)*M316,0),"")</f>
        <v/>
      </c>
      <c r="R316" s="352" t="n"/>
      <c r="S316" s="352" t="n"/>
      <c r="T316" s="352" t="n"/>
      <c r="U316" s="352" t="n"/>
      <c r="V316" s="352" t="n"/>
      <c r="W316" s="352" t="n"/>
      <c r="X316" s="352" t="n"/>
      <c r="Y316" s="352" t="n"/>
      <c r="Z316" s="352" t="n"/>
      <c r="AA316" s="352" t="n"/>
      <c r="AB316" s="352" t="n"/>
      <c r="AC316" s="352" t="n"/>
      <c r="AD316" s="352" t="n"/>
      <c r="AE316" s="352" t="n"/>
      <c r="AF316" s="352" t="n"/>
      <c r="AG316" s="352" t="n"/>
      <c r="AH316" s="352" t="n">
        <v>80</v>
      </c>
      <c r="AI316" s="352" t="n">
        <v>80</v>
      </c>
      <c r="AJ316" s="352" t="n">
        <v>80</v>
      </c>
      <c r="AK316" s="352" t="n">
        <v>80</v>
      </c>
      <c r="AL316" s="352" t="n">
        <v>80</v>
      </c>
      <c r="AM316" s="352" t="n">
        <v>80</v>
      </c>
      <c r="AN316" s="352" t="n">
        <v>80</v>
      </c>
      <c r="AO316" s="352" t="n">
        <v>80</v>
      </c>
      <c r="AP316" s="352" t="n">
        <v>80</v>
      </c>
      <c r="AQ316" s="352" t="n"/>
      <c r="AR316" s="352" t="n"/>
      <c r="AS316" s="352" t="n"/>
      <c r="AT316" s="352" t="n"/>
      <c r="AU316" s="352" t="n"/>
      <c r="AV316" s="352" t="n"/>
      <c r="AW316" s="352">
        <f>IF(SUM(R316:AV316)=0,"",SUM(R316:AV316))</f>
        <v/>
      </c>
      <c r="AX316" s="431">
        <f>IFERROR(AW316*O316/1000,"")</f>
        <v/>
      </c>
      <c r="AY316" s="431">
        <f>IFERROR(ROUND(AW316*P316/10000,3),"")</f>
        <v/>
      </c>
      <c r="AZ316" s="354" t="n">
        <v>677.88</v>
      </c>
      <c r="BA316" s="355" t="n">
        <v>44.56</v>
      </c>
      <c r="BB316" s="355" t="n">
        <v>66.37</v>
      </c>
      <c r="BC316" s="355" t="n">
        <v>75.26000000000001</v>
      </c>
      <c r="BD316" s="331" t="n"/>
      <c r="BE316" s="331">
        <f>AZ316*AW316</f>
        <v/>
      </c>
      <c r="BF316" s="331">
        <f>BA316*AW316</f>
        <v/>
      </c>
      <c r="BG316" s="331">
        <f>BB316*AW316</f>
        <v/>
      </c>
      <c r="BH316" s="331">
        <f>BC316*AW316</f>
        <v/>
      </c>
      <c r="BI316" s="331" t="n"/>
      <c r="BJ316" s="356">
        <f t="array" ref="BJ316:BM316">_xlfn.LET(_xlpm.data,$R316:$AV316,_xlpm.starts,{1,8,16,23},_xlpm.lengths,{7,7,8,9},_xlpm.arr,_xlfn.MAP(_xlpm.starts,_xlpm.lengths,_xlfn.LAMBDA(_xlpm.s,_xlpm.l,SUM(INDEX(_xlpm.data,,_xlfn.SEQUENCE(,_xlpm.l,_xlpm.s))))),ROUND(_xlpm.arr*$O316/1000,2))</f>
        <v/>
      </c>
      <c r="BK316" s="331" t="n">
        <v>0</v>
      </c>
      <c r="BL316" s="331" t="n">
        <v>16.83</v>
      </c>
      <c r="BM316" s="331" t="n">
        <v>7.21</v>
      </c>
      <c r="BN316" s="362">
        <f>SUM(BJ316:BM316)</f>
        <v/>
      </c>
      <c r="BO316" s="362" t="n">
        <v>19.42</v>
      </c>
      <c r="BP316" s="362" t="n">
        <v>27.19</v>
      </c>
      <c r="BQ316" s="362" t="n">
        <v>31.07</v>
      </c>
      <c r="BR316" s="362" t="n">
        <v>34.96</v>
      </c>
      <c r="BS316" s="115" t="n"/>
      <c r="BT316" s="362">
        <f t="array" ref="BT316:BW316">_xlfn.HSTACK(SUM(INDEX($R316:$AV316,1,1):INDEX($R316:$AV316,1,7)),SUM(INDEX($R316:$AV316,1,7):INDEX($R316:$AV316,1,13)),SUM(INDEX($R316:$AV316,1,16):INDEX($R316:$AV316,1,23)),SUM(INDEX($R316:$AV316,1,23):INDEX($R316:$AV316,1,31)))</f>
        <v/>
      </c>
      <c r="BU316" s="362" t="n">
        <v>0</v>
      </c>
      <c r="BV316" s="362" t="n">
        <v>560</v>
      </c>
      <c r="BW316" s="362" t="n">
        <v>240</v>
      </c>
      <c r="BY316" s="362">
        <f>SUM(R316:X316)</f>
        <v/>
      </c>
      <c r="BZ316" s="362">
        <f>SUM(Y316:AE316)</f>
        <v/>
      </c>
      <c r="CA316" s="362">
        <f>SUM(AF316:AM316)</f>
        <v/>
      </c>
      <c r="CB316" s="362">
        <f>SUM(AN316:AV316)</f>
        <v/>
      </c>
      <c r="CD316" s="440" t="inlineStr">
        <is>
          <t>TIDAK ADA</t>
        </is>
      </c>
      <c r="CE316" s="362">
        <f>ROUND(BY316*$O316/1000,2)</f>
        <v/>
      </c>
      <c r="CF316" s="362">
        <f>ROUND(BZ316*$O316/1000,2)</f>
        <v/>
      </c>
      <c r="CG316" s="362">
        <f>ROUND(CA316*$O316/1000,2)</f>
        <v/>
      </c>
      <c r="CH316" s="362">
        <f>ROUND(CB316*$O316/1000,2)</f>
        <v/>
      </c>
      <c r="CI316" s="362">
        <f>SUM(CE316:CH316)</f>
        <v/>
      </c>
      <c r="CJ316" s="390" t="n"/>
      <c r="CK316" s="362">
        <f>IFERROR(ROUND(BY316*$P316,2),"")</f>
        <v/>
      </c>
      <c r="CL316" s="362">
        <f>IFERROR(ROUND(BZ316*$P316,2),"")</f>
        <v/>
      </c>
      <c r="CM316" s="362">
        <f>IFERROR(ROUND(CA316*$P316,2),"")</f>
        <v/>
      </c>
      <c r="CN316" s="362">
        <f>IFERROR(ROUND(CB316*$P316,2),"")</f>
        <v/>
      </c>
      <c r="CO316" s="362">
        <f>SUM(CK316:CN316)</f>
        <v/>
      </c>
    </row>
    <row r="317" ht="15.6" customFormat="1" customHeight="1" s="362">
      <c r="A317" s="331" t="n"/>
      <c r="B317" s="344">
        <f>_xlfn.XLOOKUP(G317,销售需求表!A:A,销售需求表!C:C)</f>
        <v/>
      </c>
      <c r="C317" s="345">
        <f>IFERROR(MID(F317,FIND("R",F317)+1,2),"")</f>
        <v/>
      </c>
      <c r="D317" s="368">
        <f>B317&amp;C317&amp;"寸"</f>
        <v/>
      </c>
      <c r="E317" s="346">
        <f>LEFT(REPLACE(G317,1,2,""),FIND("[",REPLACE(G317,1,2,""))-1)&amp;"-"&amp;MID(REPLACE(G317,1,2,""),FIND("[",REPLACE(G317,1,2,""))+1,FIND("]",REPLACE(G317,1,2,""))-FIND("[",REPLACE(G317,1,2,""))-1)</f>
        <v/>
      </c>
      <c r="F317" s="347">
        <f>IFERROR(MID(G317,3,FIND("(",G317)-3)&amp;"-"&amp;SUBSTITUTE(MID(G317,FIND("[",G317)+1,FIND("]",G317)-FIND("[",G317)-1),"Strong Guard ",""),"")</f>
        <v/>
      </c>
      <c r="G317" s="366" t="inlineStr">
        <is>
          <t>ID7.50R16-14PR(122/118F)[EZ377]威狮</t>
        </is>
      </c>
      <c r="H317" s="344" t="n">
        <v>1300</v>
      </c>
      <c r="I317" s="348" t="n">
        <v>2</v>
      </c>
      <c r="J317" s="349">
        <f>IFERROR(LEFT(F317,FIND("-",F317))&amp;MID(F317,FIND("PR",F317,FIND("-",F317))+3,LEN(F317)),F317)</f>
        <v/>
      </c>
      <c r="K317" s="352">
        <f>_xlfn.XLOOKUP(F317,投产规格!E:E,投产规格!D:D,"未投产")</f>
        <v/>
      </c>
      <c r="L317" s="352">
        <f>IFERROR(_xlfn.XLOOKUP(F317,硫化工艺!B:B,硫化工艺!C:C),"")</f>
        <v/>
      </c>
      <c r="M317" s="430">
        <f>IF(L317="","",L317/(L317+$L$1/60))</f>
        <v/>
      </c>
      <c r="N317" s="352">
        <f>C317&amp;"全钢"</f>
        <v/>
      </c>
      <c r="O317" s="352">
        <f>IFERROR(_xlfn.XLOOKUP(F317,轮胎重量!J:J,轮胎重量!G:G),"")</f>
        <v/>
      </c>
      <c r="P317" s="352">
        <f>IFERROR(_xlfn.XLOOKUP(G317,硫化工艺!I:I,硫化工艺!J:J),"")</f>
        <v/>
      </c>
      <c r="Q317" s="352">
        <f>IFERROR(ROUND(1440/L317*(I317)*M317,0),"")</f>
        <v/>
      </c>
      <c r="R317" s="352" t="n">
        <v>80</v>
      </c>
      <c r="S317" s="352" t="n">
        <v>80</v>
      </c>
      <c r="T317" s="352" t="n">
        <v>80</v>
      </c>
      <c r="U317" s="352" t="n">
        <v>80</v>
      </c>
      <c r="V317" s="352" t="n">
        <v>80</v>
      </c>
      <c r="W317" s="352" t="n">
        <v>80</v>
      </c>
      <c r="X317" s="352" t="n">
        <v>80</v>
      </c>
      <c r="Y317" s="352" t="n">
        <v>80</v>
      </c>
      <c r="Z317" s="352" t="n">
        <v>80</v>
      </c>
      <c r="AA317" s="352" t="n">
        <v>80</v>
      </c>
      <c r="AB317" s="352" t="n">
        <v>80</v>
      </c>
      <c r="AC317" s="352" t="n">
        <v>80</v>
      </c>
      <c r="AD317" s="352" t="n">
        <v>80</v>
      </c>
      <c r="AE317" s="352" t="n">
        <v>80</v>
      </c>
      <c r="AF317" s="352" t="n">
        <v>80</v>
      </c>
      <c r="AG317" s="352" t="n">
        <v>80</v>
      </c>
      <c r="AH317" s="352" t="n"/>
      <c r="AI317" s="352" t="n"/>
      <c r="AJ317" s="352" t="n"/>
      <c r="AK317" s="352" t="n"/>
      <c r="AL317" s="352" t="n"/>
      <c r="AM317" s="352" t="n"/>
      <c r="AN317" s="352" t="n"/>
      <c r="AO317" s="352" t="n"/>
      <c r="AP317" s="352" t="n"/>
      <c r="AQ317" s="352" t="n"/>
      <c r="AR317" s="352" t="n"/>
      <c r="AS317" s="352" t="n"/>
      <c r="AT317" s="352" t="n"/>
      <c r="AU317" s="352" t="n"/>
      <c r="AV317" s="352" t="n"/>
      <c r="AW317" s="352">
        <f>IF(SUM(R317:AV317)=0,"",SUM(R317:AV317))</f>
        <v/>
      </c>
      <c r="AX317" s="431">
        <f>IFERROR(AW317*O317/1000,"")</f>
        <v/>
      </c>
      <c r="AY317" s="431">
        <f>IFERROR(ROUND(AW317*P317/10000,3),"")</f>
        <v/>
      </c>
      <c r="AZ317" s="354" t="n">
        <v>677.88</v>
      </c>
      <c r="BA317" s="355" t="n">
        <v>44.56</v>
      </c>
      <c r="BB317" s="355" t="n">
        <v>66.37</v>
      </c>
      <c r="BC317" s="355" t="n">
        <v>75.26000000000001</v>
      </c>
      <c r="BD317" s="331" t="n"/>
      <c r="BE317" s="331">
        <f>AZ317*AW317</f>
        <v/>
      </c>
      <c r="BF317" s="331">
        <f>BA317*AW317</f>
        <v/>
      </c>
      <c r="BG317" s="331">
        <f>BB317*AW317</f>
        <v/>
      </c>
      <c r="BH317" s="331">
        <f>BC317*AW317</f>
        <v/>
      </c>
      <c r="BI317" s="331" t="n"/>
      <c r="BJ317" s="356">
        <f t="array" ref="BJ317:BM317">_xlfn.LET(_xlpm.data,$R317:$AV317,_xlpm.starts,{1,8,16,23},_xlpm.lengths,{7,7,8,9},_xlpm.arr,_xlfn.MAP(_xlpm.starts,_xlpm.lengths,_xlfn.LAMBDA(_xlpm.s,_xlpm.l,SUM(INDEX(_xlpm.data,,_xlfn.SEQUENCE(,_xlpm.l,_xlpm.s))))),ROUND(_xlpm.arr*$O317/1000,2))</f>
        <v/>
      </c>
      <c r="BK317" s="331" t="n">
        <v>16.82</v>
      </c>
      <c r="BL317" s="331" t="n">
        <v>2.4</v>
      </c>
      <c r="BM317" s="331" t="n">
        <v>0</v>
      </c>
      <c r="BN317" s="362">
        <f>SUM(BJ317:BM317)</f>
        <v/>
      </c>
      <c r="BO317" s="362" t="n">
        <v>19.42</v>
      </c>
      <c r="BP317" s="362" t="n">
        <v>27.19</v>
      </c>
      <c r="BQ317" s="362" t="n">
        <v>31.07</v>
      </c>
      <c r="BR317" s="362" t="n">
        <v>34.96</v>
      </c>
      <c r="BS317" s="115" t="n"/>
      <c r="BT317" s="362">
        <f t="array" ref="BT317:BW317">_xlfn.HSTACK(SUM(INDEX($R317:$AV317,1,1):INDEX($R317:$AV317,1,7)),SUM(INDEX($R317:$AV317,1,7):INDEX($R317:$AV317,1,13)),SUM(INDEX($R317:$AV317,1,16):INDEX($R317:$AV317,1,23)),SUM(INDEX($R317:$AV317,1,23):INDEX($R317:$AV317,1,31)))</f>
        <v/>
      </c>
      <c r="BU317" s="362" t="n">
        <v>560</v>
      </c>
      <c r="BV317" s="362" t="n">
        <v>80</v>
      </c>
      <c r="BW317" s="362" t="n">
        <v>0</v>
      </c>
      <c r="BY317" s="362">
        <f>SUM(R317:X317)</f>
        <v/>
      </c>
      <c r="BZ317" s="362">
        <f>SUM(Y317:AE317)</f>
        <v/>
      </c>
      <c r="CA317" s="362">
        <f>SUM(AF317:AM317)</f>
        <v/>
      </c>
      <c r="CB317" s="362">
        <f>SUM(AN317:AV317)</f>
        <v/>
      </c>
      <c r="CD317" s="432" t="inlineStr">
        <is>
          <t>ADA</t>
        </is>
      </c>
      <c r="CE317" s="362">
        <f>ROUND(BY317*$O317/1000,2)</f>
        <v/>
      </c>
      <c r="CF317" s="362">
        <f>ROUND(BZ317*$O317/1000,2)</f>
        <v/>
      </c>
      <c r="CG317" s="362">
        <f>ROUND(CA317*$O317/1000,2)</f>
        <v/>
      </c>
      <c r="CH317" s="362">
        <f>ROUND(CB317*$O317/1000,2)</f>
        <v/>
      </c>
      <c r="CI317" s="362">
        <f>SUM(CE317:CH317)</f>
        <v/>
      </c>
      <c r="CJ317" s="390" t="n"/>
      <c r="CK317" s="362">
        <f>IFERROR(ROUND(BY317*$P317,2),"")</f>
        <v/>
      </c>
      <c r="CL317" s="362">
        <f>IFERROR(ROUND(BZ317*$P317,2),"")</f>
        <v/>
      </c>
      <c r="CM317" s="362">
        <f>IFERROR(ROUND(CA317*$P317,2),"")</f>
        <v/>
      </c>
      <c r="CN317" s="362">
        <f>IFERROR(ROUND(CB317*$P317,2),"")</f>
        <v/>
      </c>
      <c r="CO317" s="362">
        <f>SUM(CK317:CN317)</f>
        <v/>
      </c>
    </row>
    <row r="318" ht="15.6" customHeight="1" s="428">
      <c r="B318" s="344">
        <f>_xlfn.XLOOKUP(G318,销售需求表!A:A,销售需求表!C:C)</f>
        <v/>
      </c>
      <c r="C318" s="345">
        <f>IFERROR(MID(F318,FIND("R",F318)+1,2),"")</f>
        <v/>
      </c>
      <c r="D318" s="368">
        <f>B318&amp;C318&amp;"寸"</f>
        <v/>
      </c>
      <c r="E318" s="346">
        <f>LEFT(REPLACE(G318,1,2,""),FIND("[",REPLACE(G318,1,2,""))-1)&amp;"-"&amp;MID(REPLACE(G318,1,2,""),FIND("[",REPLACE(G318,1,2,""))+1,FIND("]",REPLACE(G318,1,2,""))-FIND("[",REPLACE(G318,1,2,""))-1)</f>
        <v/>
      </c>
      <c r="F318" s="347">
        <f>IFERROR(MID(G318,3,FIND("(",G318)-3)&amp;"-"&amp;SUBSTITUTE(MID(G318,FIND("[",G318)+1,FIND("]",G318)-FIND("[",G318)-1),"Strong Guard ",""),"")</f>
        <v/>
      </c>
      <c r="G318" s="366" t="inlineStr">
        <is>
          <t>ID7.50R16-14PR(122/118L)[AZ601+]威狮</t>
        </is>
      </c>
      <c r="H318" s="344" t="n">
        <v>650</v>
      </c>
      <c r="I318" s="348" t="n">
        <v>2</v>
      </c>
      <c r="J318" s="349">
        <f>IFERROR(LEFT(F318,FIND("-",F318))&amp;MID(F318,FIND("PR",F318,FIND("-",F318))+3,LEN(F318)),F318)</f>
        <v/>
      </c>
      <c r="K318" s="352">
        <f>_xlfn.XLOOKUP(F318,投产规格!E:E,投产规格!D:D,"未投产")</f>
        <v/>
      </c>
      <c r="L318" s="352">
        <f>IFERROR(_xlfn.XLOOKUP(F318,硫化工艺!B:B,硫化工艺!C:C),"")</f>
        <v/>
      </c>
      <c r="M318" s="430">
        <f>IF(L318="","",L318/(L318+$L$1/60))</f>
        <v/>
      </c>
      <c r="N318" s="352">
        <f>C318&amp;"全钢"</f>
        <v/>
      </c>
      <c r="O318" s="352">
        <f>IFERROR(_xlfn.XLOOKUP(F318,轮胎重量!J:J,轮胎重量!G:G),"")</f>
        <v/>
      </c>
      <c r="P318" s="358">
        <f>O318*13.9</f>
        <v/>
      </c>
      <c r="Q318" s="352">
        <f>IFERROR(ROUND(1440/L318*(I318)*M318,0),"")</f>
        <v/>
      </c>
      <c r="R318" s="352" t="n">
        <v>80</v>
      </c>
      <c r="S318" s="352" t="n">
        <v>80</v>
      </c>
      <c r="T318" s="352" t="n">
        <v>80</v>
      </c>
      <c r="U318" s="352" t="n">
        <v>80</v>
      </c>
      <c r="V318" s="352" t="n">
        <v>80</v>
      </c>
      <c r="W318" s="352" t="n">
        <v>80</v>
      </c>
      <c r="X318" s="352" t="n">
        <v>80</v>
      </c>
      <c r="Y318" s="352" t="n">
        <v>80</v>
      </c>
      <c r="Z318" s="352" t="n"/>
      <c r="AA318" s="352" t="n"/>
      <c r="AB318" s="352" t="n"/>
      <c r="AC318" s="352" t="n"/>
      <c r="AD318" s="352" t="n"/>
      <c r="AE318" s="352" t="n"/>
      <c r="AF318" s="352" t="n"/>
      <c r="AG318" s="352" t="n"/>
      <c r="AH318" s="352" t="n"/>
      <c r="AI318" s="352" t="n"/>
      <c r="AJ318" s="352" t="n"/>
      <c r="AK318" s="352" t="n"/>
      <c r="AL318" s="352" t="n"/>
      <c r="AM318" s="352" t="n"/>
      <c r="AN318" s="352" t="n"/>
      <c r="AO318" s="352" t="n"/>
      <c r="AP318" s="352" t="n"/>
      <c r="AQ318" s="352" t="n"/>
      <c r="AR318" s="352" t="n"/>
      <c r="AS318" s="352" t="n"/>
      <c r="AT318" s="352" t="n"/>
      <c r="AU318" s="352" t="n"/>
      <c r="AV318" s="352" t="n"/>
      <c r="AW318" s="352">
        <f>IF(SUM(R318:AV318)=0,"",SUM(R318:AV318))</f>
        <v/>
      </c>
      <c r="AX318" s="431">
        <f>IFERROR(AW318*O318/1000,"")</f>
        <v/>
      </c>
      <c r="AY318" s="431">
        <f>IFERROR(ROUND(AW318*P318/10000,3),"")</f>
        <v/>
      </c>
      <c r="AZ318" s="354" t="n">
        <v>819.5</v>
      </c>
      <c r="BA318" s="355" t="n">
        <v>49.61</v>
      </c>
      <c r="BB318" s="355" t="n">
        <v>74.31</v>
      </c>
      <c r="BC318" s="355" t="n">
        <v>81.81999999999999</v>
      </c>
      <c r="BE318" s="331">
        <f>AZ318*AW318</f>
        <v/>
      </c>
      <c r="BF318" s="331">
        <f>BA318*AW318</f>
        <v/>
      </c>
      <c r="BG318" s="331">
        <f>BB318*AW318</f>
        <v/>
      </c>
      <c r="BH318" s="331">
        <f>BC318*AW318</f>
        <v/>
      </c>
      <c r="BJ318" s="356">
        <f t="array" ref="BJ318:BM318">_xlfn.LET(_xlpm.data,$R318:$AV318,_xlpm.starts,{1,8,16,23},_xlpm.lengths,{7,7,8,9},_xlpm.arr,_xlfn.MAP(_xlpm.starts,_xlpm.lengths,_xlfn.LAMBDA(_xlpm.s,_xlpm.l,SUM(INDEX(_xlpm.data,,_xlfn.SEQUENCE(,_xlpm.l,_xlpm.s))))),ROUND(_xlpm.arr*$O318/1000,2))</f>
        <v/>
      </c>
      <c r="BK318" s="331" t="n">
        <v>2.42</v>
      </c>
      <c r="BL318" s="331" t="n">
        <v>0</v>
      </c>
      <c r="BM318" s="331" t="n">
        <v>0</v>
      </c>
      <c r="BN318" s="362">
        <f>SUM(BJ318:BM318)</f>
        <v/>
      </c>
      <c r="BO318" s="362" t="n">
        <v>76.98999999999999</v>
      </c>
      <c r="BP318" s="362" t="n">
        <v>76.98999999999999</v>
      </c>
      <c r="BQ318" s="362" t="n">
        <v>87.98999999999999</v>
      </c>
      <c r="BR318" s="362" t="n">
        <v>98.98999999999999</v>
      </c>
      <c r="BT318" s="362">
        <f t="array" ref="BT318:BW318">_xlfn.HSTACK(SUM(INDEX($R318:$AV318,1,1):INDEX($R318:$AV318,1,7)),SUM(INDEX($R318:$AV318,1,7):INDEX($R318:$AV318,1,13)),SUM(INDEX($R318:$AV318,1,16):INDEX($R318:$AV318,1,23)),SUM(INDEX($R318:$AV318,1,23):INDEX($R318:$AV318,1,31)))</f>
        <v/>
      </c>
      <c r="BU318" s="362" t="n">
        <v>160</v>
      </c>
      <c r="BV318" s="362" t="n">
        <v>0</v>
      </c>
      <c r="BW318" s="362" t="n">
        <v>0</v>
      </c>
      <c r="BY318" s="362">
        <f>SUM(R318:X318)</f>
        <v/>
      </c>
      <c r="BZ318" s="362">
        <f>SUM(Y318:AE318)</f>
        <v/>
      </c>
      <c r="CA318" s="362">
        <f>SUM(AF318:AM318)</f>
        <v/>
      </c>
      <c r="CB318" s="362">
        <f>SUM(AN318:AV318)</f>
        <v/>
      </c>
      <c r="CD318" s="432" t="inlineStr">
        <is>
          <t>ADA</t>
        </is>
      </c>
      <c r="CE318" s="362">
        <f>ROUND(BY318*$O318/1000,2)</f>
        <v/>
      </c>
      <c r="CF318" s="362">
        <f>ROUND(BZ318*$O318/1000,2)</f>
        <v/>
      </c>
      <c r="CG318" s="362">
        <f>ROUND(CA318*$O318/1000,2)</f>
        <v/>
      </c>
      <c r="CH318" s="362">
        <f>ROUND(CB318*$O318/1000,2)</f>
        <v/>
      </c>
      <c r="CI318" s="362">
        <f>SUM(CE318:CH318)</f>
        <v/>
      </c>
      <c r="CK318" s="362">
        <f>IFERROR(ROUND(BY318*$P318,2),"")</f>
        <v/>
      </c>
      <c r="CL318" s="362">
        <f>IFERROR(ROUND(BZ318*$P318,2),"")</f>
        <v/>
      </c>
      <c r="CM318" s="362">
        <f>IFERROR(ROUND(CA318*$P318,2),"")</f>
        <v/>
      </c>
      <c r="CN318" s="362">
        <f>IFERROR(ROUND(CB318*$P318,2),"")</f>
        <v/>
      </c>
      <c r="CO318" s="362">
        <f>SUM(CK318:CN318)</f>
        <v/>
      </c>
    </row>
    <row r="319" hidden="1" ht="15.6" customHeight="1" s="428">
      <c r="B319" s="344">
        <f>_xlfn.XLOOKUP(G319,销售需求表!A:A,销售需求表!C:C)</f>
        <v/>
      </c>
      <c r="C319" s="345">
        <f>IFERROR(MID(F319,FIND("R",F319)+1,2),"")</f>
        <v/>
      </c>
      <c r="D319" s="368">
        <f>B319&amp;C319&amp;"寸"</f>
        <v/>
      </c>
      <c r="E319" s="346">
        <f>LEFT(REPLACE(G319,1,2,""),FIND("[",REPLACE(G319,1,2,""))-1)&amp;"-"&amp;MID(REPLACE(G319,1,2,""),FIND("[",REPLACE(G319,1,2,""))+1,FIND("]",REPLACE(G319,1,2,""))-FIND("[",REPLACE(G319,1,2,""))-1)</f>
        <v/>
      </c>
      <c r="F319" s="347">
        <f>IFERROR(MID(G319,3,FIND("(",G319)-3)&amp;"-"&amp;SUBSTITUTE(MID(G319,FIND("[",G319)+1,FIND("]",G319)-FIND("[",G319)-1),"Strong Guard ",""),"")</f>
        <v/>
      </c>
      <c r="G319" s="366" t="inlineStr">
        <is>
          <t>ID7.50R16-14PR(122/118L)[CB981]ARISUN</t>
        </is>
      </c>
      <c r="H319" s="344" t="n">
        <v>300</v>
      </c>
      <c r="I319" s="348" t="n"/>
      <c r="J319" s="349">
        <f>IFERROR(LEFT(F319,FIND("-",F319))&amp;MID(F319,FIND("PR",F319,FIND("-",F319))+3,LEN(F319)),F319)</f>
        <v/>
      </c>
      <c r="K319" s="352">
        <f>_xlfn.XLOOKUP(F319,投产规格!E:E,投产规格!D:D,"未投产")</f>
        <v/>
      </c>
      <c r="L319" s="352">
        <f>IFERROR(_xlfn.XLOOKUP(F319,硫化工艺!B:B,硫化工艺!C:C),"")</f>
        <v/>
      </c>
      <c r="M319" s="430">
        <f>IF(L319="","",L319/(L319+$L$1/60))</f>
        <v/>
      </c>
      <c r="N319" s="352">
        <f>C319&amp;"全钢"</f>
        <v/>
      </c>
      <c r="O319" s="352">
        <f>IFERROR(_xlfn.XLOOKUP(F319,轮胎重量!J:J,轮胎重量!G:G),"")</f>
        <v/>
      </c>
      <c r="P319" s="352">
        <f>IFERROR(_xlfn.XLOOKUP(G319,硫化工艺!I:I,硫化工艺!J:J),"")</f>
        <v/>
      </c>
      <c r="Q319" s="352">
        <f>IFERROR(ROUND(1440/L319*(I319)*M319,0),"")</f>
        <v/>
      </c>
      <c r="R319" s="352" t="n"/>
      <c r="S319" s="352" t="n"/>
      <c r="T319" s="352" t="n"/>
      <c r="U319" s="352" t="n"/>
      <c r="V319" s="352" t="n"/>
      <c r="W319" s="352" t="n"/>
      <c r="X319" s="352" t="n"/>
      <c r="Y319" s="352" t="n"/>
      <c r="Z319" s="352" t="n"/>
      <c r="AA319" s="352" t="n"/>
      <c r="AB319" s="352" t="n"/>
      <c r="AC319" s="352" t="n"/>
      <c r="AD319" s="352" t="n"/>
      <c r="AE319" s="352" t="n"/>
      <c r="AF319" s="352" t="n"/>
      <c r="AG319" s="352" t="n"/>
      <c r="AH319" s="352" t="n"/>
      <c r="AI319" s="352" t="n"/>
      <c r="AJ319" s="352" t="n"/>
      <c r="AK319" s="352" t="n"/>
      <c r="AL319" s="352" t="n"/>
      <c r="AM319" s="352" t="n"/>
      <c r="AN319" s="352" t="n"/>
      <c r="AO319" s="352" t="n"/>
      <c r="AP319" s="352" t="n"/>
      <c r="AQ319" s="352" t="n"/>
      <c r="AR319" s="352" t="n"/>
      <c r="AS319" s="352" t="n"/>
      <c r="AT319" s="352" t="n"/>
      <c r="AU319" s="352" t="n"/>
      <c r="AV319" s="352" t="n"/>
      <c r="AW319" s="352">
        <f>IF(SUM(R319:AV319)=0,"",SUM(R319:AV319))</f>
        <v/>
      </c>
      <c r="AX319" s="431">
        <f>IFERROR(AW319*O319/1000,"")</f>
        <v/>
      </c>
      <c r="AY319" s="431">
        <f>IFERROR(ROUND(AW319*P319/10000,3),"")</f>
        <v/>
      </c>
      <c r="AZ319" s="354" t="n">
        <v>768.71</v>
      </c>
      <c r="BA319" s="355" t="n">
        <v>46.75</v>
      </c>
      <c r="BB319" s="355" t="n">
        <v>71.52</v>
      </c>
      <c r="BC319" s="355" t="n">
        <v>76.56999999999999</v>
      </c>
      <c r="BE319" s="331">
        <f>AZ319*AW319</f>
        <v/>
      </c>
      <c r="BF319" s="331">
        <f>BA319*AW319</f>
        <v/>
      </c>
      <c r="BG319" s="331">
        <f>BB319*AW319</f>
        <v/>
      </c>
      <c r="BH319" s="331">
        <f>BC319*AW319</f>
        <v/>
      </c>
      <c r="BJ319" s="356">
        <f t="array" ref="BJ319:BM319">_xlfn.LET(_xlpm.data,$R319:$AV319,_xlpm.starts,{1,8,16,23},_xlpm.lengths,{7,7,8,9},_xlpm.arr,_xlfn.MAP(_xlpm.starts,_xlpm.lengths,_xlfn.LAMBDA(_xlpm.s,_xlpm.l,SUM(INDEX(_xlpm.data,,_xlfn.SEQUENCE(,_xlpm.l,_xlpm.s))))),ROUND(_xlpm.arr*$O319/1000,2))</f>
        <v/>
      </c>
      <c r="BK319" s="331" t="n">
        <v>0</v>
      </c>
      <c r="BL319" s="331" t="n">
        <v>0</v>
      </c>
      <c r="BM319" s="331" t="n">
        <v>0</v>
      </c>
      <c r="BN319" s="362">
        <f>SUM(BJ319:BM319)</f>
        <v/>
      </c>
      <c r="BO319" s="362" t="n">
        <v>51.56</v>
      </c>
      <c r="BP319" s="362" t="n">
        <v>51.56</v>
      </c>
      <c r="BQ319" s="362" t="n">
        <v>58.92</v>
      </c>
      <c r="BR319" s="362" t="n">
        <v>66.29000000000001</v>
      </c>
      <c r="BT319" s="362">
        <f t="array" ref="BT319:BW319">_xlfn.HSTACK(SUM(INDEX($R319:$AV319,1,1):INDEX($R319:$AV319,1,7)),SUM(INDEX($R319:$AV319,1,7):INDEX($R319:$AV319,1,13)),SUM(INDEX($R319:$AV319,1,16):INDEX($R319:$AV319,1,23)),SUM(INDEX($R319:$AV319,1,23):INDEX($R319:$AV319,1,31)))</f>
        <v/>
      </c>
      <c r="BU319" s="362" t="n">
        <v>0</v>
      </c>
      <c r="BV319" s="362" t="n">
        <v>0</v>
      </c>
      <c r="BW319" s="362" t="n">
        <v>0</v>
      </c>
      <c r="BY319" s="362">
        <f>SUM(R319:X319)</f>
        <v/>
      </c>
      <c r="BZ319" s="362">
        <f>SUM(Y319:AE319)</f>
        <v/>
      </c>
      <c r="CA319" s="362">
        <f>SUM(AF319:AM319)</f>
        <v/>
      </c>
      <c r="CB319" s="362">
        <f>SUM(AN319:AV319)</f>
        <v/>
      </c>
      <c r="CD319" s="432" t="inlineStr">
        <is>
          <t>ADA</t>
        </is>
      </c>
      <c r="CE319" s="362">
        <f>ROUND(BY319*$O319/1000,2)</f>
        <v/>
      </c>
      <c r="CF319" s="362">
        <f>ROUND(BZ319*$O319/1000,2)</f>
        <v/>
      </c>
      <c r="CG319" s="362">
        <f>ROUND(CA319*$O319/1000,2)</f>
        <v/>
      </c>
      <c r="CH319" s="362">
        <f>ROUND(CB319*$O319/1000,2)</f>
        <v/>
      </c>
      <c r="CI319" s="362">
        <f>SUM(CE319:CH319)</f>
        <v/>
      </c>
      <c r="CK319" s="362">
        <f>IFERROR(ROUND(BY319*$P319,2),"")</f>
        <v/>
      </c>
      <c r="CL319" s="362">
        <f>IFERROR(ROUND(BZ319*$P319,2),"")</f>
        <v/>
      </c>
      <c r="CM319" s="362">
        <f>IFERROR(ROUND(CA319*$P319,2),"")</f>
        <v/>
      </c>
      <c r="CN319" s="362">
        <f>IFERROR(ROUND(CB319*$P319,2),"")</f>
        <v/>
      </c>
      <c r="CO319" s="362">
        <f>SUM(CK319:CN319)</f>
        <v/>
      </c>
    </row>
    <row r="320" ht="15.6" customHeight="1" s="428">
      <c r="B320" s="344">
        <f>_xlfn.XLOOKUP(G320,销售需求表!A:A,销售需求表!C:C)</f>
        <v/>
      </c>
      <c r="C320" s="345">
        <f>IFERROR(MID(F320,FIND("R",F320)+1,2),"")</f>
        <v/>
      </c>
      <c r="D320" s="368">
        <f>B320&amp;C320&amp;"寸"</f>
        <v/>
      </c>
      <c r="E320" s="346">
        <f>LEFT(REPLACE(G320,1,2,""),FIND("[",REPLACE(G320,1,2,""))-1)&amp;"-"&amp;MID(REPLACE(G320,1,2,""),FIND("[",REPLACE(G320,1,2,""))+1,FIND("]",REPLACE(G320,1,2,""))-FIND("[",REPLACE(G320,1,2,""))-1)</f>
        <v/>
      </c>
      <c r="F320" s="347">
        <f>IFERROR(MID(G320,3,FIND("(",G320)-3)&amp;"-"&amp;SUBSTITUTE(MID(G320,FIND("[",G320)+1,FIND("]",G320)-FIND("[",G320)-1),"Strong Guard ",""),"")</f>
        <v/>
      </c>
      <c r="G320" s="366" t="inlineStr">
        <is>
          <t>ID7.50R16-14PR(122/118L)[CM988]GOODRIDE(好运)</t>
        </is>
      </c>
      <c r="H320" s="344" t="n">
        <v>320</v>
      </c>
      <c r="I320" s="348" t="n"/>
      <c r="J320" s="349">
        <f>IFERROR(LEFT(F320,FIND("-",F320))&amp;MID(F320,FIND("PR",F320,FIND("-",F320))+3,LEN(F320)),F320)</f>
        <v/>
      </c>
      <c r="K320" s="352">
        <f>_xlfn.XLOOKUP(F320,投产规格!E:E,投产规格!D:D,"未投产")</f>
        <v/>
      </c>
      <c r="L320" s="352">
        <f>IFERROR(_xlfn.XLOOKUP(F320,硫化工艺!B:B,硫化工艺!C:C),"")</f>
        <v/>
      </c>
      <c r="M320" s="430">
        <f>IF(L320="","",L320/(L320+$L$1/60))</f>
        <v/>
      </c>
      <c r="N320" s="352">
        <f>C320&amp;"全钢"</f>
        <v/>
      </c>
      <c r="O320" s="352">
        <f>IFERROR(_xlfn.XLOOKUP(F320,轮胎重量!J:J,轮胎重量!G:G),"")</f>
        <v/>
      </c>
      <c r="P320" s="352">
        <f>IFERROR(_xlfn.XLOOKUP(G320,硫化工艺!I:I,硫化工艺!J:J),"")</f>
        <v/>
      </c>
      <c r="Q320" s="352">
        <f>IFERROR(ROUND(1440/L320*(I320)*M320,0),"")</f>
        <v/>
      </c>
      <c r="R320" s="352" t="n"/>
      <c r="S320" s="352" t="n"/>
      <c r="T320" s="352" t="n"/>
      <c r="U320" s="352" t="n"/>
      <c r="V320" s="352" t="n"/>
      <c r="W320" s="352" t="n"/>
      <c r="X320" s="352" t="n"/>
      <c r="Y320" s="352" t="n"/>
      <c r="Z320" s="352" t="n">
        <v>80</v>
      </c>
      <c r="AA320" s="352" t="n">
        <v>80</v>
      </c>
      <c r="AB320" s="352" t="n">
        <v>80</v>
      </c>
      <c r="AC320" s="352" t="n">
        <v>80</v>
      </c>
      <c r="AD320" s="352" t="n">
        <v>80</v>
      </c>
      <c r="AE320" s="352" t="n">
        <v>80</v>
      </c>
      <c r="AF320" s="352" t="n">
        <v>80</v>
      </c>
      <c r="AG320" s="352" t="n">
        <v>80</v>
      </c>
      <c r="AH320" s="352" t="n"/>
      <c r="AI320" s="352" t="n"/>
      <c r="AJ320" s="352" t="n"/>
      <c r="AK320" s="352" t="n"/>
      <c r="AL320" s="352" t="n"/>
      <c r="AM320" s="352" t="n"/>
      <c r="AN320" s="352" t="n"/>
      <c r="AO320" s="352" t="n"/>
      <c r="AP320" s="352" t="n"/>
      <c r="AQ320" s="352" t="n"/>
      <c r="AR320" s="352" t="n"/>
      <c r="AS320" s="352" t="n"/>
      <c r="AT320" s="352" t="n"/>
      <c r="AU320" s="352" t="n"/>
      <c r="AV320" s="352" t="n"/>
      <c r="AW320" s="352">
        <f>IF(SUM(R320:AV320)=0,"",SUM(R320:AV320))</f>
        <v/>
      </c>
      <c r="AX320" s="431">
        <f>IFERROR(AW320*O320/1000,"")</f>
        <v/>
      </c>
      <c r="AY320" s="431">
        <f>IFERROR(ROUND(AW320*P320/10000,3),"")</f>
        <v/>
      </c>
      <c r="AZ320" s="354" t="n">
        <v>768.71</v>
      </c>
      <c r="BA320" s="355" t="n">
        <v>46.75</v>
      </c>
      <c r="BB320" s="355" t="n">
        <v>71.52</v>
      </c>
      <c r="BC320" s="355" t="n">
        <v>76.56999999999999</v>
      </c>
      <c r="BE320" s="331">
        <f>AZ320*AW320</f>
        <v/>
      </c>
      <c r="BF320" s="331">
        <f>BA320*AW320</f>
        <v/>
      </c>
      <c r="BG320" s="331">
        <f>BB320*AW320</f>
        <v/>
      </c>
      <c r="BH320" s="331">
        <f>BC320*AW320</f>
        <v/>
      </c>
      <c r="BJ320" s="356">
        <f t="array" ref="BJ320:BM320">_xlfn.LET(_xlpm.data,$R320:$AV320,_xlpm.starts,{1,8,16,23},_xlpm.lengths,{7,7,8,9},_xlpm.arr,_xlfn.MAP(_xlpm.starts,_xlpm.lengths,_xlfn.LAMBDA(_xlpm.s,_xlpm.l,SUM(INDEX(_xlpm.data,,_xlfn.SEQUENCE(,_xlpm.l,_xlpm.s))))),ROUND(_xlpm.arr*$O320/1000,2))</f>
        <v/>
      </c>
      <c r="BK320" s="331" t="n">
        <v>14.3</v>
      </c>
      <c r="BL320" s="331" t="n">
        <v>2.38</v>
      </c>
      <c r="BM320" s="331" t="n">
        <v>0</v>
      </c>
      <c r="BN320" s="362">
        <f>SUM(BJ320:BM320)</f>
        <v/>
      </c>
      <c r="BO320" s="362" t="n">
        <v>51.56</v>
      </c>
      <c r="BP320" s="362" t="n">
        <v>51.56</v>
      </c>
      <c r="BQ320" s="362" t="n">
        <v>58.92</v>
      </c>
      <c r="BR320" s="362" t="n">
        <v>66.29000000000001</v>
      </c>
      <c r="BT320" s="362">
        <f t="array" ref="BT320:BW320">_xlfn.HSTACK(SUM(INDEX($R320:$AV320,1,1):INDEX($R320:$AV320,1,7)),SUM(INDEX($R320:$AV320,1,7):INDEX($R320:$AV320,1,13)),SUM(INDEX($R320:$AV320,1,16):INDEX($R320:$AV320,1,23)),SUM(INDEX($R320:$AV320,1,23):INDEX($R320:$AV320,1,31)))</f>
        <v/>
      </c>
      <c r="BU320" s="362" t="n">
        <v>400</v>
      </c>
      <c r="BV320" s="362" t="n">
        <v>80</v>
      </c>
      <c r="BW320" s="362" t="n">
        <v>0</v>
      </c>
      <c r="BY320" s="362">
        <f>SUM(R320:X320)</f>
        <v/>
      </c>
      <c r="BZ320" s="362">
        <f>SUM(Y320:AE320)</f>
        <v/>
      </c>
      <c r="CA320" s="362">
        <f>SUM(AF320:AM320)</f>
        <v/>
      </c>
      <c r="CB320" s="362">
        <f>SUM(AN320:AV320)</f>
        <v/>
      </c>
      <c r="CD320" s="432" t="inlineStr">
        <is>
          <t>ADA</t>
        </is>
      </c>
      <c r="CE320" s="362">
        <f>ROUND(BY320*$O320/1000,2)</f>
        <v/>
      </c>
      <c r="CF320" s="362">
        <f>ROUND(BZ320*$O320/1000,2)</f>
        <v/>
      </c>
      <c r="CG320" s="362">
        <f>ROUND(CA320*$O320/1000,2)</f>
        <v/>
      </c>
      <c r="CH320" s="362">
        <f>ROUND(CB320*$O320/1000,2)</f>
        <v/>
      </c>
      <c r="CI320" s="362">
        <f>SUM(CE320:CH320)</f>
        <v/>
      </c>
      <c r="CK320" s="362">
        <f>IFERROR(ROUND(BY320*$P320,2),"")</f>
        <v/>
      </c>
      <c r="CL320" s="362">
        <f>IFERROR(ROUND(BZ320*$P320,2),"")</f>
        <v/>
      </c>
      <c r="CM320" s="362">
        <f>IFERROR(ROUND(CA320*$P320,2),"")</f>
        <v/>
      </c>
      <c r="CN320" s="362">
        <f>IFERROR(ROUND(CB320*$P320,2),"")</f>
        <v/>
      </c>
      <c r="CO320" s="362">
        <f>SUM(CK320:CN320)</f>
        <v/>
      </c>
    </row>
    <row r="321" ht="15.6" customHeight="1" s="428">
      <c r="B321" s="344">
        <f>_xlfn.XLOOKUP(G321,销售需求表!A:A,销售需求表!C:C)</f>
        <v/>
      </c>
      <c r="C321" s="345">
        <f>IFERROR(MID(F321,FIND("R",F321)+1,2),"")</f>
        <v/>
      </c>
      <c r="D321" s="368">
        <f>B321&amp;C321&amp;"寸"</f>
        <v/>
      </c>
      <c r="E321" s="346">
        <f>LEFT(REPLACE(G321,1,2,""),FIND("[",REPLACE(G321,1,2,""))-1)&amp;"-"&amp;MID(REPLACE(G321,1,2,""),FIND("[",REPLACE(G321,1,2,""))+1,FIND("]",REPLACE(G321,1,2,""))-FIND("[",REPLACE(G321,1,2,""))-1)</f>
        <v/>
      </c>
      <c r="F321" s="347">
        <f>IFERROR(MID(G321,3,FIND("(",G321)-3)&amp;"-"&amp;SUBSTITUTE(MID(G321,FIND("[",G321)+1,FIND("]",G321)-FIND("[",G321)-1),"Strong Guard ",""),"")</f>
        <v/>
      </c>
      <c r="G321" s="366" t="inlineStr">
        <is>
          <t>ID7.50R16-14PR(122/118L)[CM988]威狮</t>
        </is>
      </c>
      <c r="H321" s="344" t="n">
        <v>1300</v>
      </c>
      <c r="I321" s="348" t="n"/>
      <c r="J321" s="349">
        <f>IFERROR(LEFT(F321,FIND("-",F321))&amp;MID(F321,FIND("PR",F321,FIND("-",F321))+3,LEN(F321)),F321)</f>
        <v/>
      </c>
      <c r="K321" s="352">
        <f>_xlfn.XLOOKUP(F321,投产规格!E:E,投产规格!D:D,"未投产")</f>
        <v/>
      </c>
      <c r="L321" s="352">
        <f>IFERROR(_xlfn.XLOOKUP(F321,硫化工艺!B:B,硫化工艺!C:C),"")</f>
        <v/>
      </c>
      <c r="M321" s="430">
        <f>IF(L321="","",L321/(L321+$L$1/60))</f>
        <v/>
      </c>
      <c r="N321" s="352">
        <f>C321&amp;"全钢"</f>
        <v/>
      </c>
      <c r="O321" s="352">
        <f>IFERROR(_xlfn.XLOOKUP(F321,轮胎重量!J:J,轮胎重量!G:G),"")</f>
        <v/>
      </c>
      <c r="P321" s="352">
        <f>IFERROR(_xlfn.XLOOKUP(G321,硫化工艺!I:I,硫化工艺!J:J),"")</f>
        <v/>
      </c>
      <c r="Q321" s="352">
        <f>IFERROR(ROUND(1440/L321*(I321)*M321,0),"")</f>
        <v/>
      </c>
      <c r="R321" s="352" t="n"/>
      <c r="S321" s="352" t="n"/>
      <c r="T321" s="352" t="n"/>
      <c r="U321" s="352" t="n"/>
      <c r="V321" s="352" t="n"/>
      <c r="W321" s="352" t="n"/>
      <c r="X321" s="352" t="n"/>
      <c r="Y321" s="352" t="n"/>
      <c r="Z321" s="352" t="n"/>
      <c r="AA321" s="352" t="n"/>
      <c r="AB321" s="352" t="n"/>
      <c r="AC321" s="352" t="n"/>
      <c r="AD321" s="352" t="n"/>
      <c r="AE321" s="352" t="n"/>
      <c r="AF321" s="352" t="n"/>
      <c r="AG321" s="352" t="n"/>
      <c r="AH321" s="352" t="n">
        <v>80</v>
      </c>
      <c r="AI321" s="352" t="n">
        <v>80</v>
      </c>
      <c r="AJ321" s="352" t="n">
        <v>80</v>
      </c>
      <c r="AK321" s="352" t="n">
        <v>80</v>
      </c>
      <c r="AL321" s="352" t="n">
        <v>80</v>
      </c>
      <c r="AM321" s="352" t="n">
        <v>80</v>
      </c>
      <c r="AN321" s="352" t="n">
        <v>80</v>
      </c>
      <c r="AO321" s="352" t="n">
        <v>80</v>
      </c>
      <c r="AP321" s="352" t="n"/>
      <c r="AQ321" s="352" t="n"/>
      <c r="AR321" s="352" t="n"/>
      <c r="AS321" s="352" t="n"/>
      <c r="AT321" s="352" t="n"/>
      <c r="AU321" s="352" t="n"/>
      <c r="AV321" s="352" t="n"/>
      <c r="AW321" s="352">
        <f>IF(SUM(R321:AV321)=0,"",SUM(R321:AV321))</f>
        <v/>
      </c>
      <c r="AX321" s="431">
        <f>IFERROR(AW321*O321/1000,"")</f>
        <v/>
      </c>
      <c r="AY321" s="431">
        <f>IFERROR(ROUND(AW321*P321/10000,3),"")</f>
        <v/>
      </c>
      <c r="AZ321" s="354" t="n">
        <v>660.8</v>
      </c>
      <c r="BA321" s="355" t="n">
        <v>42.02</v>
      </c>
      <c r="BB321" s="355" t="n">
        <v>65.11</v>
      </c>
      <c r="BC321" s="355" t="n">
        <v>70.93000000000001</v>
      </c>
      <c r="BE321" s="331">
        <f>AZ321*AW321</f>
        <v/>
      </c>
      <c r="BF321" s="331">
        <f>BA321*AW321</f>
        <v/>
      </c>
      <c r="BG321" s="331">
        <f>BB321*AW321</f>
        <v/>
      </c>
      <c r="BH321" s="331">
        <f>BC321*AW321</f>
        <v/>
      </c>
      <c r="BJ321" s="356">
        <f t="array" ref="BJ321:BM321">_xlfn.LET(_xlpm.data,$R321:$AV321,_xlpm.starts,{1,8,16,23},_xlpm.lengths,{7,7,8,9},_xlpm.arr,_xlfn.MAP(_xlpm.starts,_xlpm.lengths,_xlfn.LAMBDA(_xlpm.s,_xlpm.l,SUM(INDEX(_xlpm.data,,_xlfn.SEQUENCE(,_xlpm.l,_xlpm.s))))),ROUND(_xlpm.arr*$O321/1000,2))</f>
        <v/>
      </c>
      <c r="BK321" s="331" t="n">
        <v>0</v>
      </c>
      <c r="BL321" s="331" t="n">
        <v>16.68</v>
      </c>
      <c r="BM321" s="331" t="n">
        <v>4.77</v>
      </c>
      <c r="BN321" s="362">
        <f>SUM(BJ321:BM321)</f>
        <v/>
      </c>
      <c r="BO321" s="362" t="n">
        <v>53.95</v>
      </c>
      <c r="BP321" s="362" t="n">
        <v>0</v>
      </c>
      <c r="BQ321" s="362" t="n">
        <v>0</v>
      </c>
      <c r="BR321" s="362" t="n">
        <v>0</v>
      </c>
      <c r="BT321" s="362">
        <f t="array" ref="BT321:BW321">_xlfn.HSTACK(SUM(INDEX($R321:$AV321,1,1):INDEX($R321:$AV321,1,7)),SUM(INDEX($R321:$AV321,1,7):INDEX($R321:$AV321,1,13)),SUM(INDEX($R321:$AV321,1,16):INDEX($R321:$AV321,1,23)),SUM(INDEX($R321:$AV321,1,23):INDEX($R321:$AV321,1,31)))</f>
        <v/>
      </c>
      <c r="BU321" s="362" t="n">
        <v>0</v>
      </c>
      <c r="BV321" s="362" t="n">
        <v>560</v>
      </c>
      <c r="BW321" s="362" t="n">
        <v>160</v>
      </c>
      <c r="BY321" s="362">
        <f>SUM(R321:X321)</f>
        <v/>
      </c>
      <c r="BZ321" s="362">
        <f>SUM(Y321:AE321)</f>
        <v/>
      </c>
      <c r="CA321" s="362">
        <f>SUM(AF321:AM321)</f>
        <v/>
      </c>
      <c r="CB321" s="362">
        <f>SUM(AN321:AV321)</f>
        <v/>
      </c>
      <c r="CD321" s="432" t="inlineStr">
        <is>
          <t>ADA</t>
        </is>
      </c>
      <c r="CE321" s="362">
        <f>ROUND(BY321*$O321/1000,2)</f>
        <v/>
      </c>
      <c r="CF321" s="362">
        <f>ROUND(BZ321*$O321/1000,2)</f>
        <v/>
      </c>
      <c r="CG321" s="362">
        <f>ROUND(CA321*$O321/1000,2)</f>
        <v/>
      </c>
      <c r="CH321" s="362">
        <f>ROUND(CB321*$O321/1000,2)</f>
        <v/>
      </c>
      <c r="CI321" s="362">
        <f>SUM(CE321:CH321)</f>
        <v/>
      </c>
      <c r="CK321" s="362">
        <f>IFERROR(ROUND(BY321*$P321,2),"")</f>
        <v/>
      </c>
      <c r="CL321" s="362">
        <f>IFERROR(ROUND(BZ321*$P321,2),"")</f>
        <v/>
      </c>
      <c r="CM321" s="362">
        <f>IFERROR(ROUND(CA321*$P321,2),"")</f>
        <v/>
      </c>
      <c r="CN321" s="362">
        <f>IFERROR(ROUND(CB321*$P321,2),"")</f>
        <v/>
      </c>
      <c r="CO321" s="362">
        <f>SUM(CK321:CN321)</f>
        <v/>
      </c>
    </row>
    <row r="322" hidden="1" ht="15.6" customHeight="1" s="428">
      <c r="B322" s="344">
        <f>_xlfn.XLOOKUP(G322,销售需求表!A:A,销售需求表!C:C)</f>
        <v/>
      </c>
      <c r="C322" s="345">
        <f>IFERROR(MID(F322,FIND("R",F322)+1,2),"")</f>
        <v/>
      </c>
      <c r="D322" s="368">
        <f>B322&amp;C322&amp;"寸"</f>
        <v/>
      </c>
      <c r="E322" s="346">
        <f>LEFT(REPLACE(G322,1,2,""),FIND("[",REPLACE(G322,1,2,""))-1)&amp;"-"&amp;MID(REPLACE(G322,1,2,""),FIND("[",REPLACE(G322,1,2,""))+1,FIND("]",REPLACE(G322,1,2,""))-FIND("[",REPLACE(G322,1,2,""))-1)</f>
        <v/>
      </c>
      <c r="F322" s="347">
        <f>IFERROR(MID(G322,3,FIND("(",G322)-3)&amp;"-"&amp;SUBSTITUTE(MID(G322,FIND("[",G322)+1,FIND("]",G322)-FIND("[",G322)-1),"Strong Guard ",""),"")</f>
        <v/>
      </c>
      <c r="G322" s="366" t="inlineStr">
        <is>
          <t>ID7.50R16-14PR(122/118L)[CR926]GOODRIDE(好运)</t>
        </is>
      </c>
      <c r="H322" s="344" t="n">
        <v>1600</v>
      </c>
      <c r="I322" s="348" t="n"/>
      <c r="J322" s="349">
        <f>IFERROR(LEFT(F322,FIND("-",F322))&amp;MID(F322,FIND("PR",F322,FIND("-",F322))+3,LEN(F322)),F322)</f>
        <v/>
      </c>
      <c r="K322" s="352">
        <f>_xlfn.XLOOKUP(F322,投产规格!E:E,投产规格!D:D,"未投产")</f>
        <v/>
      </c>
      <c r="L322" s="352">
        <f>IFERROR(_xlfn.XLOOKUP(F322,硫化工艺!B:B,硫化工艺!C:C),"")</f>
        <v/>
      </c>
      <c r="M322" s="430">
        <f>IF(L322="","",L322/(L322+$L$1/60))</f>
        <v/>
      </c>
      <c r="N322" s="352">
        <f>C322&amp;"全钢"</f>
        <v/>
      </c>
      <c r="O322" s="352">
        <f>IFERROR(_xlfn.XLOOKUP(F322,轮胎重量!J:J,轮胎重量!G:G),"")</f>
        <v/>
      </c>
      <c r="P322" s="352">
        <f>IFERROR(_xlfn.XLOOKUP(G322,硫化工艺!I:I,硫化工艺!J:J),"")</f>
        <v/>
      </c>
      <c r="Q322" s="352">
        <f>IFERROR(ROUND(1440/L322*(I322)*M322,0),"")</f>
        <v/>
      </c>
      <c r="R322" s="352" t="n"/>
      <c r="S322" s="352" t="n"/>
      <c r="T322" s="352" t="n"/>
      <c r="U322" s="352" t="n"/>
      <c r="V322" s="352" t="n"/>
      <c r="W322" s="352" t="n"/>
      <c r="X322" s="352" t="n"/>
      <c r="Y322" s="352" t="n"/>
      <c r="Z322" s="352" t="n"/>
      <c r="AA322" s="352" t="n"/>
      <c r="AB322" s="352" t="n"/>
      <c r="AC322" s="352" t="n"/>
      <c r="AD322" s="352" t="n"/>
      <c r="AE322" s="352" t="n"/>
      <c r="AF322" s="352" t="n"/>
      <c r="AG322" s="352" t="n"/>
      <c r="AH322" s="352" t="n"/>
      <c r="AI322" s="352" t="n"/>
      <c r="AJ322" s="352" t="n"/>
      <c r="AK322" s="352" t="n"/>
      <c r="AL322" s="352" t="n"/>
      <c r="AM322" s="352" t="n"/>
      <c r="AN322" s="352" t="n"/>
      <c r="AO322" s="352" t="n"/>
      <c r="AP322" s="352" t="n"/>
      <c r="AQ322" s="352" t="n"/>
      <c r="AR322" s="352" t="n"/>
      <c r="AS322" s="352" t="n"/>
      <c r="AT322" s="352" t="n"/>
      <c r="AU322" s="352" t="n"/>
      <c r="AV322" s="352" t="n"/>
      <c r="AW322" s="352">
        <f>IF(SUM(R322:AV322)=0,"",SUM(R322:AV322))</f>
        <v/>
      </c>
      <c r="AX322" s="431">
        <f>IFERROR(AW322*O322/1000,"")</f>
        <v/>
      </c>
      <c r="AY322" s="431">
        <f>IFERROR(ROUND(AW322*P322/10000,3),"")</f>
        <v/>
      </c>
      <c r="AZ322" s="354" t="n">
        <v>660.8</v>
      </c>
      <c r="BA322" s="355" t="n">
        <v>42.02</v>
      </c>
      <c r="BB322" s="355" t="n">
        <v>65.11</v>
      </c>
      <c r="BC322" s="355" t="n">
        <v>70.93000000000001</v>
      </c>
      <c r="BE322" s="331">
        <f>AZ322*AW322</f>
        <v/>
      </c>
      <c r="BF322" s="331">
        <f>BA322*AW322</f>
        <v/>
      </c>
      <c r="BG322" s="331">
        <f>BB322*AW322</f>
        <v/>
      </c>
      <c r="BH322" s="331">
        <f>BC322*AW322</f>
        <v/>
      </c>
      <c r="BJ322" s="356">
        <f t="array" ref="BJ322:BM322">_xlfn.LET(_xlpm.data,$R322:$AV322,_xlpm.starts,{1,8,16,23},_xlpm.lengths,{7,7,8,9},_xlpm.arr,_xlfn.MAP(_xlpm.starts,_xlpm.lengths,_xlfn.LAMBDA(_xlpm.s,_xlpm.l,SUM(INDEX(_xlpm.data,,_xlfn.SEQUENCE(,_xlpm.l,_xlpm.s))))),ROUND(_xlpm.arr*$O322/1000,2))</f>
        <v/>
      </c>
      <c r="BK322" s="331" t="n">
        <v>0</v>
      </c>
      <c r="BL322" s="331" t="n">
        <v>0</v>
      </c>
      <c r="BM322" s="331" t="n">
        <v>0</v>
      </c>
      <c r="BN322" s="362">
        <f>SUM(BJ322:BM322)</f>
        <v/>
      </c>
      <c r="BO322" s="362" t="n">
        <v>53.95</v>
      </c>
      <c r="BP322" s="362" t="n">
        <v>0</v>
      </c>
      <c r="BQ322" s="362" t="n">
        <v>0</v>
      </c>
      <c r="BR322" s="362" t="n">
        <v>0</v>
      </c>
      <c r="BT322" s="362">
        <f t="array" ref="BT322:BW322">_xlfn.HSTACK(SUM(INDEX($R322:$AV322,1,1):INDEX($R322:$AV322,1,7)),SUM(INDEX($R322:$AV322,1,7):INDEX($R322:$AV322,1,13)),SUM(INDEX($R322:$AV322,1,16):INDEX($R322:$AV322,1,23)),SUM(INDEX($R322:$AV322,1,23):INDEX($R322:$AV322,1,31)))</f>
        <v/>
      </c>
      <c r="BU322" s="362" t="n">
        <v>0</v>
      </c>
      <c r="BV322" s="362" t="n">
        <v>0</v>
      </c>
      <c r="BW322" s="362" t="n">
        <v>0</v>
      </c>
      <c r="BY322" s="362">
        <f>SUM(R322:X322)</f>
        <v/>
      </c>
      <c r="BZ322" s="362">
        <f>SUM(Y322:AE322)</f>
        <v/>
      </c>
      <c r="CA322" s="362">
        <f>SUM(AF322:AM322)</f>
        <v/>
      </c>
      <c r="CB322" s="362">
        <f>SUM(AN322:AV322)</f>
        <v/>
      </c>
      <c r="CD322" s="432" t="inlineStr">
        <is>
          <t>ADA</t>
        </is>
      </c>
      <c r="CE322" s="362">
        <f>ROUND(BY322*$O322/1000,2)</f>
        <v/>
      </c>
      <c r="CF322" s="362">
        <f>ROUND(BZ322*$O322/1000,2)</f>
        <v/>
      </c>
      <c r="CG322" s="362">
        <f>ROUND(CA322*$O322/1000,2)</f>
        <v/>
      </c>
      <c r="CH322" s="362">
        <f>ROUND(CB322*$O322/1000,2)</f>
        <v/>
      </c>
      <c r="CI322" s="362">
        <f>SUM(CE322:CH322)</f>
        <v/>
      </c>
      <c r="CK322" s="362">
        <f>IFERROR(ROUND(BY322*$P322,2),"")</f>
        <v/>
      </c>
      <c r="CL322" s="362">
        <f>IFERROR(ROUND(BZ322*$P322,2),"")</f>
        <v/>
      </c>
      <c r="CM322" s="362">
        <f>IFERROR(ROUND(CA322*$P322,2),"")</f>
        <v/>
      </c>
      <c r="CN322" s="362">
        <f>IFERROR(ROUND(CB322*$P322,2),"")</f>
        <v/>
      </c>
      <c r="CO322" s="362">
        <f>SUM(CK322:CN322)</f>
        <v/>
      </c>
    </row>
    <row r="323" hidden="1" ht="15.6" customHeight="1" s="428">
      <c r="B323" s="344">
        <f>_xlfn.XLOOKUP(G323,销售需求表!A:A,销售需求表!C:C)</f>
        <v/>
      </c>
      <c r="C323" s="345">
        <f>IFERROR(MID(F323,FIND("R",F323)+1,2),"")</f>
        <v/>
      </c>
      <c r="D323" s="368">
        <f>B323&amp;C323&amp;"寸"</f>
        <v/>
      </c>
      <c r="E323" s="346">
        <f>LEFT(REPLACE(G323,1,2,""),FIND("[",REPLACE(G323,1,2,""))-1)&amp;"-"&amp;MID(REPLACE(G323,1,2,""),FIND("[",REPLACE(G323,1,2,""))+1,FIND("]",REPLACE(G323,1,2,""))-FIND("[",REPLACE(G323,1,2,""))-1)</f>
        <v/>
      </c>
      <c r="F323" s="347">
        <f>IFERROR(MID(G323,3,FIND("(",G323)-3)&amp;"-"&amp;SUBSTITUTE(MID(G323,FIND("[",G323)+1,FIND("]",G323)-FIND("[",G323)-1),"Strong Guard ",""),"")</f>
        <v/>
      </c>
      <c r="G323" s="366" t="inlineStr">
        <is>
          <t>ID7.50R16-14PR(122/118L)[CR926]朝阳</t>
        </is>
      </c>
      <c r="H323" s="344" t="n">
        <v>250</v>
      </c>
      <c r="I323" s="348" t="n"/>
      <c r="J323" s="349">
        <f>IFERROR(LEFT(F323,FIND("-",F323))&amp;MID(F323,FIND("PR",F323,FIND("-",F323))+3,LEN(F323)),F323)</f>
        <v/>
      </c>
      <c r="K323" s="352">
        <f>_xlfn.XLOOKUP(F323,投产规格!E:E,投产规格!D:D,"未投产")</f>
        <v/>
      </c>
      <c r="L323" s="352">
        <f>IFERROR(_xlfn.XLOOKUP(F323,硫化工艺!B:B,硫化工艺!C:C),"")</f>
        <v/>
      </c>
      <c r="M323" s="430">
        <f>IF(L323="","",L323/(L323+$L$1/60))</f>
        <v/>
      </c>
      <c r="N323" s="352">
        <f>C323&amp;"全钢"</f>
        <v/>
      </c>
      <c r="O323" s="352">
        <f>IFERROR(_xlfn.XLOOKUP(F323,轮胎重量!J:J,轮胎重量!G:G),"")</f>
        <v/>
      </c>
      <c r="P323" s="358">
        <f>O323*13.9</f>
        <v/>
      </c>
      <c r="Q323" s="352">
        <f>IFERROR(ROUND(1440/L323*(I323)*M323,0),"")</f>
        <v/>
      </c>
      <c r="R323" s="352" t="n"/>
      <c r="S323" s="352" t="n"/>
      <c r="T323" s="352" t="n"/>
      <c r="U323" s="352" t="n"/>
      <c r="V323" s="352" t="n"/>
      <c r="W323" s="352" t="n"/>
      <c r="X323" s="352" t="n"/>
      <c r="Y323" s="352" t="n"/>
      <c r="Z323" s="352" t="n"/>
      <c r="AA323" s="352" t="n"/>
      <c r="AB323" s="352" t="n"/>
      <c r="AC323" s="352" t="n"/>
      <c r="AD323" s="352" t="n"/>
      <c r="AE323" s="352" t="n"/>
      <c r="AF323" s="352" t="n"/>
      <c r="AG323" s="352" t="n"/>
      <c r="AH323" s="352" t="n"/>
      <c r="AI323" s="352" t="n"/>
      <c r="AJ323" s="352" t="n"/>
      <c r="AK323" s="352" t="n"/>
      <c r="AL323" s="352" t="n"/>
      <c r="AM323" s="352" t="n"/>
      <c r="AN323" s="352" t="n"/>
      <c r="AO323" s="352" t="n"/>
      <c r="AP323" s="352" t="n"/>
      <c r="AQ323" s="352" t="n"/>
      <c r="AR323" s="352" t="n"/>
      <c r="AS323" s="352" t="n"/>
      <c r="AT323" s="352" t="n"/>
      <c r="AU323" s="352" t="n"/>
      <c r="AV323" s="352" t="n"/>
      <c r="AW323" s="352">
        <f>IF(SUM(R323:AV323)=0,"",SUM(R323:AV323))</f>
        <v/>
      </c>
      <c r="AX323" s="431">
        <f>IFERROR(AW323*O323/1000,"")</f>
        <v/>
      </c>
      <c r="AY323" s="431">
        <f>IFERROR(ROUND(AW323*P323/10000,3),"")</f>
        <v/>
      </c>
      <c r="AZ323" s="354" t="n">
        <v>660.8</v>
      </c>
      <c r="BA323" s="355" t="n">
        <v>42.02</v>
      </c>
      <c r="BB323" s="355" t="n">
        <v>65.11</v>
      </c>
      <c r="BC323" s="355" t="n">
        <v>70.93000000000001</v>
      </c>
      <c r="BE323" s="331">
        <f>AZ323*AW323</f>
        <v/>
      </c>
      <c r="BF323" s="331">
        <f>BA323*AW323</f>
        <v/>
      </c>
      <c r="BG323" s="331">
        <f>BB323*AW323</f>
        <v/>
      </c>
      <c r="BH323" s="331">
        <f>BC323*AW323</f>
        <v/>
      </c>
      <c r="BJ323" s="356">
        <f t="array" ref="BJ323:BM323">_xlfn.LET(_xlpm.data,$R323:$AV323,_xlpm.starts,{1,8,16,23},_xlpm.lengths,{7,7,8,9},_xlpm.arr,_xlfn.MAP(_xlpm.starts,_xlpm.lengths,_xlfn.LAMBDA(_xlpm.s,_xlpm.l,SUM(INDEX(_xlpm.data,,_xlfn.SEQUENCE(,_xlpm.l,_xlpm.s))))),ROUND(_xlpm.arr*$O323/1000,2))</f>
        <v/>
      </c>
      <c r="BK323" s="331" t="n">
        <v>0</v>
      </c>
      <c r="BL323" s="331" t="n">
        <v>0</v>
      </c>
      <c r="BM323" s="331" t="n">
        <v>0</v>
      </c>
      <c r="BN323" s="362">
        <f>SUM(BJ323:BM323)</f>
        <v/>
      </c>
      <c r="BO323" s="362" t="n">
        <v>53.95</v>
      </c>
      <c r="BP323" s="362" t="n">
        <v>0</v>
      </c>
      <c r="BQ323" s="362" t="n">
        <v>0</v>
      </c>
      <c r="BR323" s="362" t="n">
        <v>0</v>
      </c>
      <c r="BT323" s="362">
        <f t="array" ref="BT323:BW323">_xlfn.HSTACK(SUM(INDEX($R323:$AV323,1,1):INDEX($R323:$AV323,1,7)),SUM(INDEX($R323:$AV323,1,7):INDEX($R323:$AV323,1,13)),SUM(INDEX($R323:$AV323,1,16):INDEX($R323:$AV323,1,23)),SUM(INDEX($R323:$AV323,1,23):INDEX($R323:$AV323,1,31)))</f>
        <v/>
      </c>
      <c r="BU323" s="362" t="n">
        <v>0</v>
      </c>
      <c r="BV323" s="362" t="n">
        <v>0</v>
      </c>
      <c r="BW323" s="362" t="n">
        <v>0</v>
      </c>
      <c r="BY323" s="362">
        <f>SUM(R323:X323)</f>
        <v/>
      </c>
      <c r="BZ323" s="362">
        <f>SUM(Y323:AE323)</f>
        <v/>
      </c>
      <c r="CA323" s="362">
        <f>SUM(AF323:AM323)</f>
        <v/>
      </c>
      <c r="CB323" s="362">
        <f>SUM(AN323:AV323)</f>
        <v/>
      </c>
      <c r="CD323" s="432" t="inlineStr">
        <is>
          <t>ADA</t>
        </is>
      </c>
      <c r="CE323" s="362">
        <f>ROUND(BY323*$O323/1000,2)</f>
        <v/>
      </c>
      <c r="CF323" s="362">
        <f>ROUND(BZ323*$O323/1000,2)</f>
        <v/>
      </c>
      <c r="CG323" s="362">
        <f>ROUND(CA323*$O323/1000,2)</f>
        <v/>
      </c>
      <c r="CH323" s="362">
        <f>ROUND(CB323*$O323/1000,2)</f>
        <v/>
      </c>
      <c r="CI323" s="362">
        <f>SUM(CE323:CH323)</f>
        <v/>
      </c>
      <c r="CK323" s="362">
        <f>IFERROR(ROUND(BY323*$P323,2),"")</f>
        <v/>
      </c>
      <c r="CL323" s="362">
        <f>IFERROR(ROUND(BZ323*$P323,2),"")</f>
        <v/>
      </c>
      <c r="CM323" s="362">
        <f>IFERROR(ROUND(CA323*$P323,2),"")</f>
        <v/>
      </c>
      <c r="CN323" s="362">
        <f>IFERROR(ROUND(CB323*$P323,2),"")</f>
        <v/>
      </c>
      <c r="CO323" s="362">
        <f>SUM(CK323:CN323)</f>
        <v/>
      </c>
    </row>
    <row r="324" hidden="1" ht="15.6" customHeight="1" s="428">
      <c r="B324" s="344">
        <f>_xlfn.XLOOKUP(G324,销售需求表!A:A,销售需求表!C:C)</f>
        <v/>
      </c>
      <c r="C324" s="345">
        <f>IFERROR(MID(F324,FIND("R",F324)+1,2),"")</f>
        <v/>
      </c>
      <c r="D324" s="368">
        <f>B324&amp;C324&amp;"寸"</f>
        <v/>
      </c>
      <c r="E324" s="346">
        <f>LEFT(REPLACE(G324,1,2,""),FIND("[",REPLACE(G324,1,2,""))-1)&amp;"-"&amp;MID(REPLACE(G324,1,2,""),FIND("[",REPLACE(G324,1,2,""))+1,FIND("]",REPLACE(G324,1,2,""))-FIND("[",REPLACE(G324,1,2,""))-1)</f>
        <v/>
      </c>
      <c r="F324" s="347">
        <f>IFERROR(MID(G324,3,FIND("(",G324)-3)&amp;"-"&amp;SUBSTITUTE(MID(G324,FIND("[",G324)+1,FIND("]",G324)-FIND("[",G324)-1),"Strong Guard ",""),"")</f>
        <v/>
      </c>
      <c r="G324" s="366" t="inlineStr">
        <is>
          <t>ID7.50R16-14PR(122/118L)[CR926]威狮</t>
        </is>
      </c>
      <c r="H324" s="344" t="n">
        <v>1300</v>
      </c>
      <c r="I324" s="348" t="n"/>
      <c r="J324" s="349">
        <f>IFERROR(LEFT(F324,FIND("-",F324))&amp;MID(F324,FIND("PR",F324,FIND("-",F324))+3,LEN(F324)),F324)</f>
        <v/>
      </c>
      <c r="K324" s="352">
        <f>_xlfn.XLOOKUP(F324,投产规格!E:E,投产规格!D:D,"未投产")</f>
        <v/>
      </c>
      <c r="L324" s="352">
        <f>IFERROR(_xlfn.XLOOKUP(F324,硫化工艺!B:B,硫化工艺!C:C),"")</f>
        <v/>
      </c>
      <c r="M324" s="430">
        <f>IF(L324="","",L324/(L324+$L$1/60))</f>
        <v/>
      </c>
      <c r="N324" s="352">
        <f>C324&amp;"全钢"</f>
        <v/>
      </c>
      <c r="O324" s="352" t="n">
        <v>64.622</v>
      </c>
      <c r="P324" s="352">
        <f>IFERROR(_xlfn.XLOOKUP(G324,硫化工艺!I:I,硫化工艺!J:J),"")</f>
        <v/>
      </c>
      <c r="Q324" s="352">
        <f>IFERROR(ROUND(1440/L324*(I324)*M324,0),"")</f>
        <v/>
      </c>
      <c r="R324" s="352" t="n"/>
      <c r="S324" s="352" t="n"/>
      <c r="T324" s="352" t="n"/>
      <c r="U324" s="352" t="n"/>
      <c r="V324" s="352" t="n"/>
      <c r="W324" s="352" t="n"/>
      <c r="X324" s="352" t="n"/>
      <c r="Y324" s="352" t="n"/>
      <c r="Z324" s="352" t="n"/>
      <c r="AA324" s="352" t="n"/>
      <c r="AB324" s="352" t="n"/>
      <c r="AC324" s="352" t="n"/>
      <c r="AD324" s="352" t="n"/>
      <c r="AE324" s="352" t="n"/>
      <c r="AF324" s="352" t="n"/>
      <c r="AG324" s="352" t="n"/>
      <c r="AH324" s="352" t="n"/>
      <c r="AI324" s="352" t="n"/>
      <c r="AJ324" s="352" t="n"/>
      <c r="AK324" s="352" t="n"/>
      <c r="AL324" s="352" t="n"/>
      <c r="AM324" s="352" t="n"/>
      <c r="AN324" s="352" t="n"/>
      <c r="AO324" s="352" t="n"/>
      <c r="AP324" s="352" t="n"/>
      <c r="AQ324" s="352" t="n"/>
      <c r="AR324" s="352" t="n"/>
      <c r="AS324" s="352" t="n"/>
      <c r="AT324" s="352" t="n"/>
      <c r="AU324" s="352" t="n"/>
      <c r="AV324" s="352" t="n"/>
      <c r="AW324" s="352">
        <f>IF(SUM(R324:AV324)=0,"",SUM(R324:AV324))</f>
        <v/>
      </c>
      <c r="AX324" s="431">
        <f>IFERROR(AW324*O324/1000,"")</f>
        <v/>
      </c>
      <c r="AY324" s="431">
        <f>IFERROR(ROUND(AW324*P324/10000,3),"")</f>
        <v/>
      </c>
      <c r="AZ324" s="354" t="n">
        <v>660.8</v>
      </c>
      <c r="BA324" s="355" t="n">
        <v>42.02</v>
      </c>
      <c r="BB324" s="355" t="n">
        <v>65.11</v>
      </c>
      <c r="BC324" s="355" t="n">
        <v>70.93000000000001</v>
      </c>
      <c r="BE324" s="331">
        <f>AZ324*AW324</f>
        <v/>
      </c>
      <c r="BF324" s="331">
        <f>BA324*AW324</f>
        <v/>
      </c>
      <c r="BG324" s="331">
        <f>BB324*AW324</f>
        <v/>
      </c>
      <c r="BH324" s="331">
        <f>BC324*AW324</f>
        <v/>
      </c>
      <c r="BJ324" s="356">
        <f t="array" ref="BJ324:BM324">_xlfn.LET(_xlpm.data,$R324:$AV324,_xlpm.starts,{1,8,16,23},_xlpm.lengths,{7,7,8,9},_xlpm.arr,_xlfn.MAP(_xlpm.starts,_xlpm.lengths,_xlfn.LAMBDA(_xlpm.s,_xlpm.l,SUM(INDEX(_xlpm.data,,_xlfn.SEQUENCE(,_xlpm.l,_xlpm.s))))),ROUND(_xlpm.arr*$O324/1000,2))</f>
        <v/>
      </c>
      <c r="BK324" s="331" t="n">
        <v>0</v>
      </c>
      <c r="BL324" s="331" t="n">
        <v>0</v>
      </c>
      <c r="BM324" s="331" t="n">
        <v>0</v>
      </c>
      <c r="BN324" s="362">
        <f>SUM(BJ324:BM324)</f>
        <v/>
      </c>
      <c r="BO324" s="362" t="n">
        <v>53.95</v>
      </c>
      <c r="BP324" s="362" t="n">
        <v>0</v>
      </c>
      <c r="BQ324" s="362" t="n">
        <v>0</v>
      </c>
      <c r="BR324" s="362" t="n">
        <v>0</v>
      </c>
      <c r="BT324" s="362">
        <f t="array" ref="BT324:BW324">_xlfn.HSTACK(SUM(INDEX($R324:$AV324,1,1):INDEX($R324:$AV324,1,7)),SUM(INDEX($R324:$AV324,1,7):INDEX($R324:$AV324,1,13)),SUM(INDEX($R324:$AV324,1,16):INDEX($R324:$AV324,1,23)),SUM(INDEX($R324:$AV324,1,23):INDEX($R324:$AV324,1,31)))</f>
        <v/>
      </c>
      <c r="BU324" s="362" t="n">
        <v>0</v>
      </c>
      <c r="BV324" s="362" t="n">
        <v>0</v>
      </c>
      <c r="BW324" s="362" t="n">
        <v>0</v>
      </c>
      <c r="BY324" s="362">
        <f>SUM(R324:X324)</f>
        <v/>
      </c>
      <c r="BZ324" s="362">
        <f>SUM(Y324:AE324)</f>
        <v/>
      </c>
      <c r="CA324" s="362">
        <f>SUM(AF324:AM324)</f>
        <v/>
      </c>
      <c r="CB324" s="362">
        <f>SUM(AN324:AV324)</f>
        <v/>
      </c>
      <c r="CD324" s="432" t="inlineStr">
        <is>
          <t>ADA</t>
        </is>
      </c>
      <c r="CE324" s="362">
        <f>ROUND(BY324*$O324/1000,2)</f>
        <v/>
      </c>
      <c r="CF324" s="362">
        <f>ROUND(BZ324*$O324/1000,2)</f>
        <v/>
      </c>
      <c r="CG324" s="362">
        <f>ROUND(CA324*$O324/1000,2)</f>
        <v/>
      </c>
      <c r="CH324" s="362">
        <f>ROUND(CB324*$O324/1000,2)</f>
        <v/>
      </c>
      <c r="CI324" s="362">
        <f>SUM(CE324:CH324)</f>
        <v/>
      </c>
      <c r="CK324" s="362">
        <f>IFERROR(ROUND(BY324*$P324,2),"")</f>
        <v/>
      </c>
      <c r="CL324" s="362">
        <f>IFERROR(ROUND(BZ324*$P324,2),"")</f>
        <v/>
      </c>
      <c r="CM324" s="362">
        <f>IFERROR(ROUND(CA324*$P324,2),"")</f>
        <v/>
      </c>
      <c r="CN324" s="362">
        <f>IFERROR(ROUND(CB324*$P324,2),"")</f>
        <v/>
      </c>
      <c r="CO324" s="362">
        <f>SUM(CK324:CN324)</f>
        <v/>
      </c>
    </row>
    <row r="325" ht="15.6" customHeight="1" s="428">
      <c r="B325" s="344">
        <f>_xlfn.XLOOKUP(G325,销售需求表!A:A,销售需求表!C:C)</f>
        <v/>
      </c>
      <c r="C325" s="345">
        <f>IFERROR(MID(F325,FIND("R",F325)+1,2),"")</f>
        <v/>
      </c>
      <c r="D325" s="368">
        <f>B325&amp;C325&amp;"寸"</f>
        <v/>
      </c>
      <c r="E325" s="346">
        <f>LEFT(REPLACE(G325,1,2,""),FIND("[",REPLACE(G325,1,2,""))-1)&amp;"-"&amp;MID(REPLACE(G325,1,2,""),FIND("[",REPLACE(G325,1,2,""))+1,FIND("]",REPLACE(G325,1,2,""))-FIND("[",REPLACE(G325,1,2,""))-1)</f>
        <v/>
      </c>
      <c r="F325" s="347">
        <f>IFERROR(MID(G325,3,FIND("(",G325)-3)&amp;"-"&amp;SUBSTITUTE(MID(G325,FIND("[",G325)+1,FIND("]",G325)-FIND("[",G325)-1),"Strong Guard ",""),"")</f>
        <v/>
      </c>
      <c r="G325" s="366" t="inlineStr">
        <is>
          <t>ID7.50R16-14PR(122/118L)[EZ369]朝阳</t>
        </is>
      </c>
      <c r="H325" s="344" t="n">
        <v>800</v>
      </c>
      <c r="I325" s="348" t="n"/>
      <c r="J325" s="349">
        <f>IFERROR(LEFT(F325,FIND("-",F325))&amp;MID(F325,FIND("PR",F325,FIND("-",F325))+3,LEN(F325)),F325)</f>
        <v/>
      </c>
      <c r="K325" s="352">
        <f>_xlfn.XLOOKUP(F325,投产规格!E:E,投产规格!D:D,"未投产")</f>
        <v/>
      </c>
      <c r="L325" s="352">
        <f>IFERROR(_xlfn.XLOOKUP(F325,硫化工艺!B:B,硫化工艺!C:C),"")</f>
        <v/>
      </c>
      <c r="M325" s="430">
        <f>IF(L325="","",L325/(L325+$L$1/60))</f>
        <v/>
      </c>
      <c r="N325" s="352">
        <f>C325&amp;"全钢"</f>
        <v/>
      </c>
      <c r="O325" s="352">
        <f>IFERROR(_xlfn.XLOOKUP(F325,轮胎重量!J:J,轮胎重量!G:G),"")</f>
        <v/>
      </c>
      <c r="P325" s="352">
        <f>IFERROR(_xlfn.XLOOKUP(G325,硫化工艺!I:I,硫化工艺!J:J),"")</f>
        <v/>
      </c>
      <c r="Q325" s="352">
        <f>IFERROR(ROUND(1440/L325*(I325)*M325,0),"")</f>
        <v/>
      </c>
      <c r="R325" s="352" t="n"/>
      <c r="S325" s="352" t="n"/>
      <c r="T325" s="352" t="n"/>
      <c r="U325" s="352" t="n"/>
      <c r="V325" s="352" t="n"/>
      <c r="W325" s="352" t="n"/>
      <c r="X325" s="352" t="n"/>
      <c r="Y325" s="352" t="n"/>
      <c r="Z325" s="352" t="n"/>
      <c r="AA325" s="352" t="n"/>
      <c r="AB325" s="352" t="n"/>
      <c r="AC325" s="352" t="n"/>
      <c r="AD325" s="352" t="n"/>
      <c r="AE325" s="352" t="n"/>
      <c r="AF325" s="352" t="n"/>
      <c r="AG325" s="352" t="n"/>
      <c r="AH325" s="352" t="n"/>
      <c r="AI325" s="352" t="n"/>
      <c r="AJ325" s="352" t="n"/>
      <c r="AK325" s="352" t="n"/>
      <c r="AL325" s="352" t="n"/>
      <c r="AM325" s="352" t="n"/>
      <c r="AN325" s="352" t="n"/>
      <c r="AO325" s="352" t="n"/>
      <c r="AP325" s="352" t="n">
        <v>80</v>
      </c>
      <c r="AQ325" s="352" t="n">
        <v>80</v>
      </c>
      <c r="AR325" s="352" t="n">
        <v>80</v>
      </c>
      <c r="AS325" s="352" t="n">
        <v>80</v>
      </c>
      <c r="AT325" s="352" t="n">
        <v>80</v>
      </c>
      <c r="AU325" s="352" t="n">
        <v>80</v>
      </c>
      <c r="AV325" s="352" t="n">
        <v>80</v>
      </c>
      <c r="AW325" s="352">
        <f>IF(SUM(R325:AV325)=0,"",SUM(R325:AV325))</f>
        <v/>
      </c>
      <c r="AX325" s="431">
        <f>IFERROR(AW325*O325/1000,"")</f>
        <v/>
      </c>
      <c r="AY325" s="431">
        <f>IFERROR(ROUND(AW325*P325/10000,3),"")</f>
        <v/>
      </c>
      <c r="AZ325" s="354" t="n">
        <v>828.4</v>
      </c>
      <c r="BA325" s="355" t="n">
        <v>50.66</v>
      </c>
      <c r="BB325" s="355" t="n">
        <v>75.77</v>
      </c>
      <c r="BC325" s="355" t="n">
        <v>82.47</v>
      </c>
      <c r="BE325" s="331">
        <f>AZ325*AW325</f>
        <v/>
      </c>
      <c r="BF325" s="331">
        <f>BA325*AW325</f>
        <v/>
      </c>
      <c r="BG325" s="331">
        <f>BB325*AW325</f>
        <v/>
      </c>
      <c r="BH325" s="331">
        <f>BC325*AW325</f>
        <v/>
      </c>
      <c r="BJ325" s="356">
        <f t="array" ref="BJ325:BM325">_xlfn.LET(_xlpm.data,$R325:$AV325,_xlpm.starts,{1,8,16,23},_xlpm.lengths,{7,7,8,9},_xlpm.arr,_xlfn.MAP(_xlpm.starts,_xlpm.lengths,_xlfn.LAMBDA(_xlpm.s,_xlpm.l,SUM(INDEX(_xlpm.data,,_xlfn.SEQUENCE(,_xlpm.l,_xlpm.s))))),ROUND(_xlpm.arr*$O325/1000,2))</f>
        <v/>
      </c>
      <c r="BK325" s="331" t="n">
        <v>0</v>
      </c>
      <c r="BL325" s="331" t="n">
        <v>0</v>
      </c>
      <c r="BM325" s="331" t="n">
        <v>17.13</v>
      </c>
      <c r="BN325" s="362">
        <f>SUM(BJ325:BM325)</f>
        <v/>
      </c>
      <c r="BO325" s="362" t="n">
        <v>0</v>
      </c>
      <c r="BP325" s="362" t="n">
        <v>0</v>
      </c>
      <c r="BQ325" s="362" t="n">
        <v>0</v>
      </c>
      <c r="BR325" s="362" t="n">
        <v>16.09</v>
      </c>
      <c r="BT325" s="362">
        <f t="array" ref="BT325:BW325">_xlfn.HSTACK(SUM(INDEX($R325:$AV325,1,1):INDEX($R325:$AV325,1,7)),SUM(INDEX($R325:$AV325,1,7):INDEX($R325:$AV325,1,13)),SUM(INDEX($R325:$AV325,1,16):INDEX($R325:$AV325,1,23)),SUM(INDEX($R325:$AV325,1,23):INDEX($R325:$AV325,1,31)))</f>
        <v/>
      </c>
      <c r="BU325" s="362" t="n">
        <v>0</v>
      </c>
      <c r="BV325" s="362" t="n">
        <v>0</v>
      </c>
      <c r="BW325" s="362" t="n">
        <v>560</v>
      </c>
      <c r="BY325" s="362">
        <f>SUM(R325:X325)</f>
        <v/>
      </c>
      <c r="BZ325" s="362">
        <f>SUM(Y325:AE325)</f>
        <v/>
      </c>
      <c r="CA325" s="362">
        <f>SUM(AF325:AM325)</f>
        <v/>
      </c>
      <c r="CB325" s="362">
        <f>SUM(AN325:AV325)</f>
        <v/>
      </c>
      <c r="CD325" s="432" t="inlineStr">
        <is>
          <t>ADA</t>
        </is>
      </c>
      <c r="CE325" s="362">
        <f>ROUND(BY325*$O325/1000,2)</f>
        <v/>
      </c>
      <c r="CF325" s="362">
        <f>ROUND(BZ325*$O325/1000,2)</f>
        <v/>
      </c>
      <c r="CG325" s="362">
        <f>ROUND(CA325*$O325/1000,2)</f>
        <v/>
      </c>
      <c r="CH325" s="362">
        <f>ROUND(CB325*$O325/1000,2)</f>
        <v/>
      </c>
      <c r="CI325" s="362">
        <f>SUM(CE325:CH325)</f>
        <v/>
      </c>
      <c r="CK325" s="362">
        <f>IFERROR(ROUND(BY325*$P325,2),"")</f>
        <v/>
      </c>
      <c r="CL325" s="362">
        <f>IFERROR(ROUND(BZ325*$P325,2),"")</f>
        <v/>
      </c>
      <c r="CM325" s="362">
        <f>IFERROR(ROUND(CA325*$P325,2),"")</f>
        <v/>
      </c>
      <c r="CN325" s="362">
        <f>IFERROR(ROUND(CB325*$P325,2),"")</f>
        <v/>
      </c>
      <c r="CO325" s="362">
        <f>SUM(CK325:CN325)</f>
        <v/>
      </c>
    </row>
    <row r="326" hidden="1" ht="15.6" customFormat="1" customHeight="1" s="362">
      <c r="A326" s="331" t="n"/>
      <c r="B326" s="344">
        <f>_xlfn.XLOOKUP(G326,销售需求表!A:A,销售需求表!C:C)</f>
        <v/>
      </c>
      <c r="C326" s="345">
        <f>IFERROR(MID(F326,FIND("R",F326)+1,2),"")</f>
        <v/>
      </c>
      <c r="D326" s="368">
        <f>B326&amp;C326&amp;"寸"</f>
        <v/>
      </c>
      <c r="E326" s="346">
        <f>LEFT(REPLACE(G326,1,2,""),FIND("[",REPLACE(G326,1,2,""))-1)&amp;"-"&amp;MID(REPLACE(G326,1,2,""),FIND("[",REPLACE(G326,1,2,""))+1,FIND("]",REPLACE(G326,1,2,""))-FIND("[",REPLACE(G326,1,2,""))-1)</f>
        <v/>
      </c>
      <c r="F326" s="347">
        <f>IFERROR(MID(G326,3,FIND("(",G326)-3)&amp;"-"&amp;SUBSTITUTE(MID(G326,FIND("[",G326)+1,FIND("]",G326)-FIND("[",G326)-1),"Strong Guard ",""),"")</f>
        <v/>
      </c>
      <c r="G326" s="366" t="inlineStr">
        <is>
          <t>ID7.50R16-14PR(122/118L)[EZ369]金冠</t>
        </is>
      </c>
      <c r="H326" s="344" t="n">
        <v>1100</v>
      </c>
      <c r="I326" s="348" t="n"/>
      <c r="J326" s="349">
        <f>IFERROR(LEFT(F326,FIND("-",F326))&amp;MID(F326,FIND("PR",F326,FIND("-",F326))+3,LEN(F326)),F326)</f>
        <v/>
      </c>
      <c r="K326" s="352">
        <f>_xlfn.XLOOKUP(F326,投产规格!E:E,投产规格!D:D,"未投产")</f>
        <v/>
      </c>
      <c r="L326" s="352">
        <f>IFERROR(_xlfn.XLOOKUP(F326,硫化工艺!B:B,硫化工艺!C:C),"")</f>
        <v/>
      </c>
      <c r="M326" s="430">
        <f>IF(L326="","",L326/(L326+$L$1/60))</f>
        <v/>
      </c>
      <c r="N326" s="352">
        <f>C326&amp;"全钢"</f>
        <v/>
      </c>
      <c r="O326" s="352">
        <f>IFERROR(_xlfn.XLOOKUP(F326,轮胎重量!J:J,轮胎重量!G:G),"")</f>
        <v/>
      </c>
      <c r="P326" s="352">
        <f>IFERROR(_xlfn.XLOOKUP(G326,硫化工艺!I:I,硫化工艺!J:J),"")</f>
        <v/>
      </c>
      <c r="Q326" s="352">
        <f>IFERROR(ROUND(1440/L326*(I326)*M326,0),"")</f>
        <v/>
      </c>
      <c r="R326" s="352" t="n"/>
      <c r="S326" s="352" t="n"/>
      <c r="T326" s="352" t="n"/>
      <c r="U326" s="352" t="n"/>
      <c r="V326" s="352" t="n"/>
      <c r="W326" s="352" t="n"/>
      <c r="X326" s="352" t="n"/>
      <c r="Y326" s="352" t="n"/>
      <c r="Z326" s="352" t="n"/>
      <c r="AA326" s="352" t="n"/>
      <c r="AB326" s="352" t="n"/>
      <c r="AC326" s="352" t="n"/>
      <c r="AD326" s="352" t="n"/>
      <c r="AE326" s="352" t="n"/>
      <c r="AF326" s="352" t="n"/>
      <c r="AG326" s="352" t="n"/>
      <c r="AH326" s="352" t="n"/>
      <c r="AI326" s="352" t="n"/>
      <c r="AJ326" s="352" t="n"/>
      <c r="AK326" s="352" t="n"/>
      <c r="AL326" s="352" t="n"/>
      <c r="AM326" s="352" t="n"/>
      <c r="AN326" s="352" t="n"/>
      <c r="AO326" s="352" t="n"/>
      <c r="AP326" s="352" t="n"/>
      <c r="AQ326" s="352" t="n"/>
      <c r="AR326" s="352" t="n"/>
      <c r="AS326" s="352" t="n"/>
      <c r="AT326" s="352" t="n"/>
      <c r="AU326" s="352" t="n"/>
      <c r="AV326" s="352" t="n"/>
      <c r="AW326" s="352">
        <f>IF(SUM(R326:AV326)=0,"",SUM(R326:AV326))</f>
        <v/>
      </c>
      <c r="AX326" s="431">
        <f>IFERROR(AW326*O326/1000,"")</f>
        <v/>
      </c>
      <c r="AY326" s="431">
        <f>IFERROR(ROUND(AW326*P326/10000,3),"")</f>
        <v/>
      </c>
      <c r="AZ326" s="354" t="n">
        <v>768.71</v>
      </c>
      <c r="BA326" s="355" t="n">
        <v>46.75</v>
      </c>
      <c r="BB326" s="355" t="n">
        <v>71.52</v>
      </c>
      <c r="BC326" s="355" t="n">
        <v>76.56999999999999</v>
      </c>
      <c r="BD326" s="331" t="n"/>
      <c r="BE326" s="331">
        <f>AZ326*AW326</f>
        <v/>
      </c>
      <c r="BF326" s="331">
        <f>BA326*AW326</f>
        <v/>
      </c>
      <c r="BG326" s="331">
        <f>BB326*AW326</f>
        <v/>
      </c>
      <c r="BH326" s="331">
        <f>BC326*AW326</f>
        <v/>
      </c>
      <c r="BI326" s="331" t="n"/>
      <c r="BJ326" s="356">
        <f t="array" ref="BJ326:BM326">_xlfn.LET(_xlpm.data,$R326:$AV326,_xlpm.starts,{1,8,16,23},_xlpm.lengths,{7,7,8,9},_xlpm.arr,_xlfn.MAP(_xlpm.starts,_xlpm.lengths,_xlfn.LAMBDA(_xlpm.s,_xlpm.l,SUM(INDEX(_xlpm.data,,_xlfn.SEQUENCE(,_xlpm.l,_xlpm.s))))),ROUND(_xlpm.arr*$O326/1000,2))</f>
        <v/>
      </c>
      <c r="BK326" s="331" t="n">
        <v>0</v>
      </c>
      <c r="BL326" s="331" t="n">
        <v>0</v>
      </c>
      <c r="BM326" s="331" t="n">
        <v>0</v>
      </c>
      <c r="BN326" s="362">
        <f>SUM(BJ326:BM326)</f>
        <v/>
      </c>
      <c r="BO326" s="362" t="n">
        <v>51.56</v>
      </c>
      <c r="BP326" s="362" t="n">
        <v>51.56</v>
      </c>
      <c r="BQ326" s="362" t="n">
        <v>58.92</v>
      </c>
      <c r="BR326" s="362" t="n">
        <v>66.29000000000001</v>
      </c>
      <c r="BS326" s="115">
        <f>Q326*O326</f>
        <v/>
      </c>
      <c r="BT326" s="362">
        <f t="array" ref="BT326:BW326">_xlfn.HSTACK(SUM(INDEX($R326:$AV326,1,1):INDEX($R326:$AV326,1,7)),SUM(INDEX($R326:$AV326,1,7):INDEX($R326:$AV326,1,13)),SUM(INDEX($R326:$AV326,1,16):INDEX($R326:$AV326,1,23)),SUM(INDEX($R326:$AV326,1,23):INDEX($R326:$AV326,1,31)))</f>
        <v/>
      </c>
      <c r="BU326" s="362" t="n">
        <v>0</v>
      </c>
      <c r="BV326" s="362" t="n">
        <v>0</v>
      </c>
      <c r="BW326" s="362" t="n">
        <v>0</v>
      </c>
      <c r="BY326" s="362">
        <f>SUM(R326:X326)</f>
        <v/>
      </c>
      <c r="BZ326" s="362">
        <f>SUM(Y326:AE326)</f>
        <v/>
      </c>
      <c r="CA326" s="362">
        <f>SUM(AF326:AM326)</f>
        <v/>
      </c>
      <c r="CB326" s="362">
        <f>SUM(AN326:AV326)</f>
        <v/>
      </c>
      <c r="CD326" s="432" t="inlineStr">
        <is>
          <t>ADA</t>
        </is>
      </c>
      <c r="CE326" s="362">
        <f>ROUND(BY326*$O326/1000,2)</f>
        <v/>
      </c>
      <c r="CF326" s="362">
        <f>ROUND(BZ326*$O326/1000,2)</f>
        <v/>
      </c>
      <c r="CG326" s="362">
        <f>ROUND(CA326*$O326/1000,2)</f>
        <v/>
      </c>
      <c r="CH326" s="362">
        <f>ROUND(CB326*$O326/1000,2)</f>
        <v/>
      </c>
      <c r="CI326" s="362">
        <f>SUM(CE326:CH326)</f>
        <v/>
      </c>
      <c r="CJ326" s="390" t="n"/>
      <c r="CK326" s="362">
        <f>IFERROR(ROUND(BY326*$P326,2),"")</f>
        <v/>
      </c>
      <c r="CL326" s="362">
        <f>IFERROR(ROUND(BZ326*$P326,2),"")</f>
        <v/>
      </c>
      <c r="CM326" s="362">
        <f>IFERROR(ROUND(CA326*$P326,2),"")</f>
        <v/>
      </c>
      <c r="CN326" s="362">
        <f>IFERROR(ROUND(CB326*$P326,2),"")</f>
        <v/>
      </c>
      <c r="CO326" s="362">
        <f>SUM(CK326:CN326)</f>
        <v/>
      </c>
    </row>
    <row r="327" ht="15.6" customHeight="1" s="428">
      <c r="B327" s="344">
        <f>_xlfn.XLOOKUP(G327,销售需求表!A:A,销售需求表!C:C)</f>
        <v/>
      </c>
      <c r="C327" s="345">
        <f>IFERROR(MID(F327,FIND("R",F327)+1,2),"")</f>
        <v/>
      </c>
      <c r="D327" s="368">
        <f>B327&amp;C327&amp;"寸"</f>
        <v/>
      </c>
      <c r="E327" s="346">
        <f>LEFT(REPLACE(G327,1,2,""),FIND("[",REPLACE(G327,1,2,""))-1)&amp;"-"&amp;MID(REPLACE(G327,1,2,""),FIND("[",REPLACE(G327,1,2,""))+1,FIND("]",REPLACE(G327,1,2,""))-FIND("[",REPLACE(G327,1,2,""))-1)</f>
        <v/>
      </c>
      <c r="F327" s="347">
        <f>IFERROR(MID(G327,3,FIND("(",G327)-3)&amp;"-"&amp;SUBSTITUTE(MID(G327,FIND("[",G327)+1,FIND("]",G327)-FIND("[",G327)-1),"Strong Guard ",""),"")</f>
        <v/>
      </c>
      <c r="G327" s="366" t="inlineStr">
        <is>
          <t>ID7.50R16-14PR(122/118L)[FOLO.R109]EFFIPLUS</t>
        </is>
      </c>
      <c r="H327" s="344">
        <f>650+370</f>
        <v/>
      </c>
      <c r="I327" s="348" t="n"/>
      <c r="J327" s="349">
        <f>IFERROR(LEFT(F327,FIND("-",F327))&amp;MID(F327,FIND("PR",F327,FIND("-",F327))+3,LEN(F327)),F327)</f>
        <v/>
      </c>
      <c r="K327" s="352">
        <f>_xlfn.XLOOKUP(F327,投产规格!E:E,投产规格!D:D,"未投产")</f>
        <v/>
      </c>
      <c r="L327" s="352">
        <f>IFERROR(_xlfn.XLOOKUP(F327,硫化工艺!B:B,硫化工艺!C:C),"")</f>
        <v/>
      </c>
      <c r="M327" s="430">
        <f>IF(L327="","",L327/(L327+$L$1/60))</f>
        <v/>
      </c>
      <c r="N327" s="352">
        <f>C327&amp;"全钢"</f>
        <v/>
      </c>
      <c r="O327" s="352">
        <f>IFERROR(_xlfn.XLOOKUP(F327,轮胎重量!J:J,轮胎重量!G:G),"")</f>
        <v/>
      </c>
      <c r="P327" s="358">
        <f>O327*13.9</f>
        <v/>
      </c>
      <c r="Q327" s="352">
        <f>IFERROR(ROUND(1440/L327*(I327)*M327,0),"")</f>
        <v/>
      </c>
      <c r="R327" s="352" t="n"/>
      <c r="S327" s="352" t="n"/>
      <c r="T327" s="352" t="n"/>
      <c r="U327" s="352" t="n"/>
      <c r="V327" s="352" t="n"/>
      <c r="W327" s="352" t="n"/>
      <c r="X327" s="352" t="n"/>
      <c r="Y327" s="352" t="n"/>
      <c r="Z327" s="352" t="n"/>
      <c r="AA327" s="352" t="n"/>
      <c r="AB327" s="352" t="n"/>
      <c r="AC327" s="352" t="n"/>
      <c r="AD327" s="352" t="n"/>
      <c r="AE327" s="352" t="n"/>
      <c r="AF327" s="352" t="n"/>
      <c r="AG327" s="352" t="n"/>
      <c r="AH327" s="352" t="n">
        <v>80</v>
      </c>
      <c r="AI327" s="352" t="n">
        <v>80</v>
      </c>
      <c r="AJ327" s="352" t="n">
        <v>80</v>
      </c>
      <c r="AK327" s="352" t="n">
        <v>80</v>
      </c>
      <c r="AL327" s="352" t="n">
        <v>80</v>
      </c>
      <c r="AM327" s="352" t="n">
        <v>80</v>
      </c>
      <c r="AN327" s="352" t="n">
        <v>80</v>
      </c>
      <c r="AO327" s="352" t="n">
        <v>80</v>
      </c>
      <c r="AP327" s="352" t="n"/>
      <c r="AQ327" s="352" t="n"/>
      <c r="AR327" s="352" t="n"/>
      <c r="AS327" s="352" t="n"/>
      <c r="AT327" s="352" t="n"/>
      <c r="AU327" s="352" t="n"/>
      <c r="AV327" s="352" t="n"/>
      <c r="AW327" s="352">
        <f>IF(SUM(R327:AV327)=0,"",SUM(R327:AV327))</f>
        <v/>
      </c>
      <c r="AX327" s="431">
        <f>IFERROR(AW327*O327/1000,"")</f>
        <v/>
      </c>
      <c r="AY327" s="431">
        <f>IFERROR(ROUND(AW327*P327/10000,3),"")</f>
        <v/>
      </c>
      <c r="AZ327" s="354" t="n">
        <v>828.4</v>
      </c>
      <c r="BA327" s="355" t="n">
        <v>50.66</v>
      </c>
      <c r="BB327" s="355" t="n">
        <v>75.77</v>
      </c>
      <c r="BC327" s="355" t="n">
        <v>82.47</v>
      </c>
      <c r="BE327" s="331">
        <f>AZ327*AW327</f>
        <v/>
      </c>
      <c r="BF327" s="331">
        <f>BA327*AW327</f>
        <v/>
      </c>
      <c r="BG327" s="331">
        <f>BB327*AW327</f>
        <v/>
      </c>
      <c r="BH327" s="331">
        <f>BC327*AW327</f>
        <v/>
      </c>
      <c r="BJ327" s="356">
        <f t="array" ref="BJ327:BM327">_xlfn.LET(_xlpm.data,$R327:$AV327,_xlpm.starts,{1,8,16,23},_xlpm.lengths,{7,7,8,9},_xlpm.arr,_xlfn.MAP(_xlpm.starts,_xlpm.lengths,_xlfn.LAMBDA(_xlpm.s,_xlpm.l,SUM(INDEX(_xlpm.data,,_xlfn.SEQUENCE(,_xlpm.l,_xlpm.s))))),ROUND(_xlpm.arr*$O327/1000,2))</f>
        <v/>
      </c>
      <c r="BK327" s="331" t="n">
        <v>0</v>
      </c>
      <c r="BL327" s="331" t="n">
        <v>17.28</v>
      </c>
      <c r="BM327" s="331" t="n">
        <v>4.94</v>
      </c>
      <c r="BN327" s="362">
        <f>SUM(BJ327:BM327)</f>
        <v/>
      </c>
      <c r="BO327" s="362" t="n">
        <v>0</v>
      </c>
      <c r="BP327" s="362" t="n">
        <v>0</v>
      </c>
      <c r="BQ327" s="362" t="n">
        <v>0</v>
      </c>
      <c r="BR327" s="362" t="n">
        <v>16.09</v>
      </c>
      <c r="BT327" s="362">
        <f t="array" ref="BT327:BW327">_xlfn.HSTACK(SUM(INDEX($R327:$AV327,1,1):INDEX($R327:$AV327,1,7)),SUM(INDEX($R327:$AV327,1,7):INDEX($R327:$AV327,1,13)),SUM(INDEX($R327:$AV327,1,16):INDEX($R327:$AV327,1,23)),SUM(INDEX($R327:$AV327,1,23):INDEX($R327:$AV327,1,31)))</f>
        <v/>
      </c>
      <c r="BU327" s="362" t="n">
        <v>0</v>
      </c>
      <c r="BV327" s="362" t="n">
        <v>560</v>
      </c>
      <c r="BW327" s="362" t="n">
        <v>160</v>
      </c>
      <c r="BY327" s="362">
        <f>SUM(R327:X327)</f>
        <v/>
      </c>
      <c r="BZ327" s="362">
        <f>SUM(Y327:AE327)</f>
        <v/>
      </c>
      <c r="CA327" s="362">
        <f>SUM(AF327:AM327)</f>
        <v/>
      </c>
      <c r="CB327" s="362">
        <f>SUM(AN327:AV327)</f>
        <v/>
      </c>
      <c r="CD327" s="432" t="inlineStr">
        <is>
          <t>ADA</t>
        </is>
      </c>
      <c r="CE327" s="362">
        <f>ROUND(BY327*$O327/1000,2)</f>
        <v/>
      </c>
      <c r="CF327" s="362">
        <f>ROUND(BZ327*$O327/1000,2)</f>
        <v/>
      </c>
      <c r="CG327" s="362">
        <f>ROUND(CA327*$O327/1000,2)</f>
        <v/>
      </c>
      <c r="CH327" s="362">
        <f>ROUND(CB327*$O327/1000,2)</f>
        <v/>
      </c>
      <c r="CI327" s="362">
        <f>SUM(CE327:CH327)</f>
        <v/>
      </c>
      <c r="CK327" s="362">
        <f>IFERROR(ROUND(BY327*$P327,2),"")</f>
        <v/>
      </c>
      <c r="CL327" s="362">
        <f>IFERROR(ROUND(BZ327*$P327,2),"")</f>
        <v/>
      </c>
      <c r="CM327" s="362">
        <f>IFERROR(ROUND(CA327*$P327,2),"")</f>
        <v/>
      </c>
      <c r="CN327" s="362">
        <f>IFERROR(ROUND(CB327*$P327,2),"")</f>
        <v/>
      </c>
      <c r="CO327" s="362">
        <f>SUM(CK327:CN327)</f>
        <v/>
      </c>
    </row>
    <row r="328" ht="15.6" customFormat="1" customHeight="1" s="362">
      <c r="A328" s="331" t="n"/>
      <c r="B328" s="344">
        <f>_xlfn.XLOOKUP(G328,销售需求表!A:A,销售需求表!C:C)</f>
        <v/>
      </c>
      <c r="C328" s="345">
        <f>IFERROR(MID(F328,FIND("R",F328)+1,2),"")</f>
        <v/>
      </c>
      <c r="D328" s="368">
        <f>B328&amp;C328&amp;"寸"</f>
        <v/>
      </c>
      <c r="E328" s="346">
        <f>LEFT(REPLACE(G328,1,2,""),FIND("[",REPLACE(G328,1,2,""))-1)&amp;"-"&amp;MID(REPLACE(G328,1,2,""),FIND("[",REPLACE(G328,1,2,""))+1,FIND("]",REPLACE(G328,1,2,""))-FIND("[",REPLACE(G328,1,2,""))-1)</f>
        <v/>
      </c>
      <c r="F328" s="347">
        <f>IFERROR(MID(G328,3,FIND("(",G328)-3)&amp;"-"&amp;SUBSTITUTE(MID(G328,FIND("[",G328)+1,FIND("]",G328)-FIND("[",G328)-1),"Strong Guard ",""),"")</f>
        <v/>
      </c>
      <c r="G328" s="366" t="inlineStr">
        <is>
          <t>ID7.50R16-14PR(122/118L)[MOBY.R856X]EFFIPLUS</t>
        </is>
      </c>
      <c r="H328" s="344">
        <f>1400+2000</f>
        <v/>
      </c>
      <c r="I328" s="348" t="n">
        <v>2</v>
      </c>
      <c r="J328" s="349">
        <f>IFERROR(LEFT(F328,FIND("-",F328))&amp;MID(F328,FIND("PR",F328,FIND("-",F328))+3,LEN(F328)),F328)</f>
        <v/>
      </c>
      <c r="K328" s="352">
        <f>_xlfn.XLOOKUP(F328,投产规格!E:E,投产规格!D:D,"未投产")</f>
        <v/>
      </c>
      <c r="L328" s="352">
        <f>IFERROR(_xlfn.XLOOKUP(F328,硫化工艺!B:B,硫化工艺!C:C),"")</f>
        <v/>
      </c>
      <c r="M328" s="430">
        <f>IF(L328="","",L328/(L328+$L$1/60))</f>
        <v/>
      </c>
      <c r="N328" s="352">
        <f>C328&amp;"全钢"</f>
        <v/>
      </c>
      <c r="O328" s="352">
        <f>IFERROR(_xlfn.XLOOKUP(F328,轮胎重量!J:J,轮胎重量!G:G),"")</f>
        <v/>
      </c>
      <c r="P328" s="352">
        <f>IFERROR(_xlfn.XLOOKUP(G328,硫化工艺!I:I,硫化工艺!J:J),"")</f>
        <v/>
      </c>
      <c r="Q328" s="352">
        <f>IFERROR(ROUND(1440/L328*(I328)*M328,0),"")</f>
        <v/>
      </c>
      <c r="R328" s="352" t="n">
        <v>90</v>
      </c>
      <c r="S328" s="352" t="n">
        <v>90</v>
      </c>
      <c r="T328" s="352" t="n">
        <v>90</v>
      </c>
      <c r="U328" s="352" t="n">
        <v>90</v>
      </c>
      <c r="V328" s="352" t="n">
        <v>90</v>
      </c>
      <c r="W328" s="352" t="n">
        <v>90</v>
      </c>
      <c r="X328" s="352" t="n">
        <v>90</v>
      </c>
      <c r="Y328" s="352" t="n">
        <v>90</v>
      </c>
      <c r="Z328" s="352" t="n">
        <v>90</v>
      </c>
      <c r="AA328" s="352" t="n">
        <v>90</v>
      </c>
      <c r="AB328" s="352" t="n">
        <v>90</v>
      </c>
      <c r="AC328" s="352" t="n">
        <v>90</v>
      </c>
      <c r="AD328" s="352" t="n">
        <v>90</v>
      </c>
      <c r="AE328" s="352" t="n">
        <v>90</v>
      </c>
      <c r="AF328" s="352" t="n">
        <v>90</v>
      </c>
      <c r="AG328" s="352" t="n">
        <v>90</v>
      </c>
      <c r="AH328" s="352" t="n"/>
      <c r="AI328" s="352" t="n"/>
      <c r="AJ328" s="352" t="n"/>
      <c r="AK328" s="352" t="n"/>
      <c r="AL328" s="352" t="n"/>
      <c r="AM328" s="352" t="n"/>
      <c r="AN328" s="352" t="n"/>
      <c r="AO328" s="352" t="n"/>
      <c r="AP328" s="352" t="n"/>
      <c r="AQ328" s="352" t="n"/>
      <c r="AR328" s="352" t="n"/>
      <c r="AS328" s="352" t="n"/>
      <c r="AT328" s="352" t="n"/>
      <c r="AU328" s="352" t="n"/>
      <c r="AV328" s="352" t="n"/>
      <c r="AW328" s="352">
        <f>IF(SUM(R328:AV328)=0,"",SUM(R328:AV328))</f>
        <v/>
      </c>
      <c r="AX328" s="431">
        <f>IFERROR(AW328*O328/1000,"")</f>
        <v/>
      </c>
      <c r="AY328" s="431">
        <f>IFERROR(ROUND(AW328*P328/10000,3),"")</f>
        <v/>
      </c>
      <c r="AZ328" s="354" t="n">
        <v>828.4</v>
      </c>
      <c r="BA328" s="355" t="n">
        <v>50.66</v>
      </c>
      <c r="BB328" s="355" t="n">
        <v>75.77</v>
      </c>
      <c r="BC328" s="355" t="n">
        <v>82.47</v>
      </c>
      <c r="BD328" s="331" t="n"/>
      <c r="BE328" s="331">
        <f>AZ328*AW328</f>
        <v/>
      </c>
      <c r="BF328" s="331">
        <f>BA328*AW328</f>
        <v/>
      </c>
      <c r="BG328" s="331">
        <f>BB328*AW328</f>
        <v/>
      </c>
      <c r="BH328" s="331">
        <f>BC328*AW328</f>
        <v/>
      </c>
      <c r="BI328" s="331" t="n"/>
      <c r="BJ328" s="356">
        <f t="array" ref="BJ328:BM328">_xlfn.LET(_xlpm.data,$R328:$AV328,_xlpm.starts,{1,8,16,23},_xlpm.lengths,{7,7,8,9},_xlpm.arr,_xlfn.MAP(_xlpm.starts,_xlpm.lengths,_xlfn.LAMBDA(_xlpm.s,_xlpm.l,SUM(INDEX(_xlpm.data,,_xlfn.SEQUENCE(,_xlpm.l,_xlpm.s))))),ROUND(_xlpm.arr*$O328/1000,2))</f>
        <v/>
      </c>
      <c r="BK328" s="331" t="n">
        <v>18.66</v>
      </c>
      <c r="BL328" s="331" t="n">
        <v>2.67</v>
      </c>
      <c r="BM328" s="331" t="n">
        <v>0</v>
      </c>
      <c r="BN328" s="362">
        <f>SUM(BJ328:BM328)</f>
        <v/>
      </c>
      <c r="BO328" s="362" t="n">
        <v>0</v>
      </c>
      <c r="BP328" s="362" t="n">
        <v>0</v>
      </c>
      <c r="BQ328" s="362" t="n">
        <v>0</v>
      </c>
      <c r="BR328" s="362" t="n">
        <v>16.09</v>
      </c>
      <c r="BS328" s="115">
        <f>Q328*O328</f>
        <v/>
      </c>
      <c r="BT328" s="362">
        <f t="array" ref="BT328:BW328">_xlfn.HSTACK(SUM(INDEX($R328:$AV328,1,1):INDEX($R328:$AV328,1,7)),SUM(INDEX($R328:$AV328,1,7):INDEX($R328:$AV328,1,13)),SUM(INDEX($R328:$AV328,1,16):INDEX($R328:$AV328,1,23)),SUM(INDEX($R328:$AV328,1,23):INDEX($R328:$AV328,1,31)))</f>
        <v/>
      </c>
      <c r="BU328" s="362" t="n">
        <v>630</v>
      </c>
      <c r="BV328" s="362" t="n">
        <v>90</v>
      </c>
      <c r="BW328" s="362" t="n">
        <v>0</v>
      </c>
      <c r="BY328" s="362">
        <f>SUM(R328:X328)</f>
        <v/>
      </c>
      <c r="BZ328" s="362">
        <f>SUM(Y328:AE328)</f>
        <v/>
      </c>
      <c r="CA328" s="362">
        <f>SUM(AF328:AM328)</f>
        <v/>
      </c>
      <c r="CB328" s="362">
        <f>SUM(AN328:AV328)</f>
        <v/>
      </c>
      <c r="CD328" s="432" t="inlineStr">
        <is>
          <t>ADA</t>
        </is>
      </c>
      <c r="CE328" s="362">
        <f>ROUND(BY328*$O328/1000,2)</f>
        <v/>
      </c>
      <c r="CF328" s="362">
        <f>ROUND(BZ328*$O328/1000,2)</f>
        <v/>
      </c>
      <c r="CG328" s="362">
        <f>ROUND(CA328*$O328/1000,2)</f>
        <v/>
      </c>
      <c r="CH328" s="362">
        <f>ROUND(CB328*$O328/1000,2)</f>
        <v/>
      </c>
      <c r="CI328" s="362">
        <f>SUM(CE328:CH328)</f>
        <v/>
      </c>
      <c r="CJ328" s="390" t="n"/>
      <c r="CK328" s="362">
        <f>IFERROR(ROUND(BY328*$P328,2),"")</f>
        <v/>
      </c>
      <c r="CL328" s="362">
        <f>IFERROR(ROUND(BZ328*$P328,2),"")</f>
        <v/>
      </c>
      <c r="CM328" s="362">
        <f>IFERROR(ROUND(CA328*$P328,2),"")</f>
        <v/>
      </c>
      <c r="CN328" s="362">
        <f>IFERROR(ROUND(CB328*$P328,2),"")</f>
        <v/>
      </c>
      <c r="CO328" s="362">
        <f>SUM(CK328:CN328)</f>
        <v/>
      </c>
    </row>
    <row r="329" hidden="1" customFormat="1" s="362">
      <c r="A329" s="331" t="n"/>
      <c r="B329" s="344">
        <f>_xlfn.XLOOKUP(G329,销售需求表!A:A,销售需求表!C:C)</f>
        <v/>
      </c>
      <c r="C329" s="345">
        <f>IFERROR(MID(F329,FIND("R",F329)+1,2),"")</f>
        <v/>
      </c>
      <c r="D329" s="368">
        <f>B329&amp;C329&amp;"寸"</f>
        <v/>
      </c>
      <c r="E329" s="346">
        <f>LEFT(REPLACE(G329,1,2,""),FIND("[",REPLACE(G329,1,2,""))-1)&amp;"-"&amp;MID(REPLACE(G329,1,2,""),FIND("[",REPLACE(G329,1,2,""))+1,FIND("]",REPLACE(G329,1,2,""))-FIND("[",REPLACE(G329,1,2,""))-1)</f>
        <v/>
      </c>
      <c r="F329" s="346">
        <f>IFERROR(IFERROR(SUBSTITUTE(E329,"("&amp;MID(E329,FIND("(",E329)+1,FIND(")",E329)-FIND("(",E329)-1)&amp;")",""),E329),"")</f>
        <v/>
      </c>
      <c r="G329" s="366" t="inlineStr">
        <is>
          <t>ID7.50R16-14PR(122/118L)[MT200]UNITED</t>
        </is>
      </c>
      <c r="H329" s="344" t="n">
        <v>400</v>
      </c>
      <c r="I329" s="348" t="n"/>
      <c r="J329" s="349">
        <f>IFERROR(LEFT(F329,FIND("-",F329))&amp;MID(F329,FIND("PR",F329,FIND("-",F329))+3,LEN(F329)),F329)</f>
        <v/>
      </c>
      <c r="K329" s="352">
        <f>_xlfn.XLOOKUP(F329,投产规格!E:E,投产规格!D:D,"未投产")</f>
        <v/>
      </c>
      <c r="L329" s="352">
        <f>IFERROR(_xlfn.XLOOKUP(F329,硫化工艺!B:B,硫化工艺!C:C),"")</f>
        <v/>
      </c>
      <c r="M329" s="430">
        <f>IF(L329="","",L329/(L329+$L$1/60))</f>
        <v/>
      </c>
      <c r="N329" s="352">
        <f>C329&amp;"全钢"</f>
        <v/>
      </c>
      <c r="O329" s="352">
        <f>IFERROR(_xlfn.XLOOKUP(F329,轮胎重量!J:J,轮胎重量!G:G),"")</f>
        <v/>
      </c>
      <c r="P329" s="358">
        <f>O329*13.9</f>
        <v/>
      </c>
      <c r="Q329" s="352">
        <f>IFERROR(ROUND(1440/L329*(I329)*M329,0),"")</f>
        <v/>
      </c>
      <c r="R329" s="352" t="n"/>
      <c r="S329" s="352" t="n"/>
      <c r="T329" s="352" t="n"/>
      <c r="U329" s="352" t="n"/>
      <c r="V329" s="352" t="n"/>
      <c r="W329" s="352" t="n"/>
      <c r="X329" s="352" t="n"/>
      <c r="Y329" s="352" t="n"/>
      <c r="Z329" s="352" t="n"/>
      <c r="AA329" s="352" t="n"/>
      <c r="AB329" s="352" t="n"/>
      <c r="AC329" s="352" t="n"/>
      <c r="AD329" s="352" t="n"/>
      <c r="AE329" s="352" t="n"/>
      <c r="AF329" s="352" t="n"/>
      <c r="AG329" s="352" t="n"/>
      <c r="AH329" s="352" t="n"/>
      <c r="AI329" s="352" t="n"/>
      <c r="AJ329" s="352" t="n"/>
      <c r="AK329" s="352" t="n"/>
      <c r="AL329" s="352" t="n"/>
      <c r="AM329" s="352" t="n"/>
      <c r="AN329" s="352" t="n"/>
      <c r="AO329" s="352" t="n"/>
      <c r="AP329" s="352" t="n"/>
      <c r="AQ329" s="352" t="n"/>
      <c r="AR329" s="352" t="n"/>
      <c r="AS329" s="352" t="n"/>
      <c r="AT329" s="352" t="n"/>
      <c r="AU329" s="352" t="n"/>
      <c r="AV329" s="352" t="n"/>
      <c r="AW329" s="352">
        <f>IF(SUM(R329:AV329)=0,"",SUM(R329:AV329))</f>
        <v/>
      </c>
      <c r="AX329" s="431">
        <f>IFERROR(AW329*O329/1000,"")</f>
        <v/>
      </c>
      <c r="AY329" s="431">
        <f>IFERROR(ROUND(AW329*P329/10000,3),"")</f>
        <v/>
      </c>
      <c r="AZ329" s="359" t="n"/>
      <c r="BA329" s="362" t="n"/>
      <c r="BB329" s="362" t="n"/>
      <c r="BC329" s="331" t="n"/>
      <c r="BD329" s="331" t="n"/>
      <c r="BE329" s="331">
        <f>AZ329*AW329</f>
        <v/>
      </c>
      <c r="BF329" s="331">
        <f>BA329*AW329</f>
        <v/>
      </c>
      <c r="BG329" s="331">
        <f>BB329*AW329</f>
        <v/>
      </c>
      <c r="BH329" s="331">
        <f>BC329*AW329</f>
        <v/>
      </c>
      <c r="BI329" s="331" t="n"/>
      <c r="BJ329" s="356">
        <f t="array" ref="BJ329:BM329">_xlfn.LET(_xlpm.data,$R329:$AV329,_xlpm.starts,{1,8,16,23},_xlpm.lengths,{7,7,8,9},_xlpm.arr,_xlfn.MAP(_xlpm.starts,_xlpm.lengths,_xlfn.LAMBDA(_xlpm.s,_xlpm.l,SUM(INDEX(_xlpm.data,,_xlfn.SEQUENCE(,_xlpm.l,_xlpm.s))))),ROUND(_xlpm.arr*$O329/1000,2))</f>
        <v/>
      </c>
      <c r="BK329" s="331" t="n">
        <v>0</v>
      </c>
      <c r="BL329" s="331" t="n">
        <v>0</v>
      </c>
      <c r="BM329" s="331" t="n">
        <v>0</v>
      </c>
      <c r="BN329" s="362">
        <f>SUM(BJ329:BM329)</f>
        <v/>
      </c>
      <c r="BO329" s="362" t="n">
        <v>0</v>
      </c>
      <c r="BP329" s="362" t="n">
        <v>0</v>
      </c>
      <c r="BQ329" s="362" t="n">
        <v>0</v>
      </c>
      <c r="BR329" s="362" t="n">
        <v>0</v>
      </c>
      <c r="BS329" s="115">
        <f>SUM(BS309:BS311)/1000</f>
        <v/>
      </c>
      <c r="BT329" s="362">
        <f t="array" ref="BT329:BW329">_xlfn.HSTACK(SUM(INDEX($R329:$AV329,1,1):INDEX($R329:$AV329,1,7)),SUM(INDEX($R329:$AV329,1,7):INDEX($R329:$AV329,1,13)),SUM(INDEX($R329:$AV329,1,16):INDEX($R329:$AV329,1,23)),SUM(INDEX($R329:$AV329,1,23):INDEX($R329:$AV329,1,31)))</f>
        <v/>
      </c>
      <c r="BU329" s="362" t="n">
        <v>0</v>
      </c>
      <c r="BV329" s="362" t="n">
        <v>0</v>
      </c>
      <c r="BW329" s="362" t="n">
        <v>0</v>
      </c>
      <c r="BY329" s="362">
        <f>SUM(R329:X329)</f>
        <v/>
      </c>
      <c r="BZ329" s="362">
        <f>SUM(Y329:AE329)</f>
        <v/>
      </c>
      <c r="CA329" s="362">
        <f>SUM(AF329:AM329)</f>
        <v/>
      </c>
      <c r="CB329" s="362">
        <f>SUM(AN329:AV329)</f>
        <v/>
      </c>
      <c r="CD329" s="432" t="inlineStr">
        <is>
          <t>ADA</t>
        </is>
      </c>
      <c r="CE329" s="362">
        <f>ROUND(BY329*$O329/1000,2)</f>
        <v/>
      </c>
      <c r="CF329" s="362">
        <f>ROUND(BZ329*$O329/1000,2)</f>
        <v/>
      </c>
      <c r="CG329" s="362">
        <f>ROUND(CA329*$O329/1000,2)</f>
        <v/>
      </c>
      <c r="CH329" s="362">
        <f>ROUND(CB329*$O329/1000,2)</f>
        <v/>
      </c>
      <c r="CI329" s="362">
        <f>SUM(CE329:CH329)</f>
        <v/>
      </c>
      <c r="CJ329" s="390" t="n"/>
      <c r="CK329" s="362">
        <f>IFERROR(ROUND(BY329*$P329,2),"")</f>
        <v/>
      </c>
      <c r="CL329" s="362">
        <f>IFERROR(ROUND(BZ329*$P329,2),"")</f>
        <v/>
      </c>
      <c r="CM329" s="362">
        <f>IFERROR(ROUND(CA329*$P329,2),"")</f>
        <v/>
      </c>
      <c r="CN329" s="362">
        <f>IFERROR(ROUND(CB329*$P329,2),"")</f>
        <v/>
      </c>
      <c r="CO329" s="362">
        <f>SUM(CK329:CN329)</f>
        <v/>
      </c>
    </row>
    <row r="330" customFormat="1" s="362">
      <c r="A330" s="331" t="n"/>
      <c r="B330" s="344">
        <f>_xlfn.XLOOKUP(G330,销售需求表!A:A,销售需求表!C:C)</f>
        <v/>
      </c>
      <c r="C330" s="345">
        <f>IFERROR(MID(F330,FIND("R",F330)+1,2),"")</f>
        <v/>
      </c>
      <c r="D330" s="368">
        <f>B330&amp;C330&amp;"寸"</f>
        <v/>
      </c>
      <c r="E330" s="346">
        <f>LEFT(REPLACE(G330,1,2,""),FIND("[",REPLACE(G330,1,2,""))-1)&amp;"-"&amp;MID(REPLACE(G330,1,2,""),FIND("[",REPLACE(G330,1,2,""))+1,FIND("]",REPLACE(G330,1,2,""))-FIND("[",REPLACE(G330,1,2,""))-1)</f>
        <v/>
      </c>
      <c r="F330" s="346">
        <f>IFERROR(IFERROR(SUBSTITUTE(E330,"("&amp;MID(E330,FIND("(",E330)+1,FIND(")",E330)-FIND("(",E330)-1)&amp;")",""),E330),"")</f>
        <v/>
      </c>
      <c r="G330" s="366" t="inlineStr">
        <is>
          <t>ID7.50R16-14PR(122/118L)[TZ202]TIANLI</t>
        </is>
      </c>
      <c r="H330" s="344" t="n">
        <v>650</v>
      </c>
      <c r="I330" s="348" t="n"/>
      <c r="J330" s="349">
        <f>IFERROR(LEFT(F330,FIND("-",F330))&amp;MID(F330,FIND("PR",F330,FIND("-",F330))+3,LEN(F330)),F330)</f>
        <v/>
      </c>
      <c r="K330" s="352">
        <f>_xlfn.XLOOKUP(F330,投产规格!E:E,投产规格!D:D,"未投产")</f>
        <v/>
      </c>
      <c r="L330" s="352">
        <f>IFERROR(_xlfn.XLOOKUP(F330,硫化工艺!B:B,硫化工艺!C:C),"")</f>
        <v/>
      </c>
      <c r="M330" s="430">
        <f>IF(L330="","",L330/(L330+$L$1/60))</f>
        <v/>
      </c>
      <c r="N330" s="352">
        <f>C330&amp;"全钢"</f>
        <v/>
      </c>
      <c r="O330" s="352">
        <f>IFERROR(_xlfn.XLOOKUP(F330,轮胎重量!J:J,轮胎重量!G:G),"")</f>
        <v/>
      </c>
      <c r="P330" s="352">
        <f>IFERROR(_xlfn.XLOOKUP(F330,硫化工艺!I:I,硫化工艺!J:J),"")</f>
        <v/>
      </c>
      <c r="Q330" s="352">
        <f>IFERROR(ROUND(1440/L330*(I330)*M330,0),"")</f>
        <v/>
      </c>
      <c r="R330" s="352" t="n"/>
      <c r="S330" s="352" t="n"/>
      <c r="T330" s="352" t="n"/>
      <c r="U330" s="352" t="n"/>
      <c r="V330" s="352" t="n"/>
      <c r="W330" s="352" t="n"/>
      <c r="X330" s="352" t="n"/>
      <c r="Y330" s="352" t="n"/>
      <c r="Z330" s="352" t="n"/>
      <c r="AA330" s="352" t="n"/>
      <c r="AB330" s="352" t="n"/>
      <c r="AC330" s="352" t="n"/>
      <c r="AD330" s="352" t="n"/>
      <c r="AE330" s="352" t="n"/>
      <c r="AF330" s="352" t="n"/>
      <c r="AG330" s="352" t="n"/>
      <c r="AH330" s="352" t="n"/>
      <c r="AI330" s="352" t="n"/>
      <c r="AJ330" s="352" t="n"/>
      <c r="AK330" s="352" t="n"/>
      <c r="AL330" s="352" t="n"/>
      <c r="AM330" s="352" t="n"/>
      <c r="AN330" s="352" t="n"/>
      <c r="AO330" s="352" t="n"/>
      <c r="AP330" s="352" t="n">
        <v>80</v>
      </c>
      <c r="AQ330" s="352" t="n">
        <v>80</v>
      </c>
      <c r="AR330" s="352" t="n">
        <v>80</v>
      </c>
      <c r="AS330" s="352" t="n">
        <v>80</v>
      </c>
      <c r="AT330" s="352" t="n">
        <v>80</v>
      </c>
      <c r="AU330" s="352" t="n">
        <v>80</v>
      </c>
      <c r="AV330" s="352" t="n">
        <v>80</v>
      </c>
      <c r="AW330" s="352">
        <f>IF(SUM(R330:AV330)=0,"",SUM(R330:AV330))</f>
        <v/>
      </c>
      <c r="AX330" s="431">
        <f>IFERROR(AW330*O330/1000,"")</f>
        <v/>
      </c>
      <c r="AY330" s="431">
        <f>IFERROR(ROUND(AW330*P330/10000,3),"")</f>
        <v/>
      </c>
      <c r="AZ330" s="354" t="n">
        <v>871.58</v>
      </c>
      <c r="BA330" s="355" t="n">
        <v>54.12</v>
      </c>
      <c r="BB330" s="355" t="n">
        <v>79.59999999999999</v>
      </c>
      <c r="BC330" s="355" t="n">
        <v>87.22</v>
      </c>
      <c r="BD330" s="331" t="n"/>
      <c r="BE330" s="331">
        <f>AZ330*AW330</f>
        <v/>
      </c>
      <c r="BF330" s="331">
        <f>BA330*AW330</f>
        <v/>
      </c>
      <c r="BG330" s="331">
        <f>BB330*AW330</f>
        <v/>
      </c>
      <c r="BH330" s="331">
        <f>BC330*AW330</f>
        <v/>
      </c>
      <c r="BI330" s="331" t="n"/>
      <c r="BJ330" s="356">
        <f t="array" ref="BJ330:BM330">_xlfn.LET(_xlpm.data,$R330:$AV330,_xlpm.starts,{1,8,16,23},_xlpm.lengths,{7,7,8,9},_xlpm.arr,_xlfn.MAP(_xlpm.starts,_xlpm.lengths,_xlfn.LAMBDA(_xlpm.s,_xlpm.l,SUM(INDEX(_xlpm.data,,_xlfn.SEQUENCE(,_xlpm.l,_xlpm.s))))),ROUND(_xlpm.arr*$O330/1000,2))</f>
        <v/>
      </c>
      <c r="BK330" s="331" t="n">
        <v>0</v>
      </c>
      <c r="BL330" s="331" t="n">
        <v>0</v>
      </c>
      <c r="BM330" s="331" t="n">
        <v>15.92</v>
      </c>
      <c r="BN330" s="362">
        <f>SUM(BJ330:BM330)</f>
        <v/>
      </c>
      <c r="BO330" s="362" t="n">
        <v>145.92</v>
      </c>
      <c r="BP330" s="362" t="n">
        <v>145.92</v>
      </c>
      <c r="BQ330" s="362" t="n">
        <v>166.76</v>
      </c>
      <c r="BR330" s="362" t="n">
        <v>187.61</v>
      </c>
      <c r="BS330" s="115" t="n"/>
      <c r="BT330" s="362">
        <f t="array" ref="BT330:BW330">_xlfn.HSTACK(SUM(INDEX($R330:$AV330,1,1):INDEX($R330:$AV330,1,7)),SUM(INDEX($R330:$AV330,1,7):INDEX($R330:$AV330,1,13)),SUM(INDEX($R330:$AV330,1,16):INDEX($R330:$AV330,1,23)),SUM(INDEX($R330:$AV330,1,23):INDEX($R330:$AV330,1,31)))</f>
        <v/>
      </c>
      <c r="BU330" s="362" t="n">
        <v>0</v>
      </c>
      <c r="BV330" s="362" t="n">
        <v>0</v>
      </c>
      <c r="BW330" s="362" t="n">
        <v>560</v>
      </c>
      <c r="BY330" s="362">
        <f>SUM(R330:X330)</f>
        <v/>
      </c>
      <c r="BZ330" s="362">
        <f>SUM(Y330:AE330)</f>
        <v/>
      </c>
      <c r="CA330" s="362">
        <f>SUM(AF330:AM330)</f>
        <v/>
      </c>
      <c r="CB330" s="362">
        <f>SUM(AN330:AV330)</f>
        <v/>
      </c>
      <c r="CD330" s="432" t="inlineStr">
        <is>
          <t>ADA</t>
        </is>
      </c>
      <c r="CE330" s="362">
        <f>ROUND(BY330*$O330/1000,2)</f>
        <v/>
      </c>
      <c r="CF330" s="362">
        <f>ROUND(BZ330*$O330/1000,2)</f>
        <v/>
      </c>
      <c r="CG330" s="362">
        <f>ROUND(CA330*$O330/1000,2)</f>
        <v/>
      </c>
      <c r="CH330" s="362">
        <f>ROUND(CB330*$O330/1000,2)</f>
        <v/>
      </c>
      <c r="CI330" s="362">
        <f>SUM(CE330:CH330)</f>
        <v/>
      </c>
      <c r="CJ330" s="390" t="n"/>
      <c r="CK330" s="362">
        <f>IFERROR(ROUND(BY330*$P330,2),"")</f>
        <v/>
      </c>
      <c r="CL330" s="362">
        <f>IFERROR(ROUND(BZ330*$P330,2),"")</f>
        <v/>
      </c>
      <c r="CM330" s="362">
        <f>IFERROR(ROUND(CA330*$P330,2),"")</f>
        <v/>
      </c>
      <c r="CN330" s="362">
        <f>IFERROR(ROUND(CB330*$P330,2),"")</f>
        <v/>
      </c>
      <c r="CO330" s="362">
        <f>SUM(CK330:CN330)</f>
        <v/>
      </c>
    </row>
    <row r="331" customFormat="1" s="362">
      <c r="A331" s="331" t="n"/>
      <c r="B331" s="344">
        <f>_xlfn.XLOOKUP(G331,销售需求表!A:A,销售需求表!C:C)</f>
        <v/>
      </c>
      <c r="C331" s="345">
        <f>IFERROR(MID(F331,FIND("R",F331)+1,2),"")</f>
        <v/>
      </c>
      <c r="D331" s="368">
        <f>B331&amp;C331&amp;"寸"</f>
        <v/>
      </c>
      <c r="E331" s="346">
        <f>LEFT(REPLACE(G331,1,2,""),FIND("[",REPLACE(G331,1,2,""))-1)&amp;"-"&amp;MID(REPLACE(G331,1,2,""),FIND("[",REPLACE(G331,1,2,""))+1,FIND("]",REPLACE(G331,1,2,""))-FIND("[",REPLACE(G331,1,2,""))-1)</f>
        <v/>
      </c>
      <c r="F331" s="346">
        <f>IFERROR(IFERROR(SUBSTITUTE(E331,"("&amp;MID(E331,FIND("(",E331)+1,FIND(")",E331)-FIND("(",E331)-1)&amp;")",""),E331),"")</f>
        <v/>
      </c>
      <c r="G331" s="366" t="inlineStr">
        <is>
          <t>ID7.50R16-14PR(122/118L)[TZ303]TIANLI</t>
        </is>
      </c>
      <c r="H331" s="344" t="n">
        <v>750</v>
      </c>
      <c r="I331" s="348" t="n">
        <v>2</v>
      </c>
      <c r="J331" s="349">
        <f>IFERROR(LEFT(F331,FIND("-",F331))&amp;MID(F331,FIND("PR",F331,FIND("-",F331))+3,LEN(F331)),F331)</f>
        <v/>
      </c>
      <c r="K331" s="352">
        <f>_xlfn.XLOOKUP(F331,投产规格!E:E,投产规格!D:D,"未投产")</f>
        <v/>
      </c>
      <c r="L331" s="352">
        <f>IFERROR(_xlfn.XLOOKUP(F331,硫化工艺!B:B,硫化工艺!C:C),"")</f>
        <v/>
      </c>
      <c r="M331" s="430">
        <f>IF(L331="","",L331/(L331+$L$1/60))</f>
        <v/>
      </c>
      <c r="N331" s="352">
        <f>C331&amp;"全钢"</f>
        <v/>
      </c>
      <c r="O331" s="352">
        <f>IFERROR(_xlfn.XLOOKUP(F331,轮胎重量!J:J,轮胎重量!G:G),"")</f>
        <v/>
      </c>
      <c r="P331" s="358">
        <f>O331*13.9</f>
        <v/>
      </c>
      <c r="Q331" s="352">
        <f>IFERROR(ROUND(1440/L331*(I331)*M331,0),"")</f>
        <v/>
      </c>
      <c r="R331" s="352" t="n">
        <v>80</v>
      </c>
      <c r="S331" s="352" t="n">
        <v>80</v>
      </c>
      <c r="T331" s="352" t="n">
        <v>80</v>
      </c>
      <c r="U331" s="352" t="n">
        <v>80</v>
      </c>
      <c r="V331" s="352" t="n">
        <v>80</v>
      </c>
      <c r="W331" s="352" t="n">
        <v>80</v>
      </c>
      <c r="X331" s="352" t="n">
        <v>80</v>
      </c>
      <c r="Y331" s="352" t="n">
        <v>80</v>
      </c>
      <c r="Z331" s="352" t="n">
        <v>80</v>
      </c>
      <c r="AA331" s="352" t="n">
        <v>80</v>
      </c>
      <c r="AB331" s="352" t="n"/>
      <c r="AC331" s="352" t="n"/>
      <c r="AD331" s="352" t="n"/>
      <c r="AE331" s="352" t="n"/>
      <c r="AF331" s="352" t="n"/>
      <c r="AG331" s="352" t="n"/>
      <c r="AH331" s="352" t="n"/>
      <c r="AI331" s="352" t="n"/>
      <c r="AJ331" s="352" t="n"/>
      <c r="AK331" s="352" t="n"/>
      <c r="AL331" s="352" t="n"/>
      <c r="AM331" s="352" t="n"/>
      <c r="AN331" s="352" t="n"/>
      <c r="AO331" s="352" t="n"/>
      <c r="AP331" s="352" t="n"/>
      <c r="AQ331" s="352" t="n"/>
      <c r="AR331" s="352" t="n"/>
      <c r="AS331" s="352" t="n"/>
      <c r="AT331" s="352" t="n"/>
      <c r="AU331" s="352" t="n"/>
      <c r="AV331" s="352" t="n"/>
      <c r="AW331" s="352">
        <f>IF(SUM(R331:AV331)=0,"",SUM(R331:AV331))</f>
        <v/>
      </c>
      <c r="AX331" s="431">
        <f>IFERROR(AW331*O331/1000,"")</f>
        <v/>
      </c>
      <c r="AY331" s="431">
        <f>IFERROR(ROUND(AW331*P331/10000,3),"")</f>
        <v/>
      </c>
      <c r="AZ331" s="354" t="n">
        <v>871.58</v>
      </c>
      <c r="BA331" s="355" t="n">
        <v>54.12</v>
      </c>
      <c r="BB331" s="355" t="n">
        <v>79.59999999999999</v>
      </c>
      <c r="BC331" s="355" t="n">
        <v>87.22</v>
      </c>
      <c r="BD331" s="331" t="n"/>
      <c r="BE331" s="331">
        <f>AZ331*AW331</f>
        <v/>
      </c>
      <c r="BF331" s="331">
        <f>BA331*AW331</f>
        <v/>
      </c>
      <c r="BG331" s="331">
        <f>BB331*AW331</f>
        <v/>
      </c>
      <c r="BH331" s="331">
        <f>BC331*AW331</f>
        <v/>
      </c>
      <c r="BI331" s="331" t="n"/>
      <c r="BJ331" s="356">
        <f t="array" ref="BJ331:BM331">_xlfn.LET(_xlpm.data,$R331:$AV331,_xlpm.starts,{1,8,16,23},_xlpm.lengths,{7,7,8,9},_xlpm.arr,_xlfn.MAP(_xlpm.starts,_xlpm.lengths,_xlfn.LAMBDA(_xlpm.s,_xlpm.l,SUM(INDEX(_xlpm.data,,_xlfn.SEQUENCE(,_xlpm.l,_xlpm.s))))),ROUND(_xlpm.arr*$O331/1000,2))</f>
        <v/>
      </c>
      <c r="BK331" s="331" t="n">
        <v>7.34</v>
      </c>
      <c r="BL331" s="331" t="n">
        <v>0</v>
      </c>
      <c r="BM331" s="331" t="n">
        <v>0</v>
      </c>
      <c r="BN331" s="362">
        <f>SUM(BJ331:BM331)</f>
        <v/>
      </c>
      <c r="BO331" s="362" t="n">
        <v>84.68000000000001</v>
      </c>
      <c r="BP331" s="362" t="n">
        <v>84.68000000000001</v>
      </c>
      <c r="BQ331" s="362" t="n">
        <v>92.69</v>
      </c>
      <c r="BR331" s="362" t="n">
        <v>72.03</v>
      </c>
      <c r="BS331" s="115" t="n"/>
      <c r="BT331" s="362">
        <f t="array" ref="BT331:BW331">_xlfn.HSTACK(SUM(INDEX($R331:$AV331,1,1):INDEX($R331:$AV331,1,7)),SUM(INDEX($R331:$AV331,1,7):INDEX($R331:$AV331,1,13)),SUM(INDEX($R331:$AV331,1,16):INDEX($R331:$AV331,1,23)),SUM(INDEX($R331:$AV331,1,23):INDEX($R331:$AV331,1,31)))</f>
        <v/>
      </c>
      <c r="BU331" s="362" t="n">
        <v>320</v>
      </c>
      <c r="BV331" s="362" t="n">
        <v>0</v>
      </c>
      <c r="BW331" s="362" t="n">
        <v>0</v>
      </c>
      <c r="BY331" s="362">
        <f>SUM(R331:X331)</f>
        <v/>
      </c>
      <c r="BZ331" s="362">
        <f>SUM(Y331:AE331)</f>
        <v/>
      </c>
      <c r="CA331" s="362">
        <f>SUM(AF331:AM331)</f>
        <v/>
      </c>
      <c r="CB331" s="362">
        <f>SUM(AN331:AV331)</f>
        <v/>
      </c>
      <c r="CD331" s="432" t="inlineStr">
        <is>
          <t>ADA</t>
        </is>
      </c>
      <c r="CE331" s="362">
        <f>ROUND(BY331*$O331/1000,2)</f>
        <v/>
      </c>
      <c r="CF331" s="362">
        <f>ROUND(BZ331*$O331/1000,2)</f>
        <v/>
      </c>
      <c r="CG331" s="362">
        <f>ROUND(CA331*$O331/1000,2)</f>
        <v/>
      </c>
      <c r="CH331" s="362">
        <f>ROUND(CB331*$O331/1000,2)</f>
        <v/>
      </c>
      <c r="CI331" s="362">
        <f>SUM(CE331:CH331)</f>
        <v/>
      </c>
      <c r="CJ331" s="390" t="n"/>
      <c r="CK331" s="362">
        <f>IFERROR(ROUND(BY331*$P331,2),"")</f>
        <v/>
      </c>
      <c r="CL331" s="362">
        <f>IFERROR(ROUND(BZ331*$P331,2),"")</f>
        <v/>
      </c>
      <c r="CM331" s="362">
        <f>IFERROR(ROUND(CA331*$P331,2),"")</f>
        <v/>
      </c>
      <c r="CN331" s="362">
        <f>IFERROR(ROUND(CB331*$P331,2),"")</f>
        <v/>
      </c>
      <c r="CO331" s="362">
        <f>SUM(CK331:CN331)</f>
        <v/>
      </c>
    </row>
    <row r="332" hidden="1" customFormat="1" s="362">
      <c r="A332" s="331" t="n"/>
      <c r="B332" s="344">
        <f>_xlfn.XLOOKUP(G332,销售需求表!A:A,销售需求表!C:C)</f>
        <v/>
      </c>
      <c r="C332" s="345">
        <f>IFERROR(MID(F332,FIND("R",F332)+1,2),"")</f>
        <v/>
      </c>
      <c r="D332" s="368">
        <f>B332&amp;C332&amp;"寸"</f>
        <v/>
      </c>
      <c r="E332" s="346">
        <f>LEFT(REPLACE(G332,1,2,""),FIND("[",REPLACE(G332,1,2,""))-1)&amp;"-"&amp;MID(REPLACE(G332,1,2,""),FIND("[",REPLACE(G332,1,2,""))+1,FIND("]",REPLACE(G332,1,2,""))-FIND("[",REPLACE(G332,1,2,""))-1)</f>
        <v/>
      </c>
      <c r="F332" s="346">
        <f>IFERROR(IFERROR(SUBSTITUTE(E332,"("&amp;MID(E332,FIND("(",E332)+1,FIND(")",E332)-FIND("(",E332)-1)&amp;")",""),E332),"")</f>
        <v/>
      </c>
      <c r="G332" s="366" t="inlineStr">
        <is>
          <t>ID8.25R16-16PR(128/124L)[CR926]威狮</t>
        </is>
      </c>
      <c r="H332" s="344" t="n">
        <v>300</v>
      </c>
      <c r="I332" s="348" t="n"/>
      <c r="J332" s="349">
        <f>IFERROR(LEFT(F332,FIND("-",F332))&amp;MID(F332,FIND("PR",F332,FIND("-",F332))+3,LEN(F332)),F332)</f>
        <v/>
      </c>
      <c r="K332" s="352">
        <f>_xlfn.XLOOKUP(F332,投产规格!E:E,投产规格!D:D,"未投产")</f>
        <v/>
      </c>
      <c r="L332" s="352">
        <f>IFERROR(_xlfn.XLOOKUP(F332,硫化工艺!B:B,硫化工艺!C:C),"")</f>
        <v/>
      </c>
      <c r="M332" s="430">
        <f>IF(L332="","",L332/(L332+$L$1/60))</f>
        <v/>
      </c>
      <c r="N332" s="352">
        <f>C332&amp;"全钢"</f>
        <v/>
      </c>
      <c r="O332" s="352">
        <f>IFERROR(_xlfn.XLOOKUP(F332,轮胎重量!J:J,轮胎重量!G:G),"")</f>
        <v/>
      </c>
      <c r="P332" s="352">
        <f>IFERROR(_xlfn.XLOOKUP(F332,硫化工艺!I:I,硫化工艺!J:J),"")</f>
        <v/>
      </c>
      <c r="Q332" s="352">
        <f>IFERROR(ROUND(1440/L332*(I332)*M332,0),"")</f>
        <v/>
      </c>
      <c r="R332" s="352" t="n"/>
      <c r="S332" s="352" t="n"/>
      <c r="T332" s="352" t="n"/>
      <c r="U332" s="352" t="n"/>
      <c r="V332" s="352" t="n"/>
      <c r="W332" s="352" t="n"/>
      <c r="X332" s="352" t="n"/>
      <c r="Y332" s="352" t="n"/>
      <c r="Z332" s="352" t="n"/>
      <c r="AA332" s="352" t="n"/>
      <c r="AB332" s="352" t="n"/>
      <c r="AC332" s="352" t="n"/>
      <c r="AD332" s="352" t="n"/>
      <c r="AE332" s="352" t="n"/>
      <c r="AF332" s="352" t="n"/>
      <c r="AG332" s="352" t="n"/>
      <c r="AH332" s="352" t="n"/>
      <c r="AI332" s="352" t="n"/>
      <c r="AJ332" s="352" t="n"/>
      <c r="AK332" s="352" t="n"/>
      <c r="AL332" s="352" t="n"/>
      <c r="AM332" s="352" t="n"/>
      <c r="AN332" s="352" t="n"/>
      <c r="AO332" s="352" t="n"/>
      <c r="AP332" s="352" t="n"/>
      <c r="AQ332" s="352" t="n"/>
      <c r="AR332" s="352" t="n"/>
      <c r="AS332" s="352" t="n"/>
      <c r="AT332" s="352" t="n"/>
      <c r="AU332" s="352" t="n"/>
      <c r="AV332" s="352" t="n"/>
      <c r="AW332" s="352">
        <f>IF(SUM(R332:AV332)=0,"",SUM(R332:AV332))</f>
        <v/>
      </c>
      <c r="AX332" s="431">
        <f>IFERROR(AW332*O332/1000,"")</f>
        <v/>
      </c>
      <c r="AY332" s="431">
        <f>IFERROR(ROUND(AW332*P332/10000,3),"")</f>
        <v/>
      </c>
      <c r="AZ332" s="354" t="n">
        <v>871.58</v>
      </c>
      <c r="BA332" s="355" t="n">
        <v>54.12</v>
      </c>
      <c r="BB332" s="355" t="n">
        <v>79.59999999999999</v>
      </c>
      <c r="BC332" s="355" t="n">
        <v>87.22</v>
      </c>
      <c r="BD332" s="331" t="n"/>
      <c r="BE332" s="331">
        <f>AZ332*AW332</f>
        <v/>
      </c>
      <c r="BF332" s="331">
        <f>BA332*AW332</f>
        <v/>
      </c>
      <c r="BG332" s="331">
        <f>BB332*AW332</f>
        <v/>
      </c>
      <c r="BH332" s="331">
        <f>BC332*AW332</f>
        <v/>
      </c>
      <c r="BI332" s="331" t="n"/>
      <c r="BJ332" s="356">
        <f t="array" ref="BJ332:BM332">_xlfn.LET(_xlpm.data,$R332:$AV332,_xlpm.starts,{1,8,16,23},_xlpm.lengths,{7,7,8,9},_xlpm.arr,_xlfn.MAP(_xlpm.starts,_xlpm.lengths,_xlfn.LAMBDA(_xlpm.s,_xlpm.l,SUM(INDEX(_xlpm.data,,_xlfn.SEQUENCE(,_xlpm.l,_xlpm.s))))),ROUND(_xlpm.arr*$O332/1000,2))</f>
        <v/>
      </c>
      <c r="BK332" s="331" t="n">
        <v>0</v>
      </c>
      <c r="BL332" s="331" t="n">
        <v>0</v>
      </c>
      <c r="BM332" s="331" t="n">
        <v>0</v>
      </c>
      <c r="BN332" s="362">
        <f>SUM(BJ332:BM332)</f>
        <v/>
      </c>
      <c r="BO332" s="362" t="n">
        <v>26.69</v>
      </c>
      <c r="BP332" s="362" t="n">
        <v>26.69</v>
      </c>
      <c r="BQ332" s="362" t="n">
        <v>30.5</v>
      </c>
      <c r="BR332" s="362" t="n">
        <v>34.31</v>
      </c>
      <c r="BS332" s="115" t="n"/>
      <c r="BT332" s="362">
        <f t="array" ref="BT332:BW332">_xlfn.HSTACK(SUM(INDEX($R332:$AV332,1,1):INDEX($R332:$AV332,1,7)),SUM(INDEX($R332:$AV332,1,7):INDEX($R332:$AV332,1,13)),SUM(INDEX($R332:$AV332,1,16):INDEX($R332:$AV332,1,23)),SUM(INDEX($R332:$AV332,1,23):INDEX($R332:$AV332,1,31)))</f>
        <v/>
      </c>
      <c r="BU332" s="362" t="n">
        <v>0</v>
      </c>
      <c r="BV332" s="362" t="n">
        <v>0</v>
      </c>
      <c r="BW332" s="362" t="n">
        <v>0</v>
      </c>
      <c r="BY332" s="362">
        <f>SUM(R332:X332)</f>
        <v/>
      </c>
      <c r="BZ332" s="362">
        <f>SUM(Y332:AE332)</f>
        <v/>
      </c>
      <c r="CA332" s="362">
        <f>SUM(AF332:AM332)</f>
        <v/>
      </c>
      <c r="CB332" s="362">
        <f>SUM(AN332:AV332)</f>
        <v/>
      </c>
      <c r="CD332" s="432" t="inlineStr">
        <is>
          <t>ADA</t>
        </is>
      </c>
      <c r="CE332" s="362">
        <f>ROUND(BY332*$O332/1000,2)</f>
        <v/>
      </c>
      <c r="CF332" s="362">
        <f>ROUND(BZ332*$O332/1000,2)</f>
        <v/>
      </c>
      <c r="CG332" s="362">
        <f>ROUND(CA332*$O332/1000,2)</f>
        <v/>
      </c>
      <c r="CH332" s="362">
        <f>ROUND(CB332*$O332/1000,2)</f>
        <v/>
      </c>
      <c r="CI332" s="362">
        <f>SUM(CE332:CH332)</f>
        <v/>
      </c>
      <c r="CJ332" s="390" t="n"/>
      <c r="CK332" s="362">
        <f>IFERROR(ROUND(BY332*$P332,2),"")</f>
        <v/>
      </c>
      <c r="CL332" s="362">
        <f>IFERROR(ROUND(BZ332*$P332,2),"")</f>
        <v/>
      </c>
      <c r="CM332" s="362">
        <f>IFERROR(ROUND(CA332*$P332,2),"")</f>
        <v/>
      </c>
      <c r="CN332" s="362">
        <f>IFERROR(ROUND(CB332*$P332,2),"")</f>
        <v/>
      </c>
      <c r="CO332" s="362">
        <f>SUM(CK332:CN332)</f>
        <v/>
      </c>
    </row>
    <row r="333" hidden="1" customFormat="1" s="362">
      <c r="A333" s="331" t="n"/>
      <c r="B333" s="344">
        <f>_xlfn.XLOOKUP(G333,销售需求表!A:A,销售需求表!C:C)</f>
        <v/>
      </c>
      <c r="C333" s="345">
        <f>IFERROR(MID(F333,FIND("R",F333)+1,2),"")</f>
        <v/>
      </c>
      <c r="D333" s="368">
        <f>B333&amp;C333&amp;"寸"</f>
        <v/>
      </c>
      <c r="E333" s="346">
        <f>LEFT(REPLACE(G333,1,2,""),FIND("[",REPLACE(G333,1,2,""))-1)&amp;"-"&amp;MID(REPLACE(G333,1,2,""),FIND("[",REPLACE(G333,1,2,""))+1,FIND("]",REPLACE(G333,1,2,""))-FIND("[",REPLACE(G333,1,2,""))-1)</f>
        <v/>
      </c>
      <c r="F333" s="346">
        <f>IFERROR(IFERROR(SUBSTITUTE(E333,"("&amp;MID(E333,FIND("(",E333)+1,FIND(")",E333)-FIND("(",E333)-1)&amp;")",""),E333),"")</f>
        <v/>
      </c>
      <c r="G333" s="346" t="n"/>
      <c r="H333" s="344" t="n"/>
      <c r="I333" s="348" t="n"/>
      <c r="J333" s="349">
        <f>IFERROR(LEFT(F333,FIND("-",F333))&amp;MID(F333,FIND("PR",F333,FIND("-",F333))+3,LEN(F333)),F333)</f>
        <v/>
      </c>
      <c r="K333" s="352">
        <f>_xlfn.XLOOKUP(F333,投产规格!E:E,投产规格!D:D,"未投产")</f>
        <v/>
      </c>
      <c r="L333" s="352">
        <f>IFERROR(_xlfn.XLOOKUP(F333,硫化工艺!B:B,硫化工艺!C:C),"")</f>
        <v/>
      </c>
      <c r="M333" s="430">
        <f>IF(L333="","",L333/(L333+$L$1/60))</f>
        <v/>
      </c>
      <c r="N333" s="352">
        <f>C333&amp;"全钢"</f>
        <v/>
      </c>
      <c r="O333" s="352">
        <f>IFERROR(_xlfn.XLOOKUP(F333,轮胎重量!J:J,轮胎重量!G:G),"")</f>
        <v/>
      </c>
      <c r="P333" s="352">
        <f>IFERROR(_xlfn.XLOOKUP(F333,硫化工艺!I:I,硫化工艺!J:J),"")</f>
        <v/>
      </c>
      <c r="Q333" s="352">
        <f>IFERROR(ROUND(1440/L333*(I333)*M333,0),"")</f>
        <v/>
      </c>
      <c r="R333" s="352" t="n"/>
      <c r="S333" s="352" t="n"/>
      <c r="T333" s="352" t="n"/>
      <c r="U333" s="352" t="n"/>
      <c r="V333" s="352" t="n"/>
      <c r="W333" s="352" t="n"/>
      <c r="X333" s="352" t="n"/>
      <c r="Y333" s="352" t="n"/>
      <c r="Z333" s="352" t="n"/>
      <c r="AA333" s="352" t="n"/>
      <c r="AB333" s="352" t="n"/>
      <c r="AC333" s="352" t="n"/>
      <c r="AD333" s="352" t="n"/>
      <c r="AE333" s="352" t="n"/>
      <c r="AF333" s="352" t="n"/>
      <c r="AG333" s="352" t="n"/>
      <c r="AH333" s="352" t="n"/>
      <c r="AI333" s="352" t="n"/>
      <c r="AJ333" s="352" t="n"/>
      <c r="AK333" s="352" t="n"/>
      <c r="AL333" s="352" t="n"/>
      <c r="AM333" s="352" t="n"/>
      <c r="AN333" s="352" t="n"/>
      <c r="AO333" s="352" t="n"/>
      <c r="AP333" s="352" t="n"/>
      <c r="AQ333" s="352" t="n"/>
      <c r="AR333" s="352" t="n"/>
      <c r="AS333" s="352" t="n"/>
      <c r="AT333" s="352" t="n"/>
      <c r="AU333" s="352" t="n"/>
      <c r="AV333" s="352" t="n"/>
      <c r="AW333" s="352">
        <f>IF(SUM(R333:AV333)=0,"",SUM(R333:AV333))</f>
        <v/>
      </c>
      <c r="AX333" s="431">
        <f>IFERROR(AW333*O333/1000,"")</f>
        <v/>
      </c>
      <c r="AY333" s="431">
        <f>IFERROR(ROUND(AW333*P333/10000,3),"")</f>
        <v/>
      </c>
      <c r="AZ333" s="354" t="n">
        <v>861.64</v>
      </c>
      <c r="BA333" s="355" t="n">
        <v>52.93</v>
      </c>
      <c r="BB333" s="355" t="n">
        <v>78.33</v>
      </c>
      <c r="BC333" s="355" t="n">
        <v>85.7</v>
      </c>
      <c r="BD333" s="331" t="n"/>
      <c r="BE333" s="331">
        <f>AZ333*AW333</f>
        <v/>
      </c>
      <c r="BF333" s="331">
        <f>BA333*AW333</f>
        <v/>
      </c>
      <c r="BG333" s="331">
        <f>BB333*AW333</f>
        <v/>
      </c>
      <c r="BH333" s="331">
        <f>BC333*AW333</f>
        <v/>
      </c>
      <c r="BI333" s="331" t="n"/>
      <c r="BJ333" s="356">
        <f t="array" ref="BJ333:BM333">_xlfn.LET(_xlpm.data,$R333:$AV333,_xlpm.starts,{1,8,16,23},_xlpm.lengths,{7,7,8,9},_xlpm.arr,_xlfn.MAP(_xlpm.starts,_xlpm.lengths,_xlfn.LAMBDA(_xlpm.s,_xlpm.l,SUM(INDEX(_xlpm.data,,_xlfn.SEQUENCE(,_xlpm.l,_xlpm.s))))),ROUND(_xlpm.arr*$O333/1000,2))</f>
        <v/>
      </c>
      <c r="BK333" s="331" t="n">
        <v>0</v>
      </c>
      <c r="BL333" s="331" t="n">
        <v>0</v>
      </c>
      <c r="BM333" s="331" t="n">
        <v>0</v>
      </c>
      <c r="BN333" s="362">
        <f>SUM(BJ333:BM333)</f>
        <v/>
      </c>
      <c r="BO333" s="362" t="n">
        <v>0</v>
      </c>
      <c r="BP333" s="362" t="n">
        <v>0</v>
      </c>
      <c r="BQ333" s="362" t="n">
        <v>0</v>
      </c>
      <c r="BR333" s="362" t="n">
        <v>0</v>
      </c>
      <c r="BS333" s="115" t="n"/>
      <c r="BT333" s="362">
        <f t="array" ref="BT333:BW333">_xlfn.HSTACK(SUM(INDEX($R333:$AV333,1,1):INDEX($R333:$AV333,1,7)),SUM(INDEX($R333:$AV333,1,7):INDEX($R333:$AV333,1,13)),SUM(INDEX($R333:$AV333,1,16):INDEX($R333:$AV333,1,23)),SUM(INDEX($R333:$AV333,1,23):INDEX($R333:$AV333,1,31)))</f>
        <v/>
      </c>
      <c r="BU333" s="362" t="n">
        <v>0</v>
      </c>
      <c r="BV333" s="362" t="n">
        <v>0</v>
      </c>
      <c r="BW333" s="362" t="n">
        <v>0</v>
      </c>
      <c r="BY333" s="362">
        <f>SUM(R333:X333)</f>
        <v/>
      </c>
      <c r="BZ333" s="362">
        <f>SUM(Y333:AE333)</f>
        <v/>
      </c>
      <c r="CA333" s="362">
        <f>SUM(AF333:AM333)</f>
        <v/>
      </c>
      <c r="CB333" s="362">
        <f>SUM(AN333:AV333)</f>
        <v/>
      </c>
      <c r="CD333" s="390" t="n"/>
      <c r="CE333" s="362">
        <f>ROUND(BY333*$O333/1000,2)</f>
        <v/>
      </c>
      <c r="CF333" s="362">
        <f>ROUND(BZ333*$O333/1000,2)</f>
        <v/>
      </c>
      <c r="CG333" s="362">
        <f>ROUND(CA333*$O333/1000,2)</f>
        <v/>
      </c>
      <c r="CH333" s="362">
        <f>ROUND(CB333*$O333/1000,2)</f>
        <v/>
      </c>
      <c r="CI333" s="362">
        <f>SUM(CE333:CH333)</f>
        <v/>
      </c>
      <c r="CJ333" s="390" t="n"/>
      <c r="CK333" s="362">
        <f>IFERROR(ROUND(BY333*$P333,2),"")</f>
        <v/>
      </c>
      <c r="CL333" s="362">
        <f>IFERROR(ROUND(BZ333*$P333,2),"")</f>
        <v/>
      </c>
      <c r="CM333" s="362">
        <f>IFERROR(ROUND(CA333*$P333,2),"")</f>
        <v/>
      </c>
      <c r="CN333" s="362">
        <f>IFERROR(ROUND(CB333*$P333,2),"")</f>
        <v/>
      </c>
      <c r="CO333" s="362">
        <f>SUM(CK333:CN333)</f>
        <v/>
      </c>
    </row>
    <row r="334" hidden="1" customFormat="1" s="362">
      <c r="A334" s="331" t="n"/>
      <c r="B334" s="344">
        <f>_xlfn.XLOOKUP(G334,销售需求表!A:A,销售需求表!C:C)</f>
        <v/>
      </c>
      <c r="C334" s="345">
        <f>IFERROR(MID(F334,FIND("R",F334)+1,2),"")</f>
        <v/>
      </c>
      <c r="D334" s="368">
        <f>B334&amp;C334&amp;"寸"</f>
        <v/>
      </c>
      <c r="E334" s="346">
        <f>LEFT(REPLACE(G334,1,2,""),FIND("[",REPLACE(G334,1,2,""))-1)&amp;"-"&amp;MID(REPLACE(G334,1,2,""),FIND("[",REPLACE(G334,1,2,""))+1,FIND("]",REPLACE(G334,1,2,""))-FIND("[",REPLACE(G334,1,2,""))-1)</f>
        <v/>
      </c>
      <c r="F334" s="346">
        <f>IFERROR(IFERROR(SUBSTITUTE(E334,"("&amp;MID(E334,FIND("(",E334)+1,FIND(")",E334)-FIND("(",E334)-1)&amp;")",""),E334),"")</f>
        <v/>
      </c>
      <c r="G334" s="346" t="n"/>
      <c r="H334" s="344" t="n"/>
      <c r="I334" s="348" t="n"/>
      <c r="J334" s="349">
        <f>IFERROR(LEFT(F334,FIND("-",F334))&amp;MID(F334,FIND("PR",F334,FIND("-",F334))+3,LEN(F334)),F334)</f>
        <v/>
      </c>
      <c r="K334" s="352">
        <f>_xlfn.XLOOKUP(F334,投产规格!E:E,投产规格!D:D,"未投产")</f>
        <v/>
      </c>
      <c r="L334" s="352">
        <f>IFERROR(_xlfn.XLOOKUP(F334,硫化工艺!B:B,硫化工艺!C:C),"")</f>
        <v/>
      </c>
      <c r="M334" s="430">
        <f>IF(L334="","",L334/(L334+$L$1/60))</f>
        <v/>
      </c>
      <c r="N334" s="352">
        <f>C334&amp;"全钢"</f>
        <v/>
      </c>
      <c r="O334" s="352">
        <f>IFERROR(_xlfn.XLOOKUP(F334,轮胎重量!J:J,轮胎重量!G:G),"")</f>
        <v/>
      </c>
      <c r="P334" s="352">
        <f>IFERROR(_xlfn.XLOOKUP(F334,硫化工艺!I:I,硫化工艺!J:J),"")</f>
        <v/>
      </c>
      <c r="Q334" s="352">
        <f>IFERROR(ROUND(1440/L334*(I334)*M334,0),"")</f>
        <v/>
      </c>
      <c r="R334" s="352" t="n"/>
      <c r="S334" s="352" t="n"/>
      <c r="T334" s="352" t="n"/>
      <c r="U334" s="352" t="n"/>
      <c r="V334" s="352" t="n"/>
      <c r="W334" s="352" t="n"/>
      <c r="X334" s="352" t="n"/>
      <c r="Y334" s="352" t="n"/>
      <c r="Z334" s="352" t="n"/>
      <c r="AA334" s="352" t="n"/>
      <c r="AB334" s="352" t="n"/>
      <c r="AC334" s="352" t="n"/>
      <c r="AD334" s="352" t="n"/>
      <c r="AE334" s="352" t="n"/>
      <c r="AF334" s="352" t="n"/>
      <c r="AG334" s="352" t="n"/>
      <c r="AH334" s="352" t="n"/>
      <c r="AI334" s="352" t="n"/>
      <c r="AJ334" s="352" t="n"/>
      <c r="AK334" s="352" t="n"/>
      <c r="AL334" s="352" t="n"/>
      <c r="AM334" s="352" t="n"/>
      <c r="AN334" s="352" t="n"/>
      <c r="AO334" s="352" t="n"/>
      <c r="AP334" s="352" t="n"/>
      <c r="AQ334" s="352" t="n"/>
      <c r="AR334" s="352" t="n"/>
      <c r="AS334" s="352" t="n"/>
      <c r="AT334" s="352" t="n"/>
      <c r="AU334" s="352" t="n"/>
      <c r="AV334" s="352" t="n"/>
      <c r="AW334" s="352">
        <f>IF(SUM(R334:AV334)=0,"",SUM(R334:AV334))</f>
        <v/>
      </c>
      <c r="AX334" s="431">
        <f>IFERROR(AW334*O334/1000,"")</f>
        <v/>
      </c>
      <c r="AY334" s="431">
        <f>IFERROR(ROUND(AW334*P334/10000,3),"")</f>
        <v/>
      </c>
      <c r="AZ334" s="354" t="n">
        <v>828.4</v>
      </c>
      <c r="BA334" s="355" t="n">
        <v>50.66</v>
      </c>
      <c r="BB334" s="355" t="n">
        <v>75.77</v>
      </c>
      <c r="BC334" s="355" t="n">
        <v>82.47</v>
      </c>
      <c r="BD334" s="331" t="n"/>
      <c r="BE334" s="331">
        <f>AZ334*AW334</f>
        <v/>
      </c>
      <c r="BF334" s="331">
        <f>BA334*AW334</f>
        <v/>
      </c>
      <c r="BG334" s="331">
        <f>BB334*AW334</f>
        <v/>
      </c>
      <c r="BH334" s="331">
        <f>BC334*AW334</f>
        <v/>
      </c>
      <c r="BI334" s="331" t="n"/>
      <c r="BJ334" s="356">
        <f t="array" ref="BJ334:BM334">_xlfn.LET(_xlpm.data,$R334:$AV334,_xlpm.starts,{1,8,16,23},_xlpm.lengths,{7,7,8,9},_xlpm.arr,_xlfn.MAP(_xlpm.starts,_xlpm.lengths,_xlfn.LAMBDA(_xlpm.s,_xlpm.l,SUM(INDEX(_xlpm.data,,_xlfn.SEQUENCE(,_xlpm.l,_xlpm.s))))),ROUND(_xlpm.arr*$O334/1000,2))</f>
        <v/>
      </c>
      <c r="BK334" s="331" t="n">
        <v>0</v>
      </c>
      <c r="BL334" s="331" t="n">
        <v>0</v>
      </c>
      <c r="BM334" s="331" t="n">
        <v>0</v>
      </c>
      <c r="BN334" s="362">
        <f>SUM(BJ334:BM334)</f>
        <v/>
      </c>
      <c r="BO334" s="362" t="n">
        <v>0</v>
      </c>
      <c r="BP334" s="362" t="n">
        <v>0</v>
      </c>
      <c r="BQ334" s="362" t="n">
        <v>0</v>
      </c>
      <c r="BR334" s="362" t="n">
        <v>16.09</v>
      </c>
      <c r="BS334" s="115">
        <f>Q334*O334</f>
        <v/>
      </c>
      <c r="BT334" s="362">
        <f t="array" ref="BT334:BW334">_xlfn.HSTACK(SUM(INDEX($R334:$AV334,1,1):INDEX($R334:$AV334,1,7)),SUM(INDEX($R334:$AV334,1,7):INDEX($R334:$AV334,1,13)),SUM(INDEX($R334:$AV334,1,16):INDEX($R334:$AV334,1,23)),SUM(INDEX($R334:$AV334,1,23):INDEX($R334:$AV334,1,31)))</f>
        <v/>
      </c>
      <c r="BU334" s="362" t="n">
        <v>0</v>
      </c>
      <c r="BV334" s="362" t="n">
        <v>0</v>
      </c>
      <c r="BW334" s="362" t="n">
        <v>0</v>
      </c>
      <c r="BY334" s="362">
        <f>SUM(R334:X334)</f>
        <v/>
      </c>
      <c r="BZ334" s="362">
        <f>SUM(Y334:AE334)</f>
        <v/>
      </c>
      <c r="CA334" s="362">
        <f>SUM(AF334:AM334)</f>
        <v/>
      </c>
      <c r="CB334" s="362">
        <f>SUM(AN334:AV334)</f>
        <v/>
      </c>
      <c r="CD334" s="390" t="n"/>
      <c r="CE334" s="362">
        <f>ROUND(BY334*$O334/1000,2)</f>
        <v/>
      </c>
      <c r="CF334" s="362">
        <f>ROUND(BZ334*$O334/1000,2)</f>
        <v/>
      </c>
      <c r="CG334" s="362">
        <f>ROUND(CA334*$O334/1000,2)</f>
        <v/>
      </c>
      <c r="CH334" s="362">
        <f>ROUND(CB334*$O334/1000,2)</f>
        <v/>
      </c>
      <c r="CI334" s="362">
        <f>SUM(CE334:CH334)</f>
        <v/>
      </c>
      <c r="CJ334" s="390" t="n"/>
      <c r="CK334" s="362">
        <f>IFERROR(ROUND(BY334*$P334,2),"")</f>
        <v/>
      </c>
      <c r="CL334" s="362">
        <f>IFERROR(ROUND(BZ334*$P334,2),"")</f>
        <v/>
      </c>
      <c r="CM334" s="362">
        <f>IFERROR(ROUND(CA334*$P334,2),"")</f>
        <v/>
      </c>
      <c r="CN334" s="362">
        <f>IFERROR(ROUND(CB334*$P334,2),"")</f>
        <v/>
      </c>
      <c r="CO334" s="362">
        <f>SUM(CK334:CN334)</f>
        <v/>
      </c>
    </row>
    <row r="335" hidden="1" customFormat="1" s="362">
      <c r="A335" s="331" t="n"/>
      <c r="B335" s="344">
        <f>_xlfn.XLOOKUP(G335,销售需求表!A:A,销售需求表!C:C)</f>
        <v/>
      </c>
      <c r="C335" s="345">
        <f>IFERROR(MID(F335,FIND("R",F335)+1,2),"")</f>
        <v/>
      </c>
      <c r="D335" s="368">
        <f>B335&amp;C335&amp;"寸"</f>
        <v/>
      </c>
      <c r="E335" s="346">
        <f>LEFT(REPLACE(G335,1,2,""),FIND("[",REPLACE(G335,1,2,""))-1)&amp;"-"&amp;MID(REPLACE(G335,1,2,""),FIND("[",REPLACE(G335,1,2,""))+1,FIND("]",REPLACE(G335,1,2,""))-FIND("[",REPLACE(G335,1,2,""))-1)</f>
        <v/>
      </c>
      <c r="F335" s="346">
        <f>IFERROR(IFERROR(SUBSTITUTE(E335,"("&amp;MID(E335,FIND("(",E335)+1,FIND(")",E335)-FIND("(",E335)-1)&amp;")",""),E335),"")</f>
        <v/>
      </c>
      <c r="G335" s="346" t="n"/>
      <c r="H335" s="344" t="n"/>
      <c r="I335" s="348" t="n"/>
      <c r="J335" s="349">
        <f>IFERROR(LEFT(F335,FIND("-",F335))&amp;MID(F335,FIND("PR",F335,FIND("-",F335))+3,LEN(F335)),F335)</f>
        <v/>
      </c>
      <c r="K335" s="352">
        <f>_xlfn.XLOOKUP(F335,投产规格!E:E,投产规格!D:D,"未投产")</f>
        <v/>
      </c>
      <c r="L335" s="352">
        <f>IFERROR(_xlfn.XLOOKUP(F335,硫化工艺!B:B,硫化工艺!C:C),"")</f>
        <v/>
      </c>
      <c r="M335" s="430">
        <f>IF(L335="","",L335/(L335+$L$1/60))</f>
        <v/>
      </c>
      <c r="N335" s="352">
        <f>C335&amp;"全钢"</f>
        <v/>
      </c>
      <c r="O335" s="352">
        <f>IFERROR(_xlfn.XLOOKUP(F335,轮胎重量!J:J,轮胎重量!G:G),"")</f>
        <v/>
      </c>
      <c r="P335" s="358">
        <f>O335*13.9</f>
        <v/>
      </c>
      <c r="Q335" s="352">
        <f>IFERROR(ROUND(1440/L335*(I335)*M335,0),"")</f>
        <v/>
      </c>
      <c r="R335" s="352" t="n"/>
      <c r="S335" s="352" t="n"/>
      <c r="T335" s="352" t="n"/>
      <c r="U335" s="352" t="n"/>
      <c r="V335" s="352" t="n"/>
      <c r="W335" s="352" t="n"/>
      <c r="X335" s="352" t="n"/>
      <c r="Y335" s="352" t="n"/>
      <c r="Z335" s="352" t="n"/>
      <c r="AA335" s="352" t="n"/>
      <c r="AB335" s="352" t="n"/>
      <c r="AC335" s="352" t="n"/>
      <c r="AD335" s="352" t="n"/>
      <c r="AE335" s="352" t="n"/>
      <c r="AF335" s="352" t="n"/>
      <c r="AG335" s="352" t="n"/>
      <c r="AH335" s="352" t="n"/>
      <c r="AI335" s="352" t="n"/>
      <c r="AJ335" s="352" t="n"/>
      <c r="AK335" s="352" t="n"/>
      <c r="AL335" s="352" t="n"/>
      <c r="AM335" s="352" t="n"/>
      <c r="AN335" s="352" t="n"/>
      <c r="AO335" s="352" t="n"/>
      <c r="AP335" s="352" t="n"/>
      <c r="AQ335" s="352" t="n"/>
      <c r="AR335" s="352" t="n"/>
      <c r="AS335" s="352" t="n"/>
      <c r="AT335" s="352" t="n"/>
      <c r="AU335" s="352" t="n"/>
      <c r="AV335" s="352" t="n"/>
      <c r="AW335" s="352">
        <f>IF(SUM(R335:AV335)=0,"",SUM(R335:AV335))</f>
        <v/>
      </c>
      <c r="AX335" s="431">
        <f>IFERROR(AW335*O335/1000,"")</f>
        <v/>
      </c>
      <c r="AY335" s="431">
        <f>IFERROR(ROUND(AW335*P335/10000,3),"")</f>
        <v/>
      </c>
      <c r="AZ335" s="354" t="n">
        <v>864.55</v>
      </c>
      <c r="BA335" s="355" t="n">
        <v>53.34</v>
      </c>
      <c r="BB335" s="355" t="n">
        <v>78.72</v>
      </c>
      <c r="BC335" s="355" t="n">
        <v>86.44</v>
      </c>
      <c r="BD335" s="331" t="n"/>
      <c r="BE335" s="331">
        <f>AZ335*AW335</f>
        <v/>
      </c>
      <c r="BF335" s="331">
        <f>BA335*AW335</f>
        <v/>
      </c>
      <c r="BG335" s="331">
        <f>BB335*AW335</f>
        <v/>
      </c>
      <c r="BH335" s="331">
        <f>BC335*AW335</f>
        <v/>
      </c>
      <c r="BI335" s="331" t="n"/>
      <c r="BJ335" s="356">
        <f t="array" ref="BJ335:BM335">_xlfn.LET(_xlpm.data,$R335:$AV335,_xlpm.starts,{1,8,16,23},_xlpm.lengths,{7,7,8,9},_xlpm.arr,_xlfn.MAP(_xlpm.starts,_xlpm.lengths,_xlfn.LAMBDA(_xlpm.s,_xlpm.l,SUM(INDEX(_xlpm.data,,_xlfn.SEQUENCE(,_xlpm.l,_xlpm.s))))),ROUND(_xlpm.arr*$O335/1000,2))</f>
        <v/>
      </c>
      <c r="BK335" s="331" t="n">
        <v>0</v>
      </c>
      <c r="BL335" s="331" t="n">
        <v>0</v>
      </c>
      <c r="BM335" s="331" t="n">
        <v>0</v>
      </c>
      <c r="BN335" s="362">
        <f>SUM(BJ335:BM335)</f>
        <v/>
      </c>
      <c r="BO335" s="362" t="n">
        <v>0</v>
      </c>
      <c r="BP335" s="362" t="n">
        <v>0</v>
      </c>
      <c r="BQ335" s="362" t="n">
        <v>4.04</v>
      </c>
      <c r="BR335" s="362" t="n">
        <v>20.2</v>
      </c>
      <c r="BS335" s="115" t="n"/>
      <c r="BT335" s="362">
        <f t="array" ref="BT335:BW335">_xlfn.HSTACK(SUM(INDEX($R335:$AV335,1,1):INDEX($R335:$AV335,1,7)),SUM(INDEX($R335:$AV335,1,7):INDEX($R335:$AV335,1,13)),SUM(INDEX($R335:$AV335,1,16):INDEX($R335:$AV335,1,23)),SUM(INDEX($R335:$AV335,1,23):INDEX($R335:$AV335,1,31)))</f>
        <v/>
      </c>
      <c r="BU335" s="362" t="n">
        <v>0</v>
      </c>
      <c r="BV335" s="362" t="n">
        <v>0</v>
      </c>
      <c r="BW335" s="362" t="n">
        <v>0</v>
      </c>
      <c r="BY335" s="362">
        <f>SUM(R335:X335)</f>
        <v/>
      </c>
      <c r="BZ335" s="362">
        <f>SUM(Y335:AE335)</f>
        <v/>
      </c>
      <c r="CA335" s="362">
        <f>SUM(AF335:AM335)</f>
        <v/>
      </c>
      <c r="CB335" s="362">
        <f>SUM(AN335:AV335)</f>
        <v/>
      </c>
      <c r="CD335" s="390" t="n"/>
      <c r="CE335" s="362">
        <f>ROUND(BY335*$O335/1000,2)</f>
        <v/>
      </c>
      <c r="CF335" s="362">
        <f>ROUND(BZ335*$O335/1000,2)</f>
        <v/>
      </c>
      <c r="CG335" s="362">
        <f>ROUND(CA335*$O335/1000,2)</f>
        <v/>
      </c>
      <c r="CH335" s="362">
        <f>ROUND(CB335*$O335/1000,2)</f>
        <v/>
      </c>
      <c r="CI335" s="362">
        <f>SUM(CE335:CH335)</f>
        <v/>
      </c>
      <c r="CJ335" s="390" t="n"/>
      <c r="CK335" s="362">
        <f>IFERROR(ROUND(BY335*$P335,2),"")</f>
        <v/>
      </c>
      <c r="CL335" s="362">
        <f>IFERROR(ROUND(BZ335*$P335,2),"")</f>
        <v/>
      </c>
      <c r="CM335" s="362">
        <f>IFERROR(ROUND(CA335*$P335,2),"")</f>
        <v/>
      </c>
      <c r="CN335" s="362">
        <f>IFERROR(ROUND(CB335*$P335,2),"")</f>
        <v/>
      </c>
      <c r="CO335" s="362">
        <f>SUM(CK335:CN335)</f>
        <v/>
      </c>
    </row>
    <row r="336" hidden="1" customFormat="1" s="362">
      <c r="A336" s="331" t="n"/>
      <c r="B336" s="344">
        <f>_xlfn.XLOOKUP(G336,销售需求表!A:A,销售需求表!C:C)</f>
        <v/>
      </c>
      <c r="C336" s="345">
        <f>IFERROR(MID(F336,FIND("R",F336)+1,2),"")</f>
        <v/>
      </c>
      <c r="D336" s="368">
        <f>B336&amp;C336&amp;"寸"</f>
        <v/>
      </c>
      <c r="E336" s="346">
        <f>LEFT(REPLACE(G336,1,2,""),FIND("[",REPLACE(G336,1,2,""))-1)&amp;"-"&amp;MID(REPLACE(G336,1,2,""),FIND("[",REPLACE(G336,1,2,""))+1,FIND("]",REPLACE(G336,1,2,""))-FIND("[",REPLACE(G336,1,2,""))-1)</f>
        <v/>
      </c>
      <c r="F336" s="346">
        <f>IFERROR(IFERROR(SUBSTITUTE(E336,"("&amp;MID(E336,FIND("(",E336)+1,FIND(")",E336)-FIND("(",E336)-1)&amp;")",""),E336),"")</f>
        <v/>
      </c>
      <c r="G336" s="346" t="n"/>
      <c r="H336" s="344" t="n"/>
      <c r="I336" s="348" t="n"/>
      <c r="J336" s="349">
        <f>IFERROR(LEFT(F336,FIND("-",F336))&amp;MID(F336,FIND("PR",F336,FIND("-",F336))+3,LEN(F336)),F336)</f>
        <v/>
      </c>
      <c r="K336" s="352">
        <f>_xlfn.XLOOKUP(F336,投产规格!E:E,投产规格!D:D,"未投产")</f>
        <v/>
      </c>
      <c r="L336" s="352">
        <f>IFERROR(_xlfn.XLOOKUP(F336,硫化工艺!B:B,硫化工艺!C:C),"")</f>
        <v/>
      </c>
      <c r="M336" s="430">
        <f>IF(L336="","",L336/(L336+$L$1/60))</f>
        <v/>
      </c>
      <c r="N336" s="352">
        <f>C336&amp;"全钢"</f>
        <v/>
      </c>
      <c r="O336" s="352">
        <f>IFERROR(_xlfn.XLOOKUP(F336,轮胎重量!J:J,轮胎重量!G:G),"")</f>
        <v/>
      </c>
      <c r="P336" s="358">
        <f>O336*13.9</f>
        <v/>
      </c>
      <c r="Q336" s="352">
        <f>IFERROR(ROUND(1440/L336*(I336)*M336,0),"")</f>
        <v/>
      </c>
      <c r="R336" s="352" t="n"/>
      <c r="S336" s="352" t="n"/>
      <c r="T336" s="352" t="n"/>
      <c r="U336" s="352" t="n"/>
      <c r="V336" s="352" t="n"/>
      <c r="W336" s="352" t="n"/>
      <c r="X336" s="352" t="n"/>
      <c r="Y336" s="352" t="n"/>
      <c r="Z336" s="352" t="n"/>
      <c r="AA336" s="352" t="n"/>
      <c r="AB336" s="352" t="n"/>
      <c r="AC336" s="352" t="n"/>
      <c r="AD336" s="352" t="n"/>
      <c r="AE336" s="352" t="n"/>
      <c r="AF336" s="352" t="n"/>
      <c r="AG336" s="352" t="n"/>
      <c r="AH336" s="352" t="n"/>
      <c r="AI336" s="352" t="n"/>
      <c r="AJ336" s="352" t="n"/>
      <c r="AK336" s="352" t="n"/>
      <c r="AL336" s="352" t="n"/>
      <c r="AM336" s="352" t="n"/>
      <c r="AN336" s="352" t="n"/>
      <c r="AO336" s="352" t="n"/>
      <c r="AP336" s="352" t="n"/>
      <c r="AQ336" s="352" t="n"/>
      <c r="AR336" s="352" t="n"/>
      <c r="AS336" s="352" t="n"/>
      <c r="AT336" s="352" t="n"/>
      <c r="AU336" s="352" t="n"/>
      <c r="AV336" s="352" t="n"/>
      <c r="AW336" s="352">
        <f>IF(SUM(R336:AV336)=0,"",SUM(R336:AV336))</f>
        <v/>
      </c>
      <c r="AX336" s="431">
        <f>IFERROR(AW336*O336/1000,"")</f>
        <v/>
      </c>
      <c r="AY336" s="431">
        <f>IFERROR(ROUND(AW336*P336/10000,3),"")</f>
        <v/>
      </c>
      <c r="AZ336" s="354" t="n">
        <v>864.55</v>
      </c>
      <c r="BA336" s="355" t="n">
        <v>53.34</v>
      </c>
      <c r="BB336" s="355" t="n">
        <v>78.72</v>
      </c>
      <c r="BC336" s="355" t="n">
        <v>86.44</v>
      </c>
      <c r="BD336" s="331" t="n"/>
      <c r="BE336" s="331">
        <f>AZ336*AW336</f>
        <v/>
      </c>
      <c r="BF336" s="331">
        <f>BA336*AW336</f>
        <v/>
      </c>
      <c r="BG336" s="331">
        <f>BB336*AW336</f>
        <v/>
      </c>
      <c r="BH336" s="331">
        <f>BC336*AW336</f>
        <v/>
      </c>
      <c r="BI336" s="331" t="n"/>
      <c r="BJ336" s="356">
        <f t="array" ref="BJ336:BM336">_xlfn.LET(_xlpm.data,$R336:$AV336,_xlpm.starts,{1,8,16,23},_xlpm.lengths,{7,7,8,9},_xlpm.arr,_xlfn.MAP(_xlpm.starts,_xlpm.lengths,_xlfn.LAMBDA(_xlpm.s,_xlpm.l,SUM(INDEX(_xlpm.data,,_xlfn.SEQUENCE(,_xlpm.l,_xlpm.s))))),ROUND(_xlpm.arr*$O336/1000,2))</f>
        <v/>
      </c>
      <c r="BK336" s="331" t="n">
        <v>0</v>
      </c>
      <c r="BL336" s="331" t="n">
        <v>0</v>
      </c>
      <c r="BM336" s="331" t="n">
        <v>0</v>
      </c>
      <c r="BN336" s="362">
        <f>SUM(BJ336:BM336)</f>
        <v/>
      </c>
      <c r="BO336" s="362" t="n">
        <v>0</v>
      </c>
      <c r="BP336" s="362" t="n">
        <v>0</v>
      </c>
      <c r="BQ336" s="362" t="n">
        <v>0</v>
      </c>
      <c r="BR336" s="362" t="n">
        <v>15.99</v>
      </c>
      <c r="BS336" s="115" t="n"/>
      <c r="BT336" s="362">
        <f t="array" ref="BT336:BW336">_xlfn.HSTACK(SUM(INDEX($R336:$AV336,1,1):INDEX($R336:$AV336,1,7)),SUM(INDEX($R336:$AV336,1,7):INDEX($R336:$AV336,1,13)),SUM(INDEX($R336:$AV336,1,16):INDEX($R336:$AV336,1,23)),SUM(INDEX($R336:$AV336,1,23):INDEX($R336:$AV336,1,31)))</f>
        <v/>
      </c>
      <c r="BU336" s="362" t="n">
        <v>0</v>
      </c>
      <c r="BV336" s="362" t="n">
        <v>0</v>
      </c>
      <c r="BW336" s="362" t="n">
        <v>0</v>
      </c>
      <c r="BY336" s="362">
        <f>SUM(R336:X336)</f>
        <v/>
      </c>
      <c r="BZ336" s="362">
        <f>SUM(Y336:AE336)</f>
        <v/>
      </c>
      <c r="CA336" s="362">
        <f>SUM(AF336:AM336)</f>
        <v/>
      </c>
      <c r="CB336" s="362">
        <f>SUM(AN336:AV336)</f>
        <v/>
      </c>
      <c r="CD336" s="390" t="n"/>
      <c r="CE336" s="362">
        <f>ROUND(BY336*$O336/1000,2)</f>
        <v/>
      </c>
      <c r="CF336" s="362">
        <f>ROUND(BZ336*$O336/1000,2)</f>
        <v/>
      </c>
      <c r="CG336" s="362">
        <f>ROUND(CA336*$O336/1000,2)</f>
        <v/>
      </c>
      <c r="CH336" s="362">
        <f>ROUND(CB336*$O336/1000,2)</f>
        <v/>
      </c>
      <c r="CI336" s="362">
        <f>SUM(CE336:CH336)</f>
        <v/>
      </c>
      <c r="CJ336" s="390" t="n"/>
      <c r="CK336" s="362">
        <f>IFERROR(ROUND(BY336*$P336,2),"")</f>
        <v/>
      </c>
      <c r="CL336" s="362">
        <f>IFERROR(ROUND(BZ336*$P336,2),"")</f>
        <v/>
      </c>
      <c r="CM336" s="362">
        <f>IFERROR(ROUND(CA336*$P336,2),"")</f>
        <v/>
      </c>
      <c r="CN336" s="362">
        <f>IFERROR(ROUND(CB336*$P336,2),"")</f>
        <v/>
      </c>
      <c r="CO336" s="362">
        <f>SUM(CK336:CN336)</f>
        <v/>
      </c>
    </row>
    <row r="337" hidden="1" customFormat="1" s="362">
      <c r="A337" s="331" t="n"/>
      <c r="B337" s="344">
        <f>_xlfn.XLOOKUP(G337,销售需求表!A:A,销售需求表!C:C)</f>
        <v/>
      </c>
      <c r="C337" s="345">
        <f>IFERROR(MID(F337,FIND("R",F337)+1,2),"")</f>
        <v/>
      </c>
      <c r="D337" s="368">
        <f>B337&amp;C337&amp;"寸"</f>
        <v/>
      </c>
      <c r="E337" s="346">
        <f>LEFT(REPLACE(G337,1,2,""),FIND("[",REPLACE(G337,1,2,""))-1)&amp;"-"&amp;MID(REPLACE(G337,1,2,""),FIND("[",REPLACE(G337,1,2,""))+1,FIND("]",REPLACE(G337,1,2,""))-FIND("[",REPLACE(G337,1,2,""))-1)</f>
        <v/>
      </c>
      <c r="F337" s="346">
        <f>IFERROR(IFERROR(SUBSTITUTE(E337,"("&amp;MID(E337,FIND("(",E337)+1,FIND(")",E337)-FIND("(",E337)-1)&amp;")",""),E337),"")</f>
        <v/>
      </c>
      <c r="G337" s="346" t="n"/>
      <c r="H337" s="344" t="n"/>
      <c r="I337" s="348" t="n"/>
      <c r="J337" s="349">
        <f>IFERROR(LEFT(F337,FIND("-",F337))&amp;MID(F337,FIND("PR",F337,FIND("-",F337))+3,LEN(F337)),F337)</f>
        <v/>
      </c>
      <c r="K337" s="352">
        <f>_xlfn.XLOOKUP(F337,投产规格!E:E,投产规格!D:D,"未投产")</f>
        <v/>
      </c>
      <c r="L337" s="352">
        <f>IFERROR(_xlfn.XLOOKUP(F337,硫化工艺!B:B,硫化工艺!C:C),"")</f>
        <v/>
      </c>
      <c r="M337" s="430">
        <f>IF(L337="","",L337/(L337+$L$1/60))</f>
        <v/>
      </c>
      <c r="N337" s="352">
        <f>C337&amp;"全钢"</f>
        <v/>
      </c>
      <c r="O337" s="352">
        <f>IFERROR(_xlfn.XLOOKUP(F337,轮胎重量!J:J,轮胎重量!G:G),"")</f>
        <v/>
      </c>
      <c r="P337" s="358">
        <f>O337*13.9</f>
        <v/>
      </c>
      <c r="Q337" s="352">
        <f>IFERROR(ROUND(1440/L337*(I337)*M337,0),"")</f>
        <v/>
      </c>
      <c r="R337" s="352" t="n"/>
      <c r="S337" s="352" t="n"/>
      <c r="T337" s="352" t="n"/>
      <c r="U337" s="352" t="n"/>
      <c r="V337" s="352" t="n"/>
      <c r="W337" s="352" t="n"/>
      <c r="X337" s="352" t="n"/>
      <c r="Y337" s="352" t="n"/>
      <c r="Z337" s="352" t="n"/>
      <c r="AA337" s="352" t="n"/>
      <c r="AB337" s="352" t="n"/>
      <c r="AC337" s="352" t="n"/>
      <c r="AD337" s="352" t="n"/>
      <c r="AE337" s="352" t="n"/>
      <c r="AF337" s="352" t="n"/>
      <c r="AG337" s="352" t="n"/>
      <c r="AH337" s="352" t="n"/>
      <c r="AI337" s="352" t="n"/>
      <c r="AJ337" s="352" t="n"/>
      <c r="AK337" s="352" t="n"/>
      <c r="AL337" s="352" t="n"/>
      <c r="AM337" s="352" t="n"/>
      <c r="AN337" s="352" t="n"/>
      <c r="AO337" s="352" t="n"/>
      <c r="AP337" s="352" t="n"/>
      <c r="AQ337" s="352" t="n"/>
      <c r="AR337" s="352" t="n"/>
      <c r="AS337" s="352" t="n"/>
      <c r="AT337" s="352" t="n"/>
      <c r="AU337" s="352" t="n"/>
      <c r="AV337" s="352" t="n"/>
      <c r="AW337" s="352">
        <f>IF(SUM(R337:AV337)=0,"",SUM(R337:AV337))</f>
        <v/>
      </c>
      <c r="AX337" s="431">
        <f>IFERROR(AW337*O337/1000,"")</f>
        <v/>
      </c>
      <c r="AY337" s="431">
        <f>IFERROR(ROUND(AW337*P337/10000,3),"")</f>
        <v/>
      </c>
      <c r="AZ337" s="354" t="n">
        <v>864.55</v>
      </c>
      <c r="BA337" s="355" t="n">
        <v>53.34</v>
      </c>
      <c r="BB337" s="355" t="n">
        <v>78.72</v>
      </c>
      <c r="BC337" s="355" t="n">
        <v>86.44</v>
      </c>
      <c r="BD337" s="331" t="n"/>
      <c r="BE337" s="331">
        <f>AZ337*AW337</f>
        <v/>
      </c>
      <c r="BF337" s="331">
        <f>BA337*AW337</f>
        <v/>
      </c>
      <c r="BG337" s="331">
        <f>BB337*AW337</f>
        <v/>
      </c>
      <c r="BH337" s="331">
        <f>BC337*AW337</f>
        <v/>
      </c>
      <c r="BI337" s="331" t="n"/>
      <c r="BJ337" s="356">
        <f t="array" ref="BJ337:BM337">_xlfn.LET(_xlpm.data,$R337:$AV337,_xlpm.starts,{1,8,16,23},_xlpm.lengths,{7,7,8,9},_xlpm.arr,_xlfn.MAP(_xlpm.starts,_xlpm.lengths,_xlfn.LAMBDA(_xlpm.s,_xlpm.l,SUM(INDEX(_xlpm.data,,_xlfn.SEQUENCE(,_xlpm.l,_xlpm.s))))),ROUND(_xlpm.arr*$O337/1000,2))</f>
        <v/>
      </c>
      <c r="BK337" s="331" t="n">
        <v>0</v>
      </c>
      <c r="BL337" s="331" t="n">
        <v>0</v>
      </c>
      <c r="BM337" s="331" t="n">
        <v>0</v>
      </c>
      <c r="BN337" s="362">
        <f>SUM(BJ337:BM337)</f>
        <v/>
      </c>
      <c r="BO337" s="362" t="n">
        <v>0</v>
      </c>
      <c r="BP337" s="362" t="n">
        <v>0</v>
      </c>
      <c r="BQ337" s="362" t="n">
        <v>0</v>
      </c>
      <c r="BR337" s="362" t="n">
        <v>0</v>
      </c>
      <c r="BS337" s="115" t="n"/>
      <c r="BT337" s="362">
        <f t="array" ref="BT337:BW337">_xlfn.HSTACK(SUM(INDEX($R337:$AV337,1,1):INDEX($R337:$AV337,1,7)),SUM(INDEX($R337:$AV337,1,7):INDEX($R337:$AV337,1,13)),SUM(INDEX($R337:$AV337,1,16):INDEX($R337:$AV337,1,23)),SUM(INDEX($R337:$AV337,1,23):INDEX($R337:$AV337,1,31)))</f>
        <v/>
      </c>
      <c r="BU337" s="362" t="n">
        <v>0</v>
      </c>
      <c r="BV337" s="362" t="n">
        <v>0</v>
      </c>
      <c r="BW337" s="362" t="n">
        <v>0</v>
      </c>
      <c r="BY337" s="362">
        <f>SUM(R337:X337)</f>
        <v/>
      </c>
      <c r="BZ337" s="362">
        <f>SUM(Y337:AE337)</f>
        <v/>
      </c>
      <c r="CA337" s="362">
        <f>SUM(AF337:AM337)</f>
        <v/>
      </c>
      <c r="CB337" s="362">
        <f>SUM(AN337:AV337)</f>
        <v/>
      </c>
      <c r="CD337" s="390" t="n"/>
      <c r="CE337" s="362">
        <f>ROUND(BY337*$O337/1000,2)</f>
        <v/>
      </c>
      <c r="CF337" s="362">
        <f>ROUND(BZ337*$O337/1000,2)</f>
        <v/>
      </c>
      <c r="CG337" s="362">
        <f>ROUND(CA337*$O337/1000,2)</f>
        <v/>
      </c>
      <c r="CH337" s="362">
        <f>ROUND(CB337*$O337/1000,2)</f>
        <v/>
      </c>
      <c r="CI337" s="362">
        <f>SUM(CE337:CH337)</f>
        <v/>
      </c>
      <c r="CJ337" s="390" t="n"/>
      <c r="CK337" s="362">
        <f>IFERROR(ROUND(BY337*$P337,2),"")</f>
        <v/>
      </c>
      <c r="CL337" s="362">
        <f>IFERROR(ROUND(BZ337*$P337,2),"")</f>
        <v/>
      </c>
      <c r="CM337" s="362">
        <f>IFERROR(ROUND(CA337*$P337,2),"")</f>
        <v/>
      </c>
      <c r="CN337" s="362">
        <f>IFERROR(ROUND(CB337*$P337,2),"")</f>
        <v/>
      </c>
      <c r="CO337" s="362">
        <f>SUM(CK337:CN337)</f>
        <v/>
      </c>
    </row>
    <row r="338" hidden="1" customFormat="1" s="362">
      <c r="A338" s="331" t="n"/>
      <c r="B338" s="344">
        <f>_xlfn.XLOOKUP(G338,销售需求表!A:A,销售需求表!C:C)</f>
        <v/>
      </c>
      <c r="C338" s="345">
        <f>IFERROR(MID(F338,FIND("R",F338)+1,2),"")</f>
        <v/>
      </c>
      <c r="D338" s="368">
        <f>B338&amp;C338&amp;"寸"</f>
        <v/>
      </c>
      <c r="E338" s="346">
        <f>LEFT(REPLACE(G338,1,2,""),FIND("[",REPLACE(G338,1,2,""))-1)&amp;"-"&amp;MID(REPLACE(G338,1,2,""),FIND("[",REPLACE(G338,1,2,""))+1,FIND("]",REPLACE(G338,1,2,""))-FIND("[",REPLACE(G338,1,2,""))-1)</f>
        <v/>
      </c>
      <c r="F338" s="346">
        <f>IFERROR(IFERROR(SUBSTITUTE(E338,"("&amp;MID(E338,FIND("(",E338)+1,FIND(")",E338)-FIND("(",E338)-1)&amp;")",""),E338),"")</f>
        <v/>
      </c>
      <c r="G338" s="346" t="n"/>
      <c r="H338" s="344" t="n"/>
      <c r="I338" s="348" t="n"/>
      <c r="J338" s="349">
        <f>IFERROR(LEFT(F338,FIND("-",F338))&amp;MID(F338,FIND("PR",F338,FIND("-",F338))+3,LEN(F338)),F338)</f>
        <v/>
      </c>
      <c r="K338" s="352">
        <f>_xlfn.XLOOKUP(F338,投产规格!E:E,投产规格!D:D,"未投产")</f>
        <v/>
      </c>
      <c r="L338" s="352">
        <f>IFERROR(_xlfn.XLOOKUP(F338,硫化工艺!B:B,硫化工艺!C:C),"")</f>
        <v/>
      </c>
      <c r="M338" s="430">
        <f>IF(L338="","",L338/(L338+$L$1/60))</f>
        <v/>
      </c>
      <c r="N338" s="352">
        <f>C338&amp;"全钢"</f>
        <v/>
      </c>
      <c r="O338" s="352">
        <f>IFERROR(_xlfn.XLOOKUP(F338,轮胎重量!J:J,轮胎重量!G:G),"")</f>
        <v/>
      </c>
      <c r="P338" s="352">
        <f>IFERROR(_xlfn.XLOOKUP(F338,硫化工艺!I:I,硫化工艺!J:J),"")</f>
        <v/>
      </c>
      <c r="Q338" s="352">
        <f>IFERROR(ROUND(1440/L338*(I338)*M338,0),"")</f>
        <v/>
      </c>
      <c r="R338" s="352" t="n"/>
      <c r="S338" s="352" t="n"/>
      <c r="T338" s="352" t="n"/>
      <c r="U338" s="352" t="n"/>
      <c r="V338" s="352" t="n"/>
      <c r="W338" s="352" t="n"/>
      <c r="X338" s="352" t="n"/>
      <c r="Y338" s="352" t="n"/>
      <c r="Z338" s="352" t="n"/>
      <c r="AA338" s="352" t="n"/>
      <c r="AB338" s="352" t="n"/>
      <c r="AC338" s="352" t="n"/>
      <c r="AD338" s="352" t="n"/>
      <c r="AE338" s="352" t="n"/>
      <c r="AF338" s="352" t="n"/>
      <c r="AG338" s="352" t="n"/>
      <c r="AH338" s="352" t="n"/>
      <c r="AI338" s="352" t="n"/>
      <c r="AJ338" s="352" t="n"/>
      <c r="AK338" s="352" t="n"/>
      <c r="AL338" s="352" t="n"/>
      <c r="AM338" s="352" t="n"/>
      <c r="AN338" s="352" t="n"/>
      <c r="AO338" s="352" t="n"/>
      <c r="AP338" s="352" t="n"/>
      <c r="AQ338" s="352" t="n"/>
      <c r="AR338" s="352" t="n"/>
      <c r="AS338" s="352" t="n"/>
      <c r="AT338" s="352" t="n"/>
      <c r="AU338" s="352" t="n"/>
      <c r="AV338" s="352" t="n"/>
      <c r="AW338" s="352">
        <f>IF(SUM(R338:AV338)=0,"",SUM(R338:AV338))</f>
        <v/>
      </c>
      <c r="AX338" s="431">
        <f>IFERROR(AW338*O338/1000,"")</f>
        <v/>
      </c>
      <c r="AY338" s="431">
        <f>IFERROR(ROUND(AW338*P338/10000,3),"")</f>
        <v/>
      </c>
      <c r="AZ338" s="354" t="n">
        <v>864.55</v>
      </c>
      <c r="BA338" s="355" t="n">
        <v>53.34</v>
      </c>
      <c r="BB338" s="355" t="n">
        <v>78.72</v>
      </c>
      <c r="BC338" s="355" t="n">
        <v>86.44</v>
      </c>
      <c r="BD338" s="331" t="n"/>
      <c r="BE338" s="331">
        <f>AZ338*AW338</f>
        <v/>
      </c>
      <c r="BF338" s="331">
        <f>BA338*AW338</f>
        <v/>
      </c>
      <c r="BG338" s="331">
        <f>BB338*AW338</f>
        <v/>
      </c>
      <c r="BH338" s="331">
        <f>BC338*AW338</f>
        <v/>
      </c>
      <c r="BI338" s="331" t="n"/>
      <c r="BJ338" s="356">
        <f t="array" ref="BJ338:BM338">_xlfn.LET(_xlpm.data,$R338:$AV338,_xlpm.starts,{1,8,16,23},_xlpm.lengths,{7,7,8,9},_xlpm.arr,_xlfn.MAP(_xlpm.starts,_xlpm.lengths,_xlfn.LAMBDA(_xlpm.s,_xlpm.l,SUM(INDEX(_xlpm.data,,_xlfn.SEQUENCE(,_xlpm.l,_xlpm.s))))),ROUND(_xlpm.arr*$O338/1000,2))</f>
        <v/>
      </c>
      <c r="BK338" s="331" t="n">
        <v>0</v>
      </c>
      <c r="BL338" s="331" t="n">
        <v>0</v>
      </c>
      <c r="BM338" s="331" t="n">
        <v>0</v>
      </c>
      <c r="BN338" s="362">
        <f>SUM(BJ338:BM338)</f>
        <v/>
      </c>
      <c r="BO338" s="362" t="n">
        <v>0</v>
      </c>
      <c r="BP338" s="362" t="n">
        <v>0</v>
      </c>
      <c r="BQ338" s="362" t="n">
        <v>0</v>
      </c>
      <c r="BR338" s="362" t="n">
        <v>0</v>
      </c>
      <c r="BS338" s="115" t="n"/>
      <c r="BT338" s="362">
        <f t="array" ref="BT338:BW338">_xlfn.HSTACK(SUM(INDEX($R338:$AV338,1,1):INDEX($R338:$AV338,1,7)),SUM(INDEX($R338:$AV338,1,7):INDEX($R338:$AV338,1,13)),SUM(INDEX($R338:$AV338,1,16):INDEX($R338:$AV338,1,23)),SUM(INDEX($R338:$AV338,1,23):INDEX($R338:$AV338,1,31)))</f>
        <v/>
      </c>
      <c r="BU338" s="362" t="n">
        <v>0</v>
      </c>
      <c r="BV338" s="362" t="n">
        <v>0</v>
      </c>
      <c r="BW338" s="362" t="n">
        <v>0</v>
      </c>
      <c r="BY338" s="362">
        <f>SUM(R338:X338)</f>
        <v/>
      </c>
      <c r="BZ338" s="362">
        <f>SUM(Y338:AE338)</f>
        <v/>
      </c>
      <c r="CA338" s="362">
        <f>SUM(AF338:AM338)</f>
        <v/>
      </c>
      <c r="CB338" s="362">
        <f>SUM(AN338:AV338)</f>
        <v/>
      </c>
      <c r="CD338" s="390" t="n"/>
      <c r="CE338" s="362">
        <f>ROUND(BY338*$O338/1000,2)</f>
        <v/>
      </c>
      <c r="CF338" s="362">
        <f>ROUND(BZ338*$O338/1000,2)</f>
        <v/>
      </c>
      <c r="CG338" s="362">
        <f>ROUND(CA338*$O338/1000,2)</f>
        <v/>
      </c>
      <c r="CH338" s="362">
        <f>ROUND(CB338*$O338/1000,2)</f>
        <v/>
      </c>
      <c r="CI338" s="362">
        <f>SUM(CE338:CH338)</f>
        <v/>
      </c>
      <c r="CJ338" s="390" t="n"/>
      <c r="CK338" s="362">
        <f>IFERROR(ROUND(BY338*$P338,2),"")</f>
        <v/>
      </c>
      <c r="CL338" s="362">
        <f>IFERROR(ROUND(BZ338*$P338,2),"")</f>
        <v/>
      </c>
      <c r="CM338" s="362">
        <f>IFERROR(ROUND(CA338*$P338,2),"")</f>
        <v/>
      </c>
      <c r="CN338" s="362">
        <f>IFERROR(ROUND(CB338*$P338,2),"")</f>
        <v/>
      </c>
      <c r="CO338" s="362">
        <f>SUM(CK338:CN338)</f>
        <v/>
      </c>
    </row>
    <row r="339" hidden="1" customFormat="1" s="362">
      <c r="A339" s="331" t="n"/>
      <c r="B339" s="344">
        <f>_xlfn.XLOOKUP(G339,销售需求表!A:A,销售需求表!C:C)</f>
        <v/>
      </c>
      <c r="C339" s="345">
        <f>IFERROR(MID(F339,FIND("R",F339)+1,2),"")</f>
        <v/>
      </c>
      <c r="D339" s="368">
        <f>B339&amp;C339&amp;"寸"</f>
        <v/>
      </c>
      <c r="E339" s="346">
        <f>LEFT(REPLACE(G339,1,2,""),FIND("[",REPLACE(G339,1,2,""))-1)&amp;"-"&amp;MID(REPLACE(G339,1,2,""),FIND("[",REPLACE(G339,1,2,""))+1,FIND("]",REPLACE(G339,1,2,""))-FIND("[",REPLACE(G339,1,2,""))-1)</f>
        <v/>
      </c>
      <c r="F339" s="346">
        <f>IFERROR(IFERROR(SUBSTITUTE(E339,"("&amp;MID(E339,FIND("(",E339)+1,FIND(")",E339)-FIND("(",E339)-1)&amp;")",""),E339),"")</f>
        <v/>
      </c>
      <c r="G339" s="346" t="n"/>
      <c r="H339" s="344" t="n"/>
      <c r="I339" s="348" t="n"/>
      <c r="J339" s="349">
        <f>IFERROR(LEFT(F339,FIND("-",F339))&amp;MID(F339,FIND("PR",F339,FIND("-",F339))+3,LEN(F339)),F339)</f>
        <v/>
      </c>
      <c r="K339" s="352">
        <f>_xlfn.XLOOKUP(F339,投产规格!E:E,投产规格!D:D,"未投产")</f>
        <v/>
      </c>
      <c r="L339" s="352">
        <f>IFERROR(_xlfn.XLOOKUP(F339,硫化工艺!B:B,硫化工艺!C:C),"")</f>
        <v/>
      </c>
      <c r="M339" s="430">
        <f>IF(L339="","",L339/(L339+$L$1/60))</f>
        <v/>
      </c>
      <c r="N339" s="352">
        <f>C339&amp;"全钢"</f>
        <v/>
      </c>
      <c r="O339" s="352">
        <f>IFERROR(_xlfn.XLOOKUP(F339,轮胎重量!J:J,轮胎重量!G:G),"")</f>
        <v/>
      </c>
      <c r="P339" s="358">
        <f>O339*13.9</f>
        <v/>
      </c>
      <c r="Q339" s="352">
        <f>IFERROR(ROUND(1440/L339*(I339)*M339,0),"")</f>
        <v/>
      </c>
      <c r="R339" s="352" t="n"/>
      <c r="S339" s="352" t="n"/>
      <c r="T339" s="352" t="n"/>
      <c r="U339" s="352" t="n"/>
      <c r="V339" s="352" t="n"/>
      <c r="W339" s="352" t="n"/>
      <c r="X339" s="352" t="n"/>
      <c r="Y339" s="352" t="n"/>
      <c r="Z339" s="352" t="n"/>
      <c r="AA339" s="352" t="n"/>
      <c r="AB339" s="352" t="n"/>
      <c r="AC339" s="352" t="n"/>
      <c r="AD339" s="352" t="n"/>
      <c r="AE339" s="352" t="n"/>
      <c r="AF339" s="352" t="n"/>
      <c r="AG339" s="352" t="n"/>
      <c r="AH339" s="352" t="n"/>
      <c r="AI339" s="352" t="n"/>
      <c r="AJ339" s="352" t="n"/>
      <c r="AK339" s="352" t="n"/>
      <c r="AL339" s="352" t="n"/>
      <c r="AM339" s="352" t="n"/>
      <c r="AN339" s="352" t="n"/>
      <c r="AO339" s="352" t="n"/>
      <c r="AP339" s="352" t="n"/>
      <c r="AQ339" s="352" t="n"/>
      <c r="AR339" s="352" t="n"/>
      <c r="AS339" s="352" t="n"/>
      <c r="AT339" s="352" t="n"/>
      <c r="AU339" s="352" t="n"/>
      <c r="AV339" s="352" t="n"/>
      <c r="AW339" s="352">
        <f>IF(SUM(R339:AV339)=0,"",SUM(R339:AV339))</f>
        <v/>
      </c>
      <c r="AX339" s="431">
        <f>IFERROR(AW339*O339/1000,"")</f>
        <v/>
      </c>
      <c r="AY339" s="431">
        <f>IFERROR(ROUND(AW339*P339/10000,3),"")</f>
        <v/>
      </c>
      <c r="AZ339" s="354" t="n">
        <v>864.55</v>
      </c>
      <c r="BA339" s="355" t="n">
        <v>53.34</v>
      </c>
      <c r="BB339" s="355" t="n">
        <v>78.72</v>
      </c>
      <c r="BC339" s="355" t="n">
        <v>86.44</v>
      </c>
      <c r="BD339" s="331" t="n"/>
      <c r="BE339" s="331">
        <f>AZ339*AW339</f>
        <v/>
      </c>
      <c r="BF339" s="331">
        <f>BA339*AW339</f>
        <v/>
      </c>
      <c r="BG339" s="331">
        <f>BB339*AW339</f>
        <v/>
      </c>
      <c r="BH339" s="331">
        <f>BC339*AW339</f>
        <v/>
      </c>
      <c r="BI339" s="331" t="n"/>
      <c r="BJ339" s="356">
        <f t="array" ref="BJ339:BM339">_xlfn.LET(_xlpm.data,$R339:$AV339,_xlpm.starts,{1,8,16,23},_xlpm.lengths,{7,7,8,9},_xlpm.arr,_xlfn.MAP(_xlpm.starts,_xlpm.lengths,_xlfn.LAMBDA(_xlpm.s,_xlpm.l,SUM(INDEX(_xlpm.data,,_xlfn.SEQUENCE(,_xlpm.l,_xlpm.s))))),ROUND(_xlpm.arr*$O339/1000,2))</f>
        <v/>
      </c>
      <c r="BK339" s="331" t="n">
        <v>0</v>
      </c>
      <c r="BL339" s="331" t="n">
        <v>0</v>
      </c>
      <c r="BM339" s="331" t="n">
        <v>0</v>
      </c>
      <c r="BN339" s="362">
        <f>SUM(BJ339:BM339)</f>
        <v/>
      </c>
      <c r="BO339" s="362" t="n">
        <v>28.66</v>
      </c>
      <c r="BP339" s="362" t="n">
        <v>28.66</v>
      </c>
      <c r="BQ339" s="362" t="n">
        <v>32.76</v>
      </c>
      <c r="BR339" s="362" t="n">
        <v>36.85</v>
      </c>
      <c r="BS339" s="115" t="n"/>
      <c r="BT339" s="362">
        <f t="array" ref="BT339:BW339">_xlfn.HSTACK(SUM(INDEX($R339:$AV339,1,1):INDEX($R339:$AV339,1,7)),SUM(INDEX($R339:$AV339,1,7):INDEX($R339:$AV339,1,13)),SUM(INDEX($R339:$AV339,1,16):INDEX($R339:$AV339,1,23)),SUM(INDEX($R339:$AV339,1,23):INDEX($R339:$AV339,1,31)))</f>
        <v/>
      </c>
      <c r="BU339" s="362" t="n">
        <v>0</v>
      </c>
      <c r="BV339" s="362" t="n">
        <v>0</v>
      </c>
      <c r="BW339" s="362" t="n">
        <v>0</v>
      </c>
      <c r="BY339" s="362">
        <f>SUM(R339:X339)</f>
        <v/>
      </c>
      <c r="BZ339" s="362">
        <f>SUM(Y339:AE339)</f>
        <v/>
      </c>
      <c r="CA339" s="362">
        <f>SUM(AF339:AM339)</f>
        <v/>
      </c>
      <c r="CB339" s="362">
        <f>SUM(AN339:AV339)</f>
        <v/>
      </c>
      <c r="CD339" s="390" t="n"/>
      <c r="CE339" s="362">
        <f>ROUND(BY339*$O339/1000,2)</f>
        <v/>
      </c>
      <c r="CF339" s="362">
        <f>ROUND(BZ339*$O339/1000,2)</f>
        <v/>
      </c>
      <c r="CG339" s="362">
        <f>ROUND(CA339*$O339/1000,2)</f>
        <v/>
      </c>
      <c r="CH339" s="362">
        <f>ROUND(CB339*$O339/1000,2)</f>
        <v/>
      </c>
      <c r="CI339" s="362">
        <f>SUM(CE339:CH339)</f>
        <v/>
      </c>
      <c r="CJ339" s="390" t="n"/>
      <c r="CK339" s="362">
        <f>IFERROR(ROUND(BY339*$P339,2),"")</f>
        <v/>
      </c>
      <c r="CL339" s="362">
        <f>IFERROR(ROUND(BZ339*$P339,2),"")</f>
        <v/>
      </c>
      <c r="CM339" s="362">
        <f>IFERROR(ROUND(CA339*$P339,2),"")</f>
        <v/>
      </c>
      <c r="CN339" s="362">
        <f>IFERROR(ROUND(CB339*$P339,2),"")</f>
        <v/>
      </c>
      <c r="CO339" s="362">
        <f>SUM(CK339:CN339)</f>
        <v/>
      </c>
    </row>
    <row r="340" hidden="1" customFormat="1" s="362">
      <c r="A340" s="331" t="n"/>
      <c r="B340" s="344">
        <f>_xlfn.XLOOKUP(G340,销售需求表!A:A,销售需求表!C:C)</f>
        <v/>
      </c>
      <c r="C340" s="345">
        <f>IFERROR(MID(F340,FIND("R",F340)+1,2),"")</f>
        <v/>
      </c>
      <c r="D340" s="369">
        <f>B340&amp;C340&amp;"寸"</f>
        <v/>
      </c>
      <c r="E340" s="346">
        <f>LEFT(REPLACE(G340,1,2,""),FIND("[",REPLACE(G340,1,2,""))-1)&amp;"-"&amp;MID(REPLACE(G340,1,2,""),FIND("[",REPLACE(G340,1,2,""))+1,FIND("]",REPLACE(G340,1,2,""))-FIND("[",REPLACE(G340,1,2,""))-1)</f>
        <v/>
      </c>
      <c r="F340" s="346">
        <f>IFERROR(IFERROR(SUBSTITUTE(E340,"("&amp;MID(E340,FIND("(",E340)+1,FIND(")",E340)-FIND("(",E340)-1)&amp;")",""),E340),"")</f>
        <v/>
      </c>
      <c r="G340" s="346" t="n"/>
      <c r="H340" s="344" t="n"/>
      <c r="I340" s="348" t="n"/>
      <c r="J340" s="349">
        <f>IFERROR(LEFT(F340,FIND("-",F340))&amp;MID(F340,FIND("PR",F340,FIND("-",F340))+3,LEN(F340)),F340)</f>
        <v/>
      </c>
      <c r="K340" s="352">
        <f>_xlfn.XLOOKUP(F340,投产规格!E:E,投产规格!D:D,"未投产")</f>
        <v/>
      </c>
      <c r="L340" s="352">
        <f>IFERROR(_xlfn.XLOOKUP(F340,硫化工艺!B:B,硫化工艺!C:C),"")</f>
        <v/>
      </c>
      <c r="M340" s="430">
        <f>IF(L340="","",L340/(L340+$L$1/60))</f>
        <v/>
      </c>
      <c r="N340" s="352">
        <f>C340&amp;"全钢"</f>
        <v/>
      </c>
      <c r="O340" s="352">
        <f>IFERROR(_xlfn.XLOOKUP(F340,轮胎重量!J:J,轮胎重量!G:G),"")</f>
        <v/>
      </c>
      <c r="P340" s="352">
        <f>IFERROR(_xlfn.XLOOKUP(F340,硫化工艺!I:I,硫化工艺!J:J),"")</f>
        <v/>
      </c>
      <c r="Q340" s="352">
        <f>IFERROR(ROUND(1440/L340*(I340)*M340,0),"")</f>
        <v/>
      </c>
      <c r="R340" s="352" t="n"/>
      <c r="S340" s="352" t="n"/>
      <c r="T340" s="352" t="n"/>
      <c r="U340" s="352" t="n"/>
      <c r="V340" s="352" t="n"/>
      <c r="W340" s="352" t="n"/>
      <c r="X340" s="352" t="n"/>
      <c r="Y340" s="352" t="n"/>
      <c r="Z340" s="352" t="n"/>
      <c r="AA340" s="352" t="n"/>
      <c r="AB340" s="352" t="n"/>
      <c r="AC340" s="352" t="n"/>
      <c r="AD340" s="352" t="n"/>
      <c r="AE340" s="352" t="n"/>
      <c r="AF340" s="352" t="n"/>
      <c r="AG340" s="352" t="n"/>
      <c r="AH340" s="352" t="n"/>
      <c r="AI340" s="352" t="n"/>
      <c r="AJ340" s="352" t="n"/>
      <c r="AK340" s="352" t="n"/>
      <c r="AL340" s="352" t="n"/>
      <c r="AM340" s="352" t="n"/>
      <c r="AN340" s="352" t="n"/>
      <c r="AO340" s="352" t="n"/>
      <c r="AP340" s="352" t="n"/>
      <c r="AQ340" s="352" t="n"/>
      <c r="AR340" s="352" t="n"/>
      <c r="AS340" s="352" t="n"/>
      <c r="AT340" s="352" t="n"/>
      <c r="AU340" s="352" t="n"/>
      <c r="AV340" s="352" t="n"/>
      <c r="AW340" s="352">
        <f>IF(SUM(R340:AV340)=0,"",SUM(R340:AV340))</f>
        <v/>
      </c>
      <c r="AX340" s="431">
        <f>IFERROR(AW340*O340/1000,"")</f>
        <v/>
      </c>
      <c r="AY340" s="431">
        <f>IFERROR(ROUND(AW340*P340/10000,3),"")</f>
        <v/>
      </c>
      <c r="AZ340" s="354" t="n">
        <v>842.39</v>
      </c>
      <c r="BA340" s="355" t="n">
        <v>47.68</v>
      </c>
      <c r="BB340" s="355" t="n">
        <v>74.78</v>
      </c>
      <c r="BC340" s="355" t="n">
        <v>76.28</v>
      </c>
      <c r="BD340" s="331" t="n"/>
      <c r="BE340" s="331">
        <f>AZ340*AW340</f>
        <v/>
      </c>
      <c r="BF340" s="331">
        <f>BA340*AW340</f>
        <v/>
      </c>
      <c r="BG340" s="331">
        <f>BB340*AW340</f>
        <v/>
      </c>
      <c r="BH340" s="331">
        <f>BC340*AW340</f>
        <v/>
      </c>
      <c r="BI340" s="331" t="n"/>
      <c r="BJ340" s="356">
        <f t="array" ref="BJ340:BM340">_xlfn.LET(_xlpm.data,$R340:$AV340,_xlpm.starts,{1,8,16,23},_xlpm.lengths,{7,7,8,9},_xlpm.arr,_xlfn.MAP(_xlpm.starts,_xlpm.lengths,_xlfn.LAMBDA(_xlpm.s,_xlpm.l,SUM(INDEX(_xlpm.data,,_xlfn.SEQUENCE(,_xlpm.l,_xlpm.s))))),ROUND(_xlpm.arr*$O340/1000,2))</f>
        <v/>
      </c>
      <c r="BK340" s="331" t="n">
        <v>0</v>
      </c>
      <c r="BL340" s="331" t="n">
        <v>0</v>
      </c>
      <c r="BM340" s="331" t="n">
        <v>0</v>
      </c>
      <c r="BN340" s="362">
        <f>SUM(BJ340:BM340)</f>
        <v/>
      </c>
      <c r="BO340" s="362" t="n">
        <v>67.98</v>
      </c>
      <c r="BP340" s="362" t="n">
        <v>57.82</v>
      </c>
      <c r="BQ340" s="362" t="n">
        <v>0</v>
      </c>
      <c r="BR340" s="362" t="n">
        <v>0</v>
      </c>
      <c r="BS340" s="115" t="n"/>
      <c r="BT340" s="362">
        <f t="array" ref="BT340:BW340">_xlfn.HSTACK(SUM(INDEX($R340:$AV340,1,1):INDEX($R340:$AV340,1,7)),SUM(INDEX($R340:$AV340,1,7):INDEX($R340:$AV340,1,13)),SUM(INDEX($R340:$AV340,1,16):INDEX($R340:$AV340,1,23)),SUM(INDEX($R340:$AV340,1,23):INDEX($R340:$AV340,1,31)))</f>
        <v/>
      </c>
      <c r="BU340" s="362" t="n">
        <v>0</v>
      </c>
      <c r="BV340" s="362" t="n">
        <v>0</v>
      </c>
      <c r="BW340" s="362" t="n">
        <v>0</v>
      </c>
      <c r="BY340" s="362">
        <f>SUM(R340:X340)</f>
        <v/>
      </c>
      <c r="BZ340" s="362">
        <f>SUM(Y340:AE340)</f>
        <v/>
      </c>
      <c r="CA340" s="362">
        <f>SUM(AF340:AM340)</f>
        <v/>
      </c>
      <c r="CB340" s="362">
        <f>SUM(AN340:AV340)</f>
        <v/>
      </c>
      <c r="CD340" s="390" t="n"/>
      <c r="CE340" s="362">
        <f>ROUND(BY340*$O340/1000,2)</f>
        <v/>
      </c>
      <c r="CF340" s="362">
        <f>ROUND(BZ340*$O340/1000,2)</f>
        <v/>
      </c>
      <c r="CG340" s="362">
        <f>ROUND(CA340*$O340/1000,2)</f>
        <v/>
      </c>
      <c r="CH340" s="362">
        <f>ROUND(CB340*$O340/1000,2)</f>
        <v/>
      </c>
      <c r="CI340" s="362">
        <f>SUM(CE340:CH340)</f>
        <v/>
      </c>
      <c r="CJ340" s="390" t="n"/>
      <c r="CK340" s="362">
        <f>IFERROR(ROUND(BY340*$P340,2),"")</f>
        <v/>
      </c>
      <c r="CL340" s="362">
        <f>IFERROR(ROUND(BZ340*$P340,2),"")</f>
        <v/>
      </c>
      <c r="CM340" s="362">
        <f>IFERROR(ROUND(CA340*$P340,2),"")</f>
        <v/>
      </c>
      <c r="CN340" s="362">
        <f>IFERROR(ROUND(CB340*$P340,2),"")</f>
        <v/>
      </c>
      <c r="CO340" s="362">
        <f>SUM(CK340:CN340)</f>
        <v/>
      </c>
    </row>
    <row r="341" hidden="1" customFormat="1" s="362">
      <c r="A341" s="331" t="n"/>
      <c r="B341" s="344">
        <f>_xlfn.XLOOKUP(G341,销售需求表!A:A,销售需求表!C:C)</f>
        <v/>
      </c>
      <c r="C341" s="345">
        <f>IFERROR(MID(F341,FIND("R",F341)+1,2),"")</f>
        <v/>
      </c>
      <c r="D341" s="369">
        <f>B341&amp;C341&amp;"寸"</f>
        <v/>
      </c>
      <c r="E341" s="346">
        <f>LEFT(REPLACE(G341,1,2,""),FIND("[",REPLACE(G341,1,2,""))-1)&amp;"-"&amp;MID(REPLACE(G341,1,2,""),FIND("[",REPLACE(G341,1,2,""))+1,FIND("]",REPLACE(G341,1,2,""))-FIND("[",REPLACE(G341,1,2,""))-1)</f>
        <v/>
      </c>
      <c r="F341" s="346">
        <f>IFERROR(IFERROR(SUBSTITUTE(E341,"("&amp;MID(E341,FIND("(",E341)+1,FIND(")",E341)-FIND("(",E341)-1)&amp;")",""),E341),"")</f>
        <v/>
      </c>
      <c r="G341" s="346" t="n"/>
      <c r="H341" s="344" t="n"/>
      <c r="I341" s="348" t="n"/>
      <c r="J341" s="349">
        <f>IFERROR(LEFT(F341,FIND("-",F341))&amp;MID(F341,FIND("PR",F341,FIND("-",F341))+3,LEN(F341)),F341)</f>
        <v/>
      </c>
      <c r="K341" s="352">
        <f>_xlfn.XLOOKUP(F341,投产规格!E:E,投产规格!D:D,"未投产")</f>
        <v/>
      </c>
      <c r="L341" s="352">
        <f>IFERROR(_xlfn.XLOOKUP(F341,硫化工艺!B:B,硫化工艺!C:C),"")</f>
        <v/>
      </c>
      <c r="M341" s="430">
        <f>IF(L341="","",L341/(L341+$L$1/60))</f>
        <v/>
      </c>
      <c r="N341" s="352">
        <f>C341&amp;"全钢"</f>
        <v/>
      </c>
      <c r="O341" s="352">
        <f>IFERROR(_xlfn.XLOOKUP(F341,轮胎重量!J:J,轮胎重量!G:G),"")</f>
        <v/>
      </c>
      <c r="P341" s="358">
        <f>O341*13.9</f>
        <v/>
      </c>
      <c r="Q341" s="352">
        <f>IFERROR(ROUND(1440/L341*(I341)*M341,0),"")</f>
        <v/>
      </c>
      <c r="R341" s="352" t="n"/>
      <c r="S341" s="352" t="n"/>
      <c r="T341" s="352" t="n"/>
      <c r="U341" s="352" t="n"/>
      <c r="V341" s="352" t="n"/>
      <c r="W341" s="352" t="n"/>
      <c r="X341" s="352" t="n"/>
      <c r="Y341" s="352" t="n"/>
      <c r="Z341" s="352" t="n"/>
      <c r="AA341" s="352" t="n"/>
      <c r="AB341" s="352" t="n"/>
      <c r="AC341" s="352" t="n"/>
      <c r="AD341" s="352" t="n"/>
      <c r="AE341" s="352" t="n"/>
      <c r="AF341" s="352" t="n"/>
      <c r="AG341" s="352" t="n"/>
      <c r="AH341" s="352" t="n"/>
      <c r="AI341" s="352" t="n"/>
      <c r="AJ341" s="352" t="n"/>
      <c r="AK341" s="352" t="n"/>
      <c r="AL341" s="352" t="n"/>
      <c r="AM341" s="352" t="n"/>
      <c r="AN341" s="352" t="n"/>
      <c r="AO341" s="352" t="n"/>
      <c r="AP341" s="352" t="n"/>
      <c r="AQ341" s="352" t="n"/>
      <c r="AR341" s="352" t="n"/>
      <c r="AS341" s="352" t="n"/>
      <c r="AT341" s="352" t="n"/>
      <c r="AU341" s="352" t="n"/>
      <c r="AV341" s="352" t="n"/>
      <c r="AW341" s="352">
        <f>IF(SUM(R341:AV341)=0,"",SUM(R341:AV341))</f>
        <v/>
      </c>
      <c r="AX341" s="431">
        <f>IFERROR(AW341*O341/1000,"")</f>
        <v/>
      </c>
      <c r="AY341" s="431">
        <f>IFERROR(ROUND(AW341*P341/10000,3),"")</f>
        <v/>
      </c>
      <c r="AZ341" s="354" t="n">
        <v>842.39</v>
      </c>
      <c r="BA341" s="355" t="n">
        <v>47.68</v>
      </c>
      <c r="BB341" s="355" t="n">
        <v>74.78</v>
      </c>
      <c r="BC341" s="355" t="n">
        <v>76.28</v>
      </c>
      <c r="BD341" s="331" t="n"/>
      <c r="BE341" s="331">
        <f>AZ341*AW341</f>
        <v/>
      </c>
      <c r="BF341" s="331">
        <f>BA341*AW341</f>
        <v/>
      </c>
      <c r="BG341" s="331">
        <f>BB341*AW341</f>
        <v/>
      </c>
      <c r="BH341" s="331">
        <f>BC341*AW341</f>
        <v/>
      </c>
      <c r="BI341" s="331" t="n"/>
      <c r="BJ341" s="356">
        <f t="array" ref="BJ341:BM341">_xlfn.LET(_xlpm.data,$R341:$AV341,_xlpm.starts,{1,8,16,23},_xlpm.lengths,{7,7,8,9},_xlpm.arr,_xlfn.MAP(_xlpm.starts,_xlpm.lengths,_xlfn.LAMBDA(_xlpm.s,_xlpm.l,SUM(INDEX(_xlpm.data,,_xlfn.SEQUENCE(,_xlpm.l,_xlpm.s))))),ROUND(_xlpm.arr*$O341/1000,2))</f>
        <v/>
      </c>
      <c r="BK341" s="331" t="n">
        <v>0</v>
      </c>
      <c r="BL341" s="331" t="n">
        <v>0</v>
      </c>
      <c r="BM341" s="331" t="n">
        <v>0</v>
      </c>
      <c r="BN341" s="362">
        <f>SUM(BJ341:BM341)</f>
        <v/>
      </c>
      <c r="BO341" s="362" t="n">
        <v>67.98</v>
      </c>
      <c r="BP341" s="362" t="n">
        <v>57.82</v>
      </c>
      <c r="BQ341" s="362" t="n">
        <v>0</v>
      </c>
      <c r="BR341" s="362" t="n">
        <v>0</v>
      </c>
      <c r="BS341" s="115" t="n"/>
      <c r="BT341" s="362">
        <f t="array" ref="BT341:BW341">_xlfn.HSTACK(SUM(INDEX($R341:$AV341,1,1):INDEX($R341:$AV341,1,7)),SUM(INDEX($R341:$AV341,1,7):INDEX($R341:$AV341,1,13)),SUM(INDEX($R341:$AV341,1,16):INDEX($R341:$AV341,1,23)),SUM(INDEX($R341:$AV341,1,23):INDEX($R341:$AV341,1,31)))</f>
        <v/>
      </c>
      <c r="BU341" s="362" t="n">
        <v>0</v>
      </c>
      <c r="BV341" s="362" t="n">
        <v>0</v>
      </c>
      <c r="BW341" s="362" t="n">
        <v>0</v>
      </c>
      <c r="BY341" s="362">
        <f>SUM(R341:X341)</f>
        <v/>
      </c>
      <c r="BZ341" s="362">
        <f>SUM(Y341:AE341)</f>
        <v/>
      </c>
      <c r="CA341" s="362">
        <f>SUM(AF341:AM341)</f>
        <v/>
      </c>
      <c r="CB341" s="362">
        <f>SUM(AN341:AV341)</f>
        <v/>
      </c>
      <c r="CD341" s="390" t="n"/>
      <c r="CE341" s="362">
        <f>ROUND(BY341*$O341/1000,2)</f>
        <v/>
      </c>
      <c r="CF341" s="362">
        <f>ROUND(BZ341*$O341/1000,2)</f>
        <v/>
      </c>
      <c r="CG341" s="362">
        <f>ROUND(CA341*$O341/1000,2)</f>
        <v/>
      </c>
      <c r="CH341" s="362">
        <f>ROUND(CB341*$O341/1000,2)</f>
        <v/>
      </c>
      <c r="CI341" s="362">
        <f>SUM(CE341:CH341)</f>
        <v/>
      </c>
      <c r="CJ341" s="390" t="n"/>
      <c r="CK341" s="362">
        <f>IFERROR(ROUND(BY341*$P341,2),"")</f>
        <v/>
      </c>
      <c r="CL341" s="362">
        <f>IFERROR(ROUND(BZ341*$P341,2),"")</f>
        <v/>
      </c>
      <c r="CM341" s="362">
        <f>IFERROR(ROUND(CA341*$P341,2),"")</f>
        <v/>
      </c>
      <c r="CN341" s="362">
        <f>IFERROR(ROUND(CB341*$P341,2),"")</f>
        <v/>
      </c>
      <c r="CO341" s="362">
        <f>SUM(CK341:CN341)</f>
        <v/>
      </c>
    </row>
    <row r="342" hidden="1" customFormat="1" s="362">
      <c r="A342" s="331" t="n"/>
      <c r="B342" s="344">
        <f>_xlfn.XLOOKUP(G342,销售需求表!A:A,销售需求表!C:C)</f>
        <v/>
      </c>
      <c r="C342" s="345">
        <f>IFERROR(MID(F342,FIND("R",F342)+1,2),"")</f>
        <v/>
      </c>
      <c r="D342" s="369">
        <f>B342&amp;C342&amp;"寸"</f>
        <v/>
      </c>
      <c r="E342" s="346">
        <f>LEFT(REPLACE(G342,1,2,""),FIND("[",REPLACE(G342,1,2,""))-1)&amp;"-"&amp;MID(REPLACE(G342,1,2,""),FIND("[",REPLACE(G342,1,2,""))+1,FIND("]",REPLACE(G342,1,2,""))-FIND("[",REPLACE(G342,1,2,""))-1)</f>
        <v/>
      </c>
      <c r="F342" s="346">
        <f>IFERROR(IFERROR(SUBSTITUTE(E342,"("&amp;MID(E342,FIND("(",E342)+1,FIND(")",E342)-FIND("(",E342)-1)&amp;")",""),E342),"")</f>
        <v/>
      </c>
      <c r="G342" s="346" t="n"/>
      <c r="H342" s="344" t="n"/>
      <c r="I342" s="348" t="n"/>
      <c r="J342" s="349">
        <f>IFERROR(LEFT(F342,FIND("-",F342))&amp;MID(F342,FIND("PR",F342,FIND("-",F342))+3,LEN(F342)),F342)</f>
        <v/>
      </c>
      <c r="K342" s="352">
        <f>_xlfn.XLOOKUP(F342,投产规格!E:E,投产规格!D:D,"未投产")</f>
        <v/>
      </c>
      <c r="L342" s="352">
        <f>IFERROR(_xlfn.XLOOKUP(F342,硫化工艺!B:B,硫化工艺!C:C),"")</f>
        <v/>
      </c>
      <c r="M342" s="430">
        <f>IF(L342="","",L342/(L342+$L$1/60))</f>
        <v/>
      </c>
      <c r="N342" s="352">
        <f>C342&amp;"全钢"</f>
        <v/>
      </c>
      <c r="O342" s="352">
        <f>IFERROR(_xlfn.XLOOKUP(F342,轮胎重量!J:J,轮胎重量!G:G),"")</f>
        <v/>
      </c>
      <c r="P342" s="358">
        <f>O342*13.9</f>
        <v/>
      </c>
      <c r="Q342" s="352">
        <f>IFERROR(ROUND(1440/L342*(I342)*M342,0),"")</f>
        <v/>
      </c>
      <c r="R342" s="352" t="n"/>
      <c r="S342" s="352" t="n"/>
      <c r="T342" s="352" t="n"/>
      <c r="U342" s="352" t="n"/>
      <c r="V342" s="352" t="n"/>
      <c r="W342" s="352" t="n"/>
      <c r="X342" s="352" t="n"/>
      <c r="Y342" s="352" t="n"/>
      <c r="Z342" s="352" t="n"/>
      <c r="AA342" s="352" t="n"/>
      <c r="AB342" s="352" t="n"/>
      <c r="AC342" s="352" t="n"/>
      <c r="AD342" s="352" t="n"/>
      <c r="AE342" s="352" t="n"/>
      <c r="AF342" s="352" t="n"/>
      <c r="AG342" s="352" t="n"/>
      <c r="AH342" s="352" t="n"/>
      <c r="AI342" s="352" t="n"/>
      <c r="AJ342" s="352" t="n"/>
      <c r="AK342" s="352" t="n"/>
      <c r="AL342" s="352" t="n"/>
      <c r="AM342" s="352" t="n"/>
      <c r="AN342" s="352" t="n"/>
      <c r="AO342" s="352" t="n"/>
      <c r="AP342" s="352" t="n"/>
      <c r="AQ342" s="352" t="n"/>
      <c r="AR342" s="352" t="n"/>
      <c r="AS342" s="352" t="n"/>
      <c r="AT342" s="352" t="n"/>
      <c r="AU342" s="352" t="n"/>
      <c r="AV342" s="352" t="n"/>
      <c r="AW342" s="352">
        <f>IF(SUM(R342:AV342)=0,"",SUM(R342:AV342))</f>
        <v/>
      </c>
      <c r="AX342" s="431">
        <f>IFERROR(AW342*O342/1000,"")</f>
        <v/>
      </c>
      <c r="AY342" s="431">
        <f>IFERROR(ROUND(AW342*P342/10000,3),"")</f>
        <v/>
      </c>
      <c r="AZ342" s="354" t="n">
        <v>842.39</v>
      </c>
      <c r="BA342" s="355" t="n">
        <v>47.68</v>
      </c>
      <c r="BB342" s="355" t="n">
        <v>74.78</v>
      </c>
      <c r="BC342" s="355" t="n">
        <v>76.28</v>
      </c>
      <c r="BD342" s="331" t="n"/>
      <c r="BE342" s="331">
        <f>AZ342*AW342</f>
        <v/>
      </c>
      <c r="BF342" s="331">
        <f>BA342*AW342</f>
        <v/>
      </c>
      <c r="BG342" s="331">
        <f>BB342*AW342</f>
        <v/>
      </c>
      <c r="BH342" s="331">
        <f>BC342*AW342</f>
        <v/>
      </c>
      <c r="BI342" s="331" t="n"/>
      <c r="BJ342" s="356">
        <f t="array" ref="BJ342:BM342">_xlfn.LET(_xlpm.data,$R342:$AV342,_xlpm.starts,{1,8,16,23},_xlpm.lengths,{7,7,8,9},_xlpm.arr,_xlfn.MAP(_xlpm.starts,_xlpm.lengths,_xlfn.LAMBDA(_xlpm.s,_xlpm.l,SUM(INDEX(_xlpm.data,,_xlfn.SEQUENCE(,_xlpm.l,_xlpm.s))))),ROUND(_xlpm.arr*$O342/1000,2))</f>
        <v/>
      </c>
      <c r="BK342" s="331" t="n">
        <v>0</v>
      </c>
      <c r="BL342" s="331" t="n">
        <v>0</v>
      </c>
      <c r="BM342" s="331" t="n">
        <v>0</v>
      </c>
      <c r="BN342" s="362">
        <f>SUM(BJ342:BM342)</f>
        <v/>
      </c>
      <c r="BO342" s="362" t="n">
        <v>67.98</v>
      </c>
      <c r="BP342" s="362" t="n">
        <v>57.82</v>
      </c>
      <c r="BQ342" s="362" t="n">
        <v>0</v>
      </c>
      <c r="BR342" s="362" t="n">
        <v>0</v>
      </c>
      <c r="BS342" s="115" t="n"/>
      <c r="BT342" s="362">
        <f t="array" ref="BT342:BW342">_xlfn.HSTACK(SUM(INDEX($R342:$AV342,1,1):INDEX($R342:$AV342,1,7)),SUM(INDEX($R342:$AV342,1,7):INDEX($R342:$AV342,1,13)),SUM(INDEX($R342:$AV342,1,16):INDEX($R342:$AV342,1,23)),SUM(INDEX($R342:$AV342,1,23):INDEX($R342:$AV342,1,31)))</f>
        <v/>
      </c>
      <c r="BU342" s="362" t="n">
        <v>0</v>
      </c>
      <c r="BV342" s="362" t="n">
        <v>0</v>
      </c>
      <c r="BW342" s="362" t="n">
        <v>0</v>
      </c>
      <c r="BY342" s="362">
        <f>SUM(R342:X342)</f>
        <v/>
      </c>
      <c r="BZ342" s="362">
        <f>SUM(Y342:AE342)</f>
        <v/>
      </c>
      <c r="CA342" s="362">
        <f>SUM(AF342:AM342)</f>
        <v/>
      </c>
      <c r="CB342" s="362">
        <f>SUM(AN342:AV342)</f>
        <v/>
      </c>
      <c r="CD342" s="390" t="n"/>
      <c r="CE342" s="362">
        <f>ROUND(BY342*$O342/1000,2)</f>
        <v/>
      </c>
      <c r="CF342" s="362">
        <f>ROUND(BZ342*$O342/1000,2)</f>
        <v/>
      </c>
      <c r="CG342" s="362">
        <f>ROUND(CA342*$O342/1000,2)</f>
        <v/>
      </c>
      <c r="CH342" s="362">
        <f>ROUND(CB342*$O342/1000,2)</f>
        <v/>
      </c>
      <c r="CI342" s="362">
        <f>SUM(CE342:CH342)</f>
        <v/>
      </c>
      <c r="CJ342" s="390" t="n"/>
      <c r="CK342" s="362">
        <f>IFERROR(ROUND(BY342*$P342,2),"")</f>
        <v/>
      </c>
      <c r="CL342" s="362">
        <f>IFERROR(ROUND(BZ342*$P342,2),"")</f>
        <v/>
      </c>
      <c r="CM342" s="362">
        <f>IFERROR(ROUND(CA342*$P342,2),"")</f>
        <v/>
      </c>
      <c r="CN342" s="362">
        <f>IFERROR(ROUND(CB342*$P342,2),"")</f>
        <v/>
      </c>
      <c r="CO342" s="362">
        <f>SUM(CK342:CN342)</f>
        <v/>
      </c>
    </row>
    <row r="343" hidden="1" customFormat="1" s="362">
      <c r="A343" s="331" t="n"/>
      <c r="B343" s="344">
        <f>_xlfn.XLOOKUP(G343,销售需求表!A:A,销售需求表!C:C)</f>
        <v/>
      </c>
      <c r="C343" s="345">
        <f>IFERROR(MID(F343,FIND("R",F343)+1,2),"")</f>
        <v/>
      </c>
      <c r="D343" s="369">
        <f>B343&amp;C343&amp;"寸"</f>
        <v/>
      </c>
      <c r="E343" s="346">
        <f>LEFT(REPLACE(G343,1,2,""),FIND("[",REPLACE(G343,1,2,""))-1)&amp;"-"&amp;MID(REPLACE(G343,1,2,""),FIND("[",REPLACE(G343,1,2,""))+1,FIND("]",REPLACE(G343,1,2,""))-FIND("[",REPLACE(G343,1,2,""))-1)</f>
        <v/>
      </c>
      <c r="F343" s="346">
        <f>IFERROR(IFERROR(SUBSTITUTE(E343,"("&amp;MID(E343,FIND("(",E343)+1,FIND(")",E343)-FIND("(",E343)-1)&amp;")",""),E343),"")</f>
        <v/>
      </c>
      <c r="G343" s="346" t="n"/>
      <c r="H343" s="344" t="n"/>
      <c r="I343" s="348" t="n"/>
      <c r="J343" s="349">
        <f>IFERROR(LEFT(F343,FIND("-",F343))&amp;MID(F343,FIND("PR",F343,FIND("-",F343))+3,LEN(F343)),F343)</f>
        <v/>
      </c>
      <c r="K343" s="352">
        <f>_xlfn.XLOOKUP(F343,投产规格!E:E,投产规格!D:D,"未投产")</f>
        <v/>
      </c>
      <c r="L343" s="352">
        <f>IFERROR(_xlfn.XLOOKUP(F343,硫化工艺!B:B,硫化工艺!C:C),"")</f>
        <v/>
      </c>
      <c r="M343" s="430">
        <f>IF(L343="","",L343/(L343+$L$1/60))</f>
        <v/>
      </c>
      <c r="N343" s="352">
        <f>C343&amp;"全钢"</f>
        <v/>
      </c>
      <c r="O343" s="352">
        <f>IFERROR(_xlfn.XLOOKUP(F343,轮胎重量!J:J,轮胎重量!G:G),"")</f>
        <v/>
      </c>
      <c r="P343" s="358">
        <f>O343*13.9</f>
        <v/>
      </c>
      <c r="Q343" s="352">
        <f>IFERROR(ROUND(1440/L343*(I343)*M343,0),"")</f>
        <v/>
      </c>
      <c r="R343" s="352" t="n"/>
      <c r="S343" s="352" t="n"/>
      <c r="T343" s="352" t="n"/>
      <c r="U343" s="352" t="n"/>
      <c r="V343" s="352" t="n"/>
      <c r="W343" s="352" t="n"/>
      <c r="X343" s="352" t="n"/>
      <c r="Y343" s="352" t="n"/>
      <c r="Z343" s="352" t="n"/>
      <c r="AA343" s="352" t="n"/>
      <c r="AB343" s="352" t="n"/>
      <c r="AC343" s="352" t="n"/>
      <c r="AD343" s="352" t="n"/>
      <c r="AE343" s="352" t="n"/>
      <c r="AF343" s="352" t="n"/>
      <c r="AG343" s="352" t="n"/>
      <c r="AH343" s="352" t="n"/>
      <c r="AI343" s="352" t="n"/>
      <c r="AJ343" s="352" t="n"/>
      <c r="AK343" s="352" t="n"/>
      <c r="AL343" s="352" t="n"/>
      <c r="AM343" s="352" t="n"/>
      <c r="AN343" s="352" t="n"/>
      <c r="AO343" s="352" t="n"/>
      <c r="AP343" s="352" t="n"/>
      <c r="AQ343" s="352" t="n"/>
      <c r="AR343" s="352" t="n"/>
      <c r="AS343" s="352" t="n"/>
      <c r="AT343" s="352" t="n"/>
      <c r="AU343" s="352" t="n"/>
      <c r="AV343" s="352" t="n"/>
      <c r="AW343" s="352">
        <f>IF(SUM(R343:AV343)=0,"",SUM(R343:AV343))</f>
        <v/>
      </c>
      <c r="AX343" s="431">
        <f>IFERROR(AW343*O343/1000,"")</f>
        <v/>
      </c>
      <c r="AY343" s="431">
        <f>IFERROR(ROUND(AW343*P343/10000,3),"")</f>
        <v/>
      </c>
      <c r="AZ343" s="354" t="n">
        <v>834.98</v>
      </c>
      <c r="BA343" s="355" t="n">
        <v>49.6</v>
      </c>
      <c r="BB343" s="355" t="n">
        <v>76.03</v>
      </c>
      <c r="BC343" s="355" t="n">
        <v>81.43000000000001</v>
      </c>
      <c r="BD343" s="331" t="n"/>
      <c r="BE343" s="331">
        <f>AZ343*AW343</f>
        <v/>
      </c>
      <c r="BF343" s="331">
        <f>BA343*AW343</f>
        <v/>
      </c>
      <c r="BG343" s="331">
        <f>BB343*AW343</f>
        <v/>
      </c>
      <c r="BH343" s="331">
        <f>BC343*AW343</f>
        <v/>
      </c>
      <c r="BI343" s="331" t="n"/>
      <c r="BJ343" s="356">
        <f t="array" ref="BJ343:BM343">_xlfn.LET(_xlpm.data,$R343:$AV343,_xlpm.starts,{1,8,16,23},_xlpm.lengths,{7,7,8,9},_xlpm.arr,_xlfn.MAP(_xlpm.starts,_xlpm.lengths,_xlfn.LAMBDA(_xlpm.s,_xlpm.l,SUM(INDEX(_xlpm.data,,_xlfn.SEQUENCE(,_xlpm.l,_xlpm.s))))),ROUND(_xlpm.arr*$O343/1000,2))</f>
        <v/>
      </c>
      <c r="BK343" s="331" t="n">
        <v>0</v>
      </c>
      <c r="BL343" s="331" t="n">
        <v>0</v>
      </c>
      <c r="BM343" s="331" t="n">
        <v>0</v>
      </c>
      <c r="BN343" s="362">
        <f>SUM(BJ343:BM343)</f>
        <v/>
      </c>
      <c r="BO343" s="362" t="n">
        <v>0</v>
      </c>
      <c r="BP343" s="362" t="n">
        <v>8.34</v>
      </c>
      <c r="BQ343" s="362" t="n">
        <v>66.73999999999999</v>
      </c>
      <c r="BR343" s="362" t="n">
        <v>75.08</v>
      </c>
      <c r="BS343" s="115" t="n"/>
      <c r="BT343" s="362">
        <f t="array" ref="BT343:BW343">_xlfn.HSTACK(SUM(INDEX($R343:$AV343,1,1):INDEX($R343:$AV343,1,7)),SUM(INDEX($R343:$AV343,1,7):INDEX($R343:$AV343,1,13)),SUM(INDEX($R343:$AV343,1,16):INDEX($R343:$AV343,1,23)),SUM(INDEX($R343:$AV343,1,23):INDEX($R343:$AV343,1,31)))</f>
        <v/>
      </c>
      <c r="BU343" s="362" t="n">
        <v>0</v>
      </c>
      <c r="BV343" s="362" t="n">
        <v>0</v>
      </c>
      <c r="BW343" s="362" t="n">
        <v>0</v>
      </c>
      <c r="BY343" s="362">
        <f>SUM(R343:X343)</f>
        <v/>
      </c>
      <c r="BZ343" s="362">
        <f>SUM(Y343:AE343)</f>
        <v/>
      </c>
      <c r="CA343" s="362">
        <f>SUM(AF343:AM343)</f>
        <v/>
      </c>
      <c r="CB343" s="362">
        <f>SUM(AN343:AV343)</f>
        <v/>
      </c>
      <c r="CD343" s="390" t="n"/>
      <c r="CE343" s="362">
        <f>ROUND(BY343*$O343/1000,2)</f>
        <v/>
      </c>
      <c r="CF343" s="362">
        <f>ROUND(BZ343*$O343/1000,2)</f>
        <v/>
      </c>
      <c r="CG343" s="362">
        <f>ROUND(CA343*$O343/1000,2)</f>
        <v/>
      </c>
      <c r="CH343" s="362">
        <f>ROUND(CB343*$O343/1000,2)</f>
        <v/>
      </c>
      <c r="CI343" s="362">
        <f>SUM(CE343:CH343)</f>
        <v/>
      </c>
      <c r="CJ343" s="390" t="n"/>
      <c r="CK343" s="362">
        <f>IFERROR(ROUND(BY343*$P343,2),"")</f>
        <v/>
      </c>
      <c r="CL343" s="362">
        <f>IFERROR(ROUND(BZ343*$P343,2),"")</f>
        <v/>
      </c>
      <c r="CM343" s="362">
        <f>IFERROR(ROUND(CA343*$P343,2),"")</f>
        <v/>
      </c>
      <c r="CN343" s="362">
        <f>IFERROR(ROUND(CB343*$P343,2),"")</f>
        <v/>
      </c>
      <c r="CO343" s="362">
        <f>SUM(CK343:CN343)</f>
        <v/>
      </c>
    </row>
    <row r="344" hidden="1" customFormat="1" s="362">
      <c r="A344" s="331" t="n"/>
      <c r="B344" s="344">
        <f>_xlfn.XLOOKUP(G344,销售需求表!A:A,销售需求表!C:C)</f>
        <v/>
      </c>
      <c r="C344" s="345">
        <f>IFERROR(MID(F344,FIND("R",F344)+1,2),"")</f>
        <v/>
      </c>
      <c r="D344" s="369">
        <f>B344&amp;C344&amp;"寸"</f>
        <v/>
      </c>
      <c r="E344" s="346">
        <f>LEFT(REPLACE(G344,1,2,""),FIND("[",REPLACE(G344,1,2,""))-1)&amp;"-"&amp;MID(REPLACE(G344,1,2,""),FIND("[",REPLACE(G344,1,2,""))+1,FIND("]",REPLACE(G344,1,2,""))-FIND("[",REPLACE(G344,1,2,""))-1)</f>
        <v/>
      </c>
      <c r="F344" s="346">
        <f>IFERROR(IFERROR(SUBSTITUTE(E344,"("&amp;MID(E344,FIND("(",E344)+1,FIND(")",E344)-FIND("(",E344)-1)&amp;")",""),E344),"")</f>
        <v/>
      </c>
      <c r="G344" s="346" t="n"/>
      <c r="H344" s="344" t="n"/>
      <c r="I344" s="348" t="n"/>
      <c r="J344" s="349">
        <f>IFERROR(LEFT(F344,FIND("-",F344))&amp;MID(F344,FIND("PR",F344,FIND("-",F344))+3,LEN(F344)),F344)</f>
        <v/>
      </c>
      <c r="K344" s="352">
        <f>_xlfn.XLOOKUP(F344,投产规格!E:E,投产规格!D:D,"未投产")</f>
        <v/>
      </c>
      <c r="L344" s="352">
        <f>IFERROR(_xlfn.XLOOKUP(F344,硫化工艺!B:B,硫化工艺!C:C),"")</f>
        <v/>
      </c>
      <c r="M344" s="430">
        <f>IF(L344="","",L344/(L344+$L$1/60))</f>
        <v/>
      </c>
      <c r="N344" s="352">
        <f>C344&amp;"全钢"</f>
        <v/>
      </c>
      <c r="O344" s="352">
        <f>IFERROR(_xlfn.XLOOKUP(F344,轮胎重量!J:J,轮胎重量!G:G),"")</f>
        <v/>
      </c>
      <c r="P344" s="352">
        <f>IFERROR(_xlfn.XLOOKUP(F344,硫化工艺!I:I,硫化工艺!J:J),"")</f>
        <v/>
      </c>
      <c r="Q344" s="352">
        <f>IFERROR(ROUND(1440/L344*(I344)*M344,0),"")</f>
        <v/>
      </c>
      <c r="R344" s="352" t="n"/>
      <c r="S344" s="352" t="n"/>
      <c r="T344" s="352" t="n"/>
      <c r="U344" s="352" t="n"/>
      <c r="V344" s="352" t="n"/>
      <c r="W344" s="352" t="n"/>
      <c r="X344" s="352" t="n"/>
      <c r="Y344" s="352" t="n"/>
      <c r="Z344" s="352" t="n"/>
      <c r="AA344" s="352" t="n"/>
      <c r="AB344" s="352" t="n"/>
      <c r="AC344" s="352" t="n"/>
      <c r="AD344" s="352" t="n"/>
      <c r="AE344" s="352" t="n"/>
      <c r="AF344" s="352" t="n"/>
      <c r="AG344" s="352" t="n"/>
      <c r="AH344" s="352" t="n"/>
      <c r="AI344" s="352" t="n"/>
      <c r="AJ344" s="352" t="n"/>
      <c r="AK344" s="352" t="n"/>
      <c r="AL344" s="352" t="n"/>
      <c r="AM344" s="352" t="n"/>
      <c r="AN344" s="352" t="n"/>
      <c r="AO344" s="352" t="n"/>
      <c r="AP344" s="352" t="n"/>
      <c r="AQ344" s="352" t="n"/>
      <c r="AR344" s="352" t="n"/>
      <c r="AS344" s="352" t="n"/>
      <c r="AT344" s="352" t="n"/>
      <c r="AU344" s="352" t="n"/>
      <c r="AV344" s="352" t="n"/>
      <c r="AW344" s="352">
        <f>IF(SUM(R344:AV344)=0,"",SUM(R344:AV344))</f>
        <v/>
      </c>
      <c r="AX344" s="431">
        <f>IFERROR(AW344*O344/1000,"")</f>
        <v/>
      </c>
      <c r="AY344" s="431">
        <f>IFERROR(ROUND(AW344*P344/10000,3),"")</f>
        <v/>
      </c>
      <c r="AZ344" s="354" t="n">
        <v>834.98</v>
      </c>
      <c r="BA344" s="355" t="n">
        <v>49.6</v>
      </c>
      <c r="BB344" s="355" t="n">
        <v>76.03</v>
      </c>
      <c r="BC344" s="355" t="n">
        <v>81.43000000000001</v>
      </c>
      <c r="BD344" s="331" t="n"/>
      <c r="BE344" s="331">
        <f>AZ344*AW344</f>
        <v/>
      </c>
      <c r="BF344" s="331">
        <f>BA344*AW344</f>
        <v/>
      </c>
      <c r="BG344" s="331">
        <f>BB344*AW344</f>
        <v/>
      </c>
      <c r="BH344" s="331">
        <f>BC344*AW344</f>
        <v/>
      </c>
      <c r="BI344" s="331" t="n"/>
      <c r="BJ344" s="356">
        <f t="array" ref="BJ344:BM344">_xlfn.LET(_xlpm.data,$R344:$AV344,_xlpm.starts,{1,8,16,23},_xlpm.lengths,{7,7,8,9},_xlpm.arr,_xlfn.MAP(_xlpm.starts,_xlpm.lengths,_xlfn.LAMBDA(_xlpm.s,_xlpm.l,SUM(INDEX(_xlpm.data,,_xlfn.SEQUENCE(,_xlpm.l,_xlpm.s))))),ROUND(_xlpm.arr*$O344/1000,2))</f>
        <v/>
      </c>
      <c r="BK344" s="331" t="n">
        <v>0</v>
      </c>
      <c r="BL344" s="331" t="n">
        <v>0</v>
      </c>
      <c r="BM344" s="331" t="n">
        <v>0</v>
      </c>
      <c r="BN344" s="362">
        <f>SUM(BJ344:BM344)</f>
        <v/>
      </c>
      <c r="BO344" s="362" t="n">
        <v>0</v>
      </c>
      <c r="BP344" s="362" t="n">
        <v>8.34</v>
      </c>
      <c r="BQ344" s="362" t="n">
        <v>66.73999999999999</v>
      </c>
      <c r="BR344" s="362" t="n">
        <v>75.08</v>
      </c>
      <c r="BS344" s="115" t="n"/>
      <c r="BT344" s="362">
        <f t="array" ref="BT344:BW344">_xlfn.HSTACK(SUM(INDEX($R344:$AV344,1,1):INDEX($R344:$AV344,1,7)),SUM(INDEX($R344:$AV344,1,7):INDEX($R344:$AV344,1,13)),SUM(INDEX($R344:$AV344,1,16):INDEX($R344:$AV344,1,23)),SUM(INDEX($R344:$AV344,1,23):INDEX($R344:$AV344,1,31)))</f>
        <v/>
      </c>
      <c r="BU344" s="362" t="n">
        <v>0</v>
      </c>
      <c r="BV344" s="362" t="n">
        <v>0</v>
      </c>
      <c r="BW344" s="362" t="n">
        <v>0</v>
      </c>
      <c r="BY344" s="362">
        <f>SUM(R344:X344)</f>
        <v/>
      </c>
      <c r="BZ344" s="362">
        <f>SUM(Y344:AE344)</f>
        <v/>
      </c>
      <c r="CA344" s="362">
        <f>SUM(AF344:AM344)</f>
        <v/>
      </c>
      <c r="CB344" s="362">
        <f>SUM(AN344:AV344)</f>
        <v/>
      </c>
      <c r="CD344" s="390" t="n"/>
      <c r="CE344" s="362">
        <f>ROUND(BY344*$O344/1000,2)</f>
        <v/>
      </c>
      <c r="CF344" s="362">
        <f>ROUND(BZ344*$O344/1000,2)</f>
        <v/>
      </c>
      <c r="CG344" s="362">
        <f>ROUND(CA344*$O344/1000,2)</f>
        <v/>
      </c>
      <c r="CH344" s="362">
        <f>ROUND(CB344*$O344/1000,2)</f>
        <v/>
      </c>
      <c r="CI344" s="362">
        <f>SUM(CE344:CH344)</f>
        <v/>
      </c>
      <c r="CJ344" s="390" t="n"/>
      <c r="CK344" s="362">
        <f>IFERROR(ROUND(BY344*$P344,2),"")</f>
        <v/>
      </c>
      <c r="CL344" s="362">
        <f>IFERROR(ROUND(BZ344*$P344,2),"")</f>
        <v/>
      </c>
      <c r="CM344" s="362">
        <f>IFERROR(ROUND(CA344*$P344,2),"")</f>
        <v/>
      </c>
      <c r="CN344" s="362">
        <f>IFERROR(ROUND(CB344*$P344,2),"")</f>
        <v/>
      </c>
      <c r="CO344" s="362">
        <f>SUM(CK344:CN344)</f>
        <v/>
      </c>
    </row>
    <row r="345" hidden="1" customFormat="1" s="362">
      <c r="A345" s="331" t="n"/>
      <c r="B345" s="344">
        <f>_xlfn.XLOOKUP(G345,销售需求表!A:A,销售需求表!C:C)</f>
        <v/>
      </c>
      <c r="C345" s="345">
        <f>IFERROR(MID(F345,FIND("R",F345)+1,2),"")</f>
        <v/>
      </c>
      <c r="D345" s="369">
        <f>B345&amp;C345&amp;"寸"</f>
        <v/>
      </c>
      <c r="E345" s="346">
        <f>LEFT(REPLACE(G345,1,2,""),FIND("[",REPLACE(G345,1,2,""))-1)&amp;"-"&amp;MID(REPLACE(G345,1,2,""),FIND("[",REPLACE(G345,1,2,""))+1,FIND("]",REPLACE(G345,1,2,""))-FIND("[",REPLACE(G345,1,2,""))-1)</f>
        <v/>
      </c>
      <c r="F345" s="346">
        <f>IFERROR(IFERROR(SUBSTITUTE(E345,"("&amp;MID(E345,FIND("(",E345)+1,FIND(")",E345)-FIND("(",E345)-1)&amp;")",""),E345),"")</f>
        <v/>
      </c>
      <c r="G345" s="346" t="n"/>
      <c r="H345" s="344" t="n"/>
      <c r="I345" s="348" t="n"/>
      <c r="J345" s="349">
        <f>IFERROR(LEFT(F345,FIND("-",F345))&amp;MID(F345,FIND("PR",F345,FIND("-",F345))+3,LEN(F345)),F345)</f>
        <v/>
      </c>
      <c r="K345" s="352">
        <f>_xlfn.XLOOKUP(F345,投产规格!E:E,投产规格!D:D,"未投产")</f>
        <v/>
      </c>
      <c r="L345" s="352">
        <f>IFERROR(_xlfn.XLOOKUP(F345,硫化工艺!B:B,硫化工艺!C:C),"")</f>
        <v/>
      </c>
      <c r="M345" s="430">
        <f>IF(L345="","",L345/(L345+$L$1/60))</f>
        <v/>
      </c>
      <c r="N345" s="352">
        <f>C345&amp;"全钢"</f>
        <v/>
      </c>
      <c r="O345" s="352">
        <f>IFERROR(_xlfn.XLOOKUP(F345,轮胎重量!J:J,轮胎重量!G:G),"")</f>
        <v/>
      </c>
      <c r="P345" s="358">
        <f>O345*13.9</f>
        <v/>
      </c>
      <c r="Q345" s="352">
        <f>IFERROR(ROUND(1440/L345*(I345)*M345,0),"")</f>
        <v/>
      </c>
      <c r="R345" s="352" t="n"/>
      <c r="S345" s="352" t="n"/>
      <c r="T345" s="352" t="n"/>
      <c r="U345" s="352" t="n"/>
      <c r="V345" s="352" t="n"/>
      <c r="W345" s="352" t="n"/>
      <c r="X345" s="352" t="n"/>
      <c r="Y345" s="352" t="n"/>
      <c r="Z345" s="352" t="n"/>
      <c r="AA345" s="352" t="n"/>
      <c r="AB345" s="352" t="n"/>
      <c r="AC345" s="352" t="n"/>
      <c r="AD345" s="352" t="n"/>
      <c r="AE345" s="352" t="n"/>
      <c r="AF345" s="352" t="n"/>
      <c r="AG345" s="352" t="n"/>
      <c r="AH345" s="352" t="n"/>
      <c r="AI345" s="352" t="n"/>
      <c r="AJ345" s="352" t="n"/>
      <c r="AK345" s="352" t="n"/>
      <c r="AL345" s="352" t="n"/>
      <c r="AM345" s="352" t="n"/>
      <c r="AN345" s="352" t="n"/>
      <c r="AO345" s="352" t="n"/>
      <c r="AP345" s="352" t="n"/>
      <c r="AQ345" s="352" t="n"/>
      <c r="AR345" s="352" t="n"/>
      <c r="AS345" s="352" t="n"/>
      <c r="AT345" s="352" t="n"/>
      <c r="AU345" s="352" t="n"/>
      <c r="AV345" s="352" t="n"/>
      <c r="AW345" s="352">
        <f>IF(SUM(R345:AV345)=0,"",SUM(R345:AV345))</f>
        <v/>
      </c>
      <c r="AX345" s="431">
        <f>IFERROR(AW345*O345/1000,"")</f>
        <v/>
      </c>
      <c r="AY345" s="431">
        <f>IFERROR(ROUND(AW345*P345/10000,3),"")</f>
        <v/>
      </c>
      <c r="AZ345" s="354" t="n">
        <v>811.96</v>
      </c>
      <c r="BA345" s="355" t="n">
        <v>46.38</v>
      </c>
      <c r="BB345" s="355" t="n">
        <v>73.08</v>
      </c>
      <c r="BC345" s="355" t="n">
        <v>75.20999999999999</v>
      </c>
      <c r="BD345" s="331" t="n"/>
      <c r="BE345" s="331">
        <f>AZ345*AW345</f>
        <v/>
      </c>
      <c r="BF345" s="331">
        <f>BA345*AW345</f>
        <v/>
      </c>
      <c r="BG345" s="331">
        <f>BB345*AW345</f>
        <v/>
      </c>
      <c r="BH345" s="331">
        <f>BC345*AW345</f>
        <v/>
      </c>
      <c r="BI345" s="331" t="n"/>
      <c r="BJ345" s="356">
        <f t="array" ref="BJ345:BM345">_xlfn.LET(_xlpm.data,$R345:$AV345,_xlpm.starts,{1,8,16,23},_xlpm.lengths,{7,7,8,9},_xlpm.arr,_xlfn.MAP(_xlpm.starts,_xlpm.lengths,_xlfn.LAMBDA(_xlpm.s,_xlpm.l,SUM(INDEX(_xlpm.data,,_xlfn.SEQUENCE(,_xlpm.l,_xlpm.s))))),ROUND(_xlpm.arr*$O345/1000,2))</f>
        <v/>
      </c>
      <c r="BK345" s="331" t="n">
        <v>0</v>
      </c>
      <c r="BL345" s="331" t="n">
        <v>0</v>
      </c>
      <c r="BM345" s="331" t="n">
        <v>0</v>
      </c>
      <c r="BN345" s="362">
        <f>SUM(BJ345:BM345)</f>
        <v/>
      </c>
      <c r="BO345" s="362" t="n">
        <v>29.92</v>
      </c>
      <c r="BP345" s="362" t="n">
        <v>29.92</v>
      </c>
      <c r="BQ345" s="362" t="n">
        <v>34.2</v>
      </c>
      <c r="BR345" s="362" t="n">
        <v>38.47</v>
      </c>
      <c r="BS345" s="115" t="n"/>
      <c r="BT345" s="362">
        <f t="array" ref="BT345:BW345">_xlfn.HSTACK(SUM(INDEX($R345:$AV345,1,1):INDEX($R345:$AV345,1,7)),SUM(INDEX($R345:$AV345,1,7):INDEX($R345:$AV345,1,13)),SUM(INDEX($R345:$AV345,1,16):INDEX($R345:$AV345,1,23)),SUM(INDEX($R345:$AV345,1,23):INDEX($R345:$AV345,1,31)))</f>
        <v/>
      </c>
      <c r="BU345" s="362" t="n">
        <v>0</v>
      </c>
      <c r="BV345" s="362" t="n">
        <v>0</v>
      </c>
      <c r="BW345" s="362" t="n">
        <v>0</v>
      </c>
      <c r="BY345" s="362">
        <f>SUM(R345:X345)</f>
        <v/>
      </c>
      <c r="BZ345" s="362">
        <f>SUM(Y345:AE345)</f>
        <v/>
      </c>
      <c r="CA345" s="362">
        <f>SUM(AF345:AM345)</f>
        <v/>
      </c>
      <c r="CB345" s="362">
        <f>SUM(AN345:AV345)</f>
        <v/>
      </c>
      <c r="CD345" s="390" t="n"/>
      <c r="CE345" s="362">
        <f>ROUND(BY345*$O345/1000,2)</f>
        <v/>
      </c>
      <c r="CF345" s="362">
        <f>ROUND(BZ345*$O345/1000,2)</f>
        <v/>
      </c>
      <c r="CG345" s="362">
        <f>ROUND(CA345*$O345/1000,2)</f>
        <v/>
      </c>
      <c r="CH345" s="362">
        <f>ROUND(CB345*$O345/1000,2)</f>
        <v/>
      </c>
      <c r="CI345" s="362">
        <f>SUM(CE345:CH345)</f>
        <v/>
      </c>
      <c r="CJ345" s="390" t="n"/>
      <c r="CK345" s="362">
        <f>IFERROR(ROUND(BY345*$P345,2),"")</f>
        <v/>
      </c>
      <c r="CL345" s="362">
        <f>IFERROR(ROUND(BZ345*$P345,2),"")</f>
        <v/>
      </c>
      <c r="CM345" s="362">
        <f>IFERROR(ROUND(CA345*$P345,2),"")</f>
        <v/>
      </c>
      <c r="CN345" s="362">
        <f>IFERROR(ROUND(CB345*$P345,2),"")</f>
        <v/>
      </c>
      <c r="CO345" s="362">
        <f>SUM(CK345:CN345)</f>
        <v/>
      </c>
    </row>
    <row r="346" hidden="1" s="428">
      <c r="B346" s="344">
        <f>_xlfn.XLOOKUP(G346,销售需求表!A:A,销售需求表!C:C)</f>
        <v/>
      </c>
      <c r="C346" s="345">
        <f>IFERROR(MID(F346,FIND("R",F346)+1,2),"")</f>
        <v/>
      </c>
      <c r="D346" s="368">
        <f>B346&amp;C346&amp;"寸"</f>
        <v/>
      </c>
      <c r="E346" s="346">
        <f>LEFT(REPLACE(G346,1,2,""),FIND("[",REPLACE(G346,1,2,""))-1)&amp;"-"&amp;MID(REPLACE(G346,1,2,""),FIND("[",REPLACE(G346,1,2,""))+1,FIND("]",REPLACE(G346,1,2,""))-FIND("[",REPLACE(G346,1,2,""))-1)</f>
        <v/>
      </c>
      <c r="F346" s="346">
        <f>IFERROR(IFERROR(SUBSTITUTE(E346,"("&amp;MID(E346,FIND("(",E346)+1,FIND(")",E346)-FIND("(",E346)-1)&amp;")",""),E346),"")</f>
        <v/>
      </c>
      <c r="G346" s="346" t="n"/>
      <c r="H346" s="344" t="n"/>
      <c r="I346" s="348" t="n"/>
      <c r="J346" s="349">
        <f>IFERROR(LEFT(F346,FIND("-",F346))&amp;MID(F346,FIND("PR",F346,FIND("-",F346))+3,LEN(F346)),F346)</f>
        <v/>
      </c>
      <c r="K346" s="352">
        <f>_xlfn.XLOOKUP(F346,投产规格!E:E,投产规格!D:D,"未投产")</f>
        <v/>
      </c>
      <c r="L346" s="352">
        <f>IFERROR(_xlfn.XLOOKUP(F346,硫化工艺!B:B,硫化工艺!C:C),"")</f>
        <v/>
      </c>
      <c r="M346" s="430">
        <f>IF(L346="","",L346/(L346+$L$1/60))</f>
        <v/>
      </c>
      <c r="N346" s="352">
        <f>C346&amp;"全钢"</f>
        <v/>
      </c>
      <c r="O346" s="352">
        <f>IFERROR(_xlfn.XLOOKUP(F346,轮胎重量!J:J,轮胎重量!G:G),"")</f>
        <v/>
      </c>
      <c r="P346" s="352">
        <f>IFERROR(_xlfn.XLOOKUP(F346,硫化工艺!I:I,硫化工艺!J:J),"")</f>
        <v/>
      </c>
      <c r="Q346" s="352">
        <f>IFERROR(ROUND(1440/L346*(I346)*M346,0),"")</f>
        <v/>
      </c>
      <c r="R346" s="352" t="n"/>
      <c r="S346" s="352" t="n"/>
      <c r="T346" s="352" t="n"/>
      <c r="U346" s="352" t="n"/>
      <c r="V346" s="352" t="n"/>
      <c r="W346" s="352" t="n"/>
      <c r="X346" s="352" t="n"/>
      <c r="Y346" s="352" t="n"/>
      <c r="Z346" s="352" t="n"/>
      <c r="AA346" s="352" t="n"/>
      <c r="AB346" s="352" t="n"/>
      <c r="AC346" s="352" t="n"/>
      <c r="AD346" s="352" t="n"/>
      <c r="AE346" s="352" t="n"/>
      <c r="AF346" s="352" t="n"/>
      <c r="AG346" s="352" t="n"/>
      <c r="AH346" s="352" t="n"/>
      <c r="AI346" s="352" t="n"/>
      <c r="AJ346" s="352" t="n"/>
      <c r="AK346" s="352" t="n"/>
      <c r="AL346" s="352" t="n"/>
      <c r="AM346" s="352" t="n"/>
      <c r="AN346" s="352" t="n"/>
      <c r="AO346" s="352" t="n"/>
      <c r="AP346" s="352" t="n"/>
      <c r="AQ346" s="352" t="n"/>
      <c r="AR346" s="352" t="n"/>
      <c r="AS346" s="352" t="n"/>
      <c r="AT346" s="352" t="n"/>
      <c r="AU346" s="352" t="n"/>
      <c r="AV346" s="352" t="n"/>
      <c r="AW346" s="352">
        <f>IF(SUM(R346:AV346)=0,"",SUM(R346:AV346))</f>
        <v/>
      </c>
      <c r="AX346" s="431">
        <f>IFERROR(AW346*O346/1000,"")</f>
        <v/>
      </c>
      <c r="AY346" s="431">
        <f>IFERROR(ROUND(AW346*P346/10000,3),"")</f>
        <v/>
      </c>
      <c r="AZ346" s="359" t="n"/>
      <c r="BE346" s="331">
        <f>AZ346*AW346</f>
        <v/>
      </c>
      <c r="BF346" s="331">
        <f>BA346*AW346</f>
        <v/>
      </c>
      <c r="BG346" s="331">
        <f>BB346*AW346</f>
        <v/>
      </c>
      <c r="BH346" s="331">
        <f>BC346*AW346</f>
        <v/>
      </c>
      <c r="BJ346" s="356">
        <f t="array" ref="BJ346:BM346">_xlfn.LET(_xlpm.data,$R346:$AV346,_xlpm.starts,{1,8,16,23},_xlpm.lengths,{7,7,8,9},_xlpm.arr,_xlfn.MAP(_xlpm.starts,_xlpm.lengths,_xlfn.LAMBDA(_xlpm.s,_xlpm.l,SUM(INDEX(_xlpm.data,,_xlfn.SEQUENCE(,_xlpm.l,_xlpm.s))))),ROUND(_xlpm.arr*$O346/1000,2))</f>
        <v/>
      </c>
      <c r="BK346" s="331" t="n">
        <v>0</v>
      </c>
      <c r="BL346" s="331" t="n">
        <v>0</v>
      </c>
      <c r="BM346" s="331" t="n">
        <v>0</v>
      </c>
      <c r="BN346" s="362">
        <f>SUM(BJ346:BM346)</f>
        <v/>
      </c>
      <c r="BO346" s="362" t="n">
        <v>0</v>
      </c>
      <c r="BP346" s="362" t="n">
        <v>0</v>
      </c>
      <c r="BQ346" s="362" t="n">
        <v>0</v>
      </c>
      <c r="BR346" s="362" t="n">
        <v>0</v>
      </c>
      <c r="BS346" s="115">
        <f>SUM(BS326:BS328)/1000</f>
        <v/>
      </c>
      <c r="BT346" s="362">
        <f t="array" ref="BT346:BW346">_xlfn.HSTACK(SUM(INDEX($R346:$AV346,1,1):INDEX($R346:$AV346,1,7)),SUM(INDEX($R346:$AV346,1,7):INDEX($R346:$AV346,1,13)),SUM(INDEX($R346:$AV346,1,16):INDEX($R346:$AV346,1,23)),SUM(INDEX($R346:$AV346,1,23):INDEX($R346:$AV346,1,31)))</f>
        <v/>
      </c>
      <c r="BU346" s="362" t="n">
        <v>0</v>
      </c>
      <c r="BV346" s="362" t="n">
        <v>0</v>
      </c>
      <c r="BW346" s="362" t="n">
        <v>0</v>
      </c>
      <c r="BY346" s="362">
        <f>SUM(R346:X346)</f>
        <v/>
      </c>
      <c r="BZ346" s="362">
        <f>SUM(Y346:AE346)</f>
        <v/>
      </c>
      <c r="CA346" s="362">
        <f>SUM(AF346:AM346)</f>
        <v/>
      </c>
      <c r="CB346" s="362">
        <f>SUM(AN346:AV346)</f>
        <v/>
      </c>
      <c r="CE346" s="362">
        <f>ROUND(BY346*$O346/1000,2)</f>
        <v/>
      </c>
      <c r="CF346" s="362">
        <f>ROUND(BZ346*$O346/1000,2)</f>
        <v/>
      </c>
      <c r="CG346" s="362">
        <f>ROUND(CA346*$O346/1000,2)</f>
        <v/>
      </c>
      <c r="CH346" s="362">
        <f>ROUND(CB346*$O346/1000,2)</f>
        <v/>
      </c>
      <c r="CI346" s="362">
        <f>SUM(CE346:CH346)</f>
        <v/>
      </c>
      <c r="CK346" s="362">
        <f>IFERROR(ROUND(BY346*$P346,2),"")</f>
        <v/>
      </c>
      <c r="CL346" s="362">
        <f>IFERROR(ROUND(BZ346*$P346,2),"")</f>
        <v/>
      </c>
      <c r="CM346" s="362">
        <f>IFERROR(ROUND(CA346*$P346,2),"")</f>
        <v/>
      </c>
      <c r="CN346" s="362">
        <f>IFERROR(ROUND(CB346*$P346,2),"")</f>
        <v/>
      </c>
      <c r="CO346" s="362">
        <f>SUM(CK346:CN346)</f>
        <v/>
      </c>
    </row>
    <row r="347" hidden="1" s="428">
      <c r="B347" s="344">
        <f>_xlfn.XLOOKUP(G347,销售需求表!A:A,销售需求表!C:C)</f>
        <v/>
      </c>
      <c r="C347" s="345">
        <f>IFERROR(MID(F347,FIND("R",F347)+1,2),"")</f>
        <v/>
      </c>
      <c r="D347" s="368">
        <f>B347&amp;C347&amp;"寸"</f>
        <v/>
      </c>
      <c r="E347" s="346">
        <f>LEFT(REPLACE(G347,1,2,""),FIND("[",REPLACE(G347,1,2,""))-1)&amp;"-"&amp;MID(REPLACE(G347,1,2,""),FIND("[",REPLACE(G347,1,2,""))+1,FIND("]",REPLACE(G347,1,2,""))-FIND("[",REPLACE(G347,1,2,""))-1)</f>
        <v/>
      </c>
      <c r="F347" s="346">
        <f>IFERROR(IFERROR(SUBSTITUTE(E347,"("&amp;MID(E347,FIND("(",E347)+1,FIND(")",E347)-FIND("(",E347)-1)&amp;")",""),E347),"")</f>
        <v/>
      </c>
      <c r="G347" s="346" t="n"/>
      <c r="H347" s="344" t="n"/>
      <c r="I347" s="348" t="n"/>
      <c r="J347" s="349">
        <f>IFERROR(LEFT(F347,FIND("-",F347))&amp;MID(F347,FIND("PR",F347,FIND("-",F347))+3,LEN(F347)),F347)</f>
        <v/>
      </c>
      <c r="K347" s="352">
        <f>_xlfn.XLOOKUP(F347,投产规格!E:E,投产规格!D:D,"未投产")</f>
        <v/>
      </c>
      <c r="L347" s="352">
        <f>IFERROR(_xlfn.XLOOKUP(F347,硫化工艺!B:B,硫化工艺!C:C),"")</f>
        <v/>
      </c>
      <c r="M347" s="430">
        <f>IF(L347="","",L347/(L347+$L$1/60))</f>
        <v/>
      </c>
      <c r="N347" s="352">
        <f>C347&amp;"全钢"</f>
        <v/>
      </c>
      <c r="O347" s="352">
        <f>IFERROR(_xlfn.XLOOKUP(F347,轮胎重量!J:J,轮胎重量!G:G),"")</f>
        <v/>
      </c>
      <c r="P347" s="352">
        <f>IFERROR(_xlfn.XLOOKUP(F347,硫化工艺!I:I,硫化工艺!J:J),"")</f>
        <v/>
      </c>
      <c r="Q347" s="352">
        <f>IFERROR(ROUND(1440/L347*(I347)*M347,0),"")</f>
        <v/>
      </c>
      <c r="R347" s="352" t="n"/>
      <c r="S347" s="352" t="n"/>
      <c r="T347" s="352" t="n"/>
      <c r="U347" s="352" t="n"/>
      <c r="V347" s="352" t="n"/>
      <c r="W347" s="352" t="n"/>
      <c r="X347" s="352" t="n"/>
      <c r="Y347" s="352" t="n"/>
      <c r="Z347" s="352" t="n"/>
      <c r="AA347" s="352" t="n"/>
      <c r="AB347" s="352" t="n"/>
      <c r="AC347" s="352" t="n"/>
      <c r="AD347" s="352" t="n"/>
      <c r="AE347" s="352" t="n"/>
      <c r="AF347" s="352" t="n"/>
      <c r="AG347" s="352" t="n"/>
      <c r="AH347" s="352" t="n"/>
      <c r="AI347" s="352" t="n"/>
      <c r="AJ347" s="352" t="n"/>
      <c r="AK347" s="352" t="n"/>
      <c r="AL347" s="352" t="n"/>
      <c r="AM347" s="352" t="n"/>
      <c r="AN347" s="352" t="n"/>
      <c r="AO347" s="352" t="n"/>
      <c r="AP347" s="352" t="n"/>
      <c r="AQ347" s="352" t="n"/>
      <c r="AR347" s="352" t="n"/>
      <c r="AS347" s="352" t="n"/>
      <c r="AT347" s="352" t="n"/>
      <c r="AU347" s="352" t="n"/>
      <c r="AV347" s="352" t="n"/>
      <c r="AW347" s="352">
        <f>IF(SUM(R347:AV347)=0,"",SUM(R347:AV347))</f>
        <v/>
      </c>
      <c r="AX347" s="431">
        <f>IFERROR(AW347*O347/1000,"")</f>
        <v/>
      </c>
      <c r="AY347" s="431">
        <f>IFERROR(ROUND(AW347*P347/10000,3),"")</f>
        <v/>
      </c>
      <c r="AZ347" s="354" t="n">
        <v>871.58</v>
      </c>
      <c r="BA347" s="355" t="n">
        <v>54.12</v>
      </c>
      <c r="BB347" s="355" t="n">
        <v>79.59999999999999</v>
      </c>
      <c r="BC347" s="355" t="n">
        <v>87.22</v>
      </c>
      <c r="BE347" s="331">
        <f>AZ347*AW347</f>
        <v/>
      </c>
      <c r="BF347" s="331">
        <f>BA347*AW347</f>
        <v/>
      </c>
      <c r="BG347" s="331">
        <f>BB347*AW347</f>
        <v/>
      </c>
      <c r="BH347" s="331">
        <f>BC347*AW347</f>
        <v/>
      </c>
      <c r="BJ347" s="356">
        <f t="array" ref="BJ347:BM347">_xlfn.LET(_xlpm.data,$R347:$AV347,_xlpm.starts,{1,8,16,23},_xlpm.lengths,{7,7,8,9},_xlpm.arr,_xlfn.MAP(_xlpm.starts,_xlpm.lengths,_xlfn.LAMBDA(_xlpm.s,_xlpm.l,SUM(INDEX(_xlpm.data,,_xlfn.SEQUENCE(,_xlpm.l,_xlpm.s))))),ROUND(_xlpm.arr*$O347/1000,2))</f>
        <v/>
      </c>
      <c r="BK347" s="331" t="n">
        <v>0</v>
      </c>
      <c r="BL347" s="331" t="n">
        <v>0</v>
      </c>
      <c r="BM347" s="331" t="n">
        <v>0</v>
      </c>
      <c r="BN347" s="362">
        <f>SUM(BJ347:BM347)</f>
        <v/>
      </c>
      <c r="BO347" s="362" t="n">
        <v>145.92</v>
      </c>
      <c r="BP347" s="362" t="n">
        <v>145.92</v>
      </c>
      <c r="BQ347" s="362" t="n">
        <v>166.76</v>
      </c>
      <c r="BR347" s="362" t="n">
        <v>187.61</v>
      </c>
      <c r="BT347" s="362">
        <f t="array" ref="BT347:BW347">_xlfn.HSTACK(SUM(INDEX($R347:$AV347,1,1):INDEX($R347:$AV347,1,7)),SUM(INDEX($R347:$AV347,1,7):INDEX($R347:$AV347,1,13)),SUM(INDEX($R347:$AV347,1,16):INDEX($R347:$AV347,1,23)),SUM(INDEX($R347:$AV347,1,23):INDEX($R347:$AV347,1,31)))</f>
        <v/>
      </c>
      <c r="BU347" s="362" t="n">
        <v>0</v>
      </c>
      <c r="BV347" s="362" t="n">
        <v>0</v>
      </c>
      <c r="BW347" s="362" t="n">
        <v>0</v>
      </c>
      <c r="BY347" s="362">
        <f>SUM(R347:X347)</f>
        <v/>
      </c>
      <c r="BZ347" s="362">
        <f>SUM(Y347:AE347)</f>
        <v/>
      </c>
      <c r="CA347" s="362">
        <f>SUM(AF347:AM347)</f>
        <v/>
      </c>
      <c r="CB347" s="362">
        <f>SUM(AN347:AV347)</f>
        <v/>
      </c>
      <c r="CE347" s="362">
        <f>ROUND(BY347*$O347/1000,2)</f>
        <v/>
      </c>
      <c r="CF347" s="362">
        <f>ROUND(BZ347*$O347/1000,2)</f>
        <v/>
      </c>
      <c r="CG347" s="362">
        <f>ROUND(CA347*$O347/1000,2)</f>
        <v/>
      </c>
      <c r="CH347" s="362">
        <f>ROUND(CB347*$O347/1000,2)</f>
        <v/>
      </c>
      <c r="CI347" s="362">
        <f>SUM(CE347:CH347)</f>
        <v/>
      </c>
      <c r="CK347" s="362">
        <f>IFERROR(ROUND(BY347*$P347,2),"")</f>
        <v/>
      </c>
      <c r="CL347" s="362">
        <f>IFERROR(ROUND(BZ347*$P347,2),"")</f>
        <v/>
      </c>
      <c r="CM347" s="362">
        <f>IFERROR(ROUND(CA347*$P347,2),"")</f>
        <v/>
      </c>
      <c r="CN347" s="362">
        <f>IFERROR(ROUND(CB347*$P347,2),"")</f>
        <v/>
      </c>
      <c r="CO347" s="362">
        <f>SUM(CK347:CN347)</f>
        <v/>
      </c>
    </row>
    <row r="348" hidden="1" s="428">
      <c r="B348" s="344">
        <f>_xlfn.XLOOKUP(G348,销售需求表!A:A,销售需求表!C:C)</f>
        <v/>
      </c>
      <c r="C348" s="345">
        <f>IFERROR(MID(F348,FIND("R",F348)+1,2),"")</f>
        <v/>
      </c>
      <c r="D348" s="368">
        <f>B348&amp;C348&amp;"寸"</f>
        <v/>
      </c>
      <c r="E348" s="346">
        <f>LEFT(REPLACE(G348,1,2,""),FIND("[",REPLACE(G348,1,2,""))-1)&amp;"-"&amp;MID(REPLACE(G348,1,2,""),FIND("[",REPLACE(G348,1,2,""))+1,FIND("]",REPLACE(G348,1,2,""))-FIND("[",REPLACE(G348,1,2,""))-1)</f>
        <v/>
      </c>
      <c r="F348" s="346">
        <f>IFERROR(IFERROR(SUBSTITUTE(E348,"("&amp;MID(E348,FIND("(",E348)+1,FIND(")",E348)-FIND("(",E348)-1)&amp;")",""),E348),"")</f>
        <v/>
      </c>
      <c r="G348" s="346" t="n"/>
      <c r="H348" s="344" t="n"/>
      <c r="I348" s="348" t="n"/>
      <c r="J348" s="349">
        <f>IFERROR(LEFT(F348,FIND("-",F348))&amp;MID(F348,FIND("PR",F348,FIND("-",F348))+3,LEN(F348)),F348)</f>
        <v/>
      </c>
      <c r="K348" s="352">
        <f>_xlfn.XLOOKUP(F348,投产规格!E:E,投产规格!D:D,"未投产")</f>
        <v/>
      </c>
      <c r="L348" s="352">
        <f>IFERROR(_xlfn.XLOOKUP(F348,硫化工艺!B:B,硫化工艺!C:C),"")</f>
        <v/>
      </c>
      <c r="M348" s="430">
        <f>IF(L348="","",L348/(L348+$L$1/60))</f>
        <v/>
      </c>
      <c r="N348" s="352">
        <f>C348&amp;"全钢"</f>
        <v/>
      </c>
      <c r="O348" s="352">
        <f>IFERROR(_xlfn.XLOOKUP(F348,轮胎重量!J:J,轮胎重量!G:G),"")</f>
        <v/>
      </c>
      <c r="P348" s="352">
        <f>IFERROR(_xlfn.XLOOKUP(F348,硫化工艺!I:I,硫化工艺!J:J),"")</f>
        <v/>
      </c>
      <c r="Q348" s="352">
        <f>IFERROR(ROUND(1440/L348*(I348)*M348,0),"")</f>
        <v/>
      </c>
      <c r="R348" s="352" t="n"/>
      <c r="S348" s="352" t="n"/>
      <c r="T348" s="352" t="n"/>
      <c r="U348" s="352" t="n"/>
      <c r="V348" s="352" t="n"/>
      <c r="W348" s="352" t="n"/>
      <c r="X348" s="352" t="n"/>
      <c r="Y348" s="352" t="n"/>
      <c r="Z348" s="352" t="n"/>
      <c r="AA348" s="352" t="n"/>
      <c r="AB348" s="352" t="n"/>
      <c r="AC348" s="352" t="n"/>
      <c r="AD348" s="352" t="n"/>
      <c r="AE348" s="352" t="n"/>
      <c r="AF348" s="352" t="n"/>
      <c r="AG348" s="352" t="n"/>
      <c r="AH348" s="352" t="n"/>
      <c r="AI348" s="352" t="n"/>
      <c r="AJ348" s="352" t="n"/>
      <c r="AK348" s="352" t="n"/>
      <c r="AL348" s="352" t="n"/>
      <c r="AM348" s="352" t="n"/>
      <c r="AN348" s="352" t="n"/>
      <c r="AO348" s="352" t="n"/>
      <c r="AP348" s="352" t="n"/>
      <c r="AQ348" s="352" t="n"/>
      <c r="AR348" s="352" t="n"/>
      <c r="AS348" s="352" t="n"/>
      <c r="AT348" s="352" t="n"/>
      <c r="AU348" s="352" t="n"/>
      <c r="AV348" s="352" t="n"/>
      <c r="AW348" s="352">
        <f>IF(SUM(R348:AV348)=0,"",SUM(R348:AV348))</f>
        <v/>
      </c>
      <c r="AX348" s="431">
        <f>IFERROR(AW348*O348/1000,"")</f>
        <v/>
      </c>
      <c r="AY348" s="431">
        <f>IFERROR(ROUND(AW348*P348/10000,3),"")</f>
        <v/>
      </c>
      <c r="AZ348" s="354" t="n">
        <v>871.58</v>
      </c>
      <c r="BA348" s="355" t="n">
        <v>54.12</v>
      </c>
      <c r="BB348" s="355" t="n">
        <v>79.59999999999999</v>
      </c>
      <c r="BC348" s="355" t="n">
        <v>87.22</v>
      </c>
      <c r="BE348" s="331">
        <f>AZ348*AW348</f>
        <v/>
      </c>
      <c r="BF348" s="331">
        <f>BA348*AW348</f>
        <v/>
      </c>
      <c r="BG348" s="331">
        <f>BB348*AW348</f>
        <v/>
      </c>
      <c r="BH348" s="331">
        <f>BC348*AW348</f>
        <v/>
      </c>
      <c r="BJ348" s="356">
        <f t="array" ref="BJ348:BM348">_xlfn.LET(_xlpm.data,$R348:$AV348,_xlpm.starts,{1,8,16,23},_xlpm.lengths,{7,7,8,9},_xlpm.arr,_xlfn.MAP(_xlpm.starts,_xlpm.lengths,_xlfn.LAMBDA(_xlpm.s,_xlpm.l,SUM(INDEX(_xlpm.data,,_xlfn.SEQUENCE(,_xlpm.l,_xlpm.s))))),ROUND(_xlpm.arr*$O348/1000,2))</f>
        <v/>
      </c>
      <c r="BK348" s="331" t="n">
        <v>0</v>
      </c>
      <c r="BL348" s="331" t="n">
        <v>0</v>
      </c>
      <c r="BM348" s="331" t="n">
        <v>0</v>
      </c>
      <c r="BN348" s="362">
        <f>SUM(BJ348:BM348)</f>
        <v/>
      </c>
      <c r="BO348" s="362" t="n">
        <v>84.68000000000001</v>
      </c>
      <c r="BP348" s="362" t="n">
        <v>84.68000000000001</v>
      </c>
      <c r="BQ348" s="362" t="n">
        <v>92.69</v>
      </c>
      <c r="BR348" s="362" t="n">
        <v>72.03</v>
      </c>
      <c r="BT348" s="362">
        <f t="array" ref="BT348:BW348">_xlfn.HSTACK(SUM(INDEX($R348:$AV348,1,1):INDEX($R348:$AV348,1,7)),SUM(INDEX($R348:$AV348,1,7):INDEX($R348:$AV348,1,13)),SUM(INDEX($R348:$AV348,1,16):INDEX($R348:$AV348,1,23)),SUM(INDEX($R348:$AV348,1,23):INDEX($R348:$AV348,1,31)))</f>
        <v/>
      </c>
      <c r="BU348" s="362" t="n">
        <v>0</v>
      </c>
      <c r="BV348" s="362" t="n">
        <v>0</v>
      </c>
      <c r="BW348" s="362" t="n">
        <v>0</v>
      </c>
      <c r="BY348" s="362">
        <f>SUM(R348:X348)</f>
        <v/>
      </c>
      <c r="BZ348" s="362">
        <f>SUM(Y348:AE348)</f>
        <v/>
      </c>
      <c r="CA348" s="362">
        <f>SUM(AF348:AM348)</f>
        <v/>
      </c>
      <c r="CB348" s="362">
        <f>SUM(AN348:AV348)</f>
        <v/>
      </c>
      <c r="CE348" s="362">
        <f>ROUND(BY348*$O348/1000,2)</f>
        <v/>
      </c>
      <c r="CF348" s="362">
        <f>ROUND(BZ348*$O348/1000,2)</f>
        <v/>
      </c>
      <c r="CG348" s="362">
        <f>ROUND(CA348*$O348/1000,2)</f>
        <v/>
      </c>
      <c r="CH348" s="362">
        <f>ROUND(CB348*$O348/1000,2)</f>
        <v/>
      </c>
      <c r="CI348" s="362">
        <f>SUM(CE348:CH348)</f>
        <v/>
      </c>
      <c r="CK348" s="362">
        <f>IFERROR(ROUND(BY348*$P348,2),"")</f>
        <v/>
      </c>
      <c r="CL348" s="362">
        <f>IFERROR(ROUND(BZ348*$P348,2),"")</f>
        <v/>
      </c>
      <c r="CM348" s="362">
        <f>IFERROR(ROUND(CA348*$P348,2),"")</f>
        <v/>
      </c>
      <c r="CN348" s="362">
        <f>IFERROR(ROUND(CB348*$P348,2),"")</f>
        <v/>
      </c>
      <c r="CO348" s="362">
        <f>SUM(CK348:CN348)</f>
        <v/>
      </c>
    </row>
    <row r="349" hidden="1" s="428">
      <c r="B349" s="344">
        <f>_xlfn.XLOOKUP(G349,销售需求表!A:A,销售需求表!C:C)</f>
        <v/>
      </c>
      <c r="C349" s="345">
        <f>IFERROR(MID(F349,FIND("R",F349)+1,2),"")</f>
        <v/>
      </c>
      <c r="D349" s="368">
        <f>B349&amp;C349&amp;"寸"</f>
        <v/>
      </c>
      <c r="E349" s="346">
        <f>LEFT(REPLACE(G349,1,2,""),FIND("[",REPLACE(G349,1,2,""))-1)&amp;"-"&amp;MID(REPLACE(G349,1,2,""),FIND("[",REPLACE(G349,1,2,""))+1,FIND("]",REPLACE(G349,1,2,""))-FIND("[",REPLACE(G349,1,2,""))-1)</f>
        <v/>
      </c>
      <c r="F349" s="346">
        <f>IFERROR(IFERROR(SUBSTITUTE(E349,"("&amp;MID(E349,FIND("(",E349)+1,FIND(")",E349)-FIND("(",E349)-1)&amp;")",""),E349),"")</f>
        <v/>
      </c>
      <c r="G349" s="346" t="n"/>
      <c r="H349" s="344" t="n"/>
      <c r="I349" s="348" t="n"/>
      <c r="J349" s="349">
        <f>IFERROR(LEFT(F349,FIND("-",F349))&amp;MID(F349,FIND("PR",F349,FIND("-",F349))+3,LEN(F349)),F349)</f>
        <v/>
      </c>
      <c r="K349" s="352">
        <f>_xlfn.XLOOKUP(F349,投产规格!E:E,投产规格!D:D,"未投产")</f>
        <v/>
      </c>
      <c r="L349" s="352">
        <f>IFERROR(_xlfn.XLOOKUP(F349,硫化工艺!B:B,硫化工艺!C:C),"")</f>
        <v/>
      </c>
      <c r="M349" s="430">
        <f>IF(L349="","",L349/(L349+$L$1/60))</f>
        <v/>
      </c>
      <c r="N349" s="352">
        <f>C349&amp;"全钢"</f>
        <v/>
      </c>
      <c r="O349" s="352">
        <f>IFERROR(_xlfn.XLOOKUP(F349,轮胎重量!J:J,轮胎重量!G:G),"")</f>
        <v/>
      </c>
      <c r="P349" s="352">
        <f>IFERROR(_xlfn.XLOOKUP(F349,硫化工艺!I:I,硫化工艺!J:J),"")</f>
        <v/>
      </c>
      <c r="Q349" s="352">
        <f>IFERROR(ROUND(1440/L349*(I349)*M349,0),"")</f>
        <v/>
      </c>
      <c r="R349" s="352" t="n"/>
      <c r="S349" s="352" t="n"/>
      <c r="T349" s="352" t="n"/>
      <c r="U349" s="352" t="n"/>
      <c r="V349" s="352" t="n"/>
      <c r="W349" s="352" t="n"/>
      <c r="X349" s="352" t="n"/>
      <c r="Y349" s="352" t="n"/>
      <c r="Z349" s="352" t="n"/>
      <c r="AA349" s="352" t="n"/>
      <c r="AB349" s="352" t="n"/>
      <c r="AC349" s="352" t="n"/>
      <c r="AD349" s="352" t="n"/>
      <c r="AE349" s="352" t="n"/>
      <c r="AF349" s="352" t="n"/>
      <c r="AG349" s="352" t="n"/>
      <c r="AH349" s="352" t="n"/>
      <c r="AI349" s="352" t="n"/>
      <c r="AJ349" s="352" t="n"/>
      <c r="AK349" s="352" t="n"/>
      <c r="AL349" s="352" t="n"/>
      <c r="AM349" s="352" t="n"/>
      <c r="AN349" s="352" t="n"/>
      <c r="AO349" s="352" t="n"/>
      <c r="AP349" s="352" t="n"/>
      <c r="AQ349" s="352" t="n"/>
      <c r="AR349" s="352" t="n"/>
      <c r="AS349" s="352" t="n"/>
      <c r="AT349" s="352" t="n"/>
      <c r="AU349" s="352" t="n"/>
      <c r="AV349" s="352" t="n"/>
      <c r="AW349" s="352">
        <f>IF(SUM(R349:AV349)=0,"",SUM(R349:AV349))</f>
        <v/>
      </c>
      <c r="AX349" s="431">
        <f>IFERROR(AW349*O349/1000,"")</f>
        <v/>
      </c>
      <c r="AY349" s="431">
        <f>IFERROR(ROUND(AW349*P349/10000,3),"")</f>
        <v/>
      </c>
      <c r="AZ349" s="354" t="n">
        <v>871.58</v>
      </c>
      <c r="BA349" s="355" t="n">
        <v>54.12</v>
      </c>
      <c r="BB349" s="355" t="n">
        <v>79.59999999999999</v>
      </c>
      <c r="BC349" s="355" t="n">
        <v>87.22</v>
      </c>
      <c r="BE349" s="331">
        <f>AZ349*AW349</f>
        <v/>
      </c>
      <c r="BF349" s="331">
        <f>BA349*AW349</f>
        <v/>
      </c>
      <c r="BG349" s="331">
        <f>BB349*AW349</f>
        <v/>
      </c>
      <c r="BH349" s="331">
        <f>BC349*AW349</f>
        <v/>
      </c>
      <c r="BJ349" s="356">
        <f t="array" ref="BJ349:BM349">_xlfn.LET(_xlpm.data,$R349:$AV349,_xlpm.starts,{1,8,16,23},_xlpm.lengths,{7,7,8,9},_xlpm.arr,_xlfn.MAP(_xlpm.starts,_xlpm.lengths,_xlfn.LAMBDA(_xlpm.s,_xlpm.l,SUM(INDEX(_xlpm.data,,_xlfn.SEQUENCE(,_xlpm.l,_xlpm.s))))),ROUND(_xlpm.arr*$O349/1000,2))</f>
        <v/>
      </c>
      <c r="BK349" s="331" t="n">
        <v>0</v>
      </c>
      <c r="BL349" s="331" t="n">
        <v>0</v>
      </c>
      <c r="BM349" s="331" t="n">
        <v>0</v>
      </c>
      <c r="BN349" s="362">
        <f>SUM(BJ349:BM349)</f>
        <v/>
      </c>
      <c r="BO349" s="362" t="n">
        <v>84.68000000000001</v>
      </c>
      <c r="BP349" s="362" t="n">
        <v>84.68000000000001</v>
      </c>
      <c r="BQ349" s="362" t="n">
        <v>92.69</v>
      </c>
      <c r="BR349" s="362" t="n">
        <v>72.03</v>
      </c>
      <c r="BT349" s="362">
        <f t="array" ref="BT349:BW349">_xlfn.HSTACK(SUM(INDEX($R349:$AV349,1,1):INDEX($R349:$AV349,1,7)),SUM(INDEX($R349:$AV349,1,7):INDEX($R349:$AV349,1,13)),SUM(INDEX($R349:$AV349,1,16):INDEX($R349:$AV349,1,23)),SUM(INDEX($R349:$AV349,1,23):INDEX($R349:$AV349,1,31)))</f>
        <v/>
      </c>
      <c r="BU349" s="362" t="n">
        <v>0</v>
      </c>
      <c r="BV349" s="362" t="n">
        <v>0</v>
      </c>
      <c r="BW349" s="362" t="n">
        <v>0</v>
      </c>
      <c r="BY349" s="362">
        <f>SUM(R349:X349)</f>
        <v/>
      </c>
      <c r="BZ349" s="362">
        <f>SUM(Y349:AE349)</f>
        <v/>
      </c>
      <c r="CA349" s="362">
        <f>SUM(AF349:AM349)</f>
        <v/>
      </c>
      <c r="CB349" s="362">
        <f>SUM(AN349:AV349)</f>
        <v/>
      </c>
      <c r="CE349" s="362">
        <f>ROUND(BY349*$O349/1000,2)</f>
        <v/>
      </c>
      <c r="CF349" s="362">
        <f>ROUND(BZ349*$O349/1000,2)</f>
        <v/>
      </c>
      <c r="CG349" s="362">
        <f>ROUND(CA349*$O349/1000,2)</f>
        <v/>
      </c>
      <c r="CH349" s="362">
        <f>ROUND(CB349*$O349/1000,2)</f>
        <v/>
      </c>
      <c r="CI349" s="362">
        <f>SUM(CE349:CH349)</f>
        <v/>
      </c>
      <c r="CK349" s="362">
        <f>IFERROR(ROUND(BY349*$P349,2),"")</f>
        <v/>
      </c>
      <c r="CL349" s="362">
        <f>IFERROR(ROUND(BZ349*$P349,2),"")</f>
        <v/>
      </c>
      <c r="CM349" s="362">
        <f>IFERROR(ROUND(CA349*$P349,2),"")</f>
        <v/>
      </c>
      <c r="CN349" s="362">
        <f>IFERROR(ROUND(CB349*$P349,2),"")</f>
        <v/>
      </c>
      <c r="CO349" s="362">
        <f>SUM(CK349:CN349)</f>
        <v/>
      </c>
    </row>
    <row r="350" hidden="1" s="428">
      <c r="B350" s="344">
        <f>_xlfn.XLOOKUP(G350,销售需求表!A:A,销售需求表!C:C)</f>
        <v/>
      </c>
      <c r="C350" s="345">
        <f>IFERROR(MID(F350,FIND("R",F350)+1,2),"")</f>
        <v/>
      </c>
      <c r="D350" s="368">
        <f>B350&amp;C350&amp;"寸"</f>
        <v/>
      </c>
      <c r="E350" s="346">
        <f>LEFT(REPLACE(G350,1,2,""),FIND("[",REPLACE(G350,1,2,""))-1)&amp;"-"&amp;MID(REPLACE(G350,1,2,""),FIND("[",REPLACE(G350,1,2,""))+1,FIND("]",REPLACE(G350,1,2,""))-FIND("[",REPLACE(G350,1,2,""))-1)</f>
        <v/>
      </c>
      <c r="F350" s="346">
        <f>IFERROR(IFERROR(SUBSTITUTE(E350,"("&amp;MID(E350,FIND("(",E350)+1,FIND(")",E350)-FIND("(",E350)-1)&amp;")",""),E350),"")</f>
        <v/>
      </c>
      <c r="G350" s="346" t="n"/>
      <c r="H350" s="344" t="n"/>
      <c r="I350" s="348" t="n"/>
      <c r="J350" s="349">
        <f>IFERROR(LEFT(F350,FIND("-",F350))&amp;MID(F350,FIND("PR",F350,FIND("-",F350))+3,LEN(F350)),F350)</f>
        <v/>
      </c>
      <c r="K350" s="352">
        <f>_xlfn.XLOOKUP(F350,投产规格!E:E,投产规格!D:D,"未投产")</f>
        <v/>
      </c>
      <c r="L350" s="352">
        <f>IFERROR(_xlfn.XLOOKUP(F350,硫化工艺!B:B,硫化工艺!C:C),"")</f>
        <v/>
      </c>
      <c r="M350" s="430">
        <f>IF(L350="","",L350/(L350+$L$1/60))</f>
        <v/>
      </c>
      <c r="N350" s="352">
        <f>C350&amp;"全钢"</f>
        <v/>
      </c>
      <c r="O350" s="352">
        <f>IFERROR(_xlfn.XLOOKUP(F350,轮胎重量!J:J,轮胎重量!G:G),"")</f>
        <v/>
      </c>
      <c r="P350" s="352">
        <f>IFERROR(_xlfn.XLOOKUP(F350,硫化工艺!I:I,硫化工艺!J:J),"")</f>
        <v/>
      </c>
      <c r="Q350" s="352">
        <f>IFERROR(ROUND(1440/L350*(I350)*M350,0),"")</f>
        <v/>
      </c>
      <c r="R350" s="352" t="n"/>
      <c r="S350" s="352" t="n"/>
      <c r="T350" s="352" t="n"/>
      <c r="U350" s="352" t="n"/>
      <c r="V350" s="352" t="n"/>
      <c r="W350" s="352" t="n"/>
      <c r="X350" s="352" t="n"/>
      <c r="Y350" s="352" t="n"/>
      <c r="Z350" s="352" t="n"/>
      <c r="AA350" s="352" t="n"/>
      <c r="AB350" s="352" t="n"/>
      <c r="AC350" s="352" t="n"/>
      <c r="AD350" s="352" t="n"/>
      <c r="AE350" s="352" t="n"/>
      <c r="AF350" s="352" t="n"/>
      <c r="AG350" s="352" t="n"/>
      <c r="AH350" s="352" t="n"/>
      <c r="AI350" s="352" t="n"/>
      <c r="AJ350" s="352" t="n"/>
      <c r="AK350" s="352" t="n"/>
      <c r="AL350" s="352" t="n"/>
      <c r="AM350" s="352" t="n"/>
      <c r="AN350" s="352" t="n"/>
      <c r="AO350" s="352" t="n"/>
      <c r="AP350" s="352" t="n"/>
      <c r="AQ350" s="352" t="n"/>
      <c r="AR350" s="352" t="n"/>
      <c r="AS350" s="352" t="n"/>
      <c r="AT350" s="352" t="n"/>
      <c r="AU350" s="352" t="n"/>
      <c r="AV350" s="352" t="n"/>
      <c r="AW350" s="352">
        <f>IF(SUM(R350:AV350)=0,"",SUM(R350:AV350))</f>
        <v/>
      </c>
      <c r="AX350" s="431">
        <f>IFERROR(AW350*O350/1000,"")</f>
        <v/>
      </c>
      <c r="AY350" s="431">
        <f>IFERROR(ROUND(AW350*P350/10000,3),"")</f>
        <v/>
      </c>
      <c r="AZ350" s="354" t="n">
        <v>871.58</v>
      </c>
      <c r="BA350" s="355" t="n">
        <v>54.12</v>
      </c>
      <c r="BB350" s="355" t="n">
        <v>79.59999999999999</v>
      </c>
      <c r="BC350" s="355" t="n">
        <v>87.22</v>
      </c>
      <c r="BE350" s="331">
        <f>AZ350*AW350</f>
        <v/>
      </c>
      <c r="BF350" s="331">
        <f>BA350*AW350</f>
        <v/>
      </c>
      <c r="BG350" s="331">
        <f>BB350*AW350</f>
        <v/>
      </c>
      <c r="BH350" s="331">
        <f>BC350*AW350</f>
        <v/>
      </c>
      <c r="BJ350" s="356">
        <f t="array" ref="BJ350:BM350">_xlfn.LET(_xlpm.data,$R350:$AV350,_xlpm.starts,{1,8,16,23},_xlpm.lengths,{7,7,8,9},_xlpm.arr,_xlfn.MAP(_xlpm.starts,_xlpm.lengths,_xlfn.LAMBDA(_xlpm.s,_xlpm.l,SUM(INDEX(_xlpm.data,,_xlfn.SEQUENCE(,_xlpm.l,_xlpm.s))))),ROUND(_xlpm.arr*$O350/1000,2))</f>
        <v/>
      </c>
      <c r="BK350" s="331" t="n">
        <v>0</v>
      </c>
      <c r="BL350" s="331" t="n">
        <v>0</v>
      </c>
      <c r="BM350" s="331" t="n">
        <v>0</v>
      </c>
      <c r="BN350" s="362">
        <f>SUM(BJ350:BM350)</f>
        <v/>
      </c>
      <c r="BO350" s="362" t="n">
        <v>26.69</v>
      </c>
      <c r="BP350" s="362" t="n">
        <v>26.69</v>
      </c>
      <c r="BQ350" s="362" t="n">
        <v>30.5</v>
      </c>
      <c r="BR350" s="362" t="n">
        <v>34.31</v>
      </c>
      <c r="BT350" s="362">
        <f t="array" ref="BT350:BW350">_xlfn.HSTACK(SUM(INDEX($R350:$AV350,1,1):INDEX($R350:$AV350,1,7)),SUM(INDEX($R350:$AV350,1,7):INDEX($R350:$AV350,1,13)),SUM(INDEX($R350:$AV350,1,16):INDEX($R350:$AV350,1,23)),SUM(INDEX($R350:$AV350,1,23):INDEX($R350:$AV350,1,31)))</f>
        <v/>
      </c>
      <c r="BU350" s="362" t="n">
        <v>0</v>
      </c>
      <c r="BV350" s="362" t="n">
        <v>0</v>
      </c>
      <c r="BW350" s="362" t="n">
        <v>0</v>
      </c>
      <c r="BY350" s="362">
        <f>SUM(R350:X350)</f>
        <v/>
      </c>
      <c r="BZ350" s="362">
        <f>SUM(Y350:AE350)</f>
        <v/>
      </c>
      <c r="CA350" s="362">
        <f>SUM(AF350:AM350)</f>
        <v/>
      </c>
      <c r="CB350" s="362">
        <f>SUM(AN350:AV350)</f>
        <v/>
      </c>
      <c r="CE350" s="362">
        <f>ROUND(BY350*$O350/1000,2)</f>
        <v/>
      </c>
      <c r="CF350" s="362">
        <f>ROUND(BZ350*$O350/1000,2)</f>
        <v/>
      </c>
      <c r="CG350" s="362">
        <f>ROUND(CA350*$O350/1000,2)</f>
        <v/>
      </c>
      <c r="CH350" s="362">
        <f>ROUND(CB350*$O350/1000,2)</f>
        <v/>
      </c>
      <c r="CI350" s="362">
        <f>SUM(CE350:CH350)</f>
        <v/>
      </c>
      <c r="CK350" s="362">
        <f>IFERROR(ROUND(BY350*$P350,2),"")</f>
        <v/>
      </c>
      <c r="CL350" s="362">
        <f>IFERROR(ROUND(BZ350*$P350,2),"")</f>
        <v/>
      </c>
      <c r="CM350" s="362">
        <f>IFERROR(ROUND(CA350*$P350,2),"")</f>
        <v/>
      </c>
      <c r="CN350" s="362">
        <f>IFERROR(ROUND(CB350*$P350,2),"")</f>
        <v/>
      </c>
      <c r="CO350" s="362">
        <f>SUM(CK350:CN350)</f>
        <v/>
      </c>
    </row>
    <row r="351" hidden="1" s="428">
      <c r="B351" s="344">
        <f>_xlfn.XLOOKUP(G351,销售需求表!A:A,销售需求表!C:C)</f>
        <v/>
      </c>
      <c r="C351" s="345">
        <f>IFERROR(MID(F351,FIND("R",F351)+1,2),"")</f>
        <v/>
      </c>
      <c r="D351" s="368">
        <f>B351&amp;C351&amp;"寸"</f>
        <v/>
      </c>
      <c r="E351" s="346">
        <f>LEFT(REPLACE(G351,1,2,""),FIND("[",REPLACE(G351,1,2,""))-1)&amp;"-"&amp;MID(REPLACE(G351,1,2,""),FIND("[",REPLACE(G351,1,2,""))+1,FIND("]",REPLACE(G351,1,2,""))-FIND("[",REPLACE(G351,1,2,""))-1)</f>
        <v/>
      </c>
      <c r="F351" s="346">
        <f>IFERROR(IFERROR(SUBSTITUTE(E351,"("&amp;MID(E351,FIND("(",E351)+1,FIND(")",E351)-FIND("(",E351)-1)&amp;")",""),E351),"")</f>
        <v/>
      </c>
      <c r="G351" s="346" t="n"/>
      <c r="H351" s="344" t="n"/>
      <c r="I351" s="348" t="n"/>
      <c r="J351" s="349">
        <f>IFERROR(LEFT(F351,FIND("-",F351))&amp;MID(F351,FIND("PR",F351,FIND("-",F351))+3,LEN(F351)),F351)</f>
        <v/>
      </c>
      <c r="K351" s="352">
        <f>_xlfn.XLOOKUP(F351,投产规格!E:E,投产规格!D:D,"未投产")</f>
        <v/>
      </c>
      <c r="L351" s="352">
        <f>IFERROR(_xlfn.XLOOKUP(F351,硫化工艺!B:B,硫化工艺!C:C),"")</f>
        <v/>
      </c>
      <c r="M351" s="430">
        <f>IF(L351="","",L351/(L351+$L$1/60))</f>
        <v/>
      </c>
      <c r="N351" s="352">
        <f>C351&amp;"全钢"</f>
        <v/>
      </c>
      <c r="O351" s="352">
        <f>IFERROR(_xlfn.XLOOKUP(F351,轮胎重量!J:J,轮胎重量!G:G),"")</f>
        <v/>
      </c>
      <c r="P351" s="352">
        <f>IFERROR(_xlfn.XLOOKUP(F351,硫化工艺!I:I,硫化工艺!J:J),"")</f>
        <v/>
      </c>
      <c r="Q351" s="352">
        <f>IFERROR(ROUND(1440/L351*(I351)*M351,0),"")</f>
        <v/>
      </c>
      <c r="R351" s="352" t="n"/>
      <c r="S351" s="352" t="n"/>
      <c r="T351" s="352" t="n"/>
      <c r="U351" s="352" t="n"/>
      <c r="V351" s="352" t="n"/>
      <c r="W351" s="352" t="n"/>
      <c r="X351" s="352" t="n"/>
      <c r="Y351" s="352" t="n"/>
      <c r="Z351" s="352" t="n"/>
      <c r="AA351" s="352" t="n"/>
      <c r="AB351" s="352" t="n"/>
      <c r="AC351" s="352" t="n"/>
      <c r="AD351" s="352" t="n"/>
      <c r="AE351" s="352" t="n"/>
      <c r="AF351" s="352" t="n"/>
      <c r="AG351" s="352" t="n"/>
      <c r="AH351" s="352" t="n"/>
      <c r="AI351" s="352" t="n"/>
      <c r="AJ351" s="352" t="n"/>
      <c r="AK351" s="352" t="n"/>
      <c r="AL351" s="352" t="n"/>
      <c r="AM351" s="352" t="n"/>
      <c r="AN351" s="352" t="n"/>
      <c r="AO351" s="352" t="n"/>
      <c r="AP351" s="352" t="n"/>
      <c r="AQ351" s="352" t="n"/>
      <c r="AR351" s="352" t="n"/>
      <c r="AS351" s="352" t="n"/>
      <c r="AT351" s="352" t="n"/>
      <c r="AU351" s="352" t="n"/>
      <c r="AV351" s="352" t="n"/>
      <c r="AW351" s="352">
        <f>IF(SUM(R351:AV351)=0,"",SUM(R351:AV351))</f>
        <v/>
      </c>
      <c r="AX351" s="431">
        <f>IFERROR(AW351*O351/1000,"")</f>
        <v/>
      </c>
      <c r="AY351" s="431">
        <f>IFERROR(ROUND(AW351*P351/10000,3),"")</f>
        <v/>
      </c>
      <c r="AZ351" s="354" t="n">
        <v>861.64</v>
      </c>
      <c r="BA351" s="355" t="n">
        <v>52.93</v>
      </c>
      <c r="BB351" s="355" t="n">
        <v>78.33</v>
      </c>
      <c r="BC351" s="355" t="n">
        <v>85.7</v>
      </c>
      <c r="BE351" s="331">
        <f>AZ351*AW351</f>
        <v/>
      </c>
      <c r="BF351" s="331">
        <f>BA351*AW351</f>
        <v/>
      </c>
      <c r="BG351" s="331">
        <f>BB351*AW351</f>
        <v/>
      </c>
      <c r="BH351" s="331">
        <f>BC351*AW351</f>
        <v/>
      </c>
      <c r="BJ351" s="356">
        <f t="array" ref="BJ351:BM351">_xlfn.LET(_xlpm.data,$R351:$AV351,_xlpm.starts,{1,8,16,23},_xlpm.lengths,{7,7,8,9},_xlpm.arr,_xlfn.MAP(_xlpm.starts,_xlpm.lengths,_xlfn.LAMBDA(_xlpm.s,_xlpm.l,SUM(INDEX(_xlpm.data,,_xlfn.SEQUENCE(,_xlpm.l,_xlpm.s))))),ROUND(_xlpm.arr*$O351/1000,2))</f>
        <v/>
      </c>
      <c r="BK351" s="331" t="n">
        <v>0</v>
      </c>
      <c r="BL351" s="331" t="n">
        <v>0</v>
      </c>
      <c r="BM351" s="331" t="n">
        <v>0</v>
      </c>
      <c r="BN351" s="362">
        <f>SUM(BJ351:BM351)</f>
        <v/>
      </c>
      <c r="BO351" s="362" t="n">
        <v>0</v>
      </c>
      <c r="BP351" s="362" t="n">
        <v>0</v>
      </c>
      <c r="BQ351" s="362" t="n">
        <v>0</v>
      </c>
      <c r="BR351" s="362" t="n">
        <v>0</v>
      </c>
      <c r="BT351" s="362">
        <f t="array" ref="BT351:BW351">_xlfn.HSTACK(SUM(INDEX($R351:$AV351,1,1):INDEX($R351:$AV351,1,7)),SUM(INDEX($R351:$AV351,1,7):INDEX($R351:$AV351,1,13)),SUM(INDEX($R351:$AV351,1,16):INDEX($R351:$AV351,1,23)),SUM(INDEX($R351:$AV351,1,23):INDEX($R351:$AV351,1,31)))</f>
        <v/>
      </c>
      <c r="BU351" s="362" t="n">
        <v>0</v>
      </c>
      <c r="BV351" s="362" t="n">
        <v>0</v>
      </c>
      <c r="BW351" s="362" t="n">
        <v>0</v>
      </c>
      <c r="BY351" s="362">
        <f>SUM(R351:X351)</f>
        <v/>
      </c>
      <c r="BZ351" s="362">
        <f>SUM(Y351:AE351)</f>
        <v/>
      </c>
      <c r="CA351" s="362">
        <f>SUM(AF351:AM351)</f>
        <v/>
      </c>
      <c r="CB351" s="362">
        <f>SUM(AN351:AV351)</f>
        <v/>
      </c>
      <c r="CE351" s="362">
        <f>ROUND(BY351*$O351/1000,2)</f>
        <v/>
      </c>
      <c r="CF351" s="362">
        <f>ROUND(BZ351*$O351/1000,2)</f>
        <v/>
      </c>
      <c r="CG351" s="362">
        <f>ROUND(CA351*$O351/1000,2)</f>
        <v/>
      </c>
      <c r="CH351" s="362">
        <f>ROUND(CB351*$O351/1000,2)</f>
        <v/>
      </c>
      <c r="CI351" s="362">
        <f>SUM(CE351:CH351)</f>
        <v/>
      </c>
      <c r="CK351" s="362">
        <f>IFERROR(ROUND(BY351*$P351,2),"")</f>
        <v/>
      </c>
      <c r="CL351" s="362">
        <f>IFERROR(ROUND(BZ351*$P351,2),"")</f>
        <v/>
      </c>
      <c r="CM351" s="362">
        <f>IFERROR(ROUND(CA351*$P351,2),"")</f>
        <v/>
      </c>
      <c r="CN351" s="362">
        <f>IFERROR(ROUND(CB351*$P351,2),"")</f>
        <v/>
      </c>
      <c r="CO351" s="362">
        <f>SUM(CK351:CN351)</f>
        <v/>
      </c>
    </row>
    <row r="352" hidden="1" customFormat="1" s="362">
      <c r="A352" s="331" t="n"/>
      <c r="B352" s="344">
        <f>_xlfn.XLOOKUP(G352,销售需求表!A:A,销售需求表!C:C)</f>
        <v/>
      </c>
      <c r="C352" s="345">
        <f>IFERROR(MID(F352,FIND("R",F352)+1,2),"")</f>
        <v/>
      </c>
      <c r="D352" s="368">
        <f>B352&amp;C352&amp;"寸"</f>
        <v/>
      </c>
      <c r="E352" s="346">
        <f>LEFT(REPLACE(G352,1,2,""),FIND("[",REPLACE(G352,1,2,""))-1)&amp;"-"&amp;MID(REPLACE(G352,1,2,""),FIND("[",REPLACE(G352,1,2,""))+1,FIND("]",REPLACE(G352,1,2,""))-FIND("[",REPLACE(G352,1,2,""))-1)</f>
        <v/>
      </c>
      <c r="F352" s="346">
        <f>IFERROR(IFERROR(SUBSTITUTE(E352,"("&amp;MID(E352,FIND("(",E352)+1,FIND(")",E352)-FIND("(",E352)-1)&amp;")",""),E352),"")</f>
        <v/>
      </c>
      <c r="G352" s="346" t="n"/>
      <c r="H352" s="344" t="n"/>
      <c r="I352" s="348" t="n"/>
      <c r="J352" s="349">
        <f>IFERROR(LEFT(F352,FIND("-",F352))&amp;MID(F352,FIND("PR",F352,FIND("-",F352))+3,LEN(F352)),F352)</f>
        <v/>
      </c>
      <c r="K352" s="352">
        <f>_xlfn.XLOOKUP(F352,投产规格!E:E,投产规格!D:D,"未投产")</f>
        <v/>
      </c>
      <c r="L352" s="352">
        <f>IFERROR(_xlfn.XLOOKUP(F352,硫化工艺!B:B,硫化工艺!C:C),"")</f>
        <v/>
      </c>
      <c r="M352" s="430">
        <f>IF(L352="","",L352/(L352+$L$1/60))</f>
        <v/>
      </c>
      <c r="N352" s="352">
        <f>C352&amp;"全钢"</f>
        <v/>
      </c>
      <c r="O352" s="352">
        <f>IFERROR(_xlfn.XLOOKUP(F352,轮胎重量!J:J,轮胎重量!G:G),"")</f>
        <v/>
      </c>
      <c r="P352" s="358">
        <f>O352*13.9</f>
        <v/>
      </c>
      <c r="Q352" s="352">
        <f>IFERROR(ROUND(1440/L352*(I352)*M352,0),"")</f>
        <v/>
      </c>
      <c r="R352" s="352" t="n"/>
      <c r="S352" s="352" t="n"/>
      <c r="T352" s="352" t="n"/>
      <c r="U352" s="352" t="n"/>
      <c r="V352" s="352" t="n"/>
      <c r="W352" s="352" t="n"/>
      <c r="X352" s="352" t="n"/>
      <c r="Y352" s="352" t="n"/>
      <c r="Z352" s="352" t="n"/>
      <c r="AA352" s="352" t="n"/>
      <c r="AB352" s="352" t="n"/>
      <c r="AC352" s="352" t="n"/>
      <c r="AD352" s="352" t="n"/>
      <c r="AE352" s="352" t="n"/>
      <c r="AF352" s="352" t="n"/>
      <c r="AG352" s="352" t="n"/>
      <c r="AH352" s="352" t="n"/>
      <c r="AI352" s="352" t="n"/>
      <c r="AJ352" s="352" t="n"/>
      <c r="AK352" s="352" t="n"/>
      <c r="AL352" s="352" t="n"/>
      <c r="AM352" s="352" t="n"/>
      <c r="AN352" s="352" t="n"/>
      <c r="AO352" s="352" t="n"/>
      <c r="AP352" s="352" t="n"/>
      <c r="AQ352" s="352" t="n"/>
      <c r="AR352" s="352" t="n"/>
      <c r="AS352" s="352" t="n"/>
      <c r="AT352" s="352" t="n"/>
      <c r="AU352" s="352" t="n"/>
      <c r="AV352" s="352" t="n"/>
      <c r="AW352" s="352">
        <f>IF(SUM(R352:AV352)=0,"",SUM(R352:AV352))</f>
        <v/>
      </c>
      <c r="AX352" s="431">
        <f>IFERROR(AW352*O352/1000,"")</f>
        <v/>
      </c>
      <c r="AY352" s="431">
        <f>IFERROR(ROUND(AW352*P352/10000,3),"")</f>
        <v/>
      </c>
      <c r="AZ352" s="354" t="n">
        <v>828.4</v>
      </c>
      <c r="BA352" s="355" t="n">
        <v>50.66</v>
      </c>
      <c r="BB352" s="355" t="n">
        <v>75.77</v>
      </c>
      <c r="BC352" s="355" t="n">
        <v>82.47</v>
      </c>
      <c r="BD352" s="331" t="n"/>
      <c r="BE352" s="331">
        <f>AZ352*AW352</f>
        <v/>
      </c>
      <c r="BF352" s="331">
        <f>BA352*AW352</f>
        <v/>
      </c>
      <c r="BG352" s="331">
        <f>BB352*AW352</f>
        <v/>
      </c>
      <c r="BH352" s="331">
        <f>BC352*AW352</f>
        <v/>
      </c>
      <c r="BI352" s="331" t="n"/>
      <c r="BJ352" s="356">
        <f t="array" ref="BJ352:BM352">_xlfn.LET(_xlpm.data,$R352:$AV352,_xlpm.starts,{1,8,16,23},_xlpm.lengths,{7,7,8,9},_xlpm.arr,_xlfn.MAP(_xlpm.starts,_xlpm.lengths,_xlfn.LAMBDA(_xlpm.s,_xlpm.l,SUM(INDEX(_xlpm.data,,_xlfn.SEQUENCE(,_xlpm.l,_xlpm.s))))),ROUND(_xlpm.arr*$O352/1000,2))</f>
        <v/>
      </c>
      <c r="BK352" s="331" t="n">
        <v>0</v>
      </c>
      <c r="BL352" s="331" t="n">
        <v>0</v>
      </c>
      <c r="BM352" s="331" t="n">
        <v>0</v>
      </c>
      <c r="BN352" s="362">
        <f>SUM(BJ352:BM352)</f>
        <v/>
      </c>
      <c r="BO352" s="362" t="n">
        <v>0</v>
      </c>
      <c r="BP352" s="362" t="n">
        <v>0</v>
      </c>
      <c r="BQ352" s="362" t="n">
        <v>0</v>
      </c>
      <c r="BR352" s="362" t="n">
        <v>16.09</v>
      </c>
      <c r="BS352" s="115">
        <f>Q352*O352</f>
        <v/>
      </c>
      <c r="BT352" s="362">
        <f t="array" ref="BT352:BW352">_xlfn.HSTACK(SUM(INDEX($R352:$AV352,1,1):INDEX($R352:$AV352,1,7)),SUM(INDEX($R352:$AV352,1,7):INDEX($R352:$AV352,1,13)),SUM(INDEX($R352:$AV352,1,16):INDEX($R352:$AV352,1,23)),SUM(INDEX($R352:$AV352,1,23):INDEX($R352:$AV352,1,31)))</f>
        <v/>
      </c>
      <c r="BU352" s="362" t="n">
        <v>0</v>
      </c>
      <c r="BV352" s="362" t="n">
        <v>0</v>
      </c>
      <c r="BW352" s="362" t="n">
        <v>0</v>
      </c>
      <c r="BY352" s="362">
        <f>SUM(R352:X352)</f>
        <v/>
      </c>
      <c r="BZ352" s="362">
        <f>SUM(Y352:AE352)</f>
        <v/>
      </c>
      <c r="CA352" s="362">
        <f>SUM(AF352:AM352)</f>
        <v/>
      </c>
      <c r="CB352" s="362">
        <f>SUM(AN352:AV352)</f>
        <v/>
      </c>
      <c r="CD352" s="390" t="n"/>
      <c r="CE352" s="362">
        <f>ROUND(BY352*$O352/1000,2)</f>
        <v/>
      </c>
      <c r="CF352" s="362">
        <f>ROUND(BZ352*$O352/1000,2)</f>
        <v/>
      </c>
      <c r="CG352" s="362">
        <f>ROUND(CA352*$O352/1000,2)</f>
        <v/>
      </c>
      <c r="CH352" s="362">
        <f>ROUND(CB352*$O352/1000,2)</f>
        <v/>
      </c>
      <c r="CI352" s="362">
        <f>SUM(CE352:CH352)</f>
        <v/>
      </c>
      <c r="CJ352" s="390" t="n"/>
      <c r="CK352" s="362">
        <f>IFERROR(ROUND(BY352*$P352,2),"")</f>
        <v/>
      </c>
      <c r="CL352" s="362">
        <f>IFERROR(ROUND(BZ352*$P352,2),"")</f>
        <v/>
      </c>
      <c r="CM352" s="362">
        <f>IFERROR(ROUND(CA352*$P352,2),"")</f>
        <v/>
      </c>
      <c r="CN352" s="362">
        <f>IFERROR(ROUND(CB352*$P352,2),"")</f>
        <v/>
      </c>
      <c r="CO352" s="362">
        <f>SUM(CK352:CN352)</f>
        <v/>
      </c>
    </row>
    <row r="353" hidden="1" s="428">
      <c r="B353" s="344">
        <f>_xlfn.XLOOKUP(G353,销售需求表!A:A,销售需求表!C:C)</f>
        <v/>
      </c>
      <c r="C353" s="345">
        <f>IFERROR(MID(F353,FIND("R",F353)+1,2),"")</f>
        <v/>
      </c>
      <c r="D353" s="368">
        <f>B353&amp;C353&amp;"寸"</f>
        <v/>
      </c>
      <c r="E353" s="346">
        <f>LEFT(REPLACE(G353,1,2,""),FIND("[",REPLACE(G353,1,2,""))-1)&amp;"-"&amp;MID(REPLACE(G353,1,2,""),FIND("[",REPLACE(G353,1,2,""))+1,FIND("]",REPLACE(G353,1,2,""))-FIND("[",REPLACE(G353,1,2,""))-1)</f>
        <v/>
      </c>
      <c r="F353" s="346">
        <f>IFERROR(IFERROR(SUBSTITUTE(E353,"("&amp;MID(E353,FIND("(",E353)+1,FIND(")",E353)-FIND("(",E353)-1)&amp;")",""),E353),"")</f>
        <v/>
      </c>
      <c r="G353" s="346" t="n"/>
      <c r="H353" s="344" t="n"/>
      <c r="I353" s="348" t="n"/>
      <c r="J353" s="349">
        <f>IFERROR(LEFT(F353,FIND("-",F353))&amp;MID(F353,FIND("PR",F353,FIND("-",F353))+3,LEN(F353)),F353)</f>
        <v/>
      </c>
      <c r="K353" s="352">
        <f>_xlfn.XLOOKUP(F353,投产规格!E:E,投产规格!D:D,"未投产")</f>
        <v/>
      </c>
      <c r="L353" s="352">
        <f>IFERROR(_xlfn.XLOOKUP(F353,硫化工艺!B:B,硫化工艺!C:C),"")</f>
        <v/>
      </c>
      <c r="M353" s="430">
        <f>IF(L353="","",L353/(L353+$L$1/60))</f>
        <v/>
      </c>
      <c r="N353" s="352">
        <f>C353&amp;"全钢"</f>
        <v/>
      </c>
      <c r="O353" s="352">
        <f>IFERROR(_xlfn.XLOOKUP(F353,轮胎重量!J:J,轮胎重量!G:G),"")</f>
        <v/>
      </c>
      <c r="P353" s="358">
        <f>O353*13.9</f>
        <v/>
      </c>
      <c r="Q353" s="352">
        <f>IFERROR(ROUND(1440/L353*(I353)*M353,0),"")</f>
        <v/>
      </c>
      <c r="R353" s="352" t="n"/>
      <c r="S353" s="352" t="n"/>
      <c r="T353" s="352" t="n"/>
      <c r="U353" s="352" t="n"/>
      <c r="V353" s="352" t="n"/>
      <c r="W353" s="352" t="n"/>
      <c r="X353" s="352" t="n"/>
      <c r="Y353" s="352" t="n"/>
      <c r="Z353" s="352" t="n"/>
      <c r="AA353" s="352" t="n"/>
      <c r="AB353" s="352" t="n"/>
      <c r="AC353" s="352" t="n"/>
      <c r="AD353" s="352" t="n"/>
      <c r="AE353" s="352" t="n"/>
      <c r="AF353" s="352" t="n"/>
      <c r="AG353" s="352" t="n"/>
      <c r="AH353" s="352" t="n"/>
      <c r="AI353" s="352" t="n"/>
      <c r="AJ353" s="352" t="n"/>
      <c r="AK353" s="352" t="n"/>
      <c r="AL353" s="352" t="n"/>
      <c r="AM353" s="352" t="n"/>
      <c r="AN353" s="352" t="n"/>
      <c r="AO353" s="352" t="n"/>
      <c r="AP353" s="352" t="n"/>
      <c r="AQ353" s="352" t="n"/>
      <c r="AR353" s="352" t="n"/>
      <c r="AS353" s="352" t="n"/>
      <c r="AT353" s="352" t="n"/>
      <c r="AU353" s="352" t="n"/>
      <c r="AV353" s="352" t="n"/>
      <c r="AW353" s="352">
        <f>IF(SUM(R353:AV353)=0,"",SUM(R353:AV353))</f>
        <v/>
      </c>
      <c r="AX353" s="431">
        <f>IFERROR(AW353*O353/1000,"")</f>
        <v/>
      </c>
      <c r="AY353" s="431">
        <f>IFERROR(ROUND(AW353*P353/10000,3),"")</f>
        <v/>
      </c>
      <c r="AZ353" s="354" t="n">
        <v>864.55</v>
      </c>
      <c r="BA353" s="355" t="n">
        <v>53.34</v>
      </c>
      <c r="BB353" s="355" t="n">
        <v>78.72</v>
      </c>
      <c r="BC353" s="355" t="n">
        <v>86.44</v>
      </c>
      <c r="BE353" s="331">
        <f>AZ353*AW353</f>
        <v/>
      </c>
      <c r="BF353" s="331">
        <f>BA353*AW353</f>
        <v/>
      </c>
      <c r="BG353" s="331">
        <f>BB353*AW353</f>
        <v/>
      </c>
      <c r="BH353" s="331">
        <f>BC353*AW353</f>
        <v/>
      </c>
      <c r="BJ353" s="356">
        <f t="array" ref="BJ353:BM353">_xlfn.LET(_xlpm.data,$R353:$AV353,_xlpm.starts,{1,8,16,23},_xlpm.lengths,{7,7,8,9},_xlpm.arr,_xlfn.MAP(_xlpm.starts,_xlpm.lengths,_xlfn.LAMBDA(_xlpm.s,_xlpm.l,SUM(INDEX(_xlpm.data,,_xlfn.SEQUENCE(,_xlpm.l,_xlpm.s))))),ROUND(_xlpm.arr*$O353/1000,2))</f>
        <v/>
      </c>
      <c r="BK353" s="331" t="n">
        <v>0</v>
      </c>
      <c r="BL353" s="331" t="n">
        <v>0</v>
      </c>
      <c r="BM353" s="331" t="n">
        <v>0</v>
      </c>
      <c r="BN353" s="362">
        <f>SUM(BJ353:BM353)</f>
        <v/>
      </c>
      <c r="BO353" s="362" t="n">
        <v>0</v>
      </c>
      <c r="BP353" s="362" t="n">
        <v>0</v>
      </c>
      <c r="BQ353" s="362" t="n">
        <v>4.04</v>
      </c>
      <c r="BR353" s="362" t="n">
        <v>20.2</v>
      </c>
      <c r="BT353" s="362">
        <f t="array" ref="BT353:BW353">_xlfn.HSTACK(SUM(INDEX($R353:$AV353,1,1):INDEX($R353:$AV353,1,7)),SUM(INDEX($R353:$AV353,1,7):INDEX($R353:$AV353,1,13)),SUM(INDEX($R353:$AV353,1,16):INDEX($R353:$AV353,1,23)),SUM(INDEX($R353:$AV353,1,23):INDEX($R353:$AV353,1,31)))</f>
        <v/>
      </c>
      <c r="BU353" s="362" t="n">
        <v>0</v>
      </c>
      <c r="BV353" s="362" t="n">
        <v>0</v>
      </c>
      <c r="BW353" s="362" t="n">
        <v>0</v>
      </c>
      <c r="BY353" s="362">
        <f>SUM(R353:X353)</f>
        <v/>
      </c>
      <c r="BZ353" s="362">
        <f>SUM(Y353:AE353)</f>
        <v/>
      </c>
      <c r="CA353" s="362">
        <f>SUM(AF353:AM353)</f>
        <v/>
      </c>
      <c r="CB353" s="362">
        <f>SUM(AN353:AV353)</f>
        <v/>
      </c>
      <c r="CE353" s="362">
        <f>ROUND(BY353*$O353/1000,2)</f>
        <v/>
      </c>
      <c r="CF353" s="362">
        <f>ROUND(BZ353*$O353/1000,2)</f>
        <v/>
      </c>
      <c r="CG353" s="362">
        <f>ROUND(CA353*$O353/1000,2)</f>
        <v/>
      </c>
      <c r="CH353" s="362">
        <f>ROUND(CB353*$O353/1000,2)</f>
        <v/>
      </c>
      <c r="CI353" s="362">
        <f>SUM(CE353:CH353)</f>
        <v/>
      </c>
      <c r="CK353" s="362">
        <f>IFERROR(ROUND(BY353*$P353,2),"")</f>
        <v/>
      </c>
      <c r="CL353" s="362">
        <f>IFERROR(ROUND(BZ353*$P353,2),"")</f>
        <v/>
      </c>
      <c r="CM353" s="362">
        <f>IFERROR(ROUND(CA353*$P353,2),"")</f>
        <v/>
      </c>
      <c r="CN353" s="362">
        <f>IFERROR(ROUND(CB353*$P353,2),"")</f>
        <v/>
      </c>
      <c r="CO353" s="362">
        <f>SUM(CK353:CN353)</f>
        <v/>
      </c>
    </row>
    <row r="354" hidden="1" customFormat="1" s="362">
      <c r="A354" s="331" t="n"/>
      <c r="B354" s="344">
        <f>_xlfn.XLOOKUP(G354,销售需求表!A:A,销售需求表!C:C)</f>
        <v/>
      </c>
      <c r="C354" s="345">
        <f>IFERROR(MID(F354,FIND("R",F354)+1,2),"")</f>
        <v/>
      </c>
      <c r="D354" s="368">
        <f>B354&amp;C354&amp;"寸"</f>
        <v/>
      </c>
      <c r="E354" s="346">
        <f>LEFT(REPLACE(G354,1,2,""),FIND("[",REPLACE(G354,1,2,""))-1)&amp;"-"&amp;MID(REPLACE(G354,1,2,""),FIND("[",REPLACE(G354,1,2,""))+1,FIND("]",REPLACE(G354,1,2,""))-FIND("[",REPLACE(G354,1,2,""))-1)</f>
        <v/>
      </c>
      <c r="F354" s="346">
        <f>IFERROR(IFERROR(SUBSTITUTE(E354,"("&amp;MID(E354,FIND("(",E354)+1,FIND(")",E354)-FIND("(",E354)-1)&amp;")",""),E354),"")</f>
        <v/>
      </c>
      <c r="G354" s="346" t="n"/>
      <c r="H354" s="344" t="n"/>
      <c r="I354" s="348" t="n"/>
      <c r="J354" s="349">
        <f>IFERROR(LEFT(F354,FIND("-",F354))&amp;MID(F354,FIND("PR",F354,FIND("-",F354))+3,LEN(F354)),F354)</f>
        <v/>
      </c>
      <c r="K354" s="352">
        <f>_xlfn.XLOOKUP(F354,投产规格!E:E,投产规格!D:D,"未投产")</f>
        <v/>
      </c>
      <c r="L354" s="352">
        <f>IFERROR(_xlfn.XLOOKUP(F354,硫化工艺!B:B,硫化工艺!C:C),"")</f>
        <v/>
      </c>
      <c r="M354" s="430">
        <f>IF(L354="","",L354/(L354+$L$1/60))</f>
        <v/>
      </c>
      <c r="N354" s="352">
        <f>C354&amp;"全钢"</f>
        <v/>
      </c>
      <c r="O354" s="352">
        <f>IFERROR(_xlfn.XLOOKUP(F354,轮胎重量!J:J,轮胎重量!G:G),"")</f>
        <v/>
      </c>
      <c r="P354" s="352">
        <f>IFERROR(_xlfn.XLOOKUP(F354,硫化工艺!I:I,硫化工艺!J:J),"")</f>
        <v/>
      </c>
      <c r="Q354" s="352">
        <f>IFERROR(ROUND(1440/L354*(I354)*M354,0),"")</f>
        <v/>
      </c>
      <c r="R354" s="352" t="n"/>
      <c r="S354" s="352" t="n"/>
      <c r="T354" s="352" t="n"/>
      <c r="U354" s="352" t="n"/>
      <c r="V354" s="352" t="n"/>
      <c r="W354" s="352" t="n"/>
      <c r="X354" s="352" t="n"/>
      <c r="Y354" s="352" t="n"/>
      <c r="Z354" s="352" t="n"/>
      <c r="AA354" s="352" t="n"/>
      <c r="AB354" s="352" t="n"/>
      <c r="AC354" s="352" t="n"/>
      <c r="AD354" s="352" t="n"/>
      <c r="AE354" s="352" t="n"/>
      <c r="AF354" s="352" t="n"/>
      <c r="AG354" s="352" t="n"/>
      <c r="AH354" s="352" t="n"/>
      <c r="AI354" s="352" t="n"/>
      <c r="AJ354" s="352" t="n"/>
      <c r="AK354" s="352" t="n"/>
      <c r="AL354" s="352" t="n"/>
      <c r="AM354" s="352" t="n"/>
      <c r="AN354" s="352" t="n"/>
      <c r="AO354" s="352" t="n"/>
      <c r="AP354" s="352" t="n"/>
      <c r="AQ354" s="352" t="n"/>
      <c r="AR354" s="352" t="n"/>
      <c r="AS354" s="352" t="n"/>
      <c r="AT354" s="352" t="n"/>
      <c r="AU354" s="352" t="n"/>
      <c r="AV354" s="352" t="n"/>
      <c r="AW354" s="352">
        <f>IF(SUM(R354:AV354)=0,"",SUM(R354:AV354))</f>
        <v/>
      </c>
      <c r="AX354" s="431">
        <f>IFERROR(AW354*O354/1000,"")</f>
        <v/>
      </c>
      <c r="AY354" s="431">
        <f>IFERROR(ROUND(AW354*P354/10000,3),"")</f>
        <v/>
      </c>
      <c r="AZ354" s="354" t="n">
        <v>864.55</v>
      </c>
      <c r="BA354" s="355" t="n">
        <v>53.34</v>
      </c>
      <c r="BB354" s="355" t="n">
        <v>78.72</v>
      </c>
      <c r="BC354" s="355" t="n">
        <v>86.44</v>
      </c>
      <c r="BD354" s="331" t="n"/>
      <c r="BE354" s="331">
        <f>AZ354*AW354</f>
        <v/>
      </c>
      <c r="BF354" s="331">
        <f>BA354*AW354</f>
        <v/>
      </c>
      <c r="BG354" s="331">
        <f>BB354*AW354</f>
        <v/>
      </c>
      <c r="BH354" s="331">
        <f>BC354*AW354</f>
        <v/>
      </c>
      <c r="BI354" s="331" t="n"/>
      <c r="BJ354" s="356">
        <f t="array" ref="BJ354:BM354">_xlfn.LET(_xlpm.data,$R354:$AV354,_xlpm.starts,{1,8,16,23},_xlpm.lengths,{7,7,8,9},_xlpm.arr,_xlfn.MAP(_xlpm.starts,_xlpm.lengths,_xlfn.LAMBDA(_xlpm.s,_xlpm.l,SUM(INDEX(_xlpm.data,,_xlfn.SEQUENCE(,_xlpm.l,_xlpm.s))))),ROUND(_xlpm.arr*$O354/1000,2))</f>
        <v/>
      </c>
      <c r="BK354" s="331" t="n">
        <v>0</v>
      </c>
      <c r="BL354" s="331" t="n">
        <v>0</v>
      </c>
      <c r="BM354" s="331" t="n">
        <v>0</v>
      </c>
      <c r="BN354" s="362">
        <f>SUM(BJ354:BM354)</f>
        <v/>
      </c>
      <c r="BO354" s="362" t="n">
        <v>0</v>
      </c>
      <c r="BP354" s="362" t="n">
        <v>0</v>
      </c>
      <c r="BQ354" s="362" t="n">
        <v>0</v>
      </c>
      <c r="BR354" s="362" t="n">
        <v>15.99</v>
      </c>
      <c r="BS354" s="115" t="n"/>
      <c r="BT354" s="362">
        <f t="array" ref="BT354:BW354">_xlfn.HSTACK(SUM(INDEX($R354:$AV354,1,1):INDEX($R354:$AV354,1,7)),SUM(INDEX($R354:$AV354,1,7):INDEX($R354:$AV354,1,13)),SUM(INDEX($R354:$AV354,1,16):INDEX($R354:$AV354,1,23)),SUM(INDEX($R354:$AV354,1,23):INDEX($R354:$AV354,1,31)))</f>
        <v/>
      </c>
      <c r="BU354" s="362" t="n">
        <v>0</v>
      </c>
      <c r="BV354" s="362" t="n">
        <v>0</v>
      </c>
      <c r="BW354" s="362" t="n">
        <v>0</v>
      </c>
      <c r="BY354" s="362">
        <f>SUM(R354:X354)</f>
        <v/>
      </c>
      <c r="BZ354" s="362">
        <f>SUM(Y354:AE354)</f>
        <v/>
      </c>
      <c r="CA354" s="362">
        <f>SUM(AF354:AM354)</f>
        <v/>
      </c>
      <c r="CB354" s="362">
        <f>SUM(AN354:AV354)</f>
        <v/>
      </c>
      <c r="CD354" s="390" t="n"/>
      <c r="CE354" s="362">
        <f>ROUND(BY354*$O354/1000,2)</f>
        <v/>
      </c>
      <c r="CF354" s="362">
        <f>ROUND(BZ354*$O354/1000,2)</f>
        <v/>
      </c>
      <c r="CG354" s="362">
        <f>ROUND(CA354*$O354/1000,2)</f>
        <v/>
      </c>
      <c r="CH354" s="362">
        <f>ROUND(CB354*$O354/1000,2)</f>
        <v/>
      </c>
      <c r="CI354" s="362">
        <f>SUM(CE354:CH354)</f>
        <v/>
      </c>
      <c r="CJ354" s="390" t="n"/>
      <c r="CK354" s="362">
        <f>IFERROR(ROUND(BY354*$P354,2),"")</f>
        <v/>
      </c>
      <c r="CL354" s="362">
        <f>IFERROR(ROUND(BZ354*$P354,2),"")</f>
        <v/>
      </c>
      <c r="CM354" s="362">
        <f>IFERROR(ROUND(CA354*$P354,2),"")</f>
        <v/>
      </c>
      <c r="CN354" s="362">
        <f>IFERROR(ROUND(CB354*$P354,2),"")</f>
        <v/>
      </c>
      <c r="CO354" s="362">
        <f>SUM(CK354:CN354)</f>
        <v/>
      </c>
    </row>
    <row r="355" hidden="1" customFormat="1" s="362">
      <c r="A355" s="331" t="n"/>
      <c r="B355" s="344">
        <f>_xlfn.XLOOKUP(G355,销售需求表!A:A,销售需求表!C:C)</f>
        <v/>
      </c>
      <c r="C355" s="345">
        <f>IFERROR(MID(F355,FIND("R",F355)+1,2),"")</f>
        <v/>
      </c>
      <c r="D355" s="368">
        <f>B355&amp;C355&amp;"寸"</f>
        <v/>
      </c>
      <c r="E355" s="346">
        <f>LEFT(REPLACE(G355,1,2,""),FIND("[",REPLACE(G355,1,2,""))-1)&amp;"-"&amp;MID(REPLACE(G355,1,2,""),FIND("[",REPLACE(G355,1,2,""))+1,FIND("]",REPLACE(G355,1,2,""))-FIND("[",REPLACE(G355,1,2,""))-1)</f>
        <v/>
      </c>
      <c r="F355" s="346">
        <f>IFERROR(IFERROR(SUBSTITUTE(E355,"("&amp;MID(E355,FIND("(",E355)+1,FIND(")",E355)-FIND("(",E355)-1)&amp;")",""),E355),"")</f>
        <v/>
      </c>
      <c r="G355" s="346" t="n"/>
      <c r="H355" s="344" t="n"/>
      <c r="I355" s="348" t="n"/>
      <c r="J355" s="349">
        <f>IFERROR(LEFT(F355,FIND("-",F355))&amp;MID(F355,FIND("PR",F355,FIND("-",F355))+3,LEN(F355)),F355)</f>
        <v/>
      </c>
      <c r="K355" s="352">
        <f>_xlfn.XLOOKUP(F355,投产规格!E:E,投产规格!D:D,"未投产")</f>
        <v/>
      </c>
      <c r="L355" s="352">
        <f>IFERROR(_xlfn.XLOOKUP(F355,硫化工艺!B:B,硫化工艺!C:C),"")</f>
        <v/>
      </c>
      <c r="M355" s="430">
        <f>IF(L355="","",L355/(L355+$L$1/60))</f>
        <v/>
      </c>
      <c r="N355" s="352">
        <f>C355&amp;"全钢"</f>
        <v/>
      </c>
      <c r="O355" s="352">
        <f>IFERROR(_xlfn.XLOOKUP(F355,轮胎重量!J:J,轮胎重量!G:G),"")</f>
        <v/>
      </c>
      <c r="P355" s="352">
        <f>IFERROR(_xlfn.XLOOKUP(F355,硫化工艺!I:I,硫化工艺!J:J),"")</f>
        <v/>
      </c>
      <c r="Q355" s="352">
        <f>IFERROR(ROUND(1440/L355*(I355)*M355,0),"")</f>
        <v/>
      </c>
      <c r="R355" s="352" t="n"/>
      <c r="S355" s="352" t="n"/>
      <c r="T355" s="352" t="n"/>
      <c r="U355" s="352" t="n"/>
      <c r="V355" s="352" t="n"/>
      <c r="W355" s="352" t="n"/>
      <c r="X355" s="352" t="n"/>
      <c r="Y355" s="352" t="n"/>
      <c r="Z355" s="352" t="n"/>
      <c r="AA355" s="352" t="n"/>
      <c r="AB355" s="352" t="n"/>
      <c r="AC355" s="352" t="n"/>
      <c r="AD355" s="352" t="n"/>
      <c r="AE355" s="352" t="n"/>
      <c r="AF355" s="352" t="n"/>
      <c r="AG355" s="352" t="n"/>
      <c r="AH355" s="352" t="n"/>
      <c r="AI355" s="352" t="n"/>
      <c r="AJ355" s="352" t="n"/>
      <c r="AK355" s="352" t="n"/>
      <c r="AL355" s="352" t="n"/>
      <c r="AM355" s="352" t="n"/>
      <c r="AN355" s="352" t="n"/>
      <c r="AO355" s="352" t="n"/>
      <c r="AP355" s="352" t="n"/>
      <c r="AQ355" s="352" t="n"/>
      <c r="AR355" s="352" t="n"/>
      <c r="AS355" s="352" t="n"/>
      <c r="AT355" s="352" t="n"/>
      <c r="AU355" s="352" t="n"/>
      <c r="AV355" s="352" t="n"/>
      <c r="AW355" s="352">
        <f>IF(SUM(R355:AV355)=0,"",SUM(R355:AV355))</f>
        <v/>
      </c>
      <c r="AX355" s="431">
        <f>IFERROR(AW355*O355/1000,"")</f>
        <v/>
      </c>
      <c r="AY355" s="431">
        <f>IFERROR(ROUND(AW355*P355/10000,3),"")</f>
        <v/>
      </c>
      <c r="AZ355" s="354" t="n">
        <v>864.55</v>
      </c>
      <c r="BA355" s="355" t="n">
        <v>53.34</v>
      </c>
      <c r="BB355" s="355" t="n">
        <v>78.72</v>
      </c>
      <c r="BC355" s="355" t="n">
        <v>86.44</v>
      </c>
      <c r="BD355" s="331" t="n"/>
      <c r="BE355" s="331">
        <f>AZ355*AW355</f>
        <v/>
      </c>
      <c r="BF355" s="331">
        <f>BA355*AW355</f>
        <v/>
      </c>
      <c r="BG355" s="331">
        <f>BB355*AW355</f>
        <v/>
      </c>
      <c r="BH355" s="331">
        <f>BC355*AW355</f>
        <v/>
      </c>
      <c r="BI355" s="331" t="n"/>
      <c r="BJ355" s="356">
        <f t="array" ref="BJ355:BM355">_xlfn.LET(_xlpm.data,$R355:$AV355,_xlpm.starts,{1,8,16,23},_xlpm.lengths,{7,7,8,9},_xlpm.arr,_xlfn.MAP(_xlpm.starts,_xlpm.lengths,_xlfn.LAMBDA(_xlpm.s,_xlpm.l,SUM(INDEX(_xlpm.data,,_xlfn.SEQUENCE(,_xlpm.l,_xlpm.s))))),ROUND(_xlpm.arr*$O355/1000,2))</f>
        <v/>
      </c>
      <c r="BK355" s="331" t="n">
        <v>0</v>
      </c>
      <c r="BL355" s="331" t="n">
        <v>0</v>
      </c>
      <c r="BM355" s="331" t="n">
        <v>0</v>
      </c>
      <c r="BN355" s="362">
        <f>SUM(BJ355:BM355)</f>
        <v/>
      </c>
      <c r="BO355" s="362" t="n">
        <v>0</v>
      </c>
      <c r="BP355" s="362" t="n">
        <v>0</v>
      </c>
      <c r="BQ355" s="362" t="n">
        <v>0</v>
      </c>
      <c r="BR355" s="362" t="n">
        <v>0</v>
      </c>
      <c r="BS355" s="115" t="n"/>
      <c r="BT355" s="362">
        <f t="array" ref="BT355:BW355">_xlfn.HSTACK(SUM(INDEX($R355:$AV355,1,1):INDEX($R355:$AV355,1,7)),SUM(INDEX($R355:$AV355,1,7):INDEX($R355:$AV355,1,13)),SUM(INDEX($R355:$AV355,1,16):INDEX($R355:$AV355,1,23)),SUM(INDEX($R355:$AV355,1,23):INDEX($R355:$AV355,1,31)))</f>
        <v/>
      </c>
      <c r="BU355" s="362" t="n">
        <v>0</v>
      </c>
      <c r="BV355" s="362" t="n">
        <v>0</v>
      </c>
      <c r="BW355" s="362" t="n">
        <v>0</v>
      </c>
      <c r="BY355" s="362">
        <f>SUM(R355:X355)</f>
        <v/>
      </c>
      <c r="BZ355" s="362">
        <f>SUM(Y355:AE355)</f>
        <v/>
      </c>
      <c r="CA355" s="362">
        <f>SUM(AF355:AM355)</f>
        <v/>
      </c>
      <c r="CB355" s="362">
        <f>SUM(AN355:AV355)</f>
        <v/>
      </c>
      <c r="CD355" s="390" t="n"/>
      <c r="CE355" s="362">
        <f>ROUND(BY355*$O355/1000,2)</f>
        <v/>
      </c>
      <c r="CF355" s="362">
        <f>ROUND(BZ355*$O355/1000,2)</f>
        <v/>
      </c>
      <c r="CG355" s="362">
        <f>ROUND(CA355*$O355/1000,2)</f>
        <v/>
      </c>
      <c r="CH355" s="362">
        <f>ROUND(CB355*$O355/1000,2)</f>
        <v/>
      </c>
      <c r="CI355" s="362">
        <f>SUM(CE355:CH355)</f>
        <v/>
      </c>
      <c r="CJ355" s="390" t="n"/>
      <c r="CK355" s="362">
        <f>IFERROR(ROUND(BY355*$P355,2),"")</f>
        <v/>
      </c>
      <c r="CL355" s="362">
        <f>IFERROR(ROUND(BZ355*$P355,2),"")</f>
        <v/>
      </c>
      <c r="CM355" s="362">
        <f>IFERROR(ROUND(CA355*$P355,2),"")</f>
        <v/>
      </c>
      <c r="CN355" s="362">
        <f>IFERROR(ROUND(CB355*$P355,2),"")</f>
        <v/>
      </c>
      <c r="CO355" s="362">
        <f>SUM(CK355:CN355)</f>
        <v/>
      </c>
    </row>
    <row r="356" hidden="1" customFormat="1" s="362">
      <c r="A356" s="331" t="n"/>
      <c r="B356" s="344">
        <f>_xlfn.XLOOKUP(G356,销售需求表!A:A,销售需求表!C:C)</f>
        <v/>
      </c>
      <c r="C356" s="345">
        <f>IFERROR(MID(F356,FIND("R",F356)+1,2),"")</f>
        <v/>
      </c>
      <c r="D356" s="368">
        <f>B356&amp;C356&amp;"寸"</f>
        <v/>
      </c>
      <c r="E356" s="346">
        <f>LEFT(REPLACE(G356,1,2,""),FIND("[",REPLACE(G356,1,2,""))-1)&amp;"-"&amp;MID(REPLACE(G356,1,2,""),FIND("[",REPLACE(G356,1,2,""))+1,FIND("]",REPLACE(G356,1,2,""))-FIND("[",REPLACE(G356,1,2,""))-1)</f>
        <v/>
      </c>
      <c r="F356" s="346">
        <f>IFERROR(IFERROR(SUBSTITUTE(E356,"("&amp;MID(E356,FIND("(",E356)+1,FIND(")",E356)-FIND("(",E356)-1)&amp;")",""),E356),"")</f>
        <v/>
      </c>
      <c r="G356" s="346" t="n"/>
      <c r="H356" s="344" t="n"/>
      <c r="I356" s="348" t="n"/>
      <c r="J356" s="349">
        <f>IFERROR(LEFT(F356,FIND("-",F356))&amp;MID(F356,FIND("PR",F356,FIND("-",F356))+3,LEN(F356)),F356)</f>
        <v/>
      </c>
      <c r="K356" s="352">
        <f>_xlfn.XLOOKUP(F356,投产规格!E:E,投产规格!D:D,"未投产")</f>
        <v/>
      </c>
      <c r="L356" s="352">
        <f>IFERROR(_xlfn.XLOOKUP(F356,硫化工艺!B:B,硫化工艺!C:C),"")</f>
        <v/>
      </c>
      <c r="M356" s="430">
        <f>IF(L356="","",L356/(L356+$L$1/60))</f>
        <v/>
      </c>
      <c r="N356" s="352">
        <f>C356&amp;"全钢"</f>
        <v/>
      </c>
      <c r="O356" s="352">
        <f>IFERROR(_xlfn.XLOOKUP(F356,轮胎重量!J:J,轮胎重量!G:G),"")</f>
        <v/>
      </c>
      <c r="P356" s="352">
        <f>IFERROR(_xlfn.XLOOKUP(F356,硫化工艺!I:I,硫化工艺!J:J),"")</f>
        <v/>
      </c>
      <c r="Q356" s="352">
        <f>IFERROR(ROUND(1440/L356*(I356)*M356,0),"")</f>
        <v/>
      </c>
      <c r="R356" s="352" t="n"/>
      <c r="S356" s="352" t="n"/>
      <c r="T356" s="352" t="n"/>
      <c r="U356" s="352" t="n"/>
      <c r="V356" s="352" t="n"/>
      <c r="W356" s="352" t="n"/>
      <c r="X356" s="352" t="n"/>
      <c r="Y356" s="352" t="n"/>
      <c r="Z356" s="352" t="n"/>
      <c r="AA356" s="352" t="n"/>
      <c r="AB356" s="352" t="n"/>
      <c r="AC356" s="352" t="n"/>
      <c r="AD356" s="352" t="n"/>
      <c r="AE356" s="352" t="n"/>
      <c r="AF356" s="352" t="n"/>
      <c r="AG356" s="352" t="n"/>
      <c r="AH356" s="352" t="n"/>
      <c r="AI356" s="352" t="n"/>
      <c r="AJ356" s="352" t="n"/>
      <c r="AK356" s="352" t="n"/>
      <c r="AL356" s="352" t="n"/>
      <c r="AM356" s="352" t="n"/>
      <c r="AN356" s="352" t="n"/>
      <c r="AO356" s="352" t="n"/>
      <c r="AP356" s="352" t="n"/>
      <c r="AQ356" s="352" t="n"/>
      <c r="AR356" s="352" t="n"/>
      <c r="AS356" s="352" t="n"/>
      <c r="AT356" s="352" t="n"/>
      <c r="AU356" s="352" t="n"/>
      <c r="AV356" s="352" t="n"/>
      <c r="AW356" s="352">
        <f>IF(SUM(R356:AV356)=0,"",SUM(R356:AV356))</f>
        <v/>
      </c>
      <c r="AX356" s="431">
        <f>IFERROR(AW356*O356/1000,"")</f>
        <v/>
      </c>
      <c r="AY356" s="431">
        <f>IFERROR(ROUND(AW356*P356/10000,3),"")</f>
        <v/>
      </c>
      <c r="AZ356" s="354" t="n">
        <v>864.55</v>
      </c>
      <c r="BA356" s="355" t="n">
        <v>53.34</v>
      </c>
      <c r="BB356" s="355" t="n">
        <v>78.72</v>
      </c>
      <c r="BC356" s="355" t="n">
        <v>86.44</v>
      </c>
      <c r="BD356" s="331" t="n"/>
      <c r="BE356" s="331">
        <f>AZ356*AW356</f>
        <v/>
      </c>
      <c r="BF356" s="331">
        <f>BA356*AW356</f>
        <v/>
      </c>
      <c r="BG356" s="331">
        <f>BB356*AW356</f>
        <v/>
      </c>
      <c r="BH356" s="331">
        <f>BC356*AW356</f>
        <v/>
      </c>
      <c r="BI356" s="331" t="n"/>
      <c r="BJ356" s="356">
        <f t="array" ref="BJ356:BM356">_xlfn.LET(_xlpm.data,$R356:$AV356,_xlpm.starts,{1,8,16,23},_xlpm.lengths,{7,7,8,9},_xlpm.arr,_xlfn.MAP(_xlpm.starts,_xlpm.lengths,_xlfn.LAMBDA(_xlpm.s,_xlpm.l,SUM(INDEX(_xlpm.data,,_xlfn.SEQUENCE(,_xlpm.l,_xlpm.s))))),ROUND(_xlpm.arr*$O356/1000,2))</f>
        <v/>
      </c>
      <c r="BK356" s="331" t="n">
        <v>0</v>
      </c>
      <c r="BL356" s="331" t="n">
        <v>0</v>
      </c>
      <c r="BM356" s="331" t="n">
        <v>0</v>
      </c>
      <c r="BN356" s="362">
        <f>SUM(BJ356:BM356)</f>
        <v/>
      </c>
      <c r="BO356" s="362" t="n">
        <v>28.66</v>
      </c>
      <c r="BP356" s="362" t="n">
        <v>28.66</v>
      </c>
      <c r="BQ356" s="362" t="n">
        <v>32.76</v>
      </c>
      <c r="BR356" s="362" t="n">
        <v>36.85</v>
      </c>
      <c r="BS356" s="115" t="n"/>
      <c r="BT356" s="362">
        <f t="array" ref="BT356:BW356">_xlfn.HSTACK(SUM(INDEX($R356:$AV356,1,1):INDEX($R356:$AV356,1,7)),SUM(INDEX($R356:$AV356,1,7):INDEX($R356:$AV356,1,13)),SUM(INDEX($R356:$AV356,1,16):INDEX($R356:$AV356,1,23)),SUM(INDEX($R356:$AV356,1,23):INDEX($R356:$AV356,1,31)))</f>
        <v/>
      </c>
      <c r="BU356" s="362" t="n">
        <v>0</v>
      </c>
      <c r="BV356" s="362" t="n">
        <v>0</v>
      </c>
      <c r="BW356" s="362" t="n">
        <v>0</v>
      </c>
      <c r="BY356" s="362">
        <f>SUM(R356:X356)</f>
        <v/>
      </c>
      <c r="BZ356" s="362">
        <f>SUM(Y356:AE356)</f>
        <v/>
      </c>
      <c r="CA356" s="362">
        <f>SUM(AF356:AM356)</f>
        <v/>
      </c>
      <c r="CB356" s="362">
        <f>SUM(AN356:AV356)</f>
        <v/>
      </c>
      <c r="CD356" s="390" t="n"/>
      <c r="CE356" s="362">
        <f>ROUND(BY356*$O356/1000,2)</f>
        <v/>
      </c>
      <c r="CF356" s="362">
        <f>ROUND(BZ356*$O356/1000,2)</f>
        <v/>
      </c>
      <c r="CG356" s="362">
        <f>ROUND(CA356*$O356/1000,2)</f>
        <v/>
      </c>
      <c r="CH356" s="362">
        <f>ROUND(CB356*$O356/1000,2)</f>
        <v/>
      </c>
      <c r="CI356" s="362">
        <f>SUM(CE356:CH356)</f>
        <v/>
      </c>
      <c r="CJ356" s="390" t="n"/>
      <c r="CK356" s="362">
        <f>IFERROR(ROUND(BY356*$P356,2),"")</f>
        <v/>
      </c>
      <c r="CL356" s="362">
        <f>IFERROR(ROUND(BZ356*$P356,2),"")</f>
        <v/>
      </c>
      <c r="CM356" s="362">
        <f>IFERROR(ROUND(CA356*$P356,2),"")</f>
        <v/>
      </c>
      <c r="CN356" s="362">
        <f>IFERROR(ROUND(CB356*$P356,2),"")</f>
        <v/>
      </c>
      <c r="CO356" s="362">
        <f>SUM(CK356:CN356)</f>
        <v/>
      </c>
    </row>
    <row r="357" hidden="1" s="428">
      <c r="B357" s="344">
        <f>_xlfn.XLOOKUP(G357,销售需求表!A:A,销售需求表!C:C)</f>
        <v/>
      </c>
      <c r="C357" s="345">
        <f>IFERROR(MID(F357,FIND("R",F357)+1,2),"")</f>
        <v/>
      </c>
      <c r="D357" s="369">
        <f>B357&amp;C357&amp;"寸"</f>
        <v/>
      </c>
      <c r="E357" s="346">
        <f>LEFT(REPLACE(G357,1,2,""),FIND("[",REPLACE(G357,1,2,""))-1)&amp;"-"&amp;MID(REPLACE(G357,1,2,""),FIND("[",REPLACE(G357,1,2,""))+1,FIND("]",REPLACE(G357,1,2,""))-FIND("[",REPLACE(G357,1,2,""))-1)</f>
        <v/>
      </c>
      <c r="F357" s="346">
        <f>IFERROR(IFERROR(SUBSTITUTE(E357,"("&amp;MID(E357,FIND("(",E357)+1,FIND(")",E357)-FIND("(",E357)-1)&amp;")",""),E357),"")</f>
        <v/>
      </c>
      <c r="G357" s="346" t="n"/>
      <c r="H357" s="344" t="n"/>
      <c r="I357" s="348" t="n"/>
      <c r="J357" s="349">
        <f>IFERROR(LEFT(F357,FIND("-",F357))&amp;MID(F357,FIND("PR",F357,FIND("-",F357))+3,LEN(F357)),F357)</f>
        <v/>
      </c>
      <c r="K357" s="352">
        <f>_xlfn.XLOOKUP(F357,投产规格!E:E,投产规格!D:D,"未投产")</f>
        <v/>
      </c>
      <c r="L357" s="352">
        <f>IFERROR(_xlfn.XLOOKUP(F357,硫化工艺!B:B,硫化工艺!C:C),"")</f>
        <v/>
      </c>
      <c r="M357" s="430">
        <f>IF(L357="","",L357/(L357+$L$1/60))</f>
        <v/>
      </c>
      <c r="N357" s="352">
        <f>C357&amp;"全钢"</f>
        <v/>
      </c>
      <c r="O357" s="352">
        <f>IFERROR(_xlfn.XLOOKUP(F357,轮胎重量!J:J,轮胎重量!G:G),"")</f>
        <v/>
      </c>
      <c r="P357" s="352">
        <f>IFERROR(_xlfn.XLOOKUP(F357,硫化工艺!I:I,硫化工艺!J:J),"")</f>
        <v/>
      </c>
      <c r="Q357" s="352">
        <f>IFERROR(ROUND(1440/L357*(I357)*M357,0),"")</f>
        <v/>
      </c>
      <c r="R357" s="352" t="n"/>
      <c r="S357" s="352" t="n"/>
      <c r="T357" s="352" t="n"/>
      <c r="U357" s="352" t="n"/>
      <c r="V357" s="352" t="n"/>
      <c r="W357" s="352" t="n"/>
      <c r="X357" s="352" t="n"/>
      <c r="Y357" s="352" t="n"/>
      <c r="Z357" s="352" t="n"/>
      <c r="AA357" s="352" t="n"/>
      <c r="AB357" s="352" t="n"/>
      <c r="AC357" s="352" t="n"/>
      <c r="AD357" s="352" t="n"/>
      <c r="AE357" s="352" t="n"/>
      <c r="AF357" s="352" t="n"/>
      <c r="AG357" s="352" t="n"/>
      <c r="AH357" s="352" t="n"/>
      <c r="AI357" s="352" t="n"/>
      <c r="AJ357" s="352" t="n"/>
      <c r="AK357" s="352" t="n"/>
      <c r="AL357" s="352" t="n"/>
      <c r="AM357" s="352" t="n"/>
      <c r="AN357" s="352" t="n"/>
      <c r="AO357" s="352" t="n"/>
      <c r="AP357" s="352" t="n"/>
      <c r="AQ357" s="352" t="n"/>
      <c r="AR357" s="352" t="n"/>
      <c r="AS357" s="352" t="n"/>
      <c r="AT357" s="352" t="n"/>
      <c r="AU357" s="352" t="n"/>
      <c r="AV357" s="352" t="n"/>
      <c r="AW357" s="352">
        <f>IF(SUM(R357:AV357)=0,"",SUM(R357:AV357))</f>
        <v/>
      </c>
      <c r="AX357" s="431">
        <f>IFERROR(AW357*O357/1000,"")</f>
        <v/>
      </c>
      <c r="AY357" s="431">
        <f>IFERROR(ROUND(AW357*P357/10000,3),"")</f>
        <v/>
      </c>
      <c r="AZ357" s="354" t="n">
        <v>842.39</v>
      </c>
      <c r="BA357" s="355" t="n">
        <v>47.68</v>
      </c>
      <c r="BB357" s="355" t="n">
        <v>74.78</v>
      </c>
      <c r="BC357" s="355" t="n">
        <v>76.28</v>
      </c>
      <c r="BE357" s="331">
        <f>AZ357*AW357</f>
        <v/>
      </c>
      <c r="BF357" s="331">
        <f>BA357*AW357</f>
        <v/>
      </c>
      <c r="BG357" s="331">
        <f>BB357*AW357</f>
        <v/>
      </c>
      <c r="BH357" s="331">
        <f>BC357*AW357</f>
        <v/>
      </c>
      <c r="BJ357" s="356">
        <f t="array" ref="BJ357:BM357">_xlfn.LET(_xlpm.data,$R357:$AV357,_xlpm.starts,{1,8,16,23},_xlpm.lengths,{7,7,8,9},_xlpm.arr,_xlfn.MAP(_xlpm.starts,_xlpm.lengths,_xlfn.LAMBDA(_xlpm.s,_xlpm.l,SUM(INDEX(_xlpm.data,,_xlfn.SEQUENCE(,_xlpm.l,_xlpm.s))))),ROUND(_xlpm.arr*$O357/1000,2))</f>
        <v/>
      </c>
      <c r="BK357" s="331" t="n">
        <v>0</v>
      </c>
      <c r="BL357" s="331" t="n">
        <v>0</v>
      </c>
      <c r="BM357" s="331" t="n">
        <v>0</v>
      </c>
      <c r="BN357" s="362">
        <f>SUM(BJ357:BM357)</f>
        <v/>
      </c>
      <c r="BO357" s="362" t="n">
        <v>67.98</v>
      </c>
      <c r="BP357" s="362" t="n">
        <v>57.82</v>
      </c>
      <c r="BQ357" s="362" t="n">
        <v>0</v>
      </c>
      <c r="BR357" s="362" t="n">
        <v>0</v>
      </c>
      <c r="BT357" s="362">
        <f t="array" ref="BT357:BW357">_xlfn.HSTACK(SUM(INDEX($R357:$AV357,1,1):INDEX($R357:$AV357,1,7)),SUM(INDEX($R357:$AV357,1,7):INDEX($R357:$AV357,1,13)),SUM(INDEX($R357:$AV357,1,16):INDEX($R357:$AV357,1,23)),SUM(INDEX($R357:$AV357,1,23):INDEX($R357:$AV357,1,31)))</f>
        <v/>
      </c>
      <c r="BU357" s="362" t="n">
        <v>0</v>
      </c>
      <c r="BV357" s="362" t="n">
        <v>0</v>
      </c>
      <c r="BW357" s="362" t="n">
        <v>0</v>
      </c>
      <c r="BY357" s="362">
        <f>SUM(R357:X357)</f>
        <v/>
      </c>
      <c r="BZ357" s="362">
        <f>SUM(Y357:AE357)</f>
        <v/>
      </c>
      <c r="CA357" s="362">
        <f>SUM(AF357:AM357)</f>
        <v/>
      </c>
      <c r="CB357" s="362">
        <f>SUM(AN357:AV357)</f>
        <v/>
      </c>
      <c r="CE357" s="362">
        <f>ROUND(BY357*$O357/1000,2)</f>
        <v/>
      </c>
      <c r="CF357" s="362">
        <f>ROUND(BZ357*$O357/1000,2)</f>
        <v/>
      </c>
      <c r="CG357" s="362">
        <f>ROUND(CA357*$O357/1000,2)</f>
        <v/>
      </c>
      <c r="CH357" s="362">
        <f>ROUND(CB357*$O357/1000,2)</f>
        <v/>
      </c>
      <c r="CI357" s="362">
        <f>SUM(CE357:CH357)</f>
        <v/>
      </c>
      <c r="CK357" s="362">
        <f>IFERROR(ROUND(BY357*$P357,2),"")</f>
        <v/>
      </c>
      <c r="CL357" s="362">
        <f>IFERROR(ROUND(BZ357*$P357,2),"")</f>
        <v/>
      </c>
      <c r="CM357" s="362">
        <f>IFERROR(ROUND(CA357*$P357,2),"")</f>
        <v/>
      </c>
      <c r="CN357" s="362">
        <f>IFERROR(ROUND(CB357*$P357,2),"")</f>
        <v/>
      </c>
      <c r="CO357" s="362">
        <f>SUM(CK357:CN357)</f>
        <v/>
      </c>
    </row>
    <row r="358" hidden="1" s="428">
      <c r="B358" s="344">
        <f>_xlfn.XLOOKUP(G358,销售需求表!A:A,销售需求表!C:C)</f>
        <v/>
      </c>
      <c r="C358" s="345">
        <f>IFERROR(MID(F358,FIND("R",F358)+1,2),"")</f>
        <v/>
      </c>
      <c r="D358" s="369">
        <f>B358&amp;C358&amp;"寸"</f>
        <v/>
      </c>
      <c r="E358" s="346">
        <f>LEFT(REPLACE(G358,1,2,""),FIND("[",REPLACE(G358,1,2,""))-1)&amp;"-"&amp;MID(REPLACE(G358,1,2,""),FIND("[",REPLACE(G358,1,2,""))+1,FIND("]",REPLACE(G358,1,2,""))-FIND("[",REPLACE(G358,1,2,""))-1)</f>
        <v/>
      </c>
      <c r="F358" s="346">
        <f>IFERROR(IFERROR(SUBSTITUTE(E358,"("&amp;MID(E358,FIND("(",E358)+1,FIND(")",E358)-FIND("(",E358)-1)&amp;")",""),E358),"")</f>
        <v/>
      </c>
      <c r="G358" s="346" t="n"/>
      <c r="H358" s="344" t="n"/>
      <c r="I358" s="348" t="n"/>
      <c r="J358" s="349">
        <f>IFERROR(LEFT(F358,FIND("-",F358))&amp;MID(F358,FIND("PR",F358,FIND("-",F358))+3,LEN(F358)),F358)</f>
        <v/>
      </c>
      <c r="K358" s="352">
        <f>_xlfn.XLOOKUP(F358,投产规格!E:E,投产规格!D:D,"未投产")</f>
        <v/>
      </c>
      <c r="L358" s="352">
        <f>IFERROR(_xlfn.XLOOKUP(F358,硫化工艺!B:B,硫化工艺!C:C),"")</f>
        <v/>
      </c>
      <c r="M358" s="430">
        <f>IF(L358="","",L358/(L358+$L$1/60))</f>
        <v/>
      </c>
      <c r="N358" s="352">
        <f>C358&amp;"全钢"</f>
        <v/>
      </c>
      <c r="O358" s="352">
        <f>IFERROR(_xlfn.XLOOKUP(F358,轮胎重量!J:J,轮胎重量!G:G),"")</f>
        <v/>
      </c>
      <c r="P358" s="358">
        <f>O358*13.9</f>
        <v/>
      </c>
      <c r="Q358" s="352">
        <f>IFERROR(ROUND(1440/L358*(I358)*M358,0),"")</f>
        <v/>
      </c>
      <c r="R358" s="352" t="n"/>
      <c r="S358" s="352" t="n"/>
      <c r="T358" s="352" t="n"/>
      <c r="U358" s="352" t="n"/>
      <c r="V358" s="352" t="n"/>
      <c r="W358" s="352" t="n"/>
      <c r="X358" s="352" t="n"/>
      <c r="Y358" s="352" t="n"/>
      <c r="Z358" s="352" t="n"/>
      <c r="AA358" s="352" t="n"/>
      <c r="AB358" s="352" t="n"/>
      <c r="AC358" s="352" t="n"/>
      <c r="AD358" s="352" t="n"/>
      <c r="AE358" s="352" t="n"/>
      <c r="AF358" s="352" t="n"/>
      <c r="AG358" s="352" t="n"/>
      <c r="AH358" s="352" t="n"/>
      <c r="AI358" s="352" t="n"/>
      <c r="AJ358" s="352" t="n"/>
      <c r="AK358" s="352" t="n"/>
      <c r="AL358" s="352" t="n"/>
      <c r="AM358" s="352" t="n"/>
      <c r="AN358" s="352" t="n"/>
      <c r="AO358" s="352" t="n"/>
      <c r="AP358" s="352" t="n"/>
      <c r="AQ358" s="352" t="n"/>
      <c r="AR358" s="352" t="n"/>
      <c r="AS358" s="352" t="n"/>
      <c r="AT358" s="352" t="n"/>
      <c r="AU358" s="352" t="n"/>
      <c r="AV358" s="352" t="n"/>
      <c r="AW358" s="352">
        <f>IF(SUM(R358:AV358)=0,"",SUM(R358:AV358))</f>
        <v/>
      </c>
      <c r="AX358" s="431">
        <f>IFERROR(AW358*O358/1000,"")</f>
        <v/>
      </c>
      <c r="AY358" s="431">
        <f>IFERROR(ROUND(AW358*P358/10000,3),"")</f>
        <v/>
      </c>
      <c r="AZ358" s="354" t="n">
        <v>842.39</v>
      </c>
      <c r="BA358" s="355" t="n">
        <v>47.68</v>
      </c>
      <c r="BB358" s="355" t="n">
        <v>74.78</v>
      </c>
      <c r="BC358" s="355" t="n">
        <v>76.28</v>
      </c>
      <c r="BE358" s="331">
        <f>AZ358*AW358</f>
        <v/>
      </c>
      <c r="BF358" s="331">
        <f>BA358*AW358</f>
        <v/>
      </c>
      <c r="BG358" s="331">
        <f>BB358*AW358</f>
        <v/>
      </c>
      <c r="BH358" s="331">
        <f>BC358*AW358</f>
        <v/>
      </c>
      <c r="BJ358" s="356">
        <f t="array" ref="BJ358:BM358">_xlfn.LET(_xlpm.data,$R358:$AV358,_xlpm.starts,{1,8,16,23},_xlpm.lengths,{7,7,8,9},_xlpm.arr,_xlfn.MAP(_xlpm.starts,_xlpm.lengths,_xlfn.LAMBDA(_xlpm.s,_xlpm.l,SUM(INDEX(_xlpm.data,,_xlfn.SEQUENCE(,_xlpm.l,_xlpm.s))))),ROUND(_xlpm.arr*$O358/1000,2))</f>
        <v/>
      </c>
      <c r="BK358" s="331" t="n">
        <v>0</v>
      </c>
      <c r="BL358" s="331" t="n">
        <v>0</v>
      </c>
      <c r="BM358" s="331" t="n">
        <v>0</v>
      </c>
      <c r="BN358" s="362">
        <f>SUM(BJ358:BM358)</f>
        <v/>
      </c>
      <c r="BO358" s="362" t="n">
        <v>67.98</v>
      </c>
      <c r="BP358" s="362" t="n">
        <v>57.82</v>
      </c>
      <c r="BQ358" s="362" t="n">
        <v>0</v>
      </c>
      <c r="BR358" s="362" t="n">
        <v>0</v>
      </c>
      <c r="BT358" s="362">
        <f t="array" ref="BT358:BW358">_xlfn.HSTACK(SUM(INDEX($R358:$AV358,1,1):INDEX($R358:$AV358,1,7)),SUM(INDEX($R358:$AV358,1,7):INDEX($R358:$AV358,1,13)),SUM(INDEX($R358:$AV358,1,16):INDEX($R358:$AV358,1,23)),SUM(INDEX($R358:$AV358,1,23):INDEX($R358:$AV358,1,31)))</f>
        <v/>
      </c>
      <c r="BU358" s="362" t="n">
        <v>0</v>
      </c>
      <c r="BV358" s="362" t="n">
        <v>0</v>
      </c>
      <c r="BW358" s="362" t="n">
        <v>0</v>
      </c>
      <c r="BY358" s="362">
        <f>SUM(R358:X358)</f>
        <v/>
      </c>
      <c r="BZ358" s="362">
        <f>SUM(Y358:AE358)</f>
        <v/>
      </c>
      <c r="CA358" s="362">
        <f>SUM(AF358:AM358)</f>
        <v/>
      </c>
      <c r="CB358" s="362">
        <f>SUM(AN358:AV358)</f>
        <v/>
      </c>
      <c r="CE358" s="362">
        <f>ROUND(BY358*$O358/1000,2)</f>
        <v/>
      </c>
      <c r="CF358" s="362">
        <f>ROUND(BZ358*$O358/1000,2)</f>
        <v/>
      </c>
      <c r="CG358" s="362">
        <f>ROUND(CA358*$O358/1000,2)</f>
        <v/>
      </c>
      <c r="CH358" s="362">
        <f>ROUND(CB358*$O358/1000,2)</f>
        <v/>
      </c>
      <c r="CI358" s="362">
        <f>SUM(CE358:CH358)</f>
        <v/>
      </c>
      <c r="CK358" s="362">
        <f>IFERROR(ROUND(BY358*$P358,2),"")</f>
        <v/>
      </c>
      <c r="CL358" s="362">
        <f>IFERROR(ROUND(BZ358*$P358,2),"")</f>
        <v/>
      </c>
      <c r="CM358" s="362">
        <f>IFERROR(ROUND(CA358*$P358,2),"")</f>
        <v/>
      </c>
      <c r="CN358" s="362">
        <f>IFERROR(ROUND(CB358*$P358,2),"")</f>
        <v/>
      </c>
      <c r="CO358" s="362">
        <f>SUM(CK358:CN358)</f>
        <v/>
      </c>
    </row>
    <row r="359" hidden="1" s="428">
      <c r="B359" s="344">
        <f>_xlfn.XLOOKUP(G359,销售需求表!A:A,销售需求表!C:C)</f>
        <v/>
      </c>
      <c r="C359" s="345">
        <f>IFERROR(MID(F359,FIND("R",F359)+1,2),"")</f>
        <v/>
      </c>
      <c r="D359" s="369">
        <f>B359&amp;C359&amp;"寸"</f>
        <v/>
      </c>
      <c r="E359" s="346">
        <f>LEFT(REPLACE(G359,1,2,""),FIND("[",REPLACE(G359,1,2,""))-1)&amp;"-"&amp;MID(REPLACE(G359,1,2,""),FIND("[",REPLACE(G359,1,2,""))+1,FIND("]",REPLACE(G359,1,2,""))-FIND("[",REPLACE(G359,1,2,""))-1)</f>
        <v/>
      </c>
      <c r="F359" s="346">
        <f>IFERROR(IFERROR(SUBSTITUTE(E359,"("&amp;MID(E359,FIND("(",E359)+1,FIND(")",E359)-FIND("(",E359)-1)&amp;")",""),E359),"")</f>
        <v/>
      </c>
      <c r="G359" s="346" t="n"/>
      <c r="H359" s="344" t="n"/>
      <c r="I359" s="348" t="n"/>
      <c r="J359" s="349">
        <f>IFERROR(LEFT(F359,FIND("-",F359))&amp;MID(F359,FIND("PR",F359,FIND("-",F359))+3,LEN(F359)),F359)</f>
        <v/>
      </c>
      <c r="K359" s="352">
        <f>_xlfn.XLOOKUP(F359,投产规格!E:E,投产规格!D:D,"未投产")</f>
        <v/>
      </c>
      <c r="L359" s="352">
        <f>IFERROR(_xlfn.XLOOKUP(F359,硫化工艺!B:B,硫化工艺!C:C),"")</f>
        <v/>
      </c>
      <c r="M359" s="430">
        <f>IF(L359="","",L359/(L359+$L$1/60))</f>
        <v/>
      </c>
      <c r="N359" s="352">
        <f>C359&amp;"全钢"</f>
        <v/>
      </c>
      <c r="O359" s="352">
        <f>IFERROR(_xlfn.XLOOKUP(F359,轮胎重量!J:J,轮胎重量!G:G),"")</f>
        <v/>
      </c>
      <c r="P359" s="352">
        <f>IFERROR(_xlfn.XLOOKUP(F359,硫化工艺!I:I,硫化工艺!J:J),"")</f>
        <v/>
      </c>
      <c r="Q359" s="352">
        <f>IFERROR(ROUND(1440/L359*(I359)*M359,0),"")</f>
        <v/>
      </c>
      <c r="R359" s="352" t="n"/>
      <c r="S359" s="352" t="n"/>
      <c r="T359" s="352" t="n"/>
      <c r="U359" s="352" t="n"/>
      <c r="V359" s="352" t="n"/>
      <c r="W359" s="352" t="n"/>
      <c r="X359" s="352" t="n"/>
      <c r="Y359" s="352" t="n"/>
      <c r="Z359" s="352" t="n"/>
      <c r="AA359" s="352" t="n"/>
      <c r="AB359" s="352" t="n"/>
      <c r="AC359" s="352" t="n"/>
      <c r="AD359" s="352" t="n"/>
      <c r="AE359" s="352" t="n"/>
      <c r="AF359" s="352" t="n"/>
      <c r="AG359" s="352" t="n"/>
      <c r="AH359" s="352" t="n"/>
      <c r="AI359" s="352" t="n"/>
      <c r="AJ359" s="352" t="n"/>
      <c r="AK359" s="352" t="n"/>
      <c r="AL359" s="352" t="n"/>
      <c r="AM359" s="352" t="n"/>
      <c r="AN359" s="352" t="n"/>
      <c r="AO359" s="352" t="n"/>
      <c r="AP359" s="352" t="n"/>
      <c r="AQ359" s="352" t="n"/>
      <c r="AR359" s="352" t="n"/>
      <c r="AS359" s="352" t="n"/>
      <c r="AT359" s="352" t="n"/>
      <c r="AU359" s="352" t="n"/>
      <c r="AV359" s="352" t="n"/>
      <c r="AW359" s="352">
        <f>IF(SUM(R359:AV359)=0,"",SUM(R359:AV359))</f>
        <v/>
      </c>
      <c r="AX359" s="431">
        <f>IFERROR(AW359*O359/1000,"")</f>
        <v/>
      </c>
      <c r="AY359" s="431">
        <f>IFERROR(ROUND(AW359*P359/10000,3),"")</f>
        <v/>
      </c>
      <c r="AZ359" s="354" t="n">
        <v>842.39</v>
      </c>
      <c r="BA359" s="355" t="n">
        <v>47.68</v>
      </c>
      <c r="BB359" s="355" t="n">
        <v>74.78</v>
      </c>
      <c r="BC359" s="355" t="n">
        <v>76.28</v>
      </c>
      <c r="BE359" s="331">
        <f>AZ359*AW359</f>
        <v/>
      </c>
      <c r="BF359" s="331">
        <f>BA359*AW359</f>
        <v/>
      </c>
      <c r="BG359" s="331">
        <f>BB359*AW359</f>
        <v/>
      </c>
      <c r="BH359" s="331">
        <f>BC359*AW359</f>
        <v/>
      </c>
      <c r="BJ359" s="356">
        <f t="array" ref="BJ359:BM359">_xlfn.LET(_xlpm.data,$R359:$AV359,_xlpm.starts,{1,8,16,23},_xlpm.lengths,{7,7,8,9},_xlpm.arr,_xlfn.MAP(_xlpm.starts,_xlpm.lengths,_xlfn.LAMBDA(_xlpm.s,_xlpm.l,SUM(INDEX(_xlpm.data,,_xlfn.SEQUENCE(,_xlpm.l,_xlpm.s))))),ROUND(_xlpm.arr*$O359/1000,2))</f>
        <v/>
      </c>
      <c r="BK359" s="331" t="n">
        <v>0</v>
      </c>
      <c r="BL359" s="331" t="n">
        <v>0</v>
      </c>
      <c r="BM359" s="331" t="n">
        <v>0</v>
      </c>
      <c r="BN359" s="362">
        <f>SUM(BJ359:BM359)</f>
        <v/>
      </c>
      <c r="BO359" s="362" t="n">
        <v>67.98</v>
      </c>
      <c r="BP359" s="362" t="n">
        <v>57.82</v>
      </c>
      <c r="BQ359" s="362" t="n">
        <v>0</v>
      </c>
      <c r="BR359" s="362" t="n">
        <v>0</v>
      </c>
      <c r="BT359" s="362">
        <f t="array" ref="BT359:BW359">_xlfn.HSTACK(SUM(INDEX($R359:$AV359,1,1):INDEX($R359:$AV359,1,7)),SUM(INDEX($R359:$AV359,1,7):INDEX($R359:$AV359,1,13)),SUM(INDEX($R359:$AV359,1,16):INDEX($R359:$AV359,1,23)),SUM(INDEX($R359:$AV359,1,23):INDEX($R359:$AV359,1,31)))</f>
        <v/>
      </c>
      <c r="BU359" s="362" t="n">
        <v>0</v>
      </c>
      <c r="BV359" s="362" t="n">
        <v>0</v>
      </c>
      <c r="BW359" s="362" t="n">
        <v>0</v>
      </c>
      <c r="BY359" s="362">
        <f>SUM(R359:X359)</f>
        <v/>
      </c>
      <c r="BZ359" s="362">
        <f>SUM(Y359:AE359)</f>
        <v/>
      </c>
      <c r="CA359" s="362">
        <f>SUM(AF359:AM359)</f>
        <v/>
      </c>
      <c r="CB359" s="362">
        <f>SUM(AN359:AV359)</f>
        <v/>
      </c>
      <c r="CE359" s="362">
        <f>ROUND(BY359*$O359/1000,2)</f>
        <v/>
      </c>
      <c r="CF359" s="362">
        <f>ROUND(BZ359*$O359/1000,2)</f>
        <v/>
      </c>
      <c r="CG359" s="362">
        <f>ROUND(CA359*$O359/1000,2)</f>
        <v/>
      </c>
      <c r="CH359" s="362">
        <f>ROUND(CB359*$O359/1000,2)</f>
        <v/>
      </c>
      <c r="CI359" s="362">
        <f>SUM(CE359:CH359)</f>
        <v/>
      </c>
      <c r="CK359" s="362">
        <f>IFERROR(ROUND(BY359*$P359,2),"")</f>
        <v/>
      </c>
      <c r="CL359" s="362">
        <f>IFERROR(ROUND(BZ359*$P359,2),"")</f>
        <v/>
      </c>
      <c r="CM359" s="362">
        <f>IFERROR(ROUND(CA359*$P359,2),"")</f>
        <v/>
      </c>
      <c r="CN359" s="362">
        <f>IFERROR(ROUND(CB359*$P359,2),"")</f>
        <v/>
      </c>
      <c r="CO359" s="362">
        <f>SUM(CK359:CN359)</f>
        <v/>
      </c>
    </row>
    <row r="360" hidden="1" s="428">
      <c r="B360" s="344">
        <f>_xlfn.XLOOKUP(G360,销售需求表!A:A,销售需求表!C:C)</f>
        <v/>
      </c>
      <c r="C360" s="345">
        <f>IFERROR(MID(F360,FIND("R",F360)+1,2),"")</f>
        <v/>
      </c>
      <c r="D360" s="369">
        <f>B360&amp;C360&amp;"寸"</f>
        <v/>
      </c>
      <c r="E360" s="346">
        <f>LEFT(REPLACE(G360,1,2,""),FIND("[",REPLACE(G360,1,2,""))-1)&amp;"-"&amp;MID(REPLACE(G360,1,2,""),FIND("[",REPLACE(G360,1,2,""))+1,FIND("]",REPLACE(G360,1,2,""))-FIND("[",REPLACE(G360,1,2,""))-1)</f>
        <v/>
      </c>
      <c r="F360" s="346">
        <f>IFERROR(IFERROR(SUBSTITUTE(E360,"("&amp;MID(E360,FIND("(",E360)+1,FIND(")",E360)-FIND("(",E360)-1)&amp;")",""),E360),"")</f>
        <v/>
      </c>
      <c r="G360" s="346" t="n"/>
      <c r="H360" s="344" t="n"/>
      <c r="I360" s="348" t="n"/>
      <c r="J360" s="349">
        <f>IFERROR(LEFT(F360,FIND("-",F360))&amp;MID(F360,FIND("PR",F360,FIND("-",F360))+3,LEN(F360)),F360)</f>
        <v/>
      </c>
      <c r="K360" s="352">
        <f>_xlfn.XLOOKUP(F360,投产规格!E:E,投产规格!D:D,"未投产")</f>
        <v/>
      </c>
      <c r="L360" s="352">
        <f>IFERROR(_xlfn.XLOOKUP(F360,硫化工艺!B:B,硫化工艺!C:C),"")</f>
        <v/>
      </c>
      <c r="M360" s="430">
        <f>IF(L360="","",L360/(L360+$L$1/60))</f>
        <v/>
      </c>
      <c r="N360" s="352">
        <f>C360&amp;"全钢"</f>
        <v/>
      </c>
      <c r="O360" s="352">
        <f>IFERROR(_xlfn.XLOOKUP(F360,轮胎重量!J:J,轮胎重量!G:G),"")</f>
        <v/>
      </c>
      <c r="P360" s="358">
        <f>O360*13.9</f>
        <v/>
      </c>
      <c r="Q360" s="352">
        <f>IFERROR(ROUND(1440/L360*(I360)*M360,0),"")</f>
        <v/>
      </c>
      <c r="R360" s="352" t="n"/>
      <c r="S360" s="352" t="n"/>
      <c r="T360" s="352" t="n"/>
      <c r="U360" s="352" t="n"/>
      <c r="V360" s="352" t="n"/>
      <c r="W360" s="352" t="n"/>
      <c r="X360" s="352" t="n"/>
      <c r="Y360" s="352" t="n"/>
      <c r="Z360" s="352" t="n"/>
      <c r="AA360" s="352" t="n"/>
      <c r="AB360" s="352" t="n"/>
      <c r="AC360" s="352" t="n"/>
      <c r="AD360" s="352" t="n"/>
      <c r="AE360" s="352" t="n"/>
      <c r="AF360" s="352" t="n"/>
      <c r="AG360" s="352" t="n"/>
      <c r="AH360" s="352" t="n"/>
      <c r="AI360" s="352" t="n"/>
      <c r="AJ360" s="352" t="n"/>
      <c r="AK360" s="352" t="n"/>
      <c r="AL360" s="352" t="n"/>
      <c r="AM360" s="352" t="n"/>
      <c r="AN360" s="352" t="n"/>
      <c r="AO360" s="352" t="n"/>
      <c r="AP360" s="352" t="n"/>
      <c r="AQ360" s="352" t="n"/>
      <c r="AR360" s="352" t="n"/>
      <c r="AS360" s="352" t="n"/>
      <c r="AT360" s="352" t="n"/>
      <c r="AU360" s="352" t="n"/>
      <c r="AV360" s="352" t="n"/>
      <c r="AW360" s="352">
        <f>IF(SUM(R360:AV360)=0,"",SUM(R360:AV360))</f>
        <v/>
      </c>
      <c r="AX360" s="431">
        <f>IFERROR(AW360*O360/1000,"")</f>
        <v/>
      </c>
      <c r="AY360" s="431">
        <f>IFERROR(ROUND(AW360*P360/10000,3),"")</f>
        <v/>
      </c>
      <c r="AZ360" s="354" t="n">
        <v>834.98</v>
      </c>
      <c r="BA360" s="355" t="n">
        <v>49.6</v>
      </c>
      <c r="BB360" s="355" t="n">
        <v>76.03</v>
      </c>
      <c r="BC360" s="355" t="n">
        <v>81.43000000000001</v>
      </c>
      <c r="BE360" s="331">
        <f>AZ360*AW360</f>
        <v/>
      </c>
      <c r="BF360" s="331">
        <f>BA360*AW360</f>
        <v/>
      </c>
      <c r="BG360" s="331">
        <f>BB360*AW360</f>
        <v/>
      </c>
      <c r="BH360" s="331">
        <f>BC360*AW360</f>
        <v/>
      </c>
      <c r="BJ360" s="356">
        <f t="array" ref="BJ360:BM360">_xlfn.LET(_xlpm.data,$R360:$AV360,_xlpm.starts,{1,8,16,23},_xlpm.lengths,{7,7,8,9},_xlpm.arr,_xlfn.MAP(_xlpm.starts,_xlpm.lengths,_xlfn.LAMBDA(_xlpm.s,_xlpm.l,SUM(INDEX(_xlpm.data,,_xlfn.SEQUENCE(,_xlpm.l,_xlpm.s))))),ROUND(_xlpm.arr*$O360/1000,2))</f>
        <v/>
      </c>
      <c r="BK360" s="331" t="n">
        <v>0</v>
      </c>
      <c r="BL360" s="331" t="n">
        <v>0</v>
      </c>
      <c r="BM360" s="331" t="n">
        <v>0</v>
      </c>
      <c r="BN360" s="362">
        <f>SUM(BJ360:BM360)</f>
        <v/>
      </c>
      <c r="BO360" s="362" t="n">
        <v>0</v>
      </c>
      <c r="BP360" s="362" t="n">
        <v>8.34</v>
      </c>
      <c r="BQ360" s="362" t="n">
        <v>66.73999999999999</v>
      </c>
      <c r="BR360" s="362" t="n">
        <v>75.08</v>
      </c>
      <c r="BT360" s="362">
        <f t="array" ref="BT360:BW360">_xlfn.HSTACK(SUM(INDEX($R360:$AV360,1,1):INDEX($R360:$AV360,1,7)),SUM(INDEX($R360:$AV360,1,7):INDEX($R360:$AV360,1,13)),SUM(INDEX($R360:$AV360,1,16):INDEX($R360:$AV360,1,23)),SUM(INDEX($R360:$AV360,1,23):INDEX($R360:$AV360,1,31)))</f>
        <v/>
      </c>
      <c r="BU360" s="362" t="n">
        <v>0</v>
      </c>
      <c r="BV360" s="362" t="n">
        <v>0</v>
      </c>
      <c r="BW360" s="362" t="n">
        <v>0</v>
      </c>
      <c r="BY360" s="362">
        <f>SUM(R360:X360)</f>
        <v/>
      </c>
      <c r="BZ360" s="362">
        <f>SUM(Y360:AE360)</f>
        <v/>
      </c>
      <c r="CA360" s="362">
        <f>SUM(AF360:AM360)</f>
        <v/>
      </c>
      <c r="CB360" s="362">
        <f>SUM(AN360:AV360)</f>
        <v/>
      </c>
      <c r="CE360" s="362">
        <f>ROUND(BY360*$O360/1000,2)</f>
        <v/>
      </c>
      <c r="CF360" s="362">
        <f>ROUND(BZ360*$O360/1000,2)</f>
        <v/>
      </c>
      <c r="CG360" s="362">
        <f>ROUND(CA360*$O360/1000,2)</f>
        <v/>
      </c>
      <c r="CH360" s="362">
        <f>ROUND(CB360*$O360/1000,2)</f>
        <v/>
      </c>
      <c r="CI360" s="362">
        <f>SUM(CE360:CH360)</f>
        <v/>
      </c>
      <c r="CK360" s="362">
        <f>IFERROR(ROUND(BY360*$P360,2),"")</f>
        <v/>
      </c>
      <c r="CL360" s="362">
        <f>IFERROR(ROUND(BZ360*$P360,2),"")</f>
        <v/>
      </c>
      <c r="CM360" s="362">
        <f>IFERROR(ROUND(CA360*$P360,2),"")</f>
        <v/>
      </c>
      <c r="CN360" s="362">
        <f>IFERROR(ROUND(CB360*$P360,2),"")</f>
        <v/>
      </c>
      <c r="CO360" s="362">
        <f>SUM(CK360:CN360)</f>
        <v/>
      </c>
    </row>
    <row r="361" hidden="1" s="428">
      <c r="B361" s="344">
        <f>_xlfn.XLOOKUP(G361,销售需求表!A:A,销售需求表!C:C)</f>
        <v/>
      </c>
      <c r="C361" s="345">
        <f>IFERROR(MID(F361,FIND("R",F361)+1,2),"")</f>
        <v/>
      </c>
      <c r="D361" s="368">
        <f>B361&amp;C361&amp;"寸"</f>
        <v/>
      </c>
      <c r="E361" s="346">
        <f>LEFT(REPLACE(G361,1,2,""),FIND("[",REPLACE(G361,1,2,""))-1)&amp;"-"&amp;MID(REPLACE(G361,1,2,""),FIND("[",REPLACE(G361,1,2,""))+1,FIND("]",REPLACE(G361,1,2,""))-FIND("[",REPLACE(G361,1,2,""))-1)</f>
        <v/>
      </c>
      <c r="F361" s="346">
        <f>IFERROR(IFERROR(SUBSTITUTE(E361,"("&amp;MID(E361,FIND("(",E361)+1,FIND(")",E361)-FIND("(",E361)-1)&amp;")",""),E361),"")</f>
        <v/>
      </c>
      <c r="G361" s="346" t="n"/>
      <c r="H361" s="344" t="n"/>
      <c r="I361" s="348" t="n"/>
      <c r="J361" s="349">
        <f>IFERROR(LEFT(F361,FIND("-",F361))&amp;MID(F361,FIND("PR",F361,FIND("-",F361))+3,LEN(F361)),F361)</f>
        <v/>
      </c>
      <c r="K361" s="352">
        <f>_xlfn.XLOOKUP(F361,投产规格!E:E,投产规格!D:D,"未投产")</f>
        <v/>
      </c>
      <c r="L361" s="352">
        <f>IFERROR(_xlfn.XLOOKUP(F361,硫化工艺!B:B,硫化工艺!C:C),"")</f>
        <v/>
      </c>
      <c r="M361" s="430">
        <f>IF(L361="","",L361/(L361+$L$1/60))</f>
        <v/>
      </c>
      <c r="N361" s="352">
        <f>C361&amp;"全钢"</f>
        <v/>
      </c>
      <c r="O361" s="352">
        <f>IFERROR(_xlfn.XLOOKUP(F361,轮胎重量!J:J,轮胎重量!G:G),"")</f>
        <v/>
      </c>
      <c r="P361" s="352">
        <f>IFERROR(_xlfn.XLOOKUP(F361,硫化工艺!I:I,硫化工艺!J:J),"")</f>
        <v/>
      </c>
      <c r="Q361" s="352">
        <f>IFERROR(ROUND(1440/L361*(I361)*M361,0),"")</f>
        <v/>
      </c>
      <c r="R361" s="352" t="n"/>
      <c r="S361" s="352" t="n"/>
      <c r="T361" s="352" t="n"/>
      <c r="U361" s="352" t="n"/>
      <c r="V361" s="352" t="n"/>
      <c r="W361" s="352" t="n"/>
      <c r="X361" s="352" t="n"/>
      <c r="Y361" s="352" t="n"/>
      <c r="Z361" s="352" t="n"/>
      <c r="AA361" s="352" t="n"/>
      <c r="AB361" s="352" t="n"/>
      <c r="AC361" s="352" t="n"/>
      <c r="AD361" s="352" t="n"/>
      <c r="AE361" s="352" t="n"/>
      <c r="AF361" s="352" t="n"/>
      <c r="AG361" s="352" t="n"/>
      <c r="AH361" s="352" t="n"/>
      <c r="AI361" s="352" t="n"/>
      <c r="AJ361" s="352" t="n"/>
      <c r="AK361" s="352" t="n"/>
      <c r="AL361" s="352" t="n"/>
      <c r="AM361" s="352" t="n"/>
      <c r="AN361" s="352" t="n"/>
      <c r="AO361" s="352" t="n"/>
      <c r="AP361" s="352" t="n"/>
      <c r="AQ361" s="352" t="n"/>
      <c r="AR361" s="352" t="n"/>
      <c r="AS361" s="352" t="n"/>
      <c r="AT361" s="352" t="n"/>
      <c r="AU361" s="352" t="n"/>
      <c r="AV361" s="352" t="n"/>
      <c r="AW361" s="352">
        <f>IF(SUM(R361:AV361)=0,"",SUM(R361:AV361))</f>
        <v/>
      </c>
      <c r="AX361" s="431">
        <f>IFERROR(AW361*O361/1000,"")</f>
        <v/>
      </c>
      <c r="AY361" s="431">
        <f>IFERROR(ROUND(AW361*P361/10000,3),"")</f>
        <v/>
      </c>
      <c r="AZ361" s="354" t="n">
        <v>861.64</v>
      </c>
      <c r="BA361" s="355" t="n">
        <v>52.93</v>
      </c>
      <c r="BB361" s="355" t="n">
        <v>78.33</v>
      </c>
      <c r="BC361" s="355" t="n">
        <v>85.7</v>
      </c>
      <c r="BE361" s="331">
        <f>AZ361*AW361</f>
        <v/>
      </c>
      <c r="BF361" s="331">
        <f>BA361*AW361</f>
        <v/>
      </c>
      <c r="BG361" s="331">
        <f>BB361*AW361</f>
        <v/>
      </c>
      <c r="BH361" s="331">
        <f>BC361*AW361</f>
        <v/>
      </c>
      <c r="BJ361" s="356">
        <f t="array" ref="BJ361:BM361">_xlfn.LET(_xlpm.data,$R361:$AV361,_xlpm.starts,{1,8,16,23},_xlpm.lengths,{7,7,8,9},_xlpm.arr,_xlfn.MAP(_xlpm.starts,_xlpm.lengths,_xlfn.LAMBDA(_xlpm.s,_xlpm.l,SUM(INDEX(_xlpm.data,,_xlfn.SEQUENCE(,_xlpm.l,_xlpm.s))))),ROUND(_xlpm.arr*$O361/1000,2))</f>
        <v/>
      </c>
      <c r="BK361" s="331" t="n">
        <v>0</v>
      </c>
      <c r="BL361" s="331" t="n">
        <v>0</v>
      </c>
      <c r="BM361" s="331" t="n">
        <v>0</v>
      </c>
      <c r="BN361" s="362">
        <f>SUM(BJ361:BM361)</f>
        <v/>
      </c>
      <c r="BO361" s="362" t="n">
        <v>0</v>
      </c>
      <c r="BP361" s="362" t="n">
        <v>0</v>
      </c>
      <c r="BQ361" s="362" t="n">
        <v>0</v>
      </c>
      <c r="BR361" s="362" t="n">
        <v>0</v>
      </c>
      <c r="BT361" s="362">
        <f t="array" ref="BT361:BW361">_xlfn.HSTACK(SUM(INDEX($R361:$AV361,1,1):INDEX($R361:$AV361,1,7)),SUM(INDEX($R361:$AV361,1,7):INDEX($R361:$AV361,1,13)),SUM(INDEX($R361:$AV361,1,16):INDEX($R361:$AV361,1,23)),SUM(INDEX($R361:$AV361,1,23):INDEX($R361:$AV361,1,31)))</f>
        <v/>
      </c>
      <c r="BU361" s="362" t="n">
        <v>0</v>
      </c>
      <c r="BV361" s="362" t="n">
        <v>0</v>
      </c>
      <c r="BW361" s="362" t="n">
        <v>0</v>
      </c>
      <c r="BY361" s="362">
        <f>SUM(R361:X361)</f>
        <v/>
      </c>
      <c r="BZ361" s="362">
        <f>SUM(Y361:AE361)</f>
        <v/>
      </c>
      <c r="CA361" s="362">
        <f>SUM(AF361:AM361)</f>
        <v/>
      </c>
      <c r="CB361" s="362">
        <f>SUM(AN361:AV361)</f>
        <v/>
      </c>
      <c r="CE361" s="362">
        <f>ROUND(BY361*$O361/1000,2)</f>
        <v/>
      </c>
      <c r="CF361" s="362">
        <f>ROUND(BZ361*$O361/1000,2)</f>
        <v/>
      </c>
      <c r="CG361" s="362">
        <f>ROUND(CA361*$O361/1000,2)</f>
        <v/>
      </c>
      <c r="CH361" s="362">
        <f>ROUND(CB361*$O361/1000,2)</f>
        <v/>
      </c>
      <c r="CI361" s="362">
        <f>SUM(CE361:CH361)</f>
        <v/>
      </c>
      <c r="CK361" s="362">
        <f>IFERROR(ROUND(BY361*$P361,2),"")</f>
        <v/>
      </c>
      <c r="CL361" s="362">
        <f>IFERROR(ROUND(BZ361*$P361,2),"")</f>
        <v/>
      </c>
      <c r="CM361" s="362">
        <f>IFERROR(ROUND(CA361*$P361,2),"")</f>
        <v/>
      </c>
      <c r="CN361" s="362">
        <f>IFERROR(ROUND(CB361*$P361,2),"")</f>
        <v/>
      </c>
      <c r="CO361" s="362">
        <f>SUM(CK361:CN361)</f>
        <v/>
      </c>
    </row>
    <row r="362" hidden="1" customFormat="1" s="362">
      <c r="A362" s="331" t="n"/>
      <c r="B362" s="344">
        <f>_xlfn.XLOOKUP(G362,销售需求表!A:A,销售需求表!C:C)</f>
        <v/>
      </c>
      <c r="C362" s="345">
        <f>IFERROR(MID(F362,FIND("R",F362)+1,2),"")</f>
        <v/>
      </c>
      <c r="D362" s="368">
        <f>B362&amp;C362&amp;"寸"</f>
        <v/>
      </c>
      <c r="E362" s="346">
        <f>LEFT(REPLACE(G362,1,2,""),FIND("[",REPLACE(G362,1,2,""))-1)&amp;"-"&amp;MID(REPLACE(G362,1,2,""),FIND("[",REPLACE(G362,1,2,""))+1,FIND("]",REPLACE(G362,1,2,""))-FIND("[",REPLACE(G362,1,2,""))-1)</f>
        <v/>
      </c>
      <c r="F362" s="346">
        <f>IFERROR(IFERROR(SUBSTITUTE(E362,"("&amp;MID(E362,FIND("(",E362)+1,FIND(")",E362)-FIND("(",E362)-1)&amp;")",""),E362),"")</f>
        <v/>
      </c>
      <c r="G362" s="346" t="n"/>
      <c r="H362" s="344" t="n"/>
      <c r="I362" s="348" t="n"/>
      <c r="J362" s="349">
        <f>IFERROR(LEFT(F362,FIND("-",F362))&amp;MID(F362,FIND("PR",F362,FIND("-",F362))+3,LEN(F362)),F362)</f>
        <v/>
      </c>
      <c r="K362" s="352">
        <f>_xlfn.XLOOKUP(F362,投产规格!E:E,投产规格!D:D,"未投产")</f>
        <v/>
      </c>
      <c r="L362" s="352">
        <f>IFERROR(_xlfn.XLOOKUP(F362,硫化工艺!B:B,硫化工艺!C:C),"")</f>
        <v/>
      </c>
      <c r="M362" s="430">
        <f>IF(L362="","",L362/(L362+$L$1/60))</f>
        <v/>
      </c>
      <c r="N362" s="352">
        <f>C362&amp;"全钢"</f>
        <v/>
      </c>
      <c r="O362" s="352">
        <f>IFERROR(_xlfn.XLOOKUP(F362,轮胎重量!J:J,轮胎重量!G:G),"")</f>
        <v/>
      </c>
      <c r="P362" s="352">
        <f>IFERROR(_xlfn.XLOOKUP(F362,硫化工艺!I:I,硫化工艺!J:J),"")</f>
        <v/>
      </c>
      <c r="Q362" s="352">
        <f>IFERROR(ROUND(1440/L362*(I362)*M362,0),"")</f>
        <v/>
      </c>
      <c r="R362" s="352" t="n"/>
      <c r="S362" s="352" t="n"/>
      <c r="T362" s="352" t="n"/>
      <c r="U362" s="352" t="n"/>
      <c r="V362" s="352" t="n"/>
      <c r="W362" s="352" t="n"/>
      <c r="X362" s="352" t="n"/>
      <c r="Y362" s="352" t="n"/>
      <c r="Z362" s="352" t="n"/>
      <c r="AA362" s="352" t="n"/>
      <c r="AB362" s="352" t="n"/>
      <c r="AC362" s="352" t="n"/>
      <c r="AD362" s="352" t="n"/>
      <c r="AE362" s="352" t="n"/>
      <c r="AF362" s="352" t="n"/>
      <c r="AG362" s="352" t="n"/>
      <c r="AH362" s="352" t="n"/>
      <c r="AI362" s="352" t="n"/>
      <c r="AJ362" s="352" t="n"/>
      <c r="AK362" s="352" t="n"/>
      <c r="AL362" s="352" t="n"/>
      <c r="AM362" s="352" t="n"/>
      <c r="AN362" s="352" t="n"/>
      <c r="AO362" s="352" t="n"/>
      <c r="AP362" s="352" t="n"/>
      <c r="AQ362" s="352" t="n"/>
      <c r="AR362" s="352" t="n"/>
      <c r="AS362" s="352" t="n"/>
      <c r="AT362" s="352" t="n"/>
      <c r="AU362" s="352" t="n"/>
      <c r="AV362" s="352" t="n"/>
      <c r="AW362" s="352">
        <f>IF(SUM(R362:AV362)=0,"",SUM(R362:AV362))</f>
        <v/>
      </c>
      <c r="AX362" s="431">
        <f>IFERROR(AW362*O362/1000,"")</f>
        <v/>
      </c>
      <c r="AY362" s="431">
        <f>IFERROR(ROUND(AW362*P362/10000,3),"")</f>
        <v/>
      </c>
      <c r="AZ362" s="354" t="n">
        <v>828.4</v>
      </c>
      <c r="BA362" s="355" t="n">
        <v>50.66</v>
      </c>
      <c r="BB362" s="355" t="n">
        <v>75.77</v>
      </c>
      <c r="BC362" s="355" t="n">
        <v>82.47</v>
      </c>
      <c r="BD362" s="331" t="n"/>
      <c r="BE362" s="331">
        <f>AZ362*AW362</f>
        <v/>
      </c>
      <c r="BF362" s="331">
        <f>BA362*AW362</f>
        <v/>
      </c>
      <c r="BG362" s="331">
        <f>BB362*AW362</f>
        <v/>
      </c>
      <c r="BH362" s="331">
        <f>BC362*AW362</f>
        <v/>
      </c>
      <c r="BI362" s="331" t="n"/>
      <c r="BJ362" s="356">
        <f t="array" ref="BJ362:BM362">_xlfn.LET(_xlpm.data,$R362:$AV362,_xlpm.starts,{1,8,16,23},_xlpm.lengths,{7,7,8,9},_xlpm.arr,_xlfn.MAP(_xlpm.starts,_xlpm.lengths,_xlfn.LAMBDA(_xlpm.s,_xlpm.l,SUM(INDEX(_xlpm.data,,_xlfn.SEQUENCE(,_xlpm.l,_xlpm.s))))),ROUND(_xlpm.arr*$O362/1000,2))</f>
        <v/>
      </c>
      <c r="BK362" s="331" t="n">
        <v>0</v>
      </c>
      <c r="BL362" s="331" t="n">
        <v>0</v>
      </c>
      <c r="BM362" s="331" t="n">
        <v>0</v>
      </c>
      <c r="BN362" s="362">
        <f>SUM(BJ362:BM362)</f>
        <v/>
      </c>
      <c r="BO362" s="362" t="n">
        <v>0</v>
      </c>
      <c r="BP362" s="362" t="n">
        <v>0</v>
      </c>
      <c r="BQ362" s="362" t="n">
        <v>0</v>
      </c>
      <c r="BR362" s="362" t="n">
        <v>16.09</v>
      </c>
      <c r="BS362" s="115">
        <f>Q362*O362</f>
        <v/>
      </c>
      <c r="BT362" s="362">
        <f t="array" ref="BT362:BW362">_xlfn.HSTACK(SUM(INDEX($R362:$AV362,1,1):INDEX($R362:$AV362,1,7)),SUM(INDEX($R362:$AV362,1,7):INDEX($R362:$AV362,1,13)),SUM(INDEX($R362:$AV362,1,16):INDEX($R362:$AV362,1,23)),SUM(INDEX($R362:$AV362,1,23):INDEX($R362:$AV362,1,31)))</f>
        <v/>
      </c>
      <c r="BU362" s="362" t="n">
        <v>0</v>
      </c>
      <c r="BV362" s="362" t="n">
        <v>0</v>
      </c>
      <c r="BW362" s="362" t="n">
        <v>0</v>
      </c>
      <c r="BY362" s="362">
        <f>SUM(R362:X362)</f>
        <v/>
      </c>
      <c r="BZ362" s="362">
        <f>SUM(Y362:AE362)</f>
        <v/>
      </c>
      <c r="CA362" s="362">
        <f>SUM(AF362:AM362)</f>
        <v/>
      </c>
      <c r="CB362" s="362">
        <f>SUM(AN362:AV362)</f>
        <v/>
      </c>
      <c r="CD362" s="390" t="n"/>
      <c r="CE362" s="362">
        <f>ROUND(BY362*$O362/1000,2)</f>
        <v/>
      </c>
      <c r="CF362" s="362">
        <f>ROUND(BZ362*$O362/1000,2)</f>
        <v/>
      </c>
      <c r="CG362" s="362">
        <f>ROUND(CA362*$O362/1000,2)</f>
        <v/>
      </c>
      <c r="CH362" s="362">
        <f>ROUND(CB362*$O362/1000,2)</f>
        <v/>
      </c>
      <c r="CI362" s="362">
        <f>SUM(CE362:CH362)</f>
        <v/>
      </c>
      <c r="CJ362" s="390" t="n"/>
      <c r="CK362" s="362">
        <f>IFERROR(ROUND(BY362*$P362,2),"")</f>
        <v/>
      </c>
      <c r="CL362" s="362">
        <f>IFERROR(ROUND(BZ362*$P362,2),"")</f>
        <v/>
      </c>
      <c r="CM362" s="362">
        <f>IFERROR(ROUND(CA362*$P362,2),"")</f>
        <v/>
      </c>
      <c r="CN362" s="362">
        <f>IFERROR(ROUND(CB362*$P362,2),"")</f>
        <v/>
      </c>
      <c r="CO362" s="362">
        <f>SUM(CK362:CN362)</f>
        <v/>
      </c>
    </row>
    <row r="363" hidden="1" s="428">
      <c r="B363" s="344">
        <f>_xlfn.XLOOKUP(G363,销售需求表!A:A,销售需求表!C:C)</f>
        <v/>
      </c>
      <c r="C363" s="345">
        <f>IFERROR(MID(F363,FIND("R",F363)+1,2),"")</f>
        <v/>
      </c>
      <c r="D363" s="368">
        <f>B363&amp;C363&amp;"寸"</f>
        <v/>
      </c>
      <c r="E363" s="346">
        <f>LEFT(REPLACE(G363,1,2,""),FIND("[",REPLACE(G363,1,2,""))-1)&amp;"-"&amp;MID(REPLACE(G363,1,2,""),FIND("[",REPLACE(G363,1,2,""))+1,FIND("]",REPLACE(G363,1,2,""))-FIND("[",REPLACE(G363,1,2,""))-1)</f>
        <v/>
      </c>
      <c r="F363" s="346">
        <f>IFERROR(IFERROR(SUBSTITUTE(E363,"("&amp;MID(E363,FIND("(",E363)+1,FIND(")",E363)-FIND("(",E363)-1)&amp;")",""),E363),"")</f>
        <v/>
      </c>
      <c r="G363" s="346" t="n"/>
      <c r="H363" s="344" t="n"/>
      <c r="I363" s="348" t="n"/>
      <c r="J363" s="349">
        <f>IFERROR(LEFT(F363,FIND("-",F363))&amp;MID(F363,FIND("PR",F363,FIND("-",F363))+3,LEN(F363)),F363)</f>
        <v/>
      </c>
      <c r="K363" s="352">
        <f>_xlfn.XLOOKUP(F363,投产规格!E:E,投产规格!D:D,"未投产")</f>
        <v/>
      </c>
      <c r="L363" s="352">
        <f>IFERROR(_xlfn.XLOOKUP(F363,硫化工艺!B:B,硫化工艺!C:C),"")</f>
        <v/>
      </c>
      <c r="M363" s="430">
        <f>IF(L363="","",L363/(L363+$L$1/60))</f>
        <v/>
      </c>
      <c r="N363" s="352">
        <f>C363&amp;"全钢"</f>
        <v/>
      </c>
      <c r="O363" s="352">
        <f>IFERROR(_xlfn.XLOOKUP(F363,轮胎重量!J:J,轮胎重量!G:G),"")</f>
        <v/>
      </c>
      <c r="P363" s="358">
        <f>O363*13.9</f>
        <v/>
      </c>
      <c r="Q363" s="352">
        <f>IFERROR(ROUND(1440/L363*(I363)*M363,0),"")</f>
        <v/>
      </c>
      <c r="R363" s="352" t="n"/>
      <c r="S363" s="352" t="n"/>
      <c r="T363" s="352" t="n"/>
      <c r="U363" s="352" t="n"/>
      <c r="V363" s="352" t="n"/>
      <c r="W363" s="352" t="n"/>
      <c r="X363" s="352" t="n"/>
      <c r="Y363" s="352" t="n"/>
      <c r="Z363" s="352" t="n"/>
      <c r="AA363" s="352" t="n"/>
      <c r="AB363" s="352" t="n"/>
      <c r="AC363" s="352" t="n"/>
      <c r="AD363" s="352" t="n"/>
      <c r="AE363" s="352" t="n"/>
      <c r="AF363" s="352" t="n"/>
      <c r="AG363" s="352" t="n"/>
      <c r="AH363" s="352" t="n"/>
      <c r="AI363" s="352" t="n"/>
      <c r="AJ363" s="352" t="n"/>
      <c r="AK363" s="352" t="n"/>
      <c r="AL363" s="352" t="n"/>
      <c r="AM363" s="352" t="n"/>
      <c r="AN363" s="352" t="n"/>
      <c r="AO363" s="352" t="n"/>
      <c r="AP363" s="352" t="n"/>
      <c r="AQ363" s="352" t="n"/>
      <c r="AR363" s="352" t="n"/>
      <c r="AS363" s="352" t="n"/>
      <c r="AT363" s="352" t="n"/>
      <c r="AU363" s="352" t="n"/>
      <c r="AV363" s="352" t="n"/>
      <c r="AW363" s="352">
        <f>IF(SUM(R363:AV363)=0,"",SUM(R363:AV363))</f>
        <v/>
      </c>
      <c r="AX363" s="431">
        <f>IFERROR(AW363*O363/1000,"")</f>
        <v/>
      </c>
      <c r="AY363" s="431">
        <f>IFERROR(ROUND(AW363*P363/10000,3),"")</f>
        <v/>
      </c>
      <c r="AZ363" s="354" t="n">
        <v>864.55</v>
      </c>
      <c r="BA363" s="355" t="n">
        <v>53.34</v>
      </c>
      <c r="BB363" s="355" t="n">
        <v>78.72</v>
      </c>
      <c r="BC363" s="355" t="n">
        <v>86.44</v>
      </c>
      <c r="BE363" s="331">
        <f>AZ363*AW363</f>
        <v/>
      </c>
      <c r="BF363" s="331">
        <f>BA363*AW363</f>
        <v/>
      </c>
      <c r="BG363" s="331">
        <f>BB363*AW363</f>
        <v/>
      </c>
      <c r="BH363" s="331">
        <f>BC363*AW363</f>
        <v/>
      </c>
      <c r="BJ363" s="356">
        <f t="array" ref="BJ363:BM363">_xlfn.LET(_xlpm.data,$R363:$AV363,_xlpm.starts,{1,8,16,23},_xlpm.lengths,{7,7,8,9},_xlpm.arr,_xlfn.MAP(_xlpm.starts,_xlpm.lengths,_xlfn.LAMBDA(_xlpm.s,_xlpm.l,SUM(INDEX(_xlpm.data,,_xlfn.SEQUENCE(,_xlpm.l,_xlpm.s))))),ROUND(_xlpm.arr*$O363/1000,2))</f>
        <v/>
      </c>
      <c r="BK363" s="331" t="n">
        <v>0</v>
      </c>
      <c r="BL363" s="331" t="n">
        <v>0</v>
      </c>
      <c r="BM363" s="331" t="n">
        <v>0</v>
      </c>
      <c r="BN363" s="362">
        <f>SUM(BJ363:BM363)</f>
        <v/>
      </c>
      <c r="BO363" s="362" t="n">
        <v>0</v>
      </c>
      <c r="BP363" s="362" t="n">
        <v>0</v>
      </c>
      <c r="BQ363" s="362" t="n">
        <v>4.04</v>
      </c>
      <c r="BR363" s="362" t="n">
        <v>20.2</v>
      </c>
      <c r="BT363" s="362">
        <f t="array" ref="BT363:BW363">_xlfn.HSTACK(SUM(INDEX($R363:$AV363,1,1):INDEX($R363:$AV363,1,7)),SUM(INDEX($R363:$AV363,1,7):INDEX($R363:$AV363,1,13)),SUM(INDEX($R363:$AV363,1,16):INDEX($R363:$AV363,1,23)),SUM(INDEX($R363:$AV363,1,23):INDEX($R363:$AV363,1,31)))</f>
        <v/>
      </c>
      <c r="BU363" s="362" t="n">
        <v>0</v>
      </c>
      <c r="BV363" s="362" t="n">
        <v>0</v>
      </c>
      <c r="BW363" s="362" t="n">
        <v>0</v>
      </c>
      <c r="BY363" s="362">
        <f>SUM(R363:X363)</f>
        <v/>
      </c>
      <c r="BZ363" s="362">
        <f>SUM(Y363:AE363)</f>
        <v/>
      </c>
      <c r="CA363" s="362">
        <f>SUM(AF363:AM363)</f>
        <v/>
      </c>
      <c r="CB363" s="362">
        <f>SUM(AN363:AV363)</f>
        <v/>
      </c>
      <c r="CE363" s="362">
        <f>ROUND(BY363*$O363/1000,2)</f>
        <v/>
      </c>
      <c r="CF363" s="362">
        <f>ROUND(BZ363*$O363/1000,2)</f>
        <v/>
      </c>
      <c r="CG363" s="362">
        <f>ROUND(CA363*$O363/1000,2)</f>
        <v/>
      </c>
      <c r="CH363" s="362">
        <f>ROUND(CB363*$O363/1000,2)</f>
        <v/>
      </c>
      <c r="CI363" s="362">
        <f>SUM(CE363:CH363)</f>
        <v/>
      </c>
      <c r="CK363" s="362">
        <f>IFERROR(ROUND(BY363*$P363,2),"")</f>
        <v/>
      </c>
      <c r="CL363" s="362">
        <f>IFERROR(ROUND(BZ363*$P363,2),"")</f>
        <v/>
      </c>
      <c r="CM363" s="362">
        <f>IFERROR(ROUND(CA363*$P363,2),"")</f>
        <v/>
      </c>
      <c r="CN363" s="362">
        <f>IFERROR(ROUND(CB363*$P363,2),"")</f>
        <v/>
      </c>
      <c r="CO363" s="362">
        <f>SUM(CK363:CN363)</f>
        <v/>
      </c>
    </row>
    <row r="364" hidden="1" customFormat="1" s="362">
      <c r="A364" s="331" t="n"/>
      <c r="B364" s="344">
        <f>_xlfn.XLOOKUP(G364,销售需求表!A:A,销售需求表!C:C)</f>
        <v/>
      </c>
      <c r="C364" s="345">
        <f>IFERROR(MID(F364,FIND("R",F364)+1,2),"")</f>
        <v/>
      </c>
      <c r="D364" s="368">
        <f>B364&amp;C364&amp;"寸"</f>
        <v/>
      </c>
      <c r="E364" s="346">
        <f>LEFT(REPLACE(G364,1,2,""),FIND("[",REPLACE(G364,1,2,""))-1)&amp;"-"&amp;MID(REPLACE(G364,1,2,""),FIND("[",REPLACE(G364,1,2,""))+1,FIND("]",REPLACE(G364,1,2,""))-FIND("[",REPLACE(G364,1,2,""))-1)</f>
        <v/>
      </c>
      <c r="F364" s="346">
        <f>IFERROR(IFERROR(SUBSTITUTE(E364,"("&amp;MID(E364,FIND("(",E364)+1,FIND(")",E364)-FIND("(",E364)-1)&amp;")",""),E364),"")</f>
        <v/>
      </c>
      <c r="G364" s="346" t="n"/>
      <c r="H364" s="344" t="n"/>
      <c r="I364" s="348" t="n"/>
      <c r="J364" s="349">
        <f>IFERROR(LEFT(F364,FIND("-",F364))&amp;MID(F364,FIND("PR",F364,FIND("-",F364))+3,LEN(F364)),F364)</f>
        <v/>
      </c>
      <c r="K364" s="352">
        <f>_xlfn.XLOOKUP(F364,投产规格!E:E,投产规格!D:D,"未投产")</f>
        <v/>
      </c>
      <c r="L364" s="352">
        <f>IFERROR(_xlfn.XLOOKUP(F364,硫化工艺!B:B,硫化工艺!C:C),"")</f>
        <v/>
      </c>
      <c r="M364" s="430">
        <f>IF(L364="","",L364/(L364+$L$1/60))</f>
        <v/>
      </c>
      <c r="N364" s="352">
        <f>C364&amp;"全钢"</f>
        <v/>
      </c>
      <c r="O364" s="352">
        <f>IFERROR(_xlfn.XLOOKUP(F364,轮胎重量!J:J,轮胎重量!G:G),"")</f>
        <v/>
      </c>
      <c r="P364" s="352">
        <f>IFERROR(_xlfn.XLOOKUP(F364,硫化工艺!I:I,硫化工艺!J:J),"")</f>
        <v/>
      </c>
      <c r="Q364" s="352">
        <f>IFERROR(ROUND(1440/L364*(I364)*M364,0),"")</f>
        <v/>
      </c>
      <c r="R364" s="352" t="n"/>
      <c r="S364" s="352" t="n"/>
      <c r="T364" s="352" t="n"/>
      <c r="U364" s="352" t="n"/>
      <c r="V364" s="352" t="n"/>
      <c r="W364" s="352" t="n"/>
      <c r="X364" s="352" t="n"/>
      <c r="Y364" s="352" t="n"/>
      <c r="Z364" s="352" t="n"/>
      <c r="AA364" s="352" t="n"/>
      <c r="AB364" s="352" t="n"/>
      <c r="AC364" s="352" t="n"/>
      <c r="AD364" s="352" t="n"/>
      <c r="AE364" s="352" t="n"/>
      <c r="AF364" s="352" t="n"/>
      <c r="AG364" s="352" t="n"/>
      <c r="AH364" s="352" t="n"/>
      <c r="AI364" s="352" t="n"/>
      <c r="AJ364" s="352" t="n"/>
      <c r="AK364" s="352" t="n"/>
      <c r="AL364" s="352" t="n"/>
      <c r="AM364" s="352" t="n"/>
      <c r="AN364" s="352" t="n"/>
      <c r="AO364" s="352" t="n"/>
      <c r="AP364" s="352" t="n"/>
      <c r="AQ364" s="352" t="n"/>
      <c r="AR364" s="352" t="n"/>
      <c r="AS364" s="352" t="n"/>
      <c r="AT364" s="352" t="n"/>
      <c r="AU364" s="352" t="n"/>
      <c r="AV364" s="352" t="n"/>
      <c r="AW364" s="352">
        <f>IF(SUM(R364:AV364)=0,"",SUM(R364:AV364))</f>
        <v/>
      </c>
      <c r="AX364" s="431">
        <f>IFERROR(AW364*O364/1000,"")</f>
        <v/>
      </c>
      <c r="AY364" s="431">
        <f>IFERROR(ROUND(AW364*P364/10000,3),"")</f>
        <v/>
      </c>
      <c r="AZ364" s="354" t="n">
        <v>864.55</v>
      </c>
      <c r="BA364" s="355" t="n">
        <v>53.34</v>
      </c>
      <c r="BB364" s="355" t="n">
        <v>78.72</v>
      </c>
      <c r="BC364" s="355" t="n">
        <v>86.44</v>
      </c>
      <c r="BD364" s="331" t="n"/>
      <c r="BE364" s="331">
        <f>AZ364*AW364</f>
        <v/>
      </c>
      <c r="BF364" s="331">
        <f>BA364*AW364</f>
        <v/>
      </c>
      <c r="BG364" s="331">
        <f>BB364*AW364</f>
        <v/>
      </c>
      <c r="BH364" s="331">
        <f>BC364*AW364</f>
        <v/>
      </c>
      <c r="BI364" s="331" t="n"/>
      <c r="BJ364" s="356">
        <f t="array" ref="BJ364:BM364">_xlfn.LET(_xlpm.data,$R364:$AV364,_xlpm.starts,{1,8,16,23},_xlpm.lengths,{7,7,8,9},_xlpm.arr,_xlfn.MAP(_xlpm.starts,_xlpm.lengths,_xlfn.LAMBDA(_xlpm.s,_xlpm.l,SUM(INDEX(_xlpm.data,,_xlfn.SEQUENCE(,_xlpm.l,_xlpm.s))))),ROUND(_xlpm.arr*$O364/1000,2))</f>
        <v/>
      </c>
      <c r="BK364" s="331" t="n">
        <v>0</v>
      </c>
      <c r="BL364" s="331" t="n">
        <v>0</v>
      </c>
      <c r="BM364" s="331" t="n">
        <v>0</v>
      </c>
      <c r="BN364" s="362">
        <f>SUM(BJ364:BM364)</f>
        <v/>
      </c>
      <c r="BO364" s="362" t="n">
        <v>0</v>
      </c>
      <c r="BP364" s="362" t="n">
        <v>0</v>
      </c>
      <c r="BQ364" s="362" t="n">
        <v>0</v>
      </c>
      <c r="BR364" s="362" t="n">
        <v>15.99</v>
      </c>
      <c r="BS364" s="115" t="n"/>
      <c r="BT364" s="362">
        <f t="array" ref="BT364:BW364">_xlfn.HSTACK(SUM(INDEX($R364:$AV364,1,1):INDEX($R364:$AV364,1,7)),SUM(INDEX($R364:$AV364,1,7):INDEX($R364:$AV364,1,13)),SUM(INDEX($R364:$AV364,1,16):INDEX($R364:$AV364,1,23)),SUM(INDEX($R364:$AV364,1,23):INDEX($R364:$AV364,1,31)))</f>
        <v/>
      </c>
      <c r="BU364" s="362" t="n">
        <v>0</v>
      </c>
      <c r="BV364" s="362" t="n">
        <v>0</v>
      </c>
      <c r="BW364" s="362" t="n">
        <v>0</v>
      </c>
      <c r="BY364" s="362">
        <f>SUM(R364:X364)</f>
        <v/>
      </c>
      <c r="BZ364" s="362">
        <f>SUM(Y364:AE364)</f>
        <v/>
      </c>
      <c r="CA364" s="362">
        <f>SUM(AF364:AM364)</f>
        <v/>
      </c>
      <c r="CB364" s="362">
        <f>SUM(AN364:AV364)</f>
        <v/>
      </c>
      <c r="CD364" s="390" t="n"/>
      <c r="CE364" s="362">
        <f>ROUND(BY364*$O364/1000,2)</f>
        <v/>
      </c>
      <c r="CF364" s="362">
        <f>ROUND(BZ364*$O364/1000,2)</f>
        <v/>
      </c>
      <c r="CG364" s="362">
        <f>ROUND(CA364*$O364/1000,2)</f>
        <v/>
      </c>
      <c r="CH364" s="362">
        <f>ROUND(CB364*$O364/1000,2)</f>
        <v/>
      </c>
      <c r="CI364" s="362">
        <f>SUM(CE364:CH364)</f>
        <v/>
      </c>
      <c r="CJ364" s="390" t="n"/>
      <c r="CK364" s="362">
        <f>IFERROR(ROUND(BY364*$P364,2),"")</f>
        <v/>
      </c>
      <c r="CL364" s="362">
        <f>IFERROR(ROUND(BZ364*$P364,2),"")</f>
        <v/>
      </c>
      <c r="CM364" s="362">
        <f>IFERROR(ROUND(CA364*$P364,2),"")</f>
        <v/>
      </c>
      <c r="CN364" s="362">
        <f>IFERROR(ROUND(CB364*$P364,2),"")</f>
        <v/>
      </c>
      <c r="CO364" s="362">
        <f>SUM(CK364:CN364)</f>
        <v/>
      </c>
    </row>
    <row r="365" hidden="1" customFormat="1" s="362">
      <c r="A365" s="331" t="n"/>
      <c r="B365" s="344">
        <f>_xlfn.XLOOKUP(G365,销售需求表!A:A,销售需求表!C:C)</f>
        <v/>
      </c>
      <c r="C365" s="345">
        <f>IFERROR(MID(F365,FIND("R",F365)+1,2),"")</f>
        <v/>
      </c>
      <c r="D365" s="368">
        <f>B365&amp;C365&amp;"寸"</f>
        <v/>
      </c>
      <c r="E365" s="346">
        <f>LEFT(REPLACE(G365,1,2,""),FIND("[",REPLACE(G365,1,2,""))-1)&amp;"-"&amp;MID(REPLACE(G365,1,2,""),FIND("[",REPLACE(G365,1,2,""))+1,FIND("]",REPLACE(G365,1,2,""))-FIND("[",REPLACE(G365,1,2,""))-1)</f>
        <v/>
      </c>
      <c r="F365" s="346">
        <f>IFERROR(IFERROR(SUBSTITUTE(E365,"("&amp;MID(E365,FIND("(",E365)+1,FIND(")",E365)-FIND("(",E365)-1)&amp;")",""),E365),"")</f>
        <v/>
      </c>
      <c r="G365" s="346" t="n"/>
      <c r="H365" s="344" t="n"/>
      <c r="I365" s="348" t="n"/>
      <c r="J365" s="349">
        <f>IFERROR(LEFT(F365,FIND("-",F365))&amp;MID(F365,FIND("PR",F365,FIND("-",F365))+3,LEN(F365)),F365)</f>
        <v/>
      </c>
      <c r="K365" s="352">
        <f>_xlfn.XLOOKUP(F365,投产规格!E:E,投产规格!D:D,"未投产")</f>
        <v/>
      </c>
      <c r="L365" s="352">
        <f>IFERROR(_xlfn.XLOOKUP(F365,硫化工艺!B:B,硫化工艺!C:C),"")</f>
        <v/>
      </c>
      <c r="M365" s="430">
        <f>IF(L365="","",L365/(L365+$L$1/60))</f>
        <v/>
      </c>
      <c r="N365" s="352">
        <f>C365&amp;"全钢"</f>
        <v/>
      </c>
      <c r="O365" s="352">
        <f>IFERROR(_xlfn.XLOOKUP(F365,轮胎重量!J:J,轮胎重量!G:G),"")</f>
        <v/>
      </c>
      <c r="P365" s="352">
        <f>IFERROR(_xlfn.XLOOKUP(F365,硫化工艺!I:I,硫化工艺!J:J),"")</f>
        <v/>
      </c>
      <c r="Q365" s="352">
        <f>IFERROR(ROUND(1440/L365*(I365)*M365,0),"")</f>
        <v/>
      </c>
      <c r="R365" s="352" t="n"/>
      <c r="S365" s="352" t="n"/>
      <c r="T365" s="352" t="n"/>
      <c r="U365" s="352" t="n"/>
      <c r="V365" s="352" t="n"/>
      <c r="W365" s="352" t="n"/>
      <c r="X365" s="352" t="n"/>
      <c r="Y365" s="352" t="n"/>
      <c r="Z365" s="352" t="n"/>
      <c r="AA365" s="352" t="n"/>
      <c r="AB365" s="352" t="n"/>
      <c r="AC365" s="352" t="n"/>
      <c r="AD365" s="352" t="n"/>
      <c r="AE365" s="352" t="n"/>
      <c r="AF365" s="352" t="n"/>
      <c r="AG365" s="352" t="n"/>
      <c r="AH365" s="352" t="n"/>
      <c r="AI365" s="352" t="n"/>
      <c r="AJ365" s="352" t="n"/>
      <c r="AK365" s="352" t="n"/>
      <c r="AL365" s="352" t="n"/>
      <c r="AM365" s="352" t="n"/>
      <c r="AN365" s="352" t="n"/>
      <c r="AO365" s="352" t="n"/>
      <c r="AP365" s="352" t="n"/>
      <c r="AQ365" s="352" t="n"/>
      <c r="AR365" s="352" t="n"/>
      <c r="AS365" s="352" t="n"/>
      <c r="AT365" s="352" t="n"/>
      <c r="AU365" s="352" t="n"/>
      <c r="AV365" s="352" t="n"/>
      <c r="AW365" s="352">
        <f>IF(SUM(R365:AV365)=0,"",SUM(R365:AV365))</f>
        <v/>
      </c>
      <c r="AX365" s="431">
        <f>IFERROR(AW365*O365/1000,"")</f>
        <v/>
      </c>
      <c r="AY365" s="431">
        <f>IFERROR(ROUND(AW365*P365/10000,3),"")</f>
        <v/>
      </c>
      <c r="AZ365" s="354" t="n">
        <v>864.55</v>
      </c>
      <c r="BA365" s="355" t="n">
        <v>53.34</v>
      </c>
      <c r="BB365" s="355" t="n">
        <v>78.72</v>
      </c>
      <c r="BC365" s="355" t="n">
        <v>86.44</v>
      </c>
      <c r="BD365" s="331" t="n"/>
      <c r="BE365" s="331">
        <f>AZ365*AW365</f>
        <v/>
      </c>
      <c r="BF365" s="331">
        <f>BA365*AW365</f>
        <v/>
      </c>
      <c r="BG365" s="331">
        <f>BB365*AW365</f>
        <v/>
      </c>
      <c r="BH365" s="331">
        <f>BC365*AW365</f>
        <v/>
      </c>
      <c r="BI365" s="331" t="n"/>
      <c r="BJ365" s="356">
        <f t="array" ref="BJ365:BM365">_xlfn.LET(_xlpm.data,$R365:$AV365,_xlpm.starts,{1,8,16,23},_xlpm.lengths,{7,7,8,9},_xlpm.arr,_xlfn.MAP(_xlpm.starts,_xlpm.lengths,_xlfn.LAMBDA(_xlpm.s,_xlpm.l,SUM(INDEX(_xlpm.data,,_xlfn.SEQUENCE(,_xlpm.l,_xlpm.s))))),ROUND(_xlpm.arr*$O365/1000,2))</f>
        <v/>
      </c>
      <c r="BK365" s="331" t="n">
        <v>0</v>
      </c>
      <c r="BL365" s="331" t="n">
        <v>0</v>
      </c>
      <c r="BM365" s="331" t="n">
        <v>0</v>
      </c>
      <c r="BN365" s="362">
        <f>SUM(BJ365:BM365)</f>
        <v/>
      </c>
      <c r="BO365" s="362" t="n">
        <v>0</v>
      </c>
      <c r="BP365" s="362" t="n">
        <v>0</v>
      </c>
      <c r="BQ365" s="362" t="n">
        <v>0</v>
      </c>
      <c r="BR365" s="362" t="n">
        <v>0</v>
      </c>
      <c r="BS365" s="115" t="n"/>
      <c r="BT365" s="362">
        <f t="array" ref="BT365:BW365">_xlfn.HSTACK(SUM(INDEX($R365:$AV365,1,1):INDEX($R365:$AV365,1,7)),SUM(INDEX($R365:$AV365,1,7):INDEX($R365:$AV365,1,13)),SUM(INDEX($R365:$AV365,1,16):INDEX($R365:$AV365,1,23)),SUM(INDEX($R365:$AV365,1,23):INDEX($R365:$AV365,1,31)))</f>
        <v/>
      </c>
      <c r="BU365" s="362" t="n">
        <v>0</v>
      </c>
      <c r="BV365" s="362" t="n">
        <v>0</v>
      </c>
      <c r="BW365" s="362" t="n">
        <v>0</v>
      </c>
      <c r="BY365" s="362">
        <f>SUM(R365:X365)</f>
        <v/>
      </c>
      <c r="BZ365" s="362">
        <f>SUM(Y365:AE365)</f>
        <v/>
      </c>
      <c r="CA365" s="362">
        <f>SUM(AF365:AM365)</f>
        <v/>
      </c>
      <c r="CB365" s="362">
        <f>SUM(AN365:AV365)</f>
        <v/>
      </c>
      <c r="CD365" s="390" t="n"/>
      <c r="CE365" s="362">
        <f>ROUND(BY365*$O365/1000,2)</f>
        <v/>
      </c>
      <c r="CF365" s="362">
        <f>ROUND(BZ365*$O365/1000,2)</f>
        <v/>
      </c>
      <c r="CG365" s="362">
        <f>ROUND(CA365*$O365/1000,2)</f>
        <v/>
      </c>
      <c r="CH365" s="362">
        <f>ROUND(CB365*$O365/1000,2)</f>
        <v/>
      </c>
      <c r="CI365" s="362">
        <f>SUM(CE365:CH365)</f>
        <v/>
      </c>
      <c r="CJ365" s="390" t="n"/>
      <c r="CK365" s="362">
        <f>IFERROR(ROUND(BY365*$P365,2),"")</f>
        <v/>
      </c>
      <c r="CL365" s="362">
        <f>IFERROR(ROUND(BZ365*$P365,2),"")</f>
        <v/>
      </c>
      <c r="CM365" s="362">
        <f>IFERROR(ROUND(CA365*$P365,2),"")</f>
        <v/>
      </c>
      <c r="CN365" s="362">
        <f>IFERROR(ROUND(CB365*$P365,2),"")</f>
        <v/>
      </c>
      <c r="CO365" s="362">
        <f>SUM(CK365:CN365)</f>
        <v/>
      </c>
    </row>
    <row r="366" hidden="1" customFormat="1" s="362">
      <c r="A366" s="331" t="n"/>
      <c r="B366" s="344">
        <f>_xlfn.XLOOKUP(G366,销售需求表!A:A,销售需求表!C:C)</f>
        <v/>
      </c>
      <c r="C366" s="345">
        <f>IFERROR(MID(F366,FIND("R",F366)+1,2),"")</f>
        <v/>
      </c>
      <c r="D366" s="368">
        <f>B366&amp;C366&amp;"寸"</f>
        <v/>
      </c>
      <c r="E366" s="346">
        <f>LEFT(REPLACE(G366,1,2,""),FIND("[",REPLACE(G366,1,2,""))-1)&amp;"-"&amp;MID(REPLACE(G366,1,2,""),FIND("[",REPLACE(G366,1,2,""))+1,FIND("]",REPLACE(G366,1,2,""))-FIND("[",REPLACE(G366,1,2,""))-1)</f>
        <v/>
      </c>
      <c r="F366" s="346">
        <f>IFERROR(IFERROR(SUBSTITUTE(E366,"("&amp;MID(E366,FIND("(",E366)+1,FIND(")",E366)-FIND("(",E366)-1)&amp;")",""),E366),"")</f>
        <v/>
      </c>
      <c r="G366" s="346" t="n"/>
      <c r="H366" s="344" t="n"/>
      <c r="I366" s="348" t="n"/>
      <c r="J366" s="349">
        <f>IFERROR(LEFT(F366,FIND("-",F366))&amp;MID(F366,FIND("PR",F366,FIND("-",F366))+3,LEN(F366)),F366)</f>
        <v/>
      </c>
      <c r="K366" s="352">
        <f>_xlfn.XLOOKUP(F366,投产规格!E:E,投产规格!D:D,"未投产")</f>
        <v/>
      </c>
      <c r="L366" s="352">
        <f>IFERROR(_xlfn.XLOOKUP(F366,硫化工艺!B:B,硫化工艺!C:C),"")</f>
        <v/>
      </c>
      <c r="M366" s="430">
        <f>IF(L366="","",L366/(L366+$L$1/60))</f>
        <v/>
      </c>
      <c r="N366" s="352">
        <f>C366&amp;"全钢"</f>
        <v/>
      </c>
      <c r="O366" s="352">
        <f>IFERROR(_xlfn.XLOOKUP(F366,轮胎重量!J:J,轮胎重量!G:G),"")</f>
        <v/>
      </c>
      <c r="P366" s="352">
        <f>IFERROR(_xlfn.XLOOKUP(F366,硫化工艺!I:I,硫化工艺!J:J),"")</f>
        <v/>
      </c>
      <c r="Q366" s="352">
        <f>IFERROR(ROUND(1440/L366*(I366)*M366,0),"")</f>
        <v/>
      </c>
      <c r="R366" s="352" t="n"/>
      <c r="S366" s="352" t="n"/>
      <c r="T366" s="352" t="n"/>
      <c r="U366" s="352" t="n"/>
      <c r="V366" s="352" t="n"/>
      <c r="W366" s="352" t="n"/>
      <c r="X366" s="352" t="n"/>
      <c r="Y366" s="352" t="n"/>
      <c r="Z366" s="352" t="n"/>
      <c r="AA366" s="352" t="n"/>
      <c r="AB366" s="352" t="n"/>
      <c r="AC366" s="352" t="n"/>
      <c r="AD366" s="352" t="n"/>
      <c r="AE366" s="352" t="n"/>
      <c r="AF366" s="352" t="n"/>
      <c r="AG366" s="352" t="n"/>
      <c r="AH366" s="352" t="n"/>
      <c r="AI366" s="352" t="n"/>
      <c r="AJ366" s="352" t="n"/>
      <c r="AK366" s="352" t="n"/>
      <c r="AL366" s="352" t="n"/>
      <c r="AM366" s="352" t="n"/>
      <c r="AN366" s="352" t="n"/>
      <c r="AO366" s="352" t="n"/>
      <c r="AP366" s="352" t="n"/>
      <c r="AQ366" s="352" t="n"/>
      <c r="AR366" s="352" t="n"/>
      <c r="AS366" s="352" t="n"/>
      <c r="AT366" s="352" t="n"/>
      <c r="AU366" s="352" t="n"/>
      <c r="AV366" s="352" t="n"/>
      <c r="AW366" s="352">
        <f>IF(SUM(R366:AV366)=0,"",SUM(R366:AV366))</f>
        <v/>
      </c>
      <c r="AX366" s="431">
        <f>IFERROR(AW366*O366/1000,"")</f>
        <v/>
      </c>
      <c r="AY366" s="431">
        <f>IFERROR(ROUND(AW366*P366/10000,3),"")</f>
        <v/>
      </c>
      <c r="AZ366" s="354" t="n">
        <v>864.55</v>
      </c>
      <c r="BA366" s="355" t="n">
        <v>53.34</v>
      </c>
      <c r="BB366" s="355" t="n">
        <v>78.72</v>
      </c>
      <c r="BC366" s="355" t="n">
        <v>86.44</v>
      </c>
      <c r="BD366" s="331" t="n"/>
      <c r="BE366" s="331">
        <f>AZ366*AW366</f>
        <v/>
      </c>
      <c r="BF366" s="331">
        <f>BA366*AW366</f>
        <v/>
      </c>
      <c r="BG366" s="331">
        <f>BB366*AW366</f>
        <v/>
      </c>
      <c r="BH366" s="331">
        <f>BC366*AW366</f>
        <v/>
      </c>
      <c r="BI366" s="331" t="n"/>
      <c r="BJ366" s="356">
        <f t="array" ref="BJ366:BM366">_xlfn.LET(_xlpm.data,$R366:$AV366,_xlpm.starts,{1,8,16,23},_xlpm.lengths,{7,7,8,9},_xlpm.arr,_xlfn.MAP(_xlpm.starts,_xlpm.lengths,_xlfn.LAMBDA(_xlpm.s,_xlpm.l,SUM(INDEX(_xlpm.data,,_xlfn.SEQUENCE(,_xlpm.l,_xlpm.s))))),ROUND(_xlpm.arr*$O366/1000,2))</f>
        <v/>
      </c>
      <c r="BK366" s="331" t="n">
        <v>0</v>
      </c>
      <c r="BL366" s="331" t="n">
        <v>0</v>
      </c>
      <c r="BM366" s="331" t="n">
        <v>0</v>
      </c>
      <c r="BN366" s="362">
        <f>SUM(BJ366:BM366)</f>
        <v/>
      </c>
      <c r="BO366" s="362" t="n">
        <v>28.66</v>
      </c>
      <c r="BP366" s="362" t="n">
        <v>28.66</v>
      </c>
      <c r="BQ366" s="362" t="n">
        <v>32.76</v>
      </c>
      <c r="BR366" s="362" t="n">
        <v>36.85</v>
      </c>
      <c r="BS366" s="115" t="n"/>
      <c r="BT366" s="362">
        <f t="array" ref="BT366:BW366">_xlfn.HSTACK(SUM(INDEX($R366:$AV366,1,1):INDEX($R366:$AV366,1,7)),SUM(INDEX($R366:$AV366,1,7):INDEX($R366:$AV366,1,13)),SUM(INDEX($R366:$AV366,1,16):INDEX($R366:$AV366,1,23)),SUM(INDEX($R366:$AV366,1,23):INDEX($R366:$AV366,1,31)))</f>
        <v/>
      </c>
      <c r="BU366" s="362" t="n">
        <v>0</v>
      </c>
      <c r="BV366" s="362" t="n">
        <v>0</v>
      </c>
      <c r="BW366" s="362" t="n">
        <v>0</v>
      </c>
      <c r="BY366" s="362">
        <f>SUM(R366:X366)</f>
        <v/>
      </c>
      <c r="BZ366" s="362">
        <f>SUM(Y366:AE366)</f>
        <v/>
      </c>
      <c r="CA366" s="362">
        <f>SUM(AF366:AM366)</f>
        <v/>
      </c>
      <c r="CB366" s="362">
        <f>SUM(AN366:AV366)</f>
        <v/>
      </c>
      <c r="CD366" s="390" t="n"/>
      <c r="CE366" s="362">
        <f>ROUND(BY366*$O366/1000,2)</f>
        <v/>
      </c>
      <c r="CF366" s="362">
        <f>ROUND(BZ366*$O366/1000,2)</f>
        <v/>
      </c>
      <c r="CG366" s="362">
        <f>ROUND(CA366*$O366/1000,2)</f>
        <v/>
      </c>
      <c r="CH366" s="362">
        <f>ROUND(CB366*$O366/1000,2)</f>
        <v/>
      </c>
      <c r="CI366" s="362">
        <f>SUM(CE366:CH366)</f>
        <v/>
      </c>
      <c r="CJ366" s="390" t="n"/>
      <c r="CK366" s="362">
        <f>IFERROR(ROUND(BY366*$P366,2),"")</f>
        <v/>
      </c>
      <c r="CL366" s="362">
        <f>IFERROR(ROUND(BZ366*$P366,2),"")</f>
        <v/>
      </c>
      <c r="CM366" s="362">
        <f>IFERROR(ROUND(CA366*$P366,2),"")</f>
        <v/>
      </c>
      <c r="CN366" s="362">
        <f>IFERROR(ROUND(CB366*$P366,2),"")</f>
        <v/>
      </c>
      <c r="CO366" s="362">
        <f>SUM(CK366:CN366)</f>
        <v/>
      </c>
    </row>
    <row r="367" hidden="1" s="428">
      <c r="B367" s="344">
        <f>_xlfn.XLOOKUP(G367,销售需求表!A:A,销售需求表!C:C)</f>
        <v/>
      </c>
      <c r="C367" s="345">
        <f>IFERROR(MID(F367,FIND("R",F367)+1,2),"")</f>
        <v/>
      </c>
      <c r="D367" s="369">
        <f>B367&amp;C367&amp;"寸"</f>
        <v/>
      </c>
      <c r="E367" s="346">
        <f>LEFT(REPLACE(G367,1,2,""),FIND("[",REPLACE(G367,1,2,""))-1)&amp;"-"&amp;MID(REPLACE(G367,1,2,""),FIND("[",REPLACE(G367,1,2,""))+1,FIND("]",REPLACE(G367,1,2,""))-FIND("[",REPLACE(G367,1,2,""))-1)</f>
        <v/>
      </c>
      <c r="F367" s="346">
        <f>IFERROR(IFERROR(SUBSTITUTE(E367,"("&amp;MID(E367,FIND("(",E367)+1,FIND(")",E367)-FIND("(",E367)-1)&amp;")",""),E367),"")</f>
        <v/>
      </c>
      <c r="G367" s="346" t="n"/>
      <c r="H367" s="344" t="n"/>
      <c r="I367" s="348" t="n"/>
      <c r="J367" s="349">
        <f>IFERROR(LEFT(F367,FIND("-",F367))&amp;MID(F367,FIND("PR",F367,FIND("-",F367))+3,LEN(F367)),F367)</f>
        <v/>
      </c>
      <c r="K367" s="352">
        <f>_xlfn.XLOOKUP(F367,投产规格!E:E,投产规格!D:D,"未投产")</f>
        <v/>
      </c>
      <c r="L367" s="352">
        <f>IFERROR(_xlfn.XLOOKUP(F367,硫化工艺!B:B,硫化工艺!C:C),"")</f>
        <v/>
      </c>
      <c r="M367" s="430">
        <f>IF(L367="","",L367/(L367+$L$1/60))</f>
        <v/>
      </c>
      <c r="N367" s="352">
        <f>C367&amp;"全钢"</f>
        <v/>
      </c>
      <c r="O367" s="352">
        <f>IFERROR(_xlfn.XLOOKUP(F367,轮胎重量!J:J,轮胎重量!G:G),"")</f>
        <v/>
      </c>
      <c r="P367" s="352">
        <f>IFERROR(_xlfn.XLOOKUP(F367,硫化工艺!I:I,硫化工艺!J:J),"")</f>
        <v/>
      </c>
      <c r="Q367" s="352">
        <f>IFERROR(ROUND(1440/L367*(I367)*M367,0),"")</f>
        <v/>
      </c>
      <c r="R367" s="352" t="n"/>
      <c r="S367" s="352" t="n"/>
      <c r="T367" s="352" t="n"/>
      <c r="U367" s="352" t="n"/>
      <c r="V367" s="352" t="n"/>
      <c r="W367" s="352" t="n"/>
      <c r="X367" s="352" t="n"/>
      <c r="Y367" s="352" t="n"/>
      <c r="Z367" s="352" t="n"/>
      <c r="AA367" s="352" t="n"/>
      <c r="AB367" s="352" t="n"/>
      <c r="AC367" s="352" t="n"/>
      <c r="AD367" s="352" t="n"/>
      <c r="AE367" s="352" t="n"/>
      <c r="AF367" s="352" t="n"/>
      <c r="AG367" s="352" t="n"/>
      <c r="AH367" s="352" t="n"/>
      <c r="AI367" s="352" t="n"/>
      <c r="AJ367" s="352" t="n"/>
      <c r="AK367" s="352" t="n"/>
      <c r="AL367" s="352" t="n"/>
      <c r="AM367" s="352" t="n"/>
      <c r="AN367" s="352" t="n"/>
      <c r="AO367" s="352" t="n"/>
      <c r="AP367" s="352" t="n"/>
      <c r="AQ367" s="352" t="n"/>
      <c r="AR367" s="352" t="n"/>
      <c r="AS367" s="352" t="n"/>
      <c r="AT367" s="352" t="n"/>
      <c r="AU367" s="352" t="n"/>
      <c r="AV367" s="352" t="n"/>
      <c r="AW367" s="352">
        <f>IF(SUM(R367:AV367)=0,"",SUM(R367:AV367))</f>
        <v/>
      </c>
      <c r="AX367" s="431">
        <f>IFERROR(AW367*O367/1000,"")</f>
        <v/>
      </c>
      <c r="AY367" s="431">
        <f>IFERROR(ROUND(AW367*P367/10000,3),"")</f>
        <v/>
      </c>
      <c r="AZ367" s="354" t="n">
        <v>842.39</v>
      </c>
      <c r="BA367" s="355" t="n">
        <v>47.68</v>
      </c>
      <c r="BB367" s="355" t="n">
        <v>74.78</v>
      </c>
      <c r="BC367" s="355" t="n">
        <v>76.28</v>
      </c>
      <c r="BE367" s="331">
        <f>AZ367*AW367</f>
        <v/>
      </c>
      <c r="BF367" s="331">
        <f>BA367*AW367</f>
        <v/>
      </c>
      <c r="BG367" s="331">
        <f>BB367*AW367</f>
        <v/>
      </c>
      <c r="BH367" s="331">
        <f>BC367*AW367</f>
        <v/>
      </c>
      <c r="BJ367" s="356">
        <f t="array" ref="BJ367:BM367">_xlfn.LET(_xlpm.data,$R367:$AV367,_xlpm.starts,{1,8,16,23},_xlpm.lengths,{7,7,8,9},_xlpm.arr,_xlfn.MAP(_xlpm.starts,_xlpm.lengths,_xlfn.LAMBDA(_xlpm.s,_xlpm.l,SUM(INDEX(_xlpm.data,,_xlfn.SEQUENCE(,_xlpm.l,_xlpm.s))))),ROUND(_xlpm.arr*$O367/1000,2))</f>
        <v/>
      </c>
      <c r="BK367" s="331" t="n">
        <v>0</v>
      </c>
      <c r="BL367" s="331" t="n">
        <v>0</v>
      </c>
      <c r="BM367" s="331" t="n">
        <v>0</v>
      </c>
      <c r="BN367" s="362">
        <f>SUM(BJ367:BM367)</f>
        <v/>
      </c>
      <c r="BO367" s="362" t="n">
        <v>67.98</v>
      </c>
      <c r="BP367" s="362" t="n">
        <v>57.82</v>
      </c>
      <c r="BQ367" s="362" t="n">
        <v>0</v>
      </c>
      <c r="BR367" s="362" t="n">
        <v>0</v>
      </c>
      <c r="BT367" s="362">
        <f t="array" ref="BT367:BW367">_xlfn.HSTACK(SUM(INDEX($R367:$AV367,1,1):INDEX($R367:$AV367,1,7)),SUM(INDEX($R367:$AV367,1,7):INDEX($R367:$AV367,1,13)),SUM(INDEX($R367:$AV367,1,16):INDEX($R367:$AV367,1,23)),SUM(INDEX($R367:$AV367,1,23):INDEX($R367:$AV367,1,31)))</f>
        <v/>
      </c>
      <c r="BU367" s="362" t="n">
        <v>0</v>
      </c>
      <c r="BV367" s="362" t="n">
        <v>0</v>
      </c>
      <c r="BW367" s="362" t="n">
        <v>0</v>
      </c>
      <c r="BY367" s="362">
        <f>SUM(R367:X367)</f>
        <v/>
      </c>
      <c r="BZ367" s="362">
        <f>SUM(Y367:AE367)</f>
        <v/>
      </c>
      <c r="CA367" s="362">
        <f>SUM(AF367:AM367)</f>
        <v/>
      </c>
      <c r="CB367" s="362">
        <f>SUM(AN367:AV367)</f>
        <v/>
      </c>
      <c r="CE367" s="362">
        <f>ROUND(BY367*$O367/1000,2)</f>
        <v/>
      </c>
      <c r="CF367" s="362">
        <f>ROUND(BZ367*$O367/1000,2)</f>
        <v/>
      </c>
      <c r="CG367" s="362">
        <f>ROUND(CA367*$O367/1000,2)</f>
        <v/>
      </c>
      <c r="CH367" s="362">
        <f>ROUND(CB367*$O367/1000,2)</f>
        <v/>
      </c>
      <c r="CI367" s="362">
        <f>SUM(CE367:CH367)</f>
        <v/>
      </c>
      <c r="CK367" s="362">
        <f>IFERROR(ROUND(BY367*$P367,2),"")</f>
        <v/>
      </c>
      <c r="CL367" s="362">
        <f>IFERROR(ROUND(BZ367*$P367,2),"")</f>
        <v/>
      </c>
      <c r="CM367" s="362">
        <f>IFERROR(ROUND(CA367*$P367,2),"")</f>
        <v/>
      </c>
      <c r="CN367" s="362">
        <f>IFERROR(ROUND(CB367*$P367,2),"")</f>
        <v/>
      </c>
      <c r="CO367" s="362">
        <f>SUM(CK367:CN367)</f>
        <v/>
      </c>
    </row>
    <row r="368" hidden="1" s="428">
      <c r="B368" s="344">
        <f>_xlfn.XLOOKUP(G368,销售需求表!A:A,销售需求表!C:C)</f>
        <v/>
      </c>
      <c r="C368" s="345">
        <f>IFERROR(MID(F368,FIND("R",F368)+1,2),"")</f>
        <v/>
      </c>
      <c r="D368" s="369">
        <f>B368&amp;C368&amp;"寸"</f>
        <v/>
      </c>
      <c r="E368" s="346">
        <f>LEFT(REPLACE(G368,1,2,""),FIND("[",REPLACE(G368,1,2,""))-1)&amp;"-"&amp;MID(REPLACE(G368,1,2,""),FIND("[",REPLACE(G368,1,2,""))+1,FIND("]",REPLACE(G368,1,2,""))-FIND("[",REPLACE(G368,1,2,""))-1)</f>
        <v/>
      </c>
      <c r="F368" s="346">
        <f>IFERROR(IFERROR(SUBSTITUTE(E368,"("&amp;MID(E368,FIND("(",E368)+1,FIND(")",E368)-FIND("(",E368)-1)&amp;")",""),E368),"")</f>
        <v/>
      </c>
      <c r="G368" s="346" t="n"/>
      <c r="H368" s="344" t="n"/>
      <c r="I368" s="348" t="n"/>
      <c r="J368" s="349">
        <f>IFERROR(LEFT(F368,FIND("-",F368))&amp;MID(F368,FIND("PR",F368,FIND("-",F368))+3,LEN(F368)),F368)</f>
        <v/>
      </c>
      <c r="K368" s="352">
        <f>_xlfn.XLOOKUP(F368,投产规格!E:E,投产规格!D:D,"未投产")</f>
        <v/>
      </c>
      <c r="L368" s="352">
        <f>IFERROR(_xlfn.XLOOKUP(F368,硫化工艺!B:B,硫化工艺!C:C),"")</f>
        <v/>
      </c>
      <c r="M368" s="430">
        <f>IF(L368="","",L368/(L368+$L$1/60))</f>
        <v/>
      </c>
      <c r="N368" s="352">
        <f>C368&amp;"全钢"</f>
        <v/>
      </c>
      <c r="O368" s="352">
        <f>IFERROR(_xlfn.XLOOKUP(F368,轮胎重量!J:J,轮胎重量!G:G),"")</f>
        <v/>
      </c>
      <c r="P368" s="358">
        <f>O368*13.9</f>
        <v/>
      </c>
      <c r="Q368" s="352">
        <f>IFERROR(ROUND(1440/L368*(I368)*M368,0),"")</f>
        <v/>
      </c>
      <c r="R368" s="352" t="n"/>
      <c r="S368" s="352" t="n"/>
      <c r="T368" s="352" t="n"/>
      <c r="U368" s="352" t="n"/>
      <c r="V368" s="352" t="n"/>
      <c r="W368" s="352" t="n"/>
      <c r="X368" s="352" t="n"/>
      <c r="Y368" s="352" t="n"/>
      <c r="Z368" s="352" t="n"/>
      <c r="AA368" s="352" t="n"/>
      <c r="AB368" s="352" t="n"/>
      <c r="AC368" s="352" t="n"/>
      <c r="AD368" s="352" t="n"/>
      <c r="AE368" s="352" t="n"/>
      <c r="AF368" s="352" t="n"/>
      <c r="AG368" s="352" t="n"/>
      <c r="AH368" s="352" t="n"/>
      <c r="AI368" s="352" t="n"/>
      <c r="AJ368" s="352" t="n"/>
      <c r="AK368" s="352" t="n"/>
      <c r="AL368" s="352" t="n"/>
      <c r="AM368" s="352" t="n"/>
      <c r="AN368" s="352" t="n"/>
      <c r="AO368" s="352" t="n"/>
      <c r="AP368" s="352" t="n"/>
      <c r="AQ368" s="352" t="n"/>
      <c r="AR368" s="352" t="n"/>
      <c r="AS368" s="352" t="n"/>
      <c r="AT368" s="352" t="n"/>
      <c r="AU368" s="352" t="n"/>
      <c r="AV368" s="352" t="n"/>
      <c r="AW368" s="352">
        <f>IF(SUM(R368:AV368)=0,"",SUM(R368:AV368))</f>
        <v/>
      </c>
      <c r="AX368" s="431">
        <f>IFERROR(AW368*O368/1000,"")</f>
        <v/>
      </c>
      <c r="AY368" s="431">
        <f>IFERROR(ROUND(AW368*P368/10000,3),"")</f>
        <v/>
      </c>
      <c r="AZ368" s="354" t="n">
        <v>842.39</v>
      </c>
      <c r="BA368" s="355" t="n">
        <v>47.68</v>
      </c>
      <c r="BB368" s="355" t="n">
        <v>74.78</v>
      </c>
      <c r="BC368" s="355" t="n">
        <v>76.28</v>
      </c>
      <c r="BE368" s="331">
        <f>AZ368*AW368</f>
        <v/>
      </c>
      <c r="BF368" s="331">
        <f>BA368*AW368</f>
        <v/>
      </c>
      <c r="BG368" s="331">
        <f>BB368*AW368</f>
        <v/>
      </c>
      <c r="BH368" s="331">
        <f>BC368*AW368</f>
        <v/>
      </c>
      <c r="BJ368" s="356">
        <f t="array" ref="BJ368:BM368">_xlfn.LET(_xlpm.data,$R368:$AV368,_xlpm.starts,{1,8,16,23},_xlpm.lengths,{7,7,8,9},_xlpm.arr,_xlfn.MAP(_xlpm.starts,_xlpm.lengths,_xlfn.LAMBDA(_xlpm.s,_xlpm.l,SUM(INDEX(_xlpm.data,,_xlfn.SEQUENCE(,_xlpm.l,_xlpm.s))))),ROUND(_xlpm.arr*$O368/1000,2))</f>
        <v/>
      </c>
      <c r="BK368" s="331" t="n">
        <v>0</v>
      </c>
      <c r="BL368" s="331" t="n">
        <v>0</v>
      </c>
      <c r="BM368" s="331" t="n">
        <v>0</v>
      </c>
      <c r="BN368" s="362">
        <f>SUM(BJ368:BM368)</f>
        <v/>
      </c>
      <c r="BO368" s="362" t="n">
        <v>67.98</v>
      </c>
      <c r="BP368" s="362" t="n">
        <v>57.82</v>
      </c>
      <c r="BQ368" s="362" t="n">
        <v>0</v>
      </c>
      <c r="BR368" s="362" t="n">
        <v>0</v>
      </c>
      <c r="BT368" s="362">
        <f t="array" ref="BT368:BW368">_xlfn.HSTACK(SUM(INDEX($R368:$AV368,1,1):INDEX($R368:$AV368,1,7)),SUM(INDEX($R368:$AV368,1,7):INDEX($R368:$AV368,1,13)),SUM(INDEX($R368:$AV368,1,16):INDEX($R368:$AV368,1,23)),SUM(INDEX($R368:$AV368,1,23):INDEX($R368:$AV368,1,31)))</f>
        <v/>
      </c>
      <c r="BU368" s="362" t="n">
        <v>0</v>
      </c>
      <c r="BV368" s="362" t="n">
        <v>0</v>
      </c>
      <c r="BW368" s="362" t="n">
        <v>0</v>
      </c>
      <c r="BY368" s="362">
        <f>SUM(R368:X368)</f>
        <v/>
      </c>
      <c r="BZ368" s="362">
        <f>SUM(Y368:AE368)</f>
        <v/>
      </c>
      <c r="CA368" s="362">
        <f>SUM(AF368:AM368)</f>
        <v/>
      </c>
      <c r="CB368" s="362">
        <f>SUM(AN368:AV368)</f>
        <v/>
      </c>
      <c r="CE368" s="362">
        <f>ROUND(BY368*$O368/1000,2)</f>
        <v/>
      </c>
      <c r="CF368" s="362">
        <f>ROUND(BZ368*$O368/1000,2)</f>
        <v/>
      </c>
      <c r="CG368" s="362">
        <f>ROUND(CA368*$O368/1000,2)</f>
        <v/>
      </c>
      <c r="CH368" s="362">
        <f>ROUND(CB368*$O368/1000,2)</f>
        <v/>
      </c>
      <c r="CI368" s="362">
        <f>SUM(CE368:CH368)</f>
        <v/>
      </c>
      <c r="CK368" s="362">
        <f>IFERROR(ROUND(BY368*$P368,2),"")</f>
        <v/>
      </c>
      <c r="CL368" s="362">
        <f>IFERROR(ROUND(BZ368*$P368,2),"")</f>
        <v/>
      </c>
      <c r="CM368" s="362">
        <f>IFERROR(ROUND(CA368*$P368,2),"")</f>
        <v/>
      </c>
      <c r="CN368" s="362">
        <f>IFERROR(ROUND(CB368*$P368,2),"")</f>
        <v/>
      </c>
      <c r="CO368" s="362">
        <f>SUM(CK368:CN368)</f>
        <v/>
      </c>
    </row>
    <row r="369" hidden="1" s="428">
      <c r="B369" s="344">
        <f>_xlfn.XLOOKUP(G369,销售需求表!A:A,销售需求表!C:C)</f>
        <v/>
      </c>
      <c r="C369" s="345">
        <f>IFERROR(MID(F369,FIND("R",F369)+1,2),"")</f>
        <v/>
      </c>
      <c r="D369" s="369">
        <f>B369&amp;C369&amp;"寸"</f>
        <v/>
      </c>
      <c r="E369" s="346">
        <f>LEFT(REPLACE(G369,1,2,""),FIND("[",REPLACE(G369,1,2,""))-1)&amp;"-"&amp;MID(REPLACE(G369,1,2,""),FIND("[",REPLACE(G369,1,2,""))+1,FIND("]",REPLACE(G369,1,2,""))-FIND("[",REPLACE(G369,1,2,""))-1)</f>
        <v/>
      </c>
      <c r="F369" s="346">
        <f>IFERROR(IFERROR(SUBSTITUTE(E369,"("&amp;MID(E369,FIND("(",E369)+1,FIND(")",E369)-FIND("(",E369)-1)&amp;")",""),E369),"")</f>
        <v/>
      </c>
      <c r="G369" s="346" t="n"/>
      <c r="H369" s="344" t="n"/>
      <c r="I369" s="348" t="n"/>
      <c r="J369" s="349">
        <f>IFERROR(LEFT(F369,FIND("-",F369))&amp;MID(F369,FIND("PR",F369,FIND("-",F369))+3,LEN(F369)),F369)</f>
        <v/>
      </c>
      <c r="K369" s="352">
        <f>_xlfn.XLOOKUP(F369,投产规格!E:E,投产规格!D:D,"未投产")</f>
        <v/>
      </c>
      <c r="L369" s="352">
        <f>IFERROR(_xlfn.XLOOKUP(F369,硫化工艺!B:B,硫化工艺!C:C),"")</f>
        <v/>
      </c>
      <c r="M369" s="430">
        <f>IF(L369="","",L369/(L369+$L$1/60))</f>
        <v/>
      </c>
      <c r="N369" s="352">
        <f>C369&amp;"全钢"</f>
        <v/>
      </c>
      <c r="O369" s="352">
        <f>IFERROR(_xlfn.XLOOKUP(F369,轮胎重量!J:J,轮胎重量!G:G),"")</f>
        <v/>
      </c>
      <c r="P369" s="352">
        <f>IFERROR(_xlfn.XLOOKUP(F369,硫化工艺!I:I,硫化工艺!J:J),"")</f>
        <v/>
      </c>
      <c r="Q369" s="352">
        <f>IFERROR(ROUND(1440/L369*(I369)*M369,0),"")</f>
        <v/>
      </c>
      <c r="R369" s="352" t="n"/>
      <c r="S369" s="352" t="n"/>
      <c r="T369" s="352" t="n"/>
      <c r="U369" s="352" t="n"/>
      <c r="V369" s="352" t="n"/>
      <c r="W369" s="352" t="n"/>
      <c r="X369" s="352" t="n"/>
      <c r="Y369" s="352" t="n"/>
      <c r="Z369" s="352" t="n"/>
      <c r="AA369" s="352" t="n"/>
      <c r="AB369" s="352" t="n"/>
      <c r="AC369" s="352" t="n"/>
      <c r="AD369" s="352" t="n"/>
      <c r="AE369" s="352" t="n"/>
      <c r="AF369" s="352" t="n"/>
      <c r="AG369" s="352" t="n"/>
      <c r="AH369" s="352" t="n"/>
      <c r="AI369" s="352" t="n"/>
      <c r="AJ369" s="352" t="n"/>
      <c r="AK369" s="352" t="n"/>
      <c r="AL369" s="352" t="n"/>
      <c r="AM369" s="352" t="n"/>
      <c r="AN369" s="352" t="n"/>
      <c r="AO369" s="352" t="n"/>
      <c r="AP369" s="352" t="n"/>
      <c r="AQ369" s="352" t="n"/>
      <c r="AR369" s="352" t="n"/>
      <c r="AS369" s="352" t="n"/>
      <c r="AT369" s="352" t="n"/>
      <c r="AU369" s="352" t="n"/>
      <c r="AV369" s="352" t="n"/>
      <c r="AW369" s="352">
        <f>IF(SUM(R369:AV369)=0,"",SUM(R369:AV369))</f>
        <v/>
      </c>
      <c r="AX369" s="431">
        <f>IFERROR(AW369*O369/1000,"")</f>
        <v/>
      </c>
      <c r="AY369" s="431">
        <f>IFERROR(ROUND(AW369*P369/10000,3),"")</f>
        <v/>
      </c>
      <c r="AZ369" s="354" t="n">
        <v>842.39</v>
      </c>
      <c r="BA369" s="355" t="n">
        <v>47.68</v>
      </c>
      <c r="BB369" s="355" t="n">
        <v>74.78</v>
      </c>
      <c r="BC369" s="355" t="n">
        <v>76.28</v>
      </c>
      <c r="BE369" s="331">
        <f>AZ369*AW369</f>
        <v/>
      </c>
      <c r="BF369" s="331">
        <f>BA369*AW369</f>
        <v/>
      </c>
      <c r="BG369" s="331">
        <f>BB369*AW369</f>
        <v/>
      </c>
      <c r="BH369" s="331">
        <f>BC369*AW369</f>
        <v/>
      </c>
      <c r="BJ369" s="356">
        <f t="array" ref="BJ369:BM369">_xlfn.LET(_xlpm.data,$R369:$AV369,_xlpm.starts,{1,8,16,23},_xlpm.lengths,{7,7,8,9},_xlpm.arr,_xlfn.MAP(_xlpm.starts,_xlpm.lengths,_xlfn.LAMBDA(_xlpm.s,_xlpm.l,SUM(INDEX(_xlpm.data,,_xlfn.SEQUENCE(,_xlpm.l,_xlpm.s))))),ROUND(_xlpm.arr*$O369/1000,2))</f>
        <v/>
      </c>
      <c r="BK369" s="331" t="n">
        <v>0</v>
      </c>
      <c r="BL369" s="331" t="n">
        <v>0</v>
      </c>
      <c r="BM369" s="331" t="n">
        <v>0</v>
      </c>
      <c r="BN369" s="362">
        <f>SUM(BJ369:BM369)</f>
        <v/>
      </c>
      <c r="BO369" s="362" t="n">
        <v>67.98</v>
      </c>
      <c r="BP369" s="362" t="n">
        <v>57.82</v>
      </c>
      <c r="BQ369" s="362" t="n">
        <v>0</v>
      </c>
      <c r="BR369" s="362" t="n">
        <v>0</v>
      </c>
      <c r="BT369" s="362">
        <f t="array" ref="BT369:BW369">_xlfn.HSTACK(SUM(INDEX($R369:$AV369,1,1):INDEX($R369:$AV369,1,7)),SUM(INDEX($R369:$AV369,1,7):INDEX($R369:$AV369,1,13)),SUM(INDEX($R369:$AV369,1,16):INDEX($R369:$AV369,1,23)),SUM(INDEX($R369:$AV369,1,23):INDEX($R369:$AV369,1,31)))</f>
        <v/>
      </c>
      <c r="BU369" s="362" t="n">
        <v>0</v>
      </c>
      <c r="BV369" s="362" t="n">
        <v>0</v>
      </c>
      <c r="BW369" s="362" t="n">
        <v>0</v>
      </c>
      <c r="BY369" s="362">
        <f>SUM(R369:X369)</f>
        <v/>
      </c>
      <c r="BZ369" s="362">
        <f>SUM(Y369:AE369)</f>
        <v/>
      </c>
      <c r="CA369" s="362">
        <f>SUM(AF369:AM369)</f>
        <v/>
      </c>
      <c r="CB369" s="362">
        <f>SUM(AN369:AV369)</f>
        <v/>
      </c>
      <c r="CE369" s="362">
        <f>ROUND(BY369*$O369/1000,2)</f>
        <v/>
      </c>
      <c r="CF369" s="362">
        <f>ROUND(BZ369*$O369/1000,2)</f>
        <v/>
      </c>
      <c r="CG369" s="362">
        <f>ROUND(CA369*$O369/1000,2)</f>
        <v/>
      </c>
      <c r="CH369" s="362">
        <f>ROUND(CB369*$O369/1000,2)</f>
        <v/>
      </c>
      <c r="CI369" s="362">
        <f>SUM(CE369:CH369)</f>
        <v/>
      </c>
      <c r="CK369" s="362">
        <f>IFERROR(ROUND(BY369*$P369,2),"")</f>
        <v/>
      </c>
      <c r="CL369" s="362">
        <f>IFERROR(ROUND(BZ369*$P369,2),"")</f>
        <v/>
      </c>
      <c r="CM369" s="362">
        <f>IFERROR(ROUND(CA369*$P369,2),"")</f>
        <v/>
      </c>
      <c r="CN369" s="362">
        <f>IFERROR(ROUND(CB369*$P369,2),"")</f>
        <v/>
      </c>
      <c r="CO369" s="362">
        <f>SUM(CK369:CN369)</f>
        <v/>
      </c>
    </row>
    <row r="370" hidden="1" s="428">
      <c r="B370" s="344">
        <f>_xlfn.XLOOKUP(G370,销售需求表!A:A,销售需求表!C:C)</f>
        <v/>
      </c>
      <c r="C370" s="345">
        <f>IFERROR(MID(F370,FIND("R",F370)+1,2),"")</f>
        <v/>
      </c>
      <c r="D370" s="369">
        <f>B370&amp;C370&amp;"寸"</f>
        <v/>
      </c>
      <c r="E370" s="346">
        <f>LEFT(REPLACE(G370,1,2,""),FIND("[",REPLACE(G370,1,2,""))-1)&amp;"-"&amp;MID(REPLACE(G370,1,2,""),FIND("[",REPLACE(G370,1,2,""))+1,FIND("]",REPLACE(G370,1,2,""))-FIND("[",REPLACE(G370,1,2,""))-1)</f>
        <v/>
      </c>
      <c r="F370" s="346">
        <f>IFERROR(IFERROR(SUBSTITUTE(E370,"("&amp;MID(E370,FIND("(",E370)+1,FIND(")",E370)-FIND("(",E370)-1)&amp;")",""),E370),"")</f>
        <v/>
      </c>
      <c r="G370" s="346" t="n"/>
      <c r="H370" s="344" t="n"/>
      <c r="I370" s="348" t="n"/>
      <c r="J370" s="349">
        <f>IFERROR(LEFT(F370,FIND("-",F370))&amp;MID(F370,FIND("PR",F370,FIND("-",F370))+3,LEN(F370)),F370)</f>
        <v/>
      </c>
      <c r="K370" s="352">
        <f>_xlfn.XLOOKUP(F370,投产规格!E:E,投产规格!D:D,"未投产")</f>
        <v/>
      </c>
      <c r="L370" s="352">
        <f>IFERROR(_xlfn.XLOOKUP(F370,硫化工艺!B:B,硫化工艺!C:C),"")</f>
        <v/>
      </c>
      <c r="M370" s="430">
        <f>IF(L370="","",L370/(L370+$L$1/60))</f>
        <v/>
      </c>
      <c r="N370" s="352">
        <f>C370&amp;"全钢"</f>
        <v/>
      </c>
      <c r="O370" s="352">
        <f>IFERROR(_xlfn.XLOOKUP(F370,轮胎重量!J:J,轮胎重量!G:G),"")</f>
        <v/>
      </c>
      <c r="P370" s="358">
        <f>O370*13.9</f>
        <v/>
      </c>
      <c r="Q370" s="352">
        <f>IFERROR(ROUND(1440/L370*(I370)*M370,0),"")</f>
        <v/>
      </c>
      <c r="R370" s="352" t="n"/>
      <c r="S370" s="352" t="n"/>
      <c r="T370" s="352" t="n"/>
      <c r="U370" s="352" t="n"/>
      <c r="V370" s="352" t="n"/>
      <c r="W370" s="352" t="n"/>
      <c r="X370" s="352" t="n"/>
      <c r="Y370" s="352" t="n"/>
      <c r="Z370" s="352" t="n"/>
      <c r="AA370" s="352" t="n"/>
      <c r="AB370" s="352" t="n"/>
      <c r="AC370" s="352" t="n"/>
      <c r="AD370" s="352" t="n"/>
      <c r="AE370" s="352" t="n"/>
      <c r="AF370" s="352" t="n"/>
      <c r="AG370" s="352" t="n"/>
      <c r="AH370" s="352" t="n"/>
      <c r="AI370" s="352" t="n"/>
      <c r="AJ370" s="352" t="n"/>
      <c r="AK370" s="352" t="n"/>
      <c r="AL370" s="352" t="n"/>
      <c r="AM370" s="352" t="n"/>
      <c r="AN370" s="352" t="n"/>
      <c r="AO370" s="352" t="n"/>
      <c r="AP370" s="352" t="n"/>
      <c r="AQ370" s="352" t="n"/>
      <c r="AR370" s="352" t="n"/>
      <c r="AS370" s="352" t="n"/>
      <c r="AT370" s="352" t="n"/>
      <c r="AU370" s="352" t="n"/>
      <c r="AV370" s="352" t="n"/>
      <c r="AW370" s="352">
        <f>IF(SUM(R370:AV370)=0,"",SUM(R370:AV370))</f>
        <v/>
      </c>
      <c r="AX370" s="431">
        <f>IFERROR(AW370*O370/1000,"")</f>
        <v/>
      </c>
      <c r="AY370" s="431">
        <f>IFERROR(ROUND(AW370*P370/10000,3),"")</f>
        <v/>
      </c>
      <c r="AZ370" s="354" t="n">
        <v>834.98</v>
      </c>
      <c r="BA370" s="355" t="n">
        <v>49.6</v>
      </c>
      <c r="BB370" s="355" t="n">
        <v>76.03</v>
      </c>
      <c r="BC370" s="355" t="n">
        <v>81.43000000000001</v>
      </c>
      <c r="BE370" s="331">
        <f>AZ370*AW370</f>
        <v/>
      </c>
      <c r="BF370" s="331">
        <f>BA370*AW370</f>
        <v/>
      </c>
      <c r="BG370" s="331">
        <f>BB370*AW370</f>
        <v/>
      </c>
      <c r="BH370" s="331">
        <f>BC370*AW370</f>
        <v/>
      </c>
      <c r="BJ370" s="356">
        <f t="array" ref="BJ370:BM370">_xlfn.LET(_xlpm.data,$R370:$AV370,_xlpm.starts,{1,8,16,23},_xlpm.lengths,{7,7,8,9},_xlpm.arr,_xlfn.MAP(_xlpm.starts,_xlpm.lengths,_xlfn.LAMBDA(_xlpm.s,_xlpm.l,SUM(INDEX(_xlpm.data,,_xlfn.SEQUENCE(,_xlpm.l,_xlpm.s))))),ROUND(_xlpm.arr*$O370/1000,2))</f>
        <v/>
      </c>
      <c r="BK370" s="331" t="n">
        <v>0</v>
      </c>
      <c r="BL370" s="331" t="n">
        <v>0</v>
      </c>
      <c r="BM370" s="331" t="n">
        <v>0</v>
      </c>
      <c r="BN370" s="362">
        <f>SUM(BJ370:BM370)</f>
        <v/>
      </c>
      <c r="BO370" s="362" t="n">
        <v>0</v>
      </c>
      <c r="BP370" s="362" t="n">
        <v>8.34</v>
      </c>
      <c r="BQ370" s="362" t="n">
        <v>66.73999999999999</v>
      </c>
      <c r="BR370" s="362" t="n">
        <v>75.08</v>
      </c>
      <c r="BT370" s="362">
        <f t="array" ref="BT370:BW370">_xlfn.HSTACK(SUM(INDEX($R370:$AV370,1,1):INDEX($R370:$AV370,1,7)),SUM(INDEX($R370:$AV370,1,7):INDEX($R370:$AV370,1,13)),SUM(INDEX($R370:$AV370,1,16):INDEX($R370:$AV370,1,23)),SUM(INDEX($R370:$AV370,1,23):INDEX($R370:$AV370,1,31)))</f>
        <v/>
      </c>
      <c r="BU370" s="362" t="n">
        <v>0</v>
      </c>
      <c r="BV370" s="362" t="n">
        <v>0</v>
      </c>
      <c r="BW370" s="362" t="n">
        <v>0</v>
      </c>
      <c r="BY370" s="362">
        <f>SUM(R370:X370)</f>
        <v/>
      </c>
      <c r="BZ370" s="362">
        <f>SUM(Y370:AE370)</f>
        <v/>
      </c>
      <c r="CA370" s="362">
        <f>SUM(AF370:AM370)</f>
        <v/>
      </c>
      <c r="CB370" s="362">
        <f>SUM(AN370:AV370)</f>
        <v/>
      </c>
      <c r="CE370" s="362">
        <f>ROUND(BY370*$O370/1000,2)</f>
        <v/>
      </c>
      <c r="CF370" s="362">
        <f>ROUND(BZ370*$O370/1000,2)</f>
        <v/>
      </c>
      <c r="CG370" s="362">
        <f>ROUND(CA370*$O370/1000,2)</f>
        <v/>
      </c>
      <c r="CH370" s="362">
        <f>ROUND(CB370*$O370/1000,2)</f>
        <v/>
      </c>
      <c r="CI370" s="362">
        <f>SUM(CE370:CH370)</f>
        <v/>
      </c>
      <c r="CK370" s="362">
        <f>IFERROR(ROUND(BY370*$P370,2),"")</f>
        <v/>
      </c>
      <c r="CL370" s="362">
        <f>IFERROR(ROUND(BZ370*$P370,2),"")</f>
        <v/>
      </c>
      <c r="CM370" s="362">
        <f>IFERROR(ROUND(CA370*$P370,2),"")</f>
        <v/>
      </c>
      <c r="CN370" s="362">
        <f>IFERROR(ROUND(CB370*$P370,2),"")</f>
        <v/>
      </c>
      <c r="CO370" s="362">
        <f>SUM(CK370:CN370)</f>
        <v/>
      </c>
    </row>
    <row r="371" hidden="1" s="428">
      <c r="B371" s="344">
        <f>_xlfn.XLOOKUP(G371,销售需求表!A:A,销售需求表!C:C)</f>
        <v/>
      </c>
      <c r="C371" s="345">
        <f>IFERROR(MID(F371,FIND("R",F371)+1,2),"")</f>
        <v/>
      </c>
      <c r="D371" s="369">
        <f>B371&amp;C371&amp;"寸"</f>
        <v/>
      </c>
      <c r="E371" s="346">
        <f>LEFT(REPLACE(G371,1,2,""),FIND("[",REPLACE(G371,1,2,""))-1)&amp;"-"&amp;MID(REPLACE(G371,1,2,""),FIND("[",REPLACE(G371,1,2,""))+1,FIND("]",REPLACE(G371,1,2,""))-FIND("[",REPLACE(G371,1,2,""))-1)</f>
        <v/>
      </c>
      <c r="F371" s="346">
        <f>IFERROR(IFERROR(SUBSTITUTE(E371,"("&amp;MID(E371,FIND("(",E371)+1,FIND(")",E371)-FIND("(",E371)-1)&amp;")",""),E371),"")</f>
        <v/>
      </c>
      <c r="G371" s="346" t="n"/>
      <c r="H371" s="344" t="n"/>
      <c r="I371" s="348" t="n"/>
      <c r="J371" s="349">
        <f>IFERROR(LEFT(F371,FIND("-",F371))&amp;MID(F371,FIND("PR",F371,FIND("-",F371))+3,LEN(F371)),F371)</f>
        <v/>
      </c>
      <c r="K371" s="352">
        <f>_xlfn.XLOOKUP(F371,投产规格!E:E,投产规格!D:D,"未投产")</f>
        <v/>
      </c>
      <c r="L371" s="352">
        <f>IFERROR(_xlfn.XLOOKUP(F371,硫化工艺!B:B,硫化工艺!C:C),"")</f>
        <v/>
      </c>
      <c r="M371" s="430">
        <f>IF(L371="","",L371/(L371+$L$1/60))</f>
        <v/>
      </c>
      <c r="N371" s="352">
        <f>C371&amp;"全钢"</f>
        <v/>
      </c>
      <c r="O371" s="352">
        <f>IFERROR(_xlfn.XLOOKUP(F371,轮胎重量!J:J,轮胎重量!G:G),"")</f>
        <v/>
      </c>
      <c r="P371" s="352">
        <f>IFERROR(_xlfn.XLOOKUP(F371,硫化工艺!I:I,硫化工艺!J:J),"")</f>
        <v/>
      </c>
      <c r="Q371" s="352">
        <f>IFERROR(ROUND(1440/L371*(I371)*M371,0),"")</f>
        <v/>
      </c>
      <c r="R371" s="352" t="n"/>
      <c r="S371" s="352" t="n"/>
      <c r="T371" s="352" t="n"/>
      <c r="U371" s="352" t="n"/>
      <c r="V371" s="352" t="n"/>
      <c r="W371" s="352" t="n"/>
      <c r="X371" s="352" t="n"/>
      <c r="Y371" s="352" t="n"/>
      <c r="Z371" s="352" t="n"/>
      <c r="AA371" s="352" t="n"/>
      <c r="AB371" s="352" t="n"/>
      <c r="AC371" s="352" t="n"/>
      <c r="AD371" s="352" t="n"/>
      <c r="AE371" s="352" t="n"/>
      <c r="AF371" s="352" t="n"/>
      <c r="AG371" s="352" t="n"/>
      <c r="AH371" s="352" t="n"/>
      <c r="AI371" s="352" t="n"/>
      <c r="AJ371" s="352" t="n"/>
      <c r="AK371" s="352" t="n"/>
      <c r="AL371" s="352" t="n"/>
      <c r="AM371" s="352" t="n"/>
      <c r="AN371" s="352" t="n"/>
      <c r="AO371" s="352" t="n"/>
      <c r="AP371" s="352" t="n"/>
      <c r="AQ371" s="352" t="n"/>
      <c r="AR371" s="352" t="n"/>
      <c r="AS371" s="352" t="n"/>
      <c r="AT371" s="352" t="n"/>
      <c r="AU371" s="352" t="n"/>
      <c r="AV371" s="352" t="n"/>
      <c r="AW371" s="352">
        <f>IF(SUM(R371:AV371)=0,"",SUM(R371:AV371))</f>
        <v/>
      </c>
      <c r="AX371" s="431">
        <f>IFERROR(AW371*O371/1000,"")</f>
        <v/>
      </c>
      <c r="AY371" s="431">
        <f>IFERROR(ROUND(AW371*P371/10000,3),"")</f>
        <v/>
      </c>
      <c r="AZ371" s="354" t="n">
        <v>834.98</v>
      </c>
      <c r="BA371" s="355" t="n">
        <v>49.6</v>
      </c>
      <c r="BB371" s="355" t="n">
        <v>76.03</v>
      </c>
      <c r="BC371" s="355" t="n">
        <v>81.43000000000001</v>
      </c>
      <c r="BE371" s="331">
        <f>AZ371*AW371</f>
        <v/>
      </c>
      <c r="BF371" s="331">
        <f>BA371*AW371</f>
        <v/>
      </c>
      <c r="BG371" s="331">
        <f>BB371*AW371</f>
        <v/>
      </c>
      <c r="BH371" s="331">
        <f>BC371*AW371</f>
        <v/>
      </c>
      <c r="BJ371" s="356">
        <f t="array" ref="BJ371:BM371">_xlfn.LET(_xlpm.data,$R371:$AV371,_xlpm.starts,{1,8,16,23},_xlpm.lengths,{7,7,8,9},_xlpm.arr,_xlfn.MAP(_xlpm.starts,_xlpm.lengths,_xlfn.LAMBDA(_xlpm.s,_xlpm.l,SUM(INDEX(_xlpm.data,,_xlfn.SEQUENCE(,_xlpm.l,_xlpm.s))))),ROUND(_xlpm.arr*$O371/1000,2))</f>
        <v/>
      </c>
      <c r="BK371" s="331" t="n">
        <v>0</v>
      </c>
      <c r="BL371" s="331" t="n">
        <v>0</v>
      </c>
      <c r="BM371" s="331" t="n">
        <v>0</v>
      </c>
      <c r="BN371" s="362">
        <f>SUM(BJ371:BM371)</f>
        <v/>
      </c>
      <c r="BO371" s="362" t="n">
        <v>0</v>
      </c>
      <c r="BP371" s="362" t="n">
        <v>8.34</v>
      </c>
      <c r="BQ371" s="362" t="n">
        <v>66.73999999999999</v>
      </c>
      <c r="BR371" s="362" t="n">
        <v>75.08</v>
      </c>
      <c r="BT371" s="362">
        <f t="array" ref="BT371:BW371">_xlfn.HSTACK(SUM(INDEX($R371:$AV371,1,1):INDEX($R371:$AV371,1,7)),SUM(INDEX($R371:$AV371,1,7):INDEX($R371:$AV371,1,13)),SUM(INDEX($R371:$AV371,1,16):INDEX($R371:$AV371,1,23)),SUM(INDEX($R371:$AV371,1,23):INDEX($R371:$AV371,1,31)))</f>
        <v/>
      </c>
      <c r="BU371" s="362" t="n">
        <v>0</v>
      </c>
      <c r="BV371" s="362" t="n">
        <v>0</v>
      </c>
      <c r="BW371" s="362" t="n">
        <v>0</v>
      </c>
      <c r="BY371" s="362">
        <f>SUM(R371:X371)</f>
        <v/>
      </c>
      <c r="BZ371" s="362">
        <f>SUM(Y371:AE371)</f>
        <v/>
      </c>
      <c r="CA371" s="362">
        <f>SUM(AF371:AM371)</f>
        <v/>
      </c>
      <c r="CB371" s="362">
        <f>SUM(AN371:AV371)</f>
        <v/>
      </c>
      <c r="CE371" s="362">
        <f>ROUND(BY371*$O371/1000,2)</f>
        <v/>
      </c>
      <c r="CF371" s="362">
        <f>ROUND(BZ371*$O371/1000,2)</f>
        <v/>
      </c>
      <c r="CG371" s="362">
        <f>ROUND(CA371*$O371/1000,2)</f>
        <v/>
      </c>
      <c r="CH371" s="362">
        <f>ROUND(CB371*$O371/1000,2)</f>
        <v/>
      </c>
      <c r="CI371" s="362">
        <f>SUM(CE371:CH371)</f>
        <v/>
      </c>
      <c r="CK371" s="362">
        <f>IFERROR(ROUND(BY371*$P371,2),"")</f>
        <v/>
      </c>
      <c r="CL371" s="362">
        <f>IFERROR(ROUND(BZ371*$P371,2),"")</f>
        <v/>
      </c>
      <c r="CM371" s="362">
        <f>IFERROR(ROUND(CA371*$P371,2),"")</f>
        <v/>
      </c>
      <c r="CN371" s="362">
        <f>IFERROR(ROUND(CB371*$P371,2),"")</f>
        <v/>
      </c>
      <c r="CO371" s="362">
        <f>SUM(CK371:CN371)</f>
        <v/>
      </c>
    </row>
    <row r="372" hidden="1" s="428">
      <c r="B372" s="344">
        <f>_xlfn.XLOOKUP(G372,销售需求表!A:A,销售需求表!C:C)</f>
        <v/>
      </c>
      <c r="C372" s="345">
        <f>IFERROR(MID(F372,FIND("R",F372)+1,2),"")</f>
        <v/>
      </c>
      <c r="D372" s="369">
        <f>B372&amp;C372&amp;"寸"</f>
        <v/>
      </c>
      <c r="E372" s="346">
        <f>LEFT(REPLACE(G372,1,2,""),FIND("[",REPLACE(G372,1,2,""))-1)&amp;"-"&amp;MID(REPLACE(G372,1,2,""),FIND("[",REPLACE(G372,1,2,""))+1,FIND("]",REPLACE(G372,1,2,""))-FIND("[",REPLACE(G372,1,2,""))-1)</f>
        <v/>
      </c>
      <c r="F372" s="346">
        <f>IFERROR(IFERROR(SUBSTITUTE(E372,"("&amp;MID(E372,FIND("(",E372)+1,FIND(")",E372)-FIND("(",E372)-1)&amp;")",""),E372),"")</f>
        <v/>
      </c>
      <c r="G372" s="346" t="n"/>
      <c r="H372" s="344" t="n"/>
      <c r="I372" s="348" t="n"/>
      <c r="J372" s="349">
        <f>IFERROR(LEFT(F372,FIND("-",F372))&amp;MID(F372,FIND("PR",F372,FIND("-",F372))+3,LEN(F372)),F372)</f>
        <v/>
      </c>
      <c r="K372" s="352">
        <f>_xlfn.XLOOKUP(F372,投产规格!E:E,投产规格!D:D,"未投产")</f>
        <v/>
      </c>
      <c r="L372" s="352">
        <f>IFERROR(_xlfn.XLOOKUP(F372,硫化工艺!B:B,硫化工艺!C:C),"")</f>
        <v/>
      </c>
      <c r="M372" s="430">
        <f>IF(L372="","",L372/(L372+$L$1/60))</f>
        <v/>
      </c>
      <c r="N372" s="352">
        <f>C372&amp;"全钢"</f>
        <v/>
      </c>
      <c r="O372" s="352">
        <f>IFERROR(_xlfn.XLOOKUP(F372,轮胎重量!J:J,轮胎重量!G:G),"")</f>
        <v/>
      </c>
      <c r="P372" s="358">
        <f>O372*13.9</f>
        <v/>
      </c>
      <c r="Q372" s="352">
        <f>IFERROR(ROUND(1440/L372*(I372)*M372,0),"")</f>
        <v/>
      </c>
      <c r="R372" s="352" t="n"/>
      <c r="S372" s="352" t="n"/>
      <c r="T372" s="352" t="n"/>
      <c r="U372" s="352" t="n"/>
      <c r="V372" s="352" t="n"/>
      <c r="W372" s="352" t="n"/>
      <c r="X372" s="352" t="n"/>
      <c r="Y372" s="352" t="n"/>
      <c r="Z372" s="352" t="n"/>
      <c r="AA372" s="352" t="n"/>
      <c r="AB372" s="352" t="n"/>
      <c r="AC372" s="352" t="n"/>
      <c r="AD372" s="352" t="n"/>
      <c r="AE372" s="352" t="n"/>
      <c r="AF372" s="352" t="n"/>
      <c r="AG372" s="352" t="n"/>
      <c r="AH372" s="352" t="n"/>
      <c r="AI372" s="352" t="n"/>
      <c r="AJ372" s="352" t="n"/>
      <c r="AK372" s="352" t="n"/>
      <c r="AL372" s="352" t="n"/>
      <c r="AM372" s="352" t="n"/>
      <c r="AN372" s="352" t="n"/>
      <c r="AO372" s="352" t="n"/>
      <c r="AP372" s="352" t="n"/>
      <c r="AQ372" s="352" t="n"/>
      <c r="AR372" s="352" t="n"/>
      <c r="AS372" s="352" t="n"/>
      <c r="AT372" s="352" t="n"/>
      <c r="AU372" s="352" t="n"/>
      <c r="AV372" s="352" t="n"/>
      <c r="AW372" s="352">
        <f>IF(SUM(R372:AV372)=0,"",SUM(R372:AV372))</f>
        <v/>
      </c>
      <c r="AX372" s="431">
        <f>IFERROR(AW372*O372/1000,"")</f>
        <v/>
      </c>
      <c r="AY372" s="431">
        <f>IFERROR(ROUND(AW372*P372/10000,3),"")</f>
        <v/>
      </c>
      <c r="AZ372" s="354" t="n">
        <v>811.96</v>
      </c>
      <c r="BA372" s="355" t="n">
        <v>46.38</v>
      </c>
      <c r="BB372" s="355" t="n">
        <v>73.08</v>
      </c>
      <c r="BC372" s="355" t="n">
        <v>75.20999999999999</v>
      </c>
      <c r="BE372" s="331">
        <f>AZ372*AW372</f>
        <v/>
      </c>
      <c r="BF372" s="331">
        <f>BA372*AW372</f>
        <v/>
      </c>
      <c r="BG372" s="331">
        <f>BB372*AW372</f>
        <v/>
      </c>
      <c r="BH372" s="331">
        <f>BC372*AW372</f>
        <v/>
      </c>
      <c r="BJ372" s="356">
        <f t="array" ref="BJ372:BM372">_xlfn.LET(_xlpm.data,$R372:$AV372,_xlpm.starts,{1,8,16,23},_xlpm.lengths,{7,7,8,9},_xlpm.arr,_xlfn.MAP(_xlpm.starts,_xlpm.lengths,_xlfn.LAMBDA(_xlpm.s,_xlpm.l,SUM(INDEX(_xlpm.data,,_xlfn.SEQUENCE(,_xlpm.l,_xlpm.s))))),ROUND(_xlpm.arr*$O372/1000,2))</f>
        <v/>
      </c>
      <c r="BK372" s="331" t="n">
        <v>0</v>
      </c>
      <c r="BL372" s="331" t="n">
        <v>0</v>
      </c>
      <c r="BM372" s="331" t="n">
        <v>0</v>
      </c>
      <c r="BN372" s="362">
        <f>SUM(BJ372:BM372)</f>
        <v/>
      </c>
      <c r="BO372" s="362" t="n">
        <v>29.92</v>
      </c>
      <c r="BP372" s="362" t="n">
        <v>29.92</v>
      </c>
      <c r="BQ372" s="362" t="n">
        <v>34.2</v>
      </c>
      <c r="BR372" s="362" t="n">
        <v>38.47</v>
      </c>
      <c r="BT372" s="362">
        <f t="array" ref="BT372:BW372">_xlfn.HSTACK(SUM(INDEX($R372:$AV372,1,1):INDEX($R372:$AV372,1,7)),SUM(INDEX($R372:$AV372,1,7):INDEX($R372:$AV372,1,13)),SUM(INDEX($R372:$AV372,1,16):INDEX($R372:$AV372,1,23)),SUM(INDEX($R372:$AV372,1,23):INDEX($R372:$AV372,1,31)))</f>
        <v/>
      </c>
      <c r="BU372" s="362" t="n">
        <v>0</v>
      </c>
      <c r="BV372" s="362" t="n">
        <v>0</v>
      </c>
      <c r="BW372" s="362" t="n">
        <v>0</v>
      </c>
      <c r="BY372" s="362">
        <f>SUM(R372:X372)</f>
        <v/>
      </c>
      <c r="BZ372" s="362">
        <f>SUM(Y372:AE372)</f>
        <v/>
      </c>
      <c r="CA372" s="362">
        <f>SUM(AF372:AM372)</f>
        <v/>
      </c>
      <c r="CB372" s="362">
        <f>SUM(AN372:AV372)</f>
        <v/>
      </c>
      <c r="CE372" s="362">
        <f>ROUND(BY372*$O372/1000,2)</f>
        <v/>
      </c>
      <c r="CF372" s="362">
        <f>ROUND(BZ372*$O372/1000,2)</f>
        <v/>
      </c>
      <c r="CG372" s="362">
        <f>ROUND(CA372*$O372/1000,2)</f>
        <v/>
      </c>
      <c r="CH372" s="362">
        <f>ROUND(CB372*$O372/1000,2)</f>
        <v/>
      </c>
      <c r="CI372" s="362">
        <f>SUM(CE372:CH372)</f>
        <v/>
      </c>
      <c r="CK372" s="362">
        <f>IFERROR(ROUND(BY372*$P372,2),"")</f>
        <v/>
      </c>
      <c r="CL372" s="362">
        <f>IFERROR(ROUND(BZ372*$P372,2),"")</f>
        <v/>
      </c>
      <c r="CM372" s="362">
        <f>IFERROR(ROUND(CA372*$P372,2),"")</f>
        <v/>
      </c>
      <c r="CN372" s="362">
        <f>IFERROR(ROUND(CB372*$P372,2),"")</f>
        <v/>
      </c>
      <c r="CO372" s="362">
        <f>SUM(CK372:CN372)</f>
        <v/>
      </c>
    </row>
    <row r="373" hidden="1" s="428">
      <c r="B373" s="369" t="n"/>
      <c r="C373" s="345">
        <f>IFERROR(MID(F373,FIND("R",F373)+1,2),"")</f>
        <v/>
      </c>
      <c r="D373" s="369">
        <f>B373&amp;C373&amp;"寸"</f>
        <v/>
      </c>
      <c r="E373" s="346">
        <f>LEFT(REPLACE(G373,1,2,""),FIND("[",REPLACE(G373,1,2,""))-1)&amp;"-"&amp;MID(REPLACE(G373,1,2,""),FIND("[",REPLACE(G373,1,2,""))+1,FIND("]",REPLACE(G373,1,2,""))-FIND("[",REPLACE(G373,1,2,""))-1)</f>
        <v/>
      </c>
      <c r="F373" s="346">
        <f>IFERROR(IFERROR(SUBSTITUTE(E373,"("&amp;MID(E373,FIND("(",E373)+1,FIND(")",E373)-FIND("(",E373)-1)&amp;")",""),E373),"")</f>
        <v/>
      </c>
      <c r="G373" s="346" t="n"/>
      <c r="H373" s="344" t="n"/>
      <c r="I373" s="348" t="n"/>
      <c r="J373" s="349">
        <f>IFERROR(LEFT(F373,FIND("-",F373))&amp;MID(F373,FIND("PR",F373,FIND("-",F373))+3,LEN(F373)),F373)</f>
        <v/>
      </c>
      <c r="K373" s="370" t="n"/>
      <c r="L373" s="352">
        <f>IFERROR(_xlfn.XLOOKUP(F373,硫化工艺!B:B,硫化工艺!C:C),"")</f>
        <v/>
      </c>
      <c r="M373" s="430">
        <f>IF(L373="","",L373/(L373+$L$1/60))</f>
        <v/>
      </c>
      <c r="N373" s="352" t="n"/>
      <c r="O373" s="352">
        <f>IFERROR(_xlfn.XLOOKUP(F373,轮胎重量!J:J,轮胎重量!G:G),"")</f>
        <v/>
      </c>
      <c r="P373" s="358">
        <f>O373*13.9</f>
        <v/>
      </c>
      <c r="Q373" s="352">
        <f>IFERROR(ROUND(1440/L373*(I373)*M373,0),"")</f>
        <v/>
      </c>
      <c r="R373" s="352" t="n"/>
      <c r="S373" s="352" t="n"/>
      <c r="T373" s="352" t="n"/>
      <c r="U373" s="352" t="n"/>
      <c r="V373" s="352" t="n"/>
      <c r="W373" s="352" t="n"/>
      <c r="X373" s="352" t="n"/>
      <c r="Y373" s="352" t="n"/>
      <c r="Z373" s="352" t="n"/>
      <c r="AA373" s="352" t="n"/>
      <c r="AB373" s="352" t="n"/>
      <c r="AC373" s="352" t="n"/>
      <c r="AD373" s="352" t="n"/>
      <c r="AE373" s="352" t="n"/>
      <c r="AF373" s="352" t="n"/>
      <c r="AG373" s="352" t="n"/>
      <c r="AH373" s="352" t="n"/>
      <c r="AI373" s="352" t="n"/>
      <c r="AJ373" s="352" t="n"/>
      <c r="AK373" s="352" t="n"/>
      <c r="AL373" s="352" t="n"/>
      <c r="AM373" s="352" t="n"/>
      <c r="AN373" s="352" t="n"/>
      <c r="AO373" s="352" t="n"/>
      <c r="AP373" s="352" t="n"/>
      <c r="AQ373" s="352" t="n"/>
      <c r="AR373" s="352" t="n"/>
      <c r="AS373" s="352" t="n"/>
      <c r="AT373" s="352" t="n"/>
      <c r="AU373" s="352" t="n"/>
      <c r="AV373" s="352" t="n"/>
      <c r="AW373" s="352">
        <f>IF(SUM(R373:AV373)=0,"",SUM(R373:AV373))</f>
        <v/>
      </c>
      <c r="AX373" s="431">
        <f>IFERROR(AW373*O373/1000,"")</f>
        <v/>
      </c>
      <c r="AY373" s="431">
        <f>IFERROR(ROUND(AW373*P373/10000,3),"")</f>
        <v/>
      </c>
      <c r="AZ373" s="354" t="n">
        <v>799.29</v>
      </c>
      <c r="BA373" s="355" t="n">
        <v>45.16</v>
      </c>
      <c r="BB373" s="355" t="n">
        <v>71.84</v>
      </c>
      <c r="BC373" s="355" t="n">
        <v>72.93000000000001</v>
      </c>
      <c r="BE373" s="331">
        <f>AZ373*AW373</f>
        <v/>
      </c>
      <c r="BF373" s="331">
        <f>BA373*AW373</f>
        <v/>
      </c>
      <c r="BG373" s="331">
        <f>BB373*AW373</f>
        <v/>
      </c>
      <c r="BH373" s="331">
        <f>BC373*AW373</f>
        <v/>
      </c>
      <c r="BJ373" s="356">
        <f t="array" ref="BJ373:BM373">_xlfn.LET(_xlpm.data,$R373:$AV373,_xlpm.starts,{1,8,16,23},_xlpm.lengths,{7,7,8,9},_xlpm.arr,_xlfn.MAP(_xlpm.starts,_xlpm.lengths,_xlfn.LAMBDA(_xlpm.s,_xlpm.l,SUM(INDEX(_xlpm.data,,_xlfn.SEQUENCE(,_xlpm.l,_xlpm.s))))),ROUND(_xlpm.arr*$O373/1000,2))</f>
        <v/>
      </c>
      <c r="BK373" s="331" t="n">
        <v>0</v>
      </c>
      <c r="BL373" s="331" t="n">
        <v>0</v>
      </c>
      <c r="BM373" s="331" t="n">
        <v>0</v>
      </c>
      <c r="BN373" s="362">
        <f>SUM(BJ373:BM373)</f>
        <v/>
      </c>
      <c r="BO373" s="362" t="n">
        <v>34.3</v>
      </c>
      <c r="BP373" s="362" t="n">
        <v>34.3</v>
      </c>
      <c r="BQ373" s="362" t="n">
        <v>39.2</v>
      </c>
      <c r="BR373" s="362" t="n">
        <v>44.1</v>
      </c>
      <c r="BT373" s="362">
        <f t="array" ref="BT373:BW373">_xlfn.HSTACK(SUM(INDEX($R373:$AV373,1,1):INDEX($R373:$AV373,1,7)),SUM(INDEX($R373:$AV373,1,7):INDEX($R373:$AV373,1,13)),SUM(INDEX($R373:$AV373,1,16):INDEX($R373:$AV373,1,23)),SUM(INDEX($R373:$AV373,1,23):INDEX($R373:$AV373,1,31)))</f>
        <v/>
      </c>
      <c r="BU373" s="362" t="n">
        <v>0</v>
      </c>
      <c r="BV373" s="362" t="n">
        <v>0</v>
      </c>
      <c r="BW373" s="362" t="n">
        <v>0</v>
      </c>
      <c r="BY373" s="362">
        <f>SUM(R373:X373)</f>
        <v/>
      </c>
      <c r="BZ373" s="362">
        <f>SUM(Y373:AE373)</f>
        <v/>
      </c>
      <c r="CA373" s="362">
        <f>SUM(AF373:AM373)</f>
        <v/>
      </c>
      <c r="CB373" s="362">
        <f>SUM(AN373:AV373)</f>
        <v/>
      </c>
      <c r="CE373" s="362">
        <f>ROUND(BY373*$O373/1000,2)</f>
        <v/>
      </c>
      <c r="CF373" s="362">
        <f>ROUND(BZ373*$O373/1000,2)</f>
        <v/>
      </c>
      <c r="CG373" s="362">
        <f>ROUND(CA373*$O373/1000,2)</f>
        <v/>
      </c>
      <c r="CH373" s="362">
        <f>ROUND(CB373*$O373/1000,2)</f>
        <v/>
      </c>
      <c r="CI373" s="362">
        <f>SUM(CE373:CH373)</f>
        <v/>
      </c>
      <c r="CK373" s="362">
        <f>IFERROR(ROUND(BY373*$P373,2),"")</f>
        <v/>
      </c>
      <c r="CL373" s="362">
        <f>IFERROR(ROUND(BZ373*$P373,2),"")</f>
        <v/>
      </c>
      <c r="CM373" s="362">
        <f>IFERROR(ROUND(CA373*$P373,2),"")</f>
        <v/>
      </c>
      <c r="CN373" s="362">
        <f>IFERROR(ROUND(CB373*$P373,2),"")</f>
        <v/>
      </c>
      <c r="CO373" s="362">
        <f>SUM(CK373:CN373)</f>
        <v/>
      </c>
    </row>
    <row r="374" hidden="1" customFormat="1" s="362">
      <c r="A374" s="331" t="n"/>
      <c r="B374" s="368" t="n"/>
      <c r="C374" s="345">
        <f>IFERROR(MID(F374,FIND("R",F374)+1,2),"")</f>
        <v/>
      </c>
      <c r="D374" s="369">
        <f>B374&amp;C374&amp;"寸"</f>
        <v/>
      </c>
      <c r="E374" s="346">
        <f>LEFT(REPLACE(G374,1,2,""),FIND("[",REPLACE(G374,1,2,""))-1)&amp;"-"&amp;MID(REPLACE(G374,1,2,""),FIND("[",REPLACE(G374,1,2,""))+1,FIND("]",REPLACE(G374,1,2,""))-FIND("[",REPLACE(G374,1,2,""))-1)</f>
        <v/>
      </c>
      <c r="F374" s="346">
        <f>IFERROR(IFERROR(SUBSTITUTE(E374,"("&amp;MID(E374,FIND("(",E374)+1,FIND(")",E374)-FIND("(",E374)-1)&amp;")",""),E374),"")</f>
        <v/>
      </c>
      <c r="G374" s="346" t="n"/>
      <c r="H374" s="344" t="n"/>
      <c r="I374" s="348" t="n"/>
      <c r="J374" s="349" t="n"/>
      <c r="K374" s="370" t="n"/>
      <c r="L374" s="352">
        <f>IFERROR(_xlfn.XLOOKUP(F374,硫化工艺!B:B,硫化工艺!C:C),"")</f>
        <v/>
      </c>
      <c r="M374" s="430">
        <f>IF(L374="","",L374/(L374+$L$1/60))</f>
        <v/>
      </c>
      <c r="N374" s="352" t="n"/>
      <c r="O374" s="352">
        <f>IFERROR(_xlfn.XLOOKUP(F374,轮胎重量!J:J,轮胎重量!G:G),"")</f>
        <v/>
      </c>
      <c r="P374" s="358">
        <f>O374*13.9</f>
        <v/>
      </c>
      <c r="Q374" s="352">
        <f>IFERROR(ROUND(1440/L374*(I374)*M374,0),"")</f>
        <v/>
      </c>
      <c r="R374" s="352" t="n"/>
      <c r="S374" s="352" t="n"/>
      <c r="T374" s="352" t="n"/>
      <c r="U374" s="352" t="n"/>
      <c r="V374" s="352" t="n"/>
      <c r="W374" s="352" t="n"/>
      <c r="X374" s="352" t="n"/>
      <c r="Y374" s="352" t="n"/>
      <c r="Z374" s="352" t="n"/>
      <c r="AA374" s="352" t="n"/>
      <c r="AB374" s="352" t="n"/>
      <c r="AC374" s="352" t="n"/>
      <c r="AD374" s="352" t="n"/>
      <c r="AE374" s="352" t="n"/>
      <c r="AF374" s="352" t="n"/>
      <c r="AG374" s="352" t="n"/>
      <c r="AH374" s="352" t="n"/>
      <c r="AI374" s="352" t="n"/>
      <c r="AJ374" s="352" t="n"/>
      <c r="AK374" s="352" t="n"/>
      <c r="AL374" s="352" t="n"/>
      <c r="AM374" s="352" t="n"/>
      <c r="AN374" s="352" t="n"/>
      <c r="AO374" s="352" t="n"/>
      <c r="AP374" s="352" t="n"/>
      <c r="AQ374" s="352" t="n"/>
      <c r="AR374" s="352" t="n"/>
      <c r="AS374" s="352" t="n"/>
      <c r="AT374" s="352" t="n"/>
      <c r="AU374" s="352" t="n"/>
      <c r="AV374" s="352" t="n"/>
      <c r="AW374" s="352">
        <f>IF(SUM(R374:AV374)=0,"",SUM(R374:AV374))</f>
        <v/>
      </c>
      <c r="AX374" s="431">
        <f>IFERROR(AW374*O374/1000,"")</f>
        <v/>
      </c>
      <c r="AY374" s="431">
        <f>IFERROR(ROUND(AW374*P374/10000,3),"")</f>
        <v/>
      </c>
      <c r="AZ374" s="354" t="n"/>
      <c r="BA374" s="355" t="n"/>
      <c r="BB374" s="355" t="n"/>
      <c r="BC374" s="355" t="n"/>
      <c r="BD374" s="331" t="n"/>
      <c r="BE374" s="331">
        <f>AZ374*AW374</f>
        <v/>
      </c>
      <c r="BF374" s="331">
        <f>BA374*AW374</f>
        <v/>
      </c>
      <c r="BG374" s="331">
        <f>BB374*AW374</f>
        <v/>
      </c>
      <c r="BH374" s="331">
        <f>BC374*AW374</f>
        <v/>
      </c>
      <c r="BI374" s="331" t="n"/>
      <c r="BJ374" s="356">
        <f t="array" ref="BJ374:BM374">_xlfn.LET(_xlpm.data,$R374:$AV374,_xlpm.starts,{1,8,16,23},_xlpm.lengths,{7,7,8,9},_xlpm.arr,_xlfn.MAP(_xlpm.starts,_xlpm.lengths,_xlfn.LAMBDA(_xlpm.s,_xlpm.l,SUM(INDEX(_xlpm.data,,_xlfn.SEQUENCE(,_xlpm.l,_xlpm.s))))),ROUND(_xlpm.arr*$O374/1000,2))</f>
        <v/>
      </c>
      <c r="BK374" s="331" t="n">
        <v>0</v>
      </c>
      <c r="BL374" s="331" t="n">
        <v>0</v>
      </c>
      <c r="BM374" s="331" t="n">
        <v>0</v>
      </c>
      <c r="BN374" s="362">
        <f>SUM(BJ374:BM374)</f>
        <v/>
      </c>
      <c r="BO374" s="362" t="n">
        <v>69.93000000000001</v>
      </c>
      <c r="BP374" s="362" t="n">
        <v>69.93000000000001</v>
      </c>
      <c r="BQ374" s="362" t="n">
        <v>79.92</v>
      </c>
      <c r="BR374" s="362" t="n">
        <v>89.91</v>
      </c>
      <c r="BS374" s="115" t="n"/>
      <c r="BT374" s="362">
        <f t="array" ref="BT374:BW374">_xlfn.HSTACK(SUM(INDEX($R374:$AV374,1,1):INDEX($R374:$AV374,1,7)),SUM(INDEX($R374:$AV374,1,7):INDEX($R374:$AV374,1,13)),SUM(INDEX($R374:$AV374,1,16):INDEX($R374:$AV374,1,23)),SUM(INDEX($R374:$AV374,1,23):INDEX($R374:$AV374,1,31)))</f>
        <v/>
      </c>
      <c r="BU374" s="362" t="n">
        <v>0</v>
      </c>
      <c r="BV374" s="362" t="n">
        <v>0</v>
      </c>
      <c r="BW374" s="362" t="n">
        <v>0</v>
      </c>
      <c r="BY374" s="362">
        <f>SUM(R374:X374)</f>
        <v/>
      </c>
      <c r="BZ374" s="362">
        <f>SUM(Y374:AE374)</f>
        <v/>
      </c>
      <c r="CA374" s="362">
        <f>SUM(AF374:AM374)</f>
        <v/>
      </c>
      <c r="CB374" s="362">
        <f>SUM(AN374:AV374)</f>
        <v/>
      </c>
      <c r="CD374" s="390" t="n"/>
      <c r="CE374" s="362">
        <f>ROUND(BY374*$O374/1000,2)</f>
        <v/>
      </c>
      <c r="CF374" s="362">
        <f>ROUND(BZ374*$O374/1000,2)</f>
        <v/>
      </c>
      <c r="CG374" s="362">
        <f>ROUND(CA374*$O374/1000,2)</f>
        <v/>
      </c>
      <c r="CH374" s="362">
        <f>ROUND(CB374*$O374/1000,2)</f>
        <v/>
      </c>
      <c r="CI374" s="362">
        <f>SUM(CE374:CH374)</f>
        <v/>
      </c>
      <c r="CJ374" s="390" t="n"/>
      <c r="CK374" s="362">
        <f>IFERROR(ROUND(BY374*$P374,2),"")</f>
        <v/>
      </c>
      <c r="CL374" s="362">
        <f>IFERROR(ROUND(BZ374*$P374,2),"")</f>
        <v/>
      </c>
      <c r="CM374" s="362">
        <f>IFERROR(ROUND(CA374*$P374,2),"")</f>
        <v/>
      </c>
      <c r="CN374" s="362">
        <f>IFERROR(ROUND(CB374*$P374,2),"")</f>
        <v/>
      </c>
      <c r="CO374" s="362">
        <f>SUM(CK374:CN374)</f>
        <v/>
      </c>
    </row>
    <row r="375" hidden="1" customFormat="1" s="362">
      <c r="A375" s="331" t="n"/>
      <c r="B375" s="369" t="n"/>
      <c r="C375" s="345">
        <f>IFERROR(MID(F375,FIND("R",F375)+1,2),"")</f>
        <v/>
      </c>
      <c r="D375" s="369">
        <f>B375&amp;C375&amp;"寸"</f>
        <v/>
      </c>
      <c r="E375" s="346">
        <f>LEFT(REPLACE(G375,1,2,""),FIND("[",REPLACE(G375,1,2,""))-1)&amp;"-"&amp;MID(REPLACE(G375,1,2,""),FIND("[",REPLACE(G375,1,2,""))+1,FIND("]",REPLACE(G375,1,2,""))-FIND("[",REPLACE(G375,1,2,""))-1)</f>
        <v/>
      </c>
      <c r="F375" s="346">
        <f>IFERROR(IFERROR(SUBSTITUTE(E375,"("&amp;MID(E375,FIND("(",E375)+1,FIND(")",E375)-FIND("(",E375)-1)&amp;")",""),E375),"")</f>
        <v/>
      </c>
      <c r="G375" s="346" t="n"/>
      <c r="H375" s="344" t="n"/>
      <c r="I375" s="348" t="n"/>
      <c r="J375" s="370" t="n"/>
      <c r="K375" s="370" t="n"/>
      <c r="L375" s="352">
        <f>IFERROR(_xlfn.XLOOKUP(F375,硫化工艺!B:B,硫化工艺!C:C),"")</f>
        <v/>
      </c>
      <c r="M375" s="430">
        <f>IF(L375="","",L375/(L375+$L$1/60))</f>
        <v/>
      </c>
      <c r="N375" s="352" t="n"/>
      <c r="O375" s="352">
        <f>IFERROR(_xlfn.XLOOKUP(F375,轮胎重量!J:J,轮胎重量!G:G),"")</f>
        <v/>
      </c>
      <c r="P375" s="358">
        <f>O375*15.11</f>
        <v/>
      </c>
      <c r="Q375" s="352">
        <f>IFERROR(ROUND(1440/L375*(I375)*M375,0),"")</f>
        <v/>
      </c>
      <c r="R375" s="352" t="n"/>
      <c r="S375" s="352" t="n"/>
      <c r="T375" s="352" t="n"/>
      <c r="U375" s="352" t="n"/>
      <c r="V375" s="352" t="n"/>
      <c r="W375" s="352" t="n"/>
      <c r="X375" s="352" t="n"/>
      <c r="Y375" s="352" t="n"/>
      <c r="Z375" s="352" t="n"/>
      <c r="AA375" s="352" t="n"/>
      <c r="AB375" s="352" t="n"/>
      <c r="AC375" s="352" t="n"/>
      <c r="AD375" s="352" t="n"/>
      <c r="AE375" s="352" t="n"/>
      <c r="AF375" s="352" t="n"/>
      <c r="AG375" s="352" t="n"/>
      <c r="AH375" s="352" t="n"/>
      <c r="AI375" s="352" t="n"/>
      <c r="AJ375" s="352" t="n"/>
      <c r="AK375" s="352" t="n"/>
      <c r="AL375" s="352" t="n"/>
      <c r="AM375" s="352" t="n"/>
      <c r="AN375" s="352" t="n"/>
      <c r="AO375" s="352" t="n"/>
      <c r="AP375" s="352" t="n"/>
      <c r="AQ375" s="352" t="n"/>
      <c r="AR375" s="352" t="n"/>
      <c r="AS375" s="352" t="n"/>
      <c r="AT375" s="352" t="n"/>
      <c r="AU375" s="352" t="n"/>
      <c r="AV375" s="352" t="n"/>
      <c r="AW375" s="352">
        <f>IF(SUM(R375:AV375)=0,"",SUM(R375:AV375))</f>
        <v/>
      </c>
      <c r="AX375" s="431">
        <f>IFERROR(AW375*O375/1000,"")</f>
        <v/>
      </c>
      <c r="AY375" s="431">
        <f>IFERROR(ROUND(AW375*P375/10000,3),"")</f>
        <v/>
      </c>
      <c r="AZ375" s="354" t="n"/>
      <c r="BA375" s="355" t="n"/>
      <c r="BB375" s="355" t="n"/>
      <c r="BC375" s="355" t="n"/>
      <c r="BD375" s="331" t="n"/>
      <c r="BE375" s="331">
        <f>AZ375*AW375</f>
        <v/>
      </c>
      <c r="BF375" s="331">
        <f>BA375*AW375</f>
        <v/>
      </c>
      <c r="BG375" s="331">
        <f>BB375*AW375</f>
        <v/>
      </c>
      <c r="BH375" s="331">
        <f>BC375*AW375</f>
        <v/>
      </c>
      <c r="BI375" s="331" t="n"/>
      <c r="BJ375" s="356">
        <f t="array" ref="BJ375:BM375">_xlfn.LET(_xlpm.data,$R375:$AV375,_xlpm.starts,{1,8,16,23},_xlpm.lengths,{7,7,8,9},_xlpm.arr,_xlfn.MAP(_xlpm.starts,_xlpm.lengths,_xlfn.LAMBDA(_xlpm.s,_xlpm.l,SUM(INDEX(_xlpm.data,,_xlfn.SEQUENCE(,_xlpm.l,_xlpm.s))))),ROUND(_xlpm.arr*$O375/1000,2))</f>
        <v/>
      </c>
      <c r="BK375" s="331" t="n">
        <v>0</v>
      </c>
      <c r="BL375" s="331" t="n">
        <v>0</v>
      </c>
      <c r="BM375" s="331" t="n">
        <v>0</v>
      </c>
      <c r="BN375" s="362">
        <f>SUM(BJ375:BM375)</f>
        <v/>
      </c>
      <c r="BO375" s="362" t="n">
        <v>66.94</v>
      </c>
      <c r="BP375" s="362" t="n">
        <v>66.94</v>
      </c>
      <c r="BQ375" s="362" t="n">
        <v>76.5</v>
      </c>
      <c r="BR375" s="362" t="n">
        <v>86.06999999999999</v>
      </c>
      <c r="BS375" s="115" t="n"/>
      <c r="BT375" s="362">
        <f t="array" ref="BT375:BW375">_xlfn.HSTACK(SUM(INDEX($R375:$AV375,1,1):INDEX($R375:$AV375,1,7)),SUM(INDEX($R375:$AV375,1,7):INDEX($R375:$AV375,1,13)),SUM(INDEX($R375:$AV375,1,16):INDEX($R375:$AV375,1,23)),SUM(INDEX($R375:$AV375,1,23):INDEX($R375:$AV375,1,31)))</f>
        <v/>
      </c>
      <c r="BU375" s="362" t="n">
        <v>0</v>
      </c>
      <c r="BV375" s="362" t="n">
        <v>0</v>
      </c>
      <c r="BW375" s="362" t="n">
        <v>0</v>
      </c>
      <c r="BY375" s="362">
        <f>SUM(R375:X375)</f>
        <v/>
      </c>
      <c r="BZ375" s="362">
        <f>SUM(Y375:AE375)</f>
        <v/>
      </c>
      <c r="CA375" s="362">
        <f>SUM(AF375:AM375)</f>
        <v/>
      </c>
      <c r="CB375" s="362">
        <f>SUM(AN375:AV375)</f>
        <v/>
      </c>
      <c r="CD375" s="390" t="n"/>
      <c r="CE375" s="362">
        <f>ROUND(BY375*$O375/1000,2)</f>
        <v/>
      </c>
      <c r="CF375" s="362">
        <f>ROUND(BZ375*$O375/1000,2)</f>
        <v/>
      </c>
      <c r="CG375" s="362">
        <f>ROUND(CA375*$O375/1000,2)</f>
        <v/>
      </c>
      <c r="CH375" s="362">
        <f>ROUND(CB375*$O375/1000,2)</f>
        <v/>
      </c>
      <c r="CI375" s="362">
        <f>SUM(CE375:CH375)</f>
        <v/>
      </c>
      <c r="CJ375" s="390" t="n"/>
      <c r="CK375" s="362">
        <f>IFERROR(ROUND(BY375*$P375,2),"")</f>
        <v/>
      </c>
      <c r="CL375" s="362">
        <f>IFERROR(ROUND(BZ375*$P375,2),"")</f>
        <v/>
      </c>
      <c r="CM375" s="362">
        <f>IFERROR(ROUND(CA375*$P375,2),"")</f>
        <v/>
      </c>
      <c r="CN375" s="362">
        <f>IFERROR(ROUND(CB375*$P375,2),"")</f>
        <v/>
      </c>
      <c r="CO375" s="362">
        <f>SUM(CK375:CN375)</f>
        <v/>
      </c>
    </row>
    <row r="376" hidden="1" s="428">
      <c r="B376" s="369" t="n"/>
      <c r="C376" s="369" t="n"/>
      <c r="D376" s="369" t="n"/>
      <c r="E376" s="371" t="n"/>
      <c r="F376" s="371" t="n"/>
      <c r="G376" s="371" t="n"/>
      <c r="H376" s="369" t="n"/>
      <c r="I376" s="348" t="n"/>
      <c r="J376" s="370" t="n"/>
      <c r="K376" s="370" t="n"/>
      <c r="L376" s="352" t="n"/>
      <c r="M376" s="430" t="n"/>
      <c r="N376" s="352" t="n"/>
      <c r="O376" s="352">
        <f>IFERROR(_xlfn.XLOOKUP(E376,轮胎重量!J:J,轮胎重量!F:F),"")</f>
        <v/>
      </c>
      <c r="P376" s="352">
        <f>IFERROR(_xlfn.XLOOKUP(F376,硫化工艺!I:I,硫化工艺!J:J),"")</f>
        <v/>
      </c>
      <c r="Q376" s="352">
        <f>IFERROR(ROUND(1440/L376*(I376)*M376,0),"")</f>
        <v/>
      </c>
      <c r="R376" s="352" t="n"/>
      <c r="S376" s="352" t="n"/>
      <c r="T376" s="352" t="n"/>
      <c r="U376" s="352" t="n"/>
      <c r="V376" s="352" t="n"/>
      <c r="W376" s="352" t="n"/>
      <c r="X376" s="352" t="n"/>
      <c r="Y376" s="352" t="n"/>
      <c r="Z376" s="352" t="n"/>
      <c r="AA376" s="352" t="n"/>
      <c r="AB376" s="352" t="n"/>
      <c r="AC376" s="352" t="n"/>
      <c r="AD376" s="352" t="n"/>
      <c r="AE376" s="352" t="n"/>
      <c r="AF376" s="352" t="n"/>
      <c r="AG376" s="352" t="n"/>
      <c r="AH376" s="352" t="n"/>
      <c r="AI376" s="352" t="n"/>
      <c r="AJ376" s="352" t="n"/>
      <c r="AK376" s="352" t="n"/>
      <c r="AL376" s="352" t="n"/>
      <c r="AM376" s="352" t="n"/>
      <c r="AN376" s="352" t="n"/>
      <c r="AO376" s="352" t="n"/>
      <c r="AP376" s="352" t="n"/>
      <c r="AQ376" s="352" t="n"/>
      <c r="AR376" s="352" t="n"/>
      <c r="AS376" s="352" t="n"/>
      <c r="AT376" s="352" t="n"/>
      <c r="AU376" s="352" t="n"/>
      <c r="AV376" s="352" t="n"/>
      <c r="AW376" s="352">
        <f>IF(SUM(R376:AV376)=0,"",SUM(R376:AV376))</f>
        <v/>
      </c>
      <c r="AX376" s="431">
        <f>IFERROR(AW376*O376/1000,"")</f>
        <v/>
      </c>
      <c r="AY376" s="431">
        <f>IFERROR(ROUND(AW376*P376/10000,3),"")</f>
        <v/>
      </c>
      <c r="AZ376" s="354" t="n"/>
      <c r="BA376" s="355" t="n"/>
      <c r="BB376" s="355" t="n"/>
      <c r="BC376" s="355" t="n"/>
      <c r="BE376" s="331">
        <f>AZ376*AW376</f>
        <v/>
      </c>
      <c r="BF376" s="331">
        <f>BA376*AW376</f>
        <v/>
      </c>
      <c r="BG376" s="331">
        <f>BB376*AW376</f>
        <v/>
      </c>
      <c r="BH376" s="331">
        <f>BC376*AW376</f>
        <v/>
      </c>
      <c r="BT376" s="362">
        <f t="array" ref="BT376:BW376">_xlfn.HSTACK(SUM(INDEX($R376:$AV376,1,1):INDEX($R376:$AV376,1,7)),SUM(INDEX($R376:$AV376,1,7):INDEX($R376:$AV376,1,13)),SUM(INDEX($R376:$AV376,1,16):INDEX($R376:$AV376,1,23)),SUM(INDEX($R376:$AV376,1,23):INDEX($R376:$AV376,1,31)))</f>
        <v/>
      </c>
      <c r="BU376" s="362" t="n">
        <v>0</v>
      </c>
      <c r="BV376" s="362" t="n">
        <v>0</v>
      </c>
      <c r="BW376" s="362" t="n">
        <v>0</v>
      </c>
      <c r="BY376" s="362">
        <f>SUM(R376:X376)</f>
        <v/>
      </c>
      <c r="BZ376" s="362">
        <f>SUM(Y376:AE376)</f>
        <v/>
      </c>
      <c r="CA376" s="362">
        <f>SUM(AF376:AM376)</f>
        <v/>
      </c>
      <c r="CB376" s="362">
        <f>SUM(AN376:AV376)</f>
        <v/>
      </c>
    </row>
    <row r="377">
      <c r="H377" s="331">
        <f>SUM(H3:H376)</f>
        <v/>
      </c>
      <c r="I377" s="331">
        <f>1440/42*2*0.85</f>
        <v/>
      </c>
      <c r="M377" s="442" t="n"/>
      <c r="R377" s="373">
        <f>SUM(R3:R376)</f>
        <v/>
      </c>
      <c r="S377" s="373">
        <f>SUM(S3:S376)</f>
        <v/>
      </c>
      <c r="T377" s="373">
        <f>SUM(T3:T376)</f>
        <v/>
      </c>
      <c r="U377" s="373">
        <f>SUM(U3:U376)</f>
        <v/>
      </c>
      <c r="V377" s="373">
        <f>SUM(V3:V376)</f>
        <v/>
      </c>
      <c r="W377" s="373">
        <f>SUM(W3:W376)</f>
        <v/>
      </c>
      <c r="X377" s="373">
        <f>SUM(X3:X376)</f>
        <v/>
      </c>
      <c r="Y377" s="373">
        <f>SUM(Y3:Y376)</f>
        <v/>
      </c>
      <c r="Z377" s="373">
        <f>SUM(Z3:Z376)</f>
        <v/>
      </c>
      <c r="AA377" s="373">
        <f>SUM(AA3:AA376)</f>
        <v/>
      </c>
      <c r="AB377" s="374">
        <f>SUM(AB3:AB376)</f>
        <v/>
      </c>
      <c r="AC377" s="374">
        <f>SUM(AC3:AC376)</f>
        <v/>
      </c>
      <c r="AD377" s="374">
        <f>SUM(AD3:AD376)</f>
        <v/>
      </c>
      <c r="AE377" s="374">
        <f>SUM(AE3:AE376)</f>
        <v/>
      </c>
      <c r="AF377" s="375">
        <f>SUM(AF3:AF376)</f>
        <v/>
      </c>
      <c r="AG377" s="375">
        <f>SUM(AG3:AG376)</f>
        <v/>
      </c>
      <c r="AH377" s="375">
        <f>SUM(AH3:AH376)</f>
        <v/>
      </c>
      <c r="AI377" s="375">
        <f>SUM(AI3:AI376)</f>
        <v/>
      </c>
      <c r="AJ377" s="375">
        <f>SUM(AJ3:AJ376)</f>
        <v/>
      </c>
      <c r="AK377" s="375">
        <f>SUM(AK3:AK376)</f>
        <v/>
      </c>
      <c r="AL377" s="375">
        <f>SUM(AL3:AL376)</f>
        <v/>
      </c>
      <c r="AM377" s="331">
        <f>SUM(AM3:AM376)</f>
        <v/>
      </c>
      <c r="AN377" s="331">
        <f>SUM(AN3:AN376)</f>
        <v/>
      </c>
      <c r="AO377" s="331">
        <f>SUM(AO3:AO376)</f>
        <v/>
      </c>
      <c r="AP377" s="331">
        <f>SUM(AP3:AP376)</f>
        <v/>
      </c>
      <c r="AQ377" s="331">
        <f>SUM(AQ3:AQ376)</f>
        <v/>
      </c>
      <c r="AR377" s="331">
        <f>SUM(AR3:AR376)</f>
        <v/>
      </c>
      <c r="AS377" s="331">
        <f>SUM(AS3:AS376)</f>
        <v/>
      </c>
      <c r="AT377" s="331">
        <f>SUM(AT3:AT376)</f>
        <v/>
      </c>
      <c r="AU377" s="331">
        <f>SUM(AU3:AU376)</f>
        <v/>
      </c>
      <c r="AV377" s="331">
        <f>SUM(AV3:AV376)</f>
        <v/>
      </c>
      <c r="AW377" s="352">
        <f>SUM(AW3:AW376)</f>
        <v/>
      </c>
      <c r="AX377" s="431">
        <f>SUM(AX3:AX376)</f>
        <v/>
      </c>
      <c r="AY377" s="431">
        <f>SUM(AY3:AY376)</f>
        <v/>
      </c>
      <c r="BE377" s="331">
        <f>SUM(BE3:BE373)</f>
        <v/>
      </c>
      <c r="BF377" s="331">
        <f>SUM(BF3:BF373)</f>
        <v/>
      </c>
      <c r="BG377" s="331">
        <f>SUM(BG3:BG373)</f>
        <v/>
      </c>
      <c r="BH377" s="331">
        <f>SUM(BH3:BH373)</f>
        <v/>
      </c>
      <c r="BJ377" s="356">
        <f t="array" ref="BJ377">SUMPRODUCT(IF(ISNUMBER(BJ3:BJ376),BJ3:BJ376,0),IF(ISERROR(BJ3:BJ376),0,1))</f>
        <v/>
      </c>
      <c r="BK377" s="356">
        <f t="array" ref="BK377">SUMPRODUCT(IF(ISNUMBER(BK3:BK376),BK3:BK376,0),IF(ISERROR(BK3:BK376),0,1))</f>
        <v/>
      </c>
      <c r="BL377" s="356">
        <f t="array" ref="BL377">SUMPRODUCT(IF(ISNUMBER(BL3:BL376),BL3:BL376,0),IF(ISERROR(BL3:BL376),0,1))</f>
        <v/>
      </c>
      <c r="BM377" s="356">
        <f t="array" ref="BM377">SUMPRODUCT(IF(ISNUMBER(BM3:BM376),BM3:BM376,0),IF(ISERROR(BM3:BM376),0,1))</f>
        <v/>
      </c>
      <c r="BN377" s="362">
        <f>SUM(BJ377:BM377)</f>
        <v/>
      </c>
      <c r="BO377" s="362" t="n">
        <v>1941.5</v>
      </c>
      <c r="BP377" s="362" t="n">
        <v>1965.38</v>
      </c>
      <c r="BQ377" s="362" t="n">
        <v>2217.63</v>
      </c>
      <c r="BR377" s="362" t="n">
        <v>2582.95</v>
      </c>
      <c r="BT377" s="362">
        <f t="array" ref="BT377">SUMPRODUCT(IF(ISNUMBER(BT3:BT152),BT3:BT152,0),IF(ISERROR(BT3:BT152),0,1))</f>
        <v/>
      </c>
      <c r="BU377" s="362">
        <f t="array" ref="BU377">SUMPRODUCT(IF(ISNUMBER(BU3:BU152),BU3:BU152,0),IF(ISERROR(BU3:BU152),0,1))</f>
        <v/>
      </c>
      <c r="BV377" s="362">
        <f t="array" ref="BV377">SUMPRODUCT(IF(ISNUMBER(BV3:BV152),BV3:BV152,0),IF(ISERROR(BV3:BV152),0,1))</f>
        <v/>
      </c>
      <c r="BW377" s="362">
        <f t="array" ref="BW377">SUMPRODUCT(IF(ISNUMBER(BW3:BW152),BW3:BW152,0),IF(ISERROR(BW3:BW152),0,1))</f>
        <v/>
      </c>
      <c r="BX377" s="357" t="inlineStr">
        <is>
          <t>全钢</t>
        </is>
      </c>
      <c r="BY377" s="362">
        <f t="array" ref="BY377">SUMPRODUCT(IF(ISNUMBER(BY3:BY376),BY3:BY376,0),IF(ISERROR(BY3:BY376),0,1))</f>
        <v/>
      </c>
      <c r="BZ377" s="362">
        <f t="array" ref="BZ377">SUMPRODUCT(IF(ISNUMBER(BZ3:BZ152),BZ3:BZ152,0),IF(ISERROR(BZ3:BZ152),0,1))</f>
        <v/>
      </c>
      <c r="CA377" s="362">
        <f t="array" ref="CA377">SUMPRODUCT(IF(ISNUMBER(CA3:CA152),CA3:CA152,0),IF(ISERROR(CA3:CA152),0,1))</f>
        <v/>
      </c>
      <c r="CB377" s="362">
        <f t="array" ref="CB377">SUMPRODUCT(IF(ISNUMBER(CB3:CB152),CB3:CB152,0),IF(ISERROR(CB3:CB152),0,1))</f>
        <v/>
      </c>
      <c r="CE377" s="362">
        <f>SUM(CE3:CE376)</f>
        <v/>
      </c>
      <c r="CF377" s="362">
        <f>SUM(CF3:CF376)</f>
        <v/>
      </c>
      <c r="CG377" s="362">
        <f>SUM(CG3:CG376)</f>
        <v/>
      </c>
      <c r="CH377" s="362">
        <f>SUM(CH3:CH376)</f>
        <v/>
      </c>
      <c r="CI377" s="362">
        <f>SUM(CI3:CI376)</f>
        <v/>
      </c>
      <c r="CK377" s="362">
        <f>SUBTOTAL(9,CK3:CK376)</f>
        <v/>
      </c>
      <c r="CL377" s="362">
        <f>SUBTOTAL(9,CL3:CL376)</f>
        <v/>
      </c>
      <c r="CM377" s="362">
        <f>SUBTOTAL(9,CM3:CM376)</f>
        <v/>
      </c>
      <c r="CN377" s="362">
        <f>SUBTOTAL(9,CN3:CN376)</f>
        <v/>
      </c>
    </row>
    <row r="378">
      <c r="D378" s="331" t="n"/>
      <c r="E378" s="376" t="n"/>
      <c r="F378" s="376" t="n"/>
      <c r="G378" s="376" t="n"/>
      <c r="H378" s="331" t="n"/>
      <c r="I378" s="331">
        <f>I377*(104+14+3)</f>
        <v/>
      </c>
      <c r="AW378" s="331">
        <f>ROUND(AW377/31,0)</f>
        <v/>
      </c>
      <c r="AX378" s="331">
        <f>ROUND(AX377/31,2)</f>
        <v/>
      </c>
      <c r="AY378" s="331">
        <f>ROUND(AY377/31,2)</f>
        <v/>
      </c>
      <c r="BJ378" s="331" t="n">
        <v>1945.57</v>
      </c>
      <c r="BK378" s="331" t="n">
        <v>1969.41</v>
      </c>
      <c r="BL378" s="331" t="n">
        <v>2231.62</v>
      </c>
      <c r="BM378" s="331" t="n">
        <v>2588.27</v>
      </c>
      <c r="BN378" s="362">
        <f>SUM(BJ378:BM378)</f>
        <v/>
      </c>
      <c r="BO378" s="362" t="n">
        <v>1945.57</v>
      </c>
      <c r="BP378" s="362" t="n">
        <v>1969.41</v>
      </c>
      <c r="BQ378" s="362" t="n">
        <v>2221.62</v>
      </c>
      <c r="BR378" s="362" t="n">
        <v>2568.27</v>
      </c>
      <c r="BT378" s="362">
        <f t="array" ref="BT378">SUMPRODUCT(IF(ISNUMBER(BT154:BT204),BT154:BT204,0),IF(ISERROR(BT154:BT204),0,1))</f>
        <v/>
      </c>
      <c r="BU378" s="362">
        <f t="array" ref="BU378">SUMPRODUCT(IF(ISNUMBER(BU154:BU204),BU154:BU204,0),IF(ISERROR(BU154:BU204),0,1))</f>
        <v/>
      </c>
      <c r="BV378" s="362">
        <f t="array" ref="BV378">SUMPRODUCT(IF(ISNUMBER(BV154:BV204),BV154:BV204,0),IF(ISERROR(BV154:BV204),0,1))</f>
        <v/>
      </c>
      <c r="BW378" s="362">
        <f t="array" ref="BW378">SUMPRODUCT(IF(ISNUMBER(BW154:BW204),BW154:BW204,0),IF(ISERROR(BW154:BW204),0,1))</f>
        <v/>
      </c>
      <c r="BX378" s="357" t="inlineStr">
        <is>
          <t>全钢</t>
        </is>
      </c>
      <c r="BY378" s="362">
        <f t="array" ref="BY378">SUMPRODUCT(IF(ISNUMBER(BY154:BY204),BY154:BY204,0),IF(ISERROR(BY154:BY204),0,1))</f>
        <v/>
      </c>
      <c r="BZ378" s="362">
        <f t="array" ref="BZ378">SUMPRODUCT(IF(ISNUMBER(BZ154:BZ204),BZ154:BZ204,0),IF(ISERROR(BZ154:BZ204),0,1))</f>
        <v/>
      </c>
      <c r="CA378" s="362">
        <f t="array" ref="CA378">SUMPRODUCT(IF(ISNUMBER(CA154:CA204),CA154:CA204,0),IF(ISERROR(CA154:CA204),0,1))</f>
        <v/>
      </c>
      <c r="CB378" s="362">
        <f t="array" ref="CB378">SUMPRODUCT(IF(ISNUMBER(CB154:CB204),CB154:CB204,0),IF(ISERROR(CB154:CB204),0,1))</f>
        <v/>
      </c>
    </row>
    <row r="379" hidden="1" s="428">
      <c r="BA379" s="362">
        <f>AY378/AW378*4000</f>
        <v/>
      </c>
      <c r="BT379" s="362">
        <f t="array" ref="BT379">SUMPRODUCT(IF(ISNUMBER(BT219:BT363),BT219:BT363,0),IF(ISERROR(BT219:BT363),0,1))</f>
        <v/>
      </c>
      <c r="BU379" s="362">
        <f t="array" ref="BU379">SUMPRODUCT(IF(ISNUMBER(BU219:BU363),BU219:BU363,0),IF(ISERROR(BU219:BU363),0,1))</f>
        <v/>
      </c>
      <c r="BV379" s="362">
        <f t="array" ref="BV379">SUMPRODUCT(IF(ISNUMBER(BV219:BV363),BV219:BV363,0),IF(ISERROR(BV219:BV363),0,1))</f>
        <v/>
      </c>
      <c r="BW379" s="362">
        <f t="array" ref="BW379">SUMPRODUCT(IF(ISNUMBER(BW219:BW363),BW219:BW363,0),IF(ISERROR(BW219:BW363),0,1))</f>
        <v/>
      </c>
      <c r="BX379" s="357" t="inlineStr">
        <is>
          <t>全钢</t>
        </is>
      </c>
      <c r="BY379" s="362">
        <f t="array" ref="BY379">SUMPRODUCT(IF(ISNUMBER(BY219:BY363),BY219:BY363,0),IF(ISERROR(BY219:BY363),0,1))</f>
        <v/>
      </c>
      <c r="BZ379" s="362">
        <f t="array" ref="BZ379">SUMPRODUCT(IF(ISNUMBER(BZ219:BZ363),BZ219:BZ363,0),IF(ISERROR(BZ219:BZ363),0,1))</f>
        <v/>
      </c>
      <c r="CA379" s="362">
        <f t="array" ref="CA379">SUMPRODUCT(IF(ISNUMBER(CA219:CA363),CA219:CA363,0),IF(ISERROR(CA219:CA363),0,1))</f>
        <v/>
      </c>
      <c r="CB379" s="362">
        <f t="array" ref="CB379">SUMPRODUCT(IF(ISNUMBER(CB219:CB363),CB219:CB363,0),IF(ISERROR(CB219:CB363),0,1))</f>
        <v/>
      </c>
    </row>
    <row r="380" hidden="1" s="428">
      <c r="J380" s="331" t="n">
        <v>500</v>
      </c>
      <c r="K380" s="442" t="n"/>
      <c r="L380" s="442" t="n"/>
      <c r="M380" s="442" t="n"/>
      <c r="N380" s="331" t="n"/>
      <c r="S380" s="331" t="n"/>
      <c r="T380" s="331" t="n"/>
      <c r="BT380" s="362">
        <f t="array" ref="BT380">SUMPRODUCT(IF(ISNUMBER(BT367:BT376),BT367:BT376,0),IF(ISERROR(BT367:BT376),0,1))</f>
        <v/>
      </c>
      <c r="BU380" s="362">
        <f t="array" ref="BU380">SUMPRODUCT(IF(ISNUMBER(BU367:BU376),BU367:BU376,0),IF(ISERROR(BU367:BU376),0,1))</f>
        <v/>
      </c>
      <c r="BV380" s="362">
        <f t="array" ref="BV380">SUMPRODUCT(IF(ISNUMBER(BV367:BV376),BV367:BV376,0),IF(ISERROR(BV367:BV376),0,1))</f>
        <v/>
      </c>
      <c r="BW380" s="362">
        <f t="array" ref="BW380">SUMPRODUCT(IF(ISNUMBER(BW367:BW376),BW367:BW376,0),IF(ISERROR(BW367:BW376),0,1))</f>
        <v/>
      </c>
      <c r="BX380" s="357" t="inlineStr">
        <is>
          <t>全钢</t>
        </is>
      </c>
      <c r="BY380" s="362">
        <f t="array" ref="BY380">SUMPRODUCT(IF(ISNUMBER(BY367:BY376),BY367:BY376,0),IF(ISERROR(BY367:BY376),0,1))</f>
        <v/>
      </c>
      <c r="BZ380" s="362">
        <f t="array" ref="BZ380">SUMPRODUCT(IF(ISNUMBER(BZ367:BZ376),BZ367:BZ376,0),IF(ISERROR(BZ367:BZ376),0,1))</f>
        <v/>
      </c>
      <c r="CA380" s="362">
        <f t="array" ref="CA380">SUMPRODUCT(IF(ISNUMBER(CA367:CA376),CA367:CA376,0),IF(ISERROR(CA367:CA376),0,1))</f>
        <v/>
      </c>
      <c r="CB380" s="362">
        <f t="array" ref="CB380">SUMPRODUCT(IF(ISNUMBER(CB367:CB376),CB367:CB376,0),IF(ISERROR(CB367:CB376),0,1))</f>
        <v/>
      </c>
    </row>
    <row r="381" ht="31.2" customHeight="1" s="428">
      <c r="A381" s="441" t="n"/>
      <c r="B381" s="443" t="inlineStr">
        <is>
          <t>市场</t>
        </is>
      </c>
      <c r="C381" s="443" t="inlineStr">
        <is>
          <t>尺寸</t>
        </is>
      </c>
      <c r="D381" s="443" t="n"/>
      <c r="E381" s="444" t="inlineStr">
        <is>
          <t>规格花纹</t>
        </is>
      </c>
      <c r="F381" s="444" t="n"/>
      <c r="G381" s="445" t="inlineStr">
        <is>
          <t>斜交规格</t>
        </is>
      </c>
      <c r="H381" s="443" t="n"/>
      <c r="I381" s="443" t="inlineStr">
        <is>
          <t>模具</t>
        </is>
      </c>
      <c r="J381" s="446" t="inlineStr">
        <is>
          <t>硫化时间</t>
        </is>
      </c>
      <c r="K381" s="443" t="inlineStr">
        <is>
          <t>优先级别</t>
        </is>
      </c>
      <c r="L381" s="443" t="n"/>
      <c r="M381" s="443" t="n"/>
      <c r="N381" s="443" t="inlineStr">
        <is>
          <t>计划数</t>
        </is>
      </c>
      <c r="O381" s="443" t="inlineStr">
        <is>
          <t>单胎重量</t>
        </is>
      </c>
      <c r="P381" s="443" t="inlineStr">
        <is>
          <t>中策价</t>
        </is>
      </c>
      <c r="Q381" s="446" t="inlineStr">
        <is>
          <t>硫化机                          条/天</t>
        </is>
      </c>
      <c r="R381" s="334" t="n">
        <v>1</v>
      </c>
      <c r="S381" s="334" t="n">
        <v>2</v>
      </c>
      <c r="T381" s="334" t="n">
        <v>3</v>
      </c>
      <c r="U381" s="334" t="n">
        <v>4</v>
      </c>
      <c r="V381" s="334" t="n">
        <v>5</v>
      </c>
      <c r="W381" s="334" t="n">
        <v>6</v>
      </c>
      <c r="X381" s="334" t="n">
        <v>7</v>
      </c>
      <c r="Y381" s="334" t="n">
        <v>8</v>
      </c>
      <c r="Z381" s="334" t="n">
        <v>9</v>
      </c>
      <c r="AA381" s="334" t="n">
        <v>10</v>
      </c>
      <c r="AB381" s="334" t="n">
        <v>11</v>
      </c>
      <c r="AC381" s="334" t="n">
        <v>12</v>
      </c>
      <c r="AD381" s="334" t="n">
        <v>13</v>
      </c>
      <c r="AE381" s="334" t="n">
        <v>14</v>
      </c>
      <c r="AF381" s="334" t="n">
        <v>15</v>
      </c>
      <c r="AG381" s="334" t="n">
        <v>16</v>
      </c>
      <c r="AH381" s="334" t="n">
        <v>17</v>
      </c>
      <c r="AI381" s="334" t="n">
        <v>18</v>
      </c>
      <c r="AJ381" s="334" t="n">
        <v>19</v>
      </c>
      <c r="AK381" s="334" t="n">
        <v>20</v>
      </c>
      <c r="AL381" s="334" t="n">
        <v>21</v>
      </c>
      <c r="AM381" s="334" t="n">
        <v>22</v>
      </c>
      <c r="AN381" s="334" t="n">
        <v>23</v>
      </c>
      <c r="AO381" s="334" t="n">
        <v>24</v>
      </c>
      <c r="AP381" s="334" t="n">
        <v>25</v>
      </c>
      <c r="AQ381" s="334" t="n">
        <v>26</v>
      </c>
      <c r="AR381" s="334" t="n">
        <v>27</v>
      </c>
      <c r="AS381" s="334" t="n">
        <v>28</v>
      </c>
      <c r="AT381" s="334" t="n">
        <v>29</v>
      </c>
      <c r="AU381" s="334" t="n">
        <v>30</v>
      </c>
      <c r="AV381" s="334" t="n">
        <v>31</v>
      </c>
      <c r="AW381" s="352" t="inlineStr">
        <is>
          <t>合计</t>
        </is>
      </c>
      <c r="AX381" s="341" t="inlineStr">
        <is>
          <t>吨位</t>
        </is>
      </c>
      <c r="AY381" s="341" t="inlineStr">
        <is>
          <t>产值</t>
        </is>
      </c>
      <c r="BY381" s="362">
        <f>SUM(BY377:BY380)</f>
        <v/>
      </c>
      <c r="BZ381" s="362">
        <f>SUM(BZ377:BZ380)</f>
        <v/>
      </c>
      <c r="CA381" s="362">
        <f>SUM(CA377:CA380)</f>
        <v/>
      </c>
      <c r="CB381" s="362">
        <f>SUM(CB377:CB380)</f>
        <v/>
      </c>
      <c r="CD381" s="440" t="inlineStr">
        <is>
          <t>TIDAK ADA</t>
        </is>
      </c>
      <c r="CJ381" s="447" t="n"/>
    </row>
    <row r="382" customFormat="1" s="362">
      <c r="A382" s="331" t="n"/>
      <c r="B382" s="352" t="inlineStr">
        <is>
          <t>印尼</t>
        </is>
      </c>
      <c r="C382" s="352">
        <f>IFERROR(MID(E382,FIND("-",E382)+1,2),"")</f>
        <v/>
      </c>
      <c r="D382" s="352">
        <f>"轻卡"&amp;C382&amp;"寸"</f>
        <v/>
      </c>
      <c r="E382" s="379">
        <f>IFERROR(LEFT(REPLACE(G382,1,2,""),FIND("[",REPLACE(G382,1,2,""))-1)&amp;"-"&amp;MID(REPLACE(G382,1,2,""),FIND("[",REPLACE(G382,1,2,""))+1,FIND("]",REPLACE(G382,1,2,""))-FIND("[",REPLACE(G382,1,2,""))-1),"")</f>
        <v/>
      </c>
      <c r="F382" s="379" t="n"/>
      <c r="G382" s="379" t="inlineStr">
        <is>
          <t>ID7.50-15-12PR[R8037]119/115J 金冠</t>
        </is>
      </c>
      <c r="H382" s="352" t="n">
        <v>800</v>
      </c>
      <c r="I382" s="352" t="n"/>
      <c r="J382" s="352" t="n">
        <v>38.2</v>
      </c>
      <c r="K382" s="359" t="n"/>
      <c r="L382" s="430">
        <f>IF(J382="","",J382/(J382+$J$380/60))</f>
        <v/>
      </c>
      <c r="M382" s="430" t="n"/>
      <c r="N382" s="352" t="n"/>
      <c r="O382" s="352">
        <f>IFERROR(_xlfn.XLOOKUP(E382,轮胎重量!S:S,轮胎重量!P:P),IFERROR(_xlfn.XLOOKUP(E382,轮胎重量!AB:AB,轮胎重量!Y:Y),IFERROR(_xlfn.XLOOKUP(E382,轮胎重量!AK:AK,轮胎重量!AH:AH),IFERROR(_xlfn.XLOOKUP(E382,轮胎重量!AT:AT,轮胎重量!AQ:AQ),""))))</f>
        <v/>
      </c>
      <c r="P382" s="352">
        <f>IFERROR(_xlfn.XLOOKUP(E382,硫化工艺!I:I,硫化工艺!J:J),"")</f>
        <v/>
      </c>
      <c r="Q382" s="352">
        <f>IFERROR(ROUND(1440/J382*I382*L385,0),"")</f>
        <v/>
      </c>
      <c r="R382" s="352" t="n">
        <v>66</v>
      </c>
      <c r="S382" s="352" t="n">
        <v>66</v>
      </c>
      <c r="T382" s="352" t="n">
        <v>66</v>
      </c>
      <c r="U382" s="352" t="n">
        <v>66</v>
      </c>
      <c r="V382" s="352" t="n">
        <v>66</v>
      </c>
      <c r="W382" s="352" t="n">
        <v>66</v>
      </c>
      <c r="X382" s="352" t="n">
        <v>66</v>
      </c>
      <c r="Y382" s="352" t="n">
        <v>66</v>
      </c>
      <c r="Z382" s="352" t="n">
        <v>66</v>
      </c>
      <c r="AA382" s="352" t="n">
        <v>66</v>
      </c>
      <c r="AB382" s="352" t="n">
        <v>66</v>
      </c>
      <c r="AC382" s="352" t="n">
        <v>66</v>
      </c>
      <c r="AD382" s="352" t="n">
        <v>66</v>
      </c>
      <c r="AE382" s="352" t="n"/>
      <c r="AF382" s="352" t="n"/>
      <c r="AG382" s="352" t="n"/>
      <c r="AH382" s="352" t="n"/>
      <c r="AI382" s="352" t="n"/>
      <c r="AJ382" s="352" t="n"/>
      <c r="AK382" s="352" t="n"/>
      <c r="AL382" s="352" t="n"/>
      <c r="AM382" s="352" t="n"/>
      <c r="AN382" s="352" t="n"/>
      <c r="AO382" s="352" t="n"/>
      <c r="AP382" s="352" t="n"/>
      <c r="AQ382" s="352" t="n"/>
      <c r="AR382" s="352" t="n"/>
      <c r="AS382" s="352" t="n"/>
      <c r="AT382" s="352" t="n"/>
      <c r="AU382" s="352" t="n"/>
      <c r="AV382" s="352" t="n"/>
      <c r="AW382" s="352">
        <f>IF(SUM(R382:AV382)=0,"",SUM(R382:AV382))</f>
        <v/>
      </c>
      <c r="AX382" s="431">
        <f>IFERROR(AW382*O382/1000,"")</f>
        <v/>
      </c>
      <c r="AY382" s="431">
        <f>IFERROR(ROUND(AW382*P382/10000,3),"")</f>
        <v/>
      </c>
      <c r="BC382" s="331" t="n"/>
      <c r="BD382" s="331" t="n"/>
      <c r="BE382" s="331">
        <f>AZ382*AW382</f>
        <v/>
      </c>
      <c r="BF382" s="331">
        <f>BA382*AW382</f>
        <v/>
      </c>
      <c r="BG382" s="331">
        <f>BB382*AW382</f>
        <v/>
      </c>
      <c r="BH382" s="331">
        <f>BC382*AW382</f>
        <v/>
      </c>
      <c r="BI382" s="331" t="n"/>
      <c r="BJ382" s="356">
        <f t="array" ref="BJ382:BM382">_xlfn.LET(_xlpm.data,$R382:$AV382,_xlpm.starts,{1,8,16,23},_xlpm.lengths,{7,7,8,9},_xlpm.arr,_xlfn.MAP(_xlpm.starts,_xlpm.lengths,_xlfn.LAMBDA(_xlpm.s,_xlpm.l,SUM(INDEX(_xlpm.data,,_xlfn.SEQUENCE(,_xlpm.l,_xlpm.s))))),ROUND(_xlpm.arr*$O382/1000,2))</f>
        <v/>
      </c>
      <c r="BK382" s="331" t="n">
        <v>7.7</v>
      </c>
      <c r="BL382" s="331" t="n">
        <v>0</v>
      </c>
      <c r="BM382" s="331" t="n">
        <v>0</v>
      </c>
      <c r="BN382" s="362">
        <f>SUM(BJ382:BM382)</f>
        <v/>
      </c>
      <c r="BO382" s="362" t="n">
        <v>10.37</v>
      </c>
      <c r="BP382" s="362" t="n">
        <v>0</v>
      </c>
      <c r="BQ382" s="362" t="n">
        <v>0</v>
      </c>
      <c r="BR382" s="362" t="n">
        <v>0</v>
      </c>
      <c r="BS382" s="367" t="inlineStr">
        <is>
          <t>轻卡</t>
        </is>
      </c>
      <c r="BX382" s="357" t="inlineStr">
        <is>
          <t>轻卡</t>
        </is>
      </c>
      <c r="BY382" s="362">
        <f>SUM(R382:X382)</f>
        <v/>
      </c>
      <c r="BZ382" s="362">
        <f>SUM(Y382:AE382)</f>
        <v/>
      </c>
      <c r="CA382" s="362">
        <f>SUM(AF382:AM382)</f>
        <v/>
      </c>
      <c r="CB382" s="362">
        <f>SUM(AN382:AV382)</f>
        <v/>
      </c>
      <c r="CD382" s="432" t="inlineStr">
        <is>
          <t>ADA</t>
        </is>
      </c>
      <c r="CE382" s="380">
        <f>ROUND(BY382*$O382/1000,2)</f>
        <v/>
      </c>
      <c r="CF382" s="380">
        <f>ROUND(BZ382*$O382/1000,2)</f>
        <v/>
      </c>
      <c r="CG382" s="380">
        <f>ROUND(CA382*$O382/1000,2)</f>
        <v/>
      </c>
      <c r="CH382" s="380">
        <f>ROUND(CB382*$O382/1000,2)</f>
        <v/>
      </c>
      <c r="CI382" s="362">
        <f>SUM(CE382:CH382)</f>
        <v/>
      </c>
      <c r="CJ382" s="390" t="n"/>
    </row>
    <row r="383" customFormat="1" s="362">
      <c r="A383" s="331" t="n"/>
      <c r="B383" s="352" t="inlineStr">
        <is>
          <t>印尼</t>
        </is>
      </c>
      <c r="C383" s="352">
        <f>IFERROR(MID(E383,FIND("-",E383)+1,2),"")</f>
        <v/>
      </c>
      <c r="D383" s="352">
        <f>"轻卡"&amp;C383&amp;"寸"</f>
        <v/>
      </c>
      <c r="E383" s="379">
        <f>IFERROR(LEFT(REPLACE(G383,1,2,""),FIND("[",REPLACE(G383,1,2,""))-1)&amp;"-"&amp;MID(REPLACE(G383,1,2,""),FIND("[",REPLACE(G383,1,2,""))+1,FIND("]",REPLACE(G383,1,2,""))-FIND("[",REPLACE(G383,1,2,""))-1),"")</f>
        <v/>
      </c>
      <c r="F383" s="379" t="n"/>
      <c r="G383" s="379" t="inlineStr">
        <is>
          <t>ID7.50-16-14PR[AB111]122/118J ASCENDO</t>
        </is>
      </c>
      <c r="H383" s="352" t="n">
        <v>850</v>
      </c>
      <c r="I383" s="352" t="n"/>
      <c r="J383" s="352" t="n">
        <v>38.2</v>
      </c>
      <c r="K383" s="359" t="n"/>
      <c r="L383" s="430">
        <f>IF(J383="","",J383/(J383+$J$380/60))</f>
        <v/>
      </c>
      <c r="M383" s="430" t="n"/>
      <c r="N383" s="352" t="n"/>
      <c r="O383" s="352">
        <f>IFERROR(_xlfn.XLOOKUP(E383,轮胎重量!S:S,轮胎重量!P:P),IFERROR(_xlfn.XLOOKUP(E383,轮胎重量!AB:AB,轮胎重量!Y:Y),IFERROR(_xlfn.XLOOKUP(E383,轮胎重量!AK:AK,轮胎重量!AH:AH),IFERROR(_xlfn.XLOOKUP(E383,轮胎重量!AT:AT,轮胎重量!AQ:AQ),""))))</f>
        <v/>
      </c>
      <c r="P383" s="358">
        <f>O383*14.76</f>
        <v/>
      </c>
      <c r="Q383" s="352">
        <f>IFERROR(ROUND(1440/J383*I383*L386,0),"")</f>
        <v/>
      </c>
      <c r="R383" s="352" t="n">
        <v>60</v>
      </c>
      <c r="S383" s="352" t="n">
        <v>60</v>
      </c>
      <c r="T383" s="352" t="n">
        <v>60</v>
      </c>
      <c r="U383" s="352" t="n">
        <v>60</v>
      </c>
      <c r="V383" s="352" t="n">
        <v>60</v>
      </c>
      <c r="W383" s="352" t="n">
        <v>60</v>
      </c>
      <c r="X383" s="352" t="n">
        <v>60</v>
      </c>
      <c r="Y383" s="352" t="n">
        <v>60</v>
      </c>
      <c r="Z383" s="352" t="n">
        <v>60</v>
      </c>
      <c r="AA383" s="352" t="n">
        <v>60</v>
      </c>
      <c r="AB383" s="352" t="n">
        <v>60</v>
      </c>
      <c r="AC383" s="352" t="n">
        <v>60</v>
      </c>
      <c r="AD383" s="352" t="n">
        <v>60</v>
      </c>
      <c r="AE383" s="352" t="n">
        <v>62</v>
      </c>
      <c r="AF383" s="352" t="n">
        <v>62</v>
      </c>
      <c r="AG383" s="352" t="n"/>
      <c r="AH383" s="352" t="n"/>
      <c r="AI383" s="352" t="n"/>
      <c r="AJ383" s="352" t="n"/>
      <c r="AK383" s="352" t="n"/>
      <c r="AL383" s="352" t="n"/>
      <c r="AM383" s="352" t="n"/>
      <c r="AN383" s="352" t="n"/>
      <c r="AO383" s="352" t="n"/>
      <c r="AP383" s="352" t="n"/>
      <c r="AQ383" s="352" t="n"/>
      <c r="AR383" s="352" t="n"/>
      <c r="AS383" s="352" t="n"/>
      <c r="AT383" s="352" t="n"/>
      <c r="AU383" s="352" t="n"/>
      <c r="AV383" s="352" t="n"/>
      <c r="AW383" s="352">
        <f>IF(SUM(R383:AV383)=0,"",SUM(R383:AV383))</f>
        <v/>
      </c>
      <c r="AX383" s="431">
        <f>IFERROR(AW383*O383/1000,"")</f>
        <v/>
      </c>
      <c r="AY383" s="431">
        <f>IFERROR(ROUND(AW383*P383/10000,3),"")</f>
        <v/>
      </c>
      <c r="BC383" s="331" t="n"/>
      <c r="BD383" s="331" t="n"/>
      <c r="BE383" s="331">
        <f>AZ383*AW383</f>
        <v/>
      </c>
      <c r="BF383" s="331">
        <f>BA383*AW383</f>
        <v/>
      </c>
      <c r="BG383" s="331">
        <f>BB383*AW383</f>
        <v/>
      </c>
      <c r="BH383" s="331">
        <f>BC383*AW383</f>
        <v/>
      </c>
      <c r="BI383" s="331" t="n"/>
      <c r="BJ383" s="356">
        <f t="array" ref="BJ383:BM383">_xlfn.LET(_xlpm.data,$R383:$AV383,_xlpm.starts,{1,8,16,23},_xlpm.lengths,{7,7,8,9},_xlpm.arr,_xlfn.MAP(_xlpm.starts,_xlpm.lengths,_xlfn.LAMBDA(_xlpm.s,_xlpm.l,SUM(INDEX(_xlpm.data,,_xlfn.SEQUENCE(,_xlpm.l,_xlpm.s))))),ROUND(_xlpm.arr*$O383/1000,2))</f>
        <v/>
      </c>
      <c r="BK383" s="331" t="n">
        <v>10.32</v>
      </c>
      <c r="BL383" s="331" t="n">
        <v>0</v>
      </c>
      <c r="BM383" s="331" t="n">
        <v>0</v>
      </c>
      <c r="BN383" s="362">
        <f>SUM(BJ383:BM383)</f>
        <v/>
      </c>
      <c r="BO383" s="362" t="n">
        <v>10.37</v>
      </c>
      <c r="BP383" s="362" t="n">
        <v>0</v>
      </c>
      <c r="BQ383" s="362" t="n">
        <v>0</v>
      </c>
      <c r="BR383" s="362" t="n">
        <v>0</v>
      </c>
      <c r="BS383" s="367" t="inlineStr">
        <is>
          <t>轻卡</t>
        </is>
      </c>
      <c r="BX383" s="357" t="inlineStr">
        <is>
          <t>轻卡</t>
        </is>
      </c>
      <c r="BY383" s="362">
        <f>SUM(R383:X383)</f>
        <v/>
      </c>
      <c r="BZ383" s="362">
        <f>SUM(Y383:AE383)</f>
        <v/>
      </c>
      <c r="CA383" s="362">
        <f>SUM(AF383:AM383)</f>
        <v/>
      </c>
      <c r="CB383" s="362">
        <f>SUM(AN383:AV383)</f>
        <v/>
      </c>
      <c r="CD383" s="432" t="inlineStr">
        <is>
          <t>ADA</t>
        </is>
      </c>
      <c r="CE383" s="380">
        <f>ROUND(BY383*$O383/1000,2)</f>
        <v/>
      </c>
      <c r="CF383" s="380">
        <f>ROUND(BZ383*$O383/1000,2)</f>
        <v/>
      </c>
      <c r="CG383" s="380">
        <f>ROUND(CA383*$O383/1000,2)</f>
        <v/>
      </c>
      <c r="CH383" s="380">
        <f>ROUND(CB383*$O383/1000,2)</f>
        <v/>
      </c>
      <c r="CI383" s="362">
        <f>SUM(CE383:CH383)</f>
        <v/>
      </c>
      <c r="CJ383" s="390" t="n"/>
      <c r="CK383" s="362">
        <f>IFERROR(ROUND(BY383*$P383,2),"")</f>
        <v/>
      </c>
      <c r="CL383" s="362">
        <f>IFERROR(ROUND(BZ383*$P383,2),"")</f>
        <v/>
      </c>
      <c r="CM383" s="362">
        <f>IFERROR(ROUND(CA383*$P383,2),"")</f>
        <v/>
      </c>
      <c r="CN383" s="362">
        <f>IFERROR(ROUND(CB383*$P383,2),"")</f>
        <v/>
      </c>
      <c r="CO383" s="362">
        <f>SUM(CK383:CN383)</f>
        <v/>
      </c>
    </row>
    <row r="384" hidden="1" ht="15" customFormat="1" customHeight="1" s="362">
      <c r="A384" s="331" t="n"/>
      <c r="B384" s="352" t="inlineStr">
        <is>
          <t>印尼</t>
        </is>
      </c>
      <c r="C384" s="352">
        <f>IFERROR(MID(E384,FIND("-",E384)+1,2),"")</f>
        <v/>
      </c>
      <c r="D384" s="352">
        <f>"轻卡"&amp;C384&amp;"寸"</f>
        <v/>
      </c>
      <c r="E384" s="379">
        <f>IFERROR(LEFT(REPLACE(G384,1,2,""),FIND("[",REPLACE(G384,1,2,""))-1)&amp;"-"&amp;MID(REPLACE(G384,1,2,""),FIND("[",REPLACE(G384,1,2,""))+1,FIND("]",REPLACE(G384,1,2,""))-FIND("[",REPLACE(G384,1,2,""))-1),"")</f>
        <v/>
      </c>
      <c r="F384" s="379" t="n"/>
      <c r="G384" s="379" t="inlineStr">
        <is>
          <t>ID7.50-16-14PR[L8056]122/118G 朝阳</t>
        </is>
      </c>
      <c r="H384" s="352" t="n">
        <v>500</v>
      </c>
      <c r="I384" s="352" t="n"/>
      <c r="J384" s="352" t="n">
        <v>38.2</v>
      </c>
      <c r="K384" s="352" t="n"/>
      <c r="L384" s="430">
        <f>IF(J384="","",J384/(J384+$J$380/60))</f>
        <v/>
      </c>
      <c r="M384" s="430" t="n"/>
      <c r="N384" s="352" t="n"/>
      <c r="O384" s="352">
        <f>IFERROR(_xlfn.XLOOKUP(E384,轮胎重量!S:S,轮胎重量!P:P),IFERROR(_xlfn.XLOOKUP(E384,轮胎重量!AB:AB,轮胎重量!Y:Y),IFERROR(_xlfn.XLOOKUP(E384,轮胎重量!AK:AK,轮胎重量!AH:AH),IFERROR(_xlfn.XLOOKUP(E384,轮胎重量!AT:AT,轮胎重量!AQ:AQ),""))))</f>
        <v/>
      </c>
      <c r="P384" s="358">
        <f>O384*14.76</f>
        <v/>
      </c>
      <c r="Q384" s="352">
        <f>IFERROR(ROUND(1440/J384*I384*L385,0),"")</f>
        <v/>
      </c>
      <c r="R384" s="352" t="n"/>
      <c r="S384" s="352" t="n"/>
      <c r="T384" s="352" t="n"/>
      <c r="U384" s="352" t="n"/>
      <c r="V384" s="352" t="n"/>
      <c r="W384" s="352" t="n"/>
      <c r="X384" s="352" t="n"/>
      <c r="Y384" s="352" t="n"/>
      <c r="Z384" s="352" t="n"/>
      <c r="AA384" s="352" t="n"/>
      <c r="AB384" s="352" t="n"/>
      <c r="AC384" s="352" t="n"/>
      <c r="AD384" s="352" t="n"/>
      <c r="AE384" s="352" t="n"/>
      <c r="AF384" s="352" t="n"/>
      <c r="AG384" s="352" t="n"/>
      <c r="AH384" s="352" t="n"/>
      <c r="AI384" s="352" t="n"/>
      <c r="AJ384" s="352" t="n"/>
      <c r="AK384" s="352" t="n"/>
      <c r="AL384" s="352" t="n"/>
      <c r="AM384" s="352" t="n"/>
      <c r="AN384" s="352" t="n"/>
      <c r="AO384" s="352" t="n"/>
      <c r="AP384" s="352" t="n"/>
      <c r="AQ384" s="352" t="n"/>
      <c r="AR384" s="352" t="n"/>
      <c r="AS384" s="352" t="n"/>
      <c r="AT384" s="352" t="n"/>
      <c r="AU384" s="352" t="n"/>
      <c r="AV384" s="352" t="n"/>
      <c r="AW384" s="352">
        <f>IF(SUM(R384:AV384)=0,"",SUM(R384:AV384))</f>
        <v/>
      </c>
      <c r="AX384" s="431">
        <f>IFERROR(AW384*O384/1000,"")</f>
        <v/>
      </c>
      <c r="AY384" s="431">
        <f>IFERROR(ROUND(AW384*P384/10000,3),"")</f>
        <v/>
      </c>
      <c r="BC384" s="331" t="n"/>
      <c r="BD384" s="331" t="n"/>
      <c r="BE384" s="331">
        <f>AZ384*AW384</f>
        <v/>
      </c>
      <c r="BF384" s="331">
        <f>BA384*AW384</f>
        <v/>
      </c>
      <c r="BG384" s="331">
        <f>BB384*AW384</f>
        <v/>
      </c>
      <c r="BH384" s="331">
        <f>BC384*AW384</f>
        <v/>
      </c>
      <c r="BI384" s="331" t="n"/>
      <c r="BJ384" s="356">
        <f t="array" ref="BJ384:BM384">_xlfn.LET(_xlpm.data,$R384:$AV384,_xlpm.starts,{1,8,16,23},_xlpm.lengths,{7,7,8,9},_xlpm.arr,_xlfn.MAP(_xlpm.starts,_xlpm.lengths,_xlfn.LAMBDA(_xlpm.s,_xlpm.l,SUM(INDEX(_xlpm.data,,_xlfn.SEQUENCE(,_xlpm.l,_xlpm.s))))),ROUND(_xlpm.arr*$O384/1000,2))</f>
        <v/>
      </c>
      <c r="BK384" s="331" t="n">
        <v>0</v>
      </c>
      <c r="BL384" s="331" t="n">
        <v>0</v>
      </c>
      <c r="BM384" s="331" t="n">
        <v>0</v>
      </c>
      <c r="BO384" s="362" t="n">
        <v>21.77</v>
      </c>
      <c r="BP384" s="362" t="n">
        <v>21.77</v>
      </c>
      <c r="BQ384" s="362" t="n">
        <v>24.88</v>
      </c>
      <c r="BR384" s="362" t="n">
        <v>27.99</v>
      </c>
      <c r="BS384" s="367" t="inlineStr">
        <is>
          <t>轻卡</t>
        </is>
      </c>
      <c r="BX384" s="357" t="inlineStr">
        <is>
          <t>轻卡</t>
        </is>
      </c>
      <c r="BY384" s="362">
        <f>SUM(R384:X384)</f>
        <v/>
      </c>
      <c r="BZ384" s="362">
        <f>SUM(Y384:AE384)</f>
        <v/>
      </c>
      <c r="CA384" s="362">
        <f>SUM(AF384:AM384)</f>
        <v/>
      </c>
      <c r="CB384" s="362">
        <f>SUM(AN384:AV384)</f>
        <v/>
      </c>
      <c r="CD384" s="432" t="inlineStr">
        <is>
          <t>ADA</t>
        </is>
      </c>
      <c r="CE384" s="381">
        <f>ROUND(BY384*$O384/1000,2)</f>
        <v/>
      </c>
      <c r="CF384" s="380">
        <f>ROUND(BZ384*$O384/1000,2)</f>
        <v/>
      </c>
      <c r="CG384" s="380">
        <f>ROUND(CA384*$O384/1000,2)</f>
        <v/>
      </c>
      <c r="CH384" s="380">
        <f>ROUND(CB384*$O384/1000,2)</f>
        <v/>
      </c>
      <c r="CI384" s="362">
        <f>SUM(CE384:CH384)</f>
        <v/>
      </c>
      <c r="CJ384" s="390" t="n">
        <v>424</v>
      </c>
      <c r="CK384" s="362">
        <f>IFERROR(ROUND(BY384*$P384,2),"")</f>
        <v/>
      </c>
      <c r="CL384" s="362">
        <f>IFERROR(ROUND(BZ384*$P384,2),"")</f>
        <v/>
      </c>
      <c r="CM384" s="362">
        <f>IFERROR(ROUND(CA384*$P384,2),"")</f>
        <v/>
      </c>
      <c r="CN384" s="362">
        <f>IFERROR(ROUND(CB384*$P384,2),"")</f>
        <v/>
      </c>
      <c r="CO384" s="362">
        <f>SUM(CK384:CN384)</f>
        <v/>
      </c>
    </row>
    <row r="385" ht="15" customFormat="1" customHeight="1" s="362">
      <c r="A385" s="331" t="n"/>
      <c r="B385" s="352" t="inlineStr">
        <is>
          <t>印尼</t>
        </is>
      </c>
      <c r="C385" s="352">
        <f>IFERROR(MID(E385,FIND("-",E385)+1,2),"")</f>
        <v/>
      </c>
      <c r="D385" s="352">
        <f>"轻卡"&amp;C385&amp;"寸"</f>
        <v/>
      </c>
      <c r="E385" s="379">
        <f>IFERROR(LEFT(REPLACE(G385,1,2,""),FIND("[",REPLACE(G385,1,2,""))-1)&amp;"-"&amp;MID(REPLACE(G385,1,2,""),FIND("[",REPLACE(G385,1,2,""))+1,FIND("]",REPLACE(G385,1,2,""))-FIND("[",REPLACE(G385,1,2,""))-1),"")</f>
        <v/>
      </c>
      <c r="F385" s="379" t="n"/>
      <c r="G385" s="379" t="inlineStr">
        <is>
          <t>ID7.50-16-14PR[M8087]122/118G TRAZANO(全诺)</t>
        </is>
      </c>
      <c r="H385" s="352" t="n">
        <v>3000</v>
      </c>
      <c r="I385" s="352" t="n"/>
      <c r="J385" s="352" t="n">
        <v>38.2</v>
      </c>
      <c r="K385" s="352" t="n"/>
      <c r="L385" s="430">
        <f>IF(J385="","",J385/(J385+$J$380/60))</f>
        <v/>
      </c>
      <c r="M385" s="430" t="n"/>
      <c r="N385" s="352" t="n"/>
      <c r="O385" s="352">
        <f>IFERROR(_xlfn.XLOOKUP(E385,轮胎重量!S:S,轮胎重量!P:P),IFERROR(_xlfn.XLOOKUP(E385,轮胎重量!AB:AB,轮胎重量!Y:Y),IFERROR(_xlfn.XLOOKUP(E385,轮胎重量!AK:AK,轮胎重量!AH:AH),IFERROR(_xlfn.XLOOKUP(E385,轮胎重量!AT:AT,轮胎重量!AQ:AQ),""))))</f>
        <v/>
      </c>
      <c r="P385" s="352">
        <f>IFERROR(_xlfn.XLOOKUP(E385,硫化工艺!I:I,硫化工艺!J:J),"")</f>
        <v/>
      </c>
      <c r="Q385" s="352">
        <f>IFERROR(ROUND(1440/J385*I385*L386,0),"")</f>
        <v/>
      </c>
      <c r="R385" s="352" t="n">
        <v>56</v>
      </c>
      <c r="S385" s="352" t="n">
        <v>56</v>
      </c>
      <c r="T385" s="352" t="n">
        <v>56</v>
      </c>
      <c r="U385" s="352" t="n">
        <v>56</v>
      </c>
      <c r="V385" s="352" t="n">
        <v>56</v>
      </c>
      <c r="W385" s="352" t="n">
        <v>56</v>
      </c>
      <c r="X385" s="352" t="n">
        <v>56</v>
      </c>
      <c r="Y385" s="352" t="n">
        <v>56</v>
      </c>
      <c r="Z385" s="352" t="n">
        <v>56</v>
      </c>
      <c r="AA385" s="352" t="n">
        <v>56</v>
      </c>
      <c r="AB385" s="352" t="n">
        <v>56</v>
      </c>
      <c r="AC385" s="352" t="n">
        <v>56</v>
      </c>
      <c r="AD385" s="352" t="n">
        <v>56</v>
      </c>
      <c r="AE385" s="352" t="n">
        <v>56</v>
      </c>
      <c r="AF385" s="352" t="n">
        <v>56</v>
      </c>
      <c r="AG385" s="352" t="n">
        <v>56</v>
      </c>
      <c r="AH385" s="352" t="n">
        <v>56</v>
      </c>
      <c r="AI385" s="352" t="n">
        <v>56</v>
      </c>
      <c r="AJ385" s="352" t="n">
        <v>56</v>
      </c>
      <c r="AK385" s="352" t="n">
        <v>56</v>
      </c>
      <c r="AL385" s="352" t="n">
        <v>56</v>
      </c>
      <c r="AM385" s="352" t="n">
        <v>56</v>
      </c>
      <c r="AN385" s="352" t="n">
        <v>112</v>
      </c>
      <c r="AO385" s="352" t="n">
        <v>112</v>
      </c>
      <c r="AP385" s="352" t="n">
        <v>112</v>
      </c>
      <c r="AQ385" s="352" t="n">
        <v>112</v>
      </c>
      <c r="AR385" s="352" t="n">
        <v>112</v>
      </c>
      <c r="AS385" s="352" t="n">
        <v>112</v>
      </c>
      <c r="AT385" s="352" t="n">
        <v>112</v>
      </c>
      <c r="AU385" s="352" t="n">
        <v>112</v>
      </c>
      <c r="AV385" s="352" t="n">
        <v>112</v>
      </c>
      <c r="AW385" s="352">
        <f>IF(SUM(R385:AV385)=0,"",SUM(R385:AV385))</f>
        <v/>
      </c>
      <c r="AX385" s="431">
        <f>IFERROR(AW385*O385/1000,"")</f>
        <v/>
      </c>
      <c r="AY385" s="431">
        <f>IFERROR(ROUND(AW385*P385/10000,3),"")</f>
        <v/>
      </c>
      <c r="BC385" s="331" t="n"/>
      <c r="BD385" s="331" t="n"/>
      <c r="BE385" s="331">
        <f>AZ385*AW385</f>
        <v/>
      </c>
      <c r="BF385" s="331">
        <f>BA385*AW385</f>
        <v/>
      </c>
      <c r="BG385" s="331">
        <f>BB385*AW385</f>
        <v/>
      </c>
      <c r="BH385" s="331">
        <f>BC385*AW385</f>
        <v/>
      </c>
      <c r="BI385" s="331" t="n"/>
      <c r="BJ385" s="356">
        <f t="array" ref="BJ385:BM385">_xlfn.LET(_xlpm.data,$R385:$AV385,_xlpm.starts,{1,8,16,23},_xlpm.lengths,{7,7,8,9},_xlpm.arr,_xlfn.MAP(_xlpm.starts,_xlpm.lengths,_xlfn.LAMBDA(_xlpm.s,_xlpm.l,SUM(INDEX(_xlpm.data,,_xlfn.SEQUENCE(,_xlpm.l,_xlpm.s))))),ROUND(_xlpm.arr*$O385/1000,2))</f>
        <v/>
      </c>
      <c r="BK385" s="331" t="n">
        <v>9.890000000000001</v>
      </c>
      <c r="BL385" s="331" t="n">
        <v>12.72</v>
      </c>
      <c r="BM385" s="331" t="n">
        <v>25.43</v>
      </c>
      <c r="BO385" s="362" t="n">
        <v>21.77</v>
      </c>
      <c r="BP385" s="362" t="n">
        <v>21.77</v>
      </c>
      <c r="BQ385" s="362" t="n">
        <v>24.88</v>
      </c>
      <c r="BR385" s="362" t="n">
        <v>27.99</v>
      </c>
      <c r="BS385" s="367" t="inlineStr">
        <is>
          <t>轻卡</t>
        </is>
      </c>
      <c r="BX385" s="357" t="inlineStr">
        <is>
          <t>轻卡</t>
        </is>
      </c>
      <c r="BY385" s="362">
        <f>SUM(R385:X385)</f>
        <v/>
      </c>
      <c r="BZ385" s="362">
        <f>SUM(Y385:AE385)</f>
        <v/>
      </c>
      <c r="CA385" s="362">
        <f>SUM(AF385:AM385)</f>
        <v/>
      </c>
      <c r="CB385" s="362">
        <f>SUM(AN385:AV385)</f>
        <v/>
      </c>
      <c r="CD385" s="432" t="inlineStr">
        <is>
          <t>ADA</t>
        </is>
      </c>
      <c r="CE385" s="381">
        <f>ROUND(BY385*$O385/1000,2)</f>
        <v/>
      </c>
      <c r="CF385" s="380">
        <f>ROUND(BZ385*$O385/1000,2)</f>
        <v/>
      </c>
      <c r="CG385" s="380">
        <f>ROUND(CA385*$O385/1000,2)</f>
        <v/>
      </c>
      <c r="CH385" s="380">
        <f>ROUND(CB385*$O385/1000,2)</f>
        <v/>
      </c>
      <c r="CI385" s="362">
        <f>SUM(CE385:CH385)</f>
        <v/>
      </c>
      <c r="CJ385" s="390" t="n">
        <v>424</v>
      </c>
      <c r="CK385" s="362">
        <f>IFERROR(ROUND(BY385*$P385,2),"")</f>
        <v/>
      </c>
      <c r="CL385" s="362">
        <f>IFERROR(ROUND(BZ385*$P385,2),"")</f>
        <v/>
      </c>
      <c r="CM385" s="362">
        <f>IFERROR(ROUND(CA385*$P385,2),"")</f>
        <v/>
      </c>
      <c r="CN385" s="362">
        <f>IFERROR(ROUND(CB385*$P385,2),"")</f>
        <v/>
      </c>
      <c r="CO385" s="362">
        <f>SUM(CK385:CN385)</f>
        <v/>
      </c>
    </row>
    <row r="386" ht="15" customFormat="1" customHeight="1" s="362">
      <c r="A386" s="331" t="n"/>
      <c r="B386" s="352" t="inlineStr">
        <is>
          <t>印尼</t>
        </is>
      </c>
      <c r="C386" s="352">
        <f>IFERROR(MID(E386,FIND("-",E386)+1,2),"")</f>
        <v/>
      </c>
      <c r="D386" s="352">
        <f>"轻卡"&amp;C386&amp;"寸"</f>
        <v/>
      </c>
      <c r="E386" s="379">
        <f>IFERROR(LEFT(REPLACE(G386,1,2,""),FIND("[",REPLACE(G386,1,2,""))-1)&amp;"-"&amp;MID(REPLACE(G386,1,2,""),FIND("[",REPLACE(G386,1,2,""))+1,FIND("]",REPLACE(G386,1,2,""))-FIND("[",REPLACE(G386,1,2,""))-1),"")</f>
        <v/>
      </c>
      <c r="F386" s="379" t="n"/>
      <c r="G386" s="379" t="inlineStr">
        <is>
          <t>ID7.50-16-14PR[M8087]122/118G 朝阳</t>
        </is>
      </c>
      <c r="H386" s="352" t="n">
        <v>3000</v>
      </c>
      <c r="I386" s="352" t="n"/>
      <c r="J386" s="352" t="n">
        <v>38.2</v>
      </c>
      <c r="K386" s="352" t="n"/>
      <c r="L386" s="430">
        <f>IF(J386="","",J386/(J386+$J$380/60))</f>
        <v/>
      </c>
      <c r="M386" s="430" t="n"/>
      <c r="N386" s="352" t="n"/>
      <c r="O386" s="352">
        <f>IFERROR(_xlfn.XLOOKUP(E386,轮胎重量!S:S,轮胎重量!P:P),IFERROR(_xlfn.XLOOKUP(E386,轮胎重量!AB:AB,轮胎重量!Y:Y),IFERROR(_xlfn.XLOOKUP(E386,轮胎重量!AK:AK,轮胎重量!AH:AH),IFERROR(_xlfn.XLOOKUP(E386,轮胎重量!AT:AT,轮胎重量!AQ:AQ),""))))</f>
        <v/>
      </c>
      <c r="P386" s="358">
        <f>O386*14.76</f>
        <v/>
      </c>
      <c r="Q386" s="352">
        <f>IFERROR(ROUND(1440/J386*I386*L387,0),"")</f>
        <v/>
      </c>
      <c r="R386" s="352" t="n">
        <v>112</v>
      </c>
      <c r="S386" s="352" t="n">
        <v>112</v>
      </c>
      <c r="T386" s="352" t="n">
        <v>112</v>
      </c>
      <c r="U386" s="352" t="n">
        <v>112</v>
      </c>
      <c r="V386" s="352" t="n">
        <v>112</v>
      </c>
      <c r="W386" s="352" t="n">
        <v>112</v>
      </c>
      <c r="X386" s="352" t="n">
        <v>112</v>
      </c>
      <c r="Y386" s="352" t="n">
        <v>112</v>
      </c>
      <c r="Z386" s="352" t="n">
        <v>112</v>
      </c>
      <c r="AA386" s="352" t="n">
        <v>112</v>
      </c>
      <c r="AB386" s="352" t="n">
        <v>112</v>
      </c>
      <c r="AC386" s="352" t="n">
        <v>112</v>
      </c>
      <c r="AD386" s="352" t="n">
        <v>112</v>
      </c>
      <c r="AE386" s="352" t="n">
        <v>112</v>
      </c>
      <c r="AF386" s="352" t="n">
        <v>112</v>
      </c>
      <c r="AG386" s="352" t="n">
        <v>112</v>
      </c>
      <c r="AH386" s="352" t="n">
        <v>112</v>
      </c>
      <c r="AI386" s="352" t="n">
        <v>112</v>
      </c>
      <c r="AJ386" s="352" t="n">
        <v>112</v>
      </c>
      <c r="AK386" s="352" t="n">
        <v>112</v>
      </c>
      <c r="AL386" s="352" t="n">
        <v>112</v>
      </c>
      <c r="AM386" s="352" t="n">
        <v>112</v>
      </c>
      <c r="AN386" s="352" t="n">
        <v>112</v>
      </c>
      <c r="AO386" s="352" t="n">
        <v>112</v>
      </c>
      <c r="AP386" s="352" t="n">
        <v>112</v>
      </c>
      <c r="AQ386" s="352" t="n"/>
      <c r="AR386" s="352" t="n"/>
      <c r="AS386" s="352" t="n"/>
      <c r="AT386" s="352" t="n"/>
      <c r="AU386" s="352" t="n"/>
      <c r="AV386" s="352" t="n"/>
      <c r="AW386" s="352">
        <f>IF(SUM(R386:AV386)=0,"",SUM(R386:AV386))</f>
        <v/>
      </c>
      <c r="AX386" s="431">
        <f>IFERROR(AW386*O386/1000,"")</f>
        <v/>
      </c>
      <c r="AY386" s="431">
        <f>IFERROR(ROUND(AW386*P386/10000,3),"")</f>
        <v/>
      </c>
      <c r="AZ386" s="352" t="n"/>
      <c r="BA386" s="352" t="n"/>
      <c r="BB386" s="352" t="n"/>
      <c r="BC386" s="352" t="n"/>
      <c r="BD386" s="352" t="n"/>
      <c r="BE386" s="352">
        <f>AZ386*AW386</f>
        <v/>
      </c>
      <c r="BF386" s="352">
        <f>BA386*AW386</f>
        <v/>
      </c>
      <c r="BG386" s="352">
        <f>BB386*AW386</f>
        <v/>
      </c>
      <c r="BH386" s="352">
        <f>BC386*AW386</f>
        <v/>
      </c>
      <c r="BI386" s="352" t="n"/>
      <c r="BJ386" s="352">
        <f t="array" ref="BJ386:BM386">_xlfn.LET(_xlpm.data,$R386:$AV386,_xlpm.starts,{1,8,16,23},_xlpm.lengths,{7,7,8,9},_xlpm.arr,_xlfn.MAP(_xlpm.starts,_xlpm.lengths,_xlfn.LAMBDA(_xlpm.s,_xlpm.l,SUM(INDEX(_xlpm.data,,_xlfn.SEQUENCE(,_xlpm.l,_xlpm.s))))),ROUND(_xlpm.arr*$O386/1000,2))</f>
        <v/>
      </c>
      <c r="BK386" s="352" t="n">
        <v>19.78</v>
      </c>
      <c r="BL386" s="352" t="n">
        <v>22.61</v>
      </c>
      <c r="BM386" s="352" t="n">
        <v>8.48</v>
      </c>
      <c r="BN386" s="352" t="n"/>
      <c r="BO386" s="352" t="n">
        <v>21.77</v>
      </c>
      <c r="BP386" s="352" t="n">
        <v>21.77</v>
      </c>
      <c r="BQ386" s="352" t="n">
        <v>24.88</v>
      </c>
      <c r="BR386" s="352" t="n">
        <v>27.99</v>
      </c>
      <c r="BS386" s="352" t="inlineStr">
        <is>
          <t>轻卡</t>
        </is>
      </c>
      <c r="BT386" s="431" t="n"/>
      <c r="BU386" s="431" t="n"/>
      <c r="BV386" s="354" t="n"/>
      <c r="BW386" s="355" t="n"/>
      <c r="BX386" s="355" t="inlineStr">
        <is>
          <t>轻卡</t>
        </is>
      </c>
      <c r="BY386" s="362">
        <f>SUM(R386:X386)</f>
        <v/>
      </c>
      <c r="BZ386" s="362">
        <f>SUM(Y386:AE386)</f>
        <v/>
      </c>
      <c r="CA386" s="362">
        <f>SUM(AF386:AM386)</f>
        <v/>
      </c>
      <c r="CB386" s="362">
        <f>SUM(AN386:AV386)</f>
        <v/>
      </c>
      <c r="CC386" s="331" t="n"/>
      <c r="CD386" s="432" t="inlineStr">
        <is>
          <t>ADA</t>
        </is>
      </c>
      <c r="CE386" s="331">
        <f>ROUND(BY386*$O386/1000,2)</f>
        <v/>
      </c>
      <c r="CF386" s="356">
        <f>ROUND(BZ386*$O386/1000,2)</f>
        <v/>
      </c>
      <c r="CG386" s="331">
        <f>ROUND(CA386*$O386/1000,2)</f>
        <v/>
      </c>
      <c r="CH386" s="331">
        <f>ROUND(CB386*$O386/1000,2)</f>
        <v/>
      </c>
      <c r="CI386" s="331">
        <f>SUM(CE386:CH386)</f>
        <v/>
      </c>
      <c r="CJ386" s="362" t="n">
        <v>424</v>
      </c>
      <c r="CK386" s="362">
        <f>IFERROR(ROUND(BY386*$P386,2),"")</f>
        <v/>
      </c>
      <c r="CL386" s="362">
        <f>IFERROR(ROUND(BZ386*$P386,2),"")</f>
        <v/>
      </c>
      <c r="CM386" s="362">
        <f>IFERROR(ROUND(CA386*$P386,2),"")</f>
        <v/>
      </c>
      <c r="CN386" s="362">
        <f>IFERROR(ROUND(CB386*$P386,2),"")</f>
        <v/>
      </c>
      <c r="CO386" s="115">
        <f>SUM(CK386:CN386)</f>
        <v/>
      </c>
      <c r="CZ386" s="390" t="n"/>
      <c r="DA386" s="362" t="n"/>
      <c r="DB386" s="362" t="n"/>
      <c r="DC386" s="362" t="n"/>
      <c r="DD386" s="362" t="n"/>
      <c r="DE386" s="362" t="n"/>
      <c r="DF386" s="390" t="n"/>
    </row>
    <row r="387" ht="15" customFormat="1" customHeight="1" s="362">
      <c r="A387" s="331" t="n"/>
      <c r="B387" s="352" t="inlineStr">
        <is>
          <t>印尼</t>
        </is>
      </c>
      <c r="C387" s="352">
        <f>IFERROR(MID(E387,FIND("-",E387)+1,2),"")</f>
        <v/>
      </c>
      <c r="D387" s="352">
        <f>"轻卡"&amp;C387&amp;"寸"</f>
        <v/>
      </c>
      <c r="E387" s="379">
        <f>IFERROR(LEFT(REPLACE(G387,1,2,""),FIND("[",REPLACE(G387,1,2,""))-1)&amp;"-"&amp;MID(REPLACE(G387,1,2,""),FIND("[",REPLACE(G387,1,2,""))+1,FIND("]",REPLACE(G387,1,2,""))-FIND("[",REPLACE(G387,1,2,""))-1),"")</f>
        <v/>
      </c>
      <c r="F387" s="379" t="n"/>
      <c r="G387" s="379" t="inlineStr">
        <is>
          <t>ID7.50-16-14PR[M8087]122/118G 金冠</t>
        </is>
      </c>
      <c r="H387" s="352" t="n">
        <v>4000</v>
      </c>
      <c r="I387" s="352" t="n">
        <v>2</v>
      </c>
      <c r="J387" s="352" t="n">
        <v>38.2</v>
      </c>
      <c r="K387" s="352" t="n"/>
      <c r="L387" s="430">
        <f>IF(J387="","",J387/(J387+$J$380/60))</f>
        <v/>
      </c>
      <c r="M387" s="430" t="n"/>
      <c r="N387" s="352" t="n"/>
      <c r="O387" s="352">
        <f>IFERROR(_xlfn.XLOOKUP(E387,轮胎重量!S:S,轮胎重量!P:P),IFERROR(_xlfn.XLOOKUP(E387,轮胎重量!AB:AB,轮胎重量!Y:Y),IFERROR(_xlfn.XLOOKUP(E387,轮胎重量!AK:AK,轮胎重量!AH:AH),IFERROR(_xlfn.XLOOKUP(E387,轮胎重量!AT:AT,轮胎重量!AQ:AQ),""))))</f>
        <v/>
      </c>
      <c r="P387" s="352">
        <f>IFERROR(_xlfn.XLOOKUP(E387,硫化工艺!I:I,硫化工艺!J:J),"")</f>
        <v/>
      </c>
      <c r="Q387" s="352">
        <f>IFERROR(ROUND(1440/J387*I387*L388,0),"")</f>
        <v/>
      </c>
      <c r="R387" s="352" t="n">
        <v>56</v>
      </c>
      <c r="S387" s="352" t="n">
        <v>56</v>
      </c>
      <c r="T387" s="352" t="n">
        <v>56</v>
      </c>
      <c r="U387" s="352" t="n">
        <v>56</v>
      </c>
      <c r="V387" s="352" t="n">
        <v>56</v>
      </c>
      <c r="W387" s="352" t="n">
        <v>56</v>
      </c>
      <c r="X387" s="352" t="n">
        <v>56</v>
      </c>
      <c r="Y387" s="352" t="n">
        <v>56</v>
      </c>
      <c r="Z387" s="352" t="n">
        <v>56</v>
      </c>
      <c r="AA387" s="352" t="n">
        <v>56</v>
      </c>
      <c r="AB387" s="352" t="n">
        <v>56</v>
      </c>
      <c r="AC387" s="352" t="n">
        <v>56</v>
      </c>
      <c r="AD387" s="352" t="n">
        <v>56</v>
      </c>
      <c r="AE387" s="352" t="n">
        <v>56</v>
      </c>
      <c r="AF387" s="352" t="n">
        <v>56</v>
      </c>
      <c r="AG387" s="352" t="n">
        <v>56</v>
      </c>
      <c r="AH387" s="352" t="n">
        <v>56</v>
      </c>
      <c r="AI387" s="352" t="n">
        <v>56</v>
      </c>
      <c r="AJ387" s="352" t="n">
        <v>56</v>
      </c>
      <c r="AK387" s="352" t="n">
        <v>56</v>
      </c>
      <c r="AL387" s="352" t="n">
        <v>56</v>
      </c>
      <c r="AM387" s="352" t="n">
        <v>56</v>
      </c>
      <c r="AN387" s="352" t="n">
        <v>56</v>
      </c>
      <c r="AO387" s="352" t="n">
        <v>56</v>
      </c>
      <c r="AP387" s="352" t="n">
        <v>56</v>
      </c>
      <c r="AQ387" s="352" t="n">
        <v>168</v>
      </c>
      <c r="AR387" s="352" t="n">
        <v>168</v>
      </c>
      <c r="AS387" s="352" t="n">
        <v>168</v>
      </c>
      <c r="AT387" s="352" t="n">
        <v>168</v>
      </c>
      <c r="AU387" s="352" t="n">
        <v>168</v>
      </c>
      <c r="AV387" s="352" t="n">
        <v>168</v>
      </c>
      <c r="AW387" s="352">
        <f>IF(SUM(R387:AV387)=0,"",SUM(R387:AV387))</f>
        <v/>
      </c>
      <c r="AX387" s="431">
        <f>IFERROR(AW387*O387/1000,"")</f>
        <v/>
      </c>
      <c r="AY387" s="431">
        <f>IFERROR(ROUND(AW387*P387/10000,3),"")</f>
        <v/>
      </c>
      <c r="AZ387" s="352" t="n"/>
      <c r="BA387" s="352" t="n"/>
      <c r="BB387" s="352" t="n"/>
      <c r="BC387" s="352" t="n"/>
      <c r="BD387" s="352" t="n"/>
      <c r="BE387" s="352">
        <f>AZ387*AW387</f>
        <v/>
      </c>
      <c r="BF387" s="352">
        <f>BA387*AW387</f>
        <v/>
      </c>
      <c r="BG387" s="352">
        <f>BB387*AW387</f>
        <v/>
      </c>
      <c r="BH387" s="352">
        <f>BC387*AW387</f>
        <v/>
      </c>
      <c r="BI387" s="352" t="n"/>
      <c r="BJ387" s="352">
        <f t="array" ref="BJ387:BM387">_xlfn.LET(_xlpm.data,$R387:$AV387,_xlpm.starts,{1,8,16,23},_xlpm.lengths,{7,7,8,9},_xlpm.arr,_xlfn.MAP(_xlpm.starts,_xlpm.lengths,_xlfn.LAMBDA(_xlpm.s,_xlpm.l,SUM(INDEX(_xlpm.data,,_xlfn.SEQUENCE(,_xlpm.l,_xlpm.s))))),ROUND(_xlpm.arr*$O387/1000,2))</f>
        <v/>
      </c>
      <c r="BK387" s="352" t="n">
        <v>9.890000000000001</v>
      </c>
      <c r="BL387" s="352" t="n">
        <v>11.3</v>
      </c>
      <c r="BM387" s="352" t="n">
        <v>29.67</v>
      </c>
      <c r="BN387" s="352" t="n"/>
      <c r="BO387" s="352" t="n">
        <v>21.77</v>
      </c>
      <c r="BP387" s="352" t="n">
        <v>21.77</v>
      </c>
      <c r="BQ387" s="352" t="n">
        <v>24.88</v>
      </c>
      <c r="BR387" s="352" t="n">
        <v>27.99</v>
      </c>
      <c r="BS387" s="352" t="inlineStr">
        <is>
          <t>轻卡</t>
        </is>
      </c>
      <c r="BT387" s="431" t="n"/>
      <c r="BU387" s="431" t="n"/>
      <c r="BV387" s="354" t="n"/>
      <c r="BW387" s="355" t="n"/>
      <c r="BX387" s="355" t="inlineStr">
        <is>
          <t>轻卡</t>
        </is>
      </c>
      <c r="BY387" s="362">
        <f>SUM(R387:X387)</f>
        <v/>
      </c>
      <c r="BZ387" s="362">
        <f>SUM(Y387:AE387)</f>
        <v/>
      </c>
      <c r="CA387" s="362">
        <f>SUM(AF387:AM387)</f>
        <v/>
      </c>
      <c r="CB387" s="362">
        <f>SUM(AN387:AV387)</f>
        <v/>
      </c>
      <c r="CC387" s="331" t="n"/>
      <c r="CD387" s="432" t="inlineStr">
        <is>
          <t>ADA</t>
        </is>
      </c>
      <c r="CE387" s="331">
        <f>ROUND(BY387*$O387/1000,2)</f>
        <v/>
      </c>
      <c r="CF387" s="356">
        <f>ROUND(BZ387*$O387/1000,2)</f>
        <v/>
      </c>
      <c r="CG387" s="331">
        <f>ROUND(CA387*$O387/1000,2)</f>
        <v/>
      </c>
      <c r="CH387" s="331">
        <f>ROUND(CB387*$O387/1000,2)</f>
        <v/>
      </c>
      <c r="CI387" s="331">
        <f>SUM(CE387:CH387)</f>
        <v/>
      </c>
      <c r="CK387" s="362">
        <f>IFERROR(ROUND(BY387*$P387,2),"")</f>
        <v/>
      </c>
      <c r="CL387" s="362">
        <f>IFERROR(ROUND(BZ387*$P387,2),"")</f>
        <v/>
      </c>
      <c r="CM387" s="362">
        <f>IFERROR(ROUND(CA387*$P387,2),"")</f>
        <v/>
      </c>
      <c r="CN387" s="362">
        <f>IFERROR(ROUND(CB387*$P387,2),"")</f>
        <v/>
      </c>
      <c r="CO387" s="115">
        <f>SUM(CK387:CN387)</f>
        <v/>
      </c>
      <c r="CZ387" s="390" t="n"/>
      <c r="DA387" s="362" t="n"/>
      <c r="DB387" s="362" t="n"/>
      <c r="DC387" s="362" t="n"/>
      <c r="DD387" s="362" t="n"/>
      <c r="DE387" s="362" t="n"/>
      <c r="DF387" s="390" t="n"/>
    </row>
    <row r="388" customFormat="1" s="362">
      <c r="A388" s="331" t="n"/>
      <c r="B388" s="352" t="inlineStr">
        <is>
          <t>印尼</t>
        </is>
      </c>
      <c r="C388" s="352">
        <f>IFERROR(MID(E388,FIND("-",E388)+1,2),"")</f>
        <v/>
      </c>
      <c r="D388" s="352">
        <f>"轻卡"&amp;C388&amp;"寸"</f>
        <v/>
      </c>
      <c r="E388" s="379">
        <f>IFERROR(LEFT(REPLACE(G388,1,2,""),FIND("[",REPLACE(G388,1,2,""))-1)&amp;"-"&amp;MID(REPLACE(G388,1,2,""),FIND("[",REPLACE(G388,1,2,""))+1,FIND("]",REPLACE(G388,1,2,""))-FIND("[",REPLACE(G388,1,2,""))-1),"")</f>
        <v/>
      </c>
      <c r="F388" s="379" t="n"/>
      <c r="G388" s="379" t="inlineStr">
        <is>
          <t>ID7.50-16-14PR[M8087]122/118G 威狮</t>
        </is>
      </c>
      <c r="H388" s="352" t="n">
        <v>1300</v>
      </c>
      <c r="I388" s="352" t="n">
        <v>6</v>
      </c>
      <c r="J388" s="352" t="n">
        <v>38.2</v>
      </c>
      <c r="K388" s="352" t="n"/>
      <c r="L388" s="430">
        <f>IF(J388="","",J388/(J388+$J$380/60))</f>
        <v/>
      </c>
      <c r="M388" s="430" t="n"/>
      <c r="N388" s="352" t="n"/>
      <c r="O388" s="352">
        <f>IFERROR(_xlfn.XLOOKUP(E388,轮胎重量!S:S,轮胎重量!P:P),IFERROR(_xlfn.XLOOKUP(E388,轮胎重量!AB:AB,轮胎重量!Y:Y),IFERROR(_xlfn.XLOOKUP(E388,轮胎重量!AK:AK,轮胎重量!AH:AH),IFERROR(_xlfn.XLOOKUP(E388,轮胎重量!AT:AT,轮胎重量!AQ:AQ),""))))</f>
        <v/>
      </c>
      <c r="P388" s="352">
        <f>IFERROR(_xlfn.XLOOKUP(E388,硫化工艺!I:I,硫化工艺!J:J),"")</f>
        <v/>
      </c>
      <c r="Q388" s="352">
        <f>IFERROR(ROUND(1440/J388*I388*L388,0),"")</f>
        <v/>
      </c>
      <c r="R388" s="352" t="n">
        <v>56</v>
      </c>
      <c r="S388" s="352" t="n">
        <v>56</v>
      </c>
      <c r="T388" s="352" t="n">
        <v>56</v>
      </c>
      <c r="U388" s="352" t="n">
        <v>56</v>
      </c>
      <c r="V388" s="352" t="n">
        <v>56</v>
      </c>
      <c r="W388" s="352" t="n">
        <v>56</v>
      </c>
      <c r="X388" s="352" t="n">
        <v>56</v>
      </c>
      <c r="Y388" s="352" t="n">
        <v>56</v>
      </c>
      <c r="Z388" s="352" t="n">
        <v>56</v>
      </c>
      <c r="AA388" s="352" t="n">
        <v>56</v>
      </c>
      <c r="AB388" s="352" t="n">
        <v>56</v>
      </c>
      <c r="AC388" s="352" t="n">
        <v>56</v>
      </c>
      <c r="AD388" s="352" t="n">
        <v>56</v>
      </c>
      <c r="AE388" s="352" t="n">
        <v>56</v>
      </c>
      <c r="AF388" s="352" t="n">
        <v>56</v>
      </c>
      <c r="AG388" s="352" t="n">
        <v>56</v>
      </c>
      <c r="AH388" s="352" t="n">
        <v>56</v>
      </c>
      <c r="AI388" s="352" t="n">
        <v>56</v>
      </c>
      <c r="AJ388" s="352" t="n">
        <v>56</v>
      </c>
      <c r="AK388" s="352" t="n">
        <v>56</v>
      </c>
      <c r="AL388" s="352" t="n">
        <v>56</v>
      </c>
      <c r="AM388" s="352" t="n">
        <v>56</v>
      </c>
      <c r="AN388" s="352" t="n"/>
      <c r="AO388" s="352" t="n"/>
      <c r="AP388" s="352" t="n"/>
      <c r="AQ388" s="352" t="n"/>
      <c r="AR388" s="352" t="n"/>
      <c r="AS388" s="352" t="n"/>
      <c r="AT388" s="352" t="n"/>
      <c r="AU388" s="352" t="n"/>
      <c r="AV388" s="352" t="n"/>
      <c r="AW388" s="352">
        <f>IF(SUM(R388:AV388)=0,"",SUM(R388:AV388))</f>
        <v/>
      </c>
      <c r="AX388" s="431">
        <f>IFERROR(AW388*O388/1000,"")</f>
        <v/>
      </c>
      <c r="AY388" s="431">
        <f>IFERROR(ROUND(AW388*P388/10000,3),"")</f>
        <v/>
      </c>
      <c r="AZ388" s="352" t="n"/>
      <c r="BA388" s="352" t="n"/>
      <c r="BB388" s="352" t="n"/>
      <c r="BC388" s="352" t="n"/>
      <c r="BD388" s="352" t="n"/>
      <c r="BE388" s="352">
        <f>AZ388*AW388</f>
        <v/>
      </c>
      <c r="BF388" s="352">
        <f>BA388*AW388</f>
        <v/>
      </c>
      <c r="BG388" s="352">
        <f>BB388*AW388</f>
        <v/>
      </c>
      <c r="BH388" s="352">
        <f>BC388*AW388</f>
        <v/>
      </c>
      <c r="BI388" s="352" t="n"/>
      <c r="BJ388" s="352">
        <f t="array" ref="BJ388:BM388">_xlfn.LET(_xlpm.data,$R388:$AV388,_xlpm.starts,{1,8,16,23},_xlpm.lengths,{7,7,8,9},_xlpm.arr,_xlfn.MAP(_xlpm.starts,_xlpm.lengths,_xlfn.LAMBDA(_xlpm.s,_xlpm.l,SUM(INDEX(_xlpm.data,,_xlfn.SEQUENCE(,_xlpm.l,_xlpm.s))))),ROUND(_xlpm.arr*$O388/1000,2))</f>
        <v/>
      </c>
      <c r="BK388" s="352" t="n">
        <v>9.890000000000001</v>
      </c>
      <c r="BL388" s="352" t="n">
        <v>9.890000000000001</v>
      </c>
      <c r="BM388" s="352" t="n">
        <v>0</v>
      </c>
      <c r="BN388" s="352">
        <f>SUM(BJ388:BM388)</f>
        <v/>
      </c>
      <c r="BO388" s="352" t="n">
        <v>0</v>
      </c>
      <c r="BP388" s="352" t="n">
        <v>0</v>
      </c>
      <c r="BQ388" s="352" t="n">
        <v>0</v>
      </c>
      <c r="BR388" s="352" t="n">
        <v>0</v>
      </c>
      <c r="BS388" s="352" t="inlineStr">
        <is>
          <t>轻卡</t>
        </is>
      </c>
      <c r="BT388" s="431" t="n"/>
      <c r="BU388" s="431" t="n"/>
      <c r="BV388" s="354" t="n"/>
      <c r="BW388" s="355" t="n"/>
      <c r="BX388" s="355" t="inlineStr">
        <is>
          <t>轻卡</t>
        </is>
      </c>
      <c r="BY388" s="362">
        <f>SUM(R388:X388)</f>
        <v/>
      </c>
      <c r="BZ388" s="362">
        <f>SUM(Y388:AE388)</f>
        <v/>
      </c>
      <c r="CA388" s="362">
        <f>SUM(AF388:AM388)</f>
        <v/>
      </c>
      <c r="CB388" s="362">
        <f>SUM(AN388:AV388)</f>
        <v/>
      </c>
      <c r="CC388" s="331" t="n"/>
      <c r="CD388" s="432" t="inlineStr">
        <is>
          <t>ADA</t>
        </is>
      </c>
      <c r="CE388" s="331">
        <f>ROUND(BY388*$O388/1000,2)</f>
        <v/>
      </c>
      <c r="CF388" s="356">
        <f>ROUND(BZ388*$O388/1000,2)</f>
        <v/>
      </c>
      <c r="CG388" s="331">
        <f>ROUND(CA388*$O388/1000,2)</f>
        <v/>
      </c>
      <c r="CH388" s="331">
        <f>ROUND(CB388*$O388/1000,2)</f>
        <v/>
      </c>
      <c r="CI388" s="331">
        <f>SUM(CE388:CH388)</f>
        <v/>
      </c>
      <c r="CK388" s="362">
        <f>IFERROR(ROUND(BY388*$P388,2),"")</f>
        <v/>
      </c>
      <c r="CL388" s="362">
        <f>IFERROR(ROUND(BZ388*$P388,2),"")</f>
        <v/>
      </c>
      <c r="CM388" s="362">
        <f>IFERROR(ROUND(CA388*$P388,2),"")</f>
        <v/>
      </c>
      <c r="CN388" s="362">
        <f>IFERROR(ROUND(CB388*$P388,2),"")</f>
        <v/>
      </c>
      <c r="CO388" s="115">
        <f>SUM(CK388:CN388)</f>
        <v/>
      </c>
      <c r="CZ388" s="390" t="n"/>
      <c r="DA388" s="362" t="n"/>
      <c r="DB388" s="362" t="n"/>
      <c r="DC388" s="362" t="n"/>
      <c r="DD388" s="362" t="n"/>
      <c r="DE388" s="362" t="n"/>
      <c r="DF388" s="390" t="n"/>
    </row>
    <row r="389">
      <c r="B389" s="352" t="inlineStr">
        <is>
          <t>印尼</t>
        </is>
      </c>
      <c r="C389" s="352">
        <f>IFERROR(MID(E389,FIND("-",E389)+1,2),"")</f>
        <v/>
      </c>
      <c r="D389" s="352">
        <f>"轻卡"&amp;C389&amp;"寸"</f>
        <v/>
      </c>
      <c r="E389" s="379">
        <f>IFERROR(LEFT(REPLACE(G389,1,2,""),FIND("[",REPLACE(G389,1,2,""))-1)&amp;"-"&amp;MID(REPLACE(G389,1,2,""),FIND("[",REPLACE(G389,1,2,""))+1,FIND("]",REPLACE(G389,1,2,""))-FIND("[",REPLACE(G389,1,2,""))-1),"")</f>
        <v/>
      </c>
      <c r="F389" s="379" t="n"/>
      <c r="G389" s="379" t="inlineStr">
        <is>
          <t>ID7.50-16-14PR[R8037]122/118J TRAZANO(全诺)</t>
        </is>
      </c>
      <c r="H389" s="352" t="n">
        <v>2000</v>
      </c>
      <c r="I389" s="370" t="n">
        <v>2</v>
      </c>
      <c r="J389" s="352" t="n">
        <v>38.2</v>
      </c>
      <c r="K389" s="352" t="n"/>
      <c r="L389" s="430">
        <f>IF(J389="","",J389/(J389+$J$380/60))</f>
        <v/>
      </c>
      <c r="M389" s="430" t="n"/>
      <c r="N389" s="352" t="n"/>
      <c r="O389" s="352">
        <f>IFERROR(_xlfn.XLOOKUP(E389,轮胎重量!S:S,轮胎重量!P:P),IFERROR(_xlfn.XLOOKUP(E389,轮胎重量!AB:AB,轮胎重量!Y:Y),IFERROR(_xlfn.XLOOKUP(E389,轮胎重量!AK:AK,轮胎重量!AH:AH),IFERROR(_xlfn.XLOOKUP(E389,轮胎重量!AT:AT,轮胎重量!AQ:AQ),""))))</f>
        <v/>
      </c>
      <c r="P389" s="352">
        <f>IFERROR(_xlfn.XLOOKUP(E389,硫化工艺!I:I,硫化工艺!J:J),"")</f>
        <v/>
      </c>
      <c r="Q389" s="352">
        <f>IFERROR(ROUND(1440/J389*I389*L390,0),"")</f>
        <v/>
      </c>
      <c r="R389" s="352">
        <f>62*3</f>
        <v/>
      </c>
      <c r="S389" s="352">
        <f>62*3</f>
        <v/>
      </c>
      <c r="T389" s="352">
        <f>62*3</f>
        <v/>
      </c>
      <c r="U389" s="352">
        <f>62*3</f>
        <v/>
      </c>
      <c r="V389" s="352">
        <f>62*3</f>
        <v/>
      </c>
      <c r="W389" s="352">
        <f>62*3</f>
        <v/>
      </c>
      <c r="X389" s="352">
        <f>62*3</f>
        <v/>
      </c>
      <c r="Y389" s="352">
        <f>62*3</f>
        <v/>
      </c>
      <c r="Z389" s="352">
        <f>62*3</f>
        <v/>
      </c>
      <c r="AA389" s="352">
        <f>62*3</f>
        <v/>
      </c>
      <c r="AB389" s="352">
        <f>62*3</f>
        <v/>
      </c>
      <c r="AC389" s="352" t="n"/>
      <c r="AD389" s="352" t="n"/>
      <c r="AE389" s="352" t="n"/>
      <c r="AF389" s="352" t="n"/>
      <c r="AG389" s="352" t="n"/>
      <c r="AH389" s="352" t="n"/>
      <c r="AI389" s="352" t="n"/>
      <c r="AJ389" s="352" t="n"/>
      <c r="AK389" s="352" t="n"/>
      <c r="AL389" s="352" t="n"/>
      <c r="AM389" s="352" t="n"/>
      <c r="AN389" s="352" t="n"/>
      <c r="AO389" s="352" t="n"/>
      <c r="AP389" s="352" t="n"/>
      <c r="AQ389" s="352" t="n"/>
      <c r="AR389" s="352" t="n"/>
      <c r="AS389" s="352" t="n"/>
      <c r="AT389" s="352" t="n"/>
      <c r="AU389" s="352" t="n"/>
      <c r="AV389" s="352" t="n"/>
      <c r="AW389" s="352">
        <f>IF(SUM(R389:AV389)=0,"",SUM(R389:AV389))</f>
        <v/>
      </c>
      <c r="AX389" s="431">
        <f>IFERROR(AW389*O389/1000,"")</f>
        <v/>
      </c>
      <c r="AY389" s="431">
        <f>IFERROR(ROUND(AW389*P389/10000,3),"")</f>
        <v/>
      </c>
      <c r="AZ389" s="352" t="n">
        <v>283.6458</v>
      </c>
      <c r="BA389" s="352" t="n">
        <v>15.2472</v>
      </c>
      <c r="BB389" s="352" t="n">
        <v>23.3811</v>
      </c>
      <c r="BC389" s="352" t="n">
        <v>17.1338</v>
      </c>
      <c r="BD389" s="352" t="n"/>
      <c r="BE389" s="352">
        <f>AZ389*AW389</f>
        <v/>
      </c>
      <c r="BF389" s="352">
        <f>BA389*AW389</f>
        <v/>
      </c>
      <c r="BG389" s="352">
        <f>BB389*AW389</f>
        <v/>
      </c>
      <c r="BH389" s="352">
        <f>BC389*AW389</f>
        <v/>
      </c>
      <c r="BI389" s="352" t="n"/>
      <c r="BJ389" s="352">
        <f t="array" ref="BJ389:BM389">_xlfn.LET(_xlpm.data,$R389:$AV389,_xlpm.starts,{1,8,16,23},_xlpm.lengths,{7,7,8,9},_xlpm.arr,_xlfn.MAP(_xlpm.starts,_xlpm.lengths,_xlfn.LAMBDA(_xlpm.s,_xlpm.l,SUM(INDEX(_xlpm.data,,_xlfn.SEQUENCE(,_xlpm.l,_xlpm.s))))),ROUND(_xlpm.arr*$O389/1000,2))</f>
        <v/>
      </c>
      <c r="BK389" s="352" t="n">
        <v>17.41</v>
      </c>
      <c r="BL389" s="352" t="n">
        <v>0</v>
      </c>
      <c r="BM389" s="352" t="n">
        <v>0</v>
      </c>
      <c r="BN389" s="352">
        <f>SUM(BJ389:BM389)</f>
        <v/>
      </c>
      <c r="BO389" s="352" t="n">
        <v>0</v>
      </c>
      <c r="BP389" s="352" t="n">
        <v>9.949999999999999</v>
      </c>
      <c r="BQ389" s="352" t="n">
        <v>11.38</v>
      </c>
      <c r="BR389" s="352" t="n">
        <v>12.8</v>
      </c>
      <c r="BS389" s="352" t="inlineStr">
        <is>
          <t>轻卡</t>
        </is>
      </c>
      <c r="BT389" s="431" t="n"/>
      <c r="BU389" s="431" t="n"/>
      <c r="BV389" s="354" t="n"/>
      <c r="BW389" s="355" t="n"/>
      <c r="BX389" s="355" t="inlineStr">
        <is>
          <t>轻卡</t>
        </is>
      </c>
      <c r="BY389" s="362">
        <f>SUM(R389:X389)</f>
        <v/>
      </c>
      <c r="BZ389" s="362">
        <f>SUM(Y389:AE389)</f>
        <v/>
      </c>
      <c r="CA389" s="362">
        <f>SUM(AF389:AM389)</f>
        <v/>
      </c>
      <c r="CB389" s="362">
        <f>SUM(AN389:AV389)</f>
        <v/>
      </c>
      <c r="CC389" s="331" t="n"/>
      <c r="CD389" s="432" t="inlineStr">
        <is>
          <t>ADA</t>
        </is>
      </c>
      <c r="CE389" s="331">
        <f>ROUND(BY389*$O389/1000,2)</f>
        <v/>
      </c>
      <c r="CF389" s="356">
        <f>ROUND(BZ389*$O389/1000,2)</f>
        <v/>
      </c>
      <c r="CG389" s="331">
        <f>ROUND(CA389*$O389/1000,2)</f>
        <v/>
      </c>
      <c r="CH389" s="331">
        <f>ROUND(CB389*$O389/1000,2)</f>
        <v/>
      </c>
      <c r="CI389" s="331">
        <f>SUM(CE389:CH389)</f>
        <v/>
      </c>
      <c r="CJ389" s="362" t="n"/>
      <c r="CK389" s="362">
        <f>IFERROR(ROUND(BY389*$P389,2),"")</f>
        <v/>
      </c>
      <c r="CL389" s="362">
        <f>IFERROR(ROUND(BZ389*$P389,2),"")</f>
        <v/>
      </c>
      <c r="CM389" s="362">
        <f>IFERROR(ROUND(CA389*$P389,2),"")</f>
        <v/>
      </c>
      <c r="CN389" s="362">
        <f>IFERROR(ROUND(CB389*$P389,2),"")</f>
        <v/>
      </c>
      <c r="CO389" s="115">
        <f>SUM(CK389:CN389)</f>
        <v/>
      </c>
    </row>
    <row r="390">
      <c r="B390" s="352" t="inlineStr">
        <is>
          <t>印尼</t>
        </is>
      </c>
      <c r="C390" s="352">
        <f>IFERROR(MID(E390,FIND("-",E390)+1,2),"")</f>
        <v/>
      </c>
      <c r="D390" s="352">
        <f>"轻卡"&amp;C390&amp;"寸"</f>
        <v/>
      </c>
      <c r="E390" s="379">
        <f>IFERROR(LEFT(REPLACE(G390,1,2,""),FIND("[",REPLACE(G390,1,2,""))-1)&amp;"-"&amp;MID(REPLACE(G390,1,2,""),FIND("[",REPLACE(G390,1,2,""))+1,FIND("]",REPLACE(G390,1,2,""))-FIND("[",REPLACE(G390,1,2,""))-1),"")</f>
        <v/>
      </c>
      <c r="F390" s="379" t="n"/>
      <c r="G390" s="379" t="inlineStr">
        <is>
          <t>ID7.50-16-14PR[R8037]122/118J 朝阳</t>
        </is>
      </c>
      <c r="H390" s="352" t="n">
        <v>8000</v>
      </c>
      <c r="I390" s="370" t="n">
        <v>6</v>
      </c>
      <c r="J390" s="352" t="n">
        <v>38.2</v>
      </c>
      <c r="K390" s="352" t="n"/>
      <c r="L390" s="430">
        <f>IF(J390="","",J390/(J390+$J$380/60))</f>
        <v/>
      </c>
      <c r="M390" s="430" t="n"/>
      <c r="N390" s="352" t="n"/>
      <c r="O390" s="352">
        <f>IFERROR(_xlfn.XLOOKUP(E390,轮胎重量!S:S,轮胎重量!P:P),IFERROR(_xlfn.XLOOKUP(E390,轮胎重量!AB:AB,轮胎重量!Y:Y),IFERROR(_xlfn.XLOOKUP(E390,轮胎重量!AK:AK,轮胎重量!AH:AH),IFERROR(_xlfn.XLOOKUP(E390,轮胎重量!AT:AT,轮胎重量!AQ:AQ),""))))</f>
        <v/>
      </c>
      <c r="P390" s="352">
        <f>IFERROR(_xlfn.XLOOKUP(E390,硫化工艺!I:I,硫化工艺!J:J),"")</f>
        <v/>
      </c>
      <c r="Q390" s="352">
        <f>IFERROR(ROUND(1440/J390*I390*L391,0),"")</f>
        <v/>
      </c>
      <c r="R390" s="352" t="n">
        <v>124</v>
      </c>
      <c r="S390" s="352" t="n">
        <v>124</v>
      </c>
      <c r="T390" s="352" t="n">
        <v>124</v>
      </c>
      <c r="U390" s="352" t="n">
        <v>124</v>
      </c>
      <c r="V390" s="352" t="n">
        <v>124</v>
      </c>
      <c r="W390" s="352" t="n">
        <v>124</v>
      </c>
      <c r="X390" s="352" t="n">
        <v>124</v>
      </c>
      <c r="Y390" s="352" t="n">
        <v>124</v>
      </c>
      <c r="Z390" s="352" t="n">
        <v>124</v>
      </c>
      <c r="AA390" s="352" t="n">
        <v>124</v>
      </c>
      <c r="AB390" s="352" t="n">
        <v>124</v>
      </c>
      <c r="AC390" s="352" t="n">
        <v>310</v>
      </c>
      <c r="AD390" s="352" t="n">
        <v>310</v>
      </c>
      <c r="AE390" s="352" t="n">
        <v>310</v>
      </c>
      <c r="AF390" s="352" t="n">
        <v>310</v>
      </c>
      <c r="AG390" s="352" t="n">
        <v>310</v>
      </c>
      <c r="AH390" s="352" t="n">
        <v>310</v>
      </c>
      <c r="AI390" s="352" t="n">
        <v>310</v>
      </c>
      <c r="AJ390" s="352" t="n">
        <v>310</v>
      </c>
      <c r="AK390" s="352" t="n">
        <v>310</v>
      </c>
      <c r="AL390" s="352" t="n">
        <v>310</v>
      </c>
      <c r="AM390" s="352" t="n">
        <v>310</v>
      </c>
      <c r="AN390" s="352" t="n">
        <v>310</v>
      </c>
      <c r="AO390" s="352" t="n">
        <v>310</v>
      </c>
      <c r="AP390" s="352" t="n">
        <v>310</v>
      </c>
      <c r="AQ390" s="352" t="n">
        <v>310</v>
      </c>
      <c r="AR390" s="352" t="n">
        <v>310</v>
      </c>
      <c r="AS390" s="352" t="n">
        <v>310</v>
      </c>
      <c r="AT390" s="352" t="n">
        <v>310</v>
      </c>
      <c r="AU390" s="352" t="n">
        <v>310</v>
      </c>
      <c r="AV390" s="352" t="n">
        <v>310</v>
      </c>
      <c r="AW390" s="352">
        <f>IF(SUM(R390:AV390)=0,"",SUM(R390:AV390))</f>
        <v/>
      </c>
      <c r="AX390" s="431">
        <f>IFERROR(AW390*O390/1000,"")</f>
        <v/>
      </c>
      <c r="AY390" s="431">
        <f>IFERROR(ROUND(AW390*P390/10000,3),"")</f>
        <v/>
      </c>
      <c r="AZ390" s="352" t="n">
        <v>283.6458</v>
      </c>
      <c r="BA390" s="352" t="n">
        <v>15.2472</v>
      </c>
      <c r="BB390" s="352" t="n">
        <v>23.3811</v>
      </c>
      <c r="BC390" s="352" t="n">
        <v>17.1338</v>
      </c>
      <c r="BD390" s="352" t="n"/>
      <c r="BE390" s="352">
        <f>AZ390*AW390</f>
        <v/>
      </c>
      <c r="BF390" s="352">
        <f>BA390*AW390</f>
        <v/>
      </c>
      <c r="BG390" s="352">
        <f>BB390*AW390</f>
        <v/>
      </c>
      <c r="BH390" s="352">
        <f>BC390*AW390</f>
        <v/>
      </c>
      <c r="BI390" s="352" t="n"/>
      <c r="BJ390" s="352">
        <f t="array" ref="BJ390:BM390">_xlfn.LET(_xlpm.data,$R390:$AV390,_xlpm.starts,{1,8,16,23},_xlpm.lengths,{7,7,8,9},_xlpm.arr,_xlfn.MAP(_xlpm.starts,_xlpm.lengths,_xlfn.LAMBDA(_xlpm.s,_xlpm.l,SUM(INDEX(_xlpm.data,,_xlfn.SEQUENCE(,_xlpm.l,_xlpm.s))))),ROUND(_xlpm.arr*$O390/1000,2))</f>
        <v/>
      </c>
      <c r="BK390" s="352" t="n">
        <v>33.37</v>
      </c>
      <c r="BL390" s="352" t="n">
        <v>58.03</v>
      </c>
      <c r="BM390" s="352" t="n">
        <v>65.29000000000001</v>
      </c>
      <c r="BN390" s="352">
        <f>SUM(BJ390:BM390)</f>
        <v/>
      </c>
      <c r="BO390" s="352" t="n">
        <v>0</v>
      </c>
      <c r="BP390" s="352" t="n">
        <v>9.949999999999999</v>
      </c>
      <c r="BQ390" s="352" t="n">
        <v>11.38</v>
      </c>
      <c r="BR390" s="352" t="n">
        <v>12.8</v>
      </c>
      <c r="BS390" s="352" t="inlineStr">
        <is>
          <t>轻卡</t>
        </is>
      </c>
      <c r="BT390" s="431" t="n"/>
      <c r="BU390" s="431" t="n"/>
      <c r="BV390" s="354" t="n"/>
      <c r="BW390" s="355" t="n"/>
      <c r="BX390" s="355" t="inlineStr">
        <is>
          <t>轻卡</t>
        </is>
      </c>
      <c r="BY390" s="362">
        <f>SUM(R390:X390)</f>
        <v/>
      </c>
      <c r="BZ390" s="362">
        <f>SUM(Y390:AE390)</f>
        <v/>
      </c>
      <c r="CA390" s="362">
        <f>SUM(AF390:AM390)</f>
        <v/>
      </c>
      <c r="CB390" s="362">
        <f>SUM(AN390:AV390)</f>
        <v/>
      </c>
      <c r="CC390" s="331" t="n"/>
      <c r="CD390" s="432" t="inlineStr">
        <is>
          <t>ADA</t>
        </is>
      </c>
      <c r="CE390" s="331">
        <f>ROUND(BY390*$O390/1000,2)</f>
        <v/>
      </c>
      <c r="CF390" s="356">
        <f>ROUND(BZ390*$O390/1000,2)</f>
        <v/>
      </c>
      <c r="CG390" s="331">
        <f>ROUND(CA390*$O390/1000,2)</f>
        <v/>
      </c>
      <c r="CH390" s="331">
        <f>ROUND(CB390*$O390/1000,2)</f>
        <v/>
      </c>
      <c r="CI390" s="331">
        <f>SUM(CE390:CH390)</f>
        <v/>
      </c>
      <c r="CJ390" s="362" t="n"/>
      <c r="CK390" s="362">
        <f>IFERROR(ROUND(BY390*$P390,2),"")</f>
        <v/>
      </c>
      <c r="CL390" s="362">
        <f>IFERROR(ROUND(BZ390*$P390,2),"")</f>
        <v/>
      </c>
      <c r="CM390" s="362">
        <f>IFERROR(ROUND(CA390*$P390,2),"")</f>
        <v/>
      </c>
      <c r="CN390" s="362">
        <f>IFERROR(ROUND(CB390*$P390,2),"")</f>
        <v/>
      </c>
      <c r="CO390" s="115">
        <f>SUM(CK390:CN390)</f>
        <v/>
      </c>
    </row>
    <row r="391">
      <c r="B391" s="352" t="inlineStr">
        <is>
          <t>印尼</t>
        </is>
      </c>
      <c r="C391" s="352">
        <f>IFERROR(MID(E391,FIND("-",E391)+1,2),"")</f>
        <v/>
      </c>
      <c r="D391" s="352">
        <f>"轻卡"&amp;C391&amp;"寸"</f>
        <v/>
      </c>
      <c r="E391" s="379">
        <f>IFERROR(LEFT(REPLACE(G391,1,2,""),FIND("[",REPLACE(G391,1,2,""))-1)&amp;"-"&amp;MID(REPLACE(G391,1,2,""),FIND("[",REPLACE(G391,1,2,""))+1,FIND("]",REPLACE(G391,1,2,""))-FIND("[",REPLACE(G391,1,2,""))-1),"")</f>
        <v/>
      </c>
      <c r="F391" s="379" t="n"/>
      <c r="G391" s="379" t="inlineStr">
        <is>
          <t>ID7.50-16-14PR[R8038]122/118J GOODRIDE(好运)</t>
        </is>
      </c>
      <c r="H391" s="352" t="n">
        <v>4500</v>
      </c>
      <c r="I391" s="370" t="n">
        <v>2</v>
      </c>
      <c r="J391" s="352" t="n">
        <v>38.2</v>
      </c>
      <c r="K391" s="352" t="n"/>
      <c r="L391" s="430">
        <f>IF(J391="","",J391/(J391+$J$380/60))</f>
        <v/>
      </c>
      <c r="M391" s="430" t="n"/>
      <c r="N391" s="352" t="n"/>
      <c r="O391" s="352">
        <f>IFERROR(_xlfn.XLOOKUP(E391,轮胎重量!S:S,轮胎重量!P:P),IFERROR(_xlfn.XLOOKUP(E391,轮胎重量!AB:AB,轮胎重量!Y:Y),IFERROR(_xlfn.XLOOKUP(E391,轮胎重量!AK:AK,轮胎重量!AH:AH),IFERROR(_xlfn.XLOOKUP(E391,轮胎重量!AT:AT,轮胎重量!AQ:AQ),""))))</f>
        <v/>
      </c>
      <c r="P391" s="352">
        <f>IFERROR(_xlfn.XLOOKUP(E391,硫化工艺!I:I,硫化工艺!J:J),"")</f>
        <v/>
      </c>
      <c r="Q391" s="352">
        <f>IFERROR(ROUND(1440/J391*I391*L392,0),"")</f>
        <v/>
      </c>
      <c r="R391" s="352" t="n">
        <v>124</v>
      </c>
      <c r="S391" s="352" t="n">
        <v>124</v>
      </c>
      <c r="T391" s="352" t="n">
        <v>124</v>
      </c>
      <c r="U391" s="352" t="n">
        <v>124</v>
      </c>
      <c r="V391" s="352" t="n">
        <v>124</v>
      </c>
      <c r="W391" s="352" t="n">
        <v>124</v>
      </c>
      <c r="X391" s="352" t="n">
        <v>124</v>
      </c>
      <c r="Y391" s="352" t="n">
        <v>124</v>
      </c>
      <c r="Z391" s="352" t="n">
        <v>124</v>
      </c>
      <c r="AA391" s="352" t="n">
        <v>124</v>
      </c>
      <c r="AB391" s="352" t="n">
        <v>124</v>
      </c>
      <c r="AC391" s="352" t="n">
        <v>124</v>
      </c>
      <c r="AD391" s="352" t="n">
        <v>124</v>
      </c>
      <c r="AE391" s="352" t="n">
        <v>124</v>
      </c>
      <c r="AF391" s="352" t="n">
        <v>124</v>
      </c>
      <c r="AG391" s="352" t="n">
        <v>124</v>
      </c>
      <c r="AH391" s="352" t="n">
        <v>124</v>
      </c>
      <c r="AI391" s="352" t="n">
        <v>124</v>
      </c>
      <c r="AJ391" s="352" t="n">
        <v>124</v>
      </c>
      <c r="AK391" s="352" t="n">
        <v>124</v>
      </c>
      <c r="AL391" s="352" t="n">
        <v>124</v>
      </c>
      <c r="AM391" s="352" t="n">
        <v>124</v>
      </c>
      <c r="AN391" s="352" t="n">
        <v>124</v>
      </c>
      <c r="AO391" s="352" t="n">
        <v>124</v>
      </c>
      <c r="AP391" s="352" t="n">
        <v>124</v>
      </c>
      <c r="AQ391" s="352" t="n">
        <v>124</v>
      </c>
      <c r="AR391" s="352" t="n">
        <v>124</v>
      </c>
      <c r="AS391" s="352" t="n">
        <v>124</v>
      </c>
      <c r="AT391" s="352" t="n">
        <v>124</v>
      </c>
      <c r="AU391" s="352" t="n">
        <v>124</v>
      </c>
      <c r="AV391" s="352" t="n">
        <v>124</v>
      </c>
      <c r="AW391" s="352">
        <f>IF(SUM(R391:AV391)=0,"",SUM(R391:AV391))</f>
        <v/>
      </c>
      <c r="AX391" s="431">
        <f>IFERROR(AW391*O391/1000,"")</f>
        <v/>
      </c>
      <c r="AY391" s="431">
        <f>IFERROR(ROUND(AW391*P391/10000,3),"")</f>
        <v/>
      </c>
      <c r="AZ391" s="352" t="n">
        <v>283.6413</v>
      </c>
      <c r="BA391" s="352" t="n">
        <v>15.5872</v>
      </c>
      <c r="BB391" s="352" t="n">
        <v>23.9025</v>
      </c>
      <c r="BC391" s="352" t="n">
        <v>17.5158</v>
      </c>
      <c r="BD391" s="352" t="n"/>
      <c r="BE391" s="352">
        <f>AZ391*AW391</f>
        <v/>
      </c>
      <c r="BF391" s="352">
        <f>BA391*AW391</f>
        <v/>
      </c>
      <c r="BG391" s="352">
        <f>BB391*AW391</f>
        <v/>
      </c>
      <c r="BH391" s="352">
        <f>BC391*AW391</f>
        <v/>
      </c>
      <c r="BI391" s="352" t="n"/>
      <c r="BJ391" s="352">
        <f t="array" ref="BJ391:BM391">_xlfn.LET(_xlpm.data,$R391:$AV391,_xlpm.starts,{1,8,16,23},_xlpm.lengths,{7,7,8,9},_xlpm.arr,_xlfn.MAP(_xlpm.starts,_xlpm.lengths,_xlfn.LAMBDA(_xlpm.s,_xlpm.l,SUM(INDEX(_xlpm.data,,_xlfn.SEQUENCE(,_xlpm.l,_xlpm.s))))),ROUND(_xlpm.arr*$O391/1000,2))</f>
        <v/>
      </c>
      <c r="BK391" s="352" t="n">
        <v>21.22</v>
      </c>
      <c r="BL391" s="352" t="n">
        <v>24.25</v>
      </c>
      <c r="BM391" s="352" t="n">
        <v>27.29</v>
      </c>
      <c r="BN391" s="352">
        <f>SUM(BJ391:BM391)</f>
        <v/>
      </c>
      <c r="BO391" s="352" t="n">
        <v>9.949999999999999</v>
      </c>
      <c r="BP391" s="352" t="n">
        <v>9.949999999999999</v>
      </c>
      <c r="BQ391" s="352" t="n">
        <v>11.38</v>
      </c>
      <c r="BR391" s="352" t="n">
        <v>12.8</v>
      </c>
      <c r="BS391" s="352" t="inlineStr">
        <is>
          <t>轻卡</t>
        </is>
      </c>
      <c r="BT391" s="431" t="n"/>
      <c r="BU391" s="431" t="n"/>
      <c r="BV391" s="354" t="n"/>
      <c r="BW391" s="355" t="n"/>
      <c r="BX391" s="355" t="inlineStr">
        <is>
          <t>轻卡</t>
        </is>
      </c>
      <c r="BY391" s="362">
        <f>SUM(R391:X391)</f>
        <v/>
      </c>
      <c r="BZ391" s="362">
        <f>SUM(Y391:AE391)</f>
        <v/>
      </c>
      <c r="CA391" s="362">
        <f>SUM(AF391:AM391)</f>
        <v/>
      </c>
      <c r="CB391" s="362">
        <f>SUM(AN391:AV391)</f>
        <v/>
      </c>
      <c r="CC391" s="331" t="n"/>
      <c r="CD391" s="432" t="inlineStr">
        <is>
          <t>ADA</t>
        </is>
      </c>
      <c r="CE391" s="331">
        <f>ROUND(BY391*$O391/1000,2)</f>
        <v/>
      </c>
      <c r="CF391" s="356">
        <f>ROUND(BZ391*$O391/1000,2)</f>
        <v/>
      </c>
      <c r="CG391" s="331">
        <f>ROUND(CA391*$O391/1000,2)</f>
        <v/>
      </c>
      <c r="CH391" s="331">
        <f>ROUND(CB391*$O391/1000,2)</f>
        <v/>
      </c>
      <c r="CI391" s="331">
        <f>SUM(CE391:CH391)</f>
        <v/>
      </c>
      <c r="CJ391" s="362" t="n"/>
      <c r="CK391" s="362">
        <f>IFERROR(ROUND(BY391*$P391,2),"")</f>
        <v/>
      </c>
      <c r="CL391" s="362">
        <f>IFERROR(ROUND(BZ391*$P391,2),"")</f>
        <v/>
      </c>
      <c r="CM391" s="362">
        <f>IFERROR(ROUND(CA391*$P391,2),"")</f>
        <v/>
      </c>
      <c r="CN391" s="362">
        <f>IFERROR(ROUND(CB391*$P391,2),"")</f>
        <v/>
      </c>
      <c r="CO391" s="115">
        <f>SUM(CK391:CN391)</f>
        <v/>
      </c>
    </row>
    <row r="392">
      <c r="B392" s="352" t="inlineStr">
        <is>
          <t>印尼</t>
        </is>
      </c>
      <c r="C392" s="352">
        <f>IFERROR(MID(E392,FIND("-",E392)+1,2),"")</f>
        <v/>
      </c>
      <c r="D392" s="352">
        <f>"轻卡"&amp;C392&amp;"寸"</f>
        <v/>
      </c>
      <c r="E392" s="379">
        <f>IFERROR(LEFT(REPLACE(G392,1,2,""),FIND("[",REPLACE(G392,1,2,""))-1)&amp;"-"&amp;MID(REPLACE(G392,1,2,""),FIND("[",REPLACE(G392,1,2,""))+1,FIND("]",REPLACE(G392,1,2,""))-FIND("[",REPLACE(G392,1,2,""))-1),"")</f>
        <v/>
      </c>
      <c r="F392" s="379" t="n"/>
      <c r="G392" s="379" t="inlineStr">
        <is>
          <t>ID7.50-16-14PR[R8038]122/118J 金冠</t>
        </is>
      </c>
      <c r="H392" s="352" t="n">
        <v>5000</v>
      </c>
      <c r="I392" s="370" t="n">
        <v>2</v>
      </c>
      <c r="J392" s="352" t="n">
        <v>38.2</v>
      </c>
      <c r="K392" s="352" t="n"/>
      <c r="L392" s="430">
        <f>IF(J392="","",J392/(J392+$J$380/60))</f>
        <v/>
      </c>
      <c r="M392" s="430" t="n"/>
      <c r="N392" s="352" t="n"/>
      <c r="O392" s="352">
        <f>IFERROR(_xlfn.XLOOKUP(E392,轮胎重量!S:S,轮胎重量!P:P),IFERROR(_xlfn.XLOOKUP(E392,轮胎重量!AB:AB,轮胎重量!Y:Y),IFERROR(_xlfn.XLOOKUP(E392,轮胎重量!AK:AK,轮胎重量!AH:AH),IFERROR(_xlfn.XLOOKUP(E392,轮胎重量!AT:AT,轮胎重量!AQ:AQ),""))))</f>
        <v/>
      </c>
      <c r="P392" s="352">
        <f>IFERROR(_xlfn.XLOOKUP(E392,硫化工艺!I:I,硫化工艺!J:J),"")</f>
        <v/>
      </c>
      <c r="Q392" s="352">
        <f>IFERROR(ROUND(1440/J392*I392*L394,0),"")</f>
        <v/>
      </c>
      <c r="R392" s="352" t="n"/>
      <c r="S392" s="352" t="n"/>
      <c r="T392" s="352" t="n"/>
      <c r="U392" s="352" t="n"/>
      <c r="V392" s="352" t="n"/>
      <c r="W392" s="352" t="n"/>
      <c r="X392" s="352" t="n"/>
      <c r="Y392" s="352" t="n"/>
      <c r="Z392" s="352" t="n"/>
      <c r="AA392" s="352" t="n"/>
      <c r="AB392" s="352" t="n"/>
      <c r="AC392" s="352" t="n"/>
      <c r="AD392" s="352" t="n"/>
      <c r="AE392" s="352" t="n"/>
      <c r="AF392" s="352" t="n"/>
      <c r="AG392" s="352" t="n">
        <v>62</v>
      </c>
      <c r="AH392" s="352" t="n">
        <v>62</v>
      </c>
      <c r="AI392" s="352" t="n">
        <v>62</v>
      </c>
      <c r="AJ392" s="352" t="n">
        <v>62</v>
      </c>
      <c r="AK392" s="352" t="n">
        <v>62</v>
      </c>
      <c r="AL392" s="352" t="n">
        <v>62</v>
      </c>
      <c r="AM392" s="352" t="n">
        <v>62</v>
      </c>
      <c r="AN392" s="352" t="n">
        <v>62</v>
      </c>
      <c r="AO392" s="352" t="n">
        <v>62</v>
      </c>
      <c r="AP392" s="352" t="n">
        <v>62</v>
      </c>
      <c r="AQ392" s="352" t="n">
        <v>62</v>
      </c>
      <c r="AR392" s="352" t="n">
        <v>62</v>
      </c>
      <c r="AS392" s="352" t="n">
        <v>62</v>
      </c>
      <c r="AT392" s="352" t="n">
        <v>62</v>
      </c>
      <c r="AU392" s="352" t="n">
        <v>62</v>
      </c>
      <c r="AV392" s="352" t="n">
        <v>62</v>
      </c>
      <c r="AW392" s="352">
        <f>IF(SUM(R392:AV392)=0,"",SUM(R392:AV392))</f>
        <v/>
      </c>
      <c r="AX392" s="431">
        <f>IFERROR(AW392*O392/1000,"")</f>
        <v/>
      </c>
      <c r="AY392" s="431">
        <f>IFERROR(ROUND(AW392*P392/10000,3),"")</f>
        <v/>
      </c>
      <c r="AZ392" s="352" t="n">
        <v>283.6458</v>
      </c>
      <c r="BA392" s="352" t="n">
        <v>15.2472</v>
      </c>
      <c r="BB392" s="352" t="n">
        <v>23.3811</v>
      </c>
      <c r="BC392" s="352" t="n">
        <v>17.1338</v>
      </c>
      <c r="BD392" s="352" t="n"/>
      <c r="BE392" s="352">
        <f>AZ392*AW392</f>
        <v/>
      </c>
      <c r="BF392" s="352">
        <f>BA392*AW392</f>
        <v/>
      </c>
      <c r="BG392" s="352">
        <f>BB392*AW392</f>
        <v/>
      </c>
      <c r="BH392" s="352">
        <f>BC392*AW392</f>
        <v/>
      </c>
      <c r="BI392" s="352" t="n"/>
      <c r="BJ392" s="352">
        <f t="array" ref="BJ392:BM392">_xlfn.LET(_xlpm.data,$R392:$AV392,_xlpm.starts,{1,8,16,23},_xlpm.lengths,{7,7,8,9},_xlpm.arr,_xlfn.MAP(_xlpm.starts,_xlpm.lengths,_xlfn.LAMBDA(_xlpm.s,_xlpm.l,SUM(INDEX(_xlpm.data,,_xlfn.SEQUENCE(,_xlpm.l,_xlpm.s))))),ROUND(_xlpm.arr*$O392/1000,2))</f>
        <v/>
      </c>
      <c r="BK392" s="352" t="n">
        <v>0</v>
      </c>
      <c r="BL392" s="352" t="n">
        <v>12.13</v>
      </c>
      <c r="BM392" s="352" t="n">
        <v>13.64</v>
      </c>
      <c r="BN392" s="352">
        <f>SUM(BJ392:BM392)</f>
        <v/>
      </c>
      <c r="BO392" s="352" t="n">
        <v>0</v>
      </c>
      <c r="BP392" s="352" t="n">
        <v>9.949999999999999</v>
      </c>
      <c r="BQ392" s="352" t="n">
        <v>11.38</v>
      </c>
      <c r="BR392" s="352" t="n">
        <v>12.8</v>
      </c>
      <c r="BS392" s="352" t="inlineStr">
        <is>
          <t>轻卡</t>
        </is>
      </c>
      <c r="BT392" s="431" t="n"/>
      <c r="BU392" s="431" t="n"/>
      <c r="BV392" s="354" t="n"/>
      <c r="BW392" s="355" t="n"/>
      <c r="BX392" s="355" t="inlineStr">
        <is>
          <t>轻卡</t>
        </is>
      </c>
      <c r="BY392" s="362">
        <f>SUM(R392:X392)</f>
        <v/>
      </c>
      <c r="BZ392" s="362">
        <f>SUM(Y392:AE392)</f>
        <v/>
      </c>
      <c r="CA392" s="362">
        <f>SUM(AF392:AM392)</f>
        <v/>
      </c>
      <c r="CB392" s="362">
        <f>SUM(AN392:AV392)</f>
        <v/>
      </c>
      <c r="CC392" s="331" t="n"/>
      <c r="CD392" s="432" t="inlineStr">
        <is>
          <t>ADA</t>
        </is>
      </c>
      <c r="CE392" s="331">
        <f>ROUND(BY392*$O392/1000,2)</f>
        <v/>
      </c>
      <c r="CF392" s="356">
        <f>ROUND(BZ392*$O392/1000,2)</f>
        <v/>
      </c>
      <c r="CG392" s="331">
        <f>ROUND(CA392*$O392/1000,2)</f>
        <v/>
      </c>
      <c r="CH392" s="331">
        <f>ROUND(CB392*$O392/1000,2)</f>
        <v/>
      </c>
      <c r="CI392" s="331">
        <f>SUM(CE392:CH392)</f>
        <v/>
      </c>
      <c r="CJ392" s="362" t="n"/>
      <c r="CK392" s="362">
        <f>IFERROR(ROUND(BY392*$P392,2),"")</f>
        <v/>
      </c>
      <c r="CL392" s="362">
        <f>IFERROR(ROUND(BZ392*$P392,2),"")</f>
        <v/>
      </c>
      <c r="CM392" s="362">
        <f>IFERROR(ROUND(CA392*$P392,2),"")</f>
        <v/>
      </c>
      <c r="CN392" s="362">
        <f>IFERROR(ROUND(CB392*$P392,2),"")</f>
        <v/>
      </c>
      <c r="CO392" s="115">
        <f>SUM(CK392:CN392)</f>
        <v/>
      </c>
    </row>
    <row r="393">
      <c r="B393" s="352" t="inlineStr">
        <is>
          <t>印尼</t>
        </is>
      </c>
      <c r="C393" s="352">
        <f>IFERROR(MID(E393,FIND("-",E393)+1,2),"")</f>
        <v/>
      </c>
      <c r="D393" s="352">
        <f>"轻卡"&amp;C393&amp;"寸"</f>
        <v/>
      </c>
      <c r="E393" s="379">
        <f>IFERROR(LEFT(REPLACE(G393,1,2,""),FIND("[",REPLACE(G393,1,2,""))-1)&amp;"-"&amp;MID(REPLACE(G393,1,2,""),FIND("[",REPLACE(G393,1,2,""))+1,FIND("]",REPLACE(G393,1,2,""))-FIND("[",REPLACE(G393,1,2,""))-1),"")</f>
        <v/>
      </c>
      <c r="F393" s="379" t="n"/>
      <c r="G393" s="379" t="inlineStr">
        <is>
          <t>ID7.50-16LT-14PR[CL891]122/118B 威狮</t>
        </is>
      </c>
      <c r="H393" s="352" t="n">
        <v>3000</v>
      </c>
      <c r="I393" s="370" t="n">
        <v>2</v>
      </c>
      <c r="J393" s="352" t="n">
        <v>38.2</v>
      </c>
      <c r="K393" s="352" t="n"/>
      <c r="L393" s="430">
        <f>IF(J393="","",J393/(J393+$J$380/60))</f>
        <v/>
      </c>
      <c r="M393" s="430" t="n"/>
      <c r="N393" s="352" t="n"/>
      <c r="O393" s="352">
        <f>IFERROR(_xlfn.XLOOKUP(E393,轮胎重量!S:S,轮胎重量!P:P),IFERROR(_xlfn.XLOOKUP(E393,轮胎重量!AB:AB,轮胎重量!Y:Y),IFERROR(_xlfn.XLOOKUP(E393,轮胎重量!AK:AK,轮胎重量!AH:AH),IFERROR(_xlfn.XLOOKUP(E393,轮胎重量!AT:AT,轮胎重量!AQ:AQ),""))))</f>
        <v/>
      </c>
      <c r="P393" s="358">
        <f>O393*13.9</f>
        <v/>
      </c>
      <c r="Q393" s="352">
        <f>IFERROR(ROUND(1440/J393*I393*L394,0),"")</f>
        <v/>
      </c>
      <c r="R393" s="352" t="n">
        <v>62</v>
      </c>
      <c r="S393" s="352" t="n">
        <v>62</v>
      </c>
      <c r="T393" s="352" t="n">
        <v>62</v>
      </c>
      <c r="U393" s="352" t="n">
        <v>62</v>
      </c>
      <c r="V393" s="352" t="n">
        <v>62</v>
      </c>
      <c r="W393" s="352" t="n">
        <v>62</v>
      </c>
      <c r="X393" s="352" t="n">
        <v>62</v>
      </c>
      <c r="Y393" s="352" t="n">
        <v>62</v>
      </c>
      <c r="Z393" s="352" t="n">
        <v>62</v>
      </c>
      <c r="AA393" s="352" t="n">
        <v>62</v>
      </c>
      <c r="AB393" s="352" t="n">
        <v>62</v>
      </c>
      <c r="AC393" s="352" t="n">
        <v>62</v>
      </c>
      <c r="AD393" s="352" t="n">
        <v>62</v>
      </c>
      <c r="AE393" s="352" t="n">
        <v>62</v>
      </c>
      <c r="AF393" s="352" t="n">
        <v>62</v>
      </c>
      <c r="AG393" s="352" t="n">
        <v>62</v>
      </c>
      <c r="AH393" s="352" t="n">
        <v>62</v>
      </c>
      <c r="AI393" s="352" t="n">
        <v>62</v>
      </c>
      <c r="AJ393" s="352" t="n">
        <v>62</v>
      </c>
      <c r="AK393" s="352" t="n">
        <v>62</v>
      </c>
      <c r="AL393" s="352" t="n">
        <v>62</v>
      </c>
      <c r="AM393" s="352" t="n">
        <v>62</v>
      </c>
      <c r="AN393" s="352" t="n">
        <v>62</v>
      </c>
      <c r="AO393" s="352" t="n">
        <v>62</v>
      </c>
      <c r="AP393" s="352" t="n">
        <v>62</v>
      </c>
      <c r="AQ393" s="352" t="n">
        <v>62</v>
      </c>
      <c r="AR393" s="352" t="n">
        <v>62</v>
      </c>
      <c r="AS393" s="352" t="n">
        <v>62</v>
      </c>
      <c r="AT393" s="352" t="n">
        <v>62</v>
      </c>
      <c r="AU393" s="352" t="n">
        <v>62</v>
      </c>
      <c r="AV393" s="352" t="n">
        <v>62</v>
      </c>
      <c r="AW393" s="352">
        <f>IF(SUM(R393:AV393)=0,"",SUM(R393:AV393))</f>
        <v/>
      </c>
      <c r="AX393" s="431">
        <f>IFERROR(AW393*O393/1000,"")</f>
        <v/>
      </c>
      <c r="AY393" s="431">
        <f>IFERROR(ROUND(AW393*P393/10000,3),"")</f>
        <v/>
      </c>
      <c r="AZ393" s="352" t="n">
        <v>283.6413</v>
      </c>
      <c r="BA393" s="352" t="n">
        <v>15.5872</v>
      </c>
      <c r="BB393" s="352" t="n">
        <v>23.9025</v>
      </c>
      <c r="BC393" s="352" t="n">
        <v>17.5158</v>
      </c>
      <c r="BD393" s="352" t="n"/>
      <c r="BE393" s="352">
        <f>AZ393*AW393</f>
        <v/>
      </c>
      <c r="BF393" s="352">
        <f>BA393*AW393</f>
        <v/>
      </c>
      <c r="BG393" s="352">
        <f>BB393*AW393</f>
        <v/>
      </c>
      <c r="BH393" s="352">
        <f>BC393*AW393</f>
        <v/>
      </c>
      <c r="BI393" s="352" t="n"/>
      <c r="BJ393" s="352">
        <f t="array" ref="BJ393:BM393">_xlfn.LET(_xlpm.data,$R393:$AV393,_xlpm.starts,{1,8,16,23},_xlpm.lengths,{7,7,8,9},_xlpm.arr,_xlfn.MAP(_xlpm.starts,_xlpm.lengths,_xlfn.LAMBDA(_xlpm.s,_xlpm.l,SUM(INDEX(_xlpm.data,,_xlfn.SEQUENCE(,_xlpm.l,_xlpm.s))))),ROUND(_xlpm.arr*$O393/1000,2))</f>
        <v/>
      </c>
      <c r="BK393" s="352" t="n">
        <v>11.15</v>
      </c>
      <c r="BL393" s="352" t="n">
        <v>12.75</v>
      </c>
      <c r="BM393" s="352" t="n">
        <v>14.34</v>
      </c>
      <c r="BN393" s="352">
        <f>SUM(BJ393:BM393)</f>
        <v/>
      </c>
      <c r="BO393" s="352" t="n">
        <v>9.949999999999999</v>
      </c>
      <c r="BP393" s="352" t="n">
        <v>9.949999999999999</v>
      </c>
      <c r="BQ393" s="352" t="n">
        <v>11.38</v>
      </c>
      <c r="BR393" s="352" t="n">
        <v>12.8</v>
      </c>
      <c r="BS393" s="352" t="inlineStr">
        <is>
          <t>轻卡</t>
        </is>
      </c>
      <c r="BT393" s="431" t="n"/>
      <c r="BU393" s="431" t="n"/>
      <c r="BV393" s="354" t="n"/>
      <c r="BW393" s="355" t="n"/>
      <c r="BX393" s="355" t="inlineStr">
        <is>
          <t>轻卡</t>
        </is>
      </c>
      <c r="BY393" s="362">
        <f>SUM(R393:X393)</f>
        <v/>
      </c>
      <c r="BZ393" s="362">
        <f>SUM(Y393:AE393)</f>
        <v/>
      </c>
      <c r="CA393" s="362">
        <f>SUM(AF393:AM393)</f>
        <v/>
      </c>
      <c r="CB393" s="362">
        <f>SUM(AN393:AV393)</f>
        <v/>
      </c>
      <c r="CC393" s="331" t="n"/>
      <c r="CD393" s="432" t="inlineStr">
        <is>
          <t>ADA</t>
        </is>
      </c>
      <c r="CE393" s="331">
        <f>ROUND(BY393*$O393/1000,2)</f>
        <v/>
      </c>
      <c r="CF393" s="356">
        <f>ROUND(BZ393*$O393/1000,2)</f>
        <v/>
      </c>
      <c r="CG393" s="331">
        <f>ROUND(CA393*$O393/1000,2)</f>
        <v/>
      </c>
      <c r="CH393" s="331">
        <f>ROUND(CB393*$O393/1000,2)</f>
        <v/>
      </c>
      <c r="CI393" s="331">
        <f>SUM(CE393:CH393)</f>
        <v/>
      </c>
      <c r="CJ393" s="362" t="n"/>
      <c r="CK393" s="362">
        <f>IFERROR(ROUND(BY393*$P393,2),"")</f>
        <v/>
      </c>
      <c r="CL393" s="362">
        <f>IFERROR(ROUND(BZ393*$P393,2),"")</f>
        <v/>
      </c>
      <c r="CM393" s="362">
        <f>IFERROR(ROUND(CA393*$P393,2),"")</f>
        <v/>
      </c>
      <c r="CN393" s="362">
        <f>IFERROR(ROUND(CB393*$P393,2),"")</f>
        <v/>
      </c>
      <c r="CO393" s="115">
        <f>SUM(CK393:CN393)</f>
        <v/>
      </c>
    </row>
    <row r="394">
      <c r="B394" s="352" t="inlineStr">
        <is>
          <t>印尼</t>
        </is>
      </c>
      <c r="C394" s="352">
        <f>IFERROR(MID(E394,FIND("-",E394)+1,2),"")</f>
        <v/>
      </c>
      <c r="D394" s="352">
        <f>"轻卡"&amp;C394&amp;"寸"</f>
        <v/>
      </c>
      <c r="E394" s="379">
        <f>IFERROR(LEFT(REPLACE(G394,1,2,""),FIND("[",REPLACE(G394,1,2,""))-1)&amp;"-"&amp;MID(REPLACE(G394,1,2,""),FIND("[",REPLACE(G394,1,2,""))+1,FIND("]",REPLACE(G394,1,2,""))-FIND("[",REPLACE(G394,1,2,""))-1),"")</f>
        <v/>
      </c>
      <c r="F394" s="379" t="n"/>
      <c r="G394" s="379" t="inlineStr">
        <is>
          <t>ID7.50-16LT-14PR[MX882]122/118K 威狮</t>
        </is>
      </c>
      <c r="H394" s="352" t="n">
        <v>1300</v>
      </c>
      <c r="I394" s="370" t="n">
        <v>2</v>
      </c>
      <c r="J394" s="352" t="n">
        <v>38.2</v>
      </c>
      <c r="K394" s="352" t="n"/>
      <c r="L394" s="430">
        <f>IF(J394="","",J394/(J394+$J$380/60))</f>
        <v/>
      </c>
      <c r="M394" s="430" t="n"/>
      <c r="N394" s="352" t="n"/>
      <c r="O394" s="352">
        <f>IFERROR(_xlfn.XLOOKUP(E394,轮胎重量!S:S,轮胎重量!P:P),IFERROR(_xlfn.XLOOKUP(E394,轮胎重量!AB:AB,轮胎重量!Y:Y),IFERROR(_xlfn.XLOOKUP(E394,轮胎重量!AK:AK,轮胎重量!AH:AH),IFERROR(_xlfn.XLOOKUP(E394,轮胎重量!AT:AT,轮胎重量!AQ:AQ),""))))</f>
        <v/>
      </c>
      <c r="P394" s="358">
        <f>O394*13.9</f>
        <v/>
      </c>
      <c r="Q394" s="352">
        <f>IFERROR(ROUND(1440/J394*I394*L395,0),"")</f>
        <v/>
      </c>
      <c r="R394" s="352" t="n">
        <v>62</v>
      </c>
      <c r="S394" s="352" t="n">
        <v>62</v>
      </c>
      <c r="T394" s="352" t="n">
        <v>62</v>
      </c>
      <c r="U394" s="352" t="n">
        <v>62</v>
      </c>
      <c r="V394" s="352" t="n">
        <v>62</v>
      </c>
      <c r="W394" s="352" t="n">
        <v>62</v>
      </c>
      <c r="X394" s="352" t="n">
        <v>62</v>
      </c>
      <c r="Y394" s="352" t="n">
        <v>62</v>
      </c>
      <c r="Z394" s="352" t="n">
        <v>62</v>
      </c>
      <c r="AA394" s="352" t="n">
        <v>62</v>
      </c>
      <c r="AB394" s="352" t="n">
        <v>62</v>
      </c>
      <c r="AC394" s="352" t="n">
        <v>62</v>
      </c>
      <c r="AD394" s="352" t="n">
        <v>62</v>
      </c>
      <c r="AE394" s="352" t="n">
        <v>62</v>
      </c>
      <c r="AF394" s="352" t="n">
        <v>62</v>
      </c>
      <c r="AG394" s="352" t="n">
        <v>62</v>
      </c>
      <c r="AH394" s="352" t="n">
        <v>62</v>
      </c>
      <c r="AI394" s="352" t="n">
        <v>62</v>
      </c>
      <c r="AJ394" s="352" t="n">
        <v>62</v>
      </c>
      <c r="AK394" s="352" t="n">
        <v>62</v>
      </c>
      <c r="AL394" s="352" t="n">
        <v>62</v>
      </c>
      <c r="AM394" s="352" t="n">
        <v>62</v>
      </c>
      <c r="AN394" s="352" t="n">
        <v>62</v>
      </c>
      <c r="AO394" s="352" t="n">
        <v>62</v>
      </c>
      <c r="AP394" s="352" t="n">
        <v>62</v>
      </c>
      <c r="AQ394" s="352" t="n">
        <v>62</v>
      </c>
      <c r="AR394" s="352" t="n">
        <v>62</v>
      </c>
      <c r="AS394" s="352" t="n">
        <v>62</v>
      </c>
      <c r="AT394" s="352" t="n">
        <v>62</v>
      </c>
      <c r="AU394" s="352" t="n">
        <v>62</v>
      </c>
      <c r="AV394" s="352" t="n">
        <v>62</v>
      </c>
      <c r="AW394" s="352">
        <f>IF(SUM(R394:AV394)=0,"",SUM(R394:AV394))</f>
        <v/>
      </c>
      <c r="AX394" s="431">
        <f>IFERROR(AW394*O394/1000,"")</f>
        <v/>
      </c>
      <c r="AY394" s="431">
        <f>IFERROR(ROUND(AW394*P394/10000,3),"")</f>
        <v/>
      </c>
      <c r="AZ394" s="352" t="n">
        <v>283.6413</v>
      </c>
      <c r="BA394" s="352" t="n">
        <v>15.5872</v>
      </c>
      <c r="BB394" s="352" t="n">
        <v>23.9025</v>
      </c>
      <c r="BC394" s="352" t="n">
        <v>17.5158</v>
      </c>
      <c r="BD394" s="352" t="n"/>
      <c r="BE394" s="352">
        <f>AZ394*AW394</f>
        <v/>
      </c>
      <c r="BF394" s="352">
        <f>BA394*AW394</f>
        <v/>
      </c>
      <c r="BG394" s="352">
        <f>BB394*AW394</f>
        <v/>
      </c>
      <c r="BH394" s="352">
        <f>BC394*AW394</f>
        <v/>
      </c>
      <c r="BI394" s="352" t="n"/>
      <c r="BJ394" s="352">
        <f t="array" ref="BJ394:BM394">_xlfn.LET(_xlpm.data,$R394:$AV394,_xlpm.starts,{1,8,16,23},_xlpm.lengths,{7,7,8,9},_xlpm.arr,_xlfn.MAP(_xlpm.starts,_xlpm.lengths,_xlfn.LAMBDA(_xlpm.s,_xlpm.l,SUM(INDEX(_xlpm.data,,_xlfn.SEQUENCE(,_xlpm.l,_xlpm.s))))),ROUND(_xlpm.arr*$O394/1000,2))</f>
        <v/>
      </c>
      <c r="BK394" s="352" t="n">
        <v>10.78</v>
      </c>
      <c r="BL394" s="352" t="n">
        <v>12.32</v>
      </c>
      <c r="BM394" s="352" t="n">
        <v>13.86</v>
      </c>
      <c r="BN394" s="352">
        <f>SUM(BJ394:BM394)</f>
        <v/>
      </c>
      <c r="BO394" s="352" t="n">
        <v>9.949999999999999</v>
      </c>
      <c r="BP394" s="352" t="n">
        <v>9.949999999999999</v>
      </c>
      <c r="BQ394" s="352" t="n">
        <v>11.38</v>
      </c>
      <c r="BR394" s="352" t="n">
        <v>12.8</v>
      </c>
      <c r="BS394" s="352" t="inlineStr">
        <is>
          <t>轻卡</t>
        </is>
      </c>
      <c r="BT394" s="431" t="n"/>
      <c r="BU394" s="431" t="n"/>
      <c r="BV394" s="354" t="n"/>
      <c r="BW394" s="355" t="n"/>
      <c r="BX394" s="355" t="inlineStr">
        <is>
          <t>轻卡</t>
        </is>
      </c>
      <c r="BY394" s="362">
        <f>SUM(R394:X394)</f>
        <v/>
      </c>
      <c r="BZ394" s="362">
        <f>SUM(Y394:AE394)</f>
        <v/>
      </c>
      <c r="CA394" s="362">
        <f>SUM(AF394:AM394)</f>
        <v/>
      </c>
      <c r="CB394" s="362">
        <f>SUM(AN394:AV394)</f>
        <v/>
      </c>
      <c r="CC394" s="331" t="n"/>
      <c r="CD394" s="432" t="inlineStr">
        <is>
          <t>ADA</t>
        </is>
      </c>
      <c r="CE394" s="331">
        <f>ROUND(BY394*$O394/1000,2)</f>
        <v/>
      </c>
      <c r="CF394" s="356">
        <f>ROUND(BZ394*$O394/1000,2)</f>
        <v/>
      </c>
      <c r="CG394" s="331">
        <f>ROUND(CA394*$O394/1000,2)</f>
        <v/>
      </c>
      <c r="CH394" s="331">
        <f>ROUND(CB394*$O394/1000,2)</f>
        <v/>
      </c>
      <c r="CI394" s="331">
        <f>SUM(CE394:CH394)</f>
        <v/>
      </c>
      <c r="CJ394" s="362" t="n"/>
      <c r="CK394" s="362">
        <f>IFERROR(ROUND(BY394*$P394,2),"")</f>
        <v/>
      </c>
      <c r="CL394" s="362">
        <f>IFERROR(ROUND(BZ394*$P394,2),"")</f>
        <v/>
      </c>
      <c r="CM394" s="362">
        <f>IFERROR(ROUND(CA394*$P394,2),"")</f>
        <v/>
      </c>
      <c r="CN394" s="362">
        <f>IFERROR(ROUND(CB394*$P394,2),"")</f>
        <v/>
      </c>
      <c r="CO394" s="115">
        <f>SUM(CK394:CN394)</f>
        <v/>
      </c>
    </row>
    <row r="395">
      <c r="B395" s="352" t="inlineStr">
        <is>
          <t>印尼</t>
        </is>
      </c>
      <c r="C395" s="352">
        <f>IFERROR(MID(E395,FIND("-",E395)+1,2),"")</f>
        <v/>
      </c>
      <c r="D395" s="352">
        <f>"轻卡"&amp;C395&amp;"寸"</f>
        <v/>
      </c>
      <c r="E395" s="379">
        <f>IFERROR(LEFT(REPLACE(G395,1,2,""),FIND("[",REPLACE(G395,1,2,""))-1)&amp;"-"&amp;MID(REPLACE(G395,1,2,""),FIND("[",REPLACE(G395,1,2,""))+1,FIND("]",REPLACE(G395,1,2,""))-FIND("[",REPLACE(G395,1,2,""))-1),"")</f>
        <v/>
      </c>
      <c r="F395" s="379" t="n"/>
      <c r="G395" s="379" t="inlineStr">
        <is>
          <t>ID7.50-16LT-14PR[MR881]122/118K 威狮</t>
        </is>
      </c>
      <c r="H395" s="352" t="n"/>
      <c r="I395" s="370" t="n">
        <v>4</v>
      </c>
      <c r="J395" s="352" t="n">
        <v>38.2</v>
      </c>
      <c r="K395" s="352" t="n"/>
      <c r="L395" s="430">
        <f>IF(J395="","",J395/(J395+$J$380/60))</f>
        <v/>
      </c>
      <c r="M395" s="430" t="n"/>
      <c r="N395" s="352" t="n"/>
      <c r="O395" s="352">
        <f>IFERROR(_xlfn.XLOOKUP(E395,轮胎重量!S:S,轮胎重量!P:P),IFERROR(_xlfn.XLOOKUP(E395,轮胎重量!AB:AB,轮胎重量!Y:Y),IFERROR(_xlfn.XLOOKUP(E395,轮胎重量!AK:AK,轮胎重量!AH:AH),IFERROR(_xlfn.XLOOKUP(E395,轮胎重量!AT:AT,轮胎重量!AQ:AQ),""))))</f>
        <v/>
      </c>
      <c r="P395" s="358">
        <f>O395*13.9</f>
        <v/>
      </c>
      <c r="Q395" s="352">
        <f>IFERROR(ROUND(1440/J395*I395*L396,0),"")</f>
        <v/>
      </c>
      <c r="R395" s="352" t="n"/>
      <c r="S395" s="352" t="n"/>
      <c r="T395" s="352" t="n"/>
      <c r="U395" s="352" t="n"/>
      <c r="V395" s="352" t="n"/>
      <c r="W395" s="352" t="n"/>
      <c r="X395" s="352" t="n"/>
      <c r="Y395" s="352" t="n"/>
      <c r="Z395" s="352" t="n"/>
      <c r="AA395" s="352" t="n"/>
      <c r="AB395" s="352" t="n"/>
      <c r="AC395" s="352" t="n"/>
      <c r="AD395" s="352" t="n"/>
      <c r="AE395" s="352" t="n">
        <v>62</v>
      </c>
      <c r="AF395" s="352" t="n">
        <v>62</v>
      </c>
      <c r="AG395" s="352" t="n">
        <v>62</v>
      </c>
      <c r="AH395" s="352" t="n">
        <v>62</v>
      </c>
      <c r="AI395" s="352" t="n">
        <v>62</v>
      </c>
      <c r="AJ395" s="352" t="n">
        <v>62</v>
      </c>
      <c r="AK395" s="352" t="n">
        <v>62</v>
      </c>
      <c r="AL395" s="352" t="n">
        <v>62</v>
      </c>
      <c r="AM395" s="352" t="n">
        <v>62</v>
      </c>
      <c r="AN395" s="352" t="n">
        <v>62</v>
      </c>
      <c r="AO395" s="352" t="n">
        <v>62</v>
      </c>
      <c r="AP395" s="352" t="n">
        <v>62</v>
      </c>
      <c r="AQ395" s="352" t="n">
        <v>62</v>
      </c>
      <c r="AR395" s="352" t="n">
        <v>62</v>
      </c>
      <c r="AS395" s="352" t="n">
        <v>62</v>
      </c>
      <c r="AT395" s="352" t="n">
        <v>62</v>
      </c>
      <c r="AU395" s="352" t="n">
        <v>62</v>
      </c>
      <c r="AV395" s="352" t="n">
        <v>62</v>
      </c>
      <c r="AW395" s="352">
        <f>IF(SUM(R395:AV395)=0,"",SUM(R395:AV395))</f>
        <v/>
      </c>
      <c r="AX395" s="431">
        <f>IFERROR(AW395*O395/1000,"")</f>
        <v/>
      </c>
      <c r="AY395" s="431">
        <f>IFERROR(ROUND(AW395*P395/10000,3),"")</f>
        <v/>
      </c>
      <c r="AZ395" s="352" t="n">
        <v>283.6458</v>
      </c>
      <c r="BA395" s="352" t="n">
        <v>15.2472</v>
      </c>
      <c r="BB395" s="352" t="n">
        <v>23.3811</v>
      </c>
      <c r="BC395" s="352" t="n">
        <v>17.1338</v>
      </c>
      <c r="BD395" s="352" t="n"/>
      <c r="BE395" s="352">
        <f>AZ395*AW395</f>
        <v/>
      </c>
      <c r="BF395" s="352">
        <f>BA395*AW395</f>
        <v/>
      </c>
      <c r="BG395" s="352">
        <f>BB395*AW395</f>
        <v/>
      </c>
      <c r="BH395" s="352">
        <f>BC395*AW395</f>
        <v/>
      </c>
      <c r="BI395" s="352" t="n"/>
      <c r="BJ395" s="352">
        <f t="array" ref="BJ395:BM395">_xlfn.LET(_xlpm.data,$R395:$AV395,_xlpm.starts,{1,8,16,23},_xlpm.lengths,{7,7,8,9},_xlpm.arr,_xlfn.MAP(_xlpm.starts,_xlpm.lengths,_xlfn.LAMBDA(_xlpm.s,_xlpm.l,SUM(INDEX(_xlpm.data,,_xlfn.SEQUENCE(,_xlpm.l,_xlpm.s))))),ROUND(_xlpm.arr*$O395/1000,2))</f>
        <v/>
      </c>
      <c r="BK395" s="352" t="n">
        <v>1.39</v>
      </c>
      <c r="BL395" s="352" t="n">
        <v>11.11</v>
      </c>
      <c r="BM395" s="352" t="n">
        <v>12.5</v>
      </c>
      <c r="BN395" s="352">
        <f>SUM(BJ395:BM395)</f>
        <v/>
      </c>
      <c r="BO395" s="352" t="n">
        <v>0</v>
      </c>
      <c r="BP395" s="352" t="n">
        <v>9.949999999999999</v>
      </c>
      <c r="BQ395" s="352" t="n">
        <v>11.38</v>
      </c>
      <c r="BR395" s="352" t="n">
        <v>12.8</v>
      </c>
      <c r="BS395" s="352" t="inlineStr">
        <is>
          <t>轻卡</t>
        </is>
      </c>
      <c r="BT395" s="431" t="n"/>
      <c r="BU395" s="431" t="n"/>
      <c r="BV395" s="354" t="n"/>
      <c r="BW395" s="355" t="n"/>
      <c r="BX395" s="355" t="inlineStr">
        <is>
          <t>轻卡</t>
        </is>
      </c>
      <c r="BY395" s="362">
        <f>SUM(R395:X395)</f>
        <v/>
      </c>
      <c r="BZ395" s="362">
        <f>SUM(Y395:AE395)</f>
        <v/>
      </c>
      <c r="CA395" s="362">
        <f>SUM(AF395:AM395)</f>
        <v/>
      </c>
      <c r="CB395" s="362">
        <f>SUM(AN395:AV395)</f>
        <v/>
      </c>
      <c r="CC395" s="331" t="n"/>
      <c r="CD395" s="432" t="inlineStr">
        <is>
          <t>ADA</t>
        </is>
      </c>
      <c r="CE395" s="331">
        <f>ROUND(BY395*$O395/1000,2)</f>
        <v/>
      </c>
      <c r="CF395" s="356">
        <f>ROUND(BZ395*$O395/1000,2)</f>
        <v/>
      </c>
      <c r="CG395" s="331">
        <f>ROUND(CA395*$O395/1000,2)</f>
        <v/>
      </c>
      <c r="CH395" s="331">
        <f>ROUND(CB395*$O395/1000,2)</f>
        <v/>
      </c>
      <c r="CI395" s="331">
        <f>SUM(CE395:CH395)</f>
        <v/>
      </c>
      <c r="CJ395" s="362" t="n"/>
      <c r="CK395" s="362">
        <f>IFERROR(ROUND(BY395*$P395,2),"")</f>
        <v/>
      </c>
      <c r="CL395" s="362">
        <f>IFERROR(ROUND(BZ395*$P395,2),"")</f>
        <v/>
      </c>
      <c r="CM395" s="362">
        <f>IFERROR(ROUND(CA395*$P395,2),"")</f>
        <v/>
      </c>
      <c r="CN395" s="362">
        <f>IFERROR(ROUND(CB395*$P395,2),"")</f>
        <v/>
      </c>
      <c r="CO395" s="115">
        <f>SUM(CK395:CN395)</f>
        <v/>
      </c>
    </row>
    <row r="396" hidden="1" s="428">
      <c r="B396" s="352" t="inlineStr">
        <is>
          <t>印尼</t>
        </is>
      </c>
      <c r="C396" s="352">
        <f>IFERROR(MID(E396,FIND("-",E396)+1,2),"")</f>
        <v/>
      </c>
      <c r="D396" s="352">
        <f>"轻卡"&amp;C396&amp;"寸"</f>
        <v/>
      </c>
      <c r="E396" s="379">
        <f>IFERROR(LEFT(REPLACE(G396,1,2,""),FIND("[",REPLACE(G396,1,2,""))-1)&amp;"-"&amp;MID(REPLACE(G396,1,2,""),FIND("[",REPLACE(G396,1,2,""))+1,FIND("]",REPLACE(G396,1,2,""))-FIND("[",REPLACE(G396,1,2,""))-1),"")</f>
        <v/>
      </c>
      <c r="F396" s="379" t="n"/>
      <c r="G396" s="379" t="n"/>
      <c r="H396" s="352" t="n"/>
      <c r="I396" s="370" t="n"/>
      <c r="J396" s="352" t="n">
        <v>38.2</v>
      </c>
      <c r="K396" s="352" t="n"/>
      <c r="L396" s="430">
        <f>IF(J396="","",J396/(J396+$J$380/60))</f>
        <v/>
      </c>
      <c r="M396" s="430" t="n"/>
      <c r="N396" s="352" t="n"/>
      <c r="O396" s="352">
        <f>IFERROR(_xlfn.XLOOKUP(E396,轮胎重量!S:S,轮胎重量!P:P),IFERROR(_xlfn.XLOOKUP(E396,轮胎重量!AB:AB,轮胎重量!Y:Y),IFERROR(_xlfn.XLOOKUP(E396,轮胎重量!AK:AK,轮胎重量!AH:AH),IFERROR(_xlfn.XLOOKUP(E396,轮胎重量!AT:AT,轮胎重量!AQ:AQ),""))))</f>
        <v/>
      </c>
      <c r="P396" s="352">
        <f>IFERROR(_xlfn.XLOOKUP(E396,硫化工艺!I:I,硫化工艺!J:J),"")</f>
        <v/>
      </c>
      <c r="Q396" s="352">
        <f>IFERROR(ROUND(1440/J396*I396*L397,0),"")</f>
        <v/>
      </c>
      <c r="R396" s="352" t="n"/>
      <c r="S396" s="352" t="n"/>
      <c r="T396" s="352" t="n"/>
      <c r="U396" s="352" t="n"/>
      <c r="V396" s="352" t="n"/>
      <c r="W396" s="352" t="n"/>
      <c r="X396" s="352" t="n"/>
      <c r="Y396" s="352" t="n"/>
      <c r="Z396" s="352" t="n"/>
      <c r="AA396" s="352" t="n"/>
      <c r="AB396" s="352" t="n"/>
      <c r="AC396" s="352" t="n"/>
      <c r="AD396" s="352" t="n"/>
      <c r="AE396" s="352" t="n"/>
      <c r="AF396" s="352" t="n"/>
      <c r="AG396" s="352" t="n"/>
      <c r="AH396" s="352" t="n"/>
      <c r="AI396" s="352" t="n"/>
      <c r="AJ396" s="352" t="n"/>
      <c r="AK396" s="352" t="n"/>
      <c r="AL396" s="352" t="n"/>
      <c r="AM396" s="352" t="n"/>
      <c r="AN396" s="352" t="n"/>
      <c r="AO396" s="352" t="n"/>
      <c r="AP396" s="352" t="n"/>
      <c r="AQ396" s="352" t="n"/>
      <c r="AR396" s="352" t="n"/>
      <c r="AS396" s="352" t="n"/>
      <c r="AT396" s="352" t="n"/>
      <c r="AU396" s="352" t="n"/>
      <c r="AV396" s="352" t="n"/>
      <c r="AW396" s="352">
        <f>IF(SUM(R396:AV396)=0,"",SUM(R396:AV396))</f>
        <v/>
      </c>
      <c r="AX396" s="431">
        <f>IFERROR(AW396*O396/1000,"")</f>
        <v/>
      </c>
      <c r="AY396" s="431">
        <f>IFERROR(ROUND(AW396*P396/10000,3),"")</f>
        <v/>
      </c>
      <c r="AZ396" s="352" t="n">
        <v>283.6413</v>
      </c>
      <c r="BA396" s="352" t="n">
        <v>15.5872</v>
      </c>
      <c r="BB396" s="352" t="n">
        <v>23.9025</v>
      </c>
      <c r="BC396" s="352" t="n">
        <v>17.5158</v>
      </c>
      <c r="BD396" s="352" t="n"/>
      <c r="BE396" s="352">
        <f>AZ396*AW396</f>
        <v/>
      </c>
      <c r="BF396" s="352">
        <f>BA396*AW396</f>
        <v/>
      </c>
      <c r="BG396" s="352">
        <f>BB396*AW396</f>
        <v/>
      </c>
      <c r="BH396" s="352">
        <f>BC396*AW396</f>
        <v/>
      </c>
      <c r="BI396" s="352" t="n"/>
      <c r="BJ396" s="352">
        <f t="array" ref="BJ396:BM396">_xlfn.LET(_xlpm.data,$R396:$AV396,_xlpm.starts,{1,8,16,23},_xlpm.lengths,{7,7,8,9},_xlpm.arr,_xlfn.MAP(_xlpm.starts,_xlpm.lengths,_xlfn.LAMBDA(_xlpm.s,_xlpm.l,SUM(INDEX(_xlpm.data,,_xlfn.SEQUENCE(,_xlpm.l,_xlpm.s))))),ROUND(_xlpm.arr*$O396/1000,2))</f>
        <v/>
      </c>
      <c r="BK396" s="352" t="n">
        <v>0</v>
      </c>
      <c r="BL396" s="352" t="n">
        <v>0</v>
      </c>
      <c r="BM396" s="352" t="n">
        <v>0</v>
      </c>
      <c r="BN396" s="352">
        <f>SUM(BJ396:BM396)</f>
        <v/>
      </c>
      <c r="BO396" s="352" t="n">
        <v>9.949999999999999</v>
      </c>
      <c r="BP396" s="352" t="n">
        <v>9.949999999999999</v>
      </c>
      <c r="BQ396" s="352" t="n">
        <v>11.38</v>
      </c>
      <c r="BR396" s="352" t="n">
        <v>12.8</v>
      </c>
      <c r="BS396" s="352" t="inlineStr">
        <is>
          <t>轻卡</t>
        </is>
      </c>
      <c r="BT396" s="431" t="n"/>
      <c r="BU396" s="431" t="n"/>
      <c r="BV396" s="354" t="n"/>
      <c r="BW396" s="355" t="n"/>
      <c r="BX396" s="355" t="inlineStr">
        <is>
          <t>轻卡</t>
        </is>
      </c>
      <c r="BY396" s="362">
        <f>SUM(R396:X396)</f>
        <v/>
      </c>
      <c r="BZ396" s="362">
        <f>SUM(Y396:AE396)</f>
        <v/>
      </c>
      <c r="CA396" s="362">
        <f>SUM(AF396:AM396)</f>
        <v/>
      </c>
      <c r="CB396" s="362">
        <f>SUM(AN396:AV396)</f>
        <v/>
      </c>
      <c r="CC396" s="331" t="n"/>
      <c r="CD396" s="331" t="inlineStr">
        <is>
          <t>ST重量</t>
        </is>
      </c>
      <c r="CE396" s="331">
        <f>ROUND(BY396*$O396/1000,2)</f>
        <v/>
      </c>
      <c r="CF396" s="356">
        <f>ROUND(BZ396*$O396/1000,2)</f>
        <v/>
      </c>
      <c r="CG396" s="331">
        <f>ROUND(CA396*$O396/1000,2)</f>
        <v/>
      </c>
      <c r="CH396" s="331">
        <f>ROUND(CB396*$O396/1000,2)</f>
        <v/>
      </c>
      <c r="CI396" s="331">
        <f>SUM(CE396:CH396)</f>
        <v/>
      </c>
      <c r="CJ396" s="362" t="n"/>
      <c r="CK396" s="362">
        <f>IFERROR(ROUND(BY396*$P396,2),"")</f>
        <v/>
      </c>
      <c r="CL396" s="362">
        <f>IFERROR(ROUND(BZ396*$P396,2),"")</f>
        <v/>
      </c>
      <c r="CM396" s="362">
        <f>IFERROR(ROUND(CA396*$P396,2),"")</f>
        <v/>
      </c>
      <c r="CN396" s="362">
        <f>IFERROR(ROUND(CB396*$P396,2),"")</f>
        <v/>
      </c>
      <c r="CO396" s="115">
        <f>SUM(CK396:CN396)</f>
        <v/>
      </c>
    </row>
    <row r="397" hidden="1" customFormat="1" s="362">
      <c r="A397" s="331" t="n"/>
      <c r="B397" s="352" t="inlineStr">
        <is>
          <t>印尼</t>
        </is>
      </c>
      <c r="C397" s="352">
        <f>IFERROR(MID(E397,FIND("-",E397)+1,2),"")</f>
        <v/>
      </c>
      <c r="D397" s="352">
        <f>"轻卡"&amp;C397&amp;"寸"</f>
        <v/>
      </c>
      <c r="E397" s="379">
        <f>IFERROR(LEFT(REPLACE(G397,1,2,""),FIND("[",REPLACE(G397,1,2,""))-1)&amp;"-"&amp;MID(REPLACE(G397,1,2,""),FIND("[",REPLACE(G397,1,2,""))+1,FIND("]",REPLACE(G397,1,2,""))-FIND("[",REPLACE(G397,1,2,""))-1),"")</f>
        <v/>
      </c>
      <c r="F397" s="379" t="n"/>
      <c r="G397" s="379" t="n"/>
      <c r="H397" s="352" t="n"/>
      <c r="I397" s="370" t="n"/>
      <c r="J397" s="352" t="n">
        <v>38.2</v>
      </c>
      <c r="K397" s="352" t="n"/>
      <c r="L397" s="430">
        <f>IF(J397="","",J397/(J397+$J$380/60))</f>
        <v/>
      </c>
      <c r="M397" s="430" t="n"/>
      <c r="N397" s="352" t="n"/>
      <c r="O397" s="352">
        <f>IFERROR(_xlfn.XLOOKUP(E397,轮胎重量!S:S,轮胎重量!P:P),IFERROR(_xlfn.XLOOKUP(E397,轮胎重量!AB:AB,轮胎重量!Y:Y),IFERROR(_xlfn.XLOOKUP(E397,轮胎重量!AK:AK,轮胎重量!AH:AH),IFERROR(_xlfn.XLOOKUP(E397,轮胎重量!AT:AT,轮胎重量!AQ:AQ),""))))</f>
        <v/>
      </c>
      <c r="P397" s="358">
        <f>O397*14.76</f>
        <v/>
      </c>
      <c r="Q397" s="352">
        <f>IFERROR(ROUND(1440/J397*I397*L418,0),"")</f>
        <v/>
      </c>
      <c r="R397" s="352" t="n"/>
      <c r="S397" s="352" t="n"/>
      <c r="T397" s="352" t="n"/>
      <c r="U397" s="352" t="n"/>
      <c r="V397" s="352" t="n"/>
      <c r="W397" s="352" t="n"/>
      <c r="X397" s="352" t="n"/>
      <c r="Y397" s="352" t="n"/>
      <c r="Z397" s="352" t="n"/>
      <c r="AA397" s="352" t="n"/>
      <c r="AB397" s="352" t="n"/>
      <c r="AC397" s="352" t="n"/>
      <c r="AD397" s="352" t="n"/>
      <c r="AE397" s="352" t="n"/>
      <c r="AF397" s="352" t="n"/>
      <c r="AG397" s="352" t="n"/>
      <c r="AH397" s="352" t="n"/>
      <c r="AI397" s="352" t="n"/>
      <c r="AJ397" s="352" t="n"/>
      <c r="AK397" s="352" t="n"/>
      <c r="AL397" s="352" t="n"/>
      <c r="AM397" s="352" t="n"/>
      <c r="AN397" s="352" t="n"/>
      <c r="AO397" s="352" t="n"/>
      <c r="AP397" s="352" t="n"/>
      <c r="AQ397" s="352" t="n"/>
      <c r="AR397" s="352" t="n"/>
      <c r="AS397" s="352" t="n"/>
      <c r="AT397" s="352" t="n"/>
      <c r="AU397" s="352" t="n"/>
      <c r="AV397" s="352" t="n"/>
      <c r="AW397" s="352">
        <f>IF(SUM(R397:AV397)=0,"",SUM(R397:AV397))</f>
        <v/>
      </c>
      <c r="AX397" s="431">
        <f>IFERROR(AW397*O397/1000,"")</f>
        <v/>
      </c>
      <c r="AY397" s="431">
        <f>IFERROR(ROUND(AW397*P397/10000,3),"")</f>
        <v/>
      </c>
      <c r="AZ397" s="352" t="n">
        <v>251.7655</v>
      </c>
      <c r="BA397" s="352" t="n">
        <v>14.8798</v>
      </c>
      <c r="BB397" s="352" t="n">
        <v>22.8177</v>
      </c>
      <c r="BC397" s="352" t="n">
        <v>16.7209</v>
      </c>
      <c r="BD397" s="352" t="n"/>
      <c r="BE397" s="352">
        <f>AZ397*AW397</f>
        <v/>
      </c>
      <c r="BF397" s="352">
        <f>BA397*AW397</f>
        <v/>
      </c>
      <c r="BG397" s="352">
        <f>BB397*AW397</f>
        <v/>
      </c>
      <c r="BH397" s="352">
        <f>BC397*AW397</f>
        <v/>
      </c>
      <c r="BI397" s="352" t="n"/>
      <c r="BJ397" s="352">
        <f t="array" ref="BJ397:BM397">_xlfn.LET(_xlpm.data,$R397:$AV397,_xlpm.starts,{1,8,16,23},_xlpm.lengths,{7,7,8,9},_xlpm.arr,_xlfn.MAP(_xlpm.starts,_xlpm.lengths,_xlfn.LAMBDA(_xlpm.s,_xlpm.l,SUM(INDEX(_xlpm.data,,_xlfn.SEQUENCE(,_xlpm.l,_xlpm.s))))),ROUND(_xlpm.arr*$O397/1000,2))</f>
        <v/>
      </c>
      <c r="BK397" s="352" t="n">
        <v>0</v>
      </c>
      <c r="BL397" s="352" t="n">
        <v>0</v>
      </c>
      <c r="BM397" s="352" t="n">
        <v>0</v>
      </c>
      <c r="BN397" s="352">
        <f>SUM(BJ397:BM397)</f>
        <v/>
      </c>
      <c r="BO397" s="352" t="n">
        <v>0</v>
      </c>
      <c r="BP397" s="352" t="n">
        <v>0</v>
      </c>
      <c r="BQ397" s="352" t="n">
        <v>0</v>
      </c>
      <c r="BR397" s="352" t="n">
        <v>0</v>
      </c>
      <c r="BS397" s="352" t="inlineStr">
        <is>
          <t>轻卡</t>
        </is>
      </c>
      <c r="BT397" s="431" t="n"/>
      <c r="BU397" s="431" t="n"/>
      <c r="BV397" s="354" t="n"/>
      <c r="BW397" s="355" t="n"/>
      <c r="BX397" s="355" t="inlineStr">
        <is>
          <t>轻卡</t>
        </is>
      </c>
      <c r="BY397" s="362">
        <f>SUM(R397:X397)</f>
        <v/>
      </c>
      <c r="BZ397" s="362">
        <f>SUM(Y397:AE397)</f>
        <v/>
      </c>
      <c r="CA397" s="362">
        <f>SUM(AF397:AM397)</f>
        <v/>
      </c>
      <c r="CB397" s="362">
        <f>SUM(AN397:AV397)</f>
        <v/>
      </c>
      <c r="CC397" s="331" t="n"/>
      <c r="CD397" s="331" t="n">
        <v>8.300000000000001</v>
      </c>
      <c r="CE397" s="331">
        <f>ROUND(BY397*$O397/1000,2)</f>
        <v/>
      </c>
      <c r="CF397" s="356">
        <f>ROUND(BZ397*$O397/1000,2)</f>
        <v/>
      </c>
      <c r="CG397" s="331">
        <f>ROUND(CA397*$O397/1000,2)</f>
        <v/>
      </c>
      <c r="CH397" s="331">
        <f>ROUND(CB397*$O397/1000,2)</f>
        <v/>
      </c>
      <c r="CI397" s="331">
        <f>SUM(CE397:CH397)</f>
        <v/>
      </c>
      <c r="CK397" s="362">
        <f>IFERROR(ROUND(BY397*$P397,2),"")</f>
        <v/>
      </c>
      <c r="CL397" s="362">
        <f>IFERROR(ROUND(BZ397*$P397,2),"")</f>
        <v/>
      </c>
      <c r="CM397" s="362">
        <f>IFERROR(ROUND(CA397*$P397,2),"")</f>
        <v/>
      </c>
      <c r="CN397" s="362">
        <f>IFERROR(ROUND(CB397*$P397,2),"")</f>
        <v/>
      </c>
      <c r="CO397" s="115">
        <f>SUM(CK397:CN397)</f>
        <v/>
      </c>
      <c r="CZ397" s="390" t="n"/>
      <c r="DA397" s="362" t="n"/>
      <c r="DB397" s="362" t="n"/>
      <c r="DC397" s="362" t="n"/>
      <c r="DD397" s="362" t="n"/>
      <c r="DE397" s="362" t="n"/>
      <c r="DF397" s="390" t="n"/>
    </row>
    <row r="398" hidden="1" s="428">
      <c r="B398" s="352" t="inlineStr">
        <is>
          <t>印尼</t>
        </is>
      </c>
      <c r="C398" s="352">
        <f>IFERROR(MID(E398,FIND("-",E398)+1,2),"")</f>
        <v/>
      </c>
      <c r="D398" s="352">
        <f>"轻卡"&amp;C398&amp;"寸"</f>
        <v/>
      </c>
      <c r="E398" s="379">
        <f>IFERROR(LEFT(REPLACE(G398,1,2,""),FIND("[",REPLACE(G398,1,2,""))-1)&amp;"-"&amp;MID(REPLACE(G398,1,2,""),FIND("[",REPLACE(G398,1,2,""))+1,FIND("]",REPLACE(G398,1,2,""))-FIND("[",REPLACE(G398,1,2,""))-1),"")</f>
        <v/>
      </c>
      <c r="F398" s="379" t="n"/>
      <c r="G398" s="379" t="n"/>
      <c r="H398" s="352" t="n"/>
      <c r="I398" s="370" t="n"/>
      <c r="J398" s="352" t="n">
        <v>58.3</v>
      </c>
      <c r="K398" s="352" t="n"/>
      <c r="L398" s="430">
        <f>IF(J398="","",J398/(J398+$J$380/60))</f>
        <v/>
      </c>
      <c r="M398" s="430" t="n"/>
      <c r="N398" s="352" t="n"/>
      <c r="O398" s="352">
        <f>IFERROR(_xlfn.XLOOKUP(E398,轮胎重量!S:S,轮胎重量!P:P),IFERROR(_xlfn.XLOOKUP(E398,轮胎重量!AB:AB,轮胎重量!Y:Y),IFERROR(_xlfn.XLOOKUP(E398,轮胎重量!AK:AK,轮胎重量!AH:AH),IFERROR(_xlfn.XLOOKUP(E398,轮胎重量!AT:AT,轮胎重量!AQ:AQ),""))))</f>
        <v/>
      </c>
      <c r="P398" s="358">
        <f>O398*14.76</f>
        <v/>
      </c>
      <c r="Q398" s="352">
        <f>IFERROR(ROUND(1440/J398*I398*L400,0),"")</f>
        <v/>
      </c>
      <c r="R398" s="352" t="n"/>
      <c r="S398" s="352" t="n"/>
      <c r="T398" s="352" t="n"/>
      <c r="U398" s="352" t="n"/>
      <c r="V398" s="352" t="n"/>
      <c r="W398" s="352" t="n"/>
      <c r="X398" s="352" t="n"/>
      <c r="Y398" s="352" t="n"/>
      <c r="Z398" s="352" t="n"/>
      <c r="AA398" s="352" t="n"/>
      <c r="AB398" s="352" t="n"/>
      <c r="AC398" s="352" t="n"/>
      <c r="AD398" s="352" t="n"/>
      <c r="AE398" s="352" t="n"/>
      <c r="AF398" s="352" t="n"/>
      <c r="AG398" s="352" t="n"/>
      <c r="AH398" s="352" t="n"/>
      <c r="AI398" s="352" t="n"/>
      <c r="AJ398" s="352" t="n"/>
      <c r="AK398" s="352" t="n"/>
      <c r="AL398" s="352" t="n"/>
      <c r="AM398" s="352" t="n"/>
      <c r="AN398" s="352" t="n"/>
      <c r="AO398" s="352" t="n"/>
      <c r="AP398" s="352" t="n"/>
      <c r="AQ398" s="352" t="n"/>
      <c r="AR398" s="352" t="n"/>
      <c r="AS398" s="352" t="n"/>
      <c r="AT398" s="352" t="n"/>
      <c r="AU398" s="352" t="n"/>
      <c r="AV398" s="352" t="n"/>
      <c r="AW398" s="352">
        <f>IF(SUM(R398:AV398)=0,"",SUM(R398:AV398))</f>
        <v/>
      </c>
      <c r="AX398" s="431">
        <f>IFERROR(AW398*O398/1000,"")</f>
        <v/>
      </c>
      <c r="AY398" s="431">
        <f>IFERROR(ROUND(AW398*P398/10000,3),"")</f>
        <v/>
      </c>
      <c r="AZ398" s="352" t="n">
        <v>715.7485</v>
      </c>
      <c r="BA398" s="352" t="n">
        <v>42.8224</v>
      </c>
      <c r="BB398" s="352" t="n">
        <v>58.839</v>
      </c>
      <c r="BC398" s="352" t="n">
        <v>51.8175</v>
      </c>
      <c r="BD398" s="352" t="n"/>
      <c r="BE398" s="352">
        <f>AZ398*AW398</f>
        <v/>
      </c>
      <c r="BF398" s="352">
        <f>BA398*AW398</f>
        <v/>
      </c>
      <c r="BG398" s="352">
        <f>BB398*AW398</f>
        <v/>
      </c>
      <c r="BH398" s="352">
        <f>BC398*AW398</f>
        <v/>
      </c>
      <c r="BI398" s="352" t="n"/>
      <c r="BJ398" s="352">
        <f t="array" ref="BJ398:BM398">_xlfn.LET(_xlpm.data,$R398:$AV398,_xlpm.starts,{1,8,16,23},_xlpm.lengths,{7,7,8,9},_xlpm.arr,_xlfn.MAP(_xlpm.starts,_xlpm.lengths,_xlfn.LAMBDA(_xlpm.s,_xlpm.l,SUM(INDEX(_xlpm.data,,_xlfn.SEQUENCE(,_xlpm.l,_xlpm.s))))),ROUND(_xlpm.arr*$O398/1000,2))</f>
        <v/>
      </c>
      <c r="BK398" s="352" t="n">
        <v>0</v>
      </c>
      <c r="BL398" s="352" t="n">
        <v>0</v>
      </c>
      <c r="BM398" s="352" t="n">
        <v>0</v>
      </c>
      <c r="BN398" s="352">
        <f>SUM(BJ398:BM398)</f>
        <v/>
      </c>
      <c r="BO398" s="352" t="n">
        <v>5.51</v>
      </c>
      <c r="BP398" s="352" t="n">
        <v>19.29</v>
      </c>
      <c r="BQ398" s="352" t="n">
        <v>5.51</v>
      </c>
      <c r="BR398" s="352" t="n">
        <v>0</v>
      </c>
      <c r="BS398" s="352" t="inlineStr">
        <is>
          <t>轻卡</t>
        </is>
      </c>
      <c r="BT398" s="431" t="n"/>
      <c r="BU398" s="431" t="n"/>
      <c r="BV398" s="354" t="n"/>
      <c r="BW398" s="355" t="n"/>
      <c r="BX398" s="355" t="inlineStr">
        <is>
          <t>轻卡</t>
        </is>
      </c>
      <c r="BY398" s="362">
        <f>SUM(R398:X398)</f>
        <v/>
      </c>
      <c r="BZ398" s="362">
        <f>SUM(Y398:AE398)</f>
        <v/>
      </c>
      <c r="CA398" s="362">
        <f>SUM(AF398:AM398)</f>
        <v/>
      </c>
      <c r="CB398" s="362">
        <f>SUM(AN398:AV398)</f>
        <v/>
      </c>
      <c r="CC398" s="331" t="n"/>
      <c r="CD398" s="331" t="inlineStr">
        <is>
          <t>ATV重量</t>
        </is>
      </c>
      <c r="CE398" s="331">
        <f>ROUND(BY398*$O398/1000,2)</f>
        <v/>
      </c>
      <c r="CF398" s="356">
        <f>ROUND(BZ398*$O398/1000,2)</f>
        <v/>
      </c>
      <c r="CG398" s="331">
        <f>ROUND(CA398*$O398/1000,2)</f>
        <v/>
      </c>
      <c r="CH398" s="331">
        <f>ROUND(CB398*$O398/1000,2)</f>
        <v/>
      </c>
      <c r="CI398" s="331">
        <f>SUM(CE398:CH398)</f>
        <v/>
      </c>
      <c r="CJ398" s="362" t="n"/>
      <c r="CK398" s="362">
        <f>IFERROR(ROUND(BY398*$P398,2),"")</f>
        <v/>
      </c>
      <c r="CL398" s="362">
        <f>IFERROR(ROUND(BZ398*$P398,2),"")</f>
        <v/>
      </c>
      <c r="CM398" s="362">
        <f>IFERROR(ROUND(CA398*$P398,2),"")</f>
        <v/>
      </c>
      <c r="CN398" s="362">
        <f>IFERROR(ROUND(CB398*$P398,2),"")</f>
        <v/>
      </c>
      <c r="CO398" s="115">
        <f>SUM(CK398:CN398)</f>
        <v/>
      </c>
    </row>
    <row r="399" hidden="1" customFormat="1" s="362">
      <c r="A399" s="331" t="n"/>
      <c r="B399" s="352" t="inlineStr">
        <is>
          <t>印尼</t>
        </is>
      </c>
      <c r="C399" s="352">
        <f>IFERROR(MID(E399,FIND("-",E399)+1,2),"")</f>
        <v/>
      </c>
      <c r="D399" s="352">
        <f>"轻卡"&amp;C399&amp;"寸"</f>
        <v/>
      </c>
      <c r="E399" s="379">
        <f>IFERROR(LEFT(REPLACE(G399,1,2,""),FIND("[",REPLACE(G399,1,2,""))-1)&amp;"-"&amp;MID(REPLACE(G399,1,2,""),FIND("[",REPLACE(G399,1,2,""))+1,FIND("]",REPLACE(G399,1,2,""))-FIND("[",REPLACE(G399,1,2,""))-1),"")</f>
        <v/>
      </c>
      <c r="F399" s="379" t="n"/>
      <c r="G399" s="379" t="n"/>
      <c r="H399" s="352" t="n"/>
      <c r="I399" s="370" t="n"/>
      <c r="J399" s="352" t="n">
        <v>58.3</v>
      </c>
      <c r="K399" s="352" t="n"/>
      <c r="L399" s="430">
        <f>IF(J399="","",J399/(J399+$J$380/60))</f>
        <v/>
      </c>
      <c r="M399" s="430" t="n"/>
      <c r="N399" s="352" t="n"/>
      <c r="O399" s="352">
        <f>IFERROR(_xlfn.XLOOKUP(E399,轮胎重量!S:S,轮胎重量!P:P),IFERROR(_xlfn.XLOOKUP(E399,轮胎重量!AB:AB,轮胎重量!Y:Y),IFERROR(_xlfn.XLOOKUP(E399,轮胎重量!AK:AK,轮胎重量!AH:AH),IFERROR(_xlfn.XLOOKUP(E399,轮胎重量!AT:AT,轮胎重量!AQ:AQ),""))))</f>
        <v/>
      </c>
      <c r="P399" s="358">
        <f>O399*14.76</f>
        <v/>
      </c>
      <c r="Q399" s="352">
        <f>IFERROR(ROUND(1440/J399*I399*L400,0),"")</f>
        <v/>
      </c>
      <c r="R399" s="352" t="n"/>
      <c r="S399" s="352" t="n"/>
      <c r="T399" s="352" t="n"/>
      <c r="U399" s="352" t="n"/>
      <c r="V399" s="352" t="n"/>
      <c r="W399" s="352" t="n"/>
      <c r="X399" s="352" t="n"/>
      <c r="Y399" s="352" t="n"/>
      <c r="Z399" s="352" t="n"/>
      <c r="AA399" s="352" t="n"/>
      <c r="AB399" s="352" t="n"/>
      <c r="AC399" s="352" t="n"/>
      <c r="AD399" s="352" t="n"/>
      <c r="AE399" s="352" t="n"/>
      <c r="AF399" s="352" t="n"/>
      <c r="AG399" s="352" t="n"/>
      <c r="AH399" s="352" t="n"/>
      <c r="AI399" s="352" t="n"/>
      <c r="AJ399" s="352" t="n"/>
      <c r="AK399" s="352" t="n"/>
      <c r="AL399" s="352" t="n"/>
      <c r="AM399" s="352" t="n"/>
      <c r="AN399" s="352" t="n"/>
      <c r="AO399" s="352" t="n"/>
      <c r="AP399" s="352" t="n"/>
      <c r="AQ399" s="352" t="n"/>
      <c r="AR399" s="352" t="n"/>
      <c r="AS399" s="352" t="n"/>
      <c r="AT399" s="352" t="n"/>
      <c r="AU399" s="352" t="n"/>
      <c r="AV399" s="352" t="n"/>
      <c r="AW399" s="352">
        <f>IF(SUM(R399:AV399)=0,"",SUM(R399:AV399))</f>
        <v/>
      </c>
      <c r="AX399" s="431">
        <f>IFERROR(AW399*O399/1000,"")</f>
        <v/>
      </c>
      <c r="AY399" s="431">
        <f>IFERROR(ROUND(AW399*P399/10000,3),"")</f>
        <v/>
      </c>
      <c r="AZ399" s="352" t="n">
        <v>700.5375</v>
      </c>
      <c r="BA399" s="352" t="n">
        <v>42.4245</v>
      </c>
      <c r="BB399" s="352" t="n">
        <v>58.2922</v>
      </c>
      <c r="BC399" s="352" t="n">
        <v>51.336</v>
      </c>
      <c r="BD399" s="352" t="n"/>
      <c r="BE399" s="352">
        <f>AZ399*AW399</f>
        <v/>
      </c>
      <c r="BF399" s="352">
        <f>BA399*AW399</f>
        <v/>
      </c>
      <c r="BG399" s="352">
        <f>BB399*AW399</f>
        <v/>
      </c>
      <c r="BH399" s="352">
        <f>BC399*AW399</f>
        <v/>
      </c>
      <c r="BI399" s="352" t="n"/>
      <c r="BJ399" s="352">
        <f t="array" ref="BJ399:BM399">_xlfn.LET(_xlpm.data,$R399:$AV399,_xlpm.starts,{1,8,16,23},_xlpm.lengths,{7,7,8,9},_xlpm.arr,_xlfn.MAP(_xlpm.starts,_xlpm.lengths,_xlfn.LAMBDA(_xlpm.s,_xlpm.l,SUM(INDEX(_xlpm.data,,_xlfn.SEQUENCE(,_xlpm.l,_xlpm.s))))),ROUND(_xlpm.arr*$O399/1000,2))</f>
        <v/>
      </c>
      <c r="BK399" s="352" t="n">
        <v>0</v>
      </c>
      <c r="BL399" s="352" t="n">
        <v>0</v>
      </c>
      <c r="BM399" s="352" t="n">
        <v>0</v>
      </c>
      <c r="BN399" s="352">
        <f>SUM(BJ399:BM399)</f>
        <v/>
      </c>
      <c r="BO399" s="352" t="n">
        <v>0</v>
      </c>
      <c r="BP399" s="352" t="n">
        <v>0</v>
      </c>
      <c r="BQ399" s="352" t="n">
        <v>16.54</v>
      </c>
      <c r="BR399" s="352" t="n">
        <v>24.8</v>
      </c>
      <c r="BS399" s="352" t="inlineStr">
        <is>
          <t>轻卡</t>
        </is>
      </c>
      <c r="BT399" s="431" t="n"/>
      <c r="BU399" s="431" t="n"/>
      <c r="BV399" s="354" t="n"/>
      <c r="BW399" s="355" t="n"/>
      <c r="BX399" s="355" t="inlineStr">
        <is>
          <t>轻卡</t>
        </is>
      </c>
      <c r="BY399" s="362">
        <f>SUM(R399:X399)</f>
        <v/>
      </c>
      <c r="BZ399" s="362">
        <f>SUM(Y399:AE399)</f>
        <v/>
      </c>
      <c r="CA399" s="362">
        <f>SUM(AF399:AM399)</f>
        <v/>
      </c>
      <c r="CB399" s="362">
        <f>SUM(AN399:AV399)</f>
        <v/>
      </c>
      <c r="CC399" s="331" t="n"/>
      <c r="CD399" s="331" t="n">
        <v>10.1</v>
      </c>
      <c r="CE399" s="331">
        <f>ROUND(BY399*$O399/1000,2)</f>
        <v/>
      </c>
      <c r="CF399" s="356">
        <f>ROUND(BZ399*$O399/1000,2)</f>
        <v/>
      </c>
      <c r="CG399" s="331">
        <f>ROUND(CA399*$O399/1000,2)</f>
        <v/>
      </c>
      <c r="CH399" s="331">
        <f>ROUND(CB399*$O399/1000,2)</f>
        <v/>
      </c>
      <c r="CI399" s="331">
        <f>SUM(CE399:CH399)</f>
        <v/>
      </c>
      <c r="CJ399" s="362" t="n">
        <v>248</v>
      </c>
      <c r="CK399" s="362">
        <f>IFERROR(ROUND(BY399*$P399,2),"")</f>
        <v/>
      </c>
      <c r="CL399" s="362">
        <f>IFERROR(ROUND(BZ399*$P399,2),"")</f>
        <v/>
      </c>
      <c r="CM399" s="362">
        <f>IFERROR(ROUND(CA399*$P399,2),"")</f>
        <v/>
      </c>
      <c r="CN399" s="362">
        <f>IFERROR(ROUND(CB399*$P399,2),"")</f>
        <v/>
      </c>
      <c r="CO399" s="115">
        <f>SUM(CK399:CN399)</f>
        <v/>
      </c>
      <c r="CZ399" s="390" t="n"/>
      <c r="DA399" s="362" t="n"/>
      <c r="DB399" s="362" t="n"/>
      <c r="DC399" s="362" t="n"/>
      <c r="DD399" s="362" t="n"/>
      <c r="DE399" s="362" t="n"/>
      <c r="DF399" s="390" t="n"/>
    </row>
    <row r="400" hidden="1" customFormat="1" s="362">
      <c r="A400" s="331" t="n"/>
      <c r="B400" s="352" t="n"/>
      <c r="C400" s="352">
        <f>IFERROR(MID(E400,FIND("-",E400)+1,2),"")</f>
        <v/>
      </c>
      <c r="D400" s="352">
        <f>"载重"&amp;C400&amp;"寸"</f>
        <v/>
      </c>
      <c r="E400" s="379">
        <f>IFERROR(LEFT(REPLACE(G400,1,2,""),FIND("[",REPLACE(G400,1,2,""))-1)&amp;"-"&amp;MID(REPLACE(G400,1,2,""),FIND("[",REPLACE(G400,1,2,""))+1,FIND("]",REPLACE(G400,1,2,""))-FIND("[",REPLACE(G400,1,2,""))-1),"")</f>
        <v/>
      </c>
      <c r="F400" s="379" t="n"/>
      <c r="G400" s="379" t="n"/>
      <c r="H400" s="352" t="n"/>
      <c r="I400" s="370" t="n"/>
      <c r="J400" s="352" t="n">
        <v>58.3</v>
      </c>
      <c r="K400" s="352" t="n"/>
      <c r="L400" s="430">
        <f>IF(J400="","",J400/(J400+$J$380/60))</f>
        <v/>
      </c>
      <c r="M400" s="430" t="n"/>
      <c r="N400" s="352" t="n"/>
      <c r="O400" s="352">
        <f>IFERROR(_xlfn.XLOOKUP(E400,轮胎重量!S:S,轮胎重量!P:P),IFERROR(_xlfn.XLOOKUP(E400,轮胎重量!AB:AB,轮胎重量!Y:Y),IFERROR(_xlfn.XLOOKUP(E400,轮胎重量!AK:AK,轮胎重量!AH:AH),IFERROR(_xlfn.XLOOKUP(E400,轮胎重量!AT:AT,轮胎重量!AQ:AQ),""))))</f>
        <v/>
      </c>
      <c r="P400" s="358">
        <f>O400*14.76</f>
        <v/>
      </c>
      <c r="Q400" s="352">
        <f>IFERROR(ROUND(1440/J400*I400*L401,0),"")</f>
        <v/>
      </c>
      <c r="R400" s="352" t="n"/>
      <c r="S400" s="352" t="n"/>
      <c r="T400" s="352" t="n"/>
      <c r="U400" s="352" t="n"/>
      <c r="V400" s="352" t="n"/>
      <c r="W400" s="352" t="n"/>
      <c r="X400" s="352" t="n"/>
      <c r="Y400" s="352" t="n"/>
      <c r="Z400" s="352" t="n"/>
      <c r="AA400" s="352" t="n"/>
      <c r="AB400" s="352" t="n"/>
      <c r="AC400" s="352" t="n"/>
      <c r="AD400" s="352" t="n"/>
      <c r="AE400" s="352" t="n"/>
      <c r="AF400" s="352" t="n"/>
      <c r="AG400" s="352" t="n"/>
      <c r="AH400" s="352" t="n"/>
      <c r="AI400" s="352" t="n"/>
      <c r="AJ400" s="352" t="n"/>
      <c r="AK400" s="352" t="n"/>
      <c r="AL400" s="352" t="n"/>
      <c r="AM400" s="352" t="n"/>
      <c r="AN400" s="352" t="n"/>
      <c r="AO400" s="352" t="n"/>
      <c r="AP400" s="352" t="n"/>
      <c r="AQ400" s="352" t="n"/>
      <c r="AR400" s="352" t="n"/>
      <c r="AS400" s="352" t="n"/>
      <c r="AT400" s="352" t="n"/>
      <c r="AU400" s="352" t="n"/>
      <c r="AV400" s="352" t="n"/>
      <c r="AW400" s="352">
        <f>IF(SUM(R400:AV400)=0,"",SUM(R400:AV400))</f>
        <v/>
      </c>
      <c r="AX400" s="431">
        <f>IFERROR(AW400*O400/1000,"")</f>
        <v/>
      </c>
      <c r="AY400" s="431">
        <f>IFERROR(ROUND(AW400*P400/10000,3),"")</f>
        <v/>
      </c>
      <c r="AZ400" s="352" t="n">
        <v>700.5375</v>
      </c>
      <c r="BA400" s="352" t="n">
        <v>42.4245</v>
      </c>
      <c r="BB400" s="352" t="n">
        <v>58.2922</v>
      </c>
      <c r="BC400" s="352" t="n">
        <v>51.336</v>
      </c>
      <c r="BD400" s="352" t="n"/>
      <c r="BE400" s="352">
        <f>AZ400*AW400</f>
        <v/>
      </c>
      <c r="BF400" s="352">
        <f>BA400*AW400</f>
        <v/>
      </c>
      <c r="BG400" s="352">
        <f>BB400*AW400</f>
        <v/>
      </c>
      <c r="BH400" s="352">
        <f>BC400*AW400</f>
        <v/>
      </c>
      <c r="BI400" s="352" t="n"/>
      <c r="BJ400" s="352">
        <f t="array" ref="BJ400:BM400">_xlfn.LET(_xlpm.data,$R400:$AV400,_xlpm.starts,{1,8,16,23},_xlpm.lengths,{7,7,8,9},_xlpm.arr,_xlfn.MAP(_xlpm.starts,_xlpm.lengths,_xlfn.LAMBDA(_xlpm.s,_xlpm.l,SUM(INDEX(_xlpm.data,,_xlfn.SEQUENCE(,_xlpm.l,_xlpm.s))))),ROUND(_xlpm.arr*$O400/1000,2))</f>
        <v/>
      </c>
      <c r="BK400" s="352" t="n">
        <v>0</v>
      </c>
      <c r="BL400" s="352" t="n">
        <v>0</v>
      </c>
      <c r="BM400" s="352" t="n">
        <v>0</v>
      </c>
      <c r="BN400" s="352">
        <f>SUM(BJ400:BM400)</f>
        <v/>
      </c>
      <c r="BO400" s="352" t="n">
        <v>0</v>
      </c>
      <c r="BP400" s="352" t="n">
        <v>0</v>
      </c>
      <c r="BQ400" s="352" t="n">
        <v>16.54</v>
      </c>
      <c r="BR400" s="352" t="n">
        <v>24.8</v>
      </c>
      <c r="BS400" s="352" t="inlineStr">
        <is>
          <t>载重</t>
        </is>
      </c>
      <c r="BT400" s="431" t="n"/>
      <c r="BU400" s="431" t="n"/>
      <c r="BV400" s="354" t="n"/>
      <c r="BW400" s="355" t="n"/>
      <c r="BX400" s="355" t="inlineStr">
        <is>
          <t>载重</t>
        </is>
      </c>
      <c r="BY400" s="362">
        <f>SUM(R400:X400)</f>
        <v/>
      </c>
      <c r="BZ400" s="362">
        <f>SUM(Y400:AE400)</f>
        <v/>
      </c>
      <c r="CA400" s="362">
        <f>SUM(AF400:AM400)</f>
        <v/>
      </c>
      <c r="CB400" s="362">
        <f>SUM(AN400:AV400)</f>
        <v/>
      </c>
      <c r="CC400" s="331" t="n"/>
      <c r="CD400" s="331" t="n">
        <v>10.1</v>
      </c>
      <c r="CE400" s="331">
        <f>ROUND(BY400*$O400/1000,2)</f>
        <v/>
      </c>
      <c r="CF400" s="356">
        <f>ROUND(BZ400*$O400/1000,2)</f>
        <v/>
      </c>
      <c r="CG400" s="331">
        <f>ROUND(CA400*$O400/1000,2)</f>
        <v/>
      </c>
      <c r="CH400" s="331">
        <f>ROUND(CB400*$O400/1000,2)</f>
        <v/>
      </c>
      <c r="CI400" s="331">
        <f>SUM(CE400:CH400)</f>
        <v/>
      </c>
      <c r="CJ400" s="362" t="n">
        <v>248</v>
      </c>
      <c r="CK400" s="362">
        <f>IFERROR(ROUND(BY400*$P400,2),"")</f>
        <v/>
      </c>
      <c r="CL400" s="362">
        <f>IFERROR(ROUND(BZ400*$P400,2),"")</f>
        <v/>
      </c>
      <c r="CM400" s="362">
        <f>IFERROR(ROUND(CA400*$P400,2),"")</f>
        <v/>
      </c>
      <c r="CN400" s="362">
        <f>IFERROR(ROUND(CB400*$P400,2),"")</f>
        <v/>
      </c>
      <c r="CO400" s="115">
        <f>SUM(CK400:CN400)</f>
        <v/>
      </c>
      <c r="CZ400" s="390" t="n"/>
      <c r="DA400" s="362" t="n"/>
      <c r="DB400" s="362" t="n"/>
      <c r="DC400" s="362" t="n"/>
      <c r="DD400" s="362" t="n"/>
      <c r="DE400" s="362" t="n"/>
      <c r="DF400" s="390" t="n"/>
    </row>
    <row r="401" hidden="1" s="428">
      <c r="B401" s="352" t="inlineStr">
        <is>
          <t>美国</t>
        </is>
      </c>
      <c r="C401" s="352">
        <f>IFERROR(MID(E401,FIND("-",E401)+1,2),"")</f>
        <v/>
      </c>
      <c r="D401" s="352">
        <f>"载重"&amp;C401&amp;"寸"</f>
        <v/>
      </c>
      <c r="E401" s="379">
        <f>IFERROR(LEFT(REPLACE(G401,1,2,""),FIND("[",REPLACE(G401,1,2,""))-1)&amp;"-"&amp;MID(REPLACE(G401,1,2,""),FIND("[",REPLACE(G401,1,2,""))+1,FIND("]",REPLACE(G401,1,2,""))-FIND("[",REPLACE(G401,1,2,""))-1),"")</f>
        <v/>
      </c>
      <c r="F401" s="379" t="n"/>
      <c r="G401" s="379" t="inlineStr">
        <is>
          <t>ID10.00-20-14PR[CR918]威狮</t>
        </is>
      </c>
      <c r="H401" s="352" t="n">
        <v>450</v>
      </c>
      <c r="I401" s="370" t="n">
        <v>18</v>
      </c>
      <c r="J401" s="352" t="n">
        <v>58.3</v>
      </c>
      <c r="K401" s="352" t="n"/>
      <c r="L401" s="430">
        <f>IF(J400="","",J400/(J400+$J$380/60))</f>
        <v/>
      </c>
      <c r="M401" s="430" t="n"/>
      <c r="N401" s="352" t="n"/>
      <c r="O401" s="352">
        <f>IFERROR(_xlfn.XLOOKUP(E401,轮胎重量!S:S,轮胎重量!P:P),IFERROR(_xlfn.XLOOKUP(E401,轮胎重量!AB:AB,轮胎重量!Y:Y),IFERROR(_xlfn.XLOOKUP(E401,轮胎重量!AK:AK,轮胎重量!AH:AH),IFERROR(_xlfn.XLOOKUP(E401,轮胎重量!AT:AT,轮胎重量!AQ:AQ),""))))</f>
        <v/>
      </c>
      <c r="P401" s="358">
        <f>O401*14.76</f>
        <v/>
      </c>
      <c r="Q401" s="352">
        <f>IFERROR(ROUND(1440/J401*I401*L402,0),"")</f>
        <v/>
      </c>
      <c r="R401" s="352" t="n"/>
      <c r="S401" s="352" t="n"/>
      <c r="T401" s="352" t="n"/>
      <c r="U401" s="352" t="n"/>
      <c r="V401" s="352" t="n"/>
      <c r="W401" s="352" t="n"/>
      <c r="X401" s="352" t="n"/>
      <c r="Y401" s="352" t="n"/>
      <c r="Z401" s="352" t="n"/>
      <c r="AA401" s="352" t="n"/>
      <c r="AB401" s="352" t="n"/>
      <c r="AC401" s="352" t="n"/>
      <c r="AD401" s="352" t="n"/>
      <c r="AE401" s="352" t="n"/>
      <c r="AF401" s="352" t="n"/>
      <c r="AG401" s="352" t="n"/>
      <c r="AH401" s="352" t="n"/>
      <c r="AI401" s="352" t="n"/>
      <c r="AJ401" s="352" t="n"/>
      <c r="AK401" s="352" t="n"/>
      <c r="AL401" s="352" t="n"/>
      <c r="AM401" s="352" t="n"/>
      <c r="AN401" s="352" t="n"/>
      <c r="AO401" s="352" t="n"/>
      <c r="AP401" s="352" t="n"/>
      <c r="AQ401" s="352" t="n"/>
      <c r="AR401" s="352" t="n"/>
      <c r="AS401" s="352" t="n"/>
      <c r="AT401" s="352" t="n"/>
      <c r="AU401" s="352" t="n"/>
      <c r="AV401" s="352" t="n"/>
      <c r="AW401" s="352">
        <f>IF(SUM(R401:AV401)=0,"",SUM(R401:AV401))</f>
        <v/>
      </c>
      <c r="AX401" s="431">
        <f>IFERROR(AW401*O401/1000,"")</f>
        <v/>
      </c>
      <c r="AY401" s="431">
        <f>IFERROR(ROUND(AW401*P401/10000,3),"")</f>
        <v/>
      </c>
      <c r="AZ401" s="352" t="n">
        <v>700.5375</v>
      </c>
      <c r="BA401" s="352" t="n">
        <v>42.4245</v>
      </c>
      <c r="BB401" s="352" t="n">
        <v>58.2922</v>
      </c>
      <c r="BC401" s="352" t="n">
        <v>51.336</v>
      </c>
      <c r="BD401" s="352" t="n"/>
      <c r="BE401" s="352">
        <f>AZ401*AW401</f>
        <v/>
      </c>
      <c r="BF401" s="352">
        <f>BA401*AW401</f>
        <v/>
      </c>
      <c r="BG401" s="352">
        <f>BB401*AW401</f>
        <v/>
      </c>
      <c r="BH401" s="352">
        <f>BC401*AW401</f>
        <v/>
      </c>
      <c r="BI401" s="352" t="n"/>
      <c r="BJ401" s="352">
        <f t="array" ref="BJ401:BM401">_xlfn.LET(_xlpm.data,$R401:$AV401,_xlpm.starts,{1,8,16,23},_xlpm.lengths,{7,7,8,9},_xlpm.arr,_xlfn.MAP(_xlpm.starts,_xlpm.lengths,_xlfn.LAMBDA(_xlpm.s,_xlpm.l,SUM(INDEX(_xlpm.data,,_xlfn.SEQUENCE(,_xlpm.l,_xlpm.s))))),ROUND(_xlpm.arr*$O401/1000,2))</f>
        <v/>
      </c>
      <c r="BK401" s="352" t="n">
        <v>0</v>
      </c>
      <c r="BL401" s="352" t="n">
        <v>0</v>
      </c>
      <c r="BM401" s="352" t="n">
        <v>0</v>
      </c>
      <c r="BN401" s="352">
        <f>SUM(BJ401:BM401)</f>
        <v/>
      </c>
      <c r="BO401" s="352" t="n">
        <v>0</v>
      </c>
      <c r="BP401" s="352" t="n">
        <v>0</v>
      </c>
      <c r="BQ401" s="352" t="n">
        <v>16.54</v>
      </c>
      <c r="BR401" s="352" t="n">
        <v>24.8</v>
      </c>
      <c r="BS401" s="352" t="inlineStr">
        <is>
          <t>载重</t>
        </is>
      </c>
      <c r="BT401" s="431" t="n"/>
      <c r="BU401" s="431" t="n"/>
      <c r="BV401" s="359" t="n"/>
      <c r="BX401" s="362" t="inlineStr">
        <is>
          <t>载重</t>
        </is>
      </c>
      <c r="BY401" s="362">
        <f>SUM(R401:X401)</f>
        <v/>
      </c>
      <c r="BZ401" s="362">
        <f>SUM(Y401:AE401)</f>
        <v/>
      </c>
      <c r="CA401" s="362">
        <f>SUM(AF401:AM401)</f>
        <v/>
      </c>
      <c r="CB401" s="362">
        <f>SUM(AN401:AV401)</f>
        <v/>
      </c>
      <c r="CC401" s="331" t="n"/>
      <c r="CD401" s="432" t="inlineStr">
        <is>
          <t>ADA</t>
        </is>
      </c>
      <c r="CE401" s="331">
        <f>ROUND(BY401*$O401/1000,2)</f>
        <v/>
      </c>
      <c r="CF401" s="356">
        <f>ROUND(BZ401*$O401/1000,2)</f>
        <v/>
      </c>
      <c r="CG401" s="331">
        <f>ROUND(CA401*$O401/1000,2)</f>
        <v/>
      </c>
      <c r="CH401" s="331">
        <f>ROUND(CB401*$O401/1000,2)</f>
        <v/>
      </c>
      <c r="CI401" s="331">
        <f>SUM(CE401:CH401)</f>
        <v/>
      </c>
      <c r="CJ401" s="362" t="n">
        <v>248</v>
      </c>
      <c r="CK401" s="362">
        <f>IFERROR(ROUND(BY401*$P401,2),"")</f>
        <v/>
      </c>
      <c r="CL401" s="362">
        <f>IFERROR(ROUND(BZ401*$P401,2),"")</f>
        <v/>
      </c>
      <c r="CM401" s="362">
        <f>IFERROR(ROUND(CA401*$P401,2),"")</f>
        <v/>
      </c>
      <c r="CN401" s="362">
        <f>IFERROR(ROUND(CB401*$P401,2),"")</f>
        <v/>
      </c>
      <c r="CO401" s="115">
        <f>SUM(CK401:CN401)</f>
        <v/>
      </c>
    </row>
    <row r="402" hidden="1" s="428">
      <c r="B402" s="352" t="inlineStr">
        <is>
          <t>印尼</t>
        </is>
      </c>
      <c r="C402" s="352">
        <f>IFERROR(MID(E402,FIND("-",E402)+1,2),"")</f>
        <v/>
      </c>
      <c r="D402" s="352">
        <f>"载重"&amp;C402&amp;"寸"</f>
        <v/>
      </c>
      <c r="E402" s="379">
        <f>IFERROR(LEFT(REPLACE(G402,1,2,""),FIND("[",REPLACE(G402,1,2,""))-1)&amp;"-"&amp;MID(REPLACE(G402,1,2,""),FIND("[",REPLACE(G402,1,2,""))+1,FIND("]",REPLACE(G402,1,2,""))-FIND("[",REPLACE(G402,1,2,""))-1),"")</f>
        <v/>
      </c>
      <c r="F402" s="379" t="n"/>
      <c r="G402" s="379" t="inlineStr">
        <is>
          <t>ID10.00-20-16PR[CR952]146/142G 威狮</t>
        </is>
      </c>
      <c r="H402" s="352" t="n">
        <v>280</v>
      </c>
      <c r="I402" s="370" t="n">
        <v>8</v>
      </c>
      <c r="J402" s="352" t="n">
        <v>58.3</v>
      </c>
      <c r="K402" s="352" t="n"/>
      <c r="L402" s="430">
        <f>IF(J401="","",J401/(J401+$J$380/60))</f>
        <v/>
      </c>
      <c r="M402" s="430" t="n"/>
      <c r="N402" s="352" t="n"/>
      <c r="O402" s="352">
        <f>IFERROR(_xlfn.XLOOKUP(E402,轮胎重量!S:S,轮胎重量!P:P),IFERROR(_xlfn.XLOOKUP(E402,轮胎重量!AB:AB,轮胎重量!Y:Y),IFERROR(_xlfn.XLOOKUP(E402,轮胎重量!AK:AK,轮胎重量!AH:AH),IFERROR(_xlfn.XLOOKUP(E402,轮胎重量!AT:AT,轮胎重量!AQ:AQ),""))))</f>
        <v/>
      </c>
      <c r="P402" s="358">
        <f>O402*14.76</f>
        <v/>
      </c>
      <c r="Q402" s="352">
        <f>IFERROR(ROUND(1440/J402*I402*L403,0),"")</f>
        <v/>
      </c>
      <c r="R402" s="352" t="n"/>
      <c r="S402" s="352" t="n"/>
      <c r="T402" s="352" t="n"/>
      <c r="U402" s="352" t="n"/>
      <c r="V402" s="352" t="n"/>
      <c r="W402" s="352" t="n"/>
      <c r="X402" s="352" t="n"/>
      <c r="Y402" s="352" t="n"/>
      <c r="Z402" s="352" t="n"/>
      <c r="AA402" s="352" t="n"/>
      <c r="AB402" s="352" t="n"/>
      <c r="AC402" s="352" t="n"/>
      <c r="AD402" s="352" t="n"/>
      <c r="AE402" s="352" t="n"/>
      <c r="AF402" s="352" t="n"/>
      <c r="AG402" s="352" t="n"/>
      <c r="AH402" s="352" t="n"/>
      <c r="AI402" s="352" t="n"/>
      <c r="AJ402" s="352" t="n"/>
      <c r="AK402" s="352" t="n"/>
      <c r="AL402" s="352" t="n"/>
      <c r="AM402" s="352" t="n"/>
      <c r="AN402" s="352" t="n"/>
      <c r="AO402" s="352" t="n"/>
      <c r="AP402" s="352" t="n"/>
      <c r="AQ402" s="352" t="n"/>
      <c r="AR402" s="352" t="n"/>
      <c r="AS402" s="352" t="n"/>
      <c r="AT402" s="352" t="n"/>
      <c r="AU402" s="352" t="n"/>
      <c r="AV402" s="352" t="n"/>
      <c r="AW402" s="352">
        <f>IF(SUM(R402:AV402)=0,"",SUM(R402:AV402))</f>
        <v/>
      </c>
      <c r="AX402" s="431">
        <f>IFERROR(AW402*O402/1000,"")</f>
        <v/>
      </c>
      <c r="AY402" s="431">
        <f>IFERROR(ROUND(AW402*P402/10000,3),"")</f>
        <v/>
      </c>
      <c r="AZ402" s="352" t="n">
        <v>700.5375</v>
      </c>
      <c r="BA402" s="352" t="n">
        <v>42.4245</v>
      </c>
      <c r="BB402" s="352" t="n">
        <v>58.2922</v>
      </c>
      <c r="BC402" s="352" t="n">
        <v>51.336</v>
      </c>
      <c r="BD402" s="352" t="n"/>
      <c r="BE402" s="352">
        <f>AZ402*AW402</f>
        <v/>
      </c>
      <c r="BF402" s="352">
        <f>BA402*AW402</f>
        <v/>
      </c>
      <c r="BG402" s="352">
        <f>BB402*AW402</f>
        <v/>
      </c>
      <c r="BH402" s="352">
        <f>BC402*AW402</f>
        <v/>
      </c>
      <c r="BI402" s="352" t="n"/>
      <c r="BJ402" s="352">
        <f t="array" ref="BJ402:BM402">_xlfn.LET(_xlpm.data,$R402:$AV402,_xlpm.starts,{1,8,16,23},_xlpm.lengths,{7,7,8,9},_xlpm.arr,_xlfn.MAP(_xlpm.starts,_xlpm.lengths,_xlfn.LAMBDA(_xlpm.s,_xlpm.l,SUM(INDEX(_xlpm.data,,_xlfn.SEQUENCE(,_xlpm.l,_xlpm.s))))),ROUND(_xlpm.arr*$O402/1000,2))</f>
        <v/>
      </c>
      <c r="BK402" s="352" t="n">
        <v>0</v>
      </c>
      <c r="BL402" s="352" t="n">
        <v>0</v>
      </c>
      <c r="BM402" s="352" t="n">
        <v>0</v>
      </c>
      <c r="BN402" s="352">
        <f>SUM(BJ402:BM402)</f>
        <v/>
      </c>
      <c r="BO402" s="352" t="n">
        <v>0</v>
      </c>
      <c r="BP402" s="352" t="n">
        <v>0</v>
      </c>
      <c r="BQ402" s="352" t="n">
        <v>16.54</v>
      </c>
      <c r="BR402" s="352" t="n">
        <v>24.8</v>
      </c>
      <c r="BS402" s="352" t="inlineStr">
        <is>
          <t>载重</t>
        </is>
      </c>
      <c r="BT402" s="431" t="n"/>
      <c r="BU402" s="431" t="n"/>
      <c r="BV402" s="354" t="n"/>
      <c r="BW402" s="355" t="n"/>
      <c r="BX402" s="355" t="inlineStr">
        <is>
          <t>载重</t>
        </is>
      </c>
      <c r="BY402" s="362">
        <f>SUM(R402:X402)</f>
        <v/>
      </c>
      <c r="BZ402" s="362">
        <f>SUM(Y402:AE402)</f>
        <v/>
      </c>
      <c r="CA402" s="362">
        <f>SUM(AF402:AM402)</f>
        <v/>
      </c>
      <c r="CB402" s="362">
        <f>SUM(AN402:AV402)</f>
        <v/>
      </c>
      <c r="CC402" s="331" t="n"/>
      <c r="CD402" s="432" t="inlineStr">
        <is>
          <t>ADA</t>
        </is>
      </c>
      <c r="CE402" s="331">
        <f>ROUND(BY402*$O402/1000,2)</f>
        <v/>
      </c>
      <c r="CF402" s="356">
        <f>ROUND(BZ402*$O402/1000,2)</f>
        <v/>
      </c>
      <c r="CG402" s="331">
        <f>ROUND(CA402*$O402/1000,2)</f>
        <v/>
      </c>
      <c r="CH402" s="331">
        <f>ROUND(CB402*$O402/1000,2)</f>
        <v/>
      </c>
      <c r="CI402" s="331">
        <f>SUM(CE402:CH402)</f>
        <v/>
      </c>
      <c r="CJ402" s="362" t="n">
        <v>248</v>
      </c>
      <c r="CK402" s="362">
        <f>IFERROR(ROUND(BY402*$P402,2),"")</f>
        <v/>
      </c>
      <c r="CL402" s="362">
        <f>IFERROR(ROUND(BZ402*$P402,2),"")</f>
        <v/>
      </c>
      <c r="CM402" s="362">
        <f>IFERROR(ROUND(CA402*$P402,2),"")</f>
        <v/>
      </c>
      <c r="CN402" s="362">
        <f>IFERROR(ROUND(CB402*$P402,2),"")</f>
        <v/>
      </c>
      <c r="CO402" s="115">
        <f>SUM(CK402:CN402)</f>
        <v/>
      </c>
    </row>
    <row r="403">
      <c r="B403" s="352" t="inlineStr">
        <is>
          <t>印尼</t>
        </is>
      </c>
      <c r="C403" s="352">
        <f>IFERROR(MID(E403,FIND("-",E403)+1,2),"")</f>
        <v/>
      </c>
      <c r="D403" s="352">
        <f>"载重"&amp;C403&amp;"寸"</f>
        <v/>
      </c>
      <c r="E403" s="379">
        <f>IFERROR(LEFT(REPLACE(G403,1,2,""),FIND("[",REPLACE(G403,1,2,""))-1)&amp;"-"&amp;MID(REPLACE(G403,1,2,""),FIND("[",REPLACE(G403,1,2,""))+1,FIND("]",REPLACE(G403,1,2,""))-FIND("[",REPLACE(G403,1,2,""))-1),"")</f>
        <v/>
      </c>
      <c r="F403" s="379" t="n"/>
      <c r="G403" s="379" t="inlineStr">
        <is>
          <t>ID10.00-20-16PR[R9037]146/142G 朝阳</t>
        </is>
      </c>
      <c r="H403" s="352" t="n">
        <v>2000</v>
      </c>
      <c r="I403" s="370" t="n">
        <v>6</v>
      </c>
      <c r="J403" s="352" t="n">
        <v>58.3</v>
      </c>
      <c r="K403" s="352" t="n"/>
      <c r="L403" s="430">
        <f>IF(J402="","",J402/(J402+$J$380/60))</f>
        <v/>
      </c>
      <c r="M403" s="430" t="n"/>
      <c r="N403" s="352" t="n"/>
      <c r="O403" s="352">
        <f>IFERROR(_xlfn.XLOOKUP(E403,轮胎重量!S:S,轮胎重量!P:P),IFERROR(_xlfn.XLOOKUP(E403,轮胎重量!AB:AB,轮胎重量!Y:Y),IFERROR(_xlfn.XLOOKUP(E403,轮胎重量!AK:AK,轮胎重量!AH:AH),IFERROR(_xlfn.XLOOKUP(E403,轮胎重量!AT:AT,轮胎重量!AQ:AQ),""))))</f>
        <v/>
      </c>
      <c r="P403" s="358">
        <f>O403*14.76</f>
        <v/>
      </c>
      <c r="Q403" s="352">
        <f>IFERROR(ROUND(1440/J403*I403*L404,0),"")</f>
        <v/>
      </c>
      <c r="R403" s="370" t="n"/>
      <c r="S403" s="370" t="n"/>
      <c r="T403" s="370" t="n"/>
      <c r="U403" s="370" t="n"/>
      <c r="V403" s="370" t="n">
        <v>44</v>
      </c>
      <c r="W403" s="370" t="n">
        <v>44</v>
      </c>
      <c r="X403" s="370" t="n">
        <v>44</v>
      </c>
      <c r="Y403" s="370" t="n">
        <v>44</v>
      </c>
      <c r="Z403" s="370" t="n">
        <v>44</v>
      </c>
      <c r="AA403" s="370" t="n">
        <v>44</v>
      </c>
      <c r="AB403" s="370" t="n">
        <v>44</v>
      </c>
      <c r="AC403" s="370" t="n">
        <v>44</v>
      </c>
      <c r="AD403" s="370" t="n">
        <v>44</v>
      </c>
      <c r="AE403" s="370" t="n">
        <v>44</v>
      </c>
      <c r="AF403" s="370" t="n">
        <v>44</v>
      </c>
      <c r="AG403" s="352" t="n">
        <v>44</v>
      </c>
      <c r="AH403" s="352" t="n">
        <v>44</v>
      </c>
      <c r="AI403" s="352" t="n">
        <v>44</v>
      </c>
      <c r="AJ403" s="352" t="n">
        <v>44</v>
      </c>
      <c r="AK403" s="352" t="n">
        <v>44</v>
      </c>
      <c r="AL403" s="352" t="n">
        <v>44</v>
      </c>
      <c r="AM403" s="352" t="n">
        <v>44</v>
      </c>
      <c r="AN403" s="352" t="n">
        <v>44</v>
      </c>
      <c r="AO403" s="352" t="n">
        <v>44</v>
      </c>
      <c r="AP403" s="352" t="n">
        <v>44</v>
      </c>
      <c r="AQ403" s="352" t="n">
        <v>44</v>
      </c>
      <c r="AR403" s="352" t="n">
        <v>44</v>
      </c>
      <c r="AS403" s="352" t="n">
        <v>44</v>
      </c>
      <c r="AT403" s="352" t="n">
        <v>44</v>
      </c>
      <c r="AU403" s="352" t="n">
        <v>44</v>
      </c>
      <c r="AV403" s="352" t="n">
        <v>44</v>
      </c>
      <c r="AW403" s="352">
        <f>IF(SUM(R403:AV403)=0,"",SUM(R403:AV403))</f>
        <v/>
      </c>
      <c r="AX403" s="431">
        <f>IFERROR(AW403*O403/1000,"")</f>
        <v/>
      </c>
      <c r="AY403" s="431">
        <f>IFERROR(ROUND(AW403*P403/10000,3),"")</f>
        <v/>
      </c>
      <c r="AZ403" s="352" t="n">
        <v>715.7485</v>
      </c>
      <c r="BA403" s="352" t="n">
        <v>42.8224</v>
      </c>
      <c r="BB403" s="352" t="n">
        <v>58.839</v>
      </c>
      <c r="BC403" s="352" t="n">
        <v>51.8175</v>
      </c>
      <c r="BD403" s="352" t="n"/>
      <c r="BE403" s="352">
        <f>AZ403*AW403</f>
        <v/>
      </c>
      <c r="BF403" s="352">
        <f>BA403*AW403</f>
        <v/>
      </c>
      <c r="BG403" s="352">
        <f>BB403*AW403</f>
        <v/>
      </c>
      <c r="BH403" s="352">
        <f>BC403*AW403</f>
        <v/>
      </c>
      <c r="BI403" s="352" t="n"/>
      <c r="BJ403" s="352">
        <f t="array" ref="BJ403:BM403">_xlfn.LET(_xlpm.data,$R403:$AV403,_xlpm.starts,{1,8,16,23},_xlpm.lengths,{7,7,8,9},_xlpm.arr,_xlfn.MAP(_xlpm.starts,_xlpm.lengths,_xlfn.LAMBDA(_xlpm.s,_xlpm.l,SUM(INDEX(_xlpm.data,,_xlfn.SEQUENCE(,_xlpm.l,_xlpm.s))))),ROUND(_xlpm.arr*$O403/1000,2))</f>
        <v/>
      </c>
      <c r="BK403" s="352" t="n">
        <v>17.77</v>
      </c>
      <c r="BL403" s="352" t="n">
        <v>20.31</v>
      </c>
      <c r="BM403" s="352" t="n">
        <v>22.85</v>
      </c>
      <c r="BN403" s="352">
        <f>SUM(BJ403:BM403)</f>
        <v/>
      </c>
      <c r="BO403" s="352" t="n">
        <v>19.29</v>
      </c>
      <c r="BP403" s="352" t="n">
        <v>13.78</v>
      </c>
      <c r="BQ403" s="352" t="n">
        <v>0</v>
      </c>
      <c r="BR403" s="352" t="n">
        <v>0</v>
      </c>
      <c r="BS403" s="352" t="inlineStr">
        <is>
          <t>载重</t>
        </is>
      </c>
      <c r="BT403" s="431" t="n"/>
      <c r="BU403" s="431" t="n"/>
      <c r="BV403" s="354" t="n"/>
      <c r="BW403" s="355" t="n"/>
      <c r="BX403" s="355" t="inlineStr">
        <is>
          <t>载重</t>
        </is>
      </c>
      <c r="BY403" s="362">
        <f>SUM(R403:X403)</f>
        <v/>
      </c>
      <c r="BZ403" s="362">
        <f>SUM(Y403:AE403)</f>
        <v/>
      </c>
      <c r="CA403" s="362">
        <f>SUM(AF403:AM403)</f>
        <v/>
      </c>
      <c r="CB403" s="362">
        <f>SUM(AN403:AV403)</f>
        <v/>
      </c>
      <c r="CC403" s="331" t="n"/>
      <c r="CD403" s="432" t="inlineStr">
        <is>
          <t>ADA</t>
        </is>
      </c>
      <c r="CE403" s="331">
        <f>ROUND(BY403*$O403/1000,2)</f>
        <v/>
      </c>
      <c r="CF403" s="356">
        <f>ROUND(BZ403*$O403/1000,2)</f>
        <v/>
      </c>
      <c r="CG403" s="331">
        <f>ROUND(CA403*$O403/1000,2)</f>
        <v/>
      </c>
      <c r="CH403" s="331">
        <f>ROUND(CB403*$O403/1000,2)</f>
        <v/>
      </c>
      <c r="CI403" s="331">
        <f>SUM(CE403:CH403)</f>
        <v/>
      </c>
      <c r="CJ403" s="362" t="n"/>
      <c r="CK403" s="362">
        <f>IFERROR(ROUND(BY403*$P403,2),"")</f>
        <v/>
      </c>
      <c r="CL403" s="362">
        <f>IFERROR(ROUND(BZ403*$P403,2),"")</f>
        <v/>
      </c>
      <c r="CM403" s="362">
        <f>IFERROR(ROUND(CA403*$P403,2),"")</f>
        <v/>
      </c>
      <c r="CN403" s="362">
        <f>IFERROR(ROUND(CB403*$P403,2),"")</f>
        <v/>
      </c>
      <c r="CO403" s="115">
        <f>SUM(CK403:CN403)</f>
        <v/>
      </c>
    </row>
    <row r="404" customFormat="1" s="362">
      <c r="A404" s="331" t="n"/>
      <c r="B404" s="352" t="inlineStr">
        <is>
          <t>印尼</t>
        </is>
      </c>
      <c r="C404" s="352">
        <f>IFERROR(MID(E404,FIND("-",E404)+1,2),"")</f>
        <v/>
      </c>
      <c r="D404" s="352">
        <f>"载重"&amp;C404&amp;"寸"</f>
        <v/>
      </c>
      <c r="E404" s="379">
        <f>IFERROR(LEFT(REPLACE(G404,1,2,""),FIND("[",REPLACE(G404,1,2,""))-1)&amp;"-"&amp;MID(REPLACE(G404,1,2,""),FIND("[",REPLACE(G404,1,2,""))+1,FIND("]",REPLACE(G404,1,2,""))-FIND("[",REPLACE(G404,1,2,""))-1),"")</f>
        <v/>
      </c>
      <c r="F404" s="379" t="n"/>
      <c r="G404" s="379" t="inlineStr">
        <is>
          <t>ID10.00-20-16PR[R9037]146/142G 金冠</t>
        </is>
      </c>
      <c r="H404" s="352" t="n">
        <v>2000</v>
      </c>
      <c r="I404" s="370" t="n">
        <v>6</v>
      </c>
      <c r="J404" s="352" t="n">
        <v>58.3</v>
      </c>
      <c r="K404" s="359" t="n"/>
      <c r="L404" s="430">
        <f>IF(J403="","",J403/(J403+$J$380/60))</f>
        <v/>
      </c>
      <c r="M404" s="430" t="n"/>
      <c r="N404" s="352" t="n"/>
      <c r="O404" s="352">
        <f>IFERROR(_xlfn.XLOOKUP(E404,轮胎重量!S:S,轮胎重量!P:P),IFERROR(_xlfn.XLOOKUP(E404,轮胎重量!AB:AB,轮胎重量!Y:Y),IFERROR(_xlfn.XLOOKUP(E404,轮胎重量!AK:AK,轮胎重量!AH:AH),IFERROR(_xlfn.XLOOKUP(E404,轮胎重量!AT:AT,轮胎重量!AQ:AQ),""))))</f>
        <v/>
      </c>
      <c r="P404" s="352">
        <f>IFERROR(_xlfn.XLOOKUP(E404,硫化工艺!I:I,硫化工艺!J:J),"")</f>
        <v/>
      </c>
      <c r="Q404" s="352">
        <f>IFERROR(ROUND(1440/J404*I404*L405,0),"")</f>
        <v/>
      </c>
      <c r="R404" s="352" t="n"/>
      <c r="S404" s="352" t="n"/>
      <c r="T404" s="352" t="n"/>
      <c r="U404" s="352" t="n"/>
      <c r="V404" s="352" t="n"/>
      <c r="W404" s="352" t="n"/>
      <c r="X404" s="352" t="n"/>
      <c r="Y404" s="352" t="n"/>
      <c r="Z404" s="352" t="n"/>
      <c r="AA404" s="352" t="n"/>
      <c r="AB404" s="352" t="n"/>
      <c r="AC404" s="352" t="n"/>
      <c r="AD404" s="352" t="n"/>
      <c r="AE404" s="352" t="n"/>
      <c r="AF404" s="352" t="n"/>
      <c r="AG404" s="352" t="n">
        <v>88</v>
      </c>
      <c r="AH404" s="352" t="n">
        <v>88</v>
      </c>
      <c r="AI404" s="352" t="n">
        <v>88</v>
      </c>
      <c r="AJ404" s="352" t="n">
        <v>88</v>
      </c>
      <c r="AK404" s="352" t="n">
        <v>88</v>
      </c>
      <c r="AL404" s="352" t="n">
        <v>88</v>
      </c>
      <c r="AM404" s="352" t="n">
        <v>88</v>
      </c>
      <c r="AN404" s="352" t="n">
        <v>88</v>
      </c>
      <c r="AO404" s="352" t="n">
        <v>88</v>
      </c>
      <c r="AP404" s="352" t="n">
        <v>88</v>
      </c>
      <c r="AQ404" s="352" t="n">
        <v>88</v>
      </c>
      <c r="AR404" s="352" t="n">
        <v>88</v>
      </c>
      <c r="AS404" s="352" t="n">
        <v>88</v>
      </c>
      <c r="AT404" s="352" t="n">
        <v>88</v>
      </c>
      <c r="AU404" s="352" t="n">
        <v>88</v>
      </c>
      <c r="AV404" s="352" t="n">
        <v>88</v>
      </c>
      <c r="AW404" s="352">
        <f>IF(SUM(R404:AV404)=0,"",SUM(R404:AV404))</f>
        <v/>
      </c>
      <c r="AX404" s="431">
        <f>IFERROR(AW404*O404/1000,"")</f>
        <v/>
      </c>
      <c r="AY404" s="431">
        <f>IFERROR(ROUND(AW404*P404/10000,3),"")</f>
        <v/>
      </c>
      <c r="AZ404" s="352" t="n">
        <v>715.7485</v>
      </c>
      <c r="BA404" s="352" t="n">
        <v>42.8224</v>
      </c>
      <c r="BB404" s="352" t="n">
        <v>58.839</v>
      </c>
      <c r="BC404" s="352" t="n">
        <v>51.8175</v>
      </c>
      <c r="BD404" s="352" t="n"/>
      <c r="BE404" s="352">
        <f>AZ404*AW404</f>
        <v/>
      </c>
      <c r="BF404" s="352">
        <f>BA404*AW404</f>
        <v/>
      </c>
      <c r="BG404" s="352">
        <f>BB404*AW404</f>
        <v/>
      </c>
      <c r="BH404" s="352">
        <f>BC404*AW404</f>
        <v/>
      </c>
      <c r="BI404" s="352" t="n"/>
      <c r="BJ404" s="352">
        <f t="array" ref="BJ404:BM404">_xlfn.LET(_xlpm.data,$R404:$AV404,_xlpm.starts,{1,8,16,23},_xlpm.lengths,{7,7,8,9},_xlpm.arr,_xlfn.MAP(_xlpm.starts,_xlpm.lengths,_xlfn.LAMBDA(_xlpm.s,_xlpm.l,SUM(INDEX(_xlpm.data,,_xlfn.SEQUENCE(,_xlpm.l,_xlpm.s))))),ROUND(_xlpm.arr*$O404/1000,2))</f>
        <v/>
      </c>
      <c r="BK404" s="352" t="n">
        <v>0</v>
      </c>
      <c r="BL404" s="352" t="n">
        <v>40.63</v>
      </c>
      <c r="BM404" s="352" t="n">
        <v>45.71</v>
      </c>
      <c r="BN404" s="352">
        <f>SUM(BJ404:BM404)</f>
        <v/>
      </c>
      <c r="BO404" s="352" t="n">
        <v>19.29</v>
      </c>
      <c r="BP404" s="352" t="n">
        <v>13.78</v>
      </c>
      <c r="BQ404" s="352" t="n">
        <v>0</v>
      </c>
      <c r="BR404" s="352" t="n">
        <v>0</v>
      </c>
      <c r="BS404" s="352" t="inlineStr">
        <is>
          <t>载重</t>
        </is>
      </c>
      <c r="BT404" s="431" t="n"/>
      <c r="BU404" s="431" t="n"/>
      <c r="BV404" s="354" t="n"/>
      <c r="BW404" s="355" t="n"/>
      <c r="BX404" s="355" t="inlineStr">
        <is>
          <t>载重</t>
        </is>
      </c>
      <c r="BY404" s="362">
        <f>SUM(R404:X404)</f>
        <v/>
      </c>
      <c r="BZ404" s="362">
        <f>SUM(Y404:AE404)</f>
        <v/>
      </c>
      <c r="CA404" s="362">
        <f>SUM(AF404:AM404)</f>
        <v/>
      </c>
      <c r="CB404" s="362">
        <f>SUM(AN404:AV404)</f>
        <v/>
      </c>
      <c r="CC404" s="331" t="n"/>
      <c r="CD404" s="432" t="inlineStr">
        <is>
          <t>ADA</t>
        </is>
      </c>
      <c r="CE404" s="331">
        <f>ROUND(BY404*$O404/1000,2)</f>
        <v/>
      </c>
      <c r="CF404" s="356">
        <f>ROUND(BZ404*$O404/1000,2)</f>
        <v/>
      </c>
      <c r="CG404" s="331">
        <f>ROUND(CA404*$O404/1000,2)</f>
        <v/>
      </c>
      <c r="CH404" s="331">
        <f>ROUND(CB404*$O404/1000,2)</f>
        <v/>
      </c>
      <c r="CI404" s="331">
        <f>SUM(CE404:CH404)</f>
        <v/>
      </c>
      <c r="CJ404" s="362" t="n">
        <v>40</v>
      </c>
      <c r="CK404" s="362">
        <f>IFERROR(ROUND(BY404*$P404,2),"")</f>
        <v/>
      </c>
      <c r="CL404" s="362">
        <f>IFERROR(ROUND(BZ404*$P404,2),"")</f>
        <v/>
      </c>
      <c r="CM404" s="362">
        <f>IFERROR(ROUND(CA404*$P404,2),"")</f>
        <v/>
      </c>
      <c r="CN404" s="362">
        <f>IFERROR(ROUND(CB404*$P404,2),"")</f>
        <v/>
      </c>
      <c r="CO404" s="115">
        <f>SUM(CK404:CN404)</f>
        <v/>
      </c>
    </row>
    <row r="405" hidden="1" customFormat="1" s="362">
      <c r="A405" s="331" t="n"/>
      <c r="B405" s="352" t="inlineStr">
        <is>
          <t>印尼</t>
        </is>
      </c>
      <c r="C405" s="352">
        <f>IFERROR(MID(E405,FIND("-",E405)+1,2),"")</f>
        <v/>
      </c>
      <c r="D405" s="352">
        <f>"载重"&amp;C405&amp;"寸"</f>
        <v/>
      </c>
      <c r="E405" s="379">
        <f>IFERROR(LEFT(REPLACE(G405,1,2,""),FIND("[",REPLACE(G405,1,2,""))-1)&amp;"-"&amp;MID(REPLACE(G405,1,2,""),FIND("[",REPLACE(G405,1,2,""))+1,FIND("]",REPLACE(G405,1,2,""))-FIND("[",REPLACE(G405,1,2,""))-1),"")</f>
        <v/>
      </c>
      <c r="F405" s="379" t="n"/>
      <c r="G405" s="379" t="inlineStr">
        <is>
          <t>ID10.00-20-18PR[AB111]150/145G ASCENDO</t>
        </is>
      </c>
      <c r="H405" s="352" t="n">
        <v>180</v>
      </c>
      <c r="I405" s="370" t="n">
        <v>6</v>
      </c>
      <c r="J405" s="352" t="n">
        <v>58.3</v>
      </c>
      <c r="K405" s="359" t="n"/>
      <c r="L405" s="430">
        <f>IF(J404="","",J404/(J404+$J$380/60))</f>
        <v/>
      </c>
      <c r="M405" s="430" t="n"/>
      <c r="N405" s="352" t="n"/>
      <c r="O405" s="352">
        <f>IFERROR(_xlfn.XLOOKUP(E405,轮胎重量!S:S,轮胎重量!P:P),IFERROR(_xlfn.XLOOKUP(E405,轮胎重量!AB:AB,轮胎重量!Y:Y),IFERROR(_xlfn.XLOOKUP(E405,轮胎重量!AK:AK,轮胎重量!AH:AH),IFERROR(_xlfn.XLOOKUP(E405,轮胎重量!AT:AT,轮胎重量!AQ:AQ),""))))</f>
        <v/>
      </c>
      <c r="P405" s="358">
        <f>O405*14.76</f>
        <v/>
      </c>
      <c r="Q405" s="352">
        <f>IFERROR(ROUND(1440/J405*I405*L406,0),"")</f>
        <v/>
      </c>
      <c r="R405" s="352" t="n"/>
      <c r="S405" s="352" t="n"/>
      <c r="T405" s="352" t="n"/>
      <c r="U405" s="352" t="n"/>
      <c r="V405" s="352" t="n"/>
      <c r="W405" s="352" t="n"/>
      <c r="X405" s="352" t="n"/>
      <c r="Y405" s="352" t="n"/>
      <c r="Z405" s="352" t="n"/>
      <c r="AA405" s="352" t="n"/>
      <c r="AB405" s="352" t="n"/>
      <c r="AC405" s="352" t="n"/>
      <c r="AD405" s="352" t="n"/>
      <c r="AE405" s="352" t="n"/>
      <c r="AF405" s="352" t="n"/>
      <c r="AG405" s="352" t="n"/>
      <c r="AH405" s="352" t="n"/>
      <c r="AI405" s="352" t="n"/>
      <c r="AJ405" s="352" t="n"/>
      <c r="AK405" s="352" t="n"/>
      <c r="AL405" s="352" t="n"/>
      <c r="AM405" s="352" t="n"/>
      <c r="AN405" s="352" t="n"/>
      <c r="AO405" s="352" t="n"/>
      <c r="AP405" s="352" t="n"/>
      <c r="AQ405" s="352" t="n"/>
      <c r="AR405" s="352" t="n"/>
      <c r="AS405" s="352" t="n"/>
      <c r="AT405" s="352" t="n"/>
      <c r="AU405" s="352" t="n"/>
      <c r="AV405" s="352" t="n"/>
      <c r="AW405" s="352">
        <f>IF(SUM(R405:AV405)=0,"",SUM(R405:AV405))</f>
        <v/>
      </c>
      <c r="AX405" s="431">
        <f>IFERROR(AW405*O405/1000,"")</f>
        <v/>
      </c>
      <c r="AY405" s="431">
        <f>IFERROR(ROUND(AW405*P405/10000,3),"")</f>
        <v/>
      </c>
      <c r="AZ405" s="352" t="n">
        <v>715.7485</v>
      </c>
      <c r="BA405" s="352" t="n">
        <v>42.8224</v>
      </c>
      <c r="BB405" s="352" t="n">
        <v>58.839</v>
      </c>
      <c r="BC405" s="352" t="n">
        <v>51.8175</v>
      </c>
      <c r="BD405" s="352" t="n"/>
      <c r="BE405" s="352">
        <f>AZ405*AW405</f>
        <v/>
      </c>
      <c r="BF405" s="352">
        <f>BA405*AW405</f>
        <v/>
      </c>
      <c r="BG405" s="352">
        <f>BB405*AW405</f>
        <v/>
      </c>
      <c r="BH405" s="352">
        <f>BC405*AW405</f>
        <v/>
      </c>
      <c r="BI405" s="352" t="n"/>
      <c r="BJ405" s="352">
        <f t="array" ref="BJ405:BM405">_xlfn.LET(_xlpm.data,$R405:$AV405,_xlpm.starts,{1,8,16,23},_xlpm.lengths,{7,7,8,9},_xlpm.arr,_xlfn.MAP(_xlpm.starts,_xlpm.lengths,_xlfn.LAMBDA(_xlpm.s,_xlpm.l,SUM(INDEX(_xlpm.data,,_xlfn.SEQUENCE(,_xlpm.l,_xlpm.s))))),ROUND(_xlpm.arr*$O405/1000,2))</f>
        <v/>
      </c>
      <c r="BK405" s="352" t="n">
        <v>0</v>
      </c>
      <c r="BL405" s="352" t="n">
        <v>0</v>
      </c>
      <c r="BM405" s="352" t="n">
        <v>0</v>
      </c>
      <c r="BN405" s="352">
        <f>SUM(BJ405:BM405)</f>
        <v/>
      </c>
      <c r="BO405" s="352" t="n">
        <v>19.29</v>
      </c>
      <c r="BP405" s="352" t="n">
        <v>13.78</v>
      </c>
      <c r="BQ405" s="352" t="n">
        <v>0</v>
      </c>
      <c r="BR405" s="352" t="n">
        <v>0</v>
      </c>
      <c r="BS405" s="352" t="inlineStr">
        <is>
          <t>载重</t>
        </is>
      </c>
      <c r="BT405" s="431" t="n"/>
      <c r="BU405" s="431" t="n"/>
      <c r="BV405" s="354" t="n"/>
      <c r="BW405" s="355" t="n"/>
      <c r="BX405" s="355" t="inlineStr">
        <is>
          <t>载重</t>
        </is>
      </c>
      <c r="BY405" s="362">
        <f>SUM(R405:X405)</f>
        <v/>
      </c>
      <c r="BZ405" s="362">
        <f>SUM(Y405:AE405)</f>
        <v/>
      </c>
      <c r="CA405" s="362">
        <f>SUM(AF405:AM405)</f>
        <v/>
      </c>
      <c r="CB405" s="362">
        <f>SUM(AN405:AV405)</f>
        <v/>
      </c>
      <c r="CC405" s="331" t="n"/>
      <c r="CD405" s="432" t="inlineStr">
        <is>
          <t>ADA</t>
        </is>
      </c>
      <c r="CE405" s="331">
        <f>ROUND(BY405*$O405/1000,2)</f>
        <v/>
      </c>
      <c r="CF405" s="356">
        <f>ROUND(BZ405*$O405/1000,2)</f>
        <v/>
      </c>
      <c r="CG405" s="331">
        <f>ROUND(CA405*$O405/1000,2)</f>
        <v/>
      </c>
      <c r="CH405" s="331">
        <f>ROUND(CB405*$O405/1000,2)</f>
        <v/>
      </c>
      <c r="CI405" s="331">
        <f>SUM(CE405:CH405)</f>
        <v/>
      </c>
      <c r="CJ405" s="362" t="n">
        <v>40</v>
      </c>
      <c r="CK405" s="362">
        <f>IFERROR(ROUND(BY405*$P405,2),"")</f>
        <v/>
      </c>
      <c r="CL405" s="362">
        <f>IFERROR(ROUND(BZ405*$P405,2),"")</f>
        <v/>
      </c>
      <c r="CM405" s="362">
        <f>IFERROR(ROUND(CA405*$P405,2),"")</f>
        <v/>
      </c>
      <c r="CN405" s="362">
        <f>IFERROR(ROUND(CB405*$P405,2),"")</f>
        <v/>
      </c>
      <c r="CO405" s="115">
        <f>SUM(CK405:CN405)</f>
        <v/>
      </c>
    </row>
    <row r="406" hidden="1" customFormat="1" s="362">
      <c r="A406" s="331" t="n"/>
      <c r="B406" s="352" t="inlineStr">
        <is>
          <t>印尼</t>
        </is>
      </c>
      <c r="C406" s="352">
        <f>IFERROR(MID(E406,FIND("-",E406)+1,2),"")</f>
        <v/>
      </c>
      <c r="D406" s="352">
        <f>"载重"&amp;C406&amp;"寸"</f>
        <v/>
      </c>
      <c r="E406" s="379">
        <f>IFERROR(LEFT(REPLACE(G406,1,2,""),FIND("[",REPLACE(G406,1,2,""))-1)&amp;"-"&amp;MID(REPLACE(G406,1,2,""),FIND("[",REPLACE(G406,1,2,""))+1,FIND("]",REPLACE(G406,1,2,""))-FIND("[",REPLACE(G406,1,2,""))-1),"")</f>
        <v/>
      </c>
      <c r="F406" s="379" t="n"/>
      <c r="G406" s="379" t="inlineStr">
        <is>
          <t>ID10.00-20-18PR[AB316]150/145G ASCENDO</t>
        </is>
      </c>
      <c r="H406" s="352" t="n">
        <v>500</v>
      </c>
      <c r="I406" s="370" t="n">
        <v>2</v>
      </c>
      <c r="J406" s="352" t="n">
        <v>54.8</v>
      </c>
      <c r="K406" s="352" t="n"/>
      <c r="L406" s="430">
        <f>IF(J405="","",J405/(J405+$J$380/60))</f>
        <v/>
      </c>
      <c r="M406" s="430" t="n"/>
      <c r="N406" s="352" t="n"/>
      <c r="O406" s="352">
        <f>IFERROR(_xlfn.XLOOKUP(E406,轮胎重量!S:S,轮胎重量!P:P),IFERROR(_xlfn.XLOOKUP(E406,轮胎重量!AB:AB,轮胎重量!Y:Y),IFERROR(_xlfn.XLOOKUP(E406,轮胎重量!AK:AK,轮胎重量!AH:AH),IFERROR(_xlfn.XLOOKUP(E406,轮胎重量!AT:AT,轮胎重量!AQ:AQ),""))))</f>
        <v/>
      </c>
      <c r="P406" s="358">
        <f>O406*14.76</f>
        <v/>
      </c>
      <c r="Q406" s="352">
        <f>IFERROR(ROUND(1440/J406*I406*L407,0),"")</f>
        <v/>
      </c>
      <c r="R406" s="352" t="n"/>
      <c r="S406" s="352" t="n"/>
      <c r="T406" s="352" t="n"/>
      <c r="U406" s="352" t="n"/>
      <c r="V406" s="352" t="n"/>
      <c r="W406" s="352" t="n"/>
      <c r="X406" s="352" t="n"/>
      <c r="Y406" s="352" t="n"/>
      <c r="Z406" s="352" t="n"/>
      <c r="AA406" s="352" t="n"/>
      <c r="AB406" s="352" t="n"/>
      <c r="AC406" s="352" t="n"/>
      <c r="AD406" s="352" t="n"/>
      <c r="AE406" s="352" t="n"/>
      <c r="AF406" s="352" t="n"/>
      <c r="AG406" s="352" t="n"/>
      <c r="AH406" s="352" t="n"/>
      <c r="AI406" s="352" t="n"/>
      <c r="AJ406" s="352" t="n"/>
      <c r="AK406" s="352" t="n"/>
      <c r="AL406" s="352" t="n"/>
      <c r="AM406" s="352" t="n"/>
      <c r="AN406" s="352" t="n"/>
      <c r="AO406" s="352" t="n"/>
      <c r="AP406" s="352" t="n"/>
      <c r="AQ406" s="352" t="n"/>
      <c r="AR406" s="352" t="n"/>
      <c r="AS406" s="352" t="n"/>
      <c r="AT406" s="352" t="n"/>
      <c r="AU406" s="352" t="n"/>
      <c r="AV406" s="352" t="n"/>
      <c r="AW406" s="352">
        <f>IF(SUM(R406:AV406)=0,"",SUM(R406:AV406))</f>
        <v/>
      </c>
      <c r="AX406" s="431">
        <f>IFERROR(AW406*O406/1000,"")</f>
        <v/>
      </c>
      <c r="AY406" s="431">
        <f>IFERROR(ROUND(AW406*P406/10000,3),"")</f>
        <v/>
      </c>
      <c r="AZ406" s="352" t="n">
        <v>573.5023</v>
      </c>
      <c r="BA406" s="352" t="n">
        <v>38.6497</v>
      </c>
      <c r="BB406" s="352" t="n">
        <v>53.1056</v>
      </c>
      <c r="BC406" s="352" t="n">
        <v>46.7683</v>
      </c>
      <c r="BD406" s="352" t="n"/>
      <c r="BE406" s="352">
        <f>AZ406*AW406</f>
        <v/>
      </c>
      <c r="BF406" s="352">
        <f>BA406*AW406</f>
        <v/>
      </c>
      <c r="BG406" s="352">
        <f>BB406*AW406</f>
        <v/>
      </c>
      <c r="BH406" s="352">
        <f>BC406*AW406</f>
        <v/>
      </c>
      <c r="BI406" s="352" t="n"/>
      <c r="BJ406" s="352">
        <f t="array" ref="BJ406:BM406">_xlfn.LET(_xlpm.data,$R406:$AV406,_xlpm.starts,{1,8,16,23},_xlpm.lengths,{7,7,8,9},_xlpm.arr,_xlfn.MAP(_xlpm.starts,_xlpm.lengths,_xlfn.LAMBDA(_xlpm.s,_xlpm.l,SUM(INDEX(_xlpm.data,,_xlfn.SEQUENCE(,_xlpm.l,_xlpm.s))))),ROUND(_xlpm.arr*$O406/1000,2))</f>
        <v/>
      </c>
      <c r="BK406" s="352" t="n">
        <v>0</v>
      </c>
      <c r="BL406" s="352" t="n">
        <v>0</v>
      </c>
      <c r="BM406" s="352" t="n">
        <v>0</v>
      </c>
      <c r="BN406" s="352">
        <f>SUM(BJ406:BM406)</f>
        <v/>
      </c>
      <c r="BO406" s="352" t="n">
        <v>18.63</v>
      </c>
      <c r="BP406" s="352" t="n">
        <v>2.66</v>
      </c>
      <c r="BQ406" s="352" t="n">
        <v>0</v>
      </c>
      <c r="BR406" s="352" t="n">
        <v>0</v>
      </c>
      <c r="BS406" s="352" t="inlineStr">
        <is>
          <t>载重</t>
        </is>
      </c>
      <c r="BT406" s="431" t="n"/>
      <c r="BU406" s="431" t="n"/>
      <c r="BV406" s="354" t="n"/>
      <c r="BW406" s="355" t="n"/>
      <c r="BX406" s="355" t="inlineStr">
        <is>
          <t>载重</t>
        </is>
      </c>
      <c r="BY406" s="362">
        <f>SUM(R406:X406)</f>
        <v/>
      </c>
      <c r="BZ406" s="362">
        <f>SUM(Y406:AE406)</f>
        <v/>
      </c>
      <c r="CA406" s="362">
        <f>SUM(AF406:AM406)</f>
        <v/>
      </c>
      <c r="CB406" s="362">
        <f>SUM(AN406:AV406)</f>
        <v/>
      </c>
      <c r="CC406" s="331" t="n"/>
      <c r="CD406" s="432" t="inlineStr">
        <is>
          <t>ADA</t>
        </is>
      </c>
      <c r="CE406" s="331">
        <f>ROUND(BY406*$O406/1000,2)</f>
        <v/>
      </c>
      <c r="CF406" s="356">
        <f>ROUND(BZ406*$O406/1000,2)</f>
        <v/>
      </c>
      <c r="CG406" s="331">
        <f>ROUND(CA406*$O406/1000,2)</f>
        <v/>
      </c>
      <c r="CH406" s="331">
        <f>ROUND(CB406*$O406/1000,2)</f>
        <v/>
      </c>
      <c r="CI406" s="331">
        <f>SUM(CE406:CH406)</f>
        <v/>
      </c>
      <c r="CK406" s="362">
        <f>IFERROR(ROUND(BY406*$P406,2),"")</f>
        <v/>
      </c>
      <c r="CL406" s="362">
        <f>IFERROR(ROUND(BZ406*$P406,2),"")</f>
        <v/>
      </c>
      <c r="CM406" s="362">
        <f>IFERROR(ROUND(CA406*$P406,2),"")</f>
        <v/>
      </c>
      <c r="CN406" s="362">
        <f>IFERROR(ROUND(CB406*$P406,2),"")</f>
        <v/>
      </c>
      <c r="CO406" s="115">
        <f>SUM(CK406:CN406)</f>
        <v/>
      </c>
      <c r="CZ406" s="390" t="n"/>
      <c r="DA406" s="362" t="n"/>
      <c r="DB406" s="362" t="n"/>
      <c r="DC406" s="362" t="n"/>
      <c r="DD406" s="362" t="n"/>
      <c r="DE406" s="362" t="n"/>
      <c r="DF406" s="390" t="n"/>
    </row>
    <row r="407" hidden="1" s="428">
      <c r="B407" s="352" t="inlineStr">
        <is>
          <t>印尼</t>
        </is>
      </c>
      <c r="C407" s="352">
        <f>IFERROR(MID(E407,FIND("-",E407)+1,2),"")</f>
        <v/>
      </c>
      <c r="D407" s="352">
        <f>"载重"&amp;C407&amp;"寸"</f>
        <v/>
      </c>
      <c r="E407" s="379">
        <f>IFERROR(LEFT(REPLACE(G407,1,2,""),FIND("[",REPLACE(G407,1,2,""))-1)&amp;"-"&amp;MID(REPLACE(G407,1,2,""),FIND("[",REPLACE(G407,1,2,""))+1,FIND("]",REPLACE(G407,1,2,""))-FIND("[",REPLACE(G407,1,2,""))-1),"")</f>
        <v/>
      </c>
      <c r="F407" s="379" t="n"/>
      <c r="G407" s="379" t="inlineStr">
        <is>
          <t>ID10.00-20-18PR[CL956]150/145G 金冠</t>
        </is>
      </c>
      <c r="H407" s="352" t="n">
        <v>1000</v>
      </c>
      <c r="I407" s="370" t="n">
        <v>2</v>
      </c>
      <c r="J407" s="352" t="n">
        <v>54.8</v>
      </c>
      <c r="K407" s="352" t="n"/>
      <c r="L407" s="430">
        <f>IF(J406="","",J406/(J406+$J$380/60))</f>
        <v/>
      </c>
      <c r="M407" s="430" t="n"/>
      <c r="N407" s="352" t="n"/>
      <c r="O407" s="352">
        <f>IFERROR(_xlfn.XLOOKUP(E407,轮胎重量!S:S,轮胎重量!P:P),IFERROR(_xlfn.XLOOKUP(E407,轮胎重量!AB:AB,轮胎重量!Y:Y),IFERROR(_xlfn.XLOOKUP(E407,轮胎重量!AK:AK,轮胎重量!AH:AH),IFERROR(_xlfn.XLOOKUP(E407,轮胎重量!AT:AT,轮胎重量!AQ:AQ),""))))</f>
        <v/>
      </c>
      <c r="P407" s="352">
        <f>IFERROR(_xlfn.XLOOKUP(E407,硫化工艺!I:I,硫化工艺!J:J),"")</f>
        <v/>
      </c>
      <c r="Q407" s="352">
        <f>IFERROR(ROUND(1440/J407*I407*L408,0),"")</f>
        <v/>
      </c>
      <c r="R407" s="352" t="n"/>
      <c r="S407" s="352" t="n"/>
      <c r="T407" s="352" t="n"/>
      <c r="U407" s="352" t="n"/>
      <c r="V407" s="352" t="n"/>
      <c r="W407" s="352" t="n"/>
      <c r="X407" s="352" t="n"/>
      <c r="Y407" s="352" t="n"/>
      <c r="Z407" s="352" t="n"/>
      <c r="AA407" s="352" t="n"/>
      <c r="AB407" s="352" t="n"/>
      <c r="AC407" s="352" t="n"/>
      <c r="AD407" s="352" t="n"/>
      <c r="AE407" s="352" t="n"/>
      <c r="AF407" s="352" t="n"/>
      <c r="AG407" s="352" t="n"/>
      <c r="AH407" s="352" t="n"/>
      <c r="AI407" s="352" t="n"/>
      <c r="AJ407" s="352" t="n"/>
      <c r="AK407" s="352" t="n"/>
      <c r="AL407" s="352" t="n"/>
      <c r="AM407" s="352" t="n"/>
      <c r="AN407" s="352" t="n"/>
      <c r="AO407" s="352" t="n"/>
      <c r="AP407" s="352" t="n"/>
      <c r="AQ407" s="352" t="n"/>
      <c r="AR407" s="352" t="n"/>
      <c r="AS407" s="352" t="n"/>
      <c r="AT407" s="352" t="n"/>
      <c r="AU407" s="352" t="n"/>
      <c r="AV407" s="352" t="n"/>
      <c r="AW407" s="352">
        <f>IF(SUM(R407:AV407)=0,"",SUM(R407:AV407))</f>
        <v/>
      </c>
      <c r="AX407" s="431">
        <f>IFERROR(AW407*O407/1000,"")</f>
        <v/>
      </c>
      <c r="AY407" s="431">
        <f>IFERROR(ROUND(AW407*P407/10000,3),"")</f>
        <v/>
      </c>
      <c r="AZ407" s="352" t="n">
        <v>642.6823000000001</v>
      </c>
      <c r="BA407" s="352" t="n">
        <v>41.1665</v>
      </c>
      <c r="BB407" s="352" t="n">
        <v>56.5637</v>
      </c>
      <c r="BC407" s="352" t="n">
        <v>49.8138</v>
      </c>
      <c r="BD407" s="352" t="n"/>
      <c r="BE407" s="352">
        <f>AZ407*AW407</f>
        <v/>
      </c>
      <c r="BF407" s="352">
        <f>BA407*AW407</f>
        <v/>
      </c>
      <c r="BG407" s="352">
        <f>BB407*AW407</f>
        <v/>
      </c>
      <c r="BH407" s="352">
        <f>BC407*AW407</f>
        <v/>
      </c>
      <c r="BI407" s="352" t="n"/>
      <c r="BJ407" s="352">
        <f t="array" ref="BJ407:BM407">_xlfn.LET(_xlpm.data,$R407:$AV407,_xlpm.starts,{1,8,16,23},_xlpm.lengths,{7,7,8,9},_xlpm.arr,_xlfn.MAP(_xlpm.starts,_xlpm.lengths,_xlfn.LAMBDA(_xlpm.s,_xlpm.l,SUM(INDEX(_xlpm.data,,_xlfn.SEQUENCE(,_xlpm.l,_xlpm.s))))),ROUND(_xlpm.arr*$O407/1000,2))</f>
        <v/>
      </c>
      <c r="BK407" s="352" t="n">
        <v>0</v>
      </c>
      <c r="BL407" s="352" t="n">
        <v>0</v>
      </c>
      <c r="BM407" s="352" t="n">
        <v>0</v>
      </c>
      <c r="BN407" s="352">
        <f>SUM(BJ407:BM407)</f>
        <v/>
      </c>
      <c r="BO407" s="352" t="n">
        <v>0</v>
      </c>
      <c r="BP407" s="352" t="n">
        <v>15.97</v>
      </c>
      <c r="BQ407" s="352" t="n">
        <v>21.29</v>
      </c>
      <c r="BR407" s="352" t="n">
        <v>7.98</v>
      </c>
      <c r="BS407" s="352" t="inlineStr">
        <is>
          <t>载重</t>
        </is>
      </c>
      <c r="BT407" s="431" t="n"/>
      <c r="BU407" s="431" t="n"/>
      <c r="BV407" s="354" t="n"/>
      <c r="BW407" s="355" t="n"/>
      <c r="BX407" s="355" t="inlineStr">
        <is>
          <t>载重</t>
        </is>
      </c>
      <c r="BY407" s="362">
        <f>SUM(R407:X407)</f>
        <v/>
      </c>
      <c r="BZ407" s="362">
        <f>SUM(Y407:AE407)</f>
        <v/>
      </c>
      <c r="CA407" s="362">
        <f>SUM(AF407:AM407)</f>
        <v/>
      </c>
      <c r="CB407" s="362">
        <f>SUM(AN407:AV407)</f>
        <v/>
      </c>
      <c r="CC407" s="331" t="n"/>
      <c r="CD407" s="432" t="inlineStr">
        <is>
          <t>ADA</t>
        </is>
      </c>
      <c r="CE407" s="331">
        <f>ROUND(BY407*$O407/1000,2)</f>
        <v/>
      </c>
      <c r="CF407" s="356">
        <f>ROUND(BZ407*$O407/1000,2)</f>
        <v/>
      </c>
      <c r="CG407" s="331">
        <f>ROUND(CA407*$O407/1000,2)</f>
        <v/>
      </c>
      <c r="CH407" s="331">
        <f>ROUND(CB407*$O407/1000,2)</f>
        <v/>
      </c>
      <c r="CI407" s="331">
        <f>SUM(CE407:CH407)</f>
        <v/>
      </c>
      <c r="CJ407" s="362" t="n">
        <v>5500</v>
      </c>
      <c r="CK407" s="362">
        <f>IFERROR(ROUND(BY407*$P407,2),"")</f>
        <v/>
      </c>
      <c r="CL407" s="362">
        <f>IFERROR(ROUND(BZ407*$P407,2),"")</f>
        <v/>
      </c>
      <c r="CM407" s="362">
        <f>IFERROR(ROUND(CA407*$P407,2),"")</f>
        <v/>
      </c>
      <c r="CN407" s="362">
        <f>IFERROR(ROUND(CB407*$P407,2),"")</f>
        <v/>
      </c>
      <c r="CO407" s="115">
        <f>SUM(CK407:CN407)</f>
        <v/>
      </c>
    </row>
    <row r="408" customFormat="1" s="362">
      <c r="A408" s="331" t="n"/>
      <c r="B408" s="352" t="inlineStr">
        <is>
          <t>印尼</t>
        </is>
      </c>
      <c r="C408" s="352">
        <f>IFERROR(MID(E408,FIND("-",E408)+1,2),"")</f>
        <v/>
      </c>
      <c r="D408" s="352">
        <f>"载重"&amp;C408&amp;"寸"</f>
        <v/>
      </c>
      <c r="E408" s="379">
        <f>IFERROR(LEFT(REPLACE(G408,1,2,""),FIND("[",REPLACE(G408,1,2,""))-1)&amp;"-"&amp;MID(REPLACE(G408,1,2,""),FIND("[",REPLACE(G408,1,2,""))+1,FIND("]",REPLACE(G408,1,2,""))-FIND("[",REPLACE(G408,1,2,""))-1),"")</f>
        <v/>
      </c>
      <c r="F408" s="379" t="n"/>
      <c r="G408" s="379" t="inlineStr">
        <is>
          <t>ID10.00-20-18PR[CR952]150/145G TRAZANO(全诺)</t>
        </is>
      </c>
      <c r="H408" s="352" t="n">
        <v>2000</v>
      </c>
      <c r="I408" s="370" t="n">
        <v>8</v>
      </c>
      <c r="J408" s="352" t="n">
        <v>54.8</v>
      </c>
      <c r="K408" s="352" t="n"/>
      <c r="L408" s="430">
        <f>IF(J407="","",J407/(J407+$J$380/60))</f>
        <v/>
      </c>
      <c r="M408" s="430" t="n"/>
      <c r="N408" s="352" t="n"/>
      <c r="O408" s="352">
        <f>IFERROR(_xlfn.XLOOKUP(E408,轮胎重量!S:S,轮胎重量!P:P),IFERROR(_xlfn.XLOOKUP(E408,轮胎重量!AB:AB,轮胎重量!Y:Y),IFERROR(_xlfn.XLOOKUP(E408,轮胎重量!AK:AK,轮胎重量!AH:AH),IFERROR(_xlfn.XLOOKUP(E408,轮胎重量!AT:AT,轮胎重量!AQ:AQ),""))))</f>
        <v/>
      </c>
      <c r="P408" s="352">
        <f>IFERROR(_xlfn.XLOOKUP(E408,硫化工艺!I:I,硫化工艺!J:J),"")</f>
        <v/>
      </c>
      <c r="Q408" s="352">
        <f>IFERROR(ROUND(1440/J408*I408*L409,0),"")</f>
        <v/>
      </c>
      <c r="R408" s="352" t="n">
        <v>44</v>
      </c>
      <c r="S408" s="352" t="n">
        <v>44</v>
      </c>
      <c r="T408" s="352" t="n">
        <v>44</v>
      </c>
      <c r="U408" s="352" t="n">
        <v>44</v>
      </c>
      <c r="V408" s="352" t="n">
        <v>44</v>
      </c>
      <c r="W408" s="352" t="n">
        <v>44</v>
      </c>
      <c r="X408" s="352" t="n">
        <v>44</v>
      </c>
      <c r="Y408" s="352" t="n">
        <v>44</v>
      </c>
      <c r="Z408" s="352" t="n">
        <v>44</v>
      </c>
      <c r="AA408" s="352" t="n">
        <v>44</v>
      </c>
      <c r="AB408" s="352" t="n">
        <v>44</v>
      </c>
      <c r="AC408" s="352" t="n">
        <v>44</v>
      </c>
      <c r="AD408" s="352" t="n">
        <v>44</v>
      </c>
      <c r="AE408" s="352" t="n">
        <v>44</v>
      </c>
      <c r="AF408" s="352" t="n">
        <v>44</v>
      </c>
      <c r="AG408" s="352" t="n">
        <v>44</v>
      </c>
      <c r="AH408" s="352" t="n">
        <v>44</v>
      </c>
      <c r="AI408" s="352" t="n">
        <v>44</v>
      </c>
      <c r="AJ408" s="352" t="n">
        <v>44</v>
      </c>
      <c r="AK408" s="352" t="n">
        <v>44</v>
      </c>
      <c r="AL408" s="352" t="n">
        <v>44</v>
      </c>
      <c r="AM408" s="352" t="n">
        <v>44</v>
      </c>
      <c r="AN408" s="352" t="n">
        <v>44</v>
      </c>
      <c r="AO408" s="352" t="n">
        <v>44</v>
      </c>
      <c r="AP408" s="352" t="n">
        <v>44</v>
      </c>
      <c r="AQ408" s="352" t="n">
        <v>44</v>
      </c>
      <c r="AR408" s="352" t="n">
        <v>44</v>
      </c>
      <c r="AS408" s="352" t="n">
        <v>44</v>
      </c>
      <c r="AT408" s="352" t="n">
        <v>44</v>
      </c>
      <c r="AU408" s="352" t="n">
        <v>44</v>
      </c>
      <c r="AV408" s="352" t="n">
        <v>44</v>
      </c>
      <c r="AW408" s="352">
        <f>IF(SUM(R408:AV408)=0,"",SUM(R408:AV408))</f>
        <v/>
      </c>
      <c r="AX408" s="431">
        <f>IFERROR(AW408*O408/1000,"")</f>
        <v/>
      </c>
      <c r="AY408" s="431">
        <f>IFERROR(ROUND(AW408*P408/10000,3),"")</f>
        <v/>
      </c>
      <c r="AZ408" s="352" t="n">
        <v>642.6823000000001</v>
      </c>
      <c r="BA408" s="352" t="n">
        <v>41.1665</v>
      </c>
      <c r="BB408" s="352" t="n">
        <v>56.5637</v>
      </c>
      <c r="BC408" s="352" t="n">
        <v>49.8138</v>
      </c>
      <c r="BD408" s="352" t="n"/>
      <c r="BE408" s="352">
        <f>AZ408*AW408</f>
        <v/>
      </c>
      <c r="BF408" s="352">
        <f>BA408*AW408</f>
        <v/>
      </c>
      <c r="BG408" s="352">
        <f>BB408*AW408</f>
        <v/>
      </c>
      <c r="BH408" s="352">
        <f>BC408*AW408</f>
        <v/>
      </c>
      <c r="BI408" s="352" t="n"/>
      <c r="BJ408" s="352">
        <f t="array" ref="BJ408:BM408">_xlfn.LET(_xlpm.data,$R408:$AV408,_xlpm.starts,{1,8,16,23},_xlpm.lengths,{7,7,8,9},_xlpm.arr,_xlfn.MAP(_xlpm.starts,_xlpm.lengths,_xlfn.LAMBDA(_xlpm.s,_xlpm.l,SUM(INDEX(_xlpm.data,,_xlfn.SEQUENCE(,_xlpm.l,_xlpm.s))))),ROUND(_xlpm.arr*$O408/1000,2))</f>
        <v/>
      </c>
      <c r="BK408" s="352" t="n">
        <v>17.07</v>
      </c>
      <c r="BL408" s="352" t="n">
        <v>19.51</v>
      </c>
      <c r="BM408" s="352" t="n">
        <v>21.95</v>
      </c>
      <c r="BN408" s="352">
        <f>SUM(BJ408:BM408)</f>
        <v/>
      </c>
      <c r="BO408" s="352" t="n">
        <v>0</v>
      </c>
      <c r="BP408" s="352" t="n">
        <v>15.97</v>
      </c>
      <c r="BQ408" s="352" t="n">
        <v>21.29</v>
      </c>
      <c r="BR408" s="352" t="n">
        <v>7.98</v>
      </c>
      <c r="BS408" s="352" t="inlineStr">
        <is>
          <t>载重</t>
        </is>
      </c>
      <c r="BT408" s="431" t="n"/>
      <c r="BU408" s="431" t="n"/>
      <c r="BV408" s="354" t="n"/>
      <c r="BW408" s="355" t="n"/>
      <c r="BX408" s="355" t="inlineStr">
        <is>
          <t>载重</t>
        </is>
      </c>
      <c r="BY408" s="362">
        <f>SUM(R408:X408)</f>
        <v/>
      </c>
      <c r="BZ408" s="362">
        <f>SUM(Y408:AE408)</f>
        <v/>
      </c>
      <c r="CA408" s="362">
        <f>SUM(AF408:AM408)</f>
        <v/>
      </c>
      <c r="CB408" s="362">
        <f>SUM(AN408:AV408)</f>
        <v/>
      </c>
      <c r="CC408" s="331" t="n"/>
      <c r="CD408" s="432" t="inlineStr">
        <is>
          <t>ADA</t>
        </is>
      </c>
      <c r="CE408" s="331">
        <f>ROUND(BY408*$O408/1000,2)</f>
        <v/>
      </c>
      <c r="CF408" s="356">
        <f>ROUND(BZ408*$O408/1000,2)</f>
        <v/>
      </c>
      <c r="CG408" s="331">
        <f>ROUND(CA408*$O408/1000,2)</f>
        <v/>
      </c>
      <c r="CH408" s="331">
        <f>ROUND(CB408*$O408/1000,2)</f>
        <v/>
      </c>
      <c r="CI408" s="331">
        <f>SUM(CE408:CH408)</f>
        <v/>
      </c>
      <c r="CK408" s="362">
        <f>IFERROR(ROUND(BY408*$P408,2),"")</f>
        <v/>
      </c>
      <c r="CL408" s="362">
        <f>IFERROR(ROUND(BZ408*$P408,2),"")</f>
        <v/>
      </c>
      <c r="CM408" s="362">
        <f>IFERROR(ROUND(CA408*$P408,2),"")</f>
        <v/>
      </c>
      <c r="CN408" s="362">
        <f>IFERROR(ROUND(CB408*$P408,2),"")</f>
        <v/>
      </c>
      <c r="CO408" s="115">
        <f>SUM(CK408:CN408)</f>
        <v/>
      </c>
      <c r="CZ408" s="390" t="n"/>
      <c r="DA408" s="362" t="n"/>
      <c r="DB408" s="362" t="n"/>
      <c r="DC408" s="362" t="n"/>
      <c r="DD408" s="362" t="n"/>
      <c r="DE408" s="362" t="n"/>
      <c r="DF408" s="390" t="n"/>
    </row>
    <row r="409" customFormat="1" s="362">
      <c r="A409" s="331" t="n"/>
      <c r="B409" s="352" t="inlineStr">
        <is>
          <t>印尼</t>
        </is>
      </c>
      <c r="C409" s="352">
        <f>IFERROR(MID(E409,FIND("-",E409)+1,2),"")</f>
        <v/>
      </c>
      <c r="D409" s="352">
        <f>"载重"&amp;C409&amp;"寸"</f>
        <v/>
      </c>
      <c r="E409" s="379">
        <f>IFERROR(LEFT(REPLACE(G409,1,2,""),FIND("[",REPLACE(G409,1,2,""))-1)&amp;"-"&amp;MID(REPLACE(G409,1,2,""),FIND("[",REPLACE(G409,1,2,""))+1,FIND("]",REPLACE(G409,1,2,""))-FIND("[",REPLACE(G409,1,2,""))-1),"")</f>
        <v/>
      </c>
      <c r="F409" s="379" t="n"/>
      <c r="G409" s="379" t="inlineStr">
        <is>
          <t>ID10.00-20-18PR[CR952]150/145G 金冠</t>
        </is>
      </c>
      <c r="H409" s="352" t="n">
        <v>2000</v>
      </c>
      <c r="I409" s="370" t="n">
        <v>8</v>
      </c>
      <c r="J409" s="352" t="n">
        <v>54.8</v>
      </c>
      <c r="K409" s="352" t="n"/>
      <c r="L409" s="430">
        <f>IF(J408="","",J408/(J408+$J$380/60))</f>
        <v/>
      </c>
      <c r="M409" s="430" t="n"/>
      <c r="N409" s="352" t="n"/>
      <c r="O409" s="352">
        <f>IFERROR(_xlfn.XLOOKUP(E409,轮胎重量!S:S,轮胎重量!P:P),IFERROR(_xlfn.XLOOKUP(E409,轮胎重量!AB:AB,轮胎重量!Y:Y),IFERROR(_xlfn.XLOOKUP(E409,轮胎重量!AK:AK,轮胎重量!AH:AH),IFERROR(_xlfn.XLOOKUP(E409,轮胎重量!AT:AT,轮胎重量!AQ:AQ),""))))</f>
        <v/>
      </c>
      <c r="P409" s="352">
        <f>IFERROR(_xlfn.XLOOKUP(E409,硫化工艺!I:I,硫化工艺!J:J),"")</f>
        <v/>
      </c>
      <c r="Q409" s="352">
        <f>IFERROR(ROUND(1440/J409*I409*L410,0),"")</f>
        <v/>
      </c>
      <c r="R409" s="352" t="n">
        <v>44</v>
      </c>
      <c r="S409" s="352" t="n">
        <v>44</v>
      </c>
      <c r="T409" s="352" t="n">
        <v>44</v>
      </c>
      <c r="U409" s="352" t="n">
        <v>44</v>
      </c>
      <c r="V409" s="352" t="n">
        <v>44</v>
      </c>
      <c r="W409" s="352" t="n">
        <v>44</v>
      </c>
      <c r="X409" s="352" t="n">
        <v>44</v>
      </c>
      <c r="Y409" s="352" t="n">
        <v>44</v>
      </c>
      <c r="Z409" s="352" t="n">
        <v>44</v>
      </c>
      <c r="AA409" s="352" t="n">
        <v>44</v>
      </c>
      <c r="AB409" s="352" t="n">
        <v>44</v>
      </c>
      <c r="AC409" s="352" t="n">
        <v>44</v>
      </c>
      <c r="AD409" s="352" t="n">
        <v>44</v>
      </c>
      <c r="AE409" s="352" t="n">
        <v>44</v>
      </c>
      <c r="AF409" s="352" t="n">
        <v>44</v>
      </c>
      <c r="AG409" s="352" t="n">
        <v>44</v>
      </c>
      <c r="AH409" s="352" t="n">
        <v>88</v>
      </c>
      <c r="AI409" s="352" t="n">
        <v>88</v>
      </c>
      <c r="AJ409" s="352" t="n">
        <v>88</v>
      </c>
      <c r="AK409" s="352" t="n">
        <v>88</v>
      </c>
      <c r="AL409" s="352" t="n">
        <v>88</v>
      </c>
      <c r="AM409" s="352" t="n">
        <v>88</v>
      </c>
      <c r="AN409" s="352" t="n">
        <v>88</v>
      </c>
      <c r="AO409" s="352" t="n">
        <v>88</v>
      </c>
      <c r="AP409" s="352" t="n">
        <v>88</v>
      </c>
      <c r="AQ409" s="352" t="n">
        <v>88</v>
      </c>
      <c r="AR409" s="352" t="n">
        <v>88</v>
      </c>
      <c r="AS409" s="352" t="n">
        <v>88</v>
      </c>
      <c r="AT409" s="352" t="n">
        <v>88</v>
      </c>
      <c r="AU409" s="352" t="n">
        <v>88</v>
      </c>
      <c r="AV409" s="352" t="n">
        <v>88</v>
      </c>
      <c r="AW409" s="352">
        <f>IF(SUM(R409:AV409)=0,"",SUM(R409:AV409))</f>
        <v/>
      </c>
      <c r="AX409" s="431">
        <f>IFERROR(AW409*O409/1000,"")</f>
        <v/>
      </c>
      <c r="AY409" s="431">
        <f>IFERROR(ROUND(AW409*P409/10000,3),"")</f>
        <v/>
      </c>
      <c r="AZ409" s="352" t="n">
        <v>642.6823000000001</v>
      </c>
      <c r="BA409" s="352" t="n">
        <v>41.1665</v>
      </c>
      <c r="BB409" s="352" t="n">
        <v>56.5637</v>
      </c>
      <c r="BC409" s="352" t="n">
        <v>49.8138</v>
      </c>
      <c r="BD409" s="352" t="n"/>
      <c r="BE409" s="352">
        <f>AZ409*AW409</f>
        <v/>
      </c>
      <c r="BF409" s="352">
        <f>BA409*AW409</f>
        <v/>
      </c>
      <c r="BG409" s="352">
        <f>BB409*AW409</f>
        <v/>
      </c>
      <c r="BH409" s="352">
        <f>BC409*AW409</f>
        <v/>
      </c>
      <c r="BI409" s="352" t="n"/>
      <c r="BJ409" s="352">
        <f t="array" ref="BJ409:BM409">_xlfn.LET(_xlpm.data,$R409:$AV409,_xlpm.starts,{1,8,16,23},_xlpm.lengths,{7,7,8,9},_xlpm.arr,_xlfn.MAP(_xlpm.starts,_xlpm.lengths,_xlfn.LAMBDA(_xlpm.s,_xlpm.l,SUM(INDEX(_xlpm.data,,_xlfn.SEQUENCE(,_xlpm.l,_xlpm.s))))),ROUND(_xlpm.arr*$O409/1000,2))</f>
        <v/>
      </c>
      <c r="BK409" s="352" t="n">
        <v>17.07</v>
      </c>
      <c r="BL409" s="352" t="n">
        <v>36.58</v>
      </c>
      <c r="BM409" s="352" t="n">
        <v>43.9</v>
      </c>
      <c r="BN409" s="352">
        <f>SUM(BJ409:BM409)</f>
        <v/>
      </c>
      <c r="BO409" s="352" t="n">
        <v>0</v>
      </c>
      <c r="BP409" s="352" t="n">
        <v>15.97</v>
      </c>
      <c r="BQ409" s="352" t="n">
        <v>21.29</v>
      </c>
      <c r="BR409" s="352" t="n">
        <v>7.98</v>
      </c>
      <c r="BS409" s="352" t="inlineStr">
        <is>
          <t>载重</t>
        </is>
      </c>
      <c r="BT409" s="431" t="n"/>
      <c r="BU409" s="431" t="n"/>
      <c r="BV409" s="354" t="n"/>
      <c r="BW409" s="355" t="n"/>
      <c r="BX409" s="355" t="inlineStr">
        <is>
          <t>载重</t>
        </is>
      </c>
      <c r="BY409" s="362">
        <f>SUM(R409:X409)</f>
        <v/>
      </c>
      <c r="BZ409" s="362">
        <f>SUM(Y409:AE409)</f>
        <v/>
      </c>
      <c r="CA409" s="362">
        <f>SUM(AF409:AM409)</f>
        <v/>
      </c>
      <c r="CB409" s="362">
        <f>SUM(AN409:AV409)</f>
        <v/>
      </c>
      <c r="CC409" s="331" t="n"/>
      <c r="CD409" s="432" t="inlineStr">
        <is>
          <t>ADA</t>
        </is>
      </c>
      <c r="CE409" s="331">
        <f>ROUND(BY409*$O409/1000,2)</f>
        <v/>
      </c>
      <c r="CF409" s="356">
        <f>ROUND(BZ409*$O409/1000,2)</f>
        <v/>
      </c>
      <c r="CG409" s="331">
        <f>ROUND(CA409*$O409/1000,2)</f>
        <v/>
      </c>
      <c r="CH409" s="331">
        <f>ROUND(CB409*$O409/1000,2)</f>
        <v/>
      </c>
      <c r="CI409" s="331">
        <f>SUM(CE409:CH409)</f>
        <v/>
      </c>
      <c r="CK409" s="362">
        <f>IFERROR(ROUND(BY409*$P409,2),"")</f>
        <v/>
      </c>
      <c r="CL409" s="362">
        <f>IFERROR(ROUND(BZ409*$P409,2),"")</f>
        <v/>
      </c>
      <c r="CM409" s="362">
        <f>IFERROR(ROUND(CA409*$P409,2),"")</f>
        <v/>
      </c>
      <c r="CN409" s="362">
        <f>IFERROR(ROUND(CB409*$P409,2),"")</f>
        <v/>
      </c>
      <c r="CO409" s="115">
        <f>SUM(CK409:CN409)</f>
        <v/>
      </c>
      <c r="CZ409" s="390" t="n"/>
      <c r="DA409" s="362" t="n"/>
      <c r="DB409" s="362" t="n"/>
      <c r="DC409" s="362" t="n"/>
      <c r="DD409" s="362" t="n"/>
      <c r="DE409" s="362" t="n"/>
      <c r="DF409" s="390" t="n"/>
    </row>
    <row r="410" customFormat="1" s="362">
      <c r="A410" s="331" t="n"/>
      <c r="B410" s="352" t="inlineStr">
        <is>
          <t>印尼</t>
        </is>
      </c>
      <c r="C410" s="352">
        <f>IFERROR(MID(E410,FIND("-",E410)+1,2),"")</f>
        <v/>
      </c>
      <c r="D410" s="352">
        <f>"载重"&amp;C410&amp;"寸"</f>
        <v/>
      </c>
      <c r="E410" s="379">
        <f>IFERROR(LEFT(REPLACE(G410,1,2,""),FIND("[",REPLACE(G410,1,2,""))-1)&amp;"-"&amp;MID(REPLACE(G410,1,2,""),FIND("[",REPLACE(G410,1,2,""))+1,FIND("]",REPLACE(G410,1,2,""))-FIND("[",REPLACE(G410,1,2,""))-1),"")</f>
        <v/>
      </c>
      <c r="F410" s="379" t="n"/>
      <c r="G410" s="379" t="inlineStr">
        <is>
          <t>ID10.00-20-18PR[CR952]150/145G 威狮</t>
        </is>
      </c>
      <c r="H410" s="352" t="n">
        <v>560</v>
      </c>
      <c r="I410" s="370" t="n">
        <v>8</v>
      </c>
      <c r="J410" s="352" t="n">
        <v>54.8</v>
      </c>
      <c r="K410" s="331" t="n"/>
      <c r="L410" s="430">
        <f>IF(J409="","",J409/(J409+$J$380/60))</f>
        <v/>
      </c>
      <c r="M410" s="430" t="n"/>
      <c r="N410" s="352" t="n"/>
      <c r="O410" s="352">
        <f>IFERROR(_xlfn.XLOOKUP(E410,轮胎重量!S:S,轮胎重量!P:P),IFERROR(_xlfn.XLOOKUP(E410,轮胎重量!AB:AB,轮胎重量!Y:Y),IFERROR(_xlfn.XLOOKUP(E410,轮胎重量!AK:AK,轮胎重量!AH:AH),IFERROR(_xlfn.XLOOKUP(E410,轮胎重量!AT:AT,轮胎重量!AQ:AQ),""))))</f>
        <v/>
      </c>
      <c r="P410" s="352">
        <f>IFERROR(_xlfn.XLOOKUP(E410,硫化工艺!I:I,硫化工艺!J:J),"")</f>
        <v/>
      </c>
      <c r="Q410" s="352">
        <f>IFERROR(ROUND(1440/J410*I410*L411,0),"")</f>
        <v/>
      </c>
      <c r="R410" s="352" t="n"/>
      <c r="S410" s="352" t="n"/>
      <c r="T410" s="352" t="n">
        <v>44</v>
      </c>
      <c r="U410" s="352" t="n">
        <v>44</v>
      </c>
      <c r="V410" s="352" t="n">
        <v>44</v>
      </c>
      <c r="W410" s="352" t="n">
        <v>44</v>
      </c>
      <c r="X410" s="352" t="n">
        <v>44</v>
      </c>
      <c r="Y410" s="352" t="n">
        <v>44</v>
      </c>
      <c r="Z410" s="352" t="n">
        <v>44</v>
      </c>
      <c r="AA410" s="352" t="n">
        <v>44</v>
      </c>
      <c r="AB410" s="352" t="n">
        <v>44</v>
      </c>
      <c r="AC410" s="352" t="n">
        <v>44</v>
      </c>
      <c r="AD410" s="352" t="n">
        <v>44</v>
      </c>
      <c r="AE410" s="352" t="n">
        <v>44</v>
      </c>
      <c r="AF410" s="352" t="n">
        <v>44</v>
      </c>
      <c r="AG410" s="352" t="n">
        <v>44</v>
      </c>
      <c r="AH410" s="352" t="n"/>
      <c r="AI410" s="352" t="n"/>
      <c r="AJ410" s="352" t="n"/>
      <c r="AK410" s="352" t="n"/>
      <c r="AL410" s="352" t="n"/>
      <c r="AM410" s="352" t="n"/>
      <c r="AN410" s="352" t="n"/>
      <c r="AO410" s="352" t="n"/>
      <c r="AP410" s="352" t="n"/>
      <c r="AQ410" s="352" t="n"/>
      <c r="AR410" s="352" t="n"/>
      <c r="AS410" s="352" t="n"/>
      <c r="AT410" s="352" t="n"/>
      <c r="AU410" s="352" t="n"/>
      <c r="AV410" s="352" t="n"/>
      <c r="AW410" s="352">
        <f>IF(SUM(R410:AV410)=0,"",SUM(R410:AV410))</f>
        <v/>
      </c>
      <c r="AX410" s="431">
        <f>IFERROR(AW410*O410/1000,"")</f>
        <v/>
      </c>
      <c r="AY410" s="431">
        <f>IFERROR(ROUND(AW410*P410/10000,3),"")</f>
        <v/>
      </c>
      <c r="AZ410" s="352" t="n">
        <v>642.6823000000001</v>
      </c>
      <c r="BA410" s="352" t="n">
        <v>41.1665</v>
      </c>
      <c r="BB410" s="352" t="n">
        <v>56.5637</v>
      </c>
      <c r="BC410" s="352" t="n">
        <v>49.8138</v>
      </c>
      <c r="BD410" s="352" t="n"/>
      <c r="BE410" s="352">
        <f>AZ410*AW410</f>
        <v/>
      </c>
      <c r="BF410" s="352">
        <f>BA410*AW410</f>
        <v/>
      </c>
      <c r="BG410" s="352">
        <f>BB410*AW410</f>
        <v/>
      </c>
      <c r="BH410" s="352">
        <f>BC410*AW410</f>
        <v/>
      </c>
      <c r="BI410" s="352" t="n"/>
      <c r="BJ410" s="352">
        <f t="array" ref="BJ410:BM410">_xlfn.LET(_xlpm.data,$R410:$AV410,_xlpm.starts,{1,8,16,23},_xlpm.lengths,{7,7,8,9},_xlpm.arr,_xlfn.MAP(_xlpm.starts,_xlpm.lengths,_xlfn.LAMBDA(_xlpm.s,_xlpm.l,SUM(INDEX(_xlpm.data,,_xlfn.SEQUENCE(,_xlpm.l,_xlpm.s))))),ROUND(_xlpm.arr*$O410/1000,2))</f>
        <v/>
      </c>
      <c r="BK410" s="352" t="n">
        <v>17.07</v>
      </c>
      <c r="BL410" s="352" t="n">
        <v>2.44</v>
      </c>
      <c r="BM410" s="352" t="n">
        <v>0</v>
      </c>
      <c r="BN410" s="352">
        <f>SUM(BJ410:BM410)</f>
        <v/>
      </c>
      <c r="BO410" s="352" t="n">
        <v>18.63</v>
      </c>
      <c r="BP410" s="352" t="n">
        <v>18.63</v>
      </c>
      <c r="BQ410" s="352" t="n">
        <v>21.29</v>
      </c>
      <c r="BR410" s="352" t="n">
        <v>23.95</v>
      </c>
      <c r="BS410" s="352" t="inlineStr">
        <is>
          <t>载重</t>
        </is>
      </c>
      <c r="BT410" s="431" t="n"/>
      <c r="BU410" s="431" t="n"/>
      <c r="BV410" s="354" t="n"/>
      <c r="BW410" s="355" t="n"/>
      <c r="BX410" s="355" t="inlineStr">
        <is>
          <t>载重</t>
        </is>
      </c>
      <c r="BY410" s="362">
        <f>SUM(R410:X410)</f>
        <v/>
      </c>
      <c r="BZ410" s="362">
        <f>SUM(Y410:AE410)</f>
        <v/>
      </c>
      <c r="CA410" s="362">
        <f>SUM(AF410:AM410)</f>
        <v/>
      </c>
      <c r="CB410" s="362">
        <f>SUM(AN410:AV410)</f>
        <v/>
      </c>
      <c r="CC410" s="331" t="n"/>
      <c r="CD410" s="432" t="inlineStr">
        <is>
          <t>ADA</t>
        </is>
      </c>
      <c r="CE410" s="331">
        <f>ROUND(BY410*$O410/1000,2)</f>
        <v/>
      </c>
      <c r="CF410" s="356">
        <f>ROUND(BZ410*$O410/1000,2)</f>
        <v/>
      </c>
      <c r="CG410" s="331">
        <f>ROUND(CA410*$O410/1000,2)</f>
        <v/>
      </c>
      <c r="CH410" s="331">
        <f>ROUND(CB410*$O410/1000,2)</f>
        <v/>
      </c>
      <c r="CI410" s="331">
        <f>SUM(CE410:CH410)</f>
        <v/>
      </c>
      <c r="CK410" s="362">
        <f>IFERROR(ROUND(BY410*$P410,2),"")</f>
        <v/>
      </c>
      <c r="CL410" s="362">
        <f>IFERROR(ROUND(BZ410*$P410,2),"")</f>
        <v/>
      </c>
      <c r="CM410" s="362">
        <f>IFERROR(ROUND(CA410*$P410,2),"")</f>
        <v/>
      </c>
      <c r="CN410" s="362">
        <f>IFERROR(ROUND(CB410*$P410,2),"")</f>
        <v/>
      </c>
      <c r="CO410" s="115">
        <f>SUM(CK410:CN410)</f>
        <v/>
      </c>
      <c r="CZ410" s="390" t="n"/>
      <c r="DA410" s="362" t="n"/>
      <c r="DB410" s="362" t="n"/>
      <c r="DC410" s="362" t="n"/>
      <c r="DD410" s="362" t="n"/>
      <c r="DE410" s="362" t="n"/>
      <c r="DF410" s="390" t="n"/>
    </row>
    <row r="411">
      <c r="B411" s="352" t="inlineStr">
        <is>
          <t>印尼</t>
        </is>
      </c>
      <c r="C411" s="352">
        <f>IFERROR(MID(E411,FIND("-",E411)+1,2),"")</f>
        <v/>
      </c>
      <c r="D411" s="352">
        <f>"载重"&amp;C411&amp;"寸"</f>
        <v/>
      </c>
      <c r="E411" s="379">
        <f>IFERROR(LEFT(REPLACE(G411,1,2,""),FIND("[",REPLACE(G411,1,2,""))-1)&amp;"-"&amp;MID(REPLACE(G411,1,2,""),FIND("[",REPLACE(G411,1,2,""))+1,FIND("]",REPLACE(G411,1,2,""))-FIND("[",REPLACE(G411,1,2,""))-1),"")</f>
        <v/>
      </c>
      <c r="F411" s="379" t="n"/>
      <c r="G411" s="379" t="inlineStr">
        <is>
          <t>ID10.00-20-18PR[M9097]150/145G 朝阳</t>
        </is>
      </c>
      <c r="H411" s="352" t="n">
        <v>2000</v>
      </c>
      <c r="I411" s="370" t="n">
        <v>4</v>
      </c>
      <c r="J411" s="352" t="n">
        <v>54.8</v>
      </c>
      <c r="K411" s="352" t="n"/>
      <c r="L411" s="430">
        <f>IF(J410="","",J410/(J410+$J$380/60))</f>
        <v/>
      </c>
      <c r="M411" s="430" t="n"/>
      <c r="N411" s="352" t="n"/>
      <c r="O411" s="352">
        <f>IFERROR(_xlfn.XLOOKUP(E411,轮胎重量!S:S,轮胎重量!P:P),IFERROR(_xlfn.XLOOKUP(E411,轮胎重量!AB:AB,轮胎重量!Y:Y),IFERROR(_xlfn.XLOOKUP(E411,轮胎重量!AK:AK,轮胎重量!AH:AH),IFERROR(_xlfn.XLOOKUP(E411,轮胎重量!AT:AT,轮胎重量!AQ:AQ),""))))</f>
        <v/>
      </c>
      <c r="P411" s="352">
        <f>IFERROR(_xlfn.XLOOKUP(E411,硫化工艺!I:I,硫化工艺!J:J),"")</f>
        <v/>
      </c>
      <c r="Q411" s="352">
        <f>IFERROR(ROUND(1440/J411*I411*L412,0),"")</f>
        <v/>
      </c>
      <c r="R411" s="352" t="n">
        <v>44</v>
      </c>
      <c r="S411" s="352" t="n">
        <v>44</v>
      </c>
      <c r="T411" s="352" t="n">
        <v>44</v>
      </c>
      <c r="U411" s="352" t="n">
        <v>44</v>
      </c>
      <c r="V411" s="352" t="n">
        <v>44</v>
      </c>
      <c r="W411" s="352" t="n">
        <v>44</v>
      </c>
      <c r="X411" s="352" t="n">
        <v>44</v>
      </c>
      <c r="Y411" s="352" t="n">
        <v>44</v>
      </c>
      <c r="Z411" s="352" t="n">
        <v>44</v>
      </c>
      <c r="AA411" s="352" t="n">
        <v>44</v>
      </c>
      <c r="AB411" s="352" t="n">
        <v>44</v>
      </c>
      <c r="AC411" s="352" t="n">
        <v>44</v>
      </c>
      <c r="AD411" s="352" t="n">
        <v>44</v>
      </c>
      <c r="AE411" s="352" t="n">
        <v>44</v>
      </c>
      <c r="AF411" s="352" t="n">
        <v>44</v>
      </c>
      <c r="AG411" s="352" t="n">
        <v>44</v>
      </c>
      <c r="AH411" s="352" t="n">
        <v>44</v>
      </c>
      <c r="AI411" s="352" t="n">
        <v>44</v>
      </c>
      <c r="AJ411" s="352" t="n">
        <v>44</v>
      </c>
      <c r="AK411" s="352" t="n">
        <v>44</v>
      </c>
      <c r="AL411" s="352" t="n">
        <v>44</v>
      </c>
      <c r="AM411" s="352" t="n">
        <v>44</v>
      </c>
      <c r="AN411" s="352" t="n">
        <v>44</v>
      </c>
      <c r="AO411" s="352" t="n">
        <v>44</v>
      </c>
      <c r="AP411" s="352" t="n">
        <v>44</v>
      </c>
      <c r="AQ411" s="352" t="n">
        <v>44</v>
      </c>
      <c r="AR411" s="352" t="n">
        <v>44</v>
      </c>
      <c r="AS411" s="352" t="n">
        <v>44</v>
      </c>
      <c r="AT411" s="352" t="n">
        <v>44</v>
      </c>
      <c r="AU411" s="352" t="n">
        <v>44</v>
      </c>
      <c r="AV411" s="352" t="n">
        <v>44</v>
      </c>
      <c r="AW411" s="352">
        <f>IF(SUM(R411:AV411)=0,"",SUM(R411:AV411))</f>
        <v/>
      </c>
      <c r="AX411" s="431">
        <f>IFERROR(AW411*O411/1000,"")</f>
        <v/>
      </c>
      <c r="AY411" s="431">
        <f>IFERROR(ROUND(AW411*P411/10000,3),"")</f>
        <v/>
      </c>
      <c r="AZ411" s="352" t="n">
        <v>560.2288</v>
      </c>
      <c r="BA411" s="352" t="n">
        <v>37.4444</v>
      </c>
      <c r="BB411" s="352" t="n">
        <v>51.4494</v>
      </c>
      <c r="BC411" s="352" t="n">
        <v>45.3098</v>
      </c>
      <c r="BD411" s="352" t="n"/>
      <c r="BE411" s="352">
        <f>AZ411*AW411</f>
        <v/>
      </c>
      <c r="BF411" s="352">
        <f>BA411*AW411</f>
        <v/>
      </c>
      <c r="BG411" s="352">
        <f>BB411*AW411</f>
        <v/>
      </c>
      <c r="BH411" s="352">
        <f>BC411*AW411</f>
        <v/>
      </c>
      <c r="BI411" s="352" t="n"/>
      <c r="BJ411" s="352">
        <f t="array" ref="BJ411:BM411">_xlfn.LET(_xlpm.data,$R411:$AV411,_xlpm.starts,{1,8,16,23},_xlpm.lengths,{7,7,8,9},_xlpm.arr,_xlfn.MAP(_xlpm.starts,_xlpm.lengths,_xlfn.LAMBDA(_xlpm.s,_xlpm.l,SUM(INDEX(_xlpm.data,,_xlfn.SEQUENCE(,_xlpm.l,_xlpm.s))))),ROUND(_xlpm.arr*$O411/1000,2))</f>
        <v/>
      </c>
      <c r="BK411" s="352" t="n">
        <v>19.65</v>
      </c>
      <c r="BL411" s="352" t="n">
        <v>22.45</v>
      </c>
      <c r="BM411" s="352" t="n">
        <v>25.26</v>
      </c>
      <c r="BN411" s="352">
        <f>SUM(BJ411:BM411)</f>
        <v/>
      </c>
      <c r="BO411" s="352" t="n">
        <v>0</v>
      </c>
      <c r="BP411" s="352" t="n">
        <v>0</v>
      </c>
      <c r="BQ411" s="352" t="n">
        <v>0</v>
      </c>
      <c r="BR411" s="352" t="n">
        <v>15.97</v>
      </c>
      <c r="BS411" s="352" t="inlineStr">
        <is>
          <t>载重</t>
        </is>
      </c>
      <c r="BT411" s="431" t="n"/>
      <c r="BU411" s="431" t="n"/>
      <c r="BV411" s="354" t="n"/>
      <c r="BW411" s="355" t="n"/>
      <c r="BX411" s="355" t="inlineStr">
        <is>
          <t>载重</t>
        </is>
      </c>
      <c r="BY411" s="362">
        <f>SUM(R411:X411)</f>
        <v/>
      </c>
      <c r="BZ411" s="362">
        <f>SUM(Y411:AE411)</f>
        <v/>
      </c>
      <c r="CA411" s="362">
        <f>SUM(AF411:AM411)</f>
        <v/>
      </c>
      <c r="CB411" s="362">
        <f>SUM(AN411:AV411)</f>
        <v/>
      </c>
      <c r="CC411" s="331" t="n"/>
      <c r="CD411" s="432" t="inlineStr">
        <is>
          <t>ADA</t>
        </is>
      </c>
      <c r="CE411" s="331">
        <f>ROUND(BY411*$O411/1000,2)</f>
        <v/>
      </c>
      <c r="CF411" s="356">
        <f>ROUND(BZ411*$O411/1000,2)</f>
        <v/>
      </c>
      <c r="CG411" s="331">
        <f>ROUND(CA411*$O411/1000,2)</f>
        <v/>
      </c>
      <c r="CH411" s="331">
        <f>ROUND(CB411*$O411/1000,2)</f>
        <v/>
      </c>
      <c r="CI411" s="331">
        <f>SUM(CE411:CH411)</f>
        <v/>
      </c>
      <c r="CJ411" s="362" t="n"/>
      <c r="CK411" s="362">
        <f>IFERROR(ROUND(BY411*$P411,2),"")</f>
        <v/>
      </c>
      <c r="CL411" s="362">
        <f>IFERROR(ROUND(BZ411*$P411,2),"")</f>
        <v/>
      </c>
      <c r="CM411" s="362">
        <f>IFERROR(ROUND(CA411*$P411,2),"")</f>
        <v/>
      </c>
      <c r="CN411" s="362">
        <f>IFERROR(ROUND(CB411*$P411,2),"")</f>
        <v/>
      </c>
      <c r="CO411" s="115">
        <f>SUM(CK411:CN411)</f>
        <v/>
      </c>
    </row>
    <row r="412">
      <c r="B412" s="352" t="inlineStr">
        <is>
          <t>印尼</t>
        </is>
      </c>
      <c r="C412" s="352">
        <f>IFERROR(MID(E412,FIND("-",E412)+1,2),"")</f>
        <v/>
      </c>
      <c r="D412" s="352">
        <f>"载重"&amp;C412&amp;"寸"</f>
        <v/>
      </c>
      <c r="E412" s="379">
        <f>IFERROR(LEFT(REPLACE(G412,1,2,""),FIND("[",REPLACE(G412,1,2,""))-1)&amp;"-"&amp;MID(REPLACE(G412,1,2,""),FIND("[",REPLACE(G412,1,2,""))+1,FIND("]",REPLACE(G412,1,2,""))-FIND("[",REPLACE(G412,1,2,""))-1),"")</f>
        <v/>
      </c>
      <c r="F412" s="379" t="n"/>
      <c r="G412" s="379" t="inlineStr">
        <is>
          <t>ID10.00-20-18PR[M9097]150/145G 金冠</t>
        </is>
      </c>
      <c r="H412" s="352" t="n">
        <v>850</v>
      </c>
      <c r="I412" s="370" t="n">
        <v>4</v>
      </c>
      <c r="J412" s="352" t="n">
        <v>54.8</v>
      </c>
      <c r="K412" s="352" t="n"/>
      <c r="L412" s="430">
        <f>IF(J411="","",J411/(J411+$J$380/60))</f>
        <v/>
      </c>
      <c r="M412" s="430" t="n"/>
      <c r="N412" s="352" t="n"/>
      <c r="O412" s="352">
        <f>IFERROR(_xlfn.XLOOKUP(E412,轮胎重量!S:S,轮胎重量!P:P),IFERROR(_xlfn.XLOOKUP(E412,轮胎重量!AB:AB,轮胎重量!Y:Y),IFERROR(_xlfn.XLOOKUP(E412,轮胎重量!AK:AK,轮胎重量!AH:AH),IFERROR(_xlfn.XLOOKUP(E412,轮胎重量!AT:AT,轮胎重量!AQ:AQ),""))))</f>
        <v/>
      </c>
      <c r="P412" s="352">
        <f>IFERROR(_xlfn.XLOOKUP(E412,硫化工艺!I:I,硫化工艺!J:J),"")</f>
        <v/>
      </c>
      <c r="Q412" s="352">
        <f>IFERROR(ROUND(1440/J412*I412*L413,0),"")</f>
        <v/>
      </c>
      <c r="R412" s="352" t="n">
        <v>44</v>
      </c>
      <c r="S412" s="352" t="n">
        <v>44</v>
      </c>
      <c r="T412" s="352" t="n">
        <v>44</v>
      </c>
      <c r="U412" s="352" t="n">
        <v>44</v>
      </c>
      <c r="V412" s="352" t="n">
        <v>44</v>
      </c>
      <c r="W412" s="352" t="n">
        <v>44</v>
      </c>
      <c r="X412" s="352" t="n">
        <v>44</v>
      </c>
      <c r="Y412" s="352" t="n">
        <v>44</v>
      </c>
      <c r="Z412" s="352" t="n">
        <v>44</v>
      </c>
      <c r="AA412" s="352" t="n">
        <v>44</v>
      </c>
      <c r="AB412" s="352" t="n">
        <v>44</v>
      </c>
      <c r="AC412" s="352" t="n">
        <v>44</v>
      </c>
      <c r="AD412" s="352" t="n">
        <v>44</v>
      </c>
      <c r="AE412" s="352" t="n">
        <v>44</v>
      </c>
      <c r="AF412" s="352" t="n">
        <v>44</v>
      </c>
      <c r="AG412" s="352" t="n">
        <v>44</v>
      </c>
      <c r="AH412" s="352" t="n">
        <v>44</v>
      </c>
      <c r="AI412" s="352" t="n">
        <v>44</v>
      </c>
      <c r="AJ412" s="352" t="n">
        <v>44</v>
      </c>
      <c r="AK412" s="352" t="n">
        <v>44</v>
      </c>
      <c r="AL412" s="352" t="n">
        <v>44</v>
      </c>
      <c r="AM412" s="352" t="n"/>
      <c r="AN412" s="352" t="n"/>
      <c r="AO412" s="352" t="n"/>
      <c r="AP412" s="352" t="n"/>
      <c r="AQ412" s="352" t="n"/>
      <c r="AR412" s="352" t="n"/>
      <c r="AS412" s="352" t="n"/>
      <c r="AT412" s="352" t="n"/>
      <c r="AU412" s="352" t="n"/>
      <c r="AV412" s="352" t="n"/>
      <c r="AW412" s="352">
        <f>IF(SUM(R412:AV412)=0,"",SUM(R412:AV412))</f>
        <v/>
      </c>
      <c r="AX412" s="431">
        <f>IFERROR(AW412*O412/1000,"")</f>
        <v/>
      </c>
      <c r="AY412" s="431">
        <f>IFERROR(ROUND(AW412*P412/10000,3),"")</f>
        <v/>
      </c>
      <c r="AZ412" s="352" t="n">
        <v>560.2288</v>
      </c>
      <c r="BA412" s="352" t="n">
        <v>37.4444</v>
      </c>
      <c r="BB412" s="352" t="n">
        <v>51.4494</v>
      </c>
      <c r="BC412" s="352" t="n">
        <v>45.3098</v>
      </c>
      <c r="BD412" s="352" t="n"/>
      <c r="BE412" s="352">
        <f>AZ412*AW412</f>
        <v/>
      </c>
      <c r="BF412" s="352">
        <f>BA412*AW412</f>
        <v/>
      </c>
      <c r="BG412" s="352">
        <f>BB412*AW412</f>
        <v/>
      </c>
      <c r="BH412" s="352">
        <f>BC412*AW412</f>
        <v/>
      </c>
      <c r="BI412" s="352" t="n"/>
      <c r="BJ412" s="352">
        <f t="array" ref="BJ412:BM412">_xlfn.LET(_xlpm.data,$R412:$AV412,_xlpm.starts,{1,8,16,23},_xlpm.lengths,{7,7,8,9},_xlpm.arr,_xlfn.MAP(_xlpm.starts,_xlpm.lengths,_xlfn.LAMBDA(_xlpm.s,_xlpm.l,SUM(INDEX(_xlpm.data,,_xlfn.SEQUENCE(,_xlpm.l,_xlpm.s))))),ROUND(_xlpm.arr*$O412/1000,2))</f>
        <v/>
      </c>
      <c r="BK412" s="352" t="n">
        <v>19.65</v>
      </c>
      <c r="BL412" s="352" t="n">
        <v>16.84</v>
      </c>
      <c r="BM412" s="352" t="n">
        <v>0</v>
      </c>
      <c r="BN412" s="352">
        <f>SUM(BJ412:BM412)</f>
        <v/>
      </c>
      <c r="BO412" s="352" t="n">
        <v>0</v>
      </c>
      <c r="BP412" s="352" t="n">
        <v>0</v>
      </c>
      <c r="BQ412" s="352" t="n">
        <v>0</v>
      </c>
      <c r="BR412" s="352" t="n">
        <v>15.97</v>
      </c>
      <c r="BS412" s="352" t="inlineStr">
        <is>
          <t>载重</t>
        </is>
      </c>
      <c r="BT412" s="431" t="n"/>
      <c r="BU412" s="431" t="n"/>
      <c r="BV412" s="354" t="n"/>
      <c r="BW412" s="355" t="n"/>
      <c r="BX412" s="355" t="inlineStr">
        <is>
          <t>载重</t>
        </is>
      </c>
      <c r="BY412" s="362">
        <f>SUM(R412:X412)</f>
        <v/>
      </c>
      <c r="BZ412" s="362">
        <f>SUM(Y412:AE412)</f>
        <v/>
      </c>
      <c r="CA412" s="362">
        <f>SUM(AF412:AM412)</f>
        <v/>
      </c>
      <c r="CB412" s="362">
        <f>SUM(AN412:AV412)</f>
        <v/>
      </c>
      <c r="CC412" s="331" t="n"/>
      <c r="CD412" s="432" t="inlineStr">
        <is>
          <t>ADA</t>
        </is>
      </c>
      <c r="CE412" s="331">
        <f>ROUND(BY412*$O412/1000,2)</f>
        <v/>
      </c>
      <c r="CF412" s="356">
        <f>ROUND(BZ412*$O412/1000,2)</f>
        <v/>
      </c>
      <c r="CG412" s="331">
        <f>ROUND(CA412*$O412/1000,2)</f>
        <v/>
      </c>
      <c r="CH412" s="331">
        <f>ROUND(CB412*$O412/1000,2)</f>
        <v/>
      </c>
      <c r="CI412" s="331">
        <f>SUM(CE412:CH412)</f>
        <v/>
      </c>
      <c r="CJ412" s="362" t="n"/>
      <c r="CK412" s="362">
        <f>IFERROR(ROUND(BY412*$P412,2),"")</f>
        <v/>
      </c>
      <c r="CL412" s="362">
        <f>IFERROR(ROUND(BZ412*$P412,2),"")</f>
        <v/>
      </c>
      <c r="CM412" s="362">
        <f>IFERROR(ROUND(CA412*$P412,2),"")</f>
        <v/>
      </c>
      <c r="CN412" s="362">
        <f>IFERROR(ROUND(CB412*$P412,2),"")</f>
        <v/>
      </c>
      <c r="CO412" s="115">
        <f>SUM(CK412:CN412)</f>
        <v/>
      </c>
    </row>
    <row r="413" customFormat="1" s="329">
      <c r="A413" s="382" t="n"/>
      <c r="B413" s="352" t="inlineStr">
        <is>
          <t>印尼</t>
        </is>
      </c>
      <c r="C413" s="352">
        <f>IFERROR(MID(E413,FIND("-",E413)+1,2),"")</f>
        <v/>
      </c>
      <c r="D413" s="352">
        <f>"载重"&amp;C413&amp;"寸"</f>
        <v/>
      </c>
      <c r="E413" s="379">
        <f>IFERROR(LEFT(REPLACE(G413,1,2,""),FIND("[",REPLACE(G413,1,2,""))-1)&amp;"-"&amp;MID(REPLACE(G413,1,2,""),FIND("[",REPLACE(G413,1,2,""))+1,FIND("]",REPLACE(G413,1,2,""))-FIND("[",REPLACE(G413,1,2,""))-1),"")</f>
        <v/>
      </c>
      <c r="F413" s="379" t="n"/>
      <c r="G413" s="379" t="inlineStr">
        <is>
          <t>ID10.00-20-18PR[M9097]150/145G 威狮</t>
        </is>
      </c>
      <c r="H413" s="352" t="n">
        <v>1400</v>
      </c>
      <c r="I413" s="370" t="n">
        <v>4</v>
      </c>
      <c r="J413" s="370" t="n">
        <v>54.8</v>
      </c>
      <c r="K413" s="352" t="n"/>
      <c r="L413" s="430">
        <f>IF(J412="","",J412/(J412+$J$380/60))</f>
        <v/>
      </c>
      <c r="M413" s="448" t="n"/>
      <c r="N413" s="370" t="n"/>
      <c r="O413" s="352">
        <f>IFERROR(_xlfn.XLOOKUP(E413,轮胎重量!S:S,轮胎重量!P:P),IFERROR(_xlfn.XLOOKUP(E413,轮胎重量!AB:AB,轮胎重量!Y:Y),IFERROR(_xlfn.XLOOKUP(E413,轮胎重量!AK:AK,轮胎重量!AH:AH),IFERROR(_xlfn.XLOOKUP(E413,轮胎重量!AT:AT,轮胎重量!AQ:AQ),""))))</f>
        <v/>
      </c>
      <c r="P413" s="352">
        <f>IFERROR(_xlfn.XLOOKUP(E413,硫化工艺!I:I,硫化工艺!J:J),"")</f>
        <v/>
      </c>
      <c r="Q413" s="370">
        <f>IFERROR(ROUND(1440/J413*I413*L414,0),"")</f>
        <v/>
      </c>
      <c r="R413" s="352" t="n"/>
      <c r="S413" s="352" t="n"/>
      <c r="T413" s="352" t="n"/>
      <c r="U413" s="352" t="n"/>
      <c r="V413" s="352" t="n"/>
      <c r="W413" s="352" t="n"/>
      <c r="X413" s="352" t="n"/>
      <c r="Y413" s="352" t="n"/>
      <c r="Z413" s="352" t="n"/>
      <c r="AA413" s="352" t="n"/>
      <c r="AB413" s="352" t="n"/>
      <c r="AC413" s="352" t="n"/>
      <c r="AD413" s="352" t="n"/>
      <c r="AE413" s="352" t="n"/>
      <c r="AF413" s="352" t="n"/>
      <c r="AG413" s="352" t="n"/>
      <c r="AH413" s="352" t="n"/>
      <c r="AI413" s="352" t="n"/>
      <c r="AJ413" s="352" t="n"/>
      <c r="AK413" s="352" t="n"/>
      <c r="AL413" s="352" t="n"/>
      <c r="AM413" s="352" t="n">
        <v>44</v>
      </c>
      <c r="AN413" s="352" t="n">
        <v>44</v>
      </c>
      <c r="AO413" s="352" t="n">
        <v>44</v>
      </c>
      <c r="AP413" s="352" t="n">
        <v>44</v>
      </c>
      <c r="AQ413" s="352" t="n">
        <v>44</v>
      </c>
      <c r="AR413" s="352" t="n">
        <v>44</v>
      </c>
      <c r="AS413" s="352" t="n">
        <v>44</v>
      </c>
      <c r="AT413" s="352" t="n">
        <v>44</v>
      </c>
      <c r="AU413" s="352" t="n">
        <v>44</v>
      </c>
      <c r="AV413" s="352" t="n">
        <v>44</v>
      </c>
      <c r="AW413" s="352">
        <f>IF(SUM(R413:AV413)=0,"",SUM(R413:AV413))</f>
        <v/>
      </c>
      <c r="AX413" s="431">
        <f>IFERROR(AW413*O413/1000,"")</f>
        <v/>
      </c>
      <c r="AY413" s="431">
        <f>IFERROR(ROUND(AW413*P413/10000,3),"")</f>
        <v/>
      </c>
      <c r="AZ413" s="352" t="n">
        <v>575.2751</v>
      </c>
      <c r="BA413" s="352" t="n">
        <v>38.7893</v>
      </c>
      <c r="BB413" s="352" t="n">
        <v>53.2973</v>
      </c>
      <c r="BC413" s="352" t="n">
        <v>46.9372</v>
      </c>
      <c r="BD413" s="352" t="n"/>
      <c r="BE413" s="352">
        <f>AZ413*AW413</f>
        <v/>
      </c>
      <c r="BF413" s="352">
        <f>BA413*AW413</f>
        <v/>
      </c>
      <c r="BG413" s="352">
        <f>BB413*AW413</f>
        <v/>
      </c>
      <c r="BH413" s="352">
        <f>BC413*AW413</f>
        <v/>
      </c>
      <c r="BI413" s="352" t="n"/>
      <c r="BJ413" s="352">
        <f t="array" ref="BJ413:BM413">_xlfn.LET(_xlpm.data,$R413:$AV413,_xlpm.starts,{1,8,16,23},_xlpm.lengths,{7,7,8,9},_xlpm.arr,_xlfn.MAP(_xlpm.starts,_xlpm.lengths,_xlfn.LAMBDA(_xlpm.s,_xlpm.l,SUM(INDEX(_xlpm.data,,_xlfn.SEQUENCE(,_xlpm.l,_xlpm.s))))),ROUND(_xlpm.arr*$O413/1000,2))</f>
        <v/>
      </c>
      <c r="BK413" s="352" t="n">
        <v>0</v>
      </c>
      <c r="BL413" s="352" t="n">
        <v>5.61</v>
      </c>
      <c r="BM413" s="352" t="n">
        <v>25.26</v>
      </c>
      <c r="BN413" s="352">
        <f>SUM(BJ413:BM413)</f>
        <v/>
      </c>
      <c r="BO413" s="352" t="n">
        <v>18.63</v>
      </c>
      <c r="BP413" s="352" t="n">
        <v>18.63</v>
      </c>
      <c r="BQ413" s="352" t="n">
        <v>21.29</v>
      </c>
      <c r="BR413" s="352" t="n">
        <v>23.95</v>
      </c>
      <c r="BS413" s="352" t="inlineStr">
        <is>
          <t>载重</t>
        </is>
      </c>
      <c r="BT413" s="431" t="n"/>
      <c r="BU413" s="431" t="n"/>
      <c r="BV413" s="354" t="n"/>
      <c r="BW413" s="355" t="n"/>
      <c r="BX413" s="355" t="inlineStr">
        <is>
          <t>载重</t>
        </is>
      </c>
      <c r="BY413" s="362">
        <f>SUM(R413:X413)</f>
        <v/>
      </c>
      <c r="BZ413" s="362">
        <f>SUM(Y413:AE413)</f>
        <v/>
      </c>
      <c r="CA413" s="362">
        <f>SUM(AF413:AM413)</f>
        <v/>
      </c>
      <c r="CB413" s="362">
        <f>SUM(AN413:AV413)</f>
        <v/>
      </c>
      <c r="CC413" s="331" t="n"/>
      <c r="CD413" s="432" t="inlineStr">
        <is>
          <t>ADA</t>
        </is>
      </c>
      <c r="CE413" s="331">
        <f>ROUND(BY413*$O413/1000,2)</f>
        <v/>
      </c>
      <c r="CF413" s="356">
        <f>ROUND(BZ413*$O413/1000,2)</f>
        <v/>
      </c>
      <c r="CG413" s="331">
        <f>ROUND(CA413*$O413/1000,2)</f>
        <v/>
      </c>
      <c r="CH413" s="331">
        <f>ROUND(CB413*$O413/1000,2)</f>
        <v/>
      </c>
      <c r="CI413" s="331">
        <f>SUM(CE413:CH413)</f>
        <v/>
      </c>
      <c r="CJ413" s="362" t="n"/>
      <c r="CK413" s="362">
        <f>IFERROR(ROUND(BY413*$P413,2),"")</f>
        <v/>
      </c>
      <c r="CL413" s="362">
        <f>IFERROR(ROUND(BZ413*$P413,2),"")</f>
        <v/>
      </c>
      <c r="CM413" s="362">
        <f>IFERROR(ROUND(CA413*$P413,2),"")</f>
        <v/>
      </c>
      <c r="CN413" s="362">
        <f>IFERROR(ROUND(CB413*$P413,2),"")</f>
        <v/>
      </c>
      <c r="CP413" s="362" t="n"/>
      <c r="CQ413" s="362" t="n"/>
      <c r="CR413" s="362" t="n"/>
      <c r="CS413" s="362" t="n"/>
      <c r="CU413" s="362" t="n"/>
      <c r="CV413" s="362" t="n"/>
      <c r="CW413" s="362" t="n"/>
      <c r="CX413" s="362" t="n"/>
      <c r="DA413" s="362" t="n"/>
      <c r="DB413" s="362" t="n"/>
      <c r="DC413" s="362" t="n"/>
      <c r="DD413" s="362" t="n"/>
      <c r="DE413" s="362" t="n"/>
      <c r="DG413" s="362" t="n"/>
      <c r="DH413" s="362" t="n"/>
      <c r="DI413" s="362" t="n"/>
      <c r="DJ413" s="362" t="n"/>
      <c r="DK413" s="362" t="n"/>
    </row>
    <row r="414" customFormat="1" s="329">
      <c r="A414" s="382" t="n"/>
      <c r="B414" s="352" t="inlineStr">
        <is>
          <t>印尼</t>
        </is>
      </c>
      <c r="C414" s="352">
        <f>IFERROR(MID(E414,FIND("-",E414)+1,2),"")</f>
        <v/>
      </c>
      <c r="D414" s="352">
        <f>"载重"&amp;C414&amp;"寸"</f>
        <v/>
      </c>
      <c r="E414" s="379">
        <f>IFERROR(LEFT(REPLACE(G414,1,2,""),FIND("[",REPLACE(G414,1,2,""))-1)&amp;"-"&amp;MID(REPLACE(G414,1,2,""),FIND("[",REPLACE(G414,1,2,""))+1,FIND("]",REPLACE(G414,1,2,""))-FIND("[",REPLACE(G414,1,2,""))-1),"")</f>
        <v/>
      </c>
      <c r="F414" s="379" t="n"/>
      <c r="G414" s="379" t="inlineStr">
        <is>
          <t>ID10.00-20-18PR[R9037]150/145G 朝阳</t>
        </is>
      </c>
      <c r="H414" s="352" t="n">
        <v>150</v>
      </c>
      <c r="I414" s="370" t="n">
        <v>6</v>
      </c>
      <c r="J414" s="370" t="n">
        <v>54.8</v>
      </c>
      <c r="K414" s="352" t="n"/>
      <c r="L414" s="448">
        <f>IF(J413="","",J413/(J413+$J$380/60))</f>
        <v/>
      </c>
      <c r="M414" s="448" t="n"/>
      <c r="N414" s="370" t="n"/>
      <c r="O414" s="352">
        <f>IFERROR(_xlfn.XLOOKUP(E414,轮胎重量!S:S,轮胎重量!P:P),IFERROR(_xlfn.XLOOKUP(E414,轮胎重量!AB:AB,轮胎重量!Y:Y),IFERROR(_xlfn.XLOOKUP(E414,轮胎重量!AK:AK,轮胎重量!AH:AH),IFERROR(_xlfn.XLOOKUP(E414,轮胎重量!AT:AT,轮胎重量!AQ:AQ),""))))</f>
        <v/>
      </c>
      <c r="P414" s="352">
        <f>IFERROR(_xlfn.XLOOKUP(E414,硫化工艺!I:I,硫化工艺!J:J),"")</f>
        <v/>
      </c>
      <c r="Q414" s="370">
        <f>IFERROR(ROUND(1440/J414*I414*L415,0),"")</f>
        <v/>
      </c>
      <c r="R414" s="370" t="n">
        <v>44</v>
      </c>
      <c r="S414" s="370" t="n">
        <v>44</v>
      </c>
      <c r="T414" s="370" t="n">
        <v>44</v>
      </c>
      <c r="U414" s="370" t="n">
        <v>44</v>
      </c>
      <c r="V414" s="370" t="n"/>
      <c r="W414" s="370" t="n"/>
      <c r="X414" s="370" t="n"/>
      <c r="Y414" s="370" t="n"/>
      <c r="Z414" s="370" t="n"/>
      <c r="AA414" s="370" t="n"/>
      <c r="AB414" s="370" t="n"/>
      <c r="AC414" s="370" t="n"/>
      <c r="AD414" s="352" t="n"/>
      <c r="AE414" s="352" t="n"/>
      <c r="AF414" s="352" t="n"/>
      <c r="AG414" s="352" t="n"/>
      <c r="AH414" s="352" t="n"/>
      <c r="AI414" s="352" t="n"/>
      <c r="AJ414" s="352" t="n"/>
      <c r="AK414" s="352" t="n"/>
      <c r="AL414" s="352" t="n"/>
      <c r="AM414" s="352" t="n"/>
      <c r="AN414" s="352" t="n"/>
      <c r="AO414" s="352" t="n"/>
      <c r="AP414" s="352" t="n"/>
      <c r="AQ414" s="352" t="n"/>
      <c r="AR414" s="352" t="n"/>
      <c r="AS414" s="352" t="n"/>
      <c r="AT414" s="352" t="n"/>
      <c r="AU414" s="352" t="n"/>
      <c r="AV414" s="352" t="n"/>
      <c r="AW414" s="352">
        <f>IF(SUM(R414:AV414)=0,"",SUM(R414:AV414))</f>
        <v/>
      </c>
      <c r="AX414" s="431">
        <f>IFERROR(AW414*O414/1000,"")</f>
        <v/>
      </c>
      <c r="AY414" s="431">
        <f>IFERROR(ROUND(AW414*P414/10000,3),"")</f>
        <v/>
      </c>
      <c r="AZ414" s="352" t="n">
        <v>575.2751</v>
      </c>
      <c r="BA414" s="352" t="n">
        <v>38.7893</v>
      </c>
      <c r="BB414" s="352" t="n">
        <v>53.2973</v>
      </c>
      <c r="BC414" s="352" t="n">
        <v>46.9372</v>
      </c>
      <c r="BD414" s="352" t="n"/>
      <c r="BE414" s="352">
        <f>AZ414*AW414</f>
        <v/>
      </c>
      <c r="BF414" s="352">
        <f>BA414*AW414</f>
        <v/>
      </c>
      <c r="BG414" s="352">
        <f>BB414*AW414</f>
        <v/>
      </c>
      <c r="BH414" s="352">
        <f>BC414*AW414</f>
        <v/>
      </c>
      <c r="BI414" s="352" t="n"/>
      <c r="BJ414" s="352">
        <f t="array" ref="BJ414:BM414">_xlfn.LET(_xlpm.data,$R414:$AV414,_xlpm.starts,{1,8,16,23},_xlpm.lengths,{7,7,8,9},_xlpm.arr,_xlfn.MAP(_xlpm.starts,_xlpm.lengths,_xlfn.LAMBDA(_xlpm.s,_xlpm.l,SUM(INDEX(_xlpm.data,,_xlfn.SEQUENCE(,_xlpm.l,_xlpm.s))))),ROUND(_xlpm.arr*$O414/1000,2))</f>
        <v/>
      </c>
      <c r="BK414" s="352" t="n">
        <v>0</v>
      </c>
      <c r="BL414" s="352" t="n">
        <v>0</v>
      </c>
      <c r="BM414" s="352" t="n">
        <v>0</v>
      </c>
      <c r="BN414" s="352">
        <f>SUM(BJ414:BM414)</f>
        <v/>
      </c>
      <c r="BO414" s="352" t="n">
        <v>18.63</v>
      </c>
      <c r="BP414" s="352" t="n">
        <v>18.63</v>
      </c>
      <c r="BQ414" s="352" t="n">
        <v>21.29</v>
      </c>
      <c r="BR414" s="352" t="n">
        <v>23.95</v>
      </c>
      <c r="BS414" s="352" t="inlineStr">
        <is>
          <t>载重</t>
        </is>
      </c>
      <c r="BT414" s="431" t="n"/>
      <c r="BU414" s="431" t="n"/>
      <c r="BV414" s="354" t="n"/>
      <c r="BW414" s="355" t="n"/>
      <c r="BX414" s="355" t="inlineStr">
        <is>
          <t>载重</t>
        </is>
      </c>
      <c r="BY414" s="362">
        <f>SUM(R414:X414)</f>
        <v/>
      </c>
      <c r="BZ414" s="362">
        <f>SUM(Y414:AE414)</f>
        <v/>
      </c>
      <c r="CA414" s="362">
        <f>SUM(AF414:AM414)</f>
        <v/>
      </c>
      <c r="CB414" s="362">
        <f>SUM(AN414:AV414)</f>
        <v/>
      </c>
      <c r="CC414" s="331" t="n"/>
      <c r="CD414" s="432" t="inlineStr">
        <is>
          <t>ADA</t>
        </is>
      </c>
      <c r="CE414" s="331">
        <f>ROUND(BY414*$O414/1000,2)</f>
        <v/>
      </c>
      <c r="CF414" s="356">
        <f>ROUND(BZ414*$O414/1000,2)</f>
        <v/>
      </c>
      <c r="CG414" s="331">
        <f>ROUND(CA414*$O414/1000,2)</f>
        <v/>
      </c>
      <c r="CH414" s="331">
        <f>ROUND(CB414*$O414/1000,2)</f>
        <v/>
      </c>
      <c r="CI414" s="331">
        <f>SUM(CE414:CH414)</f>
        <v/>
      </c>
      <c r="CJ414" s="362" t="n"/>
      <c r="CK414" s="362">
        <f>IFERROR(ROUND(BY414*$P414,2),"")</f>
        <v/>
      </c>
      <c r="CL414" s="362">
        <f>IFERROR(ROUND(BZ414*$P414,2),"")</f>
        <v/>
      </c>
      <c r="CM414" s="362">
        <f>IFERROR(ROUND(CA414*$P414,2),"")</f>
        <v/>
      </c>
      <c r="CN414" s="362">
        <f>IFERROR(ROUND(CB414*$P414,2),"")</f>
        <v/>
      </c>
      <c r="CP414" s="362" t="n"/>
      <c r="CQ414" s="362" t="n"/>
      <c r="CR414" s="362" t="n"/>
      <c r="CS414" s="362" t="n"/>
      <c r="CU414" s="362" t="n"/>
      <c r="CV414" s="362" t="n"/>
      <c r="CW414" s="362" t="n"/>
      <c r="CX414" s="362" t="n"/>
      <c r="DA414" s="362" t="n"/>
      <c r="DB414" s="362" t="n"/>
      <c r="DC414" s="362" t="n"/>
      <c r="DD414" s="362" t="n"/>
      <c r="DE414" s="362" t="n"/>
      <c r="DG414" s="362" t="n"/>
      <c r="DH414" s="362" t="n"/>
      <c r="DI414" s="362" t="n"/>
      <c r="DJ414" s="362" t="n"/>
      <c r="DK414" s="362" t="n"/>
    </row>
    <row r="415" customFormat="1" s="362">
      <c r="A415" s="331" t="n"/>
      <c r="B415" s="352" t="inlineStr">
        <is>
          <t>印尼</t>
        </is>
      </c>
      <c r="C415" s="352">
        <f>IFERROR(MID(E415,FIND("-",E415)+1,2),"")</f>
        <v/>
      </c>
      <c r="D415" s="352">
        <f>"载重"&amp;C415&amp;"寸"</f>
        <v/>
      </c>
      <c r="E415" s="379">
        <f>IFERROR(LEFT(REPLACE(G415,1,2,""),FIND("[",REPLACE(G415,1,2,""))-1)&amp;"-"&amp;MID(REPLACE(G415,1,2,""),FIND("[",REPLACE(G415,1,2,""))+1,FIND("]",REPLACE(G415,1,2,""))-FIND("[",REPLACE(G415,1,2,""))-1),"")</f>
        <v/>
      </c>
      <c r="F415" s="379" t="n"/>
      <c r="G415" s="379" t="inlineStr">
        <is>
          <t>ID10.00-20-18PR[R9037]150/145G 金冠</t>
        </is>
      </c>
      <c r="H415" s="352" t="n">
        <v>520</v>
      </c>
      <c r="I415" s="370" t="n">
        <v>6</v>
      </c>
      <c r="J415" s="352" t="n">
        <v>58.3</v>
      </c>
      <c r="K415" s="352" t="n"/>
      <c r="L415" s="448">
        <f>IF(J414="","",J414/(J414+$J$380/60))</f>
        <v/>
      </c>
      <c r="M415" s="430" t="n"/>
      <c r="N415" s="352" t="n"/>
      <c r="O415" s="352">
        <f>IFERROR(_xlfn.XLOOKUP(E415,轮胎重量!S:S,轮胎重量!P:P),IFERROR(_xlfn.XLOOKUP(E415,轮胎重量!AB:AB,轮胎重量!Y:Y),IFERROR(_xlfn.XLOOKUP(E415,轮胎重量!AK:AK,轮胎重量!AH:AH),IFERROR(_xlfn.XLOOKUP(E415,轮胎重量!AT:AT,轮胎重量!AQ:AQ),""))))</f>
        <v/>
      </c>
      <c r="P415" s="358">
        <f>O415*14.76</f>
        <v/>
      </c>
      <c r="Q415" s="352">
        <f>IFERROR(ROUND(1440/J415*I415*L416,0),"")</f>
        <v/>
      </c>
      <c r="R415" s="352" t="n">
        <v>88</v>
      </c>
      <c r="S415" s="352" t="n">
        <v>88</v>
      </c>
      <c r="T415" s="352" t="n">
        <v>88</v>
      </c>
      <c r="U415" s="352" t="n">
        <v>88</v>
      </c>
      <c r="V415" s="352" t="n">
        <v>88</v>
      </c>
      <c r="W415" s="352" t="n">
        <v>88</v>
      </c>
      <c r="X415" s="352" t="n"/>
      <c r="Y415" s="352" t="n"/>
      <c r="Z415" s="352" t="n"/>
      <c r="AA415" s="352" t="n"/>
      <c r="AB415" s="352" t="n"/>
      <c r="AC415" s="352" t="n"/>
      <c r="AD415" s="352" t="n"/>
      <c r="AE415" s="352" t="n"/>
      <c r="AF415" s="352" t="n"/>
      <c r="AG415" s="352" t="n"/>
      <c r="AH415" s="352" t="n"/>
      <c r="AI415" s="352" t="n"/>
      <c r="AJ415" s="352" t="n"/>
      <c r="AK415" s="352" t="n"/>
      <c r="AL415" s="352" t="n"/>
      <c r="AM415" s="352" t="n"/>
      <c r="AN415" s="352" t="n"/>
      <c r="AO415" s="352" t="n"/>
      <c r="AP415" s="352" t="n"/>
      <c r="AQ415" s="352" t="n"/>
      <c r="AR415" s="352" t="n"/>
      <c r="AS415" s="352" t="n"/>
      <c r="AT415" s="352" t="n"/>
      <c r="AU415" s="352" t="n"/>
      <c r="AV415" s="352" t="n"/>
      <c r="AW415" s="352">
        <f>IF(SUM(R415:AV415)=0,"",SUM(R415:AV415))</f>
        <v/>
      </c>
      <c r="AX415" s="431">
        <f>IFERROR(AW415*O415/1000,"")</f>
        <v/>
      </c>
      <c r="AY415" s="431">
        <f>IFERROR(ROUND(AW415*P415/10000,3),"")</f>
        <v/>
      </c>
      <c r="AZ415" s="352" t="n">
        <v>700.5375</v>
      </c>
      <c r="BA415" s="352" t="n">
        <v>42.4245</v>
      </c>
      <c r="BB415" s="352" t="n">
        <v>58.2922</v>
      </c>
      <c r="BC415" s="352" t="n">
        <v>51.336</v>
      </c>
      <c r="BD415" s="352" t="n"/>
      <c r="BE415" s="352">
        <f>AZ415*AW415</f>
        <v/>
      </c>
      <c r="BF415" s="352">
        <f>BA415*AW415</f>
        <v/>
      </c>
      <c r="BG415" s="352">
        <f>BB415*AW415</f>
        <v/>
      </c>
      <c r="BH415" s="352">
        <f>BC415*AW415</f>
        <v/>
      </c>
      <c r="BI415" s="352" t="n"/>
      <c r="BJ415" s="352">
        <f t="array" ref="BJ415:BM415">_xlfn.LET(_xlpm.data,$R415:$AV415,_xlpm.starts,{1,8,16,23},_xlpm.lengths,{7,7,8,9},_xlpm.arr,_xlfn.MAP(_xlpm.starts,_xlpm.lengths,_xlfn.LAMBDA(_xlpm.s,_xlpm.l,SUM(INDEX(_xlpm.data,,_xlfn.SEQUENCE(,_xlpm.l,_xlpm.s))))),ROUND(_xlpm.arr*$O415/1000,2))</f>
        <v/>
      </c>
      <c r="BK415" s="352" t="n">
        <v>0</v>
      </c>
      <c r="BL415" s="352" t="n">
        <v>0</v>
      </c>
      <c r="BM415" s="352" t="n">
        <v>0</v>
      </c>
      <c r="BN415" s="352">
        <f>SUM(BJ415:BM415)</f>
        <v/>
      </c>
      <c r="BO415" s="352" t="n">
        <v>0</v>
      </c>
      <c r="BP415" s="352" t="n">
        <v>0</v>
      </c>
      <c r="BQ415" s="352" t="n">
        <v>0</v>
      </c>
      <c r="BR415" s="352" t="n">
        <v>0</v>
      </c>
      <c r="BS415" s="352" t="inlineStr">
        <is>
          <t>载重</t>
        </is>
      </c>
      <c r="BT415" s="431" t="n"/>
      <c r="BU415" s="431" t="n"/>
      <c r="BV415" s="354" t="n"/>
      <c r="BW415" s="355" t="n"/>
      <c r="BX415" s="355" t="inlineStr">
        <is>
          <t>载重</t>
        </is>
      </c>
      <c r="BY415" s="362">
        <f>SUM(R415:X415)</f>
        <v/>
      </c>
      <c r="BZ415" s="362">
        <f>SUM(Y415:AE415)</f>
        <v/>
      </c>
      <c r="CA415" s="362">
        <f>SUM(AF415:AM415)</f>
        <v/>
      </c>
      <c r="CB415" s="362">
        <f>SUM(AN415:AV415)</f>
        <v/>
      </c>
      <c r="CC415" s="331" t="n"/>
      <c r="CD415" s="432" t="inlineStr">
        <is>
          <t>ADA</t>
        </is>
      </c>
      <c r="CE415" s="331">
        <f>ROUND(BY415*$O415/1000,2)</f>
        <v/>
      </c>
      <c r="CF415" s="356">
        <f>ROUND(BZ415*$O415/1000,2)</f>
        <v/>
      </c>
      <c r="CG415" s="331">
        <f>ROUND(CA415*$O415/1000,2)</f>
        <v/>
      </c>
      <c r="CH415" s="331">
        <f>ROUND(CB415*$O415/1000,2)</f>
        <v/>
      </c>
      <c r="CI415" s="331">
        <f>SUM(CE415:CH415)</f>
        <v/>
      </c>
      <c r="CK415" s="362">
        <f>IFERROR(ROUND(BY415*$P415,2),"")</f>
        <v/>
      </c>
      <c r="CL415" s="362">
        <f>IFERROR(ROUND(BZ415*$P415,2),"")</f>
        <v/>
      </c>
      <c r="CM415" s="362">
        <f>IFERROR(ROUND(CA415*$P415,2),"")</f>
        <v/>
      </c>
      <c r="CN415" s="362">
        <f>IFERROR(ROUND(CB415*$P415,2),"")</f>
        <v/>
      </c>
    </row>
    <row r="416" customFormat="1" s="362">
      <c r="A416" s="331" t="n"/>
      <c r="B416" s="352" t="inlineStr">
        <is>
          <t>印尼</t>
        </is>
      </c>
      <c r="C416" s="352">
        <f>IFERROR(MID(E416,FIND("-",E416)+1,2),"")</f>
        <v/>
      </c>
      <c r="D416" s="352">
        <f>"载重"&amp;C416&amp;"寸"</f>
        <v/>
      </c>
      <c r="E416" s="379">
        <f>IFERROR(LEFT(REPLACE(G416,1,2,""),FIND("[",REPLACE(G416,1,2,""))-1)&amp;"-"&amp;MID(REPLACE(G416,1,2,""),FIND("[",REPLACE(G416,1,2,""))+1,FIND("]",REPLACE(G416,1,2,""))-FIND("[",REPLACE(G416,1,2,""))-1),"")</f>
        <v/>
      </c>
      <c r="F416" s="379" t="n"/>
      <c r="G416" s="379" t="inlineStr">
        <is>
          <t>ID10.00-20-18PR[R9037]150/145G 威狮</t>
        </is>
      </c>
      <c r="H416" s="352" t="n">
        <v>750</v>
      </c>
      <c r="I416" s="370" t="n">
        <v>6</v>
      </c>
      <c r="J416" s="352" t="n">
        <v>58.3</v>
      </c>
      <c r="K416" s="352" t="n"/>
      <c r="L416" s="430">
        <f>IF(J415="","",J415/(J415+$J$380/60))</f>
        <v/>
      </c>
      <c r="M416" s="430" t="n"/>
      <c r="N416" s="352" t="n"/>
      <c r="O416" s="352">
        <f>IFERROR(_xlfn.XLOOKUP(E416,轮胎重量!S:S,轮胎重量!P:P),IFERROR(_xlfn.XLOOKUP(E416,轮胎重量!AB:AB,轮胎重量!Y:Y),IFERROR(_xlfn.XLOOKUP(E416,轮胎重量!AK:AK,轮胎重量!AH:AH),IFERROR(_xlfn.XLOOKUP(E416,轮胎重量!AT:AT,轮胎重量!AQ:AQ),""))))</f>
        <v/>
      </c>
      <c r="P416" s="358">
        <f>O416*14.76</f>
        <v/>
      </c>
      <c r="Q416" s="352">
        <f>IFERROR(ROUND(1440/J416*I416*L417,0),"")</f>
        <v/>
      </c>
      <c r="R416" s="352" t="n"/>
      <c r="S416" s="352" t="n"/>
      <c r="T416" s="352" t="n"/>
      <c r="U416" s="352" t="n"/>
      <c r="V416" s="352" t="n"/>
      <c r="W416" s="352" t="n"/>
      <c r="X416" s="352" t="n">
        <v>88</v>
      </c>
      <c r="Y416" s="352" t="n">
        <v>88</v>
      </c>
      <c r="Z416" s="352" t="n">
        <v>88</v>
      </c>
      <c r="AA416" s="352" t="n">
        <v>88</v>
      </c>
      <c r="AB416" s="352" t="n">
        <v>88</v>
      </c>
      <c r="AC416" s="352" t="n">
        <v>88</v>
      </c>
      <c r="AD416" s="352" t="n">
        <v>88</v>
      </c>
      <c r="AE416" s="352" t="n">
        <v>88</v>
      </c>
      <c r="AF416" s="352" t="n">
        <v>88</v>
      </c>
      <c r="AG416" s="352" t="n"/>
      <c r="AH416" s="352" t="n"/>
      <c r="AI416" s="352" t="n"/>
      <c r="AJ416" s="352" t="n"/>
      <c r="AK416" s="352" t="n"/>
      <c r="AL416" s="352" t="n"/>
      <c r="AM416" s="352" t="n"/>
      <c r="AN416" s="352" t="n"/>
      <c r="AO416" s="352" t="n"/>
      <c r="AP416" s="352" t="n"/>
      <c r="AQ416" s="352" t="n"/>
      <c r="AR416" s="352" t="n"/>
      <c r="AS416" s="352" t="n"/>
      <c r="AT416" s="352" t="n"/>
      <c r="AU416" s="352" t="n"/>
      <c r="AV416" s="352" t="n"/>
      <c r="AW416" s="352">
        <f>IF(SUM(R416:AV416)=0,"",SUM(R416:AV416))</f>
        <v/>
      </c>
      <c r="AX416" s="431">
        <f>IFERROR(AW416*O416/1000,"")</f>
        <v/>
      </c>
      <c r="AY416" s="431">
        <f>IFERROR(ROUND(AW416*P416/10000,3),"")</f>
        <v/>
      </c>
      <c r="AZ416" s="352" t="n">
        <v>700.5375</v>
      </c>
      <c r="BA416" s="352" t="n">
        <v>42.4245</v>
      </c>
      <c r="BB416" s="352" t="n">
        <v>58.2922</v>
      </c>
      <c r="BC416" s="352" t="n">
        <v>51.336</v>
      </c>
      <c r="BD416" s="352" t="n"/>
      <c r="BE416" s="352">
        <f>AZ416*AW416</f>
        <v/>
      </c>
      <c r="BF416" s="352">
        <f>BA416*AW416</f>
        <v/>
      </c>
      <c r="BG416" s="352">
        <f>BB416*AW416</f>
        <v/>
      </c>
      <c r="BH416" s="352">
        <f>BC416*AW416</f>
        <v/>
      </c>
      <c r="BI416" s="352" t="n"/>
      <c r="BJ416" s="352">
        <f t="array" ref="BJ416:BM416">_xlfn.LET(_xlpm.data,$R416:$AV416,_xlpm.starts,{1,8,16,23},_xlpm.lengths,{7,7,8,9},_xlpm.arr,_xlfn.MAP(_xlpm.starts,_xlpm.lengths,_xlfn.LAMBDA(_xlpm.s,_xlpm.l,SUM(INDEX(_xlpm.data,,_xlfn.SEQUENCE(,_xlpm.l,_xlpm.s))))),ROUND(_xlpm.arr*$O416/1000,2))</f>
        <v/>
      </c>
      <c r="BK416" s="352" t="n">
        <v>37.93</v>
      </c>
      <c r="BL416" s="352" t="n">
        <v>0</v>
      </c>
      <c r="BM416" s="352" t="n">
        <v>0</v>
      </c>
      <c r="BN416" s="352">
        <f>SUM(BJ416:BM416)</f>
        <v/>
      </c>
      <c r="BO416" s="352" t="n">
        <v>0</v>
      </c>
      <c r="BP416" s="352" t="n">
        <v>0</v>
      </c>
      <c r="BQ416" s="352" t="n">
        <v>0</v>
      </c>
      <c r="BR416" s="352" t="n">
        <v>0</v>
      </c>
      <c r="BS416" s="352" t="inlineStr">
        <is>
          <t>载重</t>
        </is>
      </c>
      <c r="BT416" s="431" t="n"/>
      <c r="BU416" s="431" t="n"/>
      <c r="BV416" s="354" t="n"/>
      <c r="BW416" s="355" t="n"/>
      <c r="BX416" s="355" t="inlineStr">
        <is>
          <t>载重</t>
        </is>
      </c>
      <c r="BY416" s="362">
        <f>SUM(R416:X416)</f>
        <v/>
      </c>
      <c r="BZ416" s="362">
        <f>SUM(Y416:AE416)</f>
        <v/>
      </c>
      <c r="CA416" s="362">
        <f>SUM(AF416:AM416)</f>
        <v/>
      </c>
      <c r="CB416" s="362">
        <f>SUM(AN416:AV416)</f>
        <v/>
      </c>
      <c r="CC416" s="331" t="n"/>
      <c r="CD416" s="432" t="inlineStr">
        <is>
          <t>ADA</t>
        </is>
      </c>
      <c r="CE416" s="331">
        <f>ROUND(BY416*$O416/1000,2)</f>
        <v/>
      </c>
      <c r="CF416" s="356">
        <f>ROUND(BZ416*$O416/1000,2)</f>
        <v/>
      </c>
      <c r="CG416" s="331">
        <f>ROUND(CA416*$O416/1000,2)</f>
        <v/>
      </c>
      <c r="CH416" s="331">
        <f>ROUND(CB416*$O416/1000,2)</f>
        <v/>
      </c>
      <c r="CI416" s="331">
        <f>SUM(CE416:CH416)</f>
        <v/>
      </c>
      <c r="CK416" s="362">
        <f>IFERROR(ROUND(BY416*$P416,2),"")</f>
        <v/>
      </c>
      <c r="CL416" s="362">
        <f>IFERROR(ROUND(BZ416*$P416,2),"")</f>
        <v/>
      </c>
      <c r="CM416" s="362">
        <f>IFERROR(ROUND(CA416*$P416,2),"")</f>
        <v/>
      </c>
      <c r="CN416" s="362">
        <f>IFERROR(ROUND(CB416*$P416,2),"")</f>
        <v/>
      </c>
    </row>
    <row r="417" customFormat="1" s="362">
      <c r="A417" s="331" t="n"/>
      <c r="B417" s="352" t="inlineStr">
        <is>
          <t>印尼</t>
        </is>
      </c>
      <c r="C417" s="352">
        <f>IFERROR(MID(E417,FIND("-",E417)+1,2),"")</f>
        <v/>
      </c>
      <c r="D417" s="352">
        <f>"载重"&amp;C417&amp;"寸"</f>
        <v/>
      </c>
      <c r="E417" s="379">
        <f>IFERROR(LEFT(REPLACE(G417,1,2,""),FIND("[",REPLACE(G417,1,2,""))-1)&amp;"-"&amp;MID(REPLACE(G417,1,2,""),FIND("[",REPLACE(G417,1,2,""))+1,FIND("]",REPLACE(G417,1,2,""))-FIND("[",REPLACE(G417,1,2,""))-1),"")</f>
        <v/>
      </c>
      <c r="F417" s="379" t="n"/>
      <c r="G417" s="379" t="inlineStr">
        <is>
          <t>ID10.00-20-18PR[R9038]150/145G GOODRIDE(好运)</t>
        </is>
      </c>
      <c r="H417" s="352" t="n">
        <v>550</v>
      </c>
      <c r="I417" s="370" t="n">
        <v>6</v>
      </c>
      <c r="J417" s="352" t="n">
        <v>58.3</v>
      </c>
      <c r="K417" s="352" t="n"/>
      <c r="L417" s="430">
        <f>IF(J416="","",J416/(J416+$J$380/60))</f>
        <v/>
      </c>
      <c r="M417" s="430" t="n"/>
      <c r="N417" s="352" t="n"/>
      <c r="O417" s="352">
        <f>IFERROR(_xlfn.XLOOKUP(E417,轮胎重量!S:S,轮胎重量!P:P),IFERROR(_xlfn.XLOOKUP(E417,轮胎重量!AB:AB,轮胎重量!Y:Y),IFERROR(_xlfn.XLOOKUP(E417,轮胎重量!AK:AK,轮胎重量!AH:AH),IFERROR(_xlfn.XLOOKUP(E417,轮胎重量!AT:AT,轮胎重量!AQ:AQ),""))))</f>
        <v/>
      </c>
      <c r="P417" s="352">
        <f>IFERROR(_xlfn.XLOOKUP(E417,硫化工艺!I:I,硫化工艺!J:J),"")</f>
        <v/>
      </c>
      <c r="Q417" s="352">
        <f>IFERROR(ROUND(1440/J417*I417*L418,0),"")</f>
        <v/>
      </c>
      <c r="R417" s="352" t="n"/>
      <c r="S417" s="352" t="n"/>
      <c r="T417" s="352" t="n"/>
      <c r="U417" s="352" t="n"/>
      <c r="V417" s="352" t="n"/>
      <c r="W417" s="352" t="n"/>
      <c r="X417" s="352" t="n"/>
      <c r="Y417" s="352" t="n"/>
      <c r="Z417" s="352" t="n"/>
      <c r="AA417" s="352" t="n"/>
      <c r="AB417" s="352" t="n"/>
      <c r="AC417" s="352" t="n"/>
      <c r="AD417" s="352" t="n"/>
      <c r="AE417" s="352" t="n"/>
      <c r="AF417" s="352" t="n"/>
      <c r="AG417" s="352" t="n"/>
      <c r="AH417" s="352" t="n"/>
      <c r="AI417" s="352" t="n"/>
      <c r="AJ417" s="352" t="n"/>
      <c r="AK417" s="352" t="n"/>
      <c r="AL417" s="358" t="n"/>
      <c r="AM417" s="352" t="n"/>
      <c r="AN417" s="352" t="n"/>
      <c r="AO417" s="352" t="n"/>
      <c r="AP417" s="352" t="n">
        <v>88</v>
      </c>
      <c r="AQ417" s="352" t="n">
        <v>88</v>
      </c>
      <c r="AR417" s="352" t="n">
        <v>88</v>
      </c>
      <c r="AS417" s="352" t="n">
        <v>88</v>
      </c>
      <c r="AT417" s="352" t="n">
        <v>88</v>
      </c>
      <c r="AU417" s="352" t="n">
        <v>88</v>
      </c>
      <c r="AV417" s="352" t="n">
        <v>88</v>
      </c>
      <c r="AW417" s="352">
        <f>IF(SUM(R417:AV417)=0,"",SUM(R417:AV417))</f>
        <v/>
      </c>
      <c r="AX417" s="431">
        <f>IFERROR(AW417*O417/1000,"")</f>
        <v/>
      </c>
      <c r="AY417" s="431">
        <f>IFERROR(ROUND(AW417*P417/10000,3),"")</f>
        <v/>
      </c>
      <c r="AZ417" s="352" t="n">
        <v>700.5375</v>
      </c>
      <c r="BA417" s="352" t="n">
        <v>42.4245</v>
      </c>
      <c r="BB417" s="352" t="n">
        <v>58.2922</v>
      </c>
      <c r="BC417" s="352" t="n">
        <v>51.336</v>
      </c>
      <c r="BD417" s="352" t="n"/>
      <c r="BE417" s="352">
        <f>AZ417*AW417</f>
        <v/>
      </c>
      <c r="BF417" s="352">
        <f>BA417*AW417</f>
        <v/>
      </c>
      <c r="BG417" s="352">
        <f>BB417*AW417</f>
        <v/>
      </c>
      <c r="BH417" s="352">
        <f>BC417*AW417</f>
        <v/>
      </c>
      <c r="BI417" s="352" t="n"/>
      <c r="BJ417" s="352">
        <f t="array" ref="BJ417:BM417">_xlfn.LET(_xlpm.data,$R417:$AV417,_xlpm.starts,{1,8,16,23},_xlpm.lengths,{7,7,8,9},_xlpm.arr,_xlfn.MAP(_xlpm.starts,_xlpm.lengths,_xlfn.LAMBDA(_xlpm.s,_xlpm.l,SUM(INDEX(_xlpm.data,,_xlfn.SEQUENCE(,_xlpm.l,_xlpm.s))))),ROUND(_xlpm.arr*$O417/1000,2))</f>
        <v/>
      </c>
      <c r="BK417" s="352" t="n">
        <v>0</v>
      </c>
      <c r="BL417" s="352" t="n">
        <v>0</v>
      </c>
      <c r="BM417" s="352" t="n">
        <v>36.62</v>
      </c>
      <c r="BN417" s="352">
        <f>SUM(BJ417:BM417)</f>
        <v/>
      </c>
      <c r="BO417" s="352" t="n">
        <v>0</v>
      </c>
      <c r="BP417" s="352" t="n">
        <v>0</v>
      </c>
      <c r="BQ417" s="352" t="n">
        <v>0</v>
      </c>
      <c r="BR417" s="352" t="n">
        <v>0</v>
      </c>
      <c r="BS417" s="352" t="inlineStr">
        <is>
          <t>载重</t>
        </is>
      </c>
      <c r="BT417" s="431" t="n"/>
      <c r="BU417" s="431" t="n"/>
      <c r="BV417" s="354" t="n"/>
      <c r="BW417" s="355" t="n"/>
      <c r="BX417" s="355" t="inlineStr">
        <is>
          <t>载重</t>
        </is>
      </c>
      <c r="BY417" s="362">
        <f>SUM(R417:X417)</f>
        <v/>
      </c>
      <c r="BZ417" s="362">
        <f>SUM(Y417:AE417)</f>
        <v/>
      </c>
      <c r="CA417" s="362">
        <f>SUM(AF417:AM417)</f>
        <v/>
      </c>
      <c r="CB417" s="362">
        <f>SUM(AN417:AV417)</f>
        <v/>
      </c>
      <c r="CC417" s="331" t="n"/>
      <c r="CD417" s="432" t="inlineStr">
        <is>
          <t>ADA</t>
        </is>
      </c>
      <c r="CE417" s="331">
        <f>ROUND(BY417*$O417/1000,2)</f>
        <v/>
      </c>
      <c r="CF417" s="356">
        <f>ROUND(BZ417*$O417/1000,2)</f>
        <v/>
      </c>
      <c r="CG417" s="331">
        <f>ROUND(CA417*$O417/1000,2)</f>
        <v/>
      </c>
      <c r="CH417" s="331">
        <f>ROUND(CB417*$O417/1000,2)</f>
        <v/>
      </c>
      <c r="CI417" s="331">
        <f>SUM(CE417:CH417)</f>
        <v/>
      </c>
      <c r="CK417" s="362">
        <f>IFERROR(ROUND(BY417*$P417,2),"")</f>
        <v/>
      </c>
      <c r="CL417" s="362">
        <f>IFERROR(ROUND(BZ417*$P417,2),"")</f>
        <v/>
      </c>
      <c r="CM417" s="362">
        <f>IFERROR(ROUND(CA417*$P417,2),"")</f>
        <v/>
      </c>
      <c r="CN417" s="362">
        <f>IFERROR(ROUND(CB417*$P417,2),"")</f>
        <v/>
      </c>
    </row>
    <row r="418" hidden="1" customFormat="1" s="362">
      <c r="A418" s="331" t="n"/>
      <c r="B418" s="352" t="inlineStr">
        <is>
          <t>印尼</t>
        </is>
      </c>
      <c r="C418" s="352">
        <f>IFERROR(MID(E418,FIND("-",E418)+1,2),"")</f>
        <v/>
      </c>
      <c r="D418" s="352">
        <f>"载重"&amp;C418&amp;"寸"</f>
        <v/>
      </c>
      <c r="E418" s="379">
        <f>IFERROR(LEFT(REPLACE(G418,1,2,""),FIND("[",REPLACE(G418,1,2,""))-1)&amp;"-"&amp;MID(REPLACE(G418,1,2,""),FIND("[",REPLACE(G418,1,2,""))+1,FIND("]",REPLACE(G418,1,2,""))-FIND("[",REPLACE(G418,1,2,""))-1),"")</f>
        <v/>
      </c>
      <c r="F418" s="379" t="n"/>
      <c r="G418" s="379" t="inlineStr">
        <is>
          <t>ID11.00-20-18PR[CL969]153/148G 朝阳</t>
        </is>
      </c>
      <c r="H418" s="352" t="n">
        <v>100</v>
      </c>
      <c r="I418" s="370" t="n">
        <v>2</v>
      </c>
      <c r="J418" s="352" t="n">
        <v>58.3</v>
      </c>
      <c r="K418" s="352" t="n"/>
      <c r="L418" s="430">
        <f>IF(J397="","",J397/(J397+$J$380/60))</f>
        <v/>
      </c>
      <c r="M418" s="430" t="n"/>
      <c r="N418" s="352" t="n"/>
      <c r="O418" s="352">
        <f>IFERROR(_xlfn.XLOOKUP(E418,轮胎重量!S:S,轮胎重量!P:P),IFERROR(_xlfn.XLOOKUP(E418,轮胎重量!AB:AB,轮胎重量!Y:Y),IFERROR(_xlfn.XLOOKUP(E418,轮胎重量!AK:AK,轮胎重量!AH:AH),IFERROR(_xlfn.XLOOKUP(E418,轮胎重量!AT:AT,轮胎重量!AQ:AQ),""))))</f>
        <v/>
      </c>
      <c r="P418" s="358">
        <f>O418*14.76</f>
        <v/>
      </c>
      <c r="Q418" s="352">
        <f>IFERROR(ROUND(1440/J418*I418*L419,0),"")</f>
        <v/>
      </c>
      <c r="R418" s="352" t="n"/>
      <c r="S418" s="352" t="n"/>
      <c r="T418" s="352" t="n"/>
      <c r="U418" s="352" t="n"/>
      <c r="V418" s="352" t="n"/>
      <c r="W418" s="352" t="n"/>
      <c r="X418" s="352" t="n"/>
      <c r="Y418" s="352" t="n"/>
      <c r="Z418" s="352" t="n"/>
      <c r="AA418" s="352" t="n"/>
      <c r="AB418" s="352" t="n"/>
      <c r="AC418" s="352" t="n"/>
      <c r="AD418" s="352" t="n"/>
      <c r="AE418" s="352" t="n"/>
      <c r="AF418" s="352" t="n"/>
      <c r="AG418" s="352" t="n"/>
      <c r="AH418" s="352" t="n"/>
      <c r="AI418" s="352" t="n"/>
      <c r="AJ418" s="352" t="n"/>
      <c r="AK418" s="352" t="n"/>
      <c r="AL418" s="358" t="n"/>
      <c r="AM418" s="352" t="n"/>
      <c r="AN418" s="352" t="n"/>
      <c r="AO418" s="352" t="n"/>
      <c r="AP418" s="352" t="n"/>
      <c r="AQ418" s="352" t="n"/>
      <c r="AR418" s="352" t="n"/>
      <c r="AS418" s="352" t="n"/>
      <c r="AT418" s="352" t="n"/>
      <c r="AU418" s="352" t="n"/>
      <c r="AV418" s="352" t="n"/>
      <c r="AW418" s="352">
        <f>IF(SUM(R418:AV418)=0,"",SUM(R418:AV418))</f>
        <v/>
      </c>
      <c r="AX418" s="431">
        <f>IFERROR(AW418*O418/1000,"")</f>
        <v/>
      </c>
      <c r="AY418" s="431">
        <f>IFERROR(ROUND(AW418*P418/10000,3),"")</f>
        <v/>
      </c>
      <c r="AZ418" s="352" t="n">
        <v>715.7485</v>
      </c>
      <c r="BA418" s="352" t="n">
        <v>42.8224</v>
      </c>
      <c r="BB418" s="352" t="n">
        <v>58.839</v>
      </c>
      <c r="BC418" s="352" t="n">
        <v>51.8175</v>
      </c>
      <c r="BD418" s="352" t="n"/>
      <c r="BE418" s="352">
        <f>AZ418*AW418</f>
        <v/>
      </c>
      <c r="BF418" s="352">
        <f>BA418*AW418</f>
        <v/>
      </c>
      <c r="BG418" s="352">
        <f>BB418*AW418</f>
        <v/>
      </c>
      <c r="BH418" s="352">
        <f>BC418*AW418</f>
        <v/>
      </c>
      <c r="BI418" s="352" t="n"/>
      <c r="BJ418" s="352">
        <f t="array" ref="BJ418:BM418">_xlfn.LET(_xlpm.data,$R418:$AV418,_xlpm.starts,{1,8,16,23},_xlpm.lengths,{7,7,8,9},_xlpm.arr,_xlfn.MAP(_xlpm.starts,_xlpm.lengths,_xlfn.LAMBDA(_xlpm.s,_xlpm.l,SUM(INDEX(_xlpm.data,,_xlfn.SEQUENCE(,_xlpm.l,_xlpm.s))))),ROUND(_xlpm.arr*$O418/1000,2))</f>
        <v/>
      </c>
      <c r="BK418" s="352" t="n">
        <v>0</v>
      </c>
      <c r="BL418" s="352" t="n">
        <v>0</v>
      </c>
      <c r="BM418" s="352" t="n">
        <v>0</v>
      </c>
      <c r="BN418" s="352">
        <f>SUM(BJ418:BM418)</f>
        <v/>
      </c>
      <c r="BO418" s="352" t="n">
        <v>5.51</v>
      </c>
      <c r="BP418" s="352" t="n">
        <v>19.29</v>
      </c>
      <c r="BQ418" s="352" t="n">
        <v>5.51</v>
      </c>
      <c r="BR418" s="352" t="n">
        <v>0</v>
      </c>
      <c r="BS418" s="352" t="inlineStr">
        <is>
          <t>载重</t>
        </is>
      </c>
      <c r="BT418" s="431" t="n"/>
      <c r="BU418" s="431" t="n"/>
      <c r="BV418" s="354" t="n"/>
      <c r="BW418" s="355" t="n"/>
      <c r="BX418" s="355" t="inlineStr">
        <is>
          <t>载重</t>
        </is>
      </c>
      <c r="BY418" s="362">
        <f>SUM(R418:X418)</f>
        <v/>
      </c>
      <c r="BZ418" s="362">
        <f>SUM(Y418:AE418)</f>
        <v/>
      </c>
      <c r="CA418" s="362">
        <f>SUM(AF418:AM418)</f>
        <v/>
      </c>
      <c r="CB418" s="362">
        <f>SUM(AN418:AV418)</f>
        <v/>
      </c>
      <c r="CC418" s="331" t="n"/>
      <c r="CD418" s="432" t="inlineStr">
        <is>
          <t>ADA</t>
        </is>
      </c>
      <c r="CE418" s="331">
        <f>ROUND(BY418*$O418/1000,2)</f>
        <v/>
      </c>
      <c r="CF418" s="356">
        <f>ROUND(BZ418*$O418/1000,2)</f>
        <v/>
      </c>
      <c r="CG418" s="331">
        <f>ROUND(CA418*$O418/1000,2)</f>
        <v/>
      </c>
      <c r="CH418" s="331">
        <f>ROUND(CB418*$O418/1000,2)</f>
        <v/>
      </c>
      <c r="CI418" s="331">
        <f>SUM(CE418:CH418)</f>
        <v/>
      </c>
      <c r="CK418" s="362">
        <f>IFERROR(ROUND(BY418*$P418,2),"")</f>
        <v/>
      </c>
      <c r="CL418" s="362">
        <f>IFERROR(ROUND(BZ418*$P418,2),"")</f>
        <v/>
      </c>
      <c r="CM418" s="362">
        <f>IFERROR(ROUND(CA418*$P418,2),"")</f>
        <v/>
      </c>
      <c r="CN418" s="362">
        <f>IFERROR(ROUND(CB418*$P418,2),"")</f>
        <v/>
      </c>
      <c r="CO418" s="115">
        <f>SUM(CK418:CN418)</f>
        <v/>
      </c>
      <c r="CZ418" s="390" t="n"/>
      <c r="DA418" s="362" t="n"/>
      <c r="DB418" s="362" t="n"/>
      <c r="DC418" s="362" t="n"/>
      <c r="DD418" s="362" t="n"/>
      <c r="DE418" s="362" t="n"/>
      <c r="DF418" s="390" t="n"/>
    </row>
    <row r="419" customFormat="1" s="362">
      <c r="A419" s="331" t="n"/>
      <c r="B419" s="352" t="inlineStr">
        <is>
          <t>印尼</t>
        </is>
      </c>
      <c r="C419" s="352">
        <f>IFERROR(MID(E419,FIND("-",E419)+1,2),"")</f>
        <v/>
      </c>
      <c r="D419" s="352">
        <f>"载重"&amp;C419&amp;"寸"</f>
        <v/>
      </c>
      <c r="E419" s="379">
        <f>IFERROR(LEFT(REPLACE(G419,1,2,""),FIND("[",REPLACE(G419,1,2,""))-1)&amp;"-"&amp;MID(REPLACE(G419,1,2,""),FIND("[",REPLACE(G419,1,2,""))+1,FIND("]",REPLACE(G419,1,2,""))-FIND("[",REPLACE(G419,1,2,""))-1),"")</f>
        <v/>
      </c>
      <c r="F419" s="379" t="n"/>
      <c r="G419" s="379" t="inlineStr">
        <is>
          <t>ID11.00-20-18PR[CL969]153/148G 金冠</t>
        </is>
      </c>
      <c r="H419" s="352" t="n">
        <v>750</v>
      </c>
      <c r="I419" s="370" t="n">
        <v>2</v>
      </c>
      <c r="J419" s="352" t="n">
        <v>58.3</v>
      </c>
      <c r="K419" s="352" t="n"/>
      <c r="L419" s="430">
        <f>IF(J418="","",J418/(J418+$J$380/60))</f>
        <v/>
      </c>
      <c r="M419" s="430" t="n"/>
      <c r="N419" s="352" t="n"/>
      <c r="O419" s="352">
        <f>IFERROR(_xlfn.XLOOKUP(E419,轮胎重量!S:S,轮胎重量!P:P),IFERROR(_xlfn.XLOOKUP(E419,轮胎重量!AB:AB,轮胎重量!Y:Y),IFERROR(_xlfn.XLOOKUP(E419,轮胎重量!AK:AK,轮胎重量!AH:AH),IFERROR(_xlfn.XLOOKUP(E419,轮胎重量!AT:AT,轮胎重量!AQ:AQ),""))))</f>
        <v/>
      </c>
      <c r="P419" s="358">
        <f>O419*14.76</f>
        <v/>
      </c>
      <c r="Q419" s="352">
        <f>IFERROR(ROUND(1440/J419*I419*L420,0),"")</f>
        <v/>
      </c>
      <c r="R419" s="352" t="n"/>
      <c r="S419" s="352" t="n"/>
      <c r="T419" s="352" t="n"/>
      <c r="U419" s="352" t="n"/>
      <c r="V419" s="352" t="n"/>
      <c r="W419" s="352" t="n"/>
      <c r="X419" s="352" t="n"/>
      <c r="Y419" s="352" t="n"/>
      <c r="Z419" s="352" t="n"/>
      <c r="AA419" s="352" t="n"/>
      <c r="AB419" s="352" t="n"/>
      <c r="AC419" s="352" t="n"/>
      <c r="AD419" s="352" t="n"/>
      <c r="AE419" s="352" t="n"/>
      <c r="AF419" s="352" t="n"/>
      <c r="AG419" s="352" t="n">
        <v>44</v>
      </c>
      <c r="AH419" s="352" t="n">
        <v>44</v>
      </c>
      <c r="AI419" s="352" t="n">
        <v>44</v>
      </c>
      <c r="AJ419" s="352" t="n">
        <v>44</v>
      </c>
      <c r="AK419" s="352" t="n">
        <v>44</v>
      </c>
      <c r="AL419" s="352" t="n">
        <v>44</v>
      </c>
      <c r="AM419" s="352" t="n">
        <v>44</v>
      </c>
      <c r="AN419" s="352" t="n">
        <v>44</v>
      </c>
      <c r="AO419" s="352" t="n">
        <v>44</v>
      </c>
      <c r="AP419" s="352" t="n">
        <v>44</v>
      </c>
      <c r="AQ419" s="352" t="n">
        <v>44</v>
      </c>
      <c r="AR419" s="352" t="n">
        <v>44</v>
      </c>
      <c r="AS419" s="352" t="n">
        <v>44</v>
      </c>
      <c r="AT419" s="352" t="n">
        <v>44</v>
      </c>
      <c r="AU419" s="352" t="n">
        <v>44</v>
      </c>
      <c r="AV419" s="352" t="n">
        <v>44</v>
      </c>
      <c r="AW419" s="352">
        <f>IF(SUM(R419:AV419)=0,"",SUM(R419:AV419))</f>
        <v/>
      </c>
      <c r="AX419" s="431">
        <f>IFERROR(AW419*O419/1000,"")</f>
        <v/>
      </c>
      <c r="AY419" s="431">
        <f>IFERROR(ROUND(AW419*P419/10000,3),"")</f>
        <v/>
      </c>
      <c r="AZ419" s="352" t="n">
        <v>700.5375</v>
      </c>
      <c r="BA419" s="352" t="n">
        <v>42.4245</v>
      </c>
      <c r="BB419" s="352" t="n">
        <v>58.2922</v>
      </c>
      <c r="BC419" s="352" t="n">
        <v>51.336</v>
      </c>
      <c r="BD419" s="352" t="n"/>
      <c r="BE419" s="352">
        <f>AZ419*AW419</f>
        <v/>
      </c>
      <c r="BF419" s="352">
        <f>BA419*AW419</f>
        <v/>
      </c>
      <c r="BG419" s="352">
        <f>BB419*AW419</f>
        <v/>
      </c>
      <c r="BH419" s="352">
        <f>BC419*AW419</f>
        <v/>
      </c>
      <c r="BI419" s="352" t="n"/>
      <c r="BJ419" s="352">
        <f t="array" ref="BJ419:BM419">_xlfn.LET(_xlpm.data,$R419:$AV419,_xlpm.starts,{1,8,16,23},_xlpm.lengths,{7,7,8,9},_xlpm.arr,_xlfn.MAP(_xlpm.starts,_xlpm.lengths,_xlfn.LAMBDA(_xlpm.s,_xlpm.l,SUM(INDEX(_xlpm.data,,_xlfn.SEQUENCE(,_xlpm.l,_xlpm.s))))),ROUND(_xlpm.arr*$O419/1000,2))</f>
        <v/>
      </c>
      <c r="BK419" s="352" t="n">
        <v>0</v>
      </c>
      <c r="BL419" s="352" t="n">
        <v>20.75</v>
      </c>
      <c r="BM419" s="352" t="n">
        <v>23.35</v>
      </c>
      <c r="BN419" s="352">
        <f>SUM(BJ419:BM419)</f>
        <v/>
      </c>
      <c r="BO419" s="352" t="n">
        <v>0</v>
      </c>
      <c r="BP419" s="352" t="n">
        <v>0</v>
      </c>
      <c r="BQ419" s="352" t="n">
        <v>16.54</v>
      </c>
      <c r="BR419" s="352" t="n">
        <v>24.8</v>
      </c>
      <c r="BS419" s="352" t="inlineStr">
        <is>
          <t>载重</t>
        </is>
      </c>
      <c r="BT419" s="431" t="n"/>
      <c r="BU419" s="431" t="n"/>
      <c r="BV419" s="354" t="n"/>
      <c r="BW419" s="355" t="n"/>
      <c r="BX419" s="355" t="inlineStr">
        <is>
          <t>载重</t>
        </is>
      </c>
      <c r="BY419" s="362">
        <f>SUM(R419:X419)</f>
        <v/>
      </c>
      <c r="BZ419" s="362">
        <f>SUM(Y419:AE419)</f>
        <v/>
      </c>
      <c r="CA419" s="362">
        <f>SUM(AF419:AM419)</f>
        <v/>
      </c>
      <c r="CB419" s="362">
        <f>SUM(AN419:AV419)</f>
        <v/>
      </c>
      <c r="CC419" s="331" t="n"/>
      <c r="CD419" s="432" t="inlineStr">
        <is>
          <t>ADA</t>
        </is>
      </c>
      <c r="CE419" s="331">
        <f>ROUND(BY419*$O419/1000,2)</f>
        <v/>
      </c>
      <c r="CF419" s="356">
        <f>ROUND(BZ419*$O419/1000,2)</f>
        <v/>
      </c>
      <c r="CG419" s="331">
        <f>ROUND(CA419*$O419/1000,2)</f>
        <v/>
      </c>
      <c r="CH419" s="331">
        <f>ROUND(CB419*$O419/1000,2)</f>
        <v/>
      </c>
      <c r="CI419" s="331">
        <f>SUM(CE419:CH419)</f>
        <v/>
      </c>
      <c r="CJ419" s="362" t="n">
        <v>248</v>
      </c>
      <c r="CK419" s="362">
        <f>IFERROR(ROUND(BY419*$P419,2),"")</f>
        <v/>
      </c>
      <c r="CL419" s="362">
        <f>IFERROR(ROUND(BZ419*$P419,2),"")</f>
        <v/>
      </c>
      <c r="CM419" s="362">
        <f>IFERROR(ROUND(CA419*$P419,2),"")</f>
        <v/>
      </c>
      <c r="CN419" s="362">
        <f>IFERROR(ROUND(CB419*$P419,2),"")</f>
        <v/>
      </c>
      <c r="CO419" s="115">
        <f>SUM(CK419:CN419)</f>
        <v/>
      </c>
      <c r="CZ419" s="390" t="n"/>
      <c r="DA419" s="362" t="n"/>
      <c r="DB419" s="362" t="n"/>
      <c r="DC419" s="362" t="n"/>
      <c r="DD419" s="362" t="n"/>
      <c r="DE419" s="362" t="n"/>
      <c r="DF419" s="390" t="n"/>
    </row>
    <row r="420" hidden="1" s="428">
      <c r="B420" s="352" t="inlineStr">
        <is>
          <t>印尼</t>
        </is>
      </c>
      <c r="C420" s="352">
        <f>IFERROR(MID(E420,FIND("-",E420)+1,2),"")</f>
        <v/>
      </c>
      <c r="D420" s="352">
        <f>"载重"&amp;C420&amp;"寸"</f>
        <v/>
      </c>
      <c r="E420" s="379">
        <f>IFERROR(LEFT(REPLACE(G420,1,2,""),FIND("[",REPLACE(G420,1,2,""))-1)&amp;"-"&amp;MID(REPLACE(G420,1,2,""),FIND("[",REPLACE(G420,1,2,""))+1,FIND("]",REPLACE(G420,1,2,""))-FIND("[",REPLACE(G420,1,2,""))-1),"")</f>
        <v/>
      </c>
      <c r="F420" s="379" t="n"/>
      <c r="G420" s="379" t="inlineStr">
        <is>
          <t>ID11.00-20-18PR[CL969]153/148G 威狮</t>
        </is>
      </c>
      <c r="H420" s="352" t="n">
        <v>100</v>
      </c>
      <c r="I420" s="370" t="n">
        <v>2</v>
      </c>
      <c r="J420" s="352" t="n">
        <v>58.3</v>
      </c>
      <c r="K420" s="352" t="n"/>
      <c r="L420" s="430">
        <f>IF(J419="","",J419/(J419+$J$380/60))</f>
        <v/>
      </c>
      <c r="M420" s="430" t="n"/>
      <c r="N420" s="352" t="n"/>
      <c r="O420" s="352">
        <f>IFERROR(_xlfn.XLOOKUP(E420,轮胎重量!S:S,轮胎重量!P:P),IFERROR(_xlfn.XLOOKUP(E420,轮胎重量!AB:AB,轮胎重量!Y:Y),IFERROR(_xlfn.XLOOKUP(E420,轮胎重量!AK:AK,轮胎重量!AH:AH),IFERROR(_xlfn.XLOOKUP(E420,轮胎重量!AT:AT,轮胎重量!AQ:AQ),""))))</f>
        <v/>
      </c>
      <c r="P420" s="358">
        <f>O420*14.76</f>
        <v/>
      </c>
      <c r="Q420" s="352">
        <f>IFERROR(ROUND(1440/J420*I420*L421,0),"")</f>
        <v/>
      </c>
      <c r="R420" s="352" t="n"/>
      <c r="S420" s="352" t="n"/>
      <c r="T420" s="352" t="n"/>
      <c r="U420" s="352" t="n"/>
      <c r="V420" s="352" t="n"/>
      <c r="W420" s="352" t="n"/>
      <c r="X420" s="352" t="n"/>
      <c r="Y420" s="352" t="n"/>
      <c r="Z420" s="352" t="n"/>
      <c r="AA420" s="352" t="n"/>
      <c r="AB420" s="352" t="n"/>
      <c r="AC420" s="352" t="n"/>
      <c r="AD420" s="352" t="n"/>
      <c r="AE420" s="352" t="n"/>
      <c r="AF420" s="352" t="n"/>
      <c r="AG420" s="352" t="n"/>
      <c r="AH420" s="352" t="n"/>
      <c r="AI420" s="352" t="n"/>
      <c r="AJ420" s="352" t="n"/>
      <c r="AK420" s="352" t="n"/>
      <c r="AL420" s="352" t="n"/>
      <c r="AM420" s="352" t="n"/>
      <c r="AN420" s="352" t="n"/>
      <c r="AO420" s="352" t="n"/>
      <c r="AP420" s="352" t="n"/>
      <c r="AQ420" s="352" t="n"/>
      <c r="AR420" s="352" t="n"/>
      <c r="AS420" s="352" t="n"/>
      <c r="AT420" s="352" t="n"/>
      <c r="AU420" s="352" t="n"/>
      <c r="AV420" s="352" t="n"/>
      <c r="AW420" s="352">
        <f>IF(SUM(R420:AV420)=0,"",SUM(R420:AV420))</f>
        <v/>
      </c>
      <c r="AX420" s="431">
        <f>IFERROR(AW420*O420/1000,"")</f>
        <v/>
      </c>
      <c r="AY420" s="431">
        <f>IFERROR(ROUND(AW420*P420/10000,3),"")</f>
        <v/>
      </c>
      <c r="AZ420" s="355" t="n">
        <v>700.5375</v>
      </c>
      <c r="BA420" s="355" t="n">
        <v>42.4245</v>
      </c>
      <c r="BB420" s="355" t="n">
        <v>58.2922</v>
      </c>
      <c r="BC420" s="355" t="n">
        <v>51.336</v>
      </c>
      <c r="BE420" s="331">
        <f>AZ420*AW420</f>
        <v/>
      </c>
      <c r="BF420" s="331">
        <f>BA420*AW420</f>
        <v/>
      </c>
      <c r="BG420" s="331">
        <f>BB420*AW420</f>
        <v/>
      </c>
      <c r="BH420" s="331">
        <f>BC420*AW420</f>
        <v/>
      </c>
      <c r="BJ420" s="356">
        <f t="array" ref="BJ420:BM420">_xlfn.LET(_xlpm.data,$R420:$AV420,_xlpm.starts,{1,8,16,23},_xlpm.lengths,{7,7,8,9},_xlpm.arr,_xlfn.MAP(_xlpm.starts,_xlpm.lengths,_xlfn.LAMBDA(_xlpm.s,_xlpm.l,SUM(INDEX(_xlpm.data,,_xlfn.SEQUENCE(,_xlpm.l,_xlpm.s))))),ROUND(_xlpm.arr*$O420/1000,2))</f>
        <v/>
      </c>
      <c r="BK420" s="331" t="n">
        <v>0</v>
      </c>
      <c r="BL420" s="331" t="n">
        <v>0</v>
      </c>
      <c r="BM420" s="331" t="n">
        <v>0</v>
      </c>
      <c r="BN420" s="362">
        <f>SUM(BJ420:BM420)</f>
        <v/>
      </c>
      <c r="BO420" s="362" t="n">
        <v>0</v>
      </c>
      <c r="BP420" s="362" t="n">
        <v>0</v>
      </c>
      <c r="BQ420" s="362" t="n">
        <v>16.54</v>
      </c>
      <c r="BR420" s="362" t="n">
        <v>24.8</v>
      </c>
      <c r="BS420" s="367" t="inlineStr">
        <is>
          <t>载重</t>
        </is>
      </c>
      <c r="BX420" s="357" t="inlineStr">
        <is>
          <t>载重</t>
        </is>
      </c>
      <c r="BY420" s="362">
        <f>SUM(R420:X420)</f>
        <v/>
      </c>
      <c r="BZ420" s="362">
        <f>SUM(Y420:AE420)</f>
        <v/>
      </c>
      <c r="CA420" s="362">
        <f>SUM(AF420:AM420)</f>
        <v/>
      </c>
      <c r="CB420" s="362">
        <f>SUM(AN420:AV420)</f>
        <v/>
      </c>
      <c r="CD420" s="432" t="inlineStr">
        <is>
          <t>ADA</t>
        </is>
      </c>
      <c r="CE420" s="384">
        <f>ROUND(BY420*$O420/1000,2)</f>
        <v/>
      </c>
      <c r="CF420" s="380">
        <f>ROUND(BZ420*$O420/1000,2)</f>
        <v/>
      </c>
      <c r="CG420" s="380">
        <f>ROUND(CA420*$O420/1000,2)</f>
        <v/>
      </c>
      <c r="CH420" s="380">
        <f>ROUND(CB420*$O420/1000,2)</f>
        <v/>
      </c>
      <c r="CI420" s="362">
        <f>SUM(CE420:CH420)</f>
        <v/>
      </c>
      <c r="CJ420" s="390" t="n">
        <v>248</v>
      </c>
      <c r="CK420" s="362">
        <f>IFERROR(ROUND(BY420*$P420,2),"")</f>
        <v/>
      </c>
      <c r="CL420" s="362">
        <f>IFERROR(ROUND(BZ420*$P420,2),"")</f>
        <v/>
      </c>
      <c r="CM420" s="362">
        <f>IFERROR(ROUND(CA420*$P420,2),"")</f>
        <v/>
      </c>
      <c r="CN420" s="362">
        <f>IFERROR(ROUND(CB420*$P420,2),"")</f>
        <v/>
      </c>
      <c r="CO420" s="362">
        <f>SUM(CK420:CN420)</f>
        <v/>
      </c>
    </row>
    <row r="421">
      <c r="B421" s="352" t="inlineStr">
        <is>
          <t>印尼</t>
        </is>
      </c>
      <c r="C421" s="352">
        <f>IFERROR(MID(E421,FIND("-",E421)+1,2),"")</f>
        <v/>
      </c>
      <c r="D421" s="352">
        <f>"载重"&amp;C421&amp;"寸"</f>
        <v/>
      </c>
      <c r="E421" s="379">
        <f>IFERROR(LEFT(REPLACE(G421,1,2,""),FIND("[",REPLACE(G421,1,2,""))-1)&amp;"-"&amp;MID(REPLACE(G421,1,2,""),FIND("[",REPLACE(G421,1,2,""))+1,FIND("]",REPLACE(G421,1,2,""))-FIND("[",REPLACE(G421,1,2,""))-1),"")</f>
        <v/>
      </c>
      <c r="F421" s="379" t="n"/>
      <c r="G421" s="379" t="inlineStr">
        <is>
          <t>ID11.00-20-18PR[CR952]153/148G TRAZANO(全诺)</t>
        </is>
      </c>
      <c r="H421" s="352" t="n">
        <v>1000</v>
      </c>
      <c r="I421" s="370" t="n">
        <v>8</v>
      </c>
      <c r="J421" s="352" t="n">
        <v>58.3</v>
      </c>
      <c r="K421" s="352" t="n"/>
      <c r="L421" s="430">
        <f>IF(J420="","",J420/(J420+$J$380/60))</f>
        <v/>
      </c>
      <c r="M421" s="430" t="n"/>
      <c r="N421" s="352" t="n"/>
      <c r="O421" s="352">
        <f>IFERROR(_xlfn.XLOOKUP(E421,轮胎重量!S:S,轮胎重量!P:P),IFERROR(_xlfn.XLOOKUP(E421,轮胎重量!AB:AB,轮胎重量!Y:Y),IFERROR(_xlfn.XLOOKUP(E421,轮胎重量!AK:AK,轮胎重量!AH:AH),IFERROR(_xlfn.XLOOKUP(E421,轮胎重量!AT:AT,轮胎重量!AQ:AQ),""))))</f>
        <v/>
      </c>
      <c r="P421" s="352">
        <f>IFERROR(_xlfn.XLOOKUP(E421,硫化工艺!I:I,硫化工艺!J:J),"")</f>
        <v/>
      </c>
      <c r="Q421" s="352">
        <f>IFERROR(ROUND(1440/J421*I421*L422,0),"")</f>
        <v/>
      </c>
      <c r="R421" s="352" t="n"/>
      <c r="S421" s="352" t="n"/>
      <c r="T421" s="352" t="n"/>
      <c r="U421" s="352" t="n"/>
      <c r="V421" s="352" t="n"/>
      <c r="W421" s="352" t="n"/>
      <c r="X421" s="352" t="n"/>
      <c r="Y421" s="352" t="n"/>
      <c r="Z421" s="352" t="n">
        <v>44</v>
      </c>
      <c r="AA421" s="352" t="n">
        <v>44</v>
      </c>
      <c r="AB421" s="352" t="n">
        <v>44</v>
      </c>
      <c r="AC421" s="352" t="n">
        <v>44</v>
      </c>
      <c r="AD421" s="352" t="n">
        <v>44</v>
      </c>
      <c r="AE421" s="352" t="n">
        <v>44</v>
      </c>
      <c r="AF421" s="352" t="n">
        <v>44</v>
      </c>
      <c r="AG421" s="352" t="n">
        <v>44</v>
      </c>
      <c r="AH421" s="352" t="n">
        <v>44</v>
      </c>
      <c r="AI421" s="352" t="n">
        <v>44</v>
      </c>
      <c r="AJ421" s="352" t="n">
        <v>44</v>
      </c>
      <c r="AK421" s="352" t="n">
        <v>44</v>
      </c>
      <c r="AL421" s="352" t="n">
        <v>44</v>
      </c>
      <c r="AM421" s="352" t="n">
        <v>44</v>
      </c>
      <c r="AN421" s="352" t="n">
        <v>44</v>
      </c>
      <c r="AO421" s="352" t="n">
        <v>44</v>
      </c>
      <c r="AP421" s="352" t="n">
        <v>44</v>
      </c>
      <c r="AQ421" s="352" t="n">
        <v>44</v>
      </c>
      <c r="AR421" s="352" t="n">
        <v>44</v>
      </c>
      <c r="AS421" s="352" t="n">
        <v>44</v>
      </c>
      <c r="AT421" s="352" t="n">
        <v>44</v>
      </c>
      <c r="AU421" s="352" t="n">
        <v>44</v>
      </c>
      <c r="AV421" s="352" t="n">
        <v>44</v>
      </c>
      <c r="AW421" s="352">
        <f>IF(SUM(R421:AV421)=0,"",SUM(R421:AV421))</f>
        <v/>
      </c>
      <c r="AX421" s="431">
        <f>IFERROR(AW421*O421/1000,"")</f>
        <v/>
      </c>
      <c r="AY421" s="431">
        <f>IFERROR(ROUND(AW421*P421/10000,3),"")</f>
        <v/>
      </c>
      <c r="AZ421" s="355" t="n">
        <v>700.5375</v>
      </c>
      <c r="BA421" s="355" t="n">
        <v>42.4245</v>
      </c>
      <c r="BB421" s="355" t="n">
        <v>58.2922</v>
      </c>
      <c r="BC421" s="355" t="n">
        <v>51.336</v>
      </c>
      <c r="BE421" s="331">
        <f>AZ421*AW421</f>
        <v/>
      </c>
      <c r="BF421" s="331">
        <f>BA421*AW421</f>
        <v/>
      </c>
      <c r="BG421" s="331">
        <f>BB421*AW421</f>
        <v/>
      </c>
      <c r="BH421" s="331">
        <f>BC421*AW421</f>
        <v/>
      </c>
      <c r="BJ421" s="356">
        <f t="array" ref="BJ421:BM421">_xlfn.LET(_xlpm.data,$R421:$AV421,_xlpm.starts,{1,8,16,23},_xlpm.lengths,{7,7,8,9},_xlpm.arr,_xlfn.MAP(_xlpm.starts,_xlpm.lengths,_xlfn.LAMBDA(_xlpm.s,_xlpm.l,SUM(INDEX(_xlpm.data,,_xlfn.SEQUENCE(,_xlpm.l,_xlpm.s))))),ROUND(_xlpm.arr*$O421/1000,2))</f>
        <v/>
      </c>
      <c r="BK421" s="331" t="n">
        <v>15.11</v>
      </c>
      <c r="BL421" s="331" t="n">
        <v>20.14</v>
      </c>
      <c r="BM421" s="331" t="n">
        <v>22.66</v>
      </c>
      <c r="BN421" s="362">
        <f>SUM(BJ421:BM421)</f>
        <v/>
      </c>
      <c r="BO421" s="362" t="n">
        <v>0</v>
      </c>
      <c r="BP421" s="362" t="n">
        <v>0</v>
      </c>
      <c r="BQ421" s="362" t="n">
        <v>16.54</v>
      </c>
      <c r="BR421" s="362" t="n">
        <v>24.8</v>
      </c>
      <c r="BS421" s="367" t="inlineStr">
        <is>
          <t>载重</t>
        </is>
      </c>
      <c r="BX421" s="357" t="inlineStr">
        <is>
          <t>载重</t>
        </is>
      </c>
      <c r="BY421" s="362">
        <f>SUM(R421:X421)</f>
        <v/>
      </c>
      <c r="BZ421" s="362">
        <f>SUM(Y421:AE421)</f>
        <v/>
      </c>
      <c r="CA421" s="362">
        <f>SUM(AF421:AM421)</f>
        <v/>
      </c>
      <c r="CB421" s="362">
        <f>SUM(AN421:AV421)</f>
        <v/>
      </c>
      <c r="CD421" s="432" t="inlineStr">
        <is>
          <t>ADA</t>
        </is>
      </c>
      <c r="CE421" s="384">
        <f>ROUND(BY421*$O421/1000,2)</f>
        <v/>
      </c>
      <c r="CF421" s="380">
        <f>ROUND(BZ421*$O421/1000,2)</f>
        <v/>
      </c>
      <c r="CG421" s="380">
        <f>ROUND(CA421*$O421/1000,2)</f>
        <v/>
      </c>
      <c r="CH421" s="380">
        <f>ROUND(CB421*$O421/1000,2)</f>
        <v/>
      </c>
      <c r="CI421" s="362">
        <f>SUM(CE421:CH421)</f>
        <v/>
      </c>
      <c r="CJ421" s="390" t="n">
        <v>248</v>
      </c>
      <c r="CK421" s="362">
        <f>IFERROR(ROUND(BY421*$P421,2),"")</f>
        <v/>
      </c>
      <c r="CL421" s="362">
        <f>IFERROR(ROUND(BZ421*$P421,2),"")</f>
        <v/>
      </c>
      <c r="CM421" s="362">
        <f>IFERROR(ROUND(CA421*$P421,2),"")</f>
        <v/>
      </c>
      <c r="CN421" s="362">
        <f>IFERROR(ROUND(CB421*$P421,2),"")</f>
        <v/>
      </c>
      <c r="CO421" s="362">
        <f>SUM(CK421:CN421)</f>
        <v/>
      </c>
    </row>
    <row r="422">
      <c r="B422" s="352" t="inlineStr">
        <is>
          <t>印尼</t>
        </is>
      </c>
      <c r="C422" s="352">
        <f>IFERROR(MID(E422,FIND("-",E422)+1,2),"")</f>
        <v/>
      </c>
      <c r="D422" s="352">
        <f>"载重"&amp;C422&amp;"寸"</f>
        <v/>
      </c>
      <c r="E422" s="379">
        <f>IFERROR(LEFT(REPLACE(G422,1,2,""),FIND("[",REPLACE(G422,1,2,""))-1)&amp;"-"&amp;MID(REPLACE(G422,1,2,""),FIND("[",REPLACE(G422,1,2,""))+1,FIND("]",REPLACE(G422,1,2,""))-FIND("[",REPLACE(G422,1,2,""))-1),"")</f>
        <v/>
      </c>
      <c r="F422" s="379" t="n"/>
      <c r="G422" s="379" t="inlineStr">
        <is>
          <t>ID11.00-20-18PR[CR952]153/148G 朝阳</t>
        </is>
      </c>
      <c r="H422" s="352" t="n">
        <v>120</v>
      </c>
      <c r="I422" s="370" t="n">
        <v>8</v>
      </c>
      <c r="J422" s="352" t="n">
        <v>58.3</v>
      </c>
      <c r="K422" s="352" t="n"/>
      <c r="L422" s="430">
        <f>IF(J421="","",J421/(J421+$J$380/60))</f>
        <v/>
      </c>
      <c r="M422" s="430" t="n"/>
      <c r="N422" s="352" t="n"/>
      <c r="O422" s="352">
        <f>IFERROR(_xlfn.XLOOKUP(E422,轮胎重量!S:S,轮胎重量!P:P),IFERROR(_xlfn.XLOOKUP(E422,轮胎重量!AB:AB,轮胎重量!Y:Y),IFERROR(_xlfn.XLOOKUP(E422,轮胎重量!AK:AK,轮胎重量!AH:AH),IFERROR(_xlfn.XLOOKUP(E422,轮胎重量!AT:AT,轮胎重量!AQ:AQ),""))))</f>
        <v/>
      </c>
      <c r="P422" s="352">
        <f>IFERROR(_xlfn.XLOOKUP(E422,硫化工艺!I:I,硫化工艺!J:J),"")</f>
        <v/>
      </c>
      <c r="Q422" s="352">
        <f>IFERROR(ROUND(1440/J422*I422*L423,0),"")</f>
        <v/>
      </c>
      <c r="R422" s="352" t="n"/>
      <c r="S422" s="352" t="n"/>
      <c r="T422" s="352" t="n"/>
      <c r="U422" s="352" t="n"/>
      <c r="V422" s="352" t="n"/>
      <c r="W422" s="352" t="n">
        <v>44</v>
      </c>
      <c r="X422" s="352" t="n">
        <v>44</v>
      </c>
      <c r="Y422" s="352" t="n">
        <v>44</v>
      </c>
      <c r="Z422" s="352" t="n"/>
      <c r="AA422" s="352" t="n"/>
      <c r="AB422" s="352" t="n"/>
      <c r="AC422" s="352" t="n"/>
      <c r="AD422" s="352" t="n"/>
      <c r="AE422" s="352" t="n"/>
      <c r="AF422" s="352" t="n"/>
      <c r="AG422" s="352" t="n"/>
      <c r="AH422" s="352" t="n"/>
      <c r="AI422" s="352" t="n"/>
      <c r="AJ422" s="352" t="n"/>
      <c r="AK422" s="352" t="n"/>
      <c r="AL422" s="352" t="n"/>
      <c r="AM422" s="352" t="n"/>
      <c r="AN422" s="352" t="n"/>
      <c r="AO422" s="352" t="n"/>
      <c r="AP422" s="352" t="n"/>
      <c r="AQ422" s="352" t="n"/>
      <c r="AR422" s="352" t="n"/>
      <c r="AS422" s="352" t="n"/>
      <c r="AT422" s="352" t="n"/>
      <c r="AU422" s="352" t="n"/>
      <c r="AV422" s="352" t="n"/>
      <c r="AW422" s="352">
        <f>IF(SUM(R422:AV422)=0,"",SUM(R422:AV422))</f>
        <v/>
      </c>
      <c r="AX422" s="431">
        <f>IFERROR(AW422*O422/1000,"")</f>
        <v/>
      </c>
      <c r="AY422" s="431">
        <f>IFERROR(ROUND(AW422*P422/10000,3),"")</f>
        <v/>
      </c>
      <c r="AZ422" s="355" t="n">
        <v>715.7485</v>
      </c>
      <c r="BA422" s="355" t="n">
        <v>42.8224</v>
      </c>
      <c r="BB422" s="355" t="n">
        <v>58.839</v>
      </c>
      <c r="BC422" s="355" t="n">
        <v>51.8175</v>
      </c>
      <c r="BE422" s="331">
        <f>AZ422*AW422</f>
        <v/>
      </c>
      <c r="BF422" s="331">
        <f>BA422*AW422</f>
        <v/>
      </c>
      <c r="BG422" s="331">
        <f>BB422*AW422</f>
        <v/>
      </c>
      <c r="BH422" s="331">
        <f>BC422*AW422</f>
        <v/>
      </c>
      <c r="BJ422" s="356">
        <f t="array" ref="BJ422:BM422">_xlfn.LET(_xlpm.data,$R422:$AV422,_xlpm.starts,{1,8,16,23},_xlpm.lengths,{7,7,8,9},_xlpm.arr,_xlfn.MAP(_xlpm.starts,_xlpm.lengths,_xlfn.LAMBDA(_xlpm.s,_xlpm.l,SUM(INDEX(_xlpm.data,,_xlfn.SEQUENCE(,_xlpm.l,_xlpm.s))))),ROUND(_xlpm.arr*$O422/1000,2))</f>
        <v/>
      </c>
      <c r="BK422" s="331" t="n">
        <v>2.52</v>
      </c>
      <c r="BL422" s="331" t="n">
        <v>0</v>
      </c>
      <c r="BM422" s="331" t="n">
        <v>0</v>
      </c>
      <c r="BN422" s="362">
        <f>SUM(BJ422:BM422)</f>
        <v/>
      </c>
      <c r="BO422" s="362" t="n">
        <v>19.29</v>
      </c>
      <c r="BP422" s="362" t="n">
        <v>13.78</v>
      </c>
      <c r="BQ422" s="362" t="n">
        <v>0</v>
      </c>
      <c r="BR422" s="362" t="n">
        <v>0</v>
      </c>
      <c r="BS422" s="367" t="inlineStr">
        <is>
          <t>载重</t>
        </is>
      </c>
      <c r="BX422" s="357" t="inlineStr">
        <is>
          <t>载重</t>
        </is>
      </c>
      <c r="BY422" s="362">
        <f>SUM(R422:X422)</f>
        <v/>
      </c>
      <c r="BZ422" s="362">
        <f>SUM(Y422:AE422)</f>
        <v/>
      </c>
      <c r="CA422" s="362">
        <f>SUM(AF422:AM422)</f>
        <v/>
      </c>
      <c r="CB422" s="362">
        <f>SUM(AN422:AV422)</f>
        <v/>
      </c>
      <c r="CD422" s="432" t="inlineStr">
        <is>
          <t>ADA</t>
        </is>
      </c>
      <c r="CE422" s="384">
        <f>ROUND(BY422*$O422/1000,2)</f>
        <v/>
      </c>
      <c r="CF422" s="380">
        <f>ROUND(BZ422*$O422/1000,2)</f>
        <v/>
      </c>
      <c r="CG422" s="380">
        <f>ROUND(CA422*$O422/1000,2)</f>
        <v/>
      </c>
      <c r="CH422" s="380">
        <f>ROUND(CB422*$O422/1000,2)</f>
        <v/>
      </c>
      <c r="CI422" s="362">
        <f>SUM(CE422:CH422)</f>
        <v/>
      </c>
      <c r="CK422" s="362">
        <f>IFERROR(ROUND(BY422*$P422,2),"")</f>
        <v/>
      </c>
      <c r="CL422" s="362">
        <f>IFERROR(ROUND(BZ422*$P422,2),"")</f>
        <v/>
      </c>
      <c r="CM422" s="362">
        <f>IFERROR(ROUND(CA422*$P422,2),"")</f>
        <v/>
      </c>
      <c r="CN422" s="362">
        <f>IFERROR(ROUND(CB422*$P422,2),"")</f>
        <v/>
      </c>
      <c r="CO422" s="362">
        <f>SUM(CK422:CN422)</f>
        <v/>
      </c>
    </row>
    <row r="423" customFormat="1" s="362">
      <c r="A423" s="331" t="n"/>
      <c r="B423" s="352" t="inlineStr">
        <is>
          <t>印尼</t>
        </is>
      </c>
      <c r="C423" s="352">
        <f>IFERROR(MID(E423,FIND("-",E423)+1,2),"")</f>
        <v/>
      </c>
      <c r="D423" s="352">
        <f>"载重"&amp;C423&amp;"寸"</f>
        <v/>
      </c>
      <c r="E423" s="379">
        <f>IFERROR(LEFT(REPLACE(G423,1,2,""),FIND("[",REPLACE(G423,1,2,""))-1)&amp;"-"&amp;MID(REPLACE(G423,1,2,""),FIND("[",REPLACE(G423,1,2,""))+1,FIND("]",REPLACE(G423,1,2,""))-FIND("[",REPLACE(G423,1,2,""))-1),"")</f>
        <v/>
      </c>
      <c r="F423" s="379" t="n"/>
      <c r="G423" s="379" t="inlineStr">
        <is>
          <t>ID11.00-20-18PR[CR952]153/148G 金冠</t>
        </is>
      </c>
      <c r="H423" s="352" t="n">
        <v>250</v>
      </c>
      <c r="I423" s="370" t="n">
        <v>8</v>
      </c>
      <c r="J423" s="352" t="n">
        <v>58.3</v>
      </c>
      <c r="K423" s="359" t="n"/>
      <c r="L423" s="430">
        <f>IF(J422="","",J422/(J422+$J$380/60))</f>
        <v/>
      </c>
      <c r="M423" s="430" t="n"/>
      <c r="N423" s="352" t="n"/>
      <c r="O423" s="352">
        <f>IFERROR(_xlfn.XLOOKUP(E423,轮胎重量!S:S,轮胎重量!P:P),IFERROR(_xlfn.XLOOKUP(E423,轮胎重量!AB:AB,轮胎重量!Y:Y),IFERROR(_xlfn.XLOOKUP(E423,轮胎重量!AK:AK,轮胎重量!AH:AH),IFERROR(_xlfn.XLOOKUP(E423,轮胎重量!AT:AT,轮胎重量!AQ:AQ),""))))</f>
        <v/>
      </c>
      <c r="P423" s="358">
        <f>O423*14.76</f>
        <v/>
      </c>
      <c r="Q423" s="352">
        <f>IFERROR(ROUND(1440/J423*I423*L424,0),"")</f>
        <v/>
      </c>
      <c r="R423" s="352" t="n">
        <v>44</v>
      </c>
      <c r="S423" s="352" t="n">
        <v>44</v>
      </c>
      <c r="T423" s="352" t="n">
        <v>44</v>
      </c>
      <c r="U423" s="352" t="n">
        <v>44</v>
      </c>
      <c r="V423" s="352" t="n">
        <v>44</v>
      </c>
      <c r="W423" s="352" t="n"/>
      <c r="X423" s="352" t="n"/>
      <c r="Y423" s="352" t="n"/>
      <c r="Z423" s="352" t="n"/>
      <c r="AA423" s="352" t="n"/>
      <c r="AB423" s="352" t="n"/>
      <c r="AC423" s="352" t="n"/>
      <c r="AD423" s="352" t="n"/>
      <c r="AE423" s="352" t="n"/>
      <c r="AF423" s="352" t="n"/>
      <c r="AG423" s="352" t="n"/>
      <c r="AH423" s="352" t="n"/>
      <c r="AI423" s="352" t="n"/>
      <c r="AJ423" s="352" t="n"/>
      <c r="AK423" s="352" t="n"/>
      <c r="AL423" s="352" t="n"/>
      <c r="AM423" s="352" t="n"/>
      <c r="AN423" s="352" t="n"/>
      <c r="AO423" s="352" t="n"/>
      <c r="AP423" s="352" t="n"/>
      <c r="AQ423" s="352" t="n"/>
      <c r="AR423" s="352" t="n"/>
      <c r="AS423" s="352" t="n"/>
      <c r="AT423" s="352" t="n"/>
      <c r="AU423" s="352" t="n"/>
      <c r="AV423" s="352" t="n"/>
      <c r="AW423" s="352">
        <f>IF(SUM(R423:AV423)=0,"",SUM(R423:AV423))</f>
        <v/>
      </c>
      <c r="AX423" s="431">
        <f>IFERROR(AW423*O423/1000,"")</f>
        <v/>
      </c>
      <c r="AY423" s="431">
        <f>IFERROR(ROUND(AW423*P423/10000,3),"")</f>
        <v/>
      </c>
      <c r="AZ423" s="355" t="n">
        <v>715.7485</v>
      </c>
      <c r="BA423" s="355" t="n">
        <v>42.8224</v>
      </c>
      <c r="BB423" s="355" t="n">
        <v>58.839</v>
      </c>
      <c r="BC423" s="355" t="n">
        <v>51.8175</v>
      </c>
      <c r="BD423" s="331" t="n"/>
      <c r="BE423" s="331">
        <f>AZ423*AW423</f>
        <v/>
      </c>
      <c r="BF423" s="331">
        <f>BA423*AW423</f>
        <v/>
      </c>
      <c r="BG423" s="331">
        <f>BB423*AW423</f>
        <v/>
      </c>
      <c r="BH423" s="331">
        <f>BC423*AW423</f>
        <v/>
      </c>
      <c r="BI423" s="331" t="n"/>
      <c r="BJ423" s="356">
        <f t="array" ref="BJ423:BM423">_xlfn.LET(_xlpm.data,$R423:$AV423,_xlpm.starts,{1,8,16,23},_xlpm.lengths,{7,7,8,9},_xlpm.arr,_xlfn.MAP(_xlpm.starts,_xlpm.lengths,_xlfn.LAMBDA(_xlpm.s,_xlpm.l,SUM(INDEX(_xlpm.data,,_xlfn.SEQUENCE(,_xlpm.l,_xlpm.s))))),ROUND(_xlpm.arr*$O423/1000,2))</f>
        <v/>
      </c>
      <c r="BK423" s="331" t="n">
        <v>0</v>
      </c>
      <c r="BL423" s="331" t="n">
        <v>0</v>
      </c>
      <c r="BM423" s="331" t="n">
        <v>0</v>
      </c>
      <c r="BN423" s="362">
        <f>SUM(BJ423:BM423)</f>
        <v/>
      </c>
      <c r="BO423" s="362" t="n">
        <v>19.29</v>
      </c>
      <c r="BP423" s="362" t="n">
        <v>13.78</v>
      </c>
      <c r="BQ423" s="362" t="n">
        <v>0</v>
      </c>
      <c r="BR423" s="362" t="n">
        <v>0</v>
      </c>
      <c r="BS423" s="367" t="inlineStr">
        <is>
          <t>载重</t>
        </is>
      </c>
      <c r="BX423" s="357" t="inlineStr">
        <is>
          <t>载重</t>
        </is>
      </c>
      <c r="BY423" s="362">
        <f>SUM(R423:X423)</f>
        <v/>
      </c>
      <c r="BZ423" s="362">
        <f>SUM(Y423:AE423)</f>
        <v/>
      </c>
      <c r="CA423" s="362">
        <f>SUM(AF423:AM423)</f>
        <v/>
      </c>
      <c r="CB423" s="362">
        <f>SUM(AN423:AV423)</f>
        <v/>
      </c>
      <c r="CD423" s="432" t="inlineStr">
        <is>
          <t>ADA</t>
        </is>
      </c>
      <c r="CE423" s="384">
        <f>ROUND(BY423*$O423/1000,2)</f>
        <v/>
      </c>
      <c r="CF423" s="380">
        <f>ROUND(BZ423*$O423/1000,2)</f>
        <v/>
      </c>
      <c r="CG423" s="380">
        <f>ROUND(CA423*$O423/1000,2)</f>
        <v/>
      </c>
      <c r="CH423" s="380">
        <f>ROUND(CB423*$O423/1000,2)</f>
        <v/>
      </c>
      <c r="CI423" s="362">
        <f>SUM(CE423:CH423)</f>
        <v/>
      </c>
      <c r="CJ423" s="390" t="n">
        <v>40</v>
      </c>
      <c r="CK423" s="362">
        <f>IFERROR(ROUND(BY423*$P423,2),"")</f>
        <v/>
      </c>
      <c r="CL423" s="362">
        <f>IFERROR(ROUND(BZ423*$P423,2),"")</f>
        <v/>
      </c>
      <c r="CM423" s="362">
        <f>IFERROR(ROUND(CA423*$P423,2),"")</f>
        <v/>
      </c>
      <c r="CN423" s="362">
        <f>IFERROR(ROUND(CB423*$P423,2),"")</f>
        <v/>
      </c>
      <c r="CO423" s="362">
        <f>SUM(CK423:CN423)</f>
        <v/>
      </c>
    </row>
    <row r="424" hidden="1" customFormat="1" s="362">
      <c r="A424" s="331" t="n"/>
      <c r="B424" s="352" t="inlineStr">
        <is>
          <t>印尼</t>
        </is>
      </c>
      <c r="C424" s="352">
        <f>IFERROR(MID(E424,FIND("-",E424)+1,2),"")</f>
        <v/>
      </c>
      <c r="D424" s="352">
        <f>"载重"&amp;C424&amp;"寸"</f>
        <v/>
      </c>
      <c r="E424" s="379">
        <f>IFERROR(LEFT(REPLACE(G424,1,2,""),FIND("[",REPLACE(G424,1,2,""))-1)&amp;"-"&amp;MID(REPLACE(G424,1,2,""),FIND("[",REPLACE(G424,1,2,""))+1,FIND("]",REPLACE(G424,1,2,""))-FIND("[",REPLACE(G424,1,2,""))-1),"")</f>
        <v/>
      </c>
      <c r="F424" s="379" t="n"/>
      <c r="G424" s="379" t="inlineStr">
        <is>
          <t>ID11.00-20-18PR[CR952]153/148G 威狮</t>
        </is>
      </c>
      <c r="H424" s="352" t="n">
        <v>550</v>
      </c>
      <c r="I424" s="370" t="n">
        <v>8</v>
      </c>
      <c r="J424" s="352" t="n">
        <v>58.3</v>
      </c>
      <c r="K424" s="359" t="n"/>
      <c r="L424" s="430">
        <f>IF(J423="","",J423/(J423+$J$380/60))</f>
        <v/>
      </c>
      <c r="M424" s="430" t="n"/>
      <c r="N424" s="352" t="n"/>
      <c r="O424" s="352">
        <f>IFERROR(_xlfn.XLOOKUP(E424,轮胎重量!S:S,轮胎重量!P:P),IFERROR(_xlfn.XLOOKUP(E424,轮胎重量!AB:AB,轮胎重量!Y:Y),IFERROR(_xlfn.XLOOKUP(E424,轮胎重量!AK:AK,轮胎重量!AH:AH),IFERROR(_xlfn.XLOOKUP(E424,轮胎重量!AT:AT,轮胎重量!AQ:AQ),""))))</f>
        <v/>
      </c>
      <c r="P424" s="358">
        <f>O424*14.76</f>
        <v/>
      </c>
      <c r="Q424" s="352">
        <f>IFERROR(ROUND(1440/J424*I424*L425,0),"")</f>
        <v/>
      </c>
      <c r="R424" s="352" t="n"/>
      <c r="S424" s="352" t="n"/>
      <c r="T424" s="352" t="n"/>
      <c r="U424" s="352" t="n"/>
      <c r="V424" s="352" t="n"/>
      <c r="W424" s="352" t="n"/>
      <c r="X424" s="352" t="n"/>
      <c r="Y424" s="352" t="n"/>
      <c r="Z424" s="352" t="n"/>
      <c r="AA424" s="352" t="n"/>
      <c r="AB424" s="352" t="n"/>
      <c r="AC424" s="352" t="n"/>
      <c r="AD424" s="352" t="n"/>
      <c r="AE424" s="352" t="n"/>
      <c r="AF424" s="352" t="n"/>
      <c r="AG424" s="352" t="n"/>
      <c r="AH424" s="352" t="n"/>
      <c r="AI424" s="352" t="n"/>
      <c r="AJ424" s="352" t="n"/>
      <c r="AK424" s="352" t="n"/>
      <c r="AL424" s="352" t="n"/>
      <c r="AM424" s="352" t="n"/>
      <c r="AN424" s="352" t="n"/>
      <c r="AO424" s="352" t="n"/>
      <c r="AP424" s="352" t="n"/>
      <c r="AQ424" s="352" t="n"/>
      <c r="AR424" s="352" t="n"/>
      <c r="AS424" s="352" t="n"/>
      <c r="AT424" s="352" t="n"/>
      <c r="AU424" s="352" t="n"/>
      <c r="AV424" s="352" t="n"/>
      <c r="AW424" s="352">
        <f>IF(SUM(R424:AV424)=0,"",SUM(R424:AV424))</f>
        <v/>
      </c>
      <c r="AX424" s="431">
        <f>IFERROR(AW424*O424/1000,"")</f>
        <v/>
      </c>
      <c r="AY424" s="431">
        <f>IFERROR(ROUND(AW424*P424/10000,3),"")</f>
        <v/>
      </c>
      <c r="AZ424" s="355" t="n">
        <v>715.7485</v>
      </c>
      <c r="BA424" s="355" t="n">
        <v>42.8224</v>
      </c>
      <c r="BB424" s="355" t="n">
        <v>58.839</v>
      </c>
      <c r="BC424" s="355" t="n">
        <v>51.8175</v>
      </c>
      <c r="BD424" s="331" t="n"/>
      <c r="BE424" s="331">
        <f>AZ424*AW424</f>
        <v/>
      </c>
      <c r="BF424" s="331">
        <f>BA424*AW424</f>
        <v/>
      </c>
      <c r="BG424" s="331">
        <f>BB424*AW424</f>
        <v/>
      </c>
      <c r="BH424" s="331">
        <f>BC424*AW424</f>
        <v/>
      </c>
      <c r="BI424" s="331" t="n"/>
      <c r="BJ424" s="356">
        <f t="array" ref="BJ424:BM424">_xlfn.LET(_xlpm.data,$R424:$AV424,_xlpm.starts,{1,8,16,23},_xlpm.lengths,{7,7,8,9},_xlpm.arr,_xlfn.MAP(_xlpm.starts,_xlpm.lengths,_xlfn.LAMBDA(_xlpm.s,_xlpm.l,SUM(INDEX(_xlpm.data,,_xlfn.SEQUENCE(,_xlpm.l,_xlpm.s))))),ROUND(_xlpm.arr*$O424/1000,2))</f>
        <v/>
      </c>
      <c r="BK424" s="331" t="n">
        <v>0</v>
      </c>
      <c r="BL424" s="331" t="n">
        <v>0</v>
      </c>
      <c r="BM424" s="331" t="n">
        <v>0</v>
      </c>
      <c r="BN424" s="362">
        <f>SUM(BJ424:BM424)</f>
        <v/>
      </c>
      <c r="BO424" s="362" t="n">
        <v>19.29</v>
      </c>
      <c r="BP424" s="362" t="n">
        <v>13.78</v>
      </c>
      <c r="BQ424" s="362" t="n">
        <v>0</v>
      </c>
      <c r="BR424" s="362" t="n">
        <v>0</v>
      </c>
      <c r="BS424" s="367" t="inlineStr">
        <is>
          <t>载重</t>
        </is>
      </c>
      <c r="BX424" s="357" t="inlineStr">
        <is>
          <t>载重</t>
        </is>
      </c>
      <c r="BY424" s="362">
        <f>SUM(R424:X424)</f>
        <v/>
      </c>
      <c r="BZ424" s="362">
        <f>SUM(Y424:AE424)</f>
        <v/>
      </c>
      <c r="CA424" s="362">
        <f>SUM(AF424:AM424)</f>
        <v/>
      </c>
      <c r="CB424" s="362">
        <f>SUM(AN424:AV424)</f>
        <v/>
      </c>
      <c r="CD424" s="432" t="inlineStr">
        <is>
          <t>ADA</t>
        </is>
      </c>
      <c r="CE424" s="384">
        <f>ROUND(BY424*$O424/1000,2)</f>
        <v/>
      </c>
      <c r="CF424" s="380">
        <f>ROUND(BZ424*$O424/1000,2)</f>
        <v/>
      </c>
      <c r="CG424" s="380">
        <f>ROUND(CA424*$O424/1000,2)</f>
        <v/>
      </c>
      <c r="CH424" s="380">
        <f>ROUND(CB424*$O424/1000,2)</f>
        <v/>
      </c>
      <c r="CI424" s="362">
        <f>SUM(CE424:CH424)</f>
        <v/>
      </c>
      <c r="CJ424" s="390" t="n">
        <v>40</v>
      </c>
      <c r="CK424" s="362">
        <f>IFERROR(ROUND(BY424*$P424,2),"")</f>
        <v/>
      </c>
      <c r="CL424" s="362">
        <f>IFERROR(ROUND(BZ424*$P424,2),"")</f>
        <v/>
      </c>
      <c r="CM424" s="362">
        <f>IFERROR(ROUND(CA424*$P424,2),"")</f>
        <v/>
      </c>
      <c r="CN424" s="362">
        <f>IFERROR(ROUND(CB424*$P424,2),"")</f>
        <v/>
      </c>
      <c r="CO424" s="362">
        <f>SUM(CK424:CN424)</f>
        <v/>
      </c>
    </row>
    <row r="425">
      <c r="B425" s="352" t="inlineStr">
        <is>
          <t>印尼</t>
        </is>
      </c>
      <c r="C425" s="352">
        <f>IFERROR(MID(E425,FIND("-",E425)+1,2),"")</f>
        <v/>
      </c>
      <c r="D425" s="352">
        <f>"载重"&amp;C425&amp;"寸"</f>
        <v/>
      </c>
      <c r="E425" s="379">
        <f>IFERROR(LEFT(REPLACE(G425,1,2,""),FIND("[",REPLACE(G425,1,2,""))-1)&amp;"-"&amp;MID(REPLACE(G425,1,2,""),FIND("[",REPLACE(G425,1,2,""))+1,FIND("]",REPLACE(G425,1,2,""))-FIND("[",REPLACE(G425,1,2,""))-1),"")</f>
        <v/>
      </c>
      <c r="F425" s="379" t="n"/>
      <c r="G425" s="379" t="inlineStr">
        <is>
          <t>ID11.00-20-18PR[CR952]153/148G 雅度</t>
        </is>
      </c>
      <c r="H425" s="352" t="n">
        <v>2000</v>
      </c>
      <c r="I425" s="370" t="n">
        <v>8</v>
      </c>
      <c r="J425" s="352" t="n">
        <v>54.8</v>
      </c>
      <c r="K425" s="352" t="n"/>
      <c r="L425" s="430">
        <f>IF(J424="","",J424/(J424+$J$380/60))</f>
        <v/>
      </c>
      <c r="M425" s="430" t="n"/>
      <c r="N425" s="352" t="n"/>
      <c r="O425" s="352">
        <f>IFERROR(_xlfn.XLOOKUP(E425,轮胎重量!S:S,轮胎重量!P:P),IFERROR(_xlfn.XLOOKUP(E425,轮胎重量!AB:AB,轮胎重量!Y:Y),IFERROR(_xlfn.XLOOKUP(E425,轮胎重量!AK:AK,轮胎重量!AH:AH),IFERROR(_xlfn.XLOOKUP(E425,轮胎重量!AT:AT,轮胎重量!AQ:AQ),""))))</f>
        <v/>
      </c>
      <c r="P425" s="358">
        <f>O425*14.76</f>
        <v/>
      </c>
      <c r="Q425" s="352">
        <f>IFERROR(ROUND(1440/J425*I425*L426,0),"")</f>
        <v/>
      </c>
      <c r="R425" s="352" t="n">
        <v>88</v>
      </c>
      <c r="S425" s="352" t="n">
        <v>88</v>
      </c>
      <c r="T425" s="352" t="n">
        <v>88</v>
      </c>
      <c r="U425" s="352" t="n">
        <v>88</v>
      </c>
      <c r="V425" s="352" t="n">
        <v>88</v>
      </c>
      <c r="W425" s="352" t="n">
        <v>88</v>
      </c>
      <c r="X425" s="352" t="n">
        <v>88</v>
      </c>
      <c r="Y425" s="352" t="n">
        <v>88</v>
      </c>
      <c r="Z425" s="352" t="n">
        <v>88</v>
      </c>
      <c r="AA425" s="352" t="n">
        <v>88</v>
      </c>
      <c r="AB425" s="352" t="n">
        <v>88</v>
      </c>
      <c r="AC425" s="352" t="n">
        <v>88</v>
      </c>
      <c r="AD425" s="352" t="n">
        <v>88</v>
      </c>
      <c r="AE425" s="352" t="n">
        <v>88</v>
      </c>
      <c r="AF425" s="352" t="n">
        <v>88</v>
      </c>
      <c r="AG425" s="352" t="n">
        <v>88</v>
      </c>
      <c r="AH425" s="352" t="n">
        <v>88</v>
      </c>
      <c r="AI425" s="352" t="n">
        <v>88</v>
      </c>
      <c r="AJ425" s="352" t="n">
        <v>88</v>
      </c>
      <c r="AK425" s="352" t="n">
        <v>88</v>
      </c>
      <c r="AL425" s="352" t="n">
        <v>88</v>
      </c>
      <c r="AM425" s="352" t="n">
        <v>88</v>
      </c>
      <c r="AN425" s="352" t="n">
        <v>88</v>
      </c>
      <c r="AO425" s="352" t="n">
        <v>88</v>
      </c>
      <c r="AP425" s="352" t="n"/>
      <c r="AQ425" s="352" t="n"/>
      <c r="AR425" s="352" t="n"/>
      <c r="AS425" s="352" t="n"/>
      <c r="AT425" s="352" t="n"/>
      <c r="AU425" s="352" t="n"/>
      <c r="AV425" s="352" t="n"/>
      <c r="AW425" s="352">
        <f>IF(SUM(R425:AV425)=0,"",SUM(R425:AV425))</f>
        <v/>
      </c>
      <c r="AX425" s="431">
        <f>IFERROR(AW425*O425/1000,"")</f>
        <v/>
      </c>
      <c r="AY425" s="431">
        <f>IFERROR(ROUND(AW425*P425/10000,3),"")</f>
        <v/>
      </c>
      <c r="AZ425" s="355" t="n">
        <v>573.5023</v>
      </c>
      <c r="BA425" s="355" t="n">
        <v>38.6497</v>
      </c>
      <c r="BB425" s="355" t="n">
        <v>53.1056</v>
      </c>
      <c r="BC425" s="355" t="n">
        <v>46.7683</v>
      </c>
      <c r="BE425" s="331">
        <f>AZ425*AW425</f>
        <v/>
      </c>
      <c r="BF425" s="331">
        <f>BA425*AW425</f>
        <v/>
      </c>
      <c r="BG425" s="331">
        <f>BB425*AW425</f>
        <v/>
      </c>
      <c r="BH425" s="331">
        <f>BC425*AW425</f>
        <v/>
      </c>
      <c r="BJ425" s="356">
        <f t="array" ref="BJ425:BM425">_xlfn.LET(_xlpm.data,$R425:$AV425,_xlpm.starts,{1,8,16,23},_xlpm.lengths,{7,7,8,9},_xlpm.arr,_xlfn.MAP(_xlpm.starts,_xlpm.lengths,_xlfn.LAMBDA(_xlpm.s,_xlpm.l,SUM(INDEX(_xlpm.data,,_xlfn.SEQUENCE(,_xlpm.l,_xlpm.s))))),ROUND(_xlpm.arr*$O425/1000,2))</f>
        <v/>
      </c>
      <c r="BK425" s="331" t="n">
        <v>35.25</v>
      </c>
      <c r="BL425" s="331" t="n">
        <v>40.28</v>
      </c>
      <c r="BM425" s="331" t="n">
        <v>10.07</v>
      </c>
      <c r="BN425" s="362">
        <f>SUM(BJ425:BM425)</f>
        <v/>
      </c>
      <c r="BO425" s="362" t="n">
        <v>18.63</v>
      </c>
      <c r="BP425" s="362" t="n">
        <v>2.66</v>
      </c>
      <c r="BQ425" s="362" t="n">
        <v>0</v>
      </c>
      <c r="BR425" s="362" t="n">
        <v>0</v>
      </c>
      <c r="BS425" s="367" t="inlineStr">
        <is>
          <t>载重</t>
        </is>
      </c>
      <c r="BX425" s="357" t="inlineStr">
        <is>
          <t>载重</t>
        </is>
      </c>
      <c r="BY425" s="362">
        <f>SUM(R425:X425)</f>
        <v/>
      </c>
      <c r="BZ425" s="362">
        <f>SUM(Y425:AE425)</f>
        <v/>
      </c>
      <c r="CA425" s="362">
        <f>SUM(AF425:AM425)</f>
        <v/>
      </c>
      <c r="CB425" s="362">
        <f>SUM(AN425:AV425)</f>
        <v/>
      </c>
      <c r="CD425" s="432" t="inlineStr">
        <is>
          <t>ADA</t>
        </is>
      </c>
      <c r="CE425" s="384">
        <f>ROUND(BY425*$O425/1000,2)</f>
        <v/>
      </c>
      <c r="CF425" s="380">
        <f>ROUND(BZ425*$O425/1000,2)</f>
        <v/>
      </c>
      <c r="CG425" s="380">
        <f>ROUND(CA425*$O425/1000,2)</f>
        <v/>
      </c>
      <c r="CH425" s="380">
        <f>ROUND(CB425*$O425/1000,2)</f>
        <v/>
      </c>
      <c r="CI425" s="362">
        <f>SUM(CE425:CH425)</f>
        <v/>
      </c>
      <c r="CK425" s="362">
        <f>IFERROR(ROUND(BY425*$P425,2),"")</f>
        <v/>
      </c>
      <c r="CL425" s="362">
        <f>IFERROR(ROUND(BZ425*$P425,2),"")</f>
        <v/>
      </c>
      <c r="CM425" s="362">
        <f>IFERROR(ROUND(CA425*$P425,2),"")</f>
        <v/>
      </c>
      <c r="CN425" s="362">
        <f>IFERROR(ROUND(CB425*$P425,2),"")</f>
        <v/>
      </c>
      <c r="CO425" s="362">
        <f>SUM(CK425:CN425)</f>
        <v/>
      </c>
    </row>
    <row r="426">
      <c r="B426" s="352" t="inlineStr">
        <is>
          <t>印尼</t>
        </is>
      </c>
      <c r="C426" s="352">
        <f>IFERROR(MID(E426,FIND("-",E426)+1,2),"")</f>
        <v/>
      </c>
      <c r="D426" s="352">
        <f>"载重"&amp;C426&amp;"寸"</f>
        <v/>
      </c>
      <c r="E426" s="379">
        <f>IFERROR(LEFT(REPLACE(G426,1,2,""),FIND("[",REPLACE(G426,1,2,""))-1)&amp;"-"&amp;MID(REPLACE(G426,1,2,""),FIND("[",REPLACE(G426,1,2,""))+1,FIND("]",REPLACE(G426,1,2,""))-FIND("[",REPLACE(G426,1,2,""))-1),"")</f>
        <v/>
      </c>
      <c r="F426" s="379" t="n"/>
      <c r="G426" s="379" t="inlineStr">
        <is>
          <t>ID11.00-20-18PR[CR952PRO]153/148G 金冠</t>
        </is>
      </c>
      <c r="H426" s="352" t="n">
        <v>600</v>
      </c>
      <c r="I426" s="370" t="n">
        <v>2</v>
      </c>
      <c r="J426" s="352" t="n">
        <v>54.8</v>
      </c>
      <c r="K426" s="352" t="n"/>
      <c r="L426" s="430">
        <f>IF(J425="","",J425/(J425+$J$380/60))</f>
        <v/>
      </c>
      <c r="M426" s="430" t="n"/>
      <c r="N426" s="352" t="n"/>
      <c r="O426" s="352">
        <f>IFERROR(_xlfn.XLOOKUP(E426,轮胎重量!S:S,轮胎重量!P:P),IFERROR(_xlfn.XLOOKUP(E426,轮胎重量!AB:AB,轮胎重量!Y:Y),IFERROR(_xlfn.XLOOKUP(E426,轮胎重量!AK:AK,轮胎重量!AH:AH),IFERROR(_xlfn.XLOOKUP(E426,轮胎重量!AT:AT,轮胎重量!AQ:AQ),""))))</f>
        <v/>
      </c>
      <c r="P426" s="358">
        <f>O426*14.76</f>
        <v/>
      </c>
      <c r="Q426" s="352">
        <f>IFERROR(ROUND(1440/J426*I426*L427,0),"")</f>
        <v/>
      </c>
      <c r="R426" s="352" t="n">
        <v>44</v>
      </c>
      <c r="S426" s="352" t="n">
        <v>44</v>
      </c>
      <c r="T426" s="352" t="n">
        <v>44</v>
      </c>
      <c r="U426" s="352" t="n">
        <v>44</v>
      </c>
      <c r="V426" s="352" t="n">
        <v>44</v>
      </c>
      <c r="W426" s="352" t="n">
        <v>44</v>
      </c>
      <c r="X426" s="352" t="n">
        <v>44</v>
      </c>
      <c r="Y426" s="352" t="n">
        <v>44</v>
      </c>
      <c r="Z426" s="352" t="n">
        <v>44</v>
      </c>
      <c r="AA426" s="352" t="n">
        <v>44</v>
      </c>
      <c r="AB426" s="352" t="n">
        <v>44</v>
      </c>
      <c r="AC426" s="352" t="n">
        <v>44</v>
      </c>
      <c r="AD426" s="352" t="n">
        <v>44</v>
      </c>
      <c r="AE426" s="352" t="n">
        <v>44</v>
      </c>
      <c r="AF426" s="352" t="n">
        <v>44</v>
      </c>
      <c r="AG426" s="352" t="n"/>
      <c r="AH426" s="352" t="n"/>
      <c r="AI426" s="352" t="n"/>
      <c r="AJ426" s="352" t="n"/>
      <c r="AK426" s="352" t="n"/>
      <c r="AL426" s="352" t="n"/>
      <c r="AM426" s="352" t="n"/>
      <c r="AN426" s="352" t="n"/>
      <c r="AO426" s="352" t="n"/>
      <c r="AP426" s="352" t="n"/>
      <c r="AQ426" s="352" t="n"/>
      <c r="AR426" s="352" t="n"/>
      <c r="AS426" s="352" t="n"/>
      <c r="AT426" s="352" t="n"/>
      <c r="AU426" s="352" t="n"/>
      <c r="AV426" s="352" t="n"/>
      <c r="AW426" s="352">
        <f>IF(SUM(R426:AV426)=0,"",SUM(R426:AV426))</f>
        <v/>
      </c>
      <c r="AX426" s="431">
        <f>IFERROR(AW426*O426/1000,"")</f>
        <v/>
      </c>
      <c r="AY426" s="431">
        <f>IFERROR(ROUND(AW426*P426/10000,3),"")</f>
        <v/>
      </c>
      <c r="AZ426" s="331" t="n">
        <v>642.6823000000001</v>
      </c>
      <c r="BA426" s="331" t="n">
        <v>41.1665</v>
      </c>
      <c r="BB426" s="331" t="n">
        <v>56.5637</v>
      </c>
      <c r="BC426" s="331" t="n">
        <v>49.8138</v>
      </c>
      <c r="BE426" s="331">
        <f>AZ426*AW426</f>
        <v/>
      </c>
      <c r="BF426" s="331">
        <f>BA426*AW426</f>
        <v/>
      </c>
      <c r="BG426" s="331">
        <f>BB426*AW426</f>
        <v/>
      </c>
      <c r="BH426" s="331">
        <f>BC426*AW426</f>
        <v/>
      </c>
      <c r="BJ426" s="356">
        <f t="array" ref="BJ426:BM426">_xlfn.LET(_xlpm.data,$R426:$AV426,_xlpm.starts,{1,8,16,23},_xlpm.lengths,{7,7,8,9},_xlpm.arr,_xlfn.MAP(_xlpm.starts,_xlpm.lengths,_xlfn.LAMBDA(_xlpm.s,_xlpm.l,SUM(INDEX(_xlpm.data,,_xlfn.SEQUENCE(,_xlpm.l,_xlpm.s))))),ROUND(_xlpm.arr*$O426/1000,2))</f>
        <v/>
      </c>
      <c r="BK426" s="331" t="n">
        <v>17.62</v>
      </c>
      <c r="BL426" s="331" t="n">
        <v>0</v>
      </c>
      <c r="BM426" s="331" t="n">
        <v>0</v>
      </c>
      <c r="BN426" s="362">
        <f>SUM(BJ426:BM426)</f>
        <v/>
      </c>
      <c r="BO426" s="362" t="n">
        <v>0</v>
      </c>
      <c r="BP426" s="362" t="n">
        <v>15.97</v>
      </c>
      <c r="BQ426" s="362" t="n">
        <v>21.29</v>
      </c>
      <c r="BR426" s="362" t="n">
        <v>7.98</v>
      </c>
      <c r="BS426" s="367" t="inlineStr">
        <is>
          <t>载重</t>
        </is>
      </c>
      <c r="BX426" s="357" t="inlineStr">
        <is>
          <t>载重</t>
        </is>
      </c>
      <c r="BY426" s="362">
        <f>SUM(R426:X426)</f>
        <v/>
      </c>
      <c r="BZ426" s="362">
        <f>SUM(Y426:AE426)</f>
        <v/>
      </c>
      <c r="CA426" s="362">
        <f>SUM(AF426:AM426)</f>
        <v/>
      </c>
      <c r="CB426" s="362">
        <f>SUM(AN426:AV426)</f>
        <v/>
      </c>
      <c r="CD426" s="432" t="inlineStr">
        <is>
          <t>ADA</t>
        </is>
      </c>
      <c r="CE426" s="384">
        <f>ROUND(BY426*$O426/1000,2)</f>
        <v/>
      </c>
      <c r="CF426" s="380">
        <f>ROUND(BZ426*$O426/1000,2)</f>
        <v/>
      </c>
      <c r="CG426" s="380">
        <f>ROUND(CA426*$O426/1000,2)</f>
        <v/>
      </c>
      <c r="CH426" s="380">
        <f>ROUND(CB426*$O426/1000,2)</f>
        <v/>
      </c>
      <c r="CI426" s="362">
        <f>SUM(CE426:CH426)</f>
        <v/>
      </c>
      <c r="CJ426" s="390" t="n">
        <v>5500</v>
      </c>
      <c r="CK426" s="362">
        <f>IFERROR(ROUND(BY426*$P426,2),"")</f>
        <v/>
      </c>
      <c r="CL426" s="362">
        <f>IFERROR(ROUND(BZ426*$P426,2),"")</f>
        <v/>
      </c>
      <c r="CM426" s="362">
        <f>IFERROR(ROUND(CA426*$P426,2),"")</f>
        <v/>
      </c>
      <c r="CN426" s="362">
        <f>IFERROR(ROUND(CB426*$P426,2),"")</f>
        <v/>
      </c>
      <c r="CO426" s="362">
        <f>SUM(CK426:CN426)</f>
        <v/>
      </c>
    </row>
    <row r="427" hidden="1" ht="14" customHeight="1" s="428">
      <c r="B427" s="352" t="inlineStr">
        <is>
          <t>印尼</t>
        </is>
      </c>
      <c r="C427" s="352">
        <f>IFERROR(MID(E427,FIND("-",E427)+1,2),"")</f>
        <v/>
      </c>
      <c r="D427" s="352">
        <f>"载重"&amp;C427&amp;"寸"</f>
        <v/>
      </c>
      <c r="E427" s="379">
        <f>IFERROR(LEFT(REPLACE(G427,1,2,""),FIND("[",REPLACE(G427,1,2,""))-1)&amp;"-"&amp;MID(REPLACE(G427,1,2,""),FIND("[",REPLACE(G427,1,2,""))+1,FIND("]",REPLACE(G427,1,2,""))-FIND("[",REPLACE(G427,1,2,""))-1),"")</f>
        <v/>
      </c>
      <c r="F427" s="379" t="n"/>
      <c r="G427" s="379" t="n"/>
      <c r="H427" s="352" t="n"/>
      <c r="I427" s="370" t="n"/>
      <c r="J427" s="352" t="n">
        <v>54.8</v>
      </c>
      <c r="K427" s="352" t="n"/>
      <c r="L427" s="430">
        <f>IF(J426="","",J426/(J426+$J$380/60))</f>
        <v/>
      </c>
      <c r="M427" s="430" t="n"/>
      <c r="N427" s="352" t="n"/>
      <c r="O427" s="352">
        <f>IFERROR(_xlfn.XLOOKUP(E427,轮胎重量!S:S,轮胎重量!P:P),IFERROR(_xlfn.XLOOKUP(E427,轮胎重量!AB:AB,轮胎重量!Y:Y),IFERROR(_xlfn.XLOOKUP(E427,轮胎重量!AK:AK,轮胎重量!AH:AH),IFERROR(_xlfn.XLOOKUP(E427,轮胎重量!AT:AT,轮胎重量!AQ:AQ),""))))</f>
        <v/>
      </c>
      <c r="P427" s="358">
        <f>O427*14.76</f>
        <v/>
      </c>
      <c r="Q427" s="352">
        <f>IFERROR(ROUND(1440/J427*I427*L428,0),"")</f>
        <v/>
      </c>
      <c r="R427" s="352" t="n"/>
      <c r="S427" s="352" t="n"/>
      <c r="T427" s="352" t="n"/>
      <c r="U427" s="352" t="n"/>
      <c r="V427" s="352" t="n"/>
      <c r="W427" s="352" t="n"/>
      <c r="X427" s="352" t="n"/>
      <c r="Y427" s="352" t="n"/>
      <c r="Z427" s="352" t="n"/>
      <c r="AA427" s="352" t="n"/>
      <c r="AB427" s="352" t="n"/>
      <c r="AC427" s="352" t="n"/>
      <c r="AD427" s="352" t="n"/>
      <c r="AE427" s="352" t="n"/>
      <c r="AF427" s="352" t="n"/>
      <c r="AG427" s="352" t="n"/>
      <c r="AH427" s="352" t="n"/>
      <c r="AI427" s="352" t="n"/>
      <c r="AJ427" s="352" t="n"/>
      <c r="AK427" s="352" t="n"/>
      <c r="AL427" s="352" t="n"/>
      <c r="AM427" s="352" t="n"/>
      <c r="AN427" s="352" t="n"/>
      <c r="AO427" s="352" t="n"/>
      <c r="AP427" s="352" t="n"/>
      <c r="AQ427" s="352" t="n"/>
      <c r="AR427" s="352" t="n"/>
      <c r="AS427" s="352" t="n"/>
      <c r="AT427" s="352" t="n"/>
      <c r="AU427" s="352" t="n"/>
      <c r="AV427" s="352" t="n"/>
      <c r="AW427" s="352">
        <f>IF(SUM(R427:AV427)=0,"",SUM(R427:AV427))</f>
        <v/>
      </c>
      <c r="AX427" s="431">
        <f>IFERROR(AW427*O427/1000,"")</f>
        <v/>
      </c>
      <c r="AY427" s="431">
        <f>IFERROR(ROUND(AW427*P427/10000,3),"")</f>
        <v/>
      </c>
      <c r="AZ427" s="331" t="n">
        <v>642.6823000000001</v>
      </c>
      <c r="BA427" s="331" t="n">
        <v>41.1665</v>
      </c>
      <c r="BB427" s="331" t="n">
        <v>56.5637</v>
      </c>
      <c r="BC427" s="331" t="n">
        <v>49.8138</v>
      </c>
      <c r="BE427" s="331">
        <f>AZ427*AW427</f>
        <v/>
      </c>
      <c r="BF427" s="331">
        <f>BA427*AW427</f>
        <v/>
      </c>
      <c r="BG427" s="331">
        <f>BB427*AW427</f>
        <v/>
      </c>
      <c r="BH427" s="331">
        <f>BC427*AW427</f>
        <v/>
      </c>
      <c r="BJ427" s="356">
        <f t="array" ref="BJ427:BM427">_xlfn.LET(_xlpm.data,$R427:$AV427,_xlpm.starts,{1,8,16,23},_xlpm.lengths,{7,7,8,9},_xlpm.arr,_xlfn.MAP(_xlpm.starts,_xlpm.lengths,_xlfn.LAMBDA(_xlpm.s,_xlpm.l,SUM(INDEX(_xlpm.data,,_xlfn.SEQUENCE(,_xlpm.l,_xlpm.s))))),ROUND(_xlpm.arr*$O427/1000,2))</f>
        <v/>
      </c>
      <c r="BK427" s="331" t="n">
        <v>0</v>
      </c>
      <c r="BL427" s="331" t="n">
        <v>0</v>
      </c>
      <c r="BM427" s="331" t="n">
        <v>0</v>
      </c>
      <c r="BN427" s="362">
        <f>SUM(BJ427:BM427)</f>
        <v/>
      </c>
      <c r="BO427" s="362" t="n">
        <v>0</v>
      </c>
      <c r="BP427" s="362" t="n">
        <v>15.97</v>
      </c>
      <c r="BQ427" s="362" t="n">
        <v>21.29</v>
      </c>
      <c r="BR427" s="362" t="n">
        <v>7.98</v>
      </c>
      <c r="BS427" s="367" t="inlineStr">
        <is>
          <t>载重</t>
        </is>
      </c>
      <c r="BX427" s="357" t="inlineStr">
        <is>
          <t>载重</t>
        </is>
      </c>
      <c r="BY427" s="362">
        <f>SUM(R427:X427)</f>
        <v/>
      </c>
      <c r="BZ427" s="362">
        <f>SUM(Y427:AE427)</f>
        <v/>
      </c>
      <c r="CA427" s="362">
        <f>SUM(AF427:AM427)</f>
        <v/>
      </c>
      <c r="CB427" s="362">
        <f>SUM(AN427:AV427)</f>
        <v/>
      </c>
      <c r="CD427" s="390" t="n">
        <v>3.7</v>
      </c>
      <c r="CE427" s="384">
        <f>ROUND(BY427*$O427/1000,2)</f>
        <v/>
      </c>
      <c r="CF427" s="380">
        <f>ROUND(BZ427*$O427/1000,2)</f>
        <v/>
      </c>
      <c r="CG427" s="380">
        <f>ROUND(CA427*$O427/1000,2)</f>
        <v/>
      </c>
      <c r="CH427" s="380">
        <f>ROUND(CB427*$O427/1000,2)</f>
        <v/>
      </c>
      <c r="CI427" s="362">
        <f>SUM(CE427:CH427)</f>
        <v/>
      </c>
      <c r="CK427" s="362">
        <f>IFERROR(ROUND(BY427*$P427,2),"")</f>
        <v/>
      </c>
      <c r="CL427" s="362">
        <f>IFERROR(ROUND(BZ427*$P427,2),"")</f>
        <v/>
      </c>
      <c r="CM427" s="362">
        <f>IFERROR(ROUND(CA427*$P427,2),"")</f>
        <v/>
      </c>
      <c r="CN427" s="362">
        <f>IFERROR(ROUND(CB427*$P427,2),"")</f>
        <v/>
      </c>
      <c r="CO427" s="362">
        <f>SUM(CK427:CN427)</f>
        <v/>
      </c>
    </row>
    <row r="428" hidden="1" s="428">
      <c r="B428" s="352" t="inlineStr">
        <is>
          <t>印尼</t>
        </is>
      </c>
      <c r="C428" s="352">
        <f>IFERROR(MID(E428,FIND("-",E428)+1,2),"")</f>
        <v/>
      </c>
      <c r="D428" s="352">
        <f>"载重"&amp;C428&amp;"寸"</f>
        <v/>
      </c>
      <c r="E428" s="379">
        <f>IFERROR(LEFT(REPLACE(G428,1,2,""),FIND("[",REPLACE(G428,1,2,""))-1)&amp;"-"&amp;MID(REPLACE(G428,1,2,""),FIND("[",REPLACE(G428,1,2,""))+1,FIND("]",REPLACE(G428,1,2,""))-FIND("[",REPLACE(G428,1,2,""))-1),"")</f>
        <v/>
      </c>
      <c r="F428" s="379" t="n"/>
      <c r="G428" s="379" t="n"/>
      <c r="H428" s="352" t="n"/>
      <c r="I428" s="370" t="n"/>
      <c r="J428" s="352" t="n">
        <v>54.8</v>
      </c>
      <c r="K428" s="352" t="n"/>
      <c r="L428" s="430">
        <f>IF(J427="","",J427/(J427+$J$380/60))</f>
        <v/>
      </c>
      <c r="M428" s="430" t="n"/>
      <c r="N428" s="352" t="n"/>
      <c r="O428" s="352">
        <f>IFERROR(_xlfn.XLOOKUP(E428,轮胎重量!S:S,轮胎重量!P:P),IFERROR(_xlfn.XLOOKUP(E428,轮胎重量!AB:AB,轮胎重量!Y:Y),IFERROR(_xlfn.XLOOKUP(E428,轮胎重量!AK:AK,轮胎重量!AH:AH),IFERROR(_xlfn.XLOOKUP(E428,轮胎重量!AT:AT,轮胎重量!AQ:AQ),""))))</f>
        <v/>
      </c>
      <c r="P428" s="358">
        <f>O428*14.76</f>
        <v/>
      </c>
      <c r="Q428" s="352">
        <f>IFERROR(ROUND(1440/J428*I428*L429,0),"")</f>
        <v/>
      </c>
      <c r="R428" s="352" t="n"/>
      <c r="S428" s="352" t="n"/>
      <c r="T428" s="352" t="n"/>
      <c r="U428" s="352" t="n"/>
      <c r="V428" s="352" t="n"/>
      <c r="W428" s="352" t="n"/>
      <c r="X428" s="352" t="n"/>
      <c r="Y428" s="352" t="n"/>
      <c r="Z428" s="352" t="n"/>
      <c r="AA428" s="352" t="n"/>
      <c r="AB428" s="352" t="n"/>
      <c r="AC428" s="352" t="n"/>
      <c r="AD428" s="352" t="n"/>
      <c r="AE428" s="352" t="n"/>
      <c r="AF428" s="352" t="n"/>
      <c r="AG428" s="352" t="n"/>
      <c r="AH428" s="352" t="n"/>
      <c r="AI428" s="352" t="n"/>
      <c r="AJ428" s="352" t="n"/>
      <c r="AK428" s="352" t="n"/>
      <c r="AL428" s="352" t="n"/>
      <c r="AM428" s="352" t="n"/>
      <c r="AN428" s="352" t="n"/>
      <c r="AO428" s="352" t="n"/>
      <c r="AP428" s="352" t="n"/>
      <c r="AQ428" s="352" t="n"/>
      <c r="AR428" s="352" t="n"/>
      <c r="AS428" s="352" t="n"/>
      <c r="AT428" s="352" t="n"/>
      <c r="AU428" s="352" t="n"/>
      <c r="AV428" s="352" t="n"/>
      <c r="AW428" s="352">
        <f>IF(SUM(R428:AV428)=0,"",SUM(R428:AV428))</f>
        <v/>
      </c>
      <c r="AX428" s="431">
        <f>IFERROR(AW428*O428/1000,"")</f>
        <v/>
      </c>
      <c r="AY428" s="431">
        <f>IFERROR(ROUND(AW428*P428/10000,3),"")</f>
        <v/>
      </c>
      <c r="AZ428" s="331" t="n">
        <v>642.6823000000001</v>
      </c>
      <c r="BA428" s="331" t="n">
        <v>41.1665</v>
      </c>
      <c r="BB428" s="331" t="n">
        <v>56.5637</v>
      </c>
      <c r="BC428" s="331" t="n">
        <v>49.8138</v>
      </c>
      <c r="BE428" s="331">
        <f>AZ428*AW428</f>
        <v/>
      </c>
      <c r="BF428" s="331">
        <f>BA428*AW428</f>
        <v/>
      </c>
      <c r="BG428" s="331">
        <f>BB428*AW428</f>
        <v/>
      </c>
      <c r="BH428" s="331">
        <f>BC428*AW428</f>
        <v/>
      </c>
      <c r="BJ428" s="356">
        <f t="array" ref="BJ428:BM428">_xlfn.LET(_xlpm.data,$R428:$AV428,_xlpm.starts,{1,8,16,23},_xlpm.lengths,{7,7,8,9},_xlpm.arr,_xlfn.MAP(_xlpm.starts,_xlpm.lengths,_xlfn.LAMBDA(_xlpm.s,_xlpm.l,SUM(INDEX(_xlpm.data,,_xlfn.SEQUENCE(,_xlpm.l,_xlpm.s))))),ROUND(_xlpm.arr*$O428/1000,2))</f>
        <v/>
      </c>
      <c r="BK428" s="331" t="n">
        <v>0</v>
      </c>
      <c r="BL428" s="331" t="n">
        <v>0</v>
      </c>
      <c r="BM428" s="331" t="n">
        <v>0</v>
      </c>
      <c r="BN428" s="362">
        <f>SUM(BJ428:BM428)</f>
        <v/>
      </c>
      <c r="BO428" s="362" t="n">
        <v>0</v>
      </c>
      <c r="BP428" s="362" t="n">
        <v>15.97</v>
      </c>
      <c r="BQ428" s="362" t="n">
        <v>21.29</v>
      </c>
      <c r="BR428" s="362" t="n">
        <v>7.98</v>
      </c>
      <c r="BS428" s="367" t="inlineStr">
        <is>
          <t>载重</t>
        </is>
      </c>
      <c r="BX428" s="357" t="inlineStr">
        <is>
          <t>载重</t>
        </is>
      </c>
      <c r="BY428" s="362">
        <f>SUM(R428:X428)</f>
        <v/>
      </c>
      <c r="BZ428" s="362">
        <f>SUM(Y428:AE428)</f>
        <v/>
      </c>
      <c r="CA428" s="362">
        <f>SUM(AF428:AM428)</f>
        <v/>
      </c>
      <c r="CB428" s="362">
        <f>SUM(AN428:AV428)</f>
        <v/>
      </c>
      <c r="CD428" s="390" t="n">
        <v>3.7</v>
      </c>
      <c r="CE428" s="384">
        <f>ROUND(BY428*$O428/1000,2)</f>
        <v/>
      </c>
      <c r="CF428" s="380">
        <f>ROUND(BZ428*$O428/1000,2)</f>
        <v/>
      </c>
      <c r="CG428" s="380">
        <f>ROUND(CA428*$O428/1000,2)</f>
        <v/>
      </c>
      <c r="CH428" s="380">
        <f>ROUND(CB428*$O428/1000,2)</f>
        <v/>
      </c>
      <c r="CI428" s="362">
        <f>SUM(CE428:CH428)</f>
        <v/>
      </c>
      <c r="CK428" s="362">
        <f>IFERROR(ROUND(BY428*$P428,2),"")</f>
        <v/>
      </c>
      <c r="CL428" s="362">
        <f>IFERROR(ROUND(BZ428*$P428,2),"")</f>
        <v/>
      </c>
      <c r="CM428" s="362">
        <f>IFERROR(ROUND(CA428*$P428,2),"")</f>
        <v/>
      </c>
      <c r="CN428" s="362">
        <f>IFERROR(ROUND(CB428*$P428,2),"")</f>
        <v/>
      </c>
      <c r="CO428" s="362">
        <f>SUM(CK428:CN428)</f>
        <v/>
      </c>
    </row>
    <row r="429" hidden="1" s="428">
      <c r="B429" s="352" t="n"/>
      <c r="C429" s="352">
        <f>IFERROR(MID(E429,FIND("-",E429)+1,2),"")</f>
        <v/>
      </c>
      <c r="D429" s="352">
        <f>"载重"&amp;C429&amp;"寸"</f>
        <v/>
      </c>
      <c r="E429" s="379">
        <f>IFERROR(LEFT(REPLACE(G429,1,2,""),FIND("[",REPLACE(G429,1,2,""))-1)&amp;"-"&amp;MID(REPLACE(G429,1,2,""),FIND("[",REPLACE(G429,1,2,""))+1,FIND("]",REPLACE(G429,1,2,""))-FIND("[",REPLACE(G429,1,2,""))-1),"")</f>
        <v/>
      </c>
      <c r="F429" s="379" t="n"/>
      <c r="G429" s="379" t="n"/>
      <c r="H429" s="352" t="n"/>
      <c r="I429" s="370" t="n"/>
      <c r="J429" s="352" t="n">
        <v>54.8</v>
      </c>
      <c r="L429" s="430">
        <f>IF(J428="","",J428/(J428+$J$380/60))</f>
        <v/>
      </c>
      <c r="M429" s="430" t="n"/>
      <c r="N429" s="352" t="n"/>
      <c r="O429" s="352">
        <f>IFERROR(_xlfn.XLOOKUP(E429,轮胎重量!S:S,轮胎重量!P:P),IFERROR(_xlfn.XLOOKUP(E429,轮胎重量!AB:AB,轮胎重量!Y:Y),IFERROR(_xlfn.XLOOKUP(E429,轮胎重量!AK:AK,轮胎重量!AH:AH),IFERROR(_xlfn.XLOOKUP(E429,轮胎重量!AT:AT,轮胎重量!AQ:AQ),""))))</f>
        <v/>
      </c>
      <c r="P429" s="358">
        <f>O429*14.76</f>
        <v/>
      </c>
      <c r="Q429" s="352">
        <f>IFERROR(ROUND(1440/J429*I429*L430,0),"")</f>
        <v/>
      </c>
      <c r="R429" s="352" t="n"/>
      <c r="S429" s="352" t="n"/>
      <c r="T429" s="352" t="n"/>
      <c r="U429" s="352" t="n"/>
      <c r="V429" s="352" t="n"/>
      <c r="W429" s="352" t="n"/>
      <c r="X429" s="352" t="n"/>
      <c r="Y429" s="352" t="n"/>
      <c r="Z429" s="352" t="n"/>
      <c r="AA429" s="352" t="n"/>
      <c r="AB429" s="352" t="n"/>
      <c r="AC429" s="352" t="n"/>
      <c r="AD429" s="352" t="n"/>
      <c r="AE429" s="352" t="n"/>
      <c r="AF429" s="352" t="n"/>
      <c r="AG429" s="352" t="n"/>
      <c r="AH429" s="352" t="n"/>
      <c r="AI429" s="352" t="n"/>
      <c r="AJ429" s="352" t="n"/>
      <c r="AK429" s="352" t="n"/>
      <c r="AL429" s="352" t="n"/>
      <c r="AM429" s="352" t="n"/>
      <c r="AN429" s="352" t="n"/>
      <c r="AO429" s="352" t="n"/>
      <c r="AP429" s="352" t="n"/>
      <c r="AQ429" s="352" t="n"/>
      <c r="AR429" s="352" t="n"/>
      <c r="AS429" s="352" t="n"/>
      <c r="AT429" s="352" t="n"/>
      <c r="AU429" s="352" t="n"/>
      <c r="AV429" s="352" t="n"/>
      <c r="AW429" s="352">
        <f>IF(SUM(R429:AV429)=0,"",SUM(R429:AV429))</f>
        <v/>
      </c>
      <c r="AX429" s="431">
        <f>IFERROR(AW429*O429/1000,"")</f>
        <v/>
      </c>
      <c r="AY429" s="431">
        <f>IFERROR(ROUND(AW429*P429/10000,3),"")</f>
        <v/>
      </c>
      <c r="AZ429" s="331" t="n">
        <v>642.6823000000001</v>
      </c>
      <c r="BA429" s="331" t="n">
        <v>41.1665</v>
      </c>
      <c r="BB429" s="331" t="n">
        <v>56.5637</v>
      </c>
      <c r="BC429" s="331" t="n">
        <v>49.8138</v>
      </c>
      <c r="BE429" s="331">
        <f>AZ429*AW429</f>
        <v/>
      </c>
      <c r="BF429" s="331">
        <f>BA429*AW429</f>
        <v/>
      </c>
      <c r="BG429" s="331">
        <f>BB429*AW429</f>
        <v/>
      </c>
      <c r="BH429" s="331">
        <f>BC429*AW429</f>
        <v/>
      </c>
      <c r="BJ429" s="356">
        <f t="array" ref="BJ429:BM429">_xlfn.LET(_xlpm.data,$R429:$AV429,_xlpm.starts,{1,8,16,23},_xlpm.lengths,{7,7,8,9},_xlpm.arr,_xlfn.MAP(_xlpm.starts,_xlpm.lengths,_xlfn.LAMBDA(_xlpm.s,_xlpm.l,SUM(INDEX(_xlpm.data,,_xlfn.SEQUENCE(,_xlpm.l,_xlpm.s))))),ROUND(_xlpm.arr*$O429/1000,2))</f>
        <v/>
      </c>
      <c r="BK429" s="331" t="n">
        <v>0</v>
      </c>
      <c r="BL429" s="331" t="n">
        <v>0</v>
      </c>
      <c r="BM429" s="331" t="n">
        <v>0</v>
      </c>
      <c r="BN429" s="362">
        <f>SUM(BJ429:BM429)</f>
        <v/>
      </c>
      <c r="BO429" s="362" t="n">
        <v>18.63</v>
      </c>
      <c r="BP429" s="362" t="n">
        <v>18.63</v>
      </c>
      <c r="BQ429" s="362" t="n">
        <v>21.29</v>
      </c>
      <c r="BR429" s="362" t="n">
        <v>23.95</v>
      </c>
      <c r="BS429" s="367" t="inlineStr">
        <is>
          <t>载重</t>
        </is>
      </c>
      <c r="BX429" s="357" t="inlineStr">
        <is>
          <t>载重</t>
        </is>
      </c>
      <c r="BY429" s="362">
        <f>SUM(R429:X429)</f>
        <v/>
      </c>
      <c r="BZ429" s="362">
        <f>SUM(Y429:AE429)</f>
        <v/>
      </c>
      <c r="CA429" s="362">
        <f>SUM(AF429:AM429)</f>
        <v/>
      </c>
      <c r="CB429" s="362">
        <f>SUM(AN429:AV429)</f>
        <v/>
      </c>
      <c r="CD429" s="225" t="inlineStr">
        <is>
          <t>全钢重量</t>
        </is>
      </c>
      <c r="CE429" s="384">
        <f>ROUND(BY429*$O429/1000,2)</f>
        <v/>
      </c>
      <c r="CF429" s="380">
        <f>ROUND(BZ429*$O429/1000,2)</f>
        <v/>
      </c>
      <c r="CG429" s="380">
        <f>ROUND(CA429*$O429/1000,2)</f>
        <v/>
      </c>
      <c r="CH429" s="380">
        <f>ROUND(CB429*$O429/1000,2)</f>
        <v/>
      </c>
      <c r="CI429" s="362">
        <f>SUM(CE429:CH429)</f>
        <v/>
      </c>
      <c r="CK429" s="362">
        <f>IFERROR(ROUND(BY429*$P429,2),"")</f>
        <v/>
      </c>
      <c r="CL429" s="362">
        <f>IFERROR(ROUND(BZ429*$P429,2),"")</f>
        <v/>
      </c>
      <c r="CM429" s="362">
        <f>IFERROR(ROUND(CA429*$P429,2),"")</f>
        <v/>
      </c>
      <c r="CN429" s="362">
        <f>IFERROR(ROUND(CB429*$P429,2),"")</f>
        <v/>
      </c>
      <c r="CO429" s="362">
        <f>SUM(CK429:CN429)</f>
        <v/>
      </c>
    </row>
    <row r="430" hidden="1" s="428">
      <c r="B430" s="352" t="n"/>
      <c r="C430" s="352">
        <f>IFERROR(MID(E430,FIND("-",E430)+1,2),"")</f>
        <v/>
      </c>
      <c r="D430" s="352">
        <f>"载重"&amp;C430&amp;"寸"</f>
        <v/>
      </c>
      <c r="E430" s="379">
        <f>IFERROR(LEFT(REPLACE(G430,1,2,""),FIND("[",REPLACE(G430,1,2,""))-1)&amp;"-"&amp;MID(REPLACE(G430,1,2,""),FIND("[",REPLACE(G430,1,2,""))+1,FIND("]",REPLACE(G430,1,2,""))-FIND("[",REPLACE(G430,1,2,""))-1),"")</f>
        <v/>
      </c>
      <c r="F430" s="379" t="n"/>
      <c r="G430" s="379" t="n"/>
      <c r="H430" s="352" t="n"/>
      <c r="I430" s="370" t="n"/>
      <c r="J430" s="352" t="n">
        <v>54.8</v>
      </c>
      <c r="K430" s="352" t="n"/>
      <c r="L430" s="430">
        <f>IF(J429="","",J429/(J429+$J$380/60))</f>
        <v/>
      </c>
      <c r="M430" s="430" t="n"/>
      <c r="N430" s="352" t="n"/>
      <c r="O430" s="352">
        <f>IFERROR(_xlfn.XLOOKUP(E430,轮胎重量!S:S,轮胎重量!P:P),IFERROR(_xlfn.XLOOKUP(E430,轮胎重量!AB:AB,轮胎重量!Y:Y),IFERROR(_xlfn.XLOOKUP(E430,轮胎重量!AK:AK,轮胎重量!AH:AH),IFERROR(_xlfn.XLOOKUP(E430,轮胎重量!AT:AT,轮胎重量!AQ:AQ),""))))</f>
        <v/>
      </c>
      <c r="P430" s="358">
        <f>O430*14.76</f>
        <v/>
      </c>
      <c r="Q430" s="352">
        <f>IFERROR(ROUND(1440/J430*I430*L431,0),"")</f>
        <v/>
      </c>
      <c r="R430" s="352" t="n"/>
      <c r="S430" s="352" t="n"/>
      <c r="T430" s="352" t="n"/>
      <c r="U430" s="352" t="n"/>
      <c r="V430" s="352" t="n"/>
      <c r="W430" s="352" t="n"/>
      <c r="X430" s="352" t="n"/>
      <c r="Y430" s="352" t="n"/>
      <c r="Z430" s="352" t="n"/>
      <c r="AA430" s="352" t="n"/>
      <c r="AB430" s="352" t="n"/>
      <c r="AC430" s="352" t="n"/>
      <c r="AD430" s="352" t="n"/>
      <c r="AE430" s="352" t="n"/>
      <c r="AF430" s="352" t="n"/>
      <c r="AG430" s="352" t="n"/>
      <c r="AH430" s="352" t="n"/>
      <c r="AI430" s="352" t="n"/>
      <c r="AJ430" s="352" t="n"/>
      <c r="AK430" s="352" t="n"/>
      <c r="AL430" s="352" t="n"/>
      <c r="AM430" s="352" t="n"/>
      <c r="AN430" s="352" t="n"/>
      <c r="AO430" s="352" t="n"/>
      <c r="AP430" s="352" t="n"/>
      <c r="AQ430" s="352" t="n"/>
      <c r="AR430" s="352" t="n"/>
      <c r="AS430" s="352" t="n"/>
      <c r="AT430" s="352" t="n"/>
      <c r="AU430" s="352" t="n"/>
      <c r="AV430" s="352" t="n"/>
      <c r="AW430" s="352">
        <f>IF(SUM(R430:AV430)=0,"",SUM(R430:AV430))</f>
        <v/>
      </c>
      <c r="AX430" s="431">
        <f>IFERROR(AW430*O430/1000,"")</f>
        <v/>
      </c>
      <c r="AY430" s="431">
        <f>IFERROR(ROUND(AW430*P430/10000,3),"")</f>
        <v/>
      </c>
      <c r="AZ430" s="331" t="n">
        <v>560.2288</v>
      </c>
      <c r="BA430" s="331" t="n">
        <v>37.4444</v>
      </c>
      <c r="BB430" s="331" t="n">
        <v>51.4494</v>
      </c>
      <c r="BC430" s="331" t="n">
        <v>45.3098</v>
      </c>
      <c r="BE430" s="331">
        <f>AZ430*AW430</f>
        <v/>
      </c>
      <c r="BF430" s="331">
        <f>BA430*AW430</f>
        <v/>
      </c>
      <c r="BG430" s="331">
        <f>BB430*AW430</f>
        <v/>
      </c>
      <c r="BH430" s="331">
        <f>BC430*AW430</f>
        <v/>
      </c>
      <c r="BJ430" s="356">
        <f t="array" ref="BJ430:BM430">_xlfn.LET(_xlpm.data,$R430:$AV430,_xlpm.starts,{1,8,16,23},_xlpm.lengths,{7,7,8,9},_xlpm.arr,_xlfn.MAP(_xlpm.starts,_xlpm.lengths,_xlfn.LAMBDA(_xlpm.s,_xlpm.l,SUM(INDEX(_xlpm.data,,_xlfn.SEQUENCE(,_xlpm.l,_xlpm.s))))),ROUND(_xlpm.arr*$O430/1000,2))</f>
        <v/>
      </c>
      <c r="BK430" s="331" t="n">
        <v>0</v>
      </c>
      <c r="BL430" s="331" t="n">
        <v>0</v>
      </c>
      <c r="BM430" s="331" t="n">
        <v>0</v>
      </c>
      <c r="BN430" s="362">
        <f>SUM(BJ430:BM430)</f>
        <v/>
      </c>
      <c r="BO430" s="362" t="n">
        <v>0</v>
      </c>
      <c r="BP430" s="362" t="n">
        <v>0</v>
      </c>
      <c r="BQ430" s="362" t="n">
        <v>0</v>
      </c>
      <c r="BR430" s="362" t="n">
        <v>15.97</v>
      </c>
      <c r="BS430" s="367" t="inlineStr">
        <is>
          <t>载重</t>
        </is>
      </c>
      <c r="BX430" s="357" t="inlineStr">
        <is>
          <t>载重</t>
        </is>
      </c>
      <c r="BY430" s="362">
        <f>SUM(R430:X430)</f>
        <v/>
      </c>
      <c r="BZ430" s="362">
        <f>SUM(Y430:AE430)</f>
        <v/>
      </c>
      <c r="CA430" s="362">
        <f>SUM(AF430:AM430)</f>
        <v/>
      </c>
      <c r="CB430" s="362">
        <f>SUM(AN430:AV430)</f>
        <v/>
      </c>
      <c r="CD430" s="390" t="n">
        <v>56.5</v>
      </c>
      <c r="CE430" s="384">
        <f>ROUND(BY430*$O430/1000,2)</f>
        <v/>
      </c>
      <c r="CF430" s="380">
        <f>ROUND(BZ430*$O430/1000,2)</f>
        <v/>
      </c>
      <c r="CG430" s="380">
        <f>ROUND(CA430*$O430/1000,2)</f>
        <v/>
      </c>
      <c r="CH430" s="380">
        <f>ROUND(CB430*$O430/1000,2)</f>
        <v/>
      </c>
      <c r="CI430" s="362">
        <f>SUM(CE430:CH430)</f>
        <v/>
      </c>
      <c r="CK430" s="362">
        <f>IFERROR(ROUND(BY430*$P430,2),"")</f>
        <v/>
      </c>
      <c r="CL430" s="362">
        <f>IFERROR(ROUND(BZ430*$P430,2),"")</f>
        <v/>
      </c>
      <c r="CM430" s="362">
        <f>IFERROR(ROUND(CA430*$P430,2),"")</f>
        <v/>
      </c>
      <c r="CN430" s="362">
        <f>IFERROR(ROUND(CB430*$P430,2),"")</f>
        <v/>
      </c>
      <c r="CO430" s="362">
        <f>SUM(CK430:CN430)</f>
        <v/>
      </c>
    </row>
    <row r="431" hidden="1" s="428">
      <c r="B431" s="352" t="inlineStr">
        <is>
          <t>美国</t>
        </is>
      </c>
      <c r="C431" s="352" t="n"/>
      <c r="D431" s="352">
        <f>"ST"&amp;C431&amp;"寸"</f>
        <v/>
      </c>
      <c r="E431" s="379" t="n"/>
      <c r="F431" s="379" t="n"/>
      <c r="G431" s="379" t="n"/>
      <c r="H431" s="352" t="n"/>
      <c r="I431" s="370" t="n"/>
      <c r="J431" s="352" t="n">
        <v>54.8</v>
      </c>
      <c r="K431" s="352" t="n"/>
      <c r="L431" s="430">
        <f>IF(J430="","",J430/(J430+$J$380/60))</f>
        <v/>
      </c>
      <c r="M431" s="430" t="n"/>
      <c r="N431" s="352" t="n"/>
      <c r="O431" s="352">
        <f>IFERROR(_xlfn.XLOOKUP(E431,轮胎重量!S:S,轮胎重量!P:P),IFERROR(_xlfn.XLOOKUP(E431,轮胎重量!AB:AB,轮胎重量!Y:Y),IFERROR(_xlfn.XLOOKUP(E431,轮胎重量!AK:AK,轮胎重量!AH:AH),IFERROR(_xlfn.XLOOKUP(E431,轮胎重量!AT:AT,轮胎重量!AQ:AQ),""))))</f>
        <v/>
      </c>
      <c r="P431" s="358">
        <f>O431*14.76</f>
        <v/>
      </c>
      <c r="Q431" s="352">
        <f>IFERROR(ROUND(1440/J431*I431*L432,0),"")</f>
        <v/>
      </c>
      <c r="R431" s="352" t="n"/>
      <c r="S431" s="352" t="n"/>
      <c r="T431" s="352" t="n"/>
      <c r="U431" s="352" t="n"/>
      <c r="V431" s="352" t="n"/>
      <c r="W431" s="352" t="n"/>
      <c r="X431" s="352" t="n"/>
      <c r="Y431" s="352" t="n"/>
      <c r="Z431" s="352" t="n"/>
      <c r="AA431" s="352" t="n"/>
      <c r="AB431" s="352" t="n"/>
      <c r="AC431" s="352" t="n"/>
      <c r="AD431" s="352" t="n"/>
      <c r="AE431" s="352" t="n"/>
      <c r="AF431" s="352" t="n"/>
      <c r="AG431" s="352" t="n"/>
      <c r="AH431" s="352" t="n"/>
      <c r="AI431" s="352" t="n"/>
      <c r="AJ431" s="352" t="n"/>
      <c r="AK431" s="352" t="n"/>
      <c r="AL431" s="352" t="n"/>
      <c r="AM431" s="352" t="n"/>
      <c r="AN431" s="352" t="n"/>
      <c r="AO431" s="352" t="n"/>
      <c r="AP431" s="352" t="n"/>
      <c r="AQ431" s="352" t="n"/>
      <c r="AR431" s="352" t="n"/>
      <c r="AS431" s="352" t="n"/>
      <c r="AT431" s="352" t="n"/>
      <c r="AU431" s="352" t="n"/>
      <c r="AV431" s="352" t="n"/>
      <c r="AW431" s="352">
        <f>IF(SUM(R431:AV431)=0,"",SUM(R431:AV431))</f>
        <v/>
      </c>
      <c r="AX431" s="431">
        <f>IFERROR(AW431*O431/1000,"")</f>
        <v/>
      </c>
      <c r="AY431" s="431">
        <f>IFERROR(ROUND(AW431*P431/10000,3),"")</f>
        <v/>
      </c>
      <c r="AZ431" s="331" t="n">
        <v>560.2288</v>
      </c>
      <c r="BA431" s="331" t="n">
        <v>37.4444</v>
      </c>
      <c r="BB431" s="331" t="n">
        <v>51.4494</v>
      </c>
      <c r="BC431" s="331" t="n">
        <v>45.3098</v>
      </c>
      <c r="BE431" s="331">
        <f>AZ431*AW431</f>
        <v/>
      </c>
      <c r="BF431" s="331">
        <f>BA431*AW431</f>
        <v/>
      </c>
      <c r="BG431" s="331">
        <f>BB431*AW431</f>
        <v/>
      </c>
      <c r="BH431" s="331">
        <f>BC431*AW431</f>
        <v/>
      </c>
      <c r="BJ431" s="356">
        <f t="array" ref="BJ431:BM431">_xlfn.LET(_xlpm.data,$R431:$AV431,_xlpm.starts,{1,8,16,23},_xlpm.lengths,{7,7,8,9},_xlpm.arr,_xlfn.MAP(_xlpm.starts,_xlpm.lengths,_xlfn.LAMBDA(_xlpm.s,_xlpm.l,SUM(INDEX(_xlpm.data,,_xlfn.SEQUENCE(,_xlpm.l,_xlpm.s))))),ROUND(_xlpm.arr*$O431/1000,2))</f>
        <v/>
      </c>
      <c r="BK431" s="331" t="n">
        <v>0</v>
      </c>
      <c r="BL431" s="331" t="n">
        <v>0</v>
      </c>
      <c r="BM431" s="331" t="n">
        <v>0</v>
      </c>
      <c r="BN431" s="362">
        <f>SUM(BJ431:BM431)</f>
        <v/>
      </c>
      <c r="BO431" s="362" t="n">
        <v>0</v>
      </c>
      <c r="BP431" s="362" t="n">
        <v>0</v>
      </c>
      <c r="BQ431" s="362" t="n">
        <v>0</v>
      </c>
      <c r="BR431" s="362" t="n">
        <v>15.97</v>
      </c>
      <c r="BS431" s="115" t="inlineStr">
        <is>
          <t>ST</t>
        </is>
      </c>
      <c r="BX431" s="115" t="inlineStr">
        <is>
          <t>ST</t>
        </is>
      </c>
      <c r="BY431" s="362">
        <f>SUM(R431:X431)</f>
        <v/>
      </c>
      <c r="BZ431" s="362">
        <f>SUM(Y431:AE431)</f>
        <v/>
      </c>
      <c r="CA431" s="362">
        <f>SUM(AF431:AM431)</f>
        <v/>
      </c>
      <c r="CB431" s="362">
        <f>SUM(AN431:AV431)</f>
        <v/>
      </c>
      <c r="CD431" s="390" t="n">
        <v>56.5</v>
      </c>
      <c r="CE431" s="384">
        <f>ROUND(BY431*$O431/1000,2)</f>
        <v/>
      </c>
      <c r="CF431" s="380">
        <f>ROUND(BZ431*$O431/1000,2)</f>
        <v/>
      </c>
      <c r="CG431" s="380">
        <f>ROUND(CA431*$O431/1000,2)</f>
        <v/>
      </c>
      <c r="CH431" s="380">
        <f>ROUND(CB431*$O431/1000,2)</f>
        <v/>
      </c>
      <c r="CI431" s="362">
        <f>SUM(CE431:CH431)</f>
        <v/>
      </c>
      <c r="CK431" s="362">
        <f>IFERROR(ROUND(BY431*$P431,2),"")</f>
        <v/>
      </c>
      <c r="CL431" s="362">
        <f>IFERROR(ROUND(BZ431*$P431,2),"")</f>
        <v/>
      </c>
      <c r="CM431" s="362">
        <f>IFERROR(ROUND(CA431*$P431,2),"")</f>
        <v/>
      </c>
      <c r="CN431" s="362">
        <f>IFERROR(ROUND(CB431*$P431,2),"")</f>
        <v/>
      </c>
      <c r="CO431" s="362">
        <f>SUM(CK431:CN431)</f>
        <v/>
      </c>
    </row>
    <row r="432" hidden="1" customFormat="1" s="329">
      <c r="A432" s="382" t="n"/>
      <c r="B432" s="352" t="inlineStr">
        <is>
          <t>美国</t>
        </is>
      </c>
      <c r="C432" s="352" t="n"/>
      <c r="D432" s="352">
        <f>"ST"&amp;C432&amp;"寸"</f>
        <v/>
      </c>
      <c r="E432" s="379" t="n"/>
      <c r="F432" s="379" t="n"/>
      <c r="G432" s="379" t="n"/>
      <c r="H432" s="352" t="n"/>
      <c r="I432" s="370" t="n"/>
      <c r="J432" s="370" t="n">
        <v>54.8</v>
      </c>
      <c r="K432" s="352" t="n"/>
      <c r="L432" s="430">
        <f>IF(J431="","",J431/(J431+$J$380/60))</f>
        <v/>
      </c>
      <c r="M432" s="448" t="n"/>
      <c r="N432" s="370" t="n"/>
      <c r="O432" s="352">
        <f>IFERROR(_xlfn.XLOOKUP(E432,轮胎重量!S:S,轮胎重量!P:P),IFERROR(_xlfn.XLOOKUP(E432,轮胎重量!AB:AB,轮胎重量!Y:Y),IFERROR(_xlfn.XLOOKUP(E432,轮胎重量!AK:AK,轮胎重量!AH:AH),IFERROR(_xlfn.XLOOKUP(E432,轮胎重量!AT:AT,轮胎重量!AQ:AQ),""))))</f>
        <v/>
      </c>
      <c r="P432" s="358">
        <f>O432*14.76</f>
        <v/>
      </c>
      <c r="Q432" s="370">
        <f>IFERROR(ROUND(1440/J432*I432*L433,0),"")</f>
        <v/>
      </c>
      <c r="R432" s="370" t="n"/>
      <c r="S432" s="370" t="n"/>
      <c r="T432" s="370" t="n"/>
      <c r="U432" s="370" t="n"/>
      <c r="V432" s="370" t="n"/>
      <c r="W432" s="370" t="n"/>
      <c r="X432" s="370" t="n"/>
      <c r="Y432" s="370" t="n"/>
      <c r="Z432" s="370" t="n"/>
      <c r="AA432" s="370" t="n"/>
      <c r="AB432" s="370" t="n"/>
      <c r="AC432" s="370" t="n"/>
      <c r="AD432" s="370" t="n"/>
      <c r="AE432" s="370" t="n"/>
      <c r="AF432" s="370" t="n"/>
      <c r="AG432" s="370" t="n"/>
      <c r="AH432" s="352" t="n"/>
      <c r="AI432" s="352" t="n"/>
      <c r="AJ432" s="352" t="n"/>
      <c r="AK432" s="352" t="n"/>
      <c r="AL432" s="352" t="n"/>
      <c r="AM432" s="352" t="n"/>
      <c r="AN432" s="352" t="n"/>
      <c r="AO432" s="370" t="n"/>
      <c r="AP432" s="370" t="n"/>
      <c r="AQ432" s="370" t="n"/>
      <c r="AR432" s="370" t="n"/>
      <c r="AS432" s="370" t="n"/>
      <c r="AT432" s="370" t="n"/>
      <c r="AU432" s="370" t="n"/>
      <c r="AV432" s="370" t="n"/>
      <c r="AW432" s="352">
        <f>IF(SUM(R432:AV432)=0,"",SUM(R432:AV432))</f>
        <v/>
      </c>
      <c r="AX432" s="431">
        <f>IFERROR(AW432*O432/1000,"")</f>
        <v/>
      </c>
      <c r="AY432" s="431">
        <f>IFERROR(ROUND(AW432*P432/10000,3),"")</f>
        <v/>
      </c>
      <c r="AZ432" s="386" t="n">
        <v>575.2751</v>
      </c>
      <c r="BA432" s="386" t="n">
        <v>38.7893</v>
      </c>
      <c r="BB432" s="386" t="n">
        <v>53.2973</v>
      </c>
      <c r="BC432" s="386" t="n">
        <v>46.9372</v>
      </c>
      <c r="BD432" s="382" t="n"/>
      <c r="BE432" s="382">
        <f>AZ432*AW432</f>
        <v/>
      </c>
      <c r="BF432" s="382">
        <f>BA432*AW432</f>
        <v/>
      </c>
      <c r="BG432" s="382">
        <f>BB432*AW432</f>
        <v/>
      </c>
      <c r="BH432" s="382">
        <f>BC432*AW432</f>
        <v/>
      </c>
      <c r="BI432" s="382" t="n"/>
      <c r="BJ432" s="356">
        <f t="array" ref="BJ432:BM432">_xlfn.LET(_xlpm.data,$R432:$AV432,_xlpm.starts,{1,8,16,23},_xlpm.lengths,{7,7,8,9},_xlpm.arr,_xlfn.MAP(_xlpm.starts,_xlpm.lengths,_xlfn.LAMBDA(_xlpm.s,_xlpm.l,SUM(INDEX(_xlpm.data,,_xlfn.SEQUENCE(,_xlpm.l,_xlpm.s))))),ROUND(_xlpm.arr*$O432/1000,2))</f>
        <v/>
      </c>
      <c r="BK432" s="382" t="n">
        <v>0</v>
      </c>
      <c r="BL432" s="382" t="n">
        <v>0</v>
      </c>
      <c r="BM432" s="382" t="n">
        <v>0</v>
      </c>
      <c r="BN432" s="329">
        <f>SUM(BJ432:BM432)</f>
        <v/>
      </c>
      <c r="BO432" s="329" t="n">
        <v>18.63</v>
      </c>
      <c r="BP432" s="329" t="n">
        <v>18.63</v>
      </c>
      <c r="BQ432" s="329" t="n">
        <v>21.29</v>
      </c>
      <c r="BR432" s="329" t="n">
        <v>23.95</v>
      </c>
      <c r="BS432" s="115" t="inlineStr">
        <is>
          <t>ST</t>
        </is>
      </c>
      <c r="BX432" s="115" t="inlineStr">
        <is>
          <t>ST</t>
        </is>
      </c>
      <c r="BY432" s="362">
        <f>SUM(R432:X432)</f>
        <v/>
      </c>
      <c r="BZ432" s="362">
        <f>SUM(Y432:AE432)</f>
        <v/>
      </c>
      <c r="CA432" s="362">
        <f>SUM(AF432:AM432)</f>
        <v/>
      </c>
      <c r="CB432" s="362">
        <f>SUM(AN432:AV432)</f>
        <v/>
      </c>
      <c r="CD432" s="387" t="n"/>
      <c r="CE432" s="384">
        <f>ROUND(BY432*$O432/1000,2)</f>
        <v/>
      </c>
      <c r="CF432" s="380">
        <f>ROUND(BZ432*$O432/1000,2)</f>
        <v/>
      </c>
      <c r="CG432" s="380">
        <f>ROUND(CA432*$O432/1000,2)</f>
        <v/>
      </c>
      <c r="CH432" s="380">
        <f>ROUND(CB432*$O432/1000,2)</f>
        <v/>
      </c>
      <c r="CI432" s="362">
        <f>SUM(CE432:CH432)</f>
        <v/>
      </c>
      <c r="CJ432" s="387" t="n"/>
      <c r="CK432" s="362">
        <f>IFERROR(ROUND(BY432*$P432,2),"")</f>
        <v/>
      </c>
      <c r="CL432" s="362">
        <f>IFERROR(ROUND(BZ432*$P432,2),"")</f>
        <v/>
      </c>
      <c r="CM432" s="362">
        <f>IFERROR(ROUND(CA432*$P432,2),"")</f>
        <v/>
      </c>
      <c r="CN432" s="362">
        <f>IFERROR(ROUND(CB432*$P432,2),"")</f>
        <v/>
      </c>
    </row>
    <row r="433" customFormat="1" s="329">
      <c r="A433" s="382" t="n"/>
      <c r="B433" s="352" t="inlineStr">
        <is>
          <t>美国</t>
        </is>
      </c>
      <c r="C433" s="352" t="n">
        <v>15</v>
      </c>
      <c r="D433" s="352">
        <f>"ST"&amp;C433&amp;"寸"</f>
        <v/>
      </c>
      <c r="E433" s="379">
        <f>LEFT(REPLACE(G433,1,2,""),FIND("[",REPLACE(G433,1,2,""))-1)&amp;"-"&amp;MID(REPLACE(G433,1,2,""),FIND("[",REPLACE(G433,1,2,""))+1,FIND("]",REPLACE(G433,1,2,""))-FIND("[",REPLACE(G433,1,2,""))-1)</f>
        <v/>
      </c>
      <c r="F433" s="379" t="n"/>
      <c r="G433" s="379" t="inlineStr">
        <is>
          <t>IDST205/75D15-6PR[TE898]101/97L TRANSEAGLE无内</t>
        </is>
      </c>
      <c r="H433" s="352" t="n">
        <v>500</v>
      </c>
      <c r="I433" s="370" t="n"/>
      <c r="J433" s="370" t="n">
        <v>54.8</v>
      </c>
      <c r="K433" s="352" t="n"/>
      <c r="L433" s="448">
        <f>IF(J432="","",J432/(J432+$J$380/60))</f>
        <v/>
      </c>
      <c r="M433" s="448" t="n"/>
      <c r="N433" s="370" t="n"/>
      <c r="O433" s="352">
        <f>IFERROR(_xlfn.XLOOKUP(E433,轮胎重量!S:S,轮胎重量!P:P),IFERROR(_xlfn.XLOOKUP(E433,轮胎重量!AB:AB,轮胎重量!Y:Y),IFERROR(_xlfn.XLOOKUP(E433,轮胎重量!AK:AK,轮胎重量!AH:AH),IFERROR(_xlfn.XLOOKUP(E433,轮胎重量!AT:AT,轮胎重量!AQ:AQ),""))))</f>
        <v/>
      </c>
      <c r="P433" s="358">
        <f>O433*14.76</f>
        <v/>
      </c>
      <c r="Q433" s="370">
        <f>IFERROR(ROUND(1440/J433*I433*L434,0),"")</f>
        <v/>
      </c>
      <c r="R433" s="352" t="n">
        <v>110</v>
      </c>
      <c r="S433" s="352" t="n">
        <v>110</v>
      </c>
      <c r="T433" s="352" t="n">
        <v>110</v>
      </c>
      <c r="U433" s="352" t="n">
        <v>110</v>
      </c>
      <c r="V433" s="352" t="n">
        <v>110</v>
      </c>
      <c r="W433" s="352" t="n"/>
      <c r="X433" s="352" t="n"/>
      <c r="Y433" s="352" t="n"/>
      <c r="Z433" s="352" t="n"/>
      <c r="AA433" s="352" t="n"/>
      <c r="AB433" s="352" t="n"/>
      <c r="AC433" s="352" t="n"/>
      <c r="AD433" s="352" t="n"/>
      <c r="AE433" s="352" t="n"/>
      <c r="AF433" s="352" t="n"/>
      <c r="AG433" s="352" t="n"/>
      <c r="AH433" s="352" t="n"/>
      <c r="AI433" s="352" t="n"/>
      <c r="AJ433" s="352" t="n"/>
      <c r="AK433" s="352" t="n"/>
      <c r="AL433" s="352" t="n"/>
      <c r="AM433" s="352" t="n"/>
      <c r="AN433" s="352" t="n"/>
      <c r="AO433" s="352" t="n"/>
      <c r="AP433" s="352" t="n"/>
      <c r="AQ433" s="352" t="n"/>
      <c r="AR433" s="352" t="n"/>
      <c r="AS433" s="352" t="n"/>
      <c r="AT433" s="352" t="n"/>
      <c r="AU433" s="352" t="n"/>
      <c r="AV433" s="352" t="n"/>
      <c r="AW433" s="352">
        <f>IF(SUM(R433:AV433)=0,"",SUM(R433:AV433))</f>
        <v/>
      </c>
      <c r="AX433" s="431">
        <f>IFERROR(AW433*O433/1000,"")</f>
        <v/>
      </c>
      <c r="AY433" s="431">
        <f>IFERROR(ROUND(AW433*P433/10000,3),"")</f>
        <v/>
      </c>
      <c r="AZ433" s="386" t="n">
        <v>575.2751</v>
      </c>
      <c r="BA433" s="386" t="n">
        <v>38.7893</v>
      </c>
      <c r="BB433" s="386" t="n">
        <v>53.2973</v>
      </c>
      <c r="BC433" s="386" t="n">
        <v>46.9372</v>
      </c>
      <c r="BD433" s="382" t="n"/>
      <c r="BE433" s="382">
        <f>AZ433*AW433</f>
        <v/>
      </c>
      <c r="BF433" s="382">
        <f>BA433*AW433</f>
        <v/>
      </c>
      <c r="BG433" s="382">
        <f>BB433*AW433</f>
        <v/>
      </c>
      <c r="BH433" s="382">
        <f>BC433*AW433</f>
        <v/>
      </c>
      <c r="BI433" s="382" t="n"/>
      <c r="BJ433" s="356">
        <f t="array" ref="BJ433:BM433">_xlfn.LET(_xlpm.data,$R433:$AV433,_xlpm.starts,{1,8,16,23},_xlpm.lengths,{7,7,8,9},_xlpm.arr,_xlfn.MAP(_xlpm.starts,_xlpm.lengths,_xlfn.LAMBDA(_xlpm.s,_xlpm.l,SUM(INDEX(_xlpm.data,,_xlfn.SEQUENCE(,_xlpm.l,_xlpm.s))))),ROUND(_xlpm.arr*$O433/1000,2))</f>
        <v/>
      </c>
      <c r="BK433" s="382" t="n">
        <v>0</v>
      </c>
      <c r="BL433" s="382" t="n">
        <v>0</v>
      </c>
      <c r="BM433" s="382" t="n">
        <v>0</v>
      </c>
      <c r="BN433" s="329">
        <f>SUM(BJ433:BM433)</f>
        <v/>
      </c>
      <c r="BO433" s="329" t="n">
        <v>18.63</v>
      </c>
      <c r="BP433" s="329" t="n">
        <v>18.63</v>
      </c>
      <c r="BQ433" s="329" t="n">
        <v>21.29</v>
      </c>
      <c r="BR433" s="329" t="n">
        <v>23.95</v>
      </c>
      <c r="BS433" s="115" t="inlineStr">
        <is>
          <t>ST</t>
        </is>
      </c>
      <c r="BX433" s="115" t="inlineStr">
        <is>
          <t>ST</t>
        </is>
      </c>
      <c r="BY433" s="362">
        <f>SUM(R433:X433)</f>
        <v/>
      </c>
      <c r="BZ433" s="362">
        <f>SUM(Y433:AE433)</f>
        <v/>
      </c>
      <c r="CA433" s="362">
        <f>SUM(AF433:AM433)</f>
        <v/>
      </c>
      <c r="CB433" s="362">
        <f>SUM(AN433:AV433)</f>
        <v/>
      </c>
      <c r="CD433" s="449" t="inlineStr">
        <is>
          <t>ADA</t>
        </is>
      </c>
      <c r="CE433" s="384">
        <f>ROUND(BY433*$O433/1000,2)</f>
        <v/>
      </c>
      <c r="CF433" s="380">
        <f>ROUND(BZ433*$O433/1000,2)</f>
        <v/>
      </c>
      <c r="CG433" s="380">
        <f>ROUND(CA433*$O433/1000,2)</f>
        <v/>
      </c>
      <c r="CH433" s="380">
        <f>ROUND(CB433*$O433/1000,2)</f>
        <v/>
      </c>
      <c r="CI433" s="362">
        <f>SUM(CE433:CH433)</f>
        <v/>
      </c>
      <c r="CJ433" s="387" t="n"/>
      <c r="CK433" s="362">
        <f>IFERROR(ROUND(BY433*$P433,2),"")</f>
        <v/>
      </c>
      <c r="CL433" s="362">
        <f>IFERROR(ROUND(BZ433*$P433,2),"")</f>
        <v/>
      </c>
      <c r="CM433" s="362">
        <f>IFERROR(ROUND(CA433*$P433,2),"")</f>
        <v/>
      </c>
      <c r="CN433" s="362">
        <f>IFERROR(ROUND(CB433*$P433,2),"")</f>
        <v/>
      </c>
    </row>
    <row r="434" hidden="1" customFormat="1" s="362">
      <c r="A434" s="331" t="n"/>
      <c r="B434" s="352" t="inlineStr">
        <is>
          <t>美国</t>
        </is>
      </c>
      <c r="C434" s="352" t="n"/>
      <c r="D434" s="352">
        <f>"ST"&amp;C434&amp;"寸"</f>
        <v/>
      </c>
      <c r="E434" s="379" t="n"/>
      <c r="F434" s="379" t="n"/>
      <c r="G434" s="379" t="n"/>
      <c r="H434" s="352" t="n"/>
      <c r="I434" s="370" t="n"/>
      <c r="J434" s="352" t="n">
        <v>58.3</v>
      </c>
      <c r="K434" s="352" t="n"/>
      <c r="L434" s="448">
        <f>IF(J433="","",J433/(J433+$J$380/60))</f>
        <v/>
      </c>
      <c r="M434" s="430" t="n"/>
      <c r="N434" s="352" t="n"/>
      <c r="O434" s="352">
        <f>IFERROR(_xlfn.XLOOKUP(E434,轮胎重量!S:S,轮胎重量!P:P),IFERROR(_xlfn.XLOOKUP(E434,轮胎重量!AB:AB,轮胎重量!Y:Y),IFERROR(_xlfn.XLOOKUP(E434,轮胎重量!AK:AK,轮胎重量!AH:AH),IFERROR(_xlfn.XLOOKUP(E434,轮胎重量!AT:AT,轮胎重量!AQ:AQ),""))))</f>
        <v/>
      </c>
      <c r="P434" s="358">
        <f>O434*14.76</f>
        <v/>
      </c>
      <c r="Q434" s="352">
        <f>IFERROR(ROUND(1440/J434*I434*L435,0),"")</f>
        <v/>
      </c>
      <c r="R434" s="352" t="n"/>
      <c r="S434" s="352" t="n"/>
      <c r="T434" s="352" t="n"/>
      <c r="U434" s="352" t="n"/>
      <c r="V434" s="352" t="n"/>
      <c r="W434" s="352" t="n"/>
      <c r="X434" s="352" t="n"/>
      <c r="Y434" s="352" t="n"/>
      <c r="Z434" s="352" t="n"/>
      <c r="AA434" s="352" t="n"/>
      <c r="AB434" s="352" t="n"/>
      <c r="AC434" s="352" t="n"/>
      <c r="AD434" s="352" t="n"/>
      <c r="AE434" s="352" t="n"/>
      <c r="AF434" s="352" t="n"/>
      <c r="AG434" s="352" t="n"/>
      <c r="AH434" s="352" t="n"/>
      <c r="AI434" s="352" t="n"/>
      <c r="AJ434" s="370" t="n"/>
      <c r="AK434" s="352" t="n"/>
      <c r="AL434" s="352" t="n"/>
      <c r="AM434" s="352" t="n"/>
      <c r="AN434" s="352" t="n"/>
      <c r="AO434" s="352" t="n"/>
      <c r="AP434" s="352" t="n"/>
      <c r="AQ434" s="352" t="n"/>
      <c r="AR434" s="352" t="n"/>
      <c r="AS434" s="352" t="n"/>
      <c r="AT434" s="352" t="n"/>
      <c r="AU434" s="352" t="n"/>
      <c r="AV434" s="352" t="n"/>
      <c r="AW434" s="352">
        <f>IF(SUM(R434:AV434)=0,"",SUM(R434:AV434))</f>
        <v/>
      </c>
      <c r="AX434" s="431">
        <f>IFERROR(AW434*O434/1000,"")</f>
        <v/>
      </c>
      <c r="AY434" s="431">
        <f>IFERROR(ROUND(AW434*P434/10000,3),"")</f>
        <v/>
      </c>
      <c r="AZ434" s="355" t="n">
        <v>700.5375</v>
      </c>
      <c r="BA434" s="355" t="n">
        <v>42.4245</v>
      </c>
      <c r="BB434" s="355" t="n">
        <v>58.2922</v>
      </c>
      <c r="BC434" s="355" t="n">
        <v>51.336</v>
      </c>
      <c r="BD434" s="331" t="n"/>
      <c r="BE434" s="331">
        <f>AZ434*AW434</f>
        <v/>
      </c>
      <c r="BF434" s="331">
        <f>BA434*AW434</f>
        <v/>
      </c>
      <c r="BG434" s="331">
        <f>BB434*AW434</f>
        <v/>
      </c>
      <c r="BH434" s="331">
        <f>BC434*AW434</f>
        <v/>
      </c>
      <c r="BI434" s="331" t="n"/>
      <c r="BJ434" s="356">
        <f t="array" ref="BJ434:BM434">_xlfn.LET(_xlpm.data,$R434:$AV434,_xlpm.starts,{1,8,16,23},_xlpm.lengths,{7,7,8,9},_xlpm.arr,_xlfn.MAP(_xlpm.starts,_xlpm.lengths,_xlfn.LAMBDA(_xlpm.s,_xlpm.l,SUM(INDEX(_xlpm.data,,_xlfn.SEQUENCE(,_xlpm.l,_xlpm.s))))),ROUND(_xlpm.arr*$O434/1000,2))</f>
        <v/>
      </c>
      <c r="BK434" s="331" t="n">
        <v>0</v>
      </c>
      <c r="BL434" s="331" t="n">
        <v>0</v>
      </c>
      <c r="BM434" s="331" t="n">
        <v>0</v>
      </c>
      <c r="BN434" s="362">
        <f>SUM(BJ434:BM434)</f>
        <v/>
      </c>
      <c r="BO434" s="362" t="n">
        <v>0</v>
      </c>
      <c r="BP434" s="362" t="n">
        <v>0</v>
      </c>
      <c r="BQ434" s="362" t="n">
        <v>0</v>
      </c>
      <c r="BR434" s="362" t="n">
        <v>0</v>
      </c>
      <c r="BS434" s="115" t="inlineStr">
        <is>
          <t>ST</t>
        </is>
      </c>
      <c r="BX434" s="115" t="inlineStr">
        <is>
          <t>ST</t>
        </is>
      </c>
      <c r="BY434" s="362">
        <f>SUM(R434:X434)</f>
        <v/>
      </c>
      <c r="BZ434" s="362">
        <f>SUM(Y434:AE434)</f>
        <v/>
      </c>
      <c r="CA434" s="362">
        <f>SUM(AF434:AM434)</f>
        <v/>
      </c>
      <c r="CB434" s="362">
        <f>SUM(AN434:AV434)</f>
        <v/>
      </c>
      <c r="CD434" s="390" t="n"/>
      <c r="CE434" s="384">
        <f>ROUND(BY434*$O434/1000,2)</f>
        <v/>
      </c>
      <c r="CF434" s="380">
        <f>ROUND(BZ434*$O434/1000,2)</f>
        <v/>
      </c>
      <c r="CG434" s="380">
        <f>ROUND(CA434*$O434/1000,2)</f>
        <v/>
      </c>
      <c r="CH434" s="380">
        <f>ROUND(CB434*$O434/1000,2)</f>
        <v/>
      </c>
      <c r="CI434" s="362">
        <f>SUM(CE434:CH434)</f>
        <v/>
      </c>
      <c r="CJ434" s="390" t="n"/>
      <c r="CK434" s="362">
        <f>IFERROR(ROUND(BY434*$P434,2),"")</f>
        <v/>
      </c>
      <c r="CL434" s="362">
        <f>IFERROR(ROUND(BZ434*$P434,2),"")</f>
        <v/>
      </c>
      <c r="CM434" s="362">
        <f>IFERROR(ROUND(CA434*$P434,2),"")</f>
        <v/>
      </c>
      <c r="CN434" s="362">
        <f>IFERROR(ROUND(CB434*$P434,2),"")</f>
        <v/>
      </c>
    </row>
    <row r="435" hidden="1" customFormat="1" s="362">
      <c r="A435" s="331" t="n"/>
      <c r="B435" s="352" t="inlineStr">
        <is>
          <t>美国</t>
        </is>
      </c>
      <c r="C435" s="352" t="n"/>
      <c r="D435" s="352">
        <f>"ST"&amp;C435&amp;"寸"</f>
        <v/>
      </c>
      <c r="E435" s="379" t="n"/>
      <c r="F435" s="379" t="n"/>
      <c r="G435" s="379" t="n"/>
      <c r="H435" s="352" t="n"/>
      <c r="I435" s="370" t="n"/>
      <c r="J435" s="352" t="n">
        <v>58.3</v>
      </c>
      <c r="K435" s="352" t="n"/>
      <c r="L435" s="430">
        <f>IF(J434="","",J434/(J434+$J$380/60))</f>
        <v/>
      </c>
      <c r="M435" s="430" t="n"/>
      <c r="N435" s="352" t="n"/>
      <c r="O435" s="352">
        <f>IFERROR(_xlfn.XLOOKUP(E435,轮胎重量!S:S,轮胎重量!P:P),IFERROR(_xlfn.XLOOKUP(E435,轮胎重量!AB:AB,轮胎重量!Y:Y),IFERROR(_xlfn.XLOOKUP(E435,轮胎重量!AK:AK,轮胎重量!AH:AH),IFERROR(_xlfn.XLOOKUP(E435,轮胎重量!AT:AT,轮胎重量!AQ:AQ),""))))</f>
        <v/>
      </c>
      <c r="P435" s="358">
        <f>O435*14.76</f>
        <v/>
      </c>
      <c r="Q435" s="352">
        <f>IFERROR(ROUND(1440/J435*I435*L436,0),"")</f>
        <v/>
      </c>
      <c r="R435" s="352" t="n"/>
      <c r="S435" s="352" t="n"/>
      <c r="T435" s="352" t="n"/>
      <c r="U435" s="352" t="n"/>
      <c r="V435" s="352" t="n"/>
      <c r="W435" s="352" t="n"/>
      <c r="X435" s="352" t="n"/>
      <c r="Y435" s="352" t="n"/>
      <c r="Z435" s="352" t="n"/>
      <c r="AA435" s="352" t="n"/>
      <c r="AB435" s="352" t="n"/>
      <c r="AC435" s="352" t="n"/>
      <c r="AD435" s="352" t="n"/>
      <c r="AE435" s="352" t="n"/>
      <c r="AF435" s="352" t="n"/>
      <c r="AG435" s="352" t="n"/>
      <c r="AH435" s="352" t="n"/>
      <c r="AI435" s="352" t="n"/>
      <c r="AJ435" s="352" t="n"/>
      <c r="AK435" s="352" t="n"/>
      <c r="AL435" s="352" t="n"/>
      <c r="AM435" s="352" t="n"/>
      <c r="AN435" s="352" t="n"/>
      <c r="AO435" s="352" t="n"/>
      <c r="AP435" s="352" t="n"/>
      <c r="AQ435" s="352" t="n"/>
      <c r="AR435" s="352" t="n"/>
      <c r="AS435" s="352" t="n"/>
      <c r="AT435" s="352" t="n"/>
      <c r="AU435" s="352" t="n"/>
      <c r="AV435" s="352" t="n"/>
      <c r="AW435" s="352">
        <f>IF(SUM(R435:AV435)=0,"",SUM(R435:AV435))</f>
        <v/>
      </c>
      <c r="AX435" s="431">
        <f>IFERROR(AW435*O435/1000,"")</f>
        <v/>
      </c>
      <c r="AY435" s="431">
        <f>IFERROR(ROUND(AW435*P435/10000,3),"")</f>
        <v/>
      </c>
      <c r="AZ435" s="355" t="n">
        <v>700.5375</v>
      </c>
      <c r="BA435" s="355" t="n">
        <v>42.4245</v>
      </c>
      <c r="BB435" s="355" t="n">
        <v>58.2922</v>
      </c>
      <c r="BC435" s="355" t="n">
        <v>51.336</v>
      </c>
      <c r="BD435" s="331" t="n"/>
      <c r="BE435" s="331">
        <f>AZ435*AW435</f>
        <v/>
      </c>
      <c r="BF435" s="331">
        <f>BA435*AW435</f>
        <v/>
      </c>
      <c r="BG435" s="331">
        <f>BB435*AW435</f>
        <v/>
      </c>
      <c r="BH435" s="331">
        <f>BC435*AW435</f>
        <v/>
      </c>
      <c r="BI435" s="331" t="n"/>
      <c r="BJ435" s="356">
        <f t="array" ref="BJ435:BM435">_xlfn.LET(_xlpm.data,$R435:$AV435,_xlpm.starts,{1,8,16,23},_xlpm.lengths,{7,7,8,9},_xlpm.arr,_xlfn.MAP(_xlpm.starts,_xlpm.lengths,_xlfn.LAMBDA(_xlpm.s,_xlpm.l,SUM(INDEX(_xlpm.data,,_xlfn.SEQUENCE(,_xlpm.l,_xlpm.s))))),ROUND(_xlpm.arr*$O435/1000,2))</f>
        <v/>
      </c>
      <c r="BK435" s="331" t="n">
        <v>0</v>
      </c>
      <c r="BL435" s="331" t="n">
        <v>0</v>
      </c>
      <c r="BM435" s="331" t="n">
        <v>0</v>
      </c>
      <c r="BN435" s="362">
        <f>SUM(BJ435:BM435)</f>
        <v/>
      </c>
      <c r="BO435" s="362" t="n">
        <v>0</v>
      </c>
      <c r="BP435" s="362" t="n">
        <v>0</v>
      </c>
      <c r="BQ435" s="362" t="n">
        <v>0</v>
      </c>
      <c r="BR435" s="362" t="n">
        <v>0</v>
      </c>
      <c r="BS435" s="115" t="inlineStr">
        <is>
          <t>ST</t>
        </is>
      </c>
      <c r="BX435" s="115" t="inlineStr">
        <is>
          <t>ST</t>
        </is>
      </c>
      <c r="BY435" s="362">
        <f>SUM(R435:X435)</f>
        <v/>
      </c>
      <c r="BZ435" s="362">
        <f>SUM(Y435:AE435)</f>
        <v/>
      </c>
      <c r="CA435" s="362">
        <f>SUM(AF435:AM435)</f>
        <v/>
      </c>
      <c r="CB435" s="362">
        <f>SUM(AN435:AV435)</f>
        <v/>
      </c>
      <c r="CD435" s="390" t="n"/>
      <c r="CE435" s="384">
        <f>ROUND(BY435*$O435/1000,2)</f>
        <v/>
      </c>
      <c r="CF435" s="380">
        <f>ROUND(BZ435*$O435/1000,2)</f>
        <v/>
      </c>
      <c r="CG435" s="380">
        <f>ROUND(CA435*$O435/1000,2)</f>
        <v/>
      </c>
      <c r="CH435" s="380">
        <f>ROUND(CB435*$O435/1000,2)</f>
        <v/>
      </c>
      <c r="CI435" s="362">
        <f>SUM(CE435:CH435)</f>
        <v/>
      </c>
      <c r="CJ435" s="390" t="n"/>
      <c r="CK435" s="362">
        <f>IFERROR(ROUND(BY435*$P435,2),"")</f>
        <v/>
      </c>
      <c r="CL435" s="362">
        <f>IFERROR(ROUND(BZ435*$P435,2),"")</f>
        <v/>
      </c>
      <c r="CM435" s="362">
        <f>IFERROR(ROUND(CA435*$P435,2),"")</f>
        <v/>
      </c>
      <c r="CN435" s="362">
        <f>IFERROR(ROUND(CB435*$P435,2),"")</f>
        <v/>
      </c>
    </row>
    <row r="436" hidden="1" customFormat="1" s="362">
      <c r="A436" s="331" t="n"/>
      <c r="B436" s="352" t="inlineStr">
        <is>
          <t>美国</t>
        </is>
      </c>
      <c r="C436" s="352">
        <f>IFERROR(MID(G436,FIND("-",G436)-2,2),"")</f>
        <v/>
      </c>
      <c r="D436" s="352">
        <f>"ST"&amp;C436&amp;"寸"</f>
        <v/>
      </c>
      <c r="E436" s="379" t="n"/>
      <c r="F436" s="379" t="n"/>
      <c r="G436" s="379" t="n"/>
      <c r="H436" s="352" t="n"/>
      <c r="I436" s="370" t="n"/>
      <c r="J436" s="352" t="n">
        <v>58.3</v>
      </c>
      <c r="K436" s="352" t="n"/>
      <c r="L436" s="430">
        <f>IF(J435="","",J435/(J435+$J$380/60))</f>
        <v/>
      </c>
      <c r="M436" s="430" t="n"/>
      <c r="N436" s="352" t="n"/>
      <c r="O436" s="352">
        <f>IFERROR(_xlfn.XLOOKUP(E436,轮胎重量!S:S,轮胎重量!P:P),IFERROR(_xlfn.XLOOKUP(E436,轮胎重量!AB:AB,轮胎重量!Y:Y),IFERROR(_xlfn.XLOOKUP(E436,轮胎重量!AK:AK,轮胎重量!AH:AH),IFERROR(_xlfn.XLOOKUP(E436,轮胎重量!AT:AT,轮胎重量!AQ:AQ),""))))</f>
        <v/>
      </c>
      <c r="P436" s="358">
        <f>O436*14.76</f>
        <v/>
      </c>
      <c r="Q436" s="352">
        <f>IFERROR(ROUND(1440/J436*I436*L437,0),"")</f>
        <v/>
      </c>
      <c r="R436" s="352" t="n"/>
      <c r="S436" s="352" t="n"/>
      <c r="T436" s="352" t="n"/>
      <c r="U436" s="352" t="n"/>
      <c r="V436" s="352" t="n"/>
      <c r="W436" s="352" t="n"/>
      <c r="X436" s="352" t="n"/>
      <c r="Y436" s="352" t="n"/>
      <c r="Z436" s="352" t="n"/>
      <c r="AA436" s="352" t="n"/>
      <c r="AB436" s="352" t="n"/>
      <c r="AC436" s="352" t="n"/>
      <c r="AD436" s="352" t="n"/>
      <c r="AE436" s="352" t="n"/>
      <c r="AF436" s="352" t="n"/>
      <c r="AG436" s="352" t="n"/>
      <c r="AH436" s="352" t="n"/>
      <c r="AI436" s="352" t="n"/>
      <c r="AJ436" s="352" t="n"/>
      <c r="AK436" s="352" t="n"/>
      <c r="AL436" s="352" t="n"/>
      <c r="AM436" s="352" t="n"/>
      <c r="AN436" s="352" t="n"/>
      <c r="AO436" s="352" t="n"/>
      <c r="AP436" s="352" t="n"/>
      <c r="AQ436" s="352" t="n"/>
      <c r="AR436" s="352" t="n"/>
      <c r="AS436" s="352" t="n"/>
      <c r="AT436" s="352" t="n"/>
      <c r="AU436" s="352" t="n"/>
      <c r="AV436" s="352" t="n"/>
      <c r="AW436" s="352">
        <f>IF(SUM(R436:AV436)=0,"",SUM(R436:AV436))</f>
        <v/>
      </c>
      <c r="AX436" s="431">
        <f>IFERROR(AW436*O436/1000,"")</f>
        <v/>
      </c>
      <c r="AY436" s="431">
        <f>IFERROR(ROUND(AW436*P436/10000,3),"")</f>
        <v/>
      </c>
      <c r="AZ436" s="355" t="n">
        <v>700.5375</v>
      </c>
      <c r="BA436" s="355" t="n">
        <v>42.4245</v>
      </c>
      <c r="BB436" s="355" t="n">
        <v>58.2922</v>
      </c>
      <c r="BC436" s="355" t="n">
        <v>51.336</v>
      </c>
      <c r="BD436" s="331" t="n"/>
      <c r="BE436" s="331">
        <f>AZ436*AW436</f>
        <v/>
      </c>
      <c r="BF436" s="331">
        <f>BA436*AW436</f>
        <v/>
      </c>
      <c r="BG436" s="331">
        <f>BB436*AW436</f>
        <v/>
      </c>
      <c r="BH436" s="331">
        <f>BC436*AW436</f>
        <v/>
      </c>
      <c r="BI436" s="331" t="n"/>
      <c r="BJ436" s="356">
        <f t="array" ref="BJ436:BM436">_xlfn.LET(_xlpm.data,$R436:$AV436,_xlpm.starts,{1,8,16,23},_xlpm.lengths,{7,7,8,9},_xlpm.arr,_xlfn.MAP(_xlpm.starts,_xlpm.lengths,_xlfn.LAMBDA(_xlpm.s,_xlpm.l,SUM(INDEX(_xlpm.data,,_xlfn.SEQUENCE(,_xlpm.l,_xlpm.s))))),ROUND(_xlpm.arr*$O436/1000,2))</f>
        <v/>
      </c>
      <c r="BK436" s="331" t="n">
        <v>0</v>
      </c>
      <c r="BL436" s="331" t="n">
        <v>0</v>
      </c>
      <c r="BM436" s="331" t="n">
        <v>0</v>
      </c>
      <c r="BN436" s="362">
        <f>SUM(BJ436:BM436)</f>
        <v/>
      </c>
      <c r="BO436" s="362" t="n">
        <v>0</v>
      </c>
      <c r="BP436" s="362" t="n">
        <v>0</v>
      </c>
      <c r="BQ436" s="362" t="n">
        <v>0</v>
      </c>
      <c r="BR436" s="362" t="n">
        <v>0</v>
      </c>
      <c r="BS436" s="115" t="inlineStr">
        <is>
          <t>ST</t>
        </is>
      </c>
      <c r="BX436" s="115" t="inlineStr">
        <is>
          <t>ST</t>
        </is>
      </c>
      <c r="BY436" s="362">
        <f>SUM(R436:X436)</f>
        <v/>
      </c>
      <c r="BZ436" s="362">
        <f>SUM(Y436:AE436)</f>
        <v/>
      </c>
      <c r="CA436" s="362">
        <f>SUM(AF436:AM436)</f>
        <v/>
      </c>
      <c r="CB436" s="362">
        <f>SUM(AN436:AV436)</f>
        <v/>
      </c>
      <c r="CD436" s="390" t="n"/>
      <c r="CE436" s="384">
        <f>ROUND(BY436*$O436/1000,2)</f>
        <v/>
      </c>
      <c r="CF436" s="380">
        <f>ROUND(BZ436*$O436/1000,2)</f>
        <v/>
      </c>
      <c r="CG436" s="380">
        <f>ROUND(CA436*$O436/1000,2)</f>
        <v/>
      </c>
      <c r="CH436" s="380">
        <f>ROUND(CB436*$O436/1000,2)</f>
        <v/>
      </c>
      <c r="CI436" s="362">
        <f>SUM(CE436:CH436)</f>
        <v/>
      </c>
      <c r="CJ436" s="390" t="n"/>
      <c r="CK436" s="362">
        <f>IFERROR(ROUND(BY436*$P436,2),"")</f>
        <v/>
      </c>
      <c r="CL436" s="362">
        <f>IFERROR(ROUND(BZ436*$P436,2),"")</f>
        <v/>
      </c>
      <c r="CM436" s="362">
        <f>IFERROR(ROUND(CA436*$P436,2),"")</f>
        <v/>
      </c>
      <c r="CN436" s="362">
        <f>IFERROR(ROUND(CB436*$P436,2),"")</f>
        <v/>
      </c>
    </row>
    <row r="437" hidden="1" customFormat="1" s="362">
      <c r="A437" s="331" t="n"/>
      <c r="B437" s="352" t="inlineStr">
        <is>
          <t>美国</t>
        </is>
      </c>
      <c r="C437" s="352">
        <f>IFERROR(MID(G437,FIND("-",G437)-2,2),"")</f>
        <v/>
      </c>
      <c r="D437" s="352">
        <f>"ST"&amp;C437&amp;"寸"</f>
        <v/>
      </c>
      <c r="E437" s="379">
        <f>IFERROR(LEFT(REPLACE(G437,1,2,""),FIND("[",REPLACE(G437,1,2,""))-1)&amp;"-"&amp;MID(REPLACE(G437,1,2,""),FIND("[",REPLACE(G437,1,2,""))+1,FIND("]",REPLACE(G437,1,2,""))-FIND("[",REPLACE(G437,1,2,""))-1),"")</f>
        <v/>
      </c>
      <c r="F437" s="379" t="n"/>
      <c r="G437" s="379" t="n"/>
      <c r="H437" s="352" t="n"/>
      <c r="I437" s="370" t="n"/>
      <c r="J437" s="352" t="n">
        <v>19.2</v>
      </c>
      <c r="K437" s="352" t="n"/>
      <c r="L437" s="430">
        <f>IF(J436="","",J436/(J436+$J$380/60))</f>
        <v/>
      </c>
      <c r="M437" s="430" t="n"/>
      <c r="N437" s="352" t="n"/>
      <c r="O437" s="352">
        <f>IFERROR(_xlfn.XLOOKUP(E437,轮胎重量!S:S,轮胎重量!P:P),IFERROR(_xlfn.XLOOKUP(E437,轮胎重量!AB:AB,轮胎重量!Y:Y),IFERROR(_xlfn.XLOOKUP(E437,轮胎重量!AK:AK,轮胎重量!AH:AH),IFERROR(_xlfn.XLOOKUP(E437,轮胎重量!AT:AT,轮胎重量!AQ:AQ),""))))</f>
        <v/>
      </c>
      <c r="P437" s="358">
        <f>O437*14.76</f>
        <v/>
      </c>
      <c r="Q437" s="352">
        <f>IFERROR(ROUND(1440/J437*I437*L438,0),"")</f>
        <v/>
      </c>
      <c r="R437" s="352" t="n"/>
      <c r="S437" s="352" t="n"/>
      <c r="T437" s="352" t="n"/>
      <c r="U437" s="352" t="n"/>
      <c r="V437" s="352" t="n"/>
      <c r="W437" s="352" t="n"/>
      <c r="X437" s="352" t="n"/>
      <c r="Y437" s="352" t="n"/>
      <c r="Z437" s="352" t="n"/>
      <c r="AA437" s="352" t="n"/>
      <c r="AB437" s="352" t="n"/>
      <c r="AC437" s="352" t="n"/>
      <c r="AD437" s="352" t="n"/>
      <c r="AE437" s="352" t="n"/>
      <c r="AF437" s="352" t="n"/>
      <c r="AG437" s="352" t="n"/>
      <c r="AH437" s="352" t="n"/>
      <c r="AI437" s="352" t="n"/>
      <c r="AJ437" s="352" t="n"/>
      <c r="AK437" s="352" t="n"/>
      <c r="AL437" s="352" t="n"/>
      <c r="AM437" s="352" t="n"/>
      <c r="AN437" s="352" t="n"/>
      <c r="AO437" s="352" t="n"/>
      <c r="AP437" s="352" t="n"/>
      <c r="AQ437" s="352" t="n"/>
      <c r="AR437" s="352" t="n"/>
      <c r="AS437" s="352" t="n"/>
      <c r="AT437" s="352" t="n"/>
      <c r="AU437" s="352" t="n"/>
      <c r="AV437" s="352" t="n"/>
      <c r="AW437" s="352">
        <f>IF(SUM(R437:AV437)=0,"",SUM(R437:AV437))</f>
        <v/>
      </c>
      <c r="AX437" s="431">
        <f>IFERROR(AW437*O437/1000,"")</f>
        <v/>
      </c>
      <c r="AY437" s="431">
        <f>IFERROR(ROUND(AW437*P437/10000,3),"")</f>
        <v/>
      </c>
      <c r="AZ437" s="355" t="n">
        <v>85.2179</v>
      </c>
      <c r="BA437" s="355" t="n">
        <v>6</v>
      </c>
      <c r="BB437" s="355" t="n">
        <v>9.200799999999999</v>
      </c>
      <c r="BC437" s="355" t="n">
        <v>6.7424</v>
      </c>
      <c r="BD437" s="331" t="n"/>
      <c r="BE437" s="331">
        <f>AZ437*AW437</f>
        <v/>
      </c>
      <c r="BF437" s="331">
        <f>BA437*AW437</f>
        <v/>
      </c>
      <c r="BG437" s="331">
        <f>BB437*AW437</f>
        <v/>
      </c>
      <c r="BH437" s="331">
        <f>BC437*AW437</f>
        <v/>
      </c>
      <c r="BI437" s="331" t="n"/>
      <c r="BJ437" s="356">
        <f t="array" ref="BJ437:BM437">_xlfn.LET(_xlpm.data,$R437:$AV437,_xlpm.starts,{1,8,16,23},_xlpm.lengths,{7,7,8,9},_xlpm.arr,_xlfn.MAP(_xlpm.starts,_xlpm.lengths,_xlfn.LAMBDA(_xlpm.s,_xlpm.l,SUM(INDEX(_xlpm.data,,_xlfn.SEQUENCE(,_xlpm.l,_xlpm.s))))),ROUND(_xlpm.arr*$O437/1000,2))</f>
        <v/>
      </c>
      <c r="BK437" s="331" t="n">
        <v>0</v>
      </c>
      <c r="BL437" s="331" t="n">
        <v>0</v>
      </c>
      <c r="BM437" s="331" t="n">
        <v>0</v>
      </c>
      <c r="BN437" s="362">
        <f>SUM(BJ437:BM437)</f>
        <v/>
      </c>
      <c r="BO437" s="362" t="n">
        <v>29.69</v>
      </c>
      <c r="BP437" s="362" t="n">
        <v>29.69</v>
      </c>
      <c r="BQ437" s="362" t="n">
        <v>33.93</v>
      </c>
      <c r="BR437" s="362" t="n">
        <v>38.17</v>
      </c>
      <c r="BS437" s="115" t="inlineStr">
        <is>
          <t>ST</t>
        </is>
      </c>
      <c r="BX437" s="115" t="inlineStr">
        <is>
          <t>ST</t>
        </is>
      </c>
      <c r="BY437" s="362">
        <f>SUM(R437:X437)</f>
        <v/>
      </c>
      <c r="BZ437" s="362">
        <f>SUM(Y437:AE437)</f>
        <v/>
      </c>
      <c r="CA437" s="362">
        <f>SUM(AF437:AM437)</f>
        <v/>
      </c>
      <c r="CB437" s="362">
        <f>SUM(AN437:AV437)</f>
        <v/>
      </c>
      <c r="CD437" s="390" t="n"/>
      <c r="CE437" s="388">
        <f>ROUND(BY437*$O437/1000,2)</f>
        <v/>
      </c>
      <c r="CF437" s="380">
        <f>ROUND(BZ437*$O437/1000,2)</f>
        <v/>
      </c>
      <c r="CG437" s="380">
        <f>ROUND(CA437*$O437/1000,2)</f>
        <v/>
      </c>
      <c r="CH437" s="380">
        <f>ROUND(CB437*$O437/1000,2)</f>
        <v/>
      </c>
      <c r="CI437" s="362">
        <f>SUM(CE437:CH437)</f>
        <v/>
      </c>
      <c r="CJ437" s="390" t="n"/>
      <c r="CK437" s="362">
        <f>IFERROR(ROUND(BY437*$P437,2),"")</f>
        <v/>
      </c>
      <c r="CL437" s="362">
        <f>IFERROR(ROUND(BZ437*$P437,2),"")</f>
        <v/>
      </c>
      <c r="CM437" s="362">
        <f>IFERROR(ROUND(CA437*$P437,2),"")</f>
        <v/>
      </c>
      <c r="CN437" s="362">
        <f>IFERROR(ROUND(CB437*$P437,2),"")</f>
        <v/>
      </c>
    </row>
    <row r="438" hidden="1" customFormat="1" s="362">
      <c r="A438" s="331" t="n"/>
      <c r="B438" s="352" t="n"/>
      <c r="C438" s="352">
        <f>IFERROR(MID(G438,FIND("-",G438)+1,2),"")</f>
        <v/>
      </c>
      <c r="D438" s="352">
        <f>"ST"&amp;C438&amp;"寸"</f>
        <v/>
      </c>
      <c r="E438" s="379">
        <f>IFERROR(LEFT(REPLACE(G438,1,2,""),FIND("[",REPLACE(G438,1,2,""))-1)&amp;"-"&amp;MID(REPLACE(G438,1,2,""),FIND("[",REPLACE(G438,1,2,""))+1,FIND("]",REPLACE(G438,1,2,""))-FIND("[",REPLACE(G438,1,2,""))-1),"")</f>
        <v/>
      </c>
      <c r="F438" s="379" t="n"/>
      <c r="G438" s="379" t="n"/>
      <c r="H438" s="352" t="n"/>
      <c r="I438" s="370" t="n"/>
      <c r="J438" s="352" t="n">
        <v>19.2</v>
      </c>
      <c r="K438" s="352" t="n"/>
      <c r="L438" s="430">
        <f>IF(J437="","",J437/(J437+$J$380/60))</f>
        <v/>
      </c>
      <c r="M438" s="430" t="n"/>
      <c r="N438" s="352" t="n"/>
      <c r="O438" s="352">
        <f>IFERROR(_xlfn.XLOOKUP(E438,轮胎重量!S:S,轮胎重量!P:P),IFERROR(_xlfn.XLOOKUP(E438,轮胎重量!AB:AB,轮胎重量!Y:Y),IFERROR(_xlfn.XLOOKUP(E438,轮胎重量!AK:AK,轮胎重量!AH:AH),IFERROR(_xlfn.XLOOKUP(E438,轮胎重量!AT:AT,轮胎重量!AQ:AQ),""))))</f>
        <v/>
      </c>
      <c r="P438" s="358">
        <f>O438*14.76</f>
        <v/>
      </c>
      <c r="Q438" s="352">
        <f>IFERROR(ROUND(1440/J438*I438*L439,0),"")</f>
        <v/>
      </c>
      <c r="R438" s="352" t="n"/>
      <c r="S438" s="352" t="n"/>
      <c r="T438" s="352" t="n"/>
      <c r="U438" s="352" t="n"/>
      <c r="V438" s="352" t="n"/>
      <c r="W438" s="352" t="n"/>
      <c r="X438" s="352" t="n"/>
      <c r="Y438" s="352" t="n"/>
      <c r="Z438" s="352" t="n"/>
      <c r="AA438" s="352" t="n"/>
      <c r="AB438" s="352" t="n"/>
      <c r="AC438" s="352" t="n"/>
      <c r="AD438" s="352" t="n"/>
      <c r="AE438" s="352" t="n"/>
      <c r="AF438" s="352" t="n"/>
      <c r="AG438" s="352" t="n"/>
      <c r="AH438" s="352" t="n"/>
      <c r="AI438" s="352" t="n"/>
      <c r="AJ438" s="352" t="n"/>
      <c r="AK438" s="352" t="n"/>
      <c r="AL438" s="352" t="n"/>
      <c r="AM438" s="352" t="n"/>
      <c r="AN438" s="352" t="n"/>
      <c r="AO438" s="352" t="n"/>
      <c r="AP438" s="352" t="n"/>
      <c r="AQ438" s="352" t="n"/>
      <c r="AR438" s="352" t="n"/>
      <c r="AS438" s="352" t="n"/>
      <c r="AT438" s="352" t="n"/>
      <c r="AU438" s="352" t="n"/>
      <c r="AV438" s="352" t="n"/>
      <c r="AW438" s="352">
        <f>IF(SUM(R438:AV438)=0,"",SUM(R438:AV438))</f>
        <v/>
      </c>
      <c r="AX438" s="431">
        <f>IFERROR(AW438*O438/1000,"")</f>
        <v/>
      </c>
      <c r="AY438" s="431">
        <f>IFERROR(ROUND(AW438*P438/10000,3),"")</f>
        <v/>
      </c>
      <c r="AZ438" s="355" t="n">
        <v>85.2179</v>
      </c>
      <c r="BA438" s="355" t="n">
        <v>6</v>
      </c>
      <c r="BB438" s="355" t="n">
        <v>9.200799999999999</v>
      </c>
      <c r="BC438" s="355" t="n">
        <v>6.7424</v>
      </c>
      <c r="BD438" s="331" t="n"/>
      <c r="BE438" s="331">
        <f>AZ438*AW438</f>
        <v/>
      </c>
      <c r="BF438" s="331">
        <f>BA438*AW438</f>
        <v/>
      </c>
      <c r="BG438" s="331">
        <f>BB438*AW438</f>
        <v/>
      </c>
      <c r="BH438" s="331">
        <f>BC438*AW438</f>
        <v/>
      </c>
      <c r="BI438" s="331" t="n"/>
      <c r="BJ438" s="356">
        <f t="array" ref="BJ438:BM438">_xlfn.LET(_xlpm.data,$R438:$AV438,_xlpm.starts,{1,8,16,23},_xlpm.lengths,{7,7,8,9},_xlpm.arr,_xlfn.MAP(_xlpm.starts,_xlpm.lengths,_xlfn.LAMBDA(_xlpm.s,_xlpm.l,SUM(INDEX(_xlpm.data,,_xlfn.SEQUENCE(,_xlpm.l,_xlpm.s))))),ROUND(_xlpm.arr*$O438/1000,2))</f>
        <v/>
      </c>
      <c r="BK438" s="331" t="n">
        <v>0</v>
      </c>
      <c r="BL438" s="331" t="n">
        <v>0</v>
      </c>
      <c r="BM438" s="331" t="n">
        <v>0</v>
      </c>
      <c r="BN438" s="362">
        <f>SUM(BJ438:BM438)</f>
        <v/>
      </c>
      <c r="BO438" s="362" t="n">
        <v>29.69</v>
      </c>
      <c r="BP438" s="362" t="n">
        <v>29.69</v>
      </c>
      <c r="BQ438" s="362" t="n">
        <v>33.93</v>
      </c>
      <c r="BR438" s="362" t="n">
        <v>38.17</v>
      </c>
      <c r="BS438" s="115" t="inlineStr">
        <is>
          <t>ST</t>
        </is>
      </c>
      <c r="BX438" s="115" t="inlineStr">
        <is>
          <t>ST</t>
        </is>
      </c>
      <c r="BY438" s="362">
        <f>SUM(R438:X438)</f>
        <v/>
      </c>
      <c r="BZ438" s="362">
        <f>SUM(Y438:AE438)</f>
        <v/>
      </c>
      <c r="CA438" s="362">
        <f>SUM(AF438:AM438)</f>
        <v/>
      </c>
      <c r="CB438" s="362">
        <f>SUM(AN438:AV438)</f>
        <v/>
      </c>
      <c r="CD438" s="390" t="n"/>
      <c r="CE438" s="388">
        <f>ROUND(BY438*$O438/1000,2)</f>
        <v/>
      </c>
      <c r="CF438" s="380">
        <f>ROUND(BZ438*$O438/1000,2)</f>
        <v/>
      </c>
      <c r="CG438" s="380">
        <f>ROUND(CA438*$O438/1000,2)</f>
        <v/>
      </c>
      <c r="CH438" s="380">
        <f>ROUND(CB438*$O438/1000,2)</f>
        <v/>
      </c>
      <c r="CI438" s="362">
        <f>SUM(CE438:CH438)</f>
        <v/>
      </c>
      <c r="CJ438" s="390" t="n"/>
      <c r="CK438" s="362">
        <f>IFERROR(ROUND(BY438*$P438,2),"")</f>
        <v/>
      </c>
      <c r="CL438" s="362">
        <f>IFERROR(ROUND(BZ438*$P438,2),"")</f>
        <v/>
      </c>
      <c r="CM438" s="362">
        <f>IFERROR(ROUND(CA438*$P438,2),"")</f>
        <v/>
      </c>
      <c r="CN438" s="362">
        <f>IFERROR(ROUND(CB438*$P438,2),"")</f>
        <v/>
      </c>
    </row>
    <row r="439" customFormat="1" s="362">
      <c r="A439" s="331" t="n"/>
      <c r="B439" s="352" t="inlineStr">
        <is>
          <t>印尼</t>
        </is>
      </c>
      <c r="C439" s="352">
        <f>IFERROR(MID(G439,FIND("-",G439)+1,2),"")</f>
        <v/>
      </c>
      <c r="D439" s="352">
        <f>"摩胎"&amp;C439&amp;"寸"</f>
        <v/>
      </c>
      <c r="E439" s="379" t="inlineStr">
        <is>
          <t>70/90-14-4PR-H999A</t>
        </is>
      </c>
      <c r="F439" s="379" t="inlineStr">
        <is>
          <t>ID(D105001)70/90-14-4P[H-999-A]34P GOLDEN CROWN 纳米高抓 TL</t>
        </is>
      </c>
      <c r="G439" s="379" t="inlineStr">
        <is>
          <t>ID(D105001)70/90-14-4P[H-999-A]34P GOLDEN CROWN 纳米高抓 TL</t>
        </is>
      </c>
      <c r="H439" s="385" t="n">
        <v>1500</v>
      </c>
      <c r="I439" s="370" t="n"/>
      <c r="J439" s="352" t="n">
        <v>19.2</v>
      </c>
      <c r="K439" s="352" t="n"/>
      <c r="L439" s="430">
        <f>IF(J438="","",J438/(J438+$J$380/60))</f>
        <v/>
      </c>
      <c r="M439" s="430" t="n"/>
      <c r="N439" s="352" t="n"/>
      <c r="O439" s="352">
        <f>IFERROR(_xlfn.XLOOKUP(E439,轮胎重量!S:S,轮胎重量!P:P),IFERROR(_xlfn.XLOOKUP(E439,轮胎重量!AB:AB,轮胎重量!Y:Y),IFERROR(_xlfn.XLOOKUP(E439,轮胎重量!AK:AK,轮胎重量!AH:AH),IFERROR(_xlfn.XLOOKUP(E439,轮胎重量!AT:AT,轮胎重量!AQ:AQ),""))))</f>
        <v/>
      </c>
      <c r="P439" s="358">
        <f>O439*14.76</f>
        <v/>
      </c>
      <c r="Q439" s="352">
        <f>IFERROR(ROUND(1440/J439*I439*L440,0),"")</f>
        <v/>
      </c>
      <c r="R439" s="352" t="n"/>
      <c r="S439" s="352" t="n"/>
      <c r="T439" s="352" t="n"/>
      <c r="U439" s="352" t="n"/>
      <c r="V439" s="352" t="n"/>
      <c r="W439" s="352" t="n"/>
      <c r="X439" s="352" t="n"/>
      <c r="Y439" s="352" t="n"/>
      <c r="Z439" s="352" t="n"/>
      <c r="AA439" s="352" t="n"/>
      <c r="AB439" s="352" t="n"/>
      <c r="AC439" s="352" t="n"/>
      <c r="AD439" s="352" t="n">
        <v>240</v>
      </c>
      <c r="AE439" s="352" t="n">
        <v>240</v>
      </c>
      <c r="AF439" s="352" t="n">
        <v>240</v>
      </c>
      <c r="AG439" s="352" t="n">
        <v>240</v>
      </c>
      <c r="AH439" s="352" t="n">
        <v>240</v>
      </c>
      <c r="AI439" s="352" t="n">
        <v>240</v>
      </c>
      <c r="AJ439" s="352" t="n">
        <v>240</v>
      </c>
      <c r="AK439" s="352" t="n">
        <v>240</v>
      </c>
      <c r="AL439" s="352" t="n">
        <v>240</v>
      </c>
      <c r="AM439" s="352" t="n">
        <v>240</v>
      </c>
      <c r="AN439" s="352" t="n">
        <v>240</v>
      </c>
      <c r="AO439" s="352" t="n">
        <v>240</v>
      </c>
      <c r="AP439" s="352" t="n"/>
      <c r="AQ439" s="352" t="n"/>
      <c r="AR439" s="352" t="n"/>
      <c r="AS439" s="352" t="n"/>
      <c r="AT439" s="352" t="n"/>
      <c r="AU439" s="352" t="n"/>
      <c r="AV439" s="352" t="n"/>
      <c r="AW439" s="352">
        <f>IF(SUM(R439:AV439)=0,"",SUM(R439:AV439))</f>
        <v/>
      </c>
      <c r="AX439" s="431">
        <f>IFERROR(AW439*O439/1000,"")</f>
        <v/>
      </c>
      <c r="AY439" s="431">
        <f>IFERROR(ROUND(AW439*P439/10000,3),"")</f>
        <v/>
      </c>
      <c r="AZ439" s="355" t="n">
        <v>85.2179</v>
      </c>
      <c r="BA439" s="355" t="n">
        <v>6</v>
      </c>
      <c r="BB439" s="355" t="n">
        <v>9.200799999999999</v>
      </c>
      <c r="BC439" s="355" t="n">
        <v>6.7424</v>
      </c>
      <c r="BD439" s="331" t="n"/>
      <c r="BE439" s="331">
        <f>AZ439*AW439</f>
        <v/>
      </c>
      <c r="BF439" s="331">
        <f>BA439*AW439</f>
        <v/>
      </c>
      <c r="BG439" s="331">
        <f>BB439*AW439</f>
        <v/>
      </c>
      <c r="BH439" s="331">
        <f>BC439*AW439</f>
        <v/>
      </c>
      <c r="BI439" s="331" t="n"/>
      <c r="BJ439" s="356">
        <f t="array" ref="BJ439:BM439">_xlfn.LET(_xlpm.data,$R439:$AV439,_xlpm.starts,{1,8,16,23},_xlpm.lengths,{7,7,8,9},_xlpm.arr,_xlfn.MAP(_xlpm.starts,_xlpm.lengths,_xlfn.LAMBDA(_xlpm.s,_xlpm.l,SUM(INDEX(_xlpm.data,,_xlfn.SEQUENCE(,_xlpm.l,_xlpm.s))))),ROUND(_xlpm.arr*$O439/1000,2))</f>
        <v/>
      </c>
      <c r="BK439" s="331" t="n">
        <v>0.9399999999999999</v>
      </c>
      <c r="BL439" s="331" t="n">
        <v>3.77</v>
      </c>
      <c r="BM439" s="331" t="n">
        <v>0.9399999999999999</v>
      </c>
      <c r="BN439" s="362">
        <f>SUM(BJ439:BM439)</f>
        <v/>
      </c>
      <c r="BO439" s="362" t="n">
        <v>29.69</v>
      </c>
      <c r="BP439" s="362" t="n">
        <v>29.69</v>
      </c>
      <c r="BQ439" s="362" t="n">
        <v>33.93</v>
      </c>
      <c r="BR439" s="362" t="n">
        <v>38.17</v>
      </c>
      <c r="BS439" s="367" t="inlineStr">
        <is>
          <t>摩胎</t>
        </is>
      </c>
      <c r="BX439" s="367" t="inlineStr">
        <is>
          <t>摩胎</t>
        </is>
      </c>
      <c r="BY439" s="362">
        <f>SUM(R439:X439)</f>
        <v/>
      </c>
      <c r="BZ439" s="362">
        <f>SUM(Y439:AE439)</f>
        <v/>
      </c>
      <c r="CA439" s="362">
        <f>SUM(AF439:AM439)</f>
        <v/>
      </c>
      <c r="CB439" s="362">
        <f>SUM(AN439:AV439)</f>
        <v/>
      </c>
      <c r="CD439" s="432" t="inlineStr">
        <is>
          <t>ADA</t>
        </is>
      </c>
      <c r="CE439" s="388">
        <f>ROUND(BY439*$O439/1000,2)</f>
        <v/>
      </c>
      <c r="CF439" s="380">
        <f>ROUND(BZ439*$O439/1000,2)</f>
        <v/>
      </c>
      <c r="CG439" s="380">
        <f>ROUND(CA439*$O439/1000,2)</f>
        <v/>
      </c>
      <c r="CH439" s="380">
        <f>ROUND(CB439*$O439/1000,2)</f>
        <v/>
      </c>
      <c r="CI439" s="362">
        <f>SUM(CE439:CH439)</f>
        <v/>
      </c>
      <c r="CJ439" s="390" t="n"/>
      <c r="CK439" s="362">
        <f>IFERROR(ROUND(BY439*$P439,2),"")</f>
        <v/>
      </c>
      <c r="CL439" s="362">
        <f>IFERROR(ROUND(BZ439*$P439,2),"")</f>
        <v/>
      </c>
      <c r="CM439" s="362">
        <f>IFERROR(ROUND(CA439*$P439,2),"")</f>
        <v/>
      </c>
      <c r="CN439" s="362">
        <f>IFERROR(ROUND(CB439*$P439,2),"")</f>
        <v/>
      </c>
      <c r="CO439" s="362">
        <f>SUM(CK439:CN439)</f>
        <v/>
      </c>
    </row>
    <row r="440" customFormat="1" s="362">
      <c r="A440" s="433" t="n"/>
      <c r="B440" s="434" t="inlineStr">
        <is>
          <t>印尼</t>
        </is>
      </c>
      <c r="C440" s="434">
        <f>IFERROR(MID(G440,FIND("-",G440)+1,2),"")</f>
        <v/>
      </c>
      <c r="D440" s="434">
        <f>"摩胎"&amp;C440&amp;"寸"</f>
        <v/>
      </c>
      <c r="E440" s="436" t="inlineStr">
        <is>
          <t>80/80-14-/-H999A</t>
        </is>
      </c>
      <c r="F440" s="436" t="inlineStr">
        <is>
          <t>ID(D105002)80/80-14-4P[H-999-A]37P GOLDEN CROWN 纳米高抓 TL E4-75R-0015453</t>
        </is>
      </c>
      <c r="G440" s="436" t="inlineStr">
        <is>
          <t>ID(D105002)80/80-14-4P[H-999-A]37P GOLDEN CROWN 纳米高抓 TL</t>
        </is>
      </c>
      <c r="H440" s="434" t="n">
        <v>3000</v>
      </c>
      <c r="I440" s="434" t="n"/>
      <c r="J440" s="434" t="n">
        <v>18.5</v>
      </c>
      <c r="K440" s="434" t="n"/>
      <c r="L440" s="438">
        <f>IF(J439="","",J439/(J439+$J$380/60))</f>
        <v/>
      </c>
      <c r="M440" s="438" t="n"/>
      <c r="N440" s="434" t="n"/>
      <c r="O440" s="434">
        <f>IFERROR(_xlfn.XLOOKUP(E440,轮胎重量!S:S,轮胎重量!P:P),IFERROR(_xlfn.XLOOKUP(E440,轮胎重量!AB:AB,轮胎重量!Y:Y),IFERROR(_xlfn.XLOOKUP(E440,轮胎重量!AK:AK,轮胎重量!AH:AH),IFERROR(_xlfn.XLOOKUP(E440,轮胎重量!AT:AT,轮胎重量!AQ:AQ),""))))</f>
        <v/>
      </c>
      <c r="P440" s="439">
        <f>O440*14.76</f>
        <v/>
      </c>
      <c r="Q440" s="434">
        <f>IFERROR(ROUND(1440/J440*I440*L447,0),"")</f>
        <v/>
      </c>
      <c r="R440" s="352" t="n">
        <v>240</v>
      </c>
      <c r="S440" s="352" t="n">
        <v>240</v>
      </c>
      <c r="T440" s="352" t="n">
        <v>240</v>
      </c>
      <c r="U440" s="352" t="n">
        <v>240</v>
      </c>
      <c r="V440" s="352" t="n">
        <v>240</v>
      </c>
      <c r="W440" s="352" t="n">
        <v>240</v>
      </c>
      <c r="X440" s="352" t="n">
        <v>240</v>
      </c>
      <c r="Y440" s="352" t="n">
        <v>240</v>
      </c>
      <c r="Z440" s="352" t="n">
        <v>240</v>
      </c>
      <c r="AA440" s="352" t="n">
        <v>240</v>
      </c>
      <c r="AB440" s="352" t="n">
        <v>240</v>
      </c>
      <c r="AC440" s="352" t="n">
        <v>240</v>
      </c>
      <c r="AD440" s="352" t="n">
        <v>240</v>
      </c>
      <c r="AE440" s="352" t="n">
        <v>240</v>
      </c>
      <c r="AF440" s="352" t="n">
        <v>240</v>
      </c>
      <c r="AG440" s="352" t="n">
        <v>240</v>
      </c>
      <c r="AH440" s="352" t="n">
        <v>240</v>
      </c>
      <c r="AI440" s="352" t="n">
        <v>240</v>
      </c>
      <c r="AJ440" s="352" t="n">
        <v>240</v>
      </c>
      <c r="AK440" s="352" t="n">
        <v>240</v>
      </c>
      <c r="AL440" s="352" t="n">
        <v>240</v>
      </c>
      <c r="AM440" s="352" t="n">
        <v>240</v>
      </c>
      <c r="AN440" s="352" t="n">
        <v>240</v>
      </c>
      <c r="AO440" s="352" t="n">
        <v>240</v>
      </c>
      <c r="AP440" s="352" t="n">
        <v>240</v>
      </c>
      <c r="AQ440" s="352" t="n">
        <v>240</v>
      </c>
      <c r="AR440" s="352" t="n">
        <v>240</v>
      </c>
      <c r="AS440" s="352" t="n">
        <v>240</v>
      </c>
      <c r="AT440" s="352" t="n">
        <v>240</v>
      </c>
      <c r="AU440" s="352" t="n">
        <v>240</v>
      </c>
      <c r="AV440" s="352" t="n">
        <v>240</v>
      </c>
      <c r="AW440" s="352">
        <f>IF(SUM(R440:AV440)=0,"",SUM(R440:AV440))</f>
        <v/>
      </c>
      <c r="AX440" s="431">
        <f>IFERROR(AW440*O440/1000,"")</f>
        <v/>
      </c>
      <c r="AY440" s="431">
        <f>IFERROR(ROUND(AW440*P440/10000,3),"")</f>
        <v/>
      </c>
      <c r="BC440" s="331" t="n"/>
      <c r="BD440" s="331" t="n"/>
      <c r="BE440" s="331">
        <f>AZ440*AW440</f>
        <v/>
      </c>
      <c r="BF440" s="331">
        <f>BA440*AW440</f>
        <v/>
      </c>
      <c r="BG440" s="331">
        <f>BB440*AW440</f>
        <v/>
      </c>
      <c r="BH440" s="331">
        <f>BC440*AW440</f>
        <v/>
      </c>
      <c r="BI440" s="331" t="n"/>
      <c r="BJ440" s="356">
        <f t="array" ref="BJ440:BM440">_xlfn.LET(_xlpm.data,$R440:$AV440,_xlpm.starts,{1,8,16,23},_xlpm.lengths,{7,7,8,9},_xlpm.arr,_xlfn.MAP(_xlpm.starts,_xlpm.lengths,_xlfn.LAMBDA(_xlpm.s,_xlpm.l,SUM(INDEX(_xlpm.data,,_xlfn.SEQUENCE(,_xlpm.l,_xlpm.s))))),ROUND(_xlpm.arr*$O440/1000,2))</f>
        <v/>
      </c>
      <c r="BK440" s="331" t="n">
        <v>3.83</v>
      </c>
      <c r="BL440" s="331" t="n">
        <v>4.38</v>
      </c>
      <c r="BM440" s="331" t="n">
        <v>4.92</v>
      </c>
      <c r="BN440" s="362">
        <f>SUM(BJ440:BM440)</f>
        <v/>
      </c>
      <c r="BO440" s="362" t="n">
        <v>0</v>
      </c>
      <c r="BP440" s="362" t="n">
        <v>0</v>
      </c>
      <c r="BQ440" s="362" t="n">
        <v>9.630000000000001</v>
      </c>
      <c r="BR440" s="362" t="n">
        <v>10.83</v>
      </c>
      <c r="BS440" s="367" t="inlineStr">
        <is>
          <t>摩胎</t>
        </is>
      </c>
      <c r="BX440" s="367" t="inlineStr">
        <is>
          <t>摩胎</t>
        </is>
      </c>
      <c r="BY440" s="362">
        <f>SUM(R440:X440)</f>
        <v/>
      </c>
      <c r="BZ440" s="362">
        <f>SUM(Y440:AE440)</f>
        <v/>
      </c>
      <c r="CA440" s="362">
        <f>SUM(AF440:AM440)</f>
        <v/>
      </c>
      <c r="CB440" s="362">
        <f>SUM(AN440:AV440)</f>
        <v/>
      </c>
      <c r="CD440" s="440" t="inlineStr">
        <is>
          <t>TIDAK ADA</t>
        </is>
      </c>
      <c r="CE440" s="388">
        <f>ROUND(BY440*$O440/1000,2)</f>
        <v/>
      </c>
      <c r="CF440" s="380">
        <f>ROUND(BZ440*$O440/1000,2)</f>
        <v/>
      </c>
      <c r="CG440" s="380">
        <f>ROUND(CA440*$O440/1000,2)</f>
        <v/>
      </c>
      <c r="CH440" s="380">
        <f>ROUND(CB440*$O440/1000,2)</f>
        <v/>
      </c>
      <c r="CI440" s="362">
        <f>SUM(CE440:CH440)</f>
        <v/>
      </c>
      <c r="CJ440" s="390" t="n"/>
      <c r="CK440" s="362">
        <f>IFERROR(ROUND(BY440*$P440,2),"")</f>
        <v/>
      </c>
      <c r="CL440" s="362">
        <f>IFERROR(ROUND(BZ440*$P440,2),"")</f>
        <v/>
      </c>
      <c r="CM440" s="362">
        <f>IFERROR(ROUND(CA440*$P440,2),"")</f>
        <v/>
      </c>
      <c r="CN440" s="362">
        <f>IFERROR(ROUND(CB440*$P440,2),"")</f>
        <v/>
      </c>
    </row>
    <row r="441" customFormat="1" s="362">
      <c r="A441" s="433" t="n"/>
      <c r="B441" s="434" t="inlineStr">
        <is>
          <t>印尼</t>
        </is>
      </c>
      <c r="C441" s="434">
        <f>IFERROR(MID(G441,FIND("-",G441)+1,2),"")</f>
        <v/>
      </c>
      <c r="D441" s="434">
        <f>"摩胎"&amp;C441&amp;"寸"</f>
        <v/>
      </c>
      <c r="E441" s="436" t="inlineStr">
        <is>
          <t>80/90-14-4PR-H999-A</t>
        </is>
      </c>
      <c r="F441" s="436" t="inlineStr">
        <is>
          <t>ID(D105003)80/90-14-4P[H-999-A]40P GOLDEN CROWN 纳米高抓 TL E4-75R-0018686</t>
        </is>
      </c>
      <c r="G441" s="436" t="inlineStr">
        <is>
          <t>ID(D105003)80/90-14-4P[H-999-A]40P GOLDEN CROWN 纳米高抓 TL</t>
        </is>
      </c>
      <c r="H441" s="434" t="n">
        <v>24000</v>
      </c>
      <c r="I441" s="434" t="n"/>
      <c r="J441" s="434" t="n">
        <v>19.2</v>
      </c>
      <c r="K441" s="434" t="n"/>
      <c r="L441" s="438">
        <f>IF(J434="","",J434/(J434+$J$380/60))</f>
        <v/>
      </c>
      <c r="M441" s="438" t="n"/>
      <c r="N441" s="434" t="n"/>
      <c r="O441" s="434">
        <f>IFERROR(_xlfn.XLOOKUP(E441,轮胎重量!S:S,轮胎重量!P:P),IFERROR(_xlfn.XLOOKUP(E441,轮胎重量!AB:AB,轮胎重量!Y:Y),IFERROR(_xlfn.XLOOKUP(E441,轮胎重量!AK:AK,轮胎重量!AH:AH),IFERROR(_xlfn.XLOOKUP(E441,轮胎重量!AT:AT,轮胎重量!AQ:AQ),""))))</f>
        <v/>
      </c>
      <c r="P441" s="439">
        <f>O441*14.76</f>
        <v/>
      </c>
      <c r="Q441" s="434">
        <f>IFERROR(ROUND(1440/J441*I441*L442,0),"")</f>
        <v/>
      </c>
      <c r="R441" s="352" t="n">
        <v>920</v>
      </c>
      <c r="S441" s="352" t="n">
        <v>920</v>
      </c>
      <c r="T441" s="352" t="n">
        <v>920</v>
      </c>
      <c r="U441" s="352" t="n">
        <v>920</v>
      </c>
      <c r="V441" s="352" t="n">
        <v>920</v>
      </c>
      <c r="W441" s="352" t="n">
        <v>920</v>
      </c>
      <c r="X441" s="352" t="n">
        <v>920</v>
      </c>
      <c r="Y441" s="352" t="n">
        <v>920</v>
      </c>
      <c r="Z441" s="352" t="n">
        <v>920</v>
      </c>
      <c r="AA441" s="352" t="n">
        <v>920</v>
      </c>
      <c r="AB441" s="352" t="n">
        <v>920</v>
      </c>
      <c r="AC441" s="352" t="n">
        <v>920</v>
      </c>
      <c r="AD441" s="352" t="n">
        <v>920</v>
      </c>
      <c r="AE441" s="352" t="n">
        <v>920</v>
      </c>
      <c r="AF441" s="352" t="n">
        <v>920</v>
      </c>
      <c r="AG441" s="352" t="n">
        <v>920</v>
      </c>
      <c r="AH441" s="352" t="n">
        <v>920</v>
      </c>
      <c r="AI441" s="352" t="n">
        <v>920</v>
      </c>
      <c r="AJ441" s="352" t="n">
        <v>920</v>
      </c>
      <c r="AK441" s="352" t="n">
        <v>920</v>
      </c>
      <c r="AL441" s="352" t="n">
        <v>920</v>
      </c>
      <c r="AM441" s="352" t="n">
        <v>920</v>
      </c>
      <c r="AN441" s="352" t="n">
        <v>920</v>
      </c>
      <c r="AO441" s="352" t="n">
        <v>920</v>
      </c>
      <c r="AP441" s="352" t="n">
        <v>920</v>
      </c>
      <c r="AQ441" s="352" t="n">
        <v>920</v>
      </c>
      <c r="AR441" s="352" t="n">
        <v>920</v>
      </c>
      <c r="AS441" s="352" t="n">
        <v>920</v>
      </c>
      <c r="AT441" s="352" t="n">
        <v>920</v>
      </c>
      <c r="AU441" s="352" t="n">
        <v>920</v>
      </c>
      <c r="AV441" s="352" t="n">
        <v>920</v>
      </c>
      <c r="AW441" s="352">
        <f>IF(SUM(R441:AV441)=0,"",SUM(R441:AV441))</f>
        <v/>
      </c>
      <c r="AX441" s="431">
        <f>IFERROR(AW441*O441/1000,"")</f>
        <v/>
      </c>
      <c r="AY441" s="431">
        <f>IFERROR(ROUND(AW441*P441/10000,3),"")</f>
        <v/>
      </c>
      <c r="AZ441" s="331" t="n">
        <v>64.5386</v>
      </c>
      <c r="BA441" s="331" t="n">
        <v>4.3771</v>
      </c>
      <c r="BB441" s="331" t="n">
        <v>6.7122</v>
      </c>
      <c r="BC441" s="331" t="n">
        <v>4.9187</v>
      </c>
      <c r="BD441" s="331" t="n"/>
      <c r="BE441" s="331">
        <f>AZ441*AW441</f>
        <v/>
      </c>
      <c r="BF441" s="331">
        <f>BA441*AW441</f>
        <v/>
      </c>
      <c r="BG441" s="331">
        <f>BB441*AW441</f>
        <v/>
      </c>
      <c r="BH441" s="331">
        <f>BC441*AW441</f>
        <v/>
      </c>
      <c r="BI441" s="331" t="n"/>
      <c r="BJ441" s="356">
        <f t="array" ref="BJ441:BM441">_xlfn.LET(_xlpm.data,$R441:$AV441,_xlpm.starts,{1,8,16,23},_xlpm.lengths,{7,7,8,9},_xlpm.arr,_xlfn.MAP(_xlpm.starts,_xlpm.lengths,_xlfn.LAMBDA(_xlpm.s,_xlpm.l,SUM(INDEX(_xlpm.data,,_xlfn.SEQUENCE(,_xlpm.l,_xlpm.s))))),ROUND(_xlpm.arr*$O441/1000,2))</f>
        <v/>
      </c>
      <c r="BK441" s="331" t="n">
        <v>16</v>
      </c>
      <c r="BL441" s="331" t="n">
        <v>18.29</v>
      </c>
      <c r="BM441" s="331" t="n">
        <v>20.58</v>
      </c>
      <c r="BN441" s="362">
        <f>SUM(BJ441:BM441)</f>
        <v/>
      </c>
      <c r="BO441" s="362" t="n">
        <v>0</v>
      </c>
      <c r="BP441" s="362" t="n">
        <v>0</v>
      </c>
      <c r="BQ441" s="362" t="n">
        <v>40.26</v>
      </c>
      <c r="BR441" s="362" t="n">
        <v>45.29</v>
      </c>
      <c r="BS441" s="367" t="inlineStr">
        <is>
          <t>摩胎</t>
        </is>
      </c>
      <c r="BX441" s="367" t="inlineStr">
        <is>
          <t>摩胎</t>
        </is>
      </c>
      <c r="BY441" s="362">
        <f>SUM(R441:X441)</f>
        <v/>
      </c>
      <c r="BZ441" s="362">
        <f>SUM(Y441:AE441)</f>
        <v/>
      </c>
      <c r="CA441" s="362">
        <f>SUM(AF441:AM441)</f>
        <v/>
      </c>
      <c r="CB441" s="362">
        <f>SUM(AN441:AV441)</f>
        <v/>
      </c>
      <c r="CD441" s="440" t="inlineStr">
        <is>
          <t>TIDAK ADA</t>
        </is>
      </c>
      <c r="CE441" s="388">
        <f>ROUND(BY441*$O441/1000,2)</f>
        <v/>
      </c>
      <c r="CF441" s="380">
        <f>ROUND(BZ441*$O441/1000,2)</f>
        <v/>
      </c>
      <c r="CG441" s="380">
        <f>ROUND(CA441*$O441/1000,2)</f>
        <v/>
      </c>
      <c r="CH441" s="380">
        <f>ROUND(CB441*$O441/1000,2)</f>
        <v/>
      </c>
      <c r="CI441" s="362">
        <f>SUM(CE441:CH441)</f>
        <v/>
      </c>
      <c r="CJ441" s="390" t="n"/>
      <c r="CK441" s="362">
        <f>IFERROR(ROUND(BY441*$P441,2),"")</f>
        <v/>
      </c>
      <c r="CL441" s="362">
        <f>IFERROR(ROUND(BZ441*$P441,2),"")</f>
        <v/>
      </c>
      <c r="CM441" s="362">
        <f>IFERROR(ROUND(CA441*$P441,2),"")</f>
        <v/>
      </c>
      <c r="CN441" s="362">
        <f>IFERROR(ROUND(CB441*$P441,2),"")</f>
        <v/>
      </c>
      <c r="CO441" s="362">
        <f>SUM(CK441:CN441)</f>
        <v/>
      </c>
    </row>
    <row r="442" customFormat="1" s="362">
      <c r="A442" s="433" t="n"/>
      <c r="B442" s="434" t="inlineStr">
        <is>
          <t>印尼</t>
        </is>
      </c>
      <c r="C442" s="434">
        <f>IFERROR(MID(G442,FIND("-",G442)+1,2),"")</f>
        <v/>
      </c>
      <c r="D442" s="434">
        <f>"摩胎"&amp;C442&amp;"寸"</f>
        <v/>
      </c>
      <c r="E442" s="436" t="inlineStr">
        <is>
          <t>90/80-14-4PR-H999-A</t>
        </is>
      </c>
      <c r="F442" s="436" t="inlineStr">
        <is>
          <t>ID(D105004)90/80-14-4P[H-999-A]43P GOLDEN CROWN 纳米高抓 TL</t>
        </is>
      </c>
      <c r="G442" s="436" t="inlineStr">
        <is>
          <t>ID(D105004)90/80-14-4P[H-999-A]43P GOLDEN CROWN 纳米高抓 TL</t>
        </is>
      </c>
      <c r="H442" s="434" t="n">
        <v>15000</v>
      </c>
      <c r="I442" s="434" t="n"/>
      <c r="J442" s="434" t="n">
        <v>19.2</v>
      </c>
      <c r="K442" s="434" t="n"/>
      <c r="L442" s="438">
        <f>IF(J441="","",J441/(J441+$J$380/60))</f>
        <v/>
      </c>
      <c r="M442" s="438" t="n"/>
      <c r="N442" s="434" t="n"/>
      <c r="O442" s="434">
        <f>IFERROR(_xlfn.XLOOKUP(E442,轮胎重量!S:S,轮胎重量!P:P),IFERROR(_xlfn.XLOOKUP(E442,轮胎重量!AB:AB,轮胎重量!Y:Y),IFERROR(_xlfn.XLOOKUP(E442,轮胎重量!AK:AK,轮胎重量!AH:AH),IFERROR(_xlfn.XLOOKUP(E442,轮胎重量!AT:AT,轮胎重量!AQ:AQ),""))))</f>
        <v/>
      </c>
      <c r="P442" s="439">
        <f>O442*14.76</f>
        <v/>
      </c>
      <c r="Q442" s="434">
        <f>IFERROR(ROUND(1440/J442*I442*L443,0),"")</f>
        <v/>
      </c>
      <c r="R442" s="352" t="n">
        <v>460</v>
      </c>
      <c r="S442" s="352" t="n">
        <v>460</v>
      </c>
      <c r="T442" s="352" t="n">
        <v>460</v>
      </c>
      <c r="U442" s="352" t="n">
        <v>460</v>
      </c>
      <c r="V442" s="352" t="n">
        <v>460</v>
      </c>
      <c r="W442" s="352" t="n">
        <v>460</v>
      </c>
      <c r="X442" s="352" t="n">
        <v>460</v>
      </c>
      <c r="Y442" s="352" t="n">
        <v>460</v>
      </c>
      <c r="Z442" s="352" t="n">
        <v>460</v>
      </c>
      <c r="AA442" s="352" t="n">
        <v>460</v>
      </c>
      <c r="AB442" s="352" t="n">
        <v>460</v>
      </c>
      <c r="AC442" s="352" t="n">
        <v>460</v>
      </c>
      <c r="AD442" s="352" t="n">
        <v>460</v>
      </c>
      <c r="AE442" s="352" t="n">
        <v>460</v>
      </c>
      <c r="AF442" s="352" t="n">
        <v>460</v>
      </c>
      <c r="AG442" s="352" t="n">
        <v>460</v>
      </c>
      <c r="AH442" s="352" t="n">
        <v>460</v>
      </c>
      <c r="AI442" s="352" t="n">
        <v>460</v>
      </c>
      <c r="AJ442" s="352" t="n">
        <v>460</v>
      </c>
      <c r="AK442" s="352" t="n">
        <v>460</v>
      </c>
      <c r="AL442" s="352" t="n">
        <v>460</v>
      </c>
      <c r="AM442" s="352" t="n">
        <v>460</v>
      </c>
      <c r="AN442" s="352" t="n">
        <v>460</v>
      </c>
      <c r="AO442" s="352" t="n">
        <v>460</v>
      </c>
      <c r="AP442" s="352" t="n">
        <v>460</v>
      </c>
      <c r="AQ442" s="352" t="n">
        <v>460</v>
      </c>
      <c r="AR442" s="352" t="n">
        <v>460</v>
      </c>
      <c r="AS442" s="352" t="n">
        <v>460</v>
      </c>
      <c r="AT442" s="352" t="n">
        <v>460</v>
      </c>
      <c r="AU442" s="352" t="n">
        <v>460</v>
      </c>
      <c r="AV442" s="352" t="n">
        <v>460</v>
      </c>
      <c r="AW442" s="352">
        <f>IF(SUM(R442:AV442)=0,"",SUM(R442:AV442))</f>
        <v/>
      </c>
      <c r="AX442" s="431">
        <f>IFERROR(AW442*O442/1000,"")</f>
        <v/>
      </c>
      <c r="AY442" s="431">
        <f>IFERROR(ROUND(AW442*P442/10000,3),"")</f>
        <v/>
      </c>
      <c r="AZ442" s="355" t="n">
        <v>85.2179</v>
      </c>
      <c r="BA442" s="355" t="n">
        <v>6</v>
      </c>
      <c r="BB442" s="355" t="n">
        <v>9.200799999999999</v>
      </c>
      <c r="BC442" s="355" t="n">
        <v>6.7424</v>
      </c>
      <c r="BD442" s="331" t="n"/>
      <c r="BE442" s="331">
        <f>AZ442*AW442</f>
        <v/>
      </c>
      <c r="BF442" s="331">
        <f>BA442*AW442</f>
        <v/>
      </c>
      <c r="BG442" s="331">
        <f>BB442*AW442</f>
        <v/>
      </c>
      <c r="BH442" s="331">
        <f>BC442*AW442</f>
        <v/>
      </c>
      <c r="BI442" s="331" t="n"/>
      <c r="BJ442" s="356">
        <f t="array" ref="BJ442:BM442">_xlfn.LET(_xlpm.data,$R442:$AV442,_xlpm.starts,{1,8,16,23},_xlpm.lengths,{7,7,8,9},_xlpm.arr,_xlfn.MAP(_xlpm.starts,_xlpm.lengths,_xlfn.LAMBDA(_xlpm.s,_xlpm.l,SUM(INDEX(_xlpm.data,,_xlfn.SEQUENCE(,_xlpm.l,_xlpm.s))))),ROUND(_xlpm.arr*$O442/1000,2))</f>
        <v/>
      </c>
      <c r="BK442" s="331" t="n">
        <v>8.029999999999999</v>
      </c>
      <c r="BL442" s="331" t="n">
        <v>9.18</v>
      </c>
      <c r="BM442" s="331" t="n">
        <v>10.33</v>
      </c>
      <c r="BN442" s="362">
        <f>SUM(BJ442:BM442)</f>
        <v/>
      </c>
      <c r="BO442" s="362" t="n">
        <v>29.69</v>
      </c>
      <c r="BP442" s="362" t="n">
        <v>29.69</v>
      </c>
      <c r="BQ442" s="362" t="n">
        <v>33.93</v>
      </c>
      <c r="BR442" s="362" t="n">
        <v>38.17</v>
      </c>
      <c r="BS442" s="367" t="inlineStr">
        <is>
          <t>摩胎</t>
        </is>
      </c>
      <c r="BX442" s="367" t="inlineStr">
        <is>
          <t>摩胎</t>
        </is>
      </c>
      <c r="BY442" s="362">
        <f>SUM(R442:X442)</f>
        <v/>
      </c>
      <c r="BZ442" s="362">
        <f>SUM(Y442:AE442)</f>
        <v/>
      </c>
      <c r="CA442" s="362">
        <f>SUM(AF442:AM442)</f>
        <v/>
      </c>
      <c r="CB442" s="362">
        <f>SUM(AN442:AV442)</f>
        <v/>
      </c>
      <c r="CD442" s="440" t="inlineStr">
        <is>
          <t>TIDAK ADA</t>
        </is>
      </c>
      <c r="CE442" s="388">
        <f>ROUND(BY442*$O442/1000,2)</f>
        <v/>
      </c>
      <c r="CF442" s="380">
        <f>ROUND(BZ442*$O442/1000,2)</f>
        <v/>
      </c>
      <c r="CG442" s="380">
        <f>ROUND(CA442*$O442/1000,2)</f>
        <v/>
      </c>
      <c r="CH442" s="380">
        <f>ROUND(CB442*$O442/1000,2)</f>
        <v/>
      </c>
      <c r="CI442" s="362">
        <f>SUM(CE442:CH442)</f>
        <v/>
      </c>
      <c r="CJ442" s="390" t="n"/>
      <c r="CK442" s="362">
        <f>IFERROR(ROUND(BY442*$P442,2),"")</f>
        <v/>
      </c>
      <c r="CL442" s="362">
        <f>IFERROR(ROUND(BZ442*$P442,2),"")</f>
        <v/>
      </c>
      <c r="CM442" s="362">
        <f>IFERROR(ROUND(CA442*$P442,2),"")</f>
        <v/>
      </c>
      <c r="CN442" s="362">
        <f>IFERROR(ROUND(CB442*$P442,2),"")</f>
        <v/>
      </c>
    </row>
    <row r="443" customFormat="1" s="362">
      <c r="A443" s="433" t="n"/>
      <c r="B443" s="434" t="inlineStr">
        <is>
          <t>印尼</t>
        </is>
      </c>
      <c r="C443" s="434">
        <f>IFERROR(MID(G443,FIND("-",G443)+1,2),"")</f>
        <v/>
      </c>
      <c r="D443" s="434">
        <f>"摩胎"&amp;C443&amp;"寸"</f>
        <v/>
      </c>
      <c r="E443" s="436" t="inlineStr">
        <is>
          <t>90/90-14-4PR-H999A</t>
        </is>
      </c>
      <c r="F443" s="436" t="inlineStr">
        <is>
          <t>ID(D105005)90/90-14-4P[H-999-A]46P GOLDEN CROWN 纳米高抓 TL E4-75R-0014568</t>
        </is>
      </c>
      <c r="G443" s="436" t="inlineStr">
        <is>
          <t>ID(D105005)90/90-14-4P[H-999-A]46P GOLDEN CROWN 纳米高抓 TL</t>
        </is>
      </c>
      <c r="H443" s="434" t="n">
        <v>12000</v>
      </c>
      <c r="I443" s="434" t="n"/>
      <c r="J443" s="434" t="n">
        <v>19.2</v>
      </c>
      <c r="K443" s="434" t="n"/>
      <c r="L443" s="438">
        <f>IF(J442="","",J442/(J442+$J$380/60))</f>
        <v/>
      </c>
      <c r="M443" s="438" t="n"/>
      <c r="N443" s="434" t="n"/>
      <c r="O443" s="434">
        <f>IFERROR(_xlfn.XLOOKUP(E443,轮胎重量!S:S,轮胎重量!P:P),IFERROR(_xlfn.XLOOKUP(E443,轮胎重量!AB:AB,轮胎重量!Y:Y),IFERROR(_xlfn.XLOOKUP(E443,轮胎重量!AK:AK,轮胎重量!AH:AH),IFERROR(_xlfn.XLOOKUP(E443,轮胎重量!AT:AT,轮胎重量!AQ:AQ),""))))</f>
        <v/>
      </c>
      <c r="P443" s="439">
        <f>O443*14.76</f>
        <v/>
      </c>
      <c r="Q443" s="434">
        <f>IFERROR(ROUND(1440/J443*I443*L444,0),"")</f>
        <v/>
      </c>
      <c r="R443" s="352" t="n">
        <v>460</v>
      </c>
      <c r="S443" s="352" t="n">
        <v>460</v>
      </c>
      <c r="T443" s="352" t="n">
        <v>460</v>
      </c>
      <c r="U443" s="352" t="n">
        <v>460</v>
      </c>
      <c r="V443" s="352" t="n">
        <v>460</v>
      </c>
      <c r="W443" s="352" t="n">
        <v>460</v>
      </c>
      <c r="X443" s="352" t="n">
        <v>460</v>
      </c>
      <c r="Y443" s="352" t="n">
        <v>460</v>
      </c>
      <c r="Z443" s="352" t="n">
        <v>460</v>
      </c>
      <c r="AA443" s="352" t="n">
        <v>460</v>
      </c>
      <c r="AB443" s="352" t="n">
        <v>460</v>
      </c>
      <c r="AC443" s="352" t="n">
        <v>460</v>
      </c>
      <c r="AD443" s="352" t="n">
        <v>460</v>
      </c>
      <c r="AE443" s="352" t="n">
        <v>460</v>
      </c>
      <c r="AF443" s="352" t="n">
        <v>460</v>
      </c>
      <c r="AG443" s="352" t="n">
        <v>460</v>
      </c>
      <c r="AH443" s="352" t="n">
        <v>460</v>
      </c>
      <c r="AI443" s="352" t="n">
        <v>460</v>
      </c>
      <c r="AJ443" s="352" t="n">
        <v>460</v>
      </c>
      <c r="AK443" s="352" t="n">
        <v>460</v>
      </c>
      <c r="AL443" s="352" t="n">
        <v>460</v>
      </c>
      <c r="AM443" s="352" t="n">
        <v>460</v>
      </c>
      <c r="AN443" s="352" t="n">
        <v>460</v>
      </c>
      <c r="AO443" s="352" t="n">
        <v>460</v>
      </c>
      <c r="AP443" s="352" t="n">
        <v>460</v>
      </c>
      <c r="AQ443" s="352" t="n">
        <v>460</v>
      </c>
      <c r="AR443" s="352" t="n">
        <v>460</v>
      </c>
      <c r="AS443" s="352" t="n">
        <v>460</v>
      </c>
      <c r="AT443" s="352" t="n">
        <v>460</v>
      </c>
      <c r="AU443" s="352" t="n">
        <v>460</v>
      </c>
      <c r="AV443" s="352" t="n">
        <v>460</v>
      </c>
      <c r="AW443" s="352">
        <f>IF(SUM(R443:AV443)=0,"",SUM(R443:AV443))</f>
        <v/>
      </c>
      <c r="AX443" s="431">
        <f>IFERROR(AW443*O443/1000,"")</f>
        <v/>
      </c>
      <c r="AY443" s="431">
        <f>IFERROR(ROUND(AW443*P443/10000,3),"")</f>
        <v/>
      </c>
      <c r="AZ443" s="355" t="n">
        <v>85.2179</v>
      </c>
      <c r="BA443" s="355" t="n">
        <v>6</v>
      </c>
      <c r="BB443" s="355" t="n">
        <v>9.200799999999999</v>
      </c>
      <c r="BC443" s="355" t="n">
        <v>6.7424</v>
      </c>
      <c r="BD443" s="331" t="n"/>
      <c r="BE443" s="331">
        <f>AZ443*AW443</f>
        <v/>
      </c>
      <c r="BF443" s="331">
        <f>BA443*AW443</f>
        <v/>
      </c>
      <c r="BG443" s="331">
        <f>BB443*AW443</f>
        <v/>
      </c>
      <c r="BH443" s="331">
        <f>BC443*AW443</f>
        <v/>
      </c>
      <c r="BI443" s="331" t="n"/>
      <c r="BJ443" s="356">
        <f t="array" ref="BJ443:BM443">_xlfn.LET(_xlpm.data,$R443:$AV443,_xlpm.starts,{1,8,16,23},_xlpm.lengths,{7,7,8,9},_xlpm.arr,_xlfn.MAP(_xlpm.starts,_xlpm.lengths,_xlfn.LAMBDA(_xlpm.s,_xlpm.l,SUM(INDEX(_xlpm.data,,_xlfn.SEQUENCE(,_xlpm.l,_xlpm.s))))),ROUND(_xlpm.arr*$O443/1000,2))</f>
        <v/>
      </c>
      <c r="BK443" s="331" t="n">
        <v>9.140000000000001</v>
      </c>
      <c r="BL443" s="331" t="n">
        <v>10.44</v>
      </c>
      <c r="BM443" s="331" t="n">
        <v>11.75</v>
      </c>
      <c r="BN443" s="362">
        <f>SUM(BJ443:BM443)</f>
        <v/>
      </c>
      <c r="BO443" s="362" t="n">
        <v>29.69</v>
      </c>
      <c r="BP443" s="362" t="n">
        <v>29.69</v>
      </c>
      <c r="BQ443" s="362" t="n">
        <v>33.93</v>
      </c>
      <c r="BR443" s="362" t="n">
        <v>38.17</v>
      </c>
      <c r="BS443" s="367" t="inlineStr">
        <is>
          <t>摩胎</t>
        </is>
      </c>
      <c r="BX443" s="367" t="inlineStr">
        <is>
          <t>摩胎</t>
        </is>
      </c>
      <c r="BY443" s="362">
        <f>SUM(R443:X443)</f>
        <v/>
      </c>
      <c r="BZ443" s="362">
        <f>SUM(Y443:AE443)</f>
        <v/>
      </c>
      <c r="CA443" s="362">
        <f>SUM(AF443:AM443)</f>
        <v/>
      </c>
      <c r="CB443" s="362">
        <f>SUM(AN443:AV443)</f>
        <v/>
      </c>
      <c r="CD443" s="440" t="inlineStr">
        <is>
          <t>TIDAK ADA</t>
        </is>
      </c>
      <c r="CE443" s="388">
        <f>ROUND(BY443*$O443/1000,2)</f>
        <v/>
      </c>
      <c r="CF443" s="380">
        <f>ROUND(BZ443*$O443/1000,2)</f>
        <v/>
      </c>
      <c r="CG443" s="380">
        <f>ROUND(CA443*$O443/1000,2)</f>
        <v/>
      </c>
      <c r="CH443" s="380">
        <f>ROUND(CB443*$O443/1000,2)</f>
        <v/>
      </c>
      <c r="CI443" s="362">
        <f>SUM(CE443:CH443)</f>
        <v/>
      </c>
      <c r="CJ443" s="390" t="n"/>
      <c r="CK443" s="362">
        <f>IFERROR(ROUND(BY443*$P443,2),"")</f>
        <v/>
      </c>
      <c r="CL443" s="362">
        <f>IFERROR(ROUND(BZ443*$P443,2),"")</f>
        <v/>
      </c>
      <c r="CM443" s="362">
        <f>IFERROR(ROUND(CA443*$P443,2),"")</f>
        <v/>
      </c>
      <c r="CN443" s="362">
        <f>IFERROR(ROUND(CB443*$P443,2),"")</f>
        <v/>
      </c>
    </row>
    <row r="444" customFormat="1" s="362">
      <c r="A444" s="433" t="n"/>
      <c r="B444" s="434" t="inlineStr">
        <is>
          <t>印尼</t>
        </is>
      </c>
      <c r="C444" s="434">
        <f>IFERROR(MID(G444,FIND("-",G444)+1,2),"")</f>
        <v/>
      </c>
      <c r="D444" s="434">
        <f>"摩胎"&amp;C444&amp;"寸"</f>
        <v/>
      </c>
      <c r="E444" s="436" t="inlineStr">
        <is>
          <t>100/80-14-4PR-H999-A</t>
        </is>
      </c>
      <c r="F444" s="436" t="inlineStr">
        <is>
          <t>4层级：ID(D105006)100/80-14-4P[H-999-A]48P GOLDEN CROWN 纳米高抓 TL E4-75R-0017425</t>
        </is>
      </c>
      <c r="G444" s="436" t="inlineStr">
        <is>
          <t>4层级：ID(D105006)100/80-14-4P[H-999-A]48P GOLDEN CROWN 纳米高抓 TL</t>
        </is>
      </c>
      <c r="H444" s="434" t="n">
        <v>10000</v>
      </c>
      <c r="I444" s="434" t="n"/>
      <c r="J444" s="434" t="n">
        <v>18.5</v>
      </c>
      <c r="K444" s="434" t="n"/>
      <c r="L444" s="438">
        <f>IF(J443="","",J443/(J443+$J$380/60))</f>
        <v/>
      </c>
      <c r="M444" s="438" t="n"/>
      <c r="N444" s="434" t="n"/>
      <c r="O444" s="434">
        <f>IFERROR(_xlfn.XLOOKUP(E444,轮胎重量!S:S,轮胎重量!P:P),IFERROR(_xlfn.XLOOKUP(E444,轮胎重量!AB:AB,轮胎重量!Y:Y),IFERROR(_xlfn.XLOOKUP(E444,轮胎重量!AK:AK,轮胎重量!AH:AH),IFERROR(_xlfn.XLOOKUP(E444,轮胎重量!AT:AT,轮胎重量!AQ:AQ),""))))</f>
        <v/>
      </c>
      <c r="P444" s="439">
        <f>O444*14.76</f>
        <v/>
      </c>
      <c r="Q444" s="434">
        <f>IFERROR(ROUND(1440/J444*I444*L445,0),"")</f>
        <v/>
      </c>
      <c r="R444" s="352" t="n">
        <v>440</v>
      </c>
      <c r="S444" s="352" t="n">
        <v>440</v>
      </c>
      <c r="T444" s="352" t="n">
        <v>440</v>
      </c>
      <c r="U444" s="352" t="n">
        <v>440</v>
      </c>
      <c r="V444" s="352" t="n">
        <v>440</v>
      </c>
      <c r="W444" s="352" t="n">
        <v>440</v>
      </c>
      <c r="X444" s="352" t="n">
        <v>440</v>
      </c>
      <c r="Y444" s="352" t="n">
        <v>440</v>
      </c>
      <c r="Z444" s="352" t="n">
        <v>440</v>
      </c>
      <c r="AA444" s="352" t="n">
        <v>440</v>
      </c>
      <c r="AB444" s="352" t="n">
        <v>440</v>
      </c>
      <c r="AC444" s="352" t="n">
        <v>440</v>
      </c>
      <c r="AD444" s="352" t="n">
        <v>440</v>
      </c>
      <c r="AE444" s="352" t="n">
        <v>440</v>
      </c>
      <c r="AF444" s="352" t="n">
        <v>440</v>
      </c>
      <c r="AG444" s="352" t="n">
        <v>440</v>
      </c>
      <c r="AH444" s="352" t="n">
        <v>440</v>
      </c>
      <c r="AI444" s="352" t="n">
        <v>440</v>
      </c>
      <c r="AJ444" s="352" t="n">
        <v>440</v>
      </c>
      <c r="AK444" s="352" t="n">
        <v>440</v>
      </c>
      <c r="AL444" s="352" t="n">
        <v>440</v>
      </c>
      <c r="AM444" s="352" t="n">
        <v>440</v>
      </c>
      <c r="AN444" s="352" t="n">
        <v>440</v>
      </c>
      <c r="AO444" s="352" t="n">
        <v>440</v>
      </c>
      <c r="AP444" s="352" t="n">
        <v>440</v>
      </c>
      <c r="AQ444" s="352" t="n">
        <v>440</v>
      </c>
      <c r="AR444" s="352" t="n">
        <v>440</v>
      </c>
      <c r="AS444" s="352" t="n">
        <v>440</v>
      </c>
      <c r="AT444" s="352" t="n">
        <v>440</v>
      </c>
      <c r="AU444" s="352" t="n">
        <v>440</v>
      </c>
      <c r="AV444" s="352" t="n">
        <v>440</v>
      </c>
      <c r="AW444" s="352">
        <f>IF(SUM(R444:AV444)=0,"",SUM(R444:AV444))</f>
        <v/>
      </c>
      <c r="AX444" s="431">
        <f>IFERROR(AW444*O444/1000,"")</f>
        <v/>
      </c>
      <c r="AY444" s="431">
        <f>IFERROR(ROUND(AW444*P444/10000,3),"")</f>
        <v/>
      </c>
      <c r="BC444" s="331" t="n"/>
      <c r="BD444" s="331" t="n"/>
      <c r="BE444" s="331">
        <f>AZ444*AW444</f>
        <v/>
      </c>
      <c r="BF444" s="331">
        <f>BA444*AW444</f>
        <v/>
      </c>
      <c r="BG444" s="331">
        <f>BB444*AW444</f>
        <v/>
      </c>
      <c r="BH444" s="331">
        <f>BC444*AW444</f>
        <v/>
      </c>
      <c r="BI444" s="331" t="n"/>
      <c r="BJ444" s="356">
        <f t="array" ref="BJ444:BM444">_xlfn.LET(_xlpm.data,$R444:$AV444,_xlpm.starts,{1,8,16,23},_xlpm.lengths,{7,7,8,9},_xlpm.arr,_xlfn.MAP(_xlpm.starts,_xlpm.lengths,_xlfn.LAMBDA(_xlpm.s,_xlpm.l,SUM(INDEX(_xlpm.data,,_xlfn.SEQUENCE(,_xlpm.l,_xlpm.s))))),ROUND(_xlpm.arr*$O444/1000,2))</f>
        <v/>
      </c>
      <c r="BK444" s="331" t="n">
        <v>9.789999999999999</v>
      </c>
      <c r="BL444" s="331" t="n">
        <v>11.19</v>
      </c>
      <c r="BM444" s="331" t="n">
        <v>12.59</v>
      </c>
      <c r="BN444" s="362">
        <f>SUM(BJ444:BM444)</f>
        <v/>
      </c>
      <c r="BO444" s="362" t="n">
        <v>0</v>
      </c>
      <c r="BP444" s="362" t="n">
        <v>0</v>
      </c>
      <c r="BQ444" s="362" t="n">
        <v>9.630000000000001</v>
      </c>
      <c r="BR444" s="362" t="n">
        <v>10.83</v>
      </c>
      <c r="BS444" s="367" t="inlineStr">
        <is>
          <t>摩胎</t>
        </is>
      </c>
      <c r="BX444" s="367" t="inlineStr">
        <is>
          <t>摩胎</t>
        </is>
      </c>
      <c r="BY444" s="362">
        <f>SUM(R444:X444)</f>
        <v/>
      </c>
      <c r="BZ444" s="362">
        <f>SUM(Y444:AE444)</f>
        <v/>
      </c>
      <c r="CA444" s="362">
        <f>SUM(AF444:AM444)</f>
        <v/>
      </c>
      <c r="CB444" s="362">
        <f>SUM(AN444:AV444)</f>
        <v/>
      </c>
      <c r="CD444" s="440" t="inlineStr">
        <is>
          <t>TIDAK ADA</t>
        </is>
      </c>
      <c r="CE444" s="388">
        <f>ROUND(BY444*$O444/1000,2)</f>
        <v/>
      </c>
      <c r="CF444" s="380">
        <f>ROUND(BZ444*$O444/1000,2)</f>
        <v/>
      </c>
      <c r="CG444" s="380">
        <f>ROUND(CA444*$O444/1000,2)</f>
        <v/>
      </c>
      <c r="CH444" s="380">
        <f>ROUND(CB444*$O444/1000,2)</f>
        <v/>
      </c>
      <c r="CI444" s="362">
        <f>SUM(CE444:CH444)</f>
        <v/>
      </c>
      <c r="CJ444" s="390" t="n"/>
      <c r="CK444" s="362">
        <f>IFERROR(ROUND(BY444*$P444,2),"")</f>
        <v/>
      </c>
      <c r="CL444" s="362">
        <f>IFERROR(ROUND(BZ444*$P444,2),"")</f>
        <v/>
      </c>
      <c r="CM444" s="362">
        <f>IFERROR(ROUND(CA444*$P444,2),"")</f>
        <v/>
      </c>
      <c r="CN444" s="362">
        <f>IFERROR(ROUND(CB444*$P444,2),"")</f>
        <v/>
      </c>
    </row>
    <row r="445" customFormat="1" s="362">
      <c r="A445" s="433" t="n"/>
      <c r="B445" s="434" t="inlineStr">
        <is>
          <t>印尼</t>
        </is>
      </c>
      <c r="C445" s="434">
        <f>IFERROR(MID(G445,FIND("-",G445)+1,2),"")</f>
        <v/>
      </c>
      <c r="D445" s="434">
        <f>"摩胎"&amp;C445&amp;"寸"</f>
        <v/>
      </c>
      <c r="E445" s="436" t="inlineStr">
        <is>
          <t>80/90-14-6PR-H577</t>
        </is>
      </c>
      <c r="F445" s="436" t="inlineStr">
        <is>
          <t>ID(G105003)80/90-14-4P[H-577]40P GOODRIDE 纳米高抓 TL E4-75R-0018686</t>
        </is>
      </c>
      <c r="G445" s="436" t="inlineStr">
        <is>
          <t>ID(G105003)80/90-14-4P[H-577]40P GOODRIDE 纳米高抓 TL</t>
        </is>
      </c>
      <c r="H445" s="434" t="n">
        <v>1500</v>
      </c>
      <c r="I445" s="434" t="n"/>
      <c r="J445" s="434" t="n">
        <v>19.2</v>
      </c>
      <c r="K445" s="434" t="n"/>
      <c r="L445" s="438">
        <f>IF(J444="","",J444/(J444+$J$380/60))</f>
        <v/>
      </c>
      <c r="M445" s="438" t="n"/>
      <c r="N445" s="434" t="n"/>
      <c r="O445" s="434">
        <f>IFERROR(_xlfn.XLOOKUP(E445,轮胎重量!S:S,轮胎重量!P:P),IFERROR(_xlfn.XLOOKUP(E445,轮胎重量!AB:AB,轮胎重量!Y:Y),IFERROR(_xlfn.XLOOKUP(E445,轮胎重量!AK:AK,轮胎重量!AH:AH),IFERROR(_xlfn.XLOOKUP(E445,轮胎重量!AT:AT,轮胎重量!AQ:AQ),""))))</f>
        <v/>
      </c>
      <c r="P445" s="439">
        <f>O445*14.76</f>
        <v/>
      </c>
      <c r="Q445" s="434">
        <f>IFERROR(ROUND(1440/J445*I445*L446,0),"")</f>
        <v/>
      </c>
      <c r="R445" s="352" t="n"/>
      <c r="S445" s="352" t="n"/>
      <c r="T445" s="352" t="n"/>
      <c r="U445" s="352" t="n"/>
      <c r="V445" s="352" t="n"/>
      <c r="W445" s="352" t="n"/>
      <c r="X445" s="352" t="n"/>
      <c r="Y445" s="352" t="n"/>
      <c r="Z445" s="352" t="n"/>
      <c r="AA445" s="352" t="n"/>
      <c r="AB445" s="352" t="n"/>
      <c r="AC445" s="352" t="n"/>
      <c r="AD445" s="352" t="n"/>
      <c r="AE445" s="352" t="n"/>
      <c r="AF445" s="352" t="n"/>
      <c r="AG445" s="352" t="n"/>
      <c r="AH445" s="352" t="n"/>
      <c r="AI445" s="352" t="n"/>
      <c r="AJ445" s="352" t="n"/>
      <c r="AK445" s="352" t="n"/>
      <c r="AL445" s="352" t="n"/>
      <c r="AM445" s="352" t="n"/>
      <c r="AN445" s="352" t="n"/>
      <c r="AO445" s="352" t="n"/>
      <c r="AP445" s="352" t="n">
        <v>920</v>
      </c>
      <c r="AQ445" s="352" t="n">
        <v>920</v>
      </c>
      <c r="AR445" s="352" t="n">
        <v>920</v>
      </c>
      <c r="AS445" s="352" t="n">
        <v>920</v>
      </c>
      <c r="AT445" s="352" t="n">
        <v>920</v>
      </c>
      <c r="AU445" s="352" t="n">
        <v>920</v>
      </c>
      <c r="AV445" s="352" t="n">
        <v>920</v>
      </c>
      <c r="AW445" s="352">
        <f>IF(SUM(R445:AV445)=0,"",SUM(R445:AV445))</f>
        <v/>
      </c>
      <c r="AX445" s="431">
        <f>IFERROR(AW445*O445/1000,"")</f>
        <v/>
      </c>
      <c r="AY445" s="431">
        <f>IFERROR(ROUND(AW445*P445/10000,3),"")</f>
        <v/>
      </c>
      <c r="AZ445" s="331" t="n">
        <v>64.5386</v>
      </c>
      <c r="BA445" s="331" t="n">
        <v>4.3771</v>
      </c>
      <c r="BB445" s="331" t="n">
        <v>6.7122</v>
      </c>
      <c r="BC445" s="331" t="n">
        <v>4.9187</v>
      </c>
      <c r="BD445" s="331" t="n"/>
      <c r="BE445" s="331">
        <f>AZ445*AW445</f>
        <v/>
      </c>
      <c r="BF445" s="331">
        <f>BA445*AW445</f>
        <v/>
      </c>
      <c r="BG445" s="331">
        <f>BB445*AW445</f>
        <v/>
      </c>
      <c r="BH445" s="331">
        <f>BC445*AW445</f>
        <v/>
      </c>
      <c r="BI445" s="331" t="n"/>
      <c r="BJ445" s="356">
        <f t="array" ref="BJ445:BM445">_xlfn.LET(_xlpm.data,$R445:$AV445,_xlpm.starts,{1,8,16,23},_xlpm.lengths,{7,7,8,9},_xlpm.arr,_xlfn.MAP(_xlpm.starts,_xlpm.lengths,_xlfn.LAMBDA(_xlpm.s,_xlpm.l,SUM(INDEX(_xlpm.data,,_xlfn.SEQUENCE(,_xlpm.l,_xlpm.s))))),ROUND(_xlpm.arr*$O445/1000,2))</f>
        <v/>
      </c>
      <c r="BK445" s="331" t="n">
        <v>0</v>
      </c>
      <c r="BL445" s="331" t="n">
        <v>0</v>
      </c>
      <c r="BM445" s="331" t="n">
        <v>15.1</v>
      </c>
      <c r="BN445" s="362">
        <f>SUM(BJ445:BM445)</f>
        <v/>
      </c>
      <c r="BO445" s="362" t="n">
        <v>0</v>
      </c>
      <c r="BP445" s="362" t="n">
        <v>0</v>
      </c>
      <c r="BQ445" s="362" t="n">
        <v>40.26</v>
      </c>
      <c r="BR445" s="362" t="n">
        <v>45.29</v>
      </c>
      <c r="BS445" s="367" t="inlineStr">
        <is>
          <t>摩胎</t>
        </is>
      </c>
      <c r="BX445" s="367" t="inlineStr">
        <is>
          <t>摩胎</t>
        </is>
      </c>
      <c r="BY445" s="362">
        <f>SUM(R445:X445)</f>
        <v/>
      </c>
      <c r="BZ445" s="362">
        <f>SUM(Y445:AE445)</f>
        <v/>
      </c>
      <c r="CA445" s="362">
        <f>SUM(AF445:AM445)</f>
        <v/>
      </c>
      <c r="CB445" s="362">
        <f>SUM(AN445:AV445)</f>
        <v/>
      </c>
      <c r="CD445" s="440" t="inlineStr">
        <is>
          <t>TIDAK ADA</t>
        </is>
      </c>
      <c r="CE445" s="388">
        <f>ROUND(BY445*$O445/1000,2)</f>
        <v/>
      </c>
      <c r="CF445" s="380">
        <f>ROUND(BZ445*$O445/1000,2)</f>
        <v/>
      </c>
      <c r="CG445" s="380">
        <f>ROUND(CA445*$O445/1000,2)</f>
        <v/>
      </c>
      <c r="CH445" s="380">
        <f>ROUND(CB445*$O445/1000,2)</f>
        <v/>
      </c>
      <c r="CI445" s="362">
        <f>SUM(CE445:CH445)</f>
        <v/>
      </c>
      <c r="CJ445" s="390" t="n"/>
      <c r="CK445" s="362">
        <f>IFERROR(ROUND(BY445*$P445,2),"")</f>
        <v/>
      </c>
      <c r="CL445" s="362">
        <f>IFERROR(ROUND(BZ445*$P445,2),"")</f>
        <v/>
      </c>
      <c r="CM445" s="362">
        <f>IFERROR(ROUND(CA445*$P445,2),"")</f>
        <v/>
      </c>
      <c r="CN445" s="362">
        <f>IFERROR(ROUND(CB445*$P445,2),"")</f>
        <v/>
      </c>
    </row>
    <row r="446" customFormat="1" s="362">
      <c r="A446" s="433" t="n"/>
      <c r="B446" s="434" t="inlineStr">
        <is>
          <t>印尼</t>
        </is>
      </c>
      <c r="C446" s="434">
        <f>IFERROR(MID(G446,FIND("-",G446)+1,2),"")</f>
        <v/>
      </c>
      <c r="D446" s="434">
        <f>"摩胎"&amp;C446&amp;"寸"</f>
        <v/>
      </c>
      <c r="E446" s="436" t="inlineStr">
        <is>
          <t>90/80-14-4PR-H577</t>
        </is>
      </c>
      <c r="F446" s="436" t="inlineStr">
        <is>
          <t>ID(G105004)90/80-14-4P[H-577]43P GOODRIDE 纳米高抓 TL E4-75R-0018739</t>
        </is>
      </c>
      <c r="G446" s="436" t="inlineStr">
        <is>
          <t>ID(G105004)90/80-14-4P[H-577]43P GOODRIDE 纳米高抓 TL</t>
        </is>
      </c>
      <c r="H446" s="434" t="n">
        <v>6000</v>
      </c>
      <c r="I446" s="434" t="n"/>
      <c r="J446" s="434" t="n">
        <v>19.2</v>
      </c>
      <c r="K446" s="434" t="n"/>
      <c r="L446" s="438">
        <f>IF(J445="","",J445/(J445+$J$380/60))</f>
        <v/>
      </c>
      <c r="M446" s="438" t="n"/>
      <c r="N446" s="434" t="n"/>
      <c r="O446" s="434">
        <f>IFERROR(_xlfn.XLOOKUP(E446,轮胎重量!S:S,轮胎重量!P:P),IFERROR(_xlfn.XLOOKUP(E446,轮胎重量!AB:AB,轮胎重量!Y:Y),IFERROR(_xlfn.XLOOKUP(E446,轮胎重量!AK:AK,轮胎重量!AH:AH),IFERROR(_xlfn.XLOOKUP(E446,轮胎重量!AT:AT,轮胎重量!AQ:AQ),""))))</f>
        <v/>
      </c>
      <c r="P446" s="439">
        <f>O446*14.76</f>
        <v/>
      </c>
      <c r="Q446" s="434">
        <f>IFERROR(ROUND(1440/J446*I446*L447,0),"")</f>
        <v/>
      </c>
      <c r="R446" s="352" t="n"/>
      <c r="S446" s="352" t="n"/>
      <c r="T446" s="352" t="n"/>
      <c r="U446" s="352" t="n"/>
      <c r="V446" s="352" t="n"/>
      <c r="W446" s="352" t="n"/>
      <c r="X446" s="352" t="n"/>
      <c r="Y446" s="352" t="n"/>
      <c r="Z446" s="352" t="n"/>
      <c r="AA446" s="352" t="n"/>
      <c r="AB446" s="352" t="n"/>
      <c r="AC446" s="352" t="n"/>
      <c r="AD446" s="352" t="n"/>
      <c r="AE446" s="352" t="n"/>
      <c r="AF446" s="352" t="n"/>
      <c r="AG446" s="352" t="n"/>
      <c r="AH446" s="352" t="n"/>
      <c r="AI446" s="352" t="n"/>
      <c r="AJ446" s="352" t="n"/>
      <c r="AK446" s="352" t="n"/>
      <c r="AL446" s="352" t="n"/>
      <c r="AM446" s="352" t="n"/>
      <c r="AN446" s="352" t="n"/>
      <c r="AO446" s="352" t="n"/>
      <c r="AP446" s="352" t="n">
        <v>920</v>
      </c>
      <c r="AQ446" s="352" t="n">
        <v>920</v>
      </c>
      <c r="AR446" s="352" t="n">
        <v>920</v>
      </c>
      <c r="AS446" s="352" t="n">
        <v>920</v>
      </c>
      <c r="AT446" s="352" t="n">
        <v>920</v>
      </c>
      <c r="AU446" s="352" t="n">
        <v>920</v>
      </c>
      <c r="AV446" s="352" t="n">
        <v>920</v>
      </c>
      <c r="AW446" s="352">
        <f>IF(SUM(R446:AV446)=0,"",SUM(R446:AV446))</f>
        <v/>
      </c>
      <c r="AX446" s="431">
        <f>IFERROR(AW446*O446/1000,"")</f>
        <v/>
      </c>
      <c r="AY446" s="431">
        <f>IFERROR(ROUND(AW446*P446/10000,3),"")</f>
        <v/>
      </c>
      <c r="AZ446" s="355" t="n">
        <v>85.2179</v>
      </c>
      <c r="BA446" s="355" t="n">
        <v>6</v>
      </c>
      <c r="BB446" s="355" t="n">
        <v>9.200799999999999</v>
      </c>
      <c r="BC446" s="355" t="n">
        <v>6.7424</v>
      </c>
      <c r="BD446" s="331" t="n"/>
      <c r="BE446" s="331">
        <f>AZ446*AW446</f>
        <v/>
      </c>
      <c r="BF446" s="331">
        <f>BA446*AW446</f>
        <v/>
      </c>
      <c r="BG446" s="331">
        <f>BB446*AW446</f>
        <v/>
      </c>
      <c r="BH446" s="331">
        <f>BC446*AW446</f>
        <v/>
      </c>
      <c r="BI446" s="331" t="n"/>
      <c r="BJ446" s="356">
        <f t="array" ref="BJ446:BM446">_xlfn.LET(_xlpm.data,$R446:$AV446,_xlpm.starts,{1,8,16,23},_xlpm.lengths,{7,7,8,9},_xlpm.arr,_xlfn.MAP(_xlpm.starts,_xlpm.lengths,_xlfn.LAMBDA(_xlpm.s,_xlpm.l,SUM(INDEX(_xlpm.data,,_xlfn.SEQUENCE(,_xlpm.l,_xlpm.s))))),ROUND(_xlpm.arr*$O446/1000,2))</f>
        <v/>
      </c>
      <c r="BK446" s="331" t="n">
        <v>0</v>
      </c>
      <c r="BL446" s="331" t="n">
        <v>0</v>
      </c>
      <c r="BM446" s="331" t="n">
        <v>15.91</v>
      </c>
      <c r="BN446" s="362">
        <f>SUM(BJ446:BM446)</f>
        <v/>
      </c>
      <c r="BO446" s="362" t="n">
        <v>29.69</v>
      </c>
      <c r="BP446" s="362" t="n">
        <v>29.69</v>
      </c>
      <c r="BQ446" s="362" t="n">
        <v>33.93</v>
      </c>
      <c r="BR446" s="362" t="n">
        <v>38.17</v>
      </c>
      <c r="BS446" s="367" t="inlineStr">
        <is>
          <t>摩胎</t>
        </is>
      </c>
      <c r="BX446" s="367" t="inlineStr">
        <is>
          <t>摩胎</t>
        </is>
      </c>
      <c r="BY446" s="362">
        <f>SUM(R446:X446)</f>
        <v/>
      </c>
      <c r="BZ446" s="362">
        <f>SUM(Y446:AE446)</f>
        <v/>
      </c>
      <c r="CA446" s="362">
        <f>SUM(AF446:AM446)</f>
        <v/>
      </c>
      <c r="CB446" s="362">
        <f>SUM(AN446:AV446)</f>
        <v/>
      </c>
      <c r="CD446" s="440" t="inlineStr">
        <is>
          <t>TIDAK ADA</t>
        </is>
      </c>
      <c r="CE446" s="388">
        <f>ROUND(BY446*$O446/1000,2)</f>
        <v/>
      </c>
      <c r="CF446" s="380">
        <f>ROUND(BZ446*$O446/1000,2)</f>
        <v/>
      </c>
      <c r="CG446" s="380">
        <f>ROUND(CA446*$O446/1000,2)</f>
        <v/>
      </c>
      <c r="CH446" s="380">
        <f>ROUND(CB446*$O446/1000,2)</f>
        <v/>
      </c>
      <c r="CI446" s="362">
        <f>SUM(CE446:CH446)</f>
        <v/>
      </c>
      <c r="CJ446" s="390" t="n"/>
      <c r="CK446" s="362">
        <f>IFERROR(ROUND(BY446*$P446,2),"")</f>
        <v/>
      </c>
      <c r="CL446" s="362">
        <f>IFERROR(ROUND(BZ446*$P446,2),"")</f>
        <v/>
      </c>
      <c r="CM446" s="362">
        <f>IFERROR(ROUND(CA446*$P446,2),"")</f>
        <v/>
      </c>
      <c r="CN446" s="362">
        <f>IFERROR(ROUND(CB446*$P446,2),"")</f>
        <v/>
      </c>
    </row>
    <row r="447" customFormat="1" s="362">
      <c r="A447" s="433" t="n"/>
      <c r="B447" s="434" t="inlineStr">
        <is>
          <t>印尼</t>
        </is>
      </c>
      <c r="C447" s="434">
        <f>IFERROR(MID(G447,FIND("-",G447)+1,2),"")</f>
        <v/>
      </c>
      <c r="D447" s="434">
        <f>"摩胎"&amp;C447&amp;"寸"</f>
        <v/>
      </c>
      <c r="E447" s="436" t="inlineStr">
        <is>
          <t>90/90-14-4PR-H577</t>
        </is>
      </c>
      <c r="F447" s="436" t="inlineStr">
        <is>
          <t>ID(G105005)90/90-14-4P[H-577]46P GOODRIDE 纳米高抓 TL E4-75R-0014568</t>
        </is>
      </c>
      <c r="G447" s="436" t="inlineStr">
        <is>
          <t>ID(G105005)90/90-14-4P[H-577]46P GOODRIDE 纳米高抓 TL</t>
        </is>
      </c>
      <c r="H447" s="434" t="n">
        <v>6000</v>
      </c>
      <c r="I447" s="434" t="n"/>
      <c r="J447" s="434" t="n">
        <v>19.2</v>
      </c>
      <c r="K447" s="434" t="n"/>
      <c r="L447" s="438">
        <f>IF(J440="","",J440/(J440+$J$380/60))</f>
        <v/>
      </c>
      <c r="M447" s="438" t="n"/>
      <c r="N447" s="434" t="n"/>
      <c r="O447" s="434">
        <f>IFERROR(_xlfn.XLOOKUP(E447,轮胎重量!S:S,轮胎重量!P:P),IFERROR(_xlfn.XLOOKUP(E447,轮胎重量!AB:AB,轮胎重量!Y:Y),IFERROR(_xlfn.XLOOKUP(E447,轮胎重量!AK:AK,轮胎重量!AH:AH),IFERROR(_xlfn.XLOOKUP(E447,轮胎重量!AT:AT,轮胎重量!AQ:AQ),""))))</f>
        <v/>
      </c>
      <c r="P447" s="439">
        <f>O447*14.76</f>
        <v/>
      </c>
      <c r="Q447" s="434">
        <f>IFERROR(ROUND(1440/J447*I447*L448,0),"")</f>
        <v/>
      </c>
      <c r="R447" s="352" t="n"/>
      <c r="S447" s="352" t="n"/>
      <c r="T447" s="352" t="n"/>
      <c r="U447" s="352" t="n"/>
      <c r="V447" s="352" t="n"/>
      <c r="W447" s="352" t="n"/>
      <c r="X447" s="352" t="n"/>
      <c r="Y447" s="352" t="n"/>
      <c r="Z447" s="352" t="n"/>
      <c r="AA447" s="352" t="n"/>
      <c r="AB447" s="352" t="n"/>
      <c r="AC447" s="352" t="n"/>
      <c r="AD447" s="352" t="n"/>
      <c r="AE447" s="352" t="n"/>
      <c r="AF447" s="352" t="n"/>
      <c r="AG447" s="352" t="n"/>
      <c r="AH447" s="352" t="n"/>
      <c r="AI447" s="352" t="n"/>
      <c r="AJ447" s="352" t="n"/>
      <c r="AK447" s="352" t="n"/>
      <c r="AL447" s="352" t="n"/>
      <c r="AM447" s="352" t="n"/>
      <c r="AN447" s="352" t="n"/>
      <c r="AO447" s="352" t="n"/>
      <c r="AP447" s="352" t="n">
        <v>460</v>
      </c>
      <c r="AQ447" s="352" t="n">
        <v>460</v>
      </c>
      <c r="AR447" s="352" t="n">
        <v>460</v>
      </c>
      <c r="AS447" s="352" t="n">
        <v>460</v>
      </c>
      <c r="AT447" s="352" t="n">
        <v>460</v>
      </c>
      <c r="AU447" s="352" t="n">
        <v>460</v>
      </c>
      <c r="AV447" s="352" t="n">
        <v>460</v>
      </c>
      <c r="AW447" s="352">
        <f>IF(SUM(R447:AV447)=0,"",SUM(R447:AV447))</f>
        <v/>
      </c>
      <c r="AX447" s="431">
        <f>IFERROR(AW447*O447/1000,"")</f>
        <v/>
      </c>
      <c r="AY447" s="431">
        <f>IFERROR(ROUND(AW447*P447/10000,3),"")</f>
        <v/>
      </c>
      <c r="AZ447" s="331" t="n">
        <v>64.5386</v>
      </c>
      <c r="BA447" s="331" t="n">
        <v>4.3771</v>
      </c>
      <c r="BB447" s="331" t="n">
        <v>6.7122</v>
      </c>
      <c r="BC447" s="331" t="n">
        <v>4.9187</v>
      </c>
      <c r="BD447" s="331" t="n"/>
      <c r="BE447" s="331">
        <f>AZ447*AW447</f>
        <v/>
      </c>
      <c r="BF447" s="331">
        <f>BA447*AW447</f>
        <v/>
      </c>
      <c r="BG447" s="331">
        <f>BB447*AW447</f>
        <v/>
      </c>
      <c r="BH447" s="331">
        <f>BC447*AW447</f>
        <v/>
      </c>
      <c r="BI447" s="331" t="n"/>
      <c r="BJ447" s="356">
        <f t="array" ref="BJ447:BM447">_xlfn.LET(_xlpm.data,$R447:$AV447,_xlpm.starts,{1,8,16,23},_xlpm.lengths,{7,7,8,9},_xlpm.arr,_xlfn.MAP(_xlpm.starts,_xlpm.lengths,_xlfn.LAMBDA(_xlpm.s,_xlpm.l,SUM(INDEX(_xlpm.data,,_xlfn.SEQUENCE(,_xlpm.l,_xlpm.s))))),ROUND(_xlpm.arr*$O447/1000,2))</f>
        <v/>
      </c>
      <c r="BK447" s="331" t="n">
        <v>0</v>
      </c>
      <c r="BL447" s="331" t="n">
        <v>0</v>
      </c>
      <c r="BM447" s="331" t="n">
        <v>8.81</v>
      </c>
      <c r="BN447" s="362">
        <f>SUM(BJ447:BM447)</f>
        <v/>
      </c>
      <c r="BO447" s="362" t="n">
        <v>0</v>
      </c>
      <c r="BP447" s="362" t="n">
        <v>0</v>
      </c>
      <c r="BQ447" s="362" t="n">
        <v>40.26</v>
      </c>
      <c r="BR447" s="362" t="n">
        <v>45.29</v>
      </c>
      <c r="BS447" s="367" t="inlineStr">
        <is>
          <t>摩胎</t>
        </is>
      </c>
      <c r="BX447" s="367" t="inlineStr">
        <is>
          <t>摩胎</t>
        </is>
      </c>
      <c r="BY447" s="362">
        <f>SUM(R447:X447)</f>
        <v/>
      </c>
      <c r="BZ447" s="362">
        <f>SUM(Y447:AE447)</f>
        <v/>
      </c>
      <c r="CA447" s="362">
        <f>SUM(AF447:AM447)</f>
        <v/>
      </c>
      <c r="CB447" s="362">
        <f>SUM(AN447:AV447)</f>
        <v/>
      </c>
      <c r="CD447" s="440" t="inlineStr">
        <is>
          <t>TIDAK ADA</t>
        </is>
      </c>
      <c r="CE447" s="388">
        <f>ROUND(BY447*$O447/1000,2)</f>
        <v/>
      </c>
      <c r="CF447" s="380">
        <f>ROUND(BZ447*$O447/1000,2)</f>
        <v/>
      </c>
      <c r="CG447" s="380">
        <f>ROUND(CA447*$O447/1000,2)</f>
        <v/>
      </c>
      <c r="CH447" s="380">
        <f>ROUND(CB447*$O447/1000,2)</f>
        <v/>
      </c>
      <c r="CI447" s="362">
        <f>SUM(CE447:CH447)</f>
        <v/>
      </c>
      <c r="CJ447" s="390" t="n"/>
      <c r="CK447" s="362">
        <f>IFERROR(ROUND(BY447*$P447,2),"")</f>
        <v/>
      </c>
      <c r="CL447" s="362">
        <f>IFERROR(ROUND(BZ447*$P447,2),"")</f>
        <v/>
      </c>
      <c r="CM447" s="362">
        <f>IFERROR(ROUND(CA447*$P447,2),"")</f>
        <v/>
      </c>
      <c r="CN447" s="362">
        <f>IFERROR(ROUND(CB447*$P447,2),"")</f>
        <v/>
      </c>
      <c r="CO447" s="362">
        <f>SUM(CK447:CN447)</f>
        <v/>
      </c>
    </row>
    <row r="448" customFormat="1" s="362">
      <c r="A448" s="433" t="n"/>
      <c r="B448" s="434" t="inlineStr">
        <is>
          <t>印尼</t>
        </is>
      </c>
      <c r="C448" s="434">
        <f>IFERROR(MID(G448,FIND("-",G448)+1,2),"")</f>
        <v/>
      </c>
      <c r="D448" s="434">
        <f>"摩胎"&amp;C448&amp;"寸"</f>
        <v/>
      </c>
      <c r="E448" s="436" t="inlineStr">
        <is>
          <t>100/80-14-4PR-H577</t>
        </is>
      </c>
      <c r="F448" s="436" t="inlineStr">
        <is>
          <t>ID(G105006)100/80-14-4P[H-577]48P GOODRIDE 纳米高抓 TL E4-75R-0017425</t>
        </is>
      </c>
      <c r="G448" s="436" t="inlineStr">
        <is>
          <t>ID(G105006)100/80-14-4P[H-577]48P GOODRIDE 纳米高抓 TL</t>
        </is>
      </c>
      <c r="H448" s="434" t="n">
        <v>3000</v>
      </c>
      <c r="I448" s="434" t="n"/>
      <c r="J448" s="434" t="n">
        <v>19.2</v>
      </c>
      <c r="K448" s="434" t="n"/>
      <c r="L448" s="438">
        <f>IF(J447="","",J447/(J447+$J$380/60))</f>
        <v/>
      </c>
      <c r="M448" s="438" t="n"/>
      <c r="N448" s="434" t="n"/>
      <c r="O448" s="434">
        <f>IFERROR(_xlfn.XLOOKUP(E448,轮胎重量!S:S,轮胎重量!P:P),IFERROR(_xlfn.XLOOKUP(E448,轮胎重量!AB:AB,轮胎重量!Y:Y),IFERROR(_xlfn.XLOOKUP(E448,轮胎重量!AK:AK,轮胎重量!AH:AH),IFERROR(_xlfn.XLOOKUP(E448,轮胎重量!AT:AT,轮胎重量!AQ:AQ),""))))</f>
        <v/>
      </c>
      <c r="P448" s="439">
        <f>O448*14.76</f>
        <v/>
      </c>
      <c r="Q448" s="434">
        <f>IFERROR(ROUND(1440/J448*I448*L449,0),"")</f>
        <v/>
      </c>
      <c r="R448" s="352" t="n"/>
      <c r="S448" s="352" t="n"/>
      <c r="T448" s="352" t="n"/>
      <c r="U448" s="352" t="n"/>
      <c r="V448" s="352" t="n"/>
      <c r="W448" s="352" t="n"/>
      <c r="X448" s="352" t="n"/>
      <c r="Y448" s="352" t="n"/>
      <c r="Z448" s="352" t="n"/>
      <c r="AA448" s="352" t="n"/>
      <c r="AB448" s="352" t="n"/>
      <c r="AC448" s="352" t="n"/>
      <c r="AD448" s="352" t="n"/>
      <c r="AE448" s="352" t="n"/>
      <c r="AF448" s="352" t="n"/>
      <c r="AG448" s="352" t="n"/>
      <c r="AH448" s="352" t="n"/>
      <c r="AI448" s="352" t="n"/>
      <c r="AJ448" s="352" t="n"/>
      <c r="AK448" s="352" t="n"/>
      <c r="AL448" s="352" t="n"/>
      <c r="AM448" s="352" t="n"/>
      <c r="AN448" s="352" t="n"/>
      <c r="AO448" s="352" t="n"/>
      <c r="AP448" s="352" t="n">
        <v>440</v>
      </c>
      <c r="AQ448" s="352" t="n">
        <v>440</v>
      </c>
      <c r="AR448" s="352" t="n">
        <v>440</v>
      </c>
      <c r="AS448" s="352" t="n">
        <v>440</v>
      </c>
      <c r="AT448" s="352" t="n">
        <v>440</v>
      </c>
      <c r="AU448" s="352" t="n">
        <v>440</v>
      </c>
      <c r="AV448" s="352" t="n">
        <v>440</v>
      </c>
      <c r="AW448" s="352">
        <f>IF(SUM(R448:AV448)=0,"",SUM(R448:AV448))</f>
        <v/>
      </c>
      <c r="AX448" s="431">
        <f>IFERROR(AW448*O448/1000,"")</f>
        <v/>
      </c>
      <c r="AY448" s="431">
        <f>IFERROR(ROUND(AW448*P448/10000,3),"")</f>
        <v/>
      </c>
      <c r="AZ448" s="355" t="n">
        <v>85.2179</v>
      </c>
      <c r="BA448" s="355" t="n">
        <v>6</v>
      </c>
      <c r="BB448" s="355" t="n">
        <v>9.200799999999999</v>
      </c>
      <c r="BC448" s="355" t="n">
        <v>6.7424</v>
      </c>
      <c r="BD448" s="331" t="n"/>
      <c r="BE448" s="331">
        <f>AZ448*AW448</f>
        <v/>
      </c>
      <c r="BF448" s="331">
        <f>BA448*AW448</f>
        <v/>
      </c>
      <c r="BG448" s="331">
        <f>BB448*AW448</f>
        <v/>
      </c>
      <c r="BH448" s="331">
        <f>BC448*AW448</f>
        <v/>
      </c>
      <c r="BI448" s="331" t="n"/>
      <c r="BJ448" s="356">
        <f t="array" ref="BJ448:BM448">_xlfn.LET(_xlpm.data,$R448:$AV448,_xlpm.starts,{1,8,16,23},_xlpm.lengths,{7,7,8,9},_xlpm.arr,_xlfn.MAP(_xlpm.starts,_xlpm.lengths,_xlfn.LAMBDA(_xlpm.s,_xlpm.l,SUM(INDEX(_xlpm.data,,_xlfn.SEQUENCE(,_xlpm.l,_xlpm.s))))),ROUND(_xlpm.arr*$O448/1000,2))</f>
        <v/>
      </c>
      <c r="BK448" s="331" t="n">
        <v>0</v>
      </c>
      <c r="BL448" s="331" t="n">
        <v>0</v>
      </c>
      <c r="BM448" s="331" t="n">
        <v>9.550000000000001</v>
      </c>
      <c r="BN448" s="362">
        <f>SUM(BJ448:BM448)</f>
        <v/>
      </c>
      <c r="BO448" s="362" t="n">
        <v>29.69</v>
      </c>
      <c r="BP448" s="362" t="n">
        <v>29.69</v>
      </c>
      <c r="BQ448" s="362" t="n">
        <v>33.93</v>
      </c>
      <c r="BR448" s="362" t="n">
        <v>38.17</v>
      </c>
      <c r="BS448" s="367" t="inlineStr">
        <is>
          <t>摩胎</t>
        </is>
      </c>
      <c r="BX448" s="367" t="inlineStr">
        <is>
          <t>摩胎</t>
        </is>
      </c>
      <c r="BY448" s="362">
        <f>SUM(R448:X448)</f>
        <v/>
      </c>
      <c r="BZ448" s="362">
        <f>SUM(Y448:AE448)</f>
        <v/>
      </c>
      <c r="CA448" s="362">
        <f>SUM(AF448:AM448)</f>
        <v/>
      </c>
      <c r="CB448" s="362">
        <f>SUM(AN448:AV448)</f>
        <v/>
      </c>
      <c r="CD448" s="440" t="inlineStr">
        <is>
          <t>TIDAK ADA</t>
        </is>
      </c>
      <c r="CE448" s="388">
        <f>ROUND(BY448*$O448/1000,2)</f>
        <v/>
      </c>
      <c r="CF448" s="380">
        <f>ROUND(BZ448*$O448/1000,2)</f>
        <v/>
      </c>
      <c r="CG448" s="380">
        <f>ROUND(CA448*$O448/1000,2)</f>
        <v/>
      </c>
      <c r="CH448" s="380">
        <f>ROUND(CB448*$O448/1000,2)</f>
        <v/>
      </c>
      <c r="CI448" s="362">
        <f>SUM(CE448:CH448)</f>
        <v/>
      </c>
      <c r="CJ448" s="390" t="n"/>
      <c r="CK448" s="362">
        <f>IFERROR(ROUND(BY448*$P448,2),"")</f>
        <v/>
      </c>
      <c r="CL448" s="362">
        <f>IFERROR(ROUND(BZ448*$P448,2),"")</f>
        <v/>
      </c>
      <c r="CM448" s="362">
        <f>IFERROR(ROUND(CA448*$P448,2),"")</f>
        <v/>
      </c>
      <c r="CN448" s="362">
        <f>IFERROR(ROUND(CB448*$P448,2),"")</f>
        <v/>
      </c>
    </row>
    <row r="449">
      <c r="A449" s="441" t="n"/>
      <c r="B449" s="434" t="inlineStr">
        <is>
          <t>印尼</t>
        </is>
      </c>
      <c r="C449" s="434">
        <f>IFERROR(MID(G449,FIND("-",G449)+1,2),"")</f>
        <v/>
      </c>
      <c r="D449" s="434">
        <f>"摩胎"&amp;C449&amp;"寸"</f>
        <v/>
      </c>
      <c r="E449" s="436" t="inlineStr">
        <is>
          <t>100/90-12-4PR-H566</t>
        </is>
      </c>
      <c r="F449" s="436" t="inlineStr">
        <is>
          <t>ID(D104004)100/90-12-4P[H-566]59P GOLDEN CROWN  纳米高抓 TL</t>
        </is>
      </c>
      <c r="G449" s="436" t="inlineStr">
        <is>
          <t>ID(D104004)100/90-12-4P[H-566]59P GOLDEN CROWN  纳米高抓 TL</t>
        </is>
      </c>
      <c r="H449" s="434" t="n">
        <v>3000</v>
      </c>
      <c r="I449" s="434" t="n"/>
      <c r="J449" s="434" t="n">
        <v>19.2</v>
      </c>
      <c r="K449" s="434" t="n"/>
      <c r="L449" s="438">
        <f>IF(J448="","",J448/(J448+$J$380/60))</f>
        <v/>
      </c>
      <c r="M449" s="438" t="n"/>
      <c r="N449" s="434" t="n"/>
      <c r="O449" s="434">
        <f>IFERROR(_xlfn.XLOOKUP(E449,轮胎重量!S:S,轮胎重量!P:P),IFERROR(_xlfn.XLOOKUP(E449,轮胎重量!AB:AB,轮胎重量!Y:Y),IFERROR(_xlfn.XLOOKUP(E449,轮胎重量!AK:AK,轮胎重量!AH:AH),IFERROR(_xlfn.XLOOKUP(E449,轮胎重量!AT:AT,轮胎重量!AQ:AQ),""))))</f>
        <v/>
      </c>
      <c r="P449" s="439">
        <f>O449*14.76</f>
        <v/>
      </c>
      <c r="Q449" s="434">
        <f>IFERROR(ROUND(1440/J449*I449*L450,0),"")</f>
        <v/>
      </c>
      <c r="R449" s="352" t="n">
        <v>220</v>
      </c>
      <c r="S449" s="352" t="n">
        <v>220</v>
      </c>
      <c r="T449" s="352" t="n">
        <v>220</v>
      </c>
      <c r="U449" s="352" t="n">
        <v>220</v>
      </c>
      <c r="V449" s="352" t="n">
        <v>220</v>
      </c>
      <c r="W449" s="352" t="n">
        <v>220</v>
      </c>
      <c r="X449" s="352" t="n">
        <v>220</v>
      </c>
      <c r="Y449" s="352" t="n">
        <v>220</v>
      </c>
      <c r="Z449" s="352" t="n">
        <v>220</v>
      </c>
      <c r="AA449" s="352" t="n">
        <v>220</v>
      </c>
      <c r="AB449" s="352" t="n">
        <v>220</v>
      </c>
      <c r="AC449" s="352" t="n">
        <v>220</v>
      </c>
      <c r="AD449" s="352" t="n">
        <v>220</v>
      </c>
      <c r="AE449" s="352" t="n">
        <v>220</v>
      </c>
      <c r="AF449" s="352" t="n">
        <v>220</v>
      </c>
      <c r="AG449" s="352" t="n">
        <v>220</v>
      </c>
      <c r="AH449" s="352" t="n">
        <v>220</v>
      </c>
      <c r="AI449" s="352" t="n">
        <v>220</v>
      </c>
      <c r="AJ449" s="352" t="n">
        <v>220</v>
      </c>
      <c r="AK449" s="352" t="n">
        <v>220</v>
      </c>
      <c r="AL449" s="352" t="n">
        <v>220</v>
      </c>
      <c r="AM449" s="352" t="n">
        <v>220</v>
      </c>
      <c r="AN449" s="352" t="n">
        <v>220</v>
      </c>
      <c r="AO449" s="352" t="n">
        <v>220</v>
      </c>
      <c r="AP449" s="352" t="n">
        <v>220</v>
      </c>
      <c r="AQ449" s="352" t="n">
        <v>220</v>
      </c>
      <c r="AR449" s="352" t="n">
        <v>220</v>
      </c>
      <c r="AS449" s="352" t="n">
        <v>220</v>
      </c>
      <c r="AT449" s="352" t="n">
        <v>220</v>
      </c>
      <c r="AU449" s="352" t="n">
        <v>220</v>
      </c>
      <c r="AV449" s="352" t="n">
        <v>220</v>
      </c>
      <c r="AW449" s="352">
        <f>IF(SUM(R449:AV449)=0,"",SUM(R449:AV449))</f>
        <v/>
      </c>
      <c r="AX449" s="431">
        <f>IFERROR(AW449*O449/1000,"")</f>
        <v/>
      </c>
      <c r="AY449" s="431">
        <f>IFERROR(ROUND(AW449*P449/10000,3),"")</f>
        <v/>
      </c>
      <c r="AZ449" s="355" t="n">
        <v>85.2179</v>
      </c>
      <c r="BA449" s="355" t="n">
        <v>6</v>
      </c>
      <c r="BB449" s="355" t="n">
        <v>9.200799999999999</v>
      </c>
      <c r="BC449" s="355" t="n">
        <v>6.7424</v>
      </c>
      <c r="BE449" s="331">
        <f>AZ449*AW449</f>
        <v/>
      </c>
      <c r="BF449" s="331">
        <f>BA449*AW449</f>
        <v/>
      </c>
      <c r="BG449" s="331">
        <f>BB449*AW449</f>
        <v/>
      </c>
      <c r="BH449" s="331">
        <f>BC449*AW449</f>
        <v/>
      </c>
      <c r="BJ449" s="356">
        <f t="array" ref="BJ449:BM449">_xlfn.LET(_xlpm.data,$R449:$AV449,_xlpm.starts,{1,8,16,23},_xlpm.lengths,{7,7,8,9},_xlpm.arr,_xlfn.MAP(_xlpm.starts,_xlpm.lengths,_xlfn.LAMBDA(_xlpm.s,_xlpm.l,SUM(INDEX(_xlpm.data,,_xlfn.SEQUENCE(,_xlpm.l,_xlpm.s))))),ROUND(_xlpm.arr*$O449/1000,2))</f>
        <v/>
      </c>
      <c r="BK449" s="331" t="n">
        <v>4.4</v>
      </c>
      <c r="BL449" s="331" t="n">
        <v>5.03</v>
      </c>
      <c r="BM449" s="331" t="n">
        <v>5.66</v>
      </c>
      <c r="BN449" s="362">
        <f>SUM(BJ449:BM449)</f>
        <v/>
      </c>
      <c r="BO449" s="362" t="n">
        <v>29.69</v>
      </c>
      <c r="BP449" s="362" t="n">
        <v>29.69</v>
      </c>
      <c r="BQ449" s="362" t="n">
        <v>33.93</v>
      </c>
      <c r="BR449" s="362" t="n">
        <v>38.17</v>
      </c>
      <c r="BS449" s="367" t="inlineStr">
        <is>
          <t>摩胎</t>
        </is>
      </c>
      <c r="BX449" s="367" t="inlineStr">
        <is>
          <t>摩胎</t>
        </is>
      </c>
      <c r="BY449" s="362">
        <f>SUM(R449:X449)</f>
        <v/>
      </c>
      <c r="BZ449" s="362">
        <f>SUM(Y449:AE449)</f>
        <v/>
      </c>
      <c r="CA449" s="362">
        <f>SUM(AF449:AM449)</f>
        <v/>
      </c>
      <c r="CB449" s="362">
        <f>SUM(AN449:AV449)</f>
        <v/>
      </c>
      <c r="CD449" s="440" t="inlineStr">
        <is>
          <t>TIDAK ADA</t>
        </is>
      </c>
      <c r="CE449" s="388">
        <f>ROUND(BY449*$O449/1000,2)</f>
        <v/>
      </c>
      <c r="CF449" s="380">
        <f>ROUND(BZ449*$O449/1000,2)</f>
        <v/>
      </c>
      <c r="CG449" s="380">
        <f>ROUND(CA449*$O449/1000,2)</f>
        <v/>
      </c>
      <c r="CH449" s="380">
        <f>ROUND(CB449*$O449/1000,2)</f>
        <v/>
      </c>
      <c r="CI449" s="362">
        <f>SUM(CE449:CH449)</f>
        <v/>
      </c>
      <c r="CK449" s="362">
        <f>IFERROR(ROUND(BY449*$P449,2),"")</f>
        <v/>
      </c>
      <c r="CL449" s="362">
        <f>IFERROR(ROUND(BZ449*$P449,2),"")</f>
        <v/>
      </c>
      <c r="CM449" s="362">
        <f>IFERROR(ROUND(CA449*$P449,2),"")</f>
        <v/>
      </c>
      <c r="CN449" s="362">
        <f>IFERROR(ROUND(CB449*$P449,2),"")</f>
        <v/>
      </c>
    </row>
    <row r="450">
      <c r="A450" s="441" t="n"/>
      <c r="B450" s="434" t="inlineStr">
        <is>
          <t>印尼</t>
        </is>
      </c>
      <c r="C450" s="434">
        <f>IFERROR(MID(G450,FIND("-",G450)+1,2),"")</f>
        <v/>
      </c>
      <c r="D450" s="434">
        <f>"摩胎"&amp;C450&amp;"寸"</f>
        <v/>
      </c>
      <c r="E450" s="436" t="inlineStr">
        <is>
          <t>110/70-12-6PR-H566</t>
        </is>
      </c>
      <c r="F450" s="436" t="inlineStr">
        <is>
          <t>ID(D104008)110/70-12-6P[H-566]52P GOLDEN CROWN  纳米高抓 TL</t>
        </is>
      </c>
      <c r="G450" s="436" t="inlineStr">
        <is>
          <t>ID(D104008)110/70-12-6P[H-566]52P GOLDEN CROWN  纳米高抓 TL</t>
        </is>
      </c>
      <c r="H450" s="434" t="n">
        <v>6000</v>
      </c>
      <c r="I450" s="434" t="n"/>
      <c r="J450" s="434" t="n">
        <v>18.5</v>
      </c>
      <c r="K450" s="434" t="n"/>
      <c r="L450" s="438">
        <f>IF(J449="","",J449/(J449+$J$380/60))</f>
        <v/>
      </c>
      <c r="M450" s="438" t="n"/>
      <c r="N450" s="434" t="n"/>
      <c r="O450" s="434">
        <f>IFERROR(_xlfn.XLOOKUP(E450,轮胎重量!S:S,轮胎重量!P:P),IFERROR(_xlfn.XLOOKUP(E450,轮胎重量!AB:AB,轮胎重量!Y:Y),IFERROR(_xlfn.XLOOKUP(E450,轮胎重量!AK:AK,轮胎重量!AH:AH),IFERROR(_xlfn.XLOOKUP(E450,轮胎重量!AT:AT,轮胎重量!AQ:AQ),""))))</f>
        <v/>
      </c>
      <c r="P450" s="439">
        <f>O450*14.76</f>
        <v/>
      </c>
      <c r="Q450" s="434">
        <f>IFERROR(ROUND(1440/J450*I450*L451,0),"")</f>
        <v/>
      </c>
      <c r="R450" s="352" t="n">
        <v>220</v>
      </c>
      <c r="S450" s="352" t="n">
        <v>220</v>
      </c>
      <c r="T450" s="352" t="n">
        <v>220</v>
      </c>
      <c r="U450" s="352" t="n">
        <v>220</v>
      </c>
      <c r="V450" s="352" t="n">
        <v>220</v>
      </c>
      <c r="W450" s="352" t="n">
        <v>220</v>
      </c>
      <c r="X450" s="352" t="n">
        <v>220</v>
      </c>
      <c r="Y450" s="352" t="n">
        <v>220</v>
      </c>
      <c r="Z450" s="352" t="n">
        <v>220</v>
      </c>
      <c r="AA450" s="352" t="n">
        <v>220</v>
      </c>
      <c r="AB450" s="352" t="n">
        <v>220</v>
      </c>
      <c r="AC450" s="352" t="n">
        <v>220</v>
      </c>
      <c r="AD450" s="352" t="n">
        <v>220</v>
      </c>
      <c r="AE450" s="352" t="n">
        <v>220</v>
      </c>
      <c r="AF450" s="352" t="n">
        <v>220</v>
      </c>
      <c r="AG450" s="352" t="n">
        <v>220</v>
      </c>
      <c r="AH450" s="352" t="n">
        <v>220</v>
      </c>
      <c r="AI450" s="352" t="n">
        <v>220</v>
      </c>
      <c r="AJ450" s="352" t="n">
        <v>220</v>
      </c>
      <c r="AK450" s="352" t="n">
        <v>220</v>
      </c>
      <c r="AL450" s="352" t="n">
        <v>220</v>
      </c>
      <c r="AM450" s="352" t="n">
        <v>220</v>
      </c>
      <c r="AN450" s="352" t="n">
        <v>220</v>
      </c>
      <c r="AO450" s="352" t="n">
        <v>220</v>
      </c>
      <c r="AP450" s="352" t="n">
        <v>220</v>
      </c>
      <c r="AQ450" s="352" t="n">
        <v>220</v>
      </c>
      <c r="AR450" s="352" t="n">
        <v>220</v>
      </c>
      <c r="AS450" s="352" t="n">
        <v>220</v>
      </c>
      <c r="AT450" s="352" t="n">
        <v>220</v>
      </c>
      <c r="AU450" s="352" t="n">
        <v>220</v>
      </c>
      <c r="AV450" s="352" t="n">
        <v>220</v>
      </c>
      <c r="AW450" s="352">
        <f>IF(SUM(R450:AV450)=0,"",SUM(R450:AV450))</f>
        <v/>
      </c>
      <c r="AX450" s="431">
        <f>IFERROR(AW450*O450/1000,"")</f>
        <v/>
      </c>
      <c r="AY450" s="431">
        <f>IFERROR(ROUND(AW450*P450/10000,3),"")</f>
        <v/>
      </c>
      <c r="BE450" s="331">
        <f>AZ450*AW450</f>
        <v/>
      </c>
      <c r="BF450" s="331">
        <f>BA450*AW450</f>
        <v/>
      </c>
      <c r="BG450" s="331">
        <f>BB450*AW450</f>
        <v/>
      </c>
      <c r="BH450" s="331">
        <f>BC450*AW450</f>
        <v/>
      </c>
      <c r="BJ450" s="356">
        <f t="array" ref="BJ450:BM450">_xlfn.LET(_xlpm.data,$R450:$AV450,_xlpm.starts,{1,8,16,23},_xlpm.lengths,{7,7,8,9},_xlpm.arr,_xlfn.MAP(_xlpm.starts,_xlpm.lengths,_xlfn.LAMBDA(_xlpm.s,_xlpm.l,SUM(INDEX(_xlpm.data,,_xlfn.SEQUENCE(,_xlpm.l,_xlpm.s))))),ROUND(_xlpm.arr*$O450/1000,2))</f>
        <v/>
      </c>
      <c r="BK450" s="331" t="n">
        <v>4.33</v>
      </c>
      <c r="BL450" s="331" t="n">
        <v>4.95</v>
      </c>
      <c r="BM450" s="331" t="n">
        <v>5.56</v>
      </c>
      <c r="BN450" s="362">
        <f>SUM(BJ450:BM450)</f>
        <v/>
      </c>
      <c r="BO450" s="362" t="n">
        <v>0</v>
      </c>
      <c r="BP450" s="362" t="n">
        <v>0</v>
      </c>
      <c r="BQ450" s="362" t="n">
        <v>9.630000000000001</v>
      </c>
      <c r="BR450" s="362" t="n">
        <v>10.83</v>
      </c>
      <c r="BS450" s="367" t="inlineStr">
        <is>
          <t>摩胎</t>
        </is>
      </c>
      <c r="BX450" s="367" t="inlineStr">
        <is>
          <t>摩胎</t>
        </is>
      </c>
      <c r="BY450" s="362">
        <f>SUM(R450:X450)</f>
        <v/>
      </c>
      <c r="BZ450" s="362">
        <f>SUM(Y450:AE450)</f>
        <v/>
      </c>
      <c r="CA450" s="362">
        <f>SUM(AF450:AM450)</f>
        <v/>
      </c>
      <c r="CB450" s="362">
        <f>SUM(AN450:AV450)</f>
        <v/>
      </c>
      <c r="CD450" s="440" t="inlineStr">
        <is>
          <t>TIDAK ADA</t>
        </is>
      </c>
      <c r="CE450" s="388">
        <f>ROUND(BY450*$O450/1000,2)</f>
        <v/>
      </c>
      <c r="CF450" s="380">
        <f>ROUND(BZ450*$O450/1000,2)</f>
        <v/>
      </c>
      <c r="CG450" s="380">
        <f>ROUND(CA450*$O450/1000,2)</f>
        <v/>
      </c>
      <c r="CH450" s="380">
        <f>ROUND(CB450*$O450/1000,2)</f>
        <v/>
      </c>
      <c r="CI450" s="362">
        <f>SUM(CE450:CH450)</f>
        <v/>
      </c>
      <c r="CK450" s="362">
        <f>IFERROR(ROUND(BY450*$P450,2),"")</f>
        <v/>
      </c>
      <c r="CL450" s="362">
        <f>IFERROR(ROUND(BZ450*$P450,2),"")</f>
        <v/>
      </c>
      <c r="CM450" s="362">
        <f>IFERROR(ROUND(CA450*$P450,2),"")</f>
        <v/>
      </c>
      <c r="CN450" s="362">
        <f>IFERROR(ROUND(CB450*$P450,2),"")</f>
        <v/>
      </c>
    </row>
    <row r="451">
      <c r="A451" s="441" t="n"/>
      <c r="B451" s="434" t="inlineStr">
        <is>
          <t>印尼</t>
        </is>
      </c>
      <c r="C451" s="434">
        <f>IFERROR(MID(G451,FIND("-",G451)+1,2),"")</f>
        <v/>
      </c>
      <c r="D451" s="434">
        <f>"摩胎"&amp;C451&amp;"寸"</f>
        <v/>
      </c>
      <c r="E451" s="436" t="inlineStr">
        <is>
          <t>80/90-14-6PR-H577</t>
        </is>
      </c>
      <c r="F451" s="436" t="inlineStr">
        <is>
          <t>ID(A105003)80/90-14-4P[H-577]40P ARISUN 纳米高抓 TL</t>
        </is>
      </c>
      <c r="G451" s="436" t="inlineStr">
        <is>
          <t>ID(A105003)80/90-14-4P[H-577]40P ARISUN 纳米高抓 TL</t>
        </is>
      </c>
      <c r="H451" s="434" t="n">
        <v>3500</v>
      </c>
      <c r="I451" s="434" t="n"/>
      <c r="J451" s="434" t="n">
        <v>19.2</v>
      </c>
      <c r="K451" s="434" t="n"/>
      <c r="L451" s="438">
        <f>IF(J450="","",J450/(J450+$J$380/60))</f>
        <v/>
      </c>
      <c r="M451" s="438" t="n"/>
      <c r="N451" s="434" t="n"/>
      <c r="O451" s="434">
        <f>IFERROR(_xlfn.XLOOKUP(E451,轮胎重量!S:S,轮胎重量!P:P),IFERROR(_xlfn.XLOOKUP(E451,轮胎重量!AB:AB,轮胎重量!Y:Y),IFERROR(_xlfn.XLOOKUP(E451,轮胎重量!AK:AK,轮胎重量!AH:AH),IFERROR(_xlfn.XLOOKUP(E451,轮胎重量!AT:AT,轮胎重量!AQ:AQ),""))))</f>
        <v/>
      </c>
      <c r="P451" s="439">
        <f>O451*14.76</f>
        <v/>
      </c>
      <c r="Q451" s="434">
        <f>IFERROR(ROUND(1440/J451*I451*L452,0),"")</f>
        <v/>
      </c>
      <c r="R451" s="352" t="n">
        <v>690</v>
      </c>
      <c r="S451" s="352" t="n">
        <v>690</v>
      </c>
      <c r="T451" s="352" t="n">
        <v>690</v>
      </c>
      <c r="U451" s="352" t="n">
        <v>690</v>
      </c>
      <c r="V451" s="352" t="n">
        <v>690</v>
      </c>
      <c r="W451" s="352" t="n">
        <v>690</v>
      </c>
      <c r="X451" s="352" t="n">
        <v>690</v>
      </c>
      <c r="Y451" s="352" t="n">
        <v>690</v>
      </c>
      <c r="Z451" s="352" t="n">
        <v>690</v>
      </c>
      <c r="AA451" s="352" t="n">
        <v>690</v>
      </c>
      <c r="AB451" s="352" t="n">
        <v>690</v>
      </c>
      <c r="AC451" s="352" t="n">
        <v>690</v>
      </c>
      <c r="AD451" s="352" t="n">
        <v>690</v>
      </c>
      <c r="AE451" s="352" t="n">
        <v>690</v>
      </c>
      <c r="AF451" s="352" t="n">
        <v>690</v>
      </c>
      <c r="AG451" s="352" t="n">
        <v>690</v>
      </c>
      <c r="AH451" s="352" t="n">
        <v>690</v>
      </c>
      <c r="AI451" s="352" t="n">
        <v>690</v>
      </c>
      <c r="AJ451" s="352" t="n"/>
      <c r="AK451" s="352" t="n"/>
      <c r="AL451" s="352" t="n"/>
      <c r="AM451" s="352" t="n"/>
      <c r="AN451" s="352" t="n"/>
      <c r="AO451" s="352" t="n"/>
      <c r="AP451" s="352" t="n"/>
      <c r="AQ451" s="352" t="n"/>
      <c r="AR451" s="352" t="n"/>
      <c r="AS451" s="352" t="n"/>
      <c r="AT451" s="352" t="n"/>
      <c r="AU451" s="352" t="n"/>
      <c r="AV451" s="352" t="n"/>
      <c r="AW451" s="352">
        <f>IF(SUM(R451:AV451)=0,"",SUM(R451:AV451))</f>
        <v/>
      </c>
      <c r="AX451" s="431">
        <f>IFERROR(AW451*O451/1000,"")</f>
        <v/>
      </c>
      <c r="AY451" s="431">
        <f>IFERROR(ROUND(AW451*P451/10000,3),"")</f>
        <v/>
      </c>
      <c r="AZ451" s="331" t="n">
        <v>64.5386</v>
      </c>
      <c r="BA451" s="331" t="n">
        <v>4.3771</v>
      </c>
      <c r="BB451" s="331" t="n">
        <v>6.7122</v>
      </c>
      <c r="BC451" s="331" t="n">
        <v>4.9187</v>
      </c>
      <c r="BE451" s="331">
        <f>AZ451*AW451</f>
        <v/>
      </c>
      <c r="BF451" s="331">
        <f>BA451*AW451</f>
        <v/>
      </c>
      <c r="BG451" s="331">
        <f>BB451*AW451</f>
        <v/>
      </c>
      <c r="BH451" s="331">
        <f>BC451*AW451</f>
        <v/>
      </c>
      <c r="BJ451" s="356">
        <f t="array" ref="BJ451:BM451">_xlfn.LET(_xlpm.data,$R451:$AV451,_xlpm.starts,{1,8,16,23},_xlpm.lengths,{7,7,8,9},_xlpm.arr,_xlfn.MAP(_xlpm.starts,_xlpm.lengths,_xlfn.LAMBDA(_xlpm.s,_xlpm.l,SUM(INDEX(_xlpm.data,,_xlfn.SEQUENCE(,_xlpm.l,_xlpm.s))))),ROUND(_xlpm.arr*$O451/1000,2))</f>
        <v/>
      </c>
      <c r="BK451" s="331" t="n">
        <v>11.33</v>
      </c>
      <c r="BL451" s="331" t="n">
        <v>4.85</v>
      </c>
      <c r="BM451" s="331" t="n">
        <v>0</v>
      </c>
      <c r="BN451" s="362">
        <f>SUM(BJ451:BM451)</f>
        <v/>
      </c>
      <c r="BO451" s="362" t="n">
        <v>0</v>
      </c>
      <c r="BP451" s="362" t="n">
        <v>0</v>
      </c>
      <c r="BQ451" s="362" t="n">
        <v>40.26</v>
      </c>
      <c r="BR451" s="362" t="n">
        <v>45.29</v>
      </c>
      <c r="BS451" s="367" t="inlineStr">
        <is>
          <t>摩胎</t>
        </is>
      </c>
      <c r="BX451" s="367" t="inlineStr">
        <is>
          <t>摩胎</t>
        </is>
      </c>
      <c r="BY451" s="362">
        <f>SUM(R451:X451)</f>
        <v/>
      </c>
      <c r="BZ451" s="362">
        <f>SUM(Y451:AE451)</f>
        <v/>
      </c>
      <c r="CA451" s="362">
        <f>SUM(AF451:AM451)</f>
        <v/>
      </c>
      <c r="CB451" s="362">
        <f>SUM(AN451:AV451)</f>
        <v/>
      </c>
      <c r="CD451" s="440" t="inlineStr">
        <is>
          <t>TIDAK ADA</t>
        </is>
      </c>
      <c r="CE451" s="388">
        <f>ROUND(BY451*$O451/1000,2)</f>
        <v/>
      </c>
      <c r="CF451" s="380">
        <f>ROUND(BZ451*$O451/1000,2)</f>
        <v/>
      </c>
      <c r="CG451" s="380">
        <f>ROUND(CA451*$O451/1000,2)</f>
        <v/>
      </c>
      <c r="CH451" s="380">
        <f>ROUND(CB451*$O451/1000,2)</f>
        <v/>
      </c>
      <c r="CI451" s="362">
        <f>SUM(CE451:CH451)</f>
        <v/>
      </c>
      <c r="CK451" s="362">
        <f>IFERROR(ROUND(BY451*$P451,2),"")</f>
        <v/>
      </c>
      <c r="CL451" s="362">
        <f>IFERROR(ROUND(BZ451*$P451,2),"")</f>
        <v/>
      </c>
      <c r="CM451" s="362">
        <f>IFERROR(ROUND(CA451*$P451,2),"")</f>
        <v/>
      </c>
      <c r="CN451" s="362">
        <f>IFERROR(ROUND(CB451*$P451,2),"")</f>
        <v/>
      </c>
    </row>
    <row r="452" customFormat="1" s="362">
      <c r="A452" s="331" t="n"/>
      <c r="B452" s="352" t="inlineStr">
        <is>
          <t>印尼</t>
        </is>
      </c>
      <c r="C452" s="352">
        <f>IFERROR(MID(G452,FIND("-",G452)+1,2),"")</f>
        <v/>
      </c>
      <c r="D452" s="352">
        <f>"摩胎"&amp;C452&amp;"寸"</f>
        <v/>
      </c>
      <c r="E452" s="379" t="inlineStr">
        <is>
          <t>90/80-14-4PR-H577</t>
        </is>
      </c>
      <c r="F452" s="379" t="inlineStr">
        <is>
          <t>ID(A105004)90/80-14-4P[H-577]43P ARISUN 纳米高抓 TL</t>
        </is>
      </c>
      <c r="G452" s="379" t="inlineStr">
        <is>
          <t>ID(A105004)90/80-14-4P[H-577]43P ARISUN 纳米高抓 TL</t>
        </is>
      </c>
      <c r="H452" s="352" t="n">
        <v>1500</v>
      </c>
      <c r="I452" s="370" t="n"/>
      <c r="J452" s="352" t="n">
        <v>19.2</v>
      </c>
      <c r="K452" s="352" t="n"/>
      <c r="L452" s="430">
        <f>IF(J451="","",J451/(J451+$J$380/60))</f>
        <v/>
      </c>
      <c r="M452" s="430" t="n"/>
      <c r="N452" s="352" t="n"/>
      <c r="O452" s="352">
        <f>IFERROR(_xlfn.XLOOKUP(E452,轮胎重量!S:S,轮胎重量!P:P),IFERROR(_xlfn.XLOOKUP(E452,轮胎重量!AB:AB,轮胎重量!Y:Y),IFERROR(_xlfn.XLOOKUP(E452,轮胎重量!AK:AK,轮胎重量!AH:AH),IFERROR(_xlfn.XLOOKUP(E452,轮胎重量!AT:AT,轮胎重量!AQ:AQ),""))))</f>
        <v/>
      </c>
      <c r="P452" s="358">
        <f>O452*14.76</f>
        <v/>
      </c>
      <c r="Q452" s="352">
        <f>IFERROR(ROUND(1440/J452*I452*L453,0),"")</f>
        <v/>
      </c>
      <c r="R452" s="352" t="n">
        <v>230</v>
      </c>
      <c r="S452" s="352" t="n">
        <v>230</v>
      </c>
      <c r="T452" s="352" t="n">
        <v>230</v>
      </c>
      <c r="U452" s="352" t="n">
        <v>230</v>
      </c>
      <c r="V452" s="352" t="n">
        <v>230</v>
      </c>
      <c r="W452" s="352" t="n">
        <v>230</v>
      </c>
      <c r="X452" s="352" t="n">
        <v>230</v>
      </c>
      <c r="Y452" s="352" t="n">
        <v>230</v>
      </c>
      <c r="Z452" s="352" t="n">
        <v>230</v>
      </c>
      <c r="AA452" s="352" t="n">
        <v>230</v>
      </c>
      <c r="AB452" s="352" t="n">
        <v>230</v>
      </c>
      <c r="AC452" s="352" t="n">
        <v>230</v>
      </c>
      <c r="AD452" s="352" t="n">
        <v>230</v>
      </c>
      <c r="AE452" s="352" t="n">
        <v>230</v>
      </c>
      <c r="AF452" s="352" t="n">
        <v>230</v>
      </c>
      <c r="AG452" s="352" t="n">
        <v>230</v>
      </c>
      <c r="AH452" s="352" t="n">
        <v>230</v>
      </c>
      <c r="AI452" s="352" t="n">
        <v>230</v>
      </c>
      <c r="AJ452" s="352" t="n">
        <v>230</v>
      </c>
      <c r="AK452" s="352" t="n">
        <v>230</v>
      </c>
      <c r="AL452" s="352" t="n">
        <v>230</v>
      </c>
      <c r="AM452" s="352" t="n">
        <v>230</v>
      </c>
      <c r="AN452" s="352" t="n">
        <v>230</v>
      </c>
      <c r="AO452" s="352" t="n">
        <v>230</v>
      </c>
      <c r="AP452" s="352" t="n"/>
      <c r="AQ452" s="352" t="n"/>
      <c r="AR452" s="352" t="n"/>
      <c r="AS452" s="352" t="n"/>
      <c r="AT452" s="352" t="n"/>
      <c r="AU452" s="352" t="n"/>
      <c r="AV452" s="352" t="n"/>
      <c r="AW452" s="352">
        <f>IF(SUM(R452:AV452)=0,"",SUM(R452:AV452))</f>
        <v/>
      </c>
      <c r="AX452" s="431">
        <f>IFERROR(AW452*O452/1000,"")</f>
        <v/>
      </c>
      <c r="AY452" s="431">
        <f>IFERROR(ROUND(AW452*P452/10000,3),"")</f>
        <v/>
      </c>
      <c r="AZ452" s="355" t="n">
        <v>85.2179</v>
      </c>
      <c r="BA452" s="355" t="n">
        <v>6</v>
      </c>
      <c r="BB452" s="355" t="n">
        <v>9.200799999999999</v>
      </c>
      <c r="BC452" s="355" t="n">
        <v>6.7424</v>
      </c>
      <c r="BD452" s="331" t="n"/>
      <c r="BE452" s="331">
        <f>AZ452*AW452</f>
        <v/>
      </c>
      <c r="BF452" s="331">
        <f>BA452*AW452</f>
        <v/>
      </c>
      <c r="BG452" s="331">
        <f>BB452*AW452</f>
        <v/>
      </c>
      <c r="BH452" s="331">
        <f>BC452*AW452</f>
        <v/>
      </c>
      <c r="BI452" s="331" t="n"/>
      <c r="BJ452" s="356">
        <f t="array" ref="BJ452:BM452">_xlfn.LET(_xlpm.data,$R452:$AV452,_xlpm.starts,{1,8,16,23},_xlpm.lengths,{7,7,8,9},_xlpm.arr,_xlfn.MAP(_xlpm.starts,_xlpm.lengths,_xlfn.LAMBDA(_xlpm.s,_xlpm.l,SUM(INDEX(_xlpm.data,,_xlfn.SEQUENCE(,_xlpm.l,_xlpm.s))))),ROUND(_xlpm.arr*$O452/1000,2))</f>
        <v/>
      </c>
      <c r="BK452" s="331" t="n">
        <v>3.98</v>
      </c>
      <c r="BL452" s="331" t="n">
        <v>4.54</v>
      </c>
      <c r="BM452" s="331" t="n">
        <v>1.14</v>
      </c>
      <c r="BN452" s="362">
        <f>SUM(BJ452:BM452)</f>
        <v/>
      </c>
      <c r="BO452" s="362" t="n">
        <v>29.69</v>
      </c>
      <c r="BP452" s="362" t="n">
        <v>29.69</v>
      </c>
      <c r="BQ452" s="362" t="n">
        <v>33.93</v>
      </c>
      <c r="BR452" s="362" t="n">
        <v>38.17</v>
      </c>
      <c r="BS452" s="367" t="inlineStr">
        <is>
          <t>摩胎</t>
        </is>
      </c>
      <c r="BX452" s="367" t="inlineStr">
        <is>
          <t>摩胎</t>
        </is>
      </c>
      <c r="BY452" s="362">
        <f>SUM(R452:X452)</f>
        <v/>
      </c>
      <c r="BZ452" s="362">
        <f>SUM(Y452:AE452)</f>
        <v/>
      </c>
      <c r="CA452" s="362">
        <f>SUM(AF452:AM452)</f>
        <v/>
      </c>
      <c r="CB452" s="362">
        <f>SUM(AN452:AV452)</f>
        <v/>
      </c>
      <c r="CD452" s="432" t="inlineStr">
        <is>
          <t>ADA</t>
        </is>
      </c>
      <c r="CE452" s="388">
        <f>ROUND(BY452*$O452/1000,2)</f>
        <v/>
      </c>
      <c r="CF452" s="380">
        <f>ROUND(BZ452*$O452/1000,2)</f>
        <v/>
      </c>
      <c r="CG452" s="380">
        <f>ROUND(CA452*$O452/1000,2)</f>
        <v/>
      </c>
      <c r="CH452" s="380">
        <f>ROUND(CB452*$O452/1000,2)</f>
        <v/>
      </c>
      <c r="CI452" s="362">
        <f>SUM(CE452:CH452)</f>
        <v/>
      </c>
      <c r="CJ452" s="390" t="n"/>
      <c r="CK452" s="362">
        <f>IFERROR(ROUND(BY452*$P452,2),"")</f>
        <v/>
      </c>
      <c r="CL452" s="362">
        <f>IFERROR(ROUND(BZ452*$P452,2),"")</f>
        <v/>
      </c>
      <c r="CM452" s="362">
        <f>IFERROR(ROUND(CA452*$P452,2),"")</f>
        <v/>
      </c>
      <c r="CN452" s="362">
        <f>IFERROR(ROUND(CB452*$P452,2),"")</f>
        <v/>
      </c>
    </row>
    <row r="453" ht="15" customHeight="1" s="428">
      <c r="B453" s="352" t="inlineStr">
        <is>
          <t>印尼</t>
        </is>
      </c>
      <c r="C453" s="352">
        <f>IFERROR(MID(G453,FIND("-",G453)+1,2),"")</f>
        <v/>
      </c>
      <c r="D453" s="352">
        <f>"摩胎"&amp;C453&amp;"寸"</f>
        <v/>
      </c>
      <c r="E453" s="379" t="inlineStr">
        <is>
          <t>90/90-14-4PR-H577</t>
        </is>
      </c>
      <c r="F453" s="379" t="inlineStr">
        <is>
          <t>ID(A105005)90/90-14-4P[H-577]46P ARISUN 纳米高抓 TL</t>
        </is>
      </c>
      <c r="G453" s="379" t="inlineStr">
        <is>
          <t>ID(A105005)90/90-14-4P[H-577]46P ARISUN 纳米高抓 TL</t>
        </is>
      </c>
      <c r="H453" s="352" t="n">
        <v>12000</v>
      </c>
      <c r="I453" s="370" t="n"/>
      <c r="J453" s="352" t="n">
        <v>19.2</v>
      </c>
      <c r="K453" s="352" t="n"/>
      <c r="L453" s="430">
        <f>IF(J452="","",J452/(J452+$J$380/60))</f>
        <v/>
      </c>
      <c r="M453" s="430" t="n"/>
      <c r="N453" s="352" t="n"/>
      <c r="O453" s="352">
        <f>IFERROR(_xlfn.XLOOKUP(E453,轮胎重量!S:S,轮胎重量!P:P),IFERROR(_xlfn.XLOOKUP(E453,轮胎重量!AB:AB,轮胎重量!Y:Y),IFERROR(_xlfn.XLOOKUP(E453,轮胎重量!AK:AK,轮胎重量!AH:AH),IFERROR(_xlfn.XLOOKUP(E453,轮胎重量!AT:AT,轮胎重量!AQ:AQ),""))))</f>
        <v/>
      </c>
      <c r="P453" s="358">
        <f>O453*14.76</f>
        <v/>
      </c>
      <c r="Q453" s="352">
        <f>IFERROR(ROUND(1440/J453*I453*L454,0),"")</f>
        <v/>
      </c>
      <c r="R453" s="352" t="n">
        <v>230</v>
      </c>
      <c r="S453" s="352" t="n">
        <v>230</v>
      </c>
      <c r="T453" s="352" t="n">
        <v>230</v>
      </c>
      <c r="U453" s="352" t="n">
        <v>230</v>
      </c>
      <c r="V453" s="352" t="n">
        <v>230</v>
      </c>
      <c r="W453" s="352" t="n">
        <v>230</v>
      </c>
      <c r="X453" s="352" t="n">
        <v>230</v>
      </c>
      <c r="Y453" s="352" t="n">
        <v>230</v>
      </c>
      <c r="Z453" s="352" t="n">
        <v>230</v>
      </c>
      <c r="AA453" s="352" t="n">
        <v>230</v>
      </c>
      <c r="AB453" s="352" t="n">
        <v>230</v>
      </c>
      <c r="AC453" s="352" t="n">
        <v>230</v>
      </c>
      <c r="AD453" s="352" t="n">
        <v>230</v>
      </c>
      <c r="AE453" s="352" t="n">
        <v>230</v>
      </c>
      <c r="AF453" s="352" t="n">
        <v>230</v>
      </c>
      <c r="AG453" s="352" t="n">
        <v>230</v>
      </c>
      <c r="AH453" s="352" t="n">
        <v>230</v>
      </c>
      <c r="AI453" s="352" t="n">
        <v>230</v>
      </c>
      <c r="AJ453" s="352" t="n">
        <v>230</v>
      </c>
      <c r="AK453" s="352" t="n">
        <v>230</v>
      </c>
      <c r="AL453" s="352" t="n">
        <v>230</v>
      </c>
      <c r="AM453" s="352" t="n">
        <v>230</v>
      </c>
      <c r="AN453" s="352" t="n">
        <v>230</v>
      </c>
      <c r="AO453" s="352" t="n">
        <v>230</v>
      </c>
      <c r="AP453" s="352" t="n"/>
      <c r="AQ453" s="352" t="n"/>
      <c r="AR453" s="352" t="n"/>
      <c r="AS453" s="352" t="n"/>
      <c r="AT453" s="352" t="n"/>
      <c r="AU453" s="352" t="n"/>
      <c r="AV453" s="352" t="n"/>
      <c r="AW453" s="352">
        <f>IF(SUM(R453:AV453)=0,"",SUM(R453:AV453))</f>
        <v/>
      </c>
      <c r="AX453" s="431">
        <f>IFERROR(AW453*O453/1000,"")</f>
        <v/>
      </c>
      <c r="AY453" s="431">
        <f>IFERROR(ROUND(AW453*P453/10000,3),"")</f>
        <v/>
      </c>
      <c r="AZ453" s="355" t="n">
        <v>85.2179</v>
      </c>
      <c r="BA453" s="355" t="n">
        <v>6</v>
      </c>
      <c r="BB453" s="355" t="n">
        <v>9.200799999999999</v>
      </c>
      <c r="BC453" s="355" t="n">
        <v>6.7424</v>
      </c>
      <c r="BE453" s="331">
        <f>AZ453*AW453</f>
        <v/>
      </c>
      <c r="BF453" s="331">
        <f>BA453*AW453</f>
        <v/>
      </c>
      <c r="BG453" s="331">
        <f>BB453*AW453</f>
        <v/>
      </c>
      <c r="BH453" s="331">
        <f>BC453*AW453</f>
        <v/>
      </c>
      <c r="BJ453" s="356">
        <f t="array" ref="BJ453:BM453">_xlfn.LET(_xlpm.data,$R453:$AV453,_xlpm.starts,{1,8,16,23},_xlpm.lengths,{7,7,8,9},_xlpm.arr,_xlfn.MAP(_xlpm.starts,_xlpm.lengths,_xlfn.LAMBDA(_xlpm.s,_xlpm.l,SUM(INDEX(_xlpm.data,,_xlfn.SEQUENCE(,_xlpm.l,_xlpm.s))))),ROUND(_xlpm.arr*$O453/1000,2))</f>
        <v/>
      </c>
      <c r="BK453" s="331" t="n">
        <v>4.4</v>
      </c>
      <c r="BL453" s="331" t="n">
        <v>5.03</v>
      </c>
      <c r="BM453" s="331" t="n">
        <v>1.26</v>
      </c>
      <c r="BN453" s="362">
        <f>SUM(BJ453:BM453)</f>
        <v/>
      </c>
      <c r="BO453" s="362" t="n">
        <v>29.69</v>
      </c>
      <c r="BP453" s="362" t="n">
        <v>29.69</v>
      </c>
      <c r="BQ453" s="362" t="n">
        <v>33.93</v>
      </c>
      <c r="BR453" s="362" t="n">
        <v>38.17</v>
      </c>
      <c r="BS453" s="367" t="inlineStr">
        <is>
          <t>摩胎</t>
        </is>
      </c>
      <c r="BX453" s="367" t="inlineStr">
        <is>
          <t>摩胎</t>
        </is>
      </c>
      <c r="BY453" s="362">
        <f>SUM(R453:X453)</f>
        <v/>
      </c>
      <c r="BZ453" s="362">
        <f>SUM(Y453:AE453)</f>
        <v/>
      </c>
      <c r="CA453" s="362">
        <f>SUM(AF453:AM453)</f>
        <v/>
      </c>
      <c r="CB453" s="362">
        <f>SUM(AN453:AV453)</f>
        <v/>
      </c>
      <c r="CD453" s="432" t="inlineStr">
        <is>
          <t>ADA</t>
        </is>
      </c>
      <c r="CE453" s="388">
        <f>ROUND(BY453*$O453/1000,2)</f>
        <v/>
      </c>
      <c r="CF453" s="380">
        <f>ROUND(BZ453*$O453/1000,2)</f>
        <v/>
      </c>
      <c r="CG453" s="380">
        <f>ROUND(CA453*$O453/1000,2)</f>
        <v/>
      </c>
      <c r="CH453" s="380">
        <f>ROUND(CB453*$O453/1000,2)</f>
        <v/>
      </c>
      <c r="CI453" s="362">
        <f>SUM(CE453:CH453)</f>
        <v/>
      </c>
      <c r="CK453" s="362">
        <f>IFERROR(ROUND(BY453*$P453,2),"")</f>
        <v/>
      </c>
      <c r="CL453" s="362">
        <f>IFERROR(ROUND(BZ453*$P453,2),"")</f>
        <v/>
      </c>
      <c r="CM453" s="362">
        <f>IFERROR(ROUND(CA453*$P453,2),"")</f>
        <v/>
      </c>
      <c r="CN453" s="362">
        <f>IFERROR(ROUND(CB453*$P453,2),"")</f>
        <v/>
      </c>
    </row>
    <row r="454">
      <c r="B454" s="352" t="inlineStr">
        <is>
          <t>印尼</t>
        </is>
      </c>
      <c r="C454" s="352">
        <f>IFERROR(MID(G454,FIND("-",G454)+1,2),"")</f>
        <v/>
      </c>
      <c r="D454" s="352">
        <f>"摩胎"&amp;C454&amp;"寸"</f>
        <v/>
      </c>
      <c r="E454" s="379" t="inlineStr">
        <is>
          <t>100/80-14-4PR-H577</t>
        </is>
      </c>
      <c r="F454" s="379" t="inlineStr">
        <is>
          <t>ID(A105006)100/80-14-4P[H-577]48P ARISUN 纳米高抓 TL</t>
        </is>
      </c>
      <c r="G454" s="379" t="inlineStr">
        <is>
          <t>ID(A105006)100/80-14-4P[H-577]48P ARISUN 纳米高抓 TL</t>
        </is>
      </c>
      <c r="H454" s="352" t="n">
        <v>12000</v>
      </c>
      <c r="I454" s="370" t="n"/>
      <c r="J454" s="352" t="n">
        <v>18.5</v>
      </c>
      <c r="K454" s="352" t="n"/>
      <c r="L454" s="430">
        <f>IF(J453="","",J453/(J453+$J$380/60))</f>
        <v/>
      </c>
      <c r="M454" s="430" t="n"/>
      <c r="N454" s="352" t="n"/>
      <c r="O454" s="352">
        <f>IFERROR(_xlfn.XLOOKUP(E454,轮胎重量!S:S,轮胎重量!P:P),IFERROR(_xlfn.XLOOKUP(E454,轮胎重量!AB:AB,轮胎重量!Y:Y),IFERROR(_xlfn.XLOOKUP(E454,轮胎重量!AK:AK,轮胎重量!AH:AH),IFERROR(_xlfn.XLOOKUP(E454,轮胎重量!AT:AT,轮胎重量!AQ:AQ),""))))</f>
        <v/>
      </c>
      <c r="P454" s="358">
        <f>O454*14.76</f>
        <v/>
      </c>
      <c r="Q454" s="352">
        <f>IFERROR(ROUND(1440/J454*I454*L455,0),"")</f>
        <v/>
      </c>
      <c r="R454" s="352" t="n">
        <v>220</v>
      </c>
      <c r="S454" s="352" t="n">
        <v>220</v>
      </c>
      <c r="T454" s="352" t="n">
        <v>220</v>
      </c>
      <c r="U454" s="352" t="n">
        <v>220</v>
      </c>
      <c r="V454" s="352" t="n">
        <v>220</v>
      </c>
      <c r="W454" s="352" t="n">
        <v>220</v>
      </c>
      <c r="X454" s="352" t="n">
        <v>220</v>
      </c>
      <c r="Y454" s="352" t="n">
        <v>220</v>
      </c>
      <c r="Z454" s="352" t="n">
        <v>220</v>
      </c>
      <c r="AA454" s="352" t="n">
        <v>220</v>
      </c>
      <c r="AB454" s="352" t="n">
        <v>220</v>
      </c>
      <c r="AC454" s="352" t="n">
        <v>220</v>
      </c>
      <c r="AD454" s="352" t="n">
        <v>220</v>
      </c>
      <c r="AE454" s="352" t="n">
        <v>220</v>
      </c>
      <c r="AF454" s="352" t="n">
        <v>220</v>
      </c>
      <c r="AG454" s="352" t="n">
        <v>220</v>
      </c>
      <c r="AH454" s="352" t="n">
        <v>220</v>
      </c>
      <c r="AI454" s="352" t="n">
        <v>220</v>
      </c>
      <c r="AJ454" s="352" t="n">
        <v>440</v>
      </c>
      <c r="AK454" s="352" t="n">
        <v>440</v>
      </c>
      <c r="AL454" s="352" t="n">
        <v>440</v>
      </c>
      <c r="AM454" s="352" t="n">
        <v>440</v>
      </c>
      <c r="AN454" s="352" t="n">
        <v>440</v>
      </c>
      <c r="AO454" s="352" t="n">
        <v>440</v>
      </c>
      <c r="AP454" s="352" t="n"/>
      <c r="AQ454" s="352" t="n"/>
      <c r="AR454" s="352" t="n"/>
      <c r="AS454" s="352" t="n"/>
      <c r="AT454" s="352" t="n"/>
      <c r="AU454" s="352" t="n"/>
      <c r="AV454" s="352" t="n"/>
      <c r="AW454" s="352">
        <f>IF(SUM(R454:AV454)=0,"",SUM(R454:AV454))</f>
        <v/>
      </c>
      <c r="AX454" s="431">
        <f>IFERROR(AW454*O454/1000,"")</f>
        <v/>
      </c>
      <c r="AY454" s="431">
        <f>IFERROR(ROUND(AW454*P454/10000,3),"")</f>
        <v/>
      </c>
      <c r="BE454" s="331">
        <f>AZ454*AW454</f>
        <v/>
      </c>
      <c r="BF454" s="331">
        <f>BA454*AW454</f>
        <v/>
      </c>
      <c r="BG454" s="331">
        <f>BB454*AW454</f>
        <v/>
      </c>
      <c r="BH454" s="331">
        <f>BC454*AW454</f>
        <v/>
      </c>
      <c r="BJ454" s="356">
        <f t="array" ref="BJ454:BM454">_xlfn.LET(_xlpm.data,$R454:$AV454,_xlpm.starts,{1,8,16,23},_xlpm.lengths,{7,7,8,9},_xlpm.arr,_xlfn.MAP(_xlpm.starts,_xlpm.lengths,_xlfn.LAMBDA(_xlpm.s,_xlpm.l,SUM(INDEX(_xlpm.data,,_xlfn.SEQUENCE(,_xlpm.l,_xlpm.s))))),ROUND(_xlpm.arr*$O454/1000,2))</f>
        <v/>
      </c>
      <c r="BK454" s="331" t="n">
        <v>4.77</v>
      </c>
      <c r="BL454" s="331" t="n">
        <v>8.869999999999999</v>
      </c>
      <c r="BM454" s="331" t="n">
        <v>2.73</v>
      </c>
      <c r="BN454" s="362">
        <f>SUM(BJ454:BM454)</f>
        <v/>
      </c>
      <c r="BO454" s="362" t="n">
        <v>0</v>
      </c>
      <c r="BP454" s="362" t="n">
        <v>0</v>
      </c>
      <c r="BQ454" s="362" t="n">
        <v>9.630000000000001</v>
      </c>
      <c r="BR454" s="362" t="n">
        <v>10.83</v>
      </c>
      <c r="BS454" s="367" t="inlineStr">
        <is>
          <t>摩胎</t>
        </is>
      </c>
      <c r="BX454" s="367" t="inlineStr">
        <is>
          <t>摩胎</t>
        </is>
      </c>
      <c r="BY454" s="362">
        <f>SUM(R454:X454)</f>
        <v/>
      </c>
      <c r="BZ454" s="362">
        <f>SUM(Y454:AE454)</f>
        <v/>
      </c>
      <c r="CA454" s="362">
        <f>SUM(AF454:AM454)</f>
        <v/>
      </c>
      <c r="CB454" s="362">
        <f>SUM(AN454:AV454)</f>
        <v/>
      </c>
      <c r="CD454" s="432" t="inlineStr">
        <is>
          <t>ADA</t>
        </is>
      </c>
      <c r="CE454" s="388">
        <f>ROUND(BY454*$O454/1000,2)</f>
        <v/>
      </c>
      <c r="CF454" s="380">
        <f>ROUND(BZ454*$O454/1000,2)</f>
        <v/>
      </c>
      <c r="CG454" s="380">
        <f>ROUND(CA454*$O454/1000,2)</f>
        <v/>
      </c>
      <c r="CH454" s="380">
        <f>ROUND(CB454*$O454/1000,2)</f>
        <v/>
      </c>
      <c r="CI454" s="362">
        <f>SUM(CE454:CH454)</f>
        <v/>
      </c>
      <c r="CK454" s="362">
        <f>IFERROR(ROUND(BY454*$P454,2),"")</f>
        <v/>
      </c>
      <c r="CL454" s="362">
        <f>IFERROR(ROUND(BZ454*$P454,2),"")</f>
        <v/>
      </c>
      <c r="CM454" s="362">
        <f>IFERROR(ROUND(CA454*$P454,2),"")</f>
        <v/>
      </c>
      <c r="CN454" s="362">
        <f>IFERROR(ROUND(CB454*$P454,2),"")</f>
        <v/>
      </c>
    </row>
    <row r="455">
      <c r="A455" s="441" t="n"/>
      <c r="B455" s="434" t="inlineStr">
        <is>
          <t>印尼</t>
        </is>
      </c>
      <c r="C455" s="434">
        <f>IFERROR(MID(G455,FIND("-",G455)+1,2),"")</f>
        <v/>
      </c>
      <c r="D455" s="434">
        <f>"摩胎"&amp;C455&amp;"寸"</f>
        <v/>
      </c>
      <c r="E455" s="436" t="inlineStr">
        <is>
          <t>100/90-12-4PR-H-565-2</t>
        </is>
      </c>
      <c r="F455" s="436" t="inlineStr">
        <is>
          <t>ID(A104001)100/90-12-4P[H-565-2]59P ARISUN 纳米高抓 TL</t>
        </is>
      </c>
      <c r="G455" s="436" t="inlineStr">
        <is>
          <t>ID(A104001)100/90-12-4P[H-565-2]59P ARISUN 纳米高抓 TL</t>
        </is>
      </c>
      <c r="H455" s="434" t="n">
        <v>6000</v>
      </c>
      <c r="I455" s="434" t="n"/>
      <c r="J455" s="434" t="n">
        <v>19.2</v>
      </c>
      <c r="K455" s="434" t="n"/>
      <c r="L455" s="438">
        <f>IF(J454="","",J454/(J454+$J$380/60))</f>
        <v/>
      </c>
      <c r="M455" s="438" t="n"/>
      <c r="N455" s="434" t="n"/>
      <c r="O455" s="434">
        <f>IFERROR(_xlfn.XLOOKUP(E455,轮胎重量!S:S,轮胎重量!P:P),IFERROR(_xlfn.XLOOKUP(E455,轮胎重量!AB:AB,轮胎重量!Y:Y),IFERROR(_xlfn.XLOOKUP(E455,轮胎重量!AK:AK,轮胎重量!AH:AH),IFERROR(_xlfn.XLOOKUP(E455,轮胎重量!AT:AT,轮胎重量!AQ:AQ),""))))</f>
        <v/>
      </c>
      <c r="P455" s="439">
        <f>O455*14.76</f>
        <v/>
      </c>
      <c r="Q455" s="434">
        <f>IFERROR(ROUND(1440/J455*I455*L456,0),"")</f>
        <v/>
      </c>
      <c r="R455" s="352" t="n">
        <v>220</v>
      </c>
      <c r="S455" s="352" t="n">
        <v>220</v>
      </c>
      <c r="T455" s="352" t="n">
        <v>220</v>
      </c>
      <c r="U455" s="352" t="n">
        <v>220</v>
      </c>
      <c r="V455" s="352" t="n">
        <v>220</v>
      </c>
      <c r="W455" s="352" t="n">
        <v>220</v>
      </c>
      <c r="X455" s="352" t="n">
        <v>220</v>
      </c>
      <c r="Y455" s="352" t="n">
        <v>220</v>
      </c>
      <c r="Z455" s="352" t="n">
        <v>220</v>
      </c>
      <c r="AA455" s="352" t="n">
        <v>220</v>
      </c>
      <c r="AB455" s="352" t="n">
        <v>220</v>
      </c>
      <c r="AC455" s="352" t="n">
        <v>220</v>
      </c>
      <c r="AD455" s="352" t="n">
        <v>220</v>
      </c>
      <c r="AE455" s="352" t="n">
        <v>220</v>
      </c>
      <c r="AF455" s="352" t="n">
        <v>220</v>
      </c>
      <c r="AG455" s="352" t="n">
        <v>220</v>
      </c>
      <c r="AH455" s="352" t="n">
        <v>220</v>
      </c>
      <c r="AI455" s="352" t="n">
        <v>220</v>
      </c>
      <c r="AJ455" s="352" t="n">
        <v>220</v>
      </c>
      <c r="AK455" s="352" t="n">
        <v>220</v>
      </c>
      <c r="AL455" s="352" t="n">
        <v>220</v>
      </c>
      <c r="AM455" s="352" t="n">
        <v>220</v>
      </c>
      <c r="AN455" s="352" t="n">
        <v>220</v>
      </c>
      <c r="AO455" s="352" t="n">
        <v>220</v>
      </c>
      <c r="AP455" s="352" t="n">
        <v>220</v>
      </c>
      <c r="AQ455" s="352" t="n">
        <v>220</v>
      </c>
      <c r="AR455" s="352" t="n">
        <v>220</v>
      </c>
      <c r="AS455" s="352" t="n">
        <v>220</v>
      </c>
      <c r="AT455" s="352" t="n">
        <v>220</v>
      </c>
      <c r="AU455" s="352" t="n">
        <v>220</v>
      </c>
      <c r="AV455" s="352" t="n">
        <v>220</v>
      </c>
      <c r="AW455" s="352">
        <f>IF(SUM(R455:AV455)=0,"",SUM(R455:AV455))</f>
        <v/>
      </c>
      <c r="AX455" s="431">
        <f>IFERROR(AW455*O455/1000,"")</f>
        <v/>
      </c>
      <c r="AY455" s="431">
        <f>IFERROR(ROUND(AW455*P455/10000,3),"")</f>
        <v/>
      </c>
      <c r="AZ455" s="331" t="n">
        <v>64.5386</v>
      </c>
      <c r="BA455" s="331" t="n">
        <v>4.3771</v>
      </c>
      <c r="BB455" s="331" t="n">
        <v>6.7122</v>
      </c>
      <c r="BC455" s="331" t="n">
        <v>4.9187</v>
      </c>
      <c r="BE455" s="331">
        <f>AZ455*AW455</f>
        <v/>
      </c>
      <c r="BF455" s="331">
        <f>BA455*AW455</f>
        <v/>
      </c>
      <c r="BG455" s="331">
        <f>BB455*AW455</f>
        <v/>
      </c>
      <c r="BH455" s="331">
        <f>BC455*AW455</f>
        <v/>
      </c>
      <c r="BJ455" s="356">
        <f t="array" ref="BJ455:BM455">_xlfn.LET(_xlpm.data,$R455:$AV455,_xlpm.starts,{1,8,16,23},_xlpm.lengths,{7,7,8,9},_xlpm.arr,_xlfn.MAP(_xlpm.starts,_xlpm.lengths,_xlfn.LAMBDA(_xlpm.s,_xlpm.l,SUM(INDEX(_xlpm.data,,_xlfn.SEQUENCE(,_xlpm.l,_xlpm.s))))),ROUND(_xlpm.arr*$O455/1000,2))</f>
        <v/>
      </c>
      <c r="BK455" s="331" t="n">
        <v>4.4</v>
      </c>
      <c r="BL455" s="331" t="n">
        <v>5.03</v>
      </c>
      <c r="BM455" s="331" t="n">
        <v>5.66</v>
      </c>
      <c r="BN455" s="362">
        <f>SUM(BJ455:BM455)</f>
        <v/>
      </c>
      <c r="BO455" s="362" t="n">
        <v>0</v>
      </c>
      <c r="BP455" s="362" t="n">
        <v>0</v>
      </c>
      <c r="BQ455" s="362" t="n">
        <v>40.26</v>
      </c>
      <c r="BR455" s="362" t="n">
        <v>45.29</v>
      </c>
      <c r="BS455" s="367" t="inlineStr">
        <is>
          <t>摩胎</t>
        </is>
      </c>
      <c r="BX455" s="367" t="inlineStr">
        <is>
          <t>摩胎</t>
        </is>
      </c>
      <c r="BY455" s="362">
        <f>SUM(R455:X455)</f>
        <v/>
      </c>
      <c r="BZ455" s="362">
        <f>SUM(Y455:AE455)</f>
        <v/>
      </c>
      <c r="CA455" s="362">
        <f>SUM(AF455:AM455)</f>
        <v/>
      </c>
      <c r="CB455" s="362">
        <f>SUM(AN455:AV455)</f>
        <v/>
      </c>
      <c r="CD455" s="440" t="inlineStr">
        <is>
          <t>TIDAK ADA</t>
        </is>
      </c>
      <c r="CE455" s="388">
        <f>ROUND(BY455*$O455/1000,2)</f>
        <v/>
      </c>
      <c r="CF455" s="380">
        <f>ROUND(BZ455*$O455/1000,2)</f>
        <v/>
      </c>
      <c r="CG455" s="380">
        <f>ROUND(CA455*$O455/1000,2)</f>
        <v/>
      </c>
      <c r="CH455" s="380">
        <f>ROUND(CB455*$O455/1000,2)</f>
        <v/>
      </c>
      <c r="CI455" s="362">
        <f>SUM(CE455:CH455)</f>
        <v/>
      </c>
      <c r="CK455" s="362">
        <f>IFERROR(ROUND(BY455*$P455,2),"")</f>
        <v/>
      </c>
      <c r="CL455" s="362">
        <f>IFERROR(ROUND(BZ455*$P455,2),"")</f>
        <v/>
      </c>
      <c r="CM455" s="362">
        <f>IFERROR(ROUND(CA455*$P455,2),"")</f>
        <v/>
      </c>
      <c r="CN455" s="362">
        <f>IFERROR(ROUND(CB455*$P455,2),"")</f>
        <v/>
      </c>
    </row>
    <row r="456">
      <c r="A456" s="441" t="n"/>
      <c r="B456" s="434" t="inlineStr">
        <is>
          <t>印尼</t>
        </is>
      </c>
      <c r="C456" s="434">
        <f>IFERROR(MID(G456,FIND("-",G456)+1,2),"")</f>
        <v/>
      </c>
      <c r="D456" s="434">
        <f>"摩胎"&amp;C456&amp;"寸"</f>
        <v/>
      </c>
      <c r="E456" s="436" t="inlineStr">
        <is>
          <t>110/70-12-6PR-H565-2</t>
        </is>
      </c>
      <c r="F456" s="436" t="inlineStr">
        <is>
          <t>ID(A104002)110/70-12-6P[H-565-2]52P ARISUN _x001c_纳米高抓 TL</t>
        </is>
      </c>
      <c r="G456" s="436" t="inlineStr">
        <is>
          <t>ID(A104002)110/70-12-6P[H-565-2]52P ARISUN _x001c_纳米高抓 TL</t>
        </is>
      </c>
      <c r="H456" s="434" t="n">
        <v>6000</v>
      </c>
      <c r="I456" s="434" t="n"/>
      <c r="J456" s="434" t="n">
        <v>19.2</v>
      </c>
      <c r="K456" s="434" t="n"/>
      <c r="L456" s="438">
        <f>IF(J455="","",J455/(J455+$J$380/60))</f>
        <v/>
      </c>
      <c r="M456" s="438" t="n"/>
      <c r="N456" s="434" t="n"/>
      <c r="O456" s="434">
        <f>IFERROR(_xlfn.XLOOKUP(E456,轮胎重量!S:S,轮胎重量!P:P),IFERROR(_xlfn.XLOOKUP(E456,轮胎重量!AB:AB,轮胎重量!Y:Y),IFERROR(_xlfn.XLOOKUP(E456,轮胎重量!AK:AK,轮胎重量!AH:AH),IFERROR(_xlfn.XLOOKUP(E456,轮胎重量!AT:AT,轮胎重量!AQ:AQ),""))))</f>
        <v/>
      </c>
      <c r="P456" s="439">
        <f>O456*14.76</f>
        <v/>
      </c>
      <c r="Q456" s="434">
        <f>IFERROR(ROUND(1440/J456*I456*L457,0),"")</f>
        <v/>
      </c>
      <c r="R456" s="352" t="n">
        <v>220</v>
      </c>
      <c r="S456" s="352" t="n">
        <v>220</v>
      </c>
      <c r="T456" s="352" t="n">
        <v>220</v>
      </c>
      <c r="U456" s="352" t="n">
        <v>220</v>
      </c>
      <c r="V456" s="352" t="n">
        <v>220</v>
      </c>
      <c r="W456" s="352" t="n">
        <v>220</v>
      </c>
      <c r="X456" s="352" t="n">
        <v>220</v>
      </c>
      <c r="Y456" s="352" t="n">
        <v>220</v>
      </c>
      <c r="Z456" s="352" t="n">
        <v>220</v>
      </c>
      <c r="AA456" s="352" t="n">
        <v>220</v>
      </c>
      <c r="AB456" s="352" t="n">
        <v>220</v>
      </c>
      <c r="AC456" s="352" t="n">
        <v>220</v>
      </c>
      <c r="AD456" s="352" t="n">
        <v>220</v>
      </c>
      <c r="AE456" s="352" t="n">
        <v>220</v>
      </c>
      <c r="AF456" s="352" t="n">
        <v>220</v>
      </c>
      <c r="AG456" s="352" t="n">
        <v>220</v>
      </c>
      <c r="AH456" s="352" t="n">
        <v>220</v>
      </c>
      <c r="AI456" s="352" t="n">
        <v>220</v>
      </c>
      <c r="AJ456" s="352" t="n">
        <v>220</v>
      </c>
      <c r="AK456" s="352" t="n">
        <v>220</v>
      </c>
      <c r="AL456" s="352" t="n">
        <v>220</v>
      </c>
      <c r="AM456" s="352" t="n">
        <v>220</v>
      </c>
      <c r="AN456" s="352" t="n">
        <v>220</v>
      </c>
      <c r="AO456" s="352" t="n">
        <v>220</v>
      </c>
      <c r="AP456" s="352" t="n">
        <v>220</v>
      </c>
      <c r="AQ456" s="352" t="n">
        <v>220</v>
      </c>
      <c r="AR456" s="352" t="n">
        <v>220</v>
      </c>
      <c r="AS456" s="352" t="n">
        <v>220</v>
      </c>
      <c r="AT456" s="352" t="n">
        <v>220</v>
      </c>
      <c r="AU456" s="352" t="n">
        <v>220</v>
      </c>
      <c r="AV456" s="352" t="n">
        <v>220</v>
      </c>
      <c r="AW456" s="352">
        <f>IF(SUM(R456:AV456)=0,"",SUM(R456:AV456))</f>
        <v/>
      </c>
      <c r="AX456" s="431">
        <f>IFERROR(AW456*O456/1000,"")</f>
        <v/>
      </c>
      <c r="AY456" s="431">
        <f>IFERROR(ROUND(AW456*P456/10000,3),"")</f>
        <v/>
      </c>
      <c r="AZ456" s="331" t="n"/>
      <c r="BA456" s="331" t="n"/>
      <c r="BB456" s="331" t="n"/>
      <c r="BE456" s="331">
        <f>AZ456*AW456</f>
        <v/>
      </c>
      <c r="BF456" s="331">
        <f>BA456*AW456</f>
        <v/>
      </c>
      <c r="BG456" s="331">
        <f>BB456*AW456</f>
        <v/>
      </c>
      <c r="BH456" s="331">
        <f>BC456*AW456</f>
        <v/>
      </c>
      <c r="BJ456" s="356">
        <f t="array" ref="BJ456:BM456">_xlfn.LET(_xlpm.data,$R456:$AV456,_xlpm.starts,{1,8,16,23},_xlpm.lengths,{7,7,8,9},_xlpm.arr,_xlfn.MAP(_xlpm.starts,_xlpm.lengths,_xlfn.LAMBDA(_xlpm.s,_xlpm.l,SUM(INDEX(_xlpm.data,,_xlfn.SEQUENCE(,_xlpm.l,_xlpm.s))))),ROUND(_xlpm.arr*$O456/1000,2))</f>
        <v/>
      </c>
      <c r="BK456" s="331" t="n">
        <v>4.33</v>
      </c>
      <c r="BL456" s="331" t="n">
        <v>4.95</v>
      </c>
      <c r="BM456" s="331" t="n">
        <v>5.56</v>
      </c>
      <c r="BN456" s="362">
        <f>SUM(BJ456:BM456)</f>
        <v/>
      </c>
      <c r="BO456" s="362" t="n">
        <v>18.56</v>
      </c>
      <c r="BP456" s="362" t="n">
        <v>18.56</v>
      </c>
      <c r="BQ456" s="362" t="n">
        <v>21.21</v>
      </c>
      <c r="BR456" s="362" t="n">
        <v>23.86</v>
      </c>
      <c r="BS456" s="367" t="inlineStr">
        <is>
          <t>摩胎</t>
        </is>
      </c>
      <c r="BX456" s="367" t="inlineStr">
        <is>
          <t>摩胎</t>
        </is>
      </c>
      <c r="BY456" s="362">
        <f>SUM(R456:X456)</f>
        <v/>
      </c>
      <c r="BZ456" s="362">
        <f>SUM(Y456:AE456)</f>
        <v/>
      </c>
      <c r="CA456" s="362">
        <f>SUM(AF456:AM456)</f>
        <v/>
      </c>
      <c r="CB456" s="362">
        <f>SUM(AN456:AV456)</f>
        <v/>
      </c>
      <c r="CD456" s="440" t="inlineStr">
        <is>
          <t>TIDAK ADA</t>
        </is>
      </c>
      <c r="CE456" s="388">
        <f>ROUND(BY456*$O456/1000,2)</f>
        <v/>
      </c>
      <c r="CF456" s="380">
        <f>ROUND(BZ456*$O456/1000,2)</f>
        <v/>
      </c>
      <c r="CG456" s="380">
        <f>ROUND(CA456*$O456/1000,2)</f>
        <v/>
      </c>
      <c r="CH456" s="380">
        <f>ROUND(CB456*$O456/1000,2)</f>
        <v/>
      </c>
      <c r="CI456" s="362">
        <f>SUM(CE456:CH456)</f>
        <v/>
      </c>
      <c r="CK456" s="362">
        <f>IFERROR(ROUND(BY456*$P456,2),"")</f>
        <v/>
      </c>
      <c r="CL456" s="362">
        <f>IFERROR(ROUND(BZ456*$P456,2),"")</f>
        <v/>
      </c>
      <c r="CM456" s="362">
        <f>IFERROR(ROUND(CA456*$P456,2),"")</f>
        <v/>
      </c>
      <c r="CN456" s="362">
        <f>IFERROR(ROUND(CB456*$P456,2),"")</f>
        <v/>
      </c>
    </row>
    <row r="457">
      <c r="A457" s="441" t="n"/>
      <c r="B457" s="434" t="inlineStr">
        <is>
          <t>印尼</t>
        </is>
      </c>
      <c r="C457" s="434">
        <f>IFERROR(MID(G457,FIND("-",G457)+1,2),"")</f>
        <v/>
      </c>
      <c r="D457" s="434">
        <f>"摩胎"&amp;C457&amp;"寸"</f>
        <v/>
      </c>
      <c r="E457" s="436" t="inlineStr">
        <is>
          <t>80/80-14-/-H597</t>
        </is>
      </c>
      <c r="F457" s="436" t="inlineStr">
        <is>
          <t>80/80-14-H597ARISUN _x001c_纳米高抓 TL</t>
        </is>
      </c>
      <c r="G457" s="436" t="inlineStr">
        <is>
          <t>80/80-14-H597ARISUN _x001c_纳米高抓 TL</t>
        </is>
      </c>
      <c r="H457" s="434" t="n">
        <v>3000</v>
      </c>
      <c r="I457" s="434" t="n"/>
      <c r="J457" s="434" t="n">
        <v>19.2</v>
      </c>
      <c r="K457" s="434" t="n"/>
      <c r="L457" s="438">
        <f>IF(J456="","",J456/(J456+$J$380/60))</f>
        <v/>
      </c>
      <c r="M457" s="438" t="n"/>
      <c r="N457" s="434" t="n"/>
      <c r="O457" s="434">
        <f>IFERROR(_xlfn.XLOOKUP(E457,轮胎重量!S:S,轮胎重量!P:P),IFERROR(_xlfn.XLOOKUP(E457,轮胎重量!AB:AB,轮胎重量!Y:Y),IFERROR(_xlfn.XLOOKUP(E457,轮胎重量!AK:AK,轮胎重量!AH:AH),IFERROR(_xlfn.XLOOKUP(E457,轮胎重量!AT:AT,轮胎重量!AQ:AQ),""))))</f>
        <v/>
      </c>
      <c r="P457" s="439">
        <f>O457*14.76</f>
        <v/>
      </c>
      <c r="Q457" s="434">
        <f>IFERROR(ROUND(1440/J457*I457*L458,0),"")</f>
        <v/>
      </c>
      <c r="R457" s="352" t="n"/>
      <c r="S457" s="352" t="n"/>
      <c r="T457" s="352" t="n"/>
      <c r="U457" s="352" t="n"/>
      <c r="V457" s="352" t="n"/>
      <c r="W457" s="352" t="n"/>
      <c r="X457" s="352" t="n"/>
      <c r="Y457" s="352" t="n"/>
      <c r="Z457" s="352" t="n"/>
      <c r="AA457" s="352" t="n"/>
      <c r="AB457" s="352" t="n"/>
      <c r="AC457" s="352" t="n"/>
      <c r="AD457" s="352" t="n"/>
      <c r="AE457" s="352" t="n">
        <v>220</v>
      </c>
      <c r="AF457" s="352" t="n">
        <v>220</v>
      </c>
      <c r="AG457" s="352" t="n">
        <v>220</v>
      </c>
      <c r="AH457" s="352" t="n">
        <v>220</v>
      </c>
      <c r="AI457" s="352" t="n">
        <v>220</v>
      </c>
      <c r="AJ457" s="352" t="n">
        <v>220</v>
      </c>
      <c r="AK457" s="352" t="n">
        <v>220</v>
      </c>
      <c r="AL457" s="352" t="n">
        <v>220</v>
      </c>
      <c r="AM457" s="352" t="n">
        <v>220</v>
      </c>
      <c r="AN457" s="352" t="n">
        <v>220</v>
      </c>
      <c r="AO457" s="352" t="n">
        <v>220</v>
      </c>
      <c r="AP457" s="352" t="n"/>
      <c r="AQ457" s="352" t="n"/>
      <c r="AR457" s="352" t="n"/>
      <c r="AS457" s="352" t="n"/>
      <c r="AT457" s="352" t="n"/>
      <c r="AU457" s="352" t="n"/>
      <c r="AV457" s="352" t="n"/>
      <c r="AW457" s="352">
        <f>IF(SUM(R457:AV457)=0,"",SUM(R457:AV457))</f>
        <v/>
      </c>
      <c r="AX457" s="431">
        <f>IFERROR(AW457*O457/1000,"")</f>
        <v/>
      </c>
      <c r="AY457" s="431">
        <f>IFERROR(ROUND(AW457*P457/10000,3),"")</f>
        <v/>
      </c>
      <c r="AZ457" s="331" t="n"/>
      <c r="BA457" s="331" t="n"/>
      <c r="BB457" s="331" t="n"/>
      <c r="BE457" s="331">
        <f>AZ457*AW457</f>
        <v/>
      </c>
      <c r="BF457" s="331">
        <f>BA457*AW457</f>
        <v/>
      </c>
      <c r="BG457" s="331">
        <f>BB457*AW457</f>
        <v/>
      </c>
      <c r="BH457" s="331">
        <f>BC457*AW457</f>
        <v/>
      </c>
      <c r="BJ457" s="356">
        <f t="array" ref="BJ457:BM457">_xlfn.LET(_xlpm.data,$R457:$AV457,_xlpm.starts,{1,8,16,23},_xlpm.lengths,{7,7,8,9},_xlpm.arr,_xlfn.MAP(_xlpm.starts,_xlpm.lengths,_xlfn.LAMBDA(_xlpm.s,_xlpm.l,SUM(INDEX(_xlpm.data,,_xlfn.SEQUENCE(,_xlpm.l,_xlpm.s))))),ROUND(_xlpm.arr*$O457/1000,2))</f>
        <v/>
      </c>
      <c r="BK457" s="331" t="n">
        <v>0.49</v>
      </c>
      <c r="BL457" s="331" t="n">
        <v>3.89</v>
      </c>
      <c r="BM457" s="331" t="n">
        <v>0.97</v>
      </c>
      <c r="BN457" s="362">
        <f>SUM(BJ457:BM457)</f>
        <v/>
      </c>
      <c r="BO457" s="362" t="n">
        <v>18.56</v>
      </c>
      <c r="BP457" s="362" t="n">
        <v>18.56</v>
      </c>
      <c r="BQ457" s="362" t="n">
        <v>21.21</v>
      </c>
      <c r="BR457" s="362" t="n">
        <v>23.86</v>
      </c>
      <c r="BS457" s="367" t="inlineStr">
        <is>
          <t>摩胎</t>
        </is>
      </c>
      <c r="BX457" s="367" t="inlineStr">
        <is>
          <t>摩胎</t>
        </is>
      </c>
      <c r="BY457" s="362">
        <f>SUM(R457:X457)</f>
        <v/>
      </c>
      <c r="BZ457" s="362">
        <f>SUM(Y457:AE457)</f>
        <v/>
      </c>
      <c r="CA457" s="362">
        <f>SUM(AF457:AM457)</f>
        <v/>
      </c>
      <c r="CB457" s="362">
        <f>SUM(AN457:AV457)</f>
        <v/>
      </c>
      <c r="CD457" s="440" t="inlineStr">
        <is>
          <t>TIDAK ADA</t>
        </is>
      </c>
      <c r="CE457" s="388">
        <f>ROUND(BY457*$O457/1000,2)</f>
        <v/>
      </c>
      <c r="CF457" s="380">
        <f>ROUND(BZ457*$O457/1000,2)</f>
        <v/>
      </c>
      <c r="CG457" s="380">
        <f>ROUND(CA457*$O457/1000,2)</f>
        <v/>
      </c>
      <c r="CH457" s="380">
        <f>ROUND(CB457*$O457/1000,2)</f>
        <v/>
      </c>
      <c r="CI457" s="362">
        <f>SUM(CE457:CH457)</f>
        <v/>
      </c>
      <c r="CK457" s="362">
        <f>IFERROR(ROUND(BY457*$P457,2),"")</f>
        <v/>
      </c>
      <c r="CL457" s="362">
        <f>IFERROR(ROUND(BZ457*$P457,2),"")</f>
        <v/>
      </c>
      <c r="CM457" s="362">
        <f>IFERROR(ROUND(CA457*$P457,2),"")</f>
        <v/>
      </c>
      <c r="CN457" s="362">
        <f>IFERROR(ROUND(CB457*$P457,2),"")</f>
        <v/>
      </c>
    </row>
    <row r="458" s="428">
      <c r="A458" s="433" t="n"/>
      <c r="B458" s="434" t="inlineStr">
        <is>
          <t>印尼</t>
        </is>
      </c>
      <c r="C458" s="434">
        <f>IFERROR(MID(G458,FIND("-",G458)+1,2),"")</f>
        <v/>
      </c>
      <c r="D458" s="434">
        <f>"摩胎"&amp;C458&amp;"寸"</f>
        <v/>
      </c>
      <c r="E458" s="436" t="inlineStr">
        <is>
          <t>80/90-14-6PR-H597</t>
        </is>
      </c>
      <c r="F458" s="436" t="inlineStr">
        <is>
          <t>80/90-14-H597ARISUN _x001c_纳米高抓 TL</t>
        </is>
      </c>
      <c r="G458" s="436" t="inlineStr">
        <is>
          <t>80/90-14-H597ARISUN _x001c_纳米高抓 TL</t>
        </is>
      </c>
      <c r="H458" s="434" t="n">
        <v>1500</v>
      </c>
      <c r="I458" s="434" t="n"/>
      <c r="J458" s="434" t="n">
        <v>19.2</v>
      </c>
      <c r="K458" s="434" t="n"/>
      <c r="L458" s="438">
        <f>IF(J457="","",J457/(J457+$J$380/60))</f>
        <v/>
      </c>
      <c r="M458" s="438" t="n"/>
      <c r="N458" s="434" t="n"/>
      <c r="O458" s="434">
        <f>IFERROR(_xlfn.XLOOKUP(E458,轮胎重量!S:S,轮胎重量!P:P),IFERROR(_xlfn.XLOOKUP(E458,轮胎重量!AB:AB,轮胎重量!Y:Y),IFERROR(_xlfn.XLOOKUP(E458,轮胎重量!AK:AK,轮胎重量!AH:AH),IFERROR(_xlfn.XLOOKUP(E458,轮胎重量!AT:AT,轮胎重量!AQ:AQ),""))))</f>
        <v/>
      </c>
      <c r="P458" s="439">
        <f>O458*14.76</f>
        <v/>
      </c>
      <c r="Q458" s="434">
        <f>IFERROR(ROUND(1440/J458*I458*L459,0),"")</f>
        <v/>
      </c>
      <c r="R458" s="352" t="n"/>
      <c r="S458" s="352" t="n"/>
      <c r="T458" s="352" t="n"/>
      <c r="U458" s="352" t="n"/>
      <c r="V458" s="352" t="n"/>
      <c r="W458" s="352" t="n"/>
      <c r="X458" s="352" t="n"/>
      <c r="Y458" s="352" t="n"/>
      <c r="Z458" s="352" t="n"/>
      <c r="AA458" s="352" t="n"/>
      <c r="AB458" s="352" t="n">
        <v>220</v>
      </c>
      <c r="AC458" s="352" t="n">
        <v>220</v>
      </c>
      <c r="AD458" s="352" t="n">
        <v>220</v>
      </c>
      <c r="AE458" s="352" t="n">
        <v>220</v>
      </c>
      <c r="AF458" s="352" t="n">
        <v>220</v>
      </c>
      <c r="AG458" s="352" t="n">
        <v>220</v>
      </c>
      <c r="AH458" s="352" t="n">
        <v>220</v>
      </c>
      <c r="AI458" s="352" t="n">
        <v>220</v>
      </c>
      <c r="AJ458" s="352" t="n">
        <v>220</v>
      </c>
      <c r="AK458" s="352" t="n">
        <v>220</v>
      </c>
      <c r="AL458" s="352" t="n">
        <v>220</v>
      </c>
      <c r="AM458" s="352" t="n">
        <v>220</v>
      </c>
      <c r="AN458" s="352" t="n">
        <v>220</v>
      </c>
      <c r="AO458" s="352" t="n">
        <v>220</v>
      </c>
      <c r="AP458" s="352" t="n">
        <v>220</v>
      </c>
      <c r="AQ458" s="352" t="n">
        <v>220</v>
      </c>
      <c r="AR458" s="352" t="n">
        <v>220</v>
      </c>
      <c r="AS458" s="352" t="n">
        <v>220</v>
      </c>
      <c r="AT458" s="352" t="n">
        <v>220</v>
      </c>
      <c r="AU458" s="352" t="n">
        <v>220</v>
      </c>
      <c r="AV458" s="352" t="n">
        <v>220</v>
      </c>
      <c r="AW458" s="352">
        <f>IF(SUM(R458:AV458)=0,"",SUM(R458:AV458))</f>
        <v/>
      </c>
      <c r="AX458" s="431">
        <f>IFERROR(AW458*O458/1000,"")</f>
        <v/>
      </c>
      <c r="AY458" s="431">
        <f>IFERROR(ROUND(AW458*P458/10000,3),"")</f>
        <v/>
      </c>
      <c r="AZ458" s="331" t="n"/>
      <c r="BA458" s="331" t="n"/>
      <c r="BB458" s="331" t="n"/>
      <c r="BC458" s="331" t="n"/>
      <c r="BD458" s="331" t="n"/>
      <c r="BE458" s="331">
        <f>AZ458*AW458</f>
        <v/>
      </c>
      <c r="BF458" s="331">
        <f>BA458*AW458</f>
        <v/>
      </c>
      <c r="BG458" s="331">
        <f>BB458*AW458</f>
        <v/>
      </c>
      <c r="BH458" s="331">
        <f>BC458*AW458</f>
        <v/>
      </c>
      <c r="BI458" s="331" t="n"/>
      <c r="BJ458" s="356">
        <f t="array" ref="BJ458:BM458">_xlfn.LET(_xlpm.data,$R458:$AV458,_xlpm.starts,{1,8,16,23},_xlpm.lengths,{7,7,8,9},_xlpm.arr,_xlfn.MAP(_xlpm.starts,_xlpm.lengths,_xlfn.LAMBDA(_xlpm.s,_xlpm.l,SUM(INDEX(_xlpm.data,,_xlfn.SEQUENCE(,_xlpm.l,_xlpm.s))))),ROUND(_xlpm.arr*$O458/1000,2))</f>
        <v/>
      </c>
      <c r="BK458" s="331" t="n">
        <v>2.11</v>
      </c>
      <c r="BL458" s="331" t="n">
        <v>4.22</v>
      </c>
      <c r="BM458" s="331" t="n">
        <v>4.74</v>
      </c>
      <c r="BN458" s="362">
        <f>SUM(BJ458:BM458)</f>
        <v/>
      </c>
      <c r="BO458" s="362" t="n">
        <v>18.56</v>
      </c>
      <c r="BP458" s="362" t="n">
        <v>18.56</v>
      </c>
      <c r="BQ458" s="362" t="n">
        <v>21.21</v>
      </c>
      <c r="BR458" s="362" t="n">
        <v>23.86</v>
      </c>
      <c r="BS458" s="367" t="inlineStr">
        <is>
          <t>摩胎</t>
        </is>
      </c>
      <c r="BT458" s="362" t="n"/>
      <c r="BU458" s="362" t="n"/>
      <c r="BV458" s="362" t="n"/>
      <c r="BW458" s="362" t="n"/>
      <c r="BX458" s="367" t="inlineStr">
        <is>
          <t>摩胎</t>
        </is>
      </c>
      <c r="BY458" s="362">
        <f>SUM(R458:X458)</f>
        <v/>
      </c>
      <c r="BZ458" s="362">
        <f>SUM(Y458:AE458)</f>
        <v/>
      </c>
      <c r="CA458" s="362">
        <f>SUM(AF458:AM458)</f>
        <v/>
      </c>
      <c r="CB458" s="362">
        <f>SUM(AN458:AV458)</f>
        <v/>
      </c>
      <c r="CD458" s="440" t="inlineStr">
        <is>
          <t>TIDAK ADA</t>
        </is>
      </c>
      <c r="CE458" s="388">
        <f>ROUND(BY458*$O458/1000,2)</f>
        <v/>
      </c>
      <c r="CF458" s="380">
        <f>ROUND(BZ458*$O458/1000,2)</f>
        <v/>
      </c>
      <c r="CG458" s="380">
        <f>ROUND(CA458*$O458/1000,2)</f>
        <v/>
      </c>
      <c r="CH458" s="380">
        <f>ROUND(CB458*$O458/1000,2)</f>
        <v/>
      </c>
      <c r="CI458" s="362">
        <f>SUM(CE458:CH458)</f>
        <v/>
      </c>
      <c r="CJ458" s="390" t="n"/>
      <c r="CK458" s="362">
        <f>IFERROR(ROUND(BY458*$P458,2),"")</f>
        <v/>
      </c>
      <c r="CL458" s="362">
        <f>IFERROR(ROUND(BZ458*$P458,2),"")</f>
        <v/>
      </c>
      <c r="CM458" s="362">
        <f>IFERROR(ROUND(CA458*$P458,2),"")</f>
        <v/>
      </c>
      <c r="CN458" s="362">
        <f>IFERROR(ROUND(CB458*$P458,2),"")</f>
        <v/>
      </c>
      <c r="CO458" s="362">
        <f>SUM(CK458:CN458)</f>
        <v/>
      </c>
    </row>
    <row r="459" s="428">
      <c r="A459" s="433" t="n"/>
      <c r="B459" s="434" t="inlineStr">
        <is>
          <t>印尼</t>
        </is>
      </c>
      <c r="C459" s="434">
        <f>IFERROR(MID(G459,FIND("-",G459)+1,2),"")</f>
        <v/>
      </c>
      <c r="D459" s="434">
        <f>"摩胎"&amp;C459&amp;"寸"</f>
        <v/>
      </c>
      <c r="E459" s="436" t="inlineStr">
        <is>
          <t>90/80-14-6PR-H597</t>
        </is>
      </c>
      <c r="F459" s="436" t="inlineStr">
        <is>
          <t>90/80-14-H597ARISUN _x001c_纳米高抓 TL</t>
        </is>
      </c>
      <c r="G459" s="436" t="inlineStr">
        <is>
          <t>90/80-14-H597ARISUN _x001c_纳米高抓 TL</t>
        </is>
      </c>
      <c r="H459" s="434" t="n">
        <v>1000</v>
      </c>
      <c r="I459" s="434" t="n"/>
      <c r="J459" s="434" t="n">
        <v>19.2</v>
      </c>
      <c r="K459" s="434" t="n"/>
      <c r="L459" s="438">
        <f>IF(J458="","",J458/(J458+$J$380/60))</f>
        <v/>
      </c>
      <c r="M459" s="438" t="n"/>
      <c r="N459" s="434" t="n"/>
      <c r="O459" s="434">
        <f>IFERROR(_xlfn.XLOOKUP(E459,轮胎重量!S:S,轮胎重量!P:P),IFERROR(_xlfn.XLOOKUP(E459,轮胎重量!AB:AB,轮胎重量!Y:Y),IFERROR(_xlfn.XLOOKUP(E459,轮胎重量!AK:AK,轮胎重量!AH:AH),IFERROR(_xlfn.XLOOKUP(E459,轮胎重量!AT:AT,轮胎重量!AQ:AQ),""))))</f>
        <v/>
      </c>
      <c r="P459" s="439">
        <f>O459*14.76</f>
        <v/>
      </c>
      <c r="Q459" s="434">
        <f>IFERROR(ROUND(1440/J459*I459*L460,0),"")</f>
        <v/>
      </c>
      <c r="R459" s="352" t="n"/>
      <c r="S459" s="352" t="n"/>
      <c r="T459" s="352" t="n"/>
      <c r="U459" s="352" t="n"/>
      <c r="V459" s="352" t="n"/>
      <c r="W459" s="352" t="n"/>
      <c r="X459" s="352" t="n"/>
      <c r="Y459" s="352" t="n"/>
      <c r="Z459" s="352" t="n"/>
      <c r="AA459" s="352" t="n"/>
      <c r="AB459" s="352" t="n">
        <v>220</v>
      </c>
      <c r="AC459" s="352" t="n">
        <v>220</v>
      </c>
      <c r="AD459" s="352" t="n">
        <v>220</v>
      </c>
      <c r="AE459" s="352" t="n">
        <v>220</v>
      </c>
      <c r="AF459" s="352" t="n">
        <v>220</v>
      </c>
      <c r="AG459" s="352" t="n">
        <v>220</v>
      </c>
      <c r="AH459" s="352" t="n">
        <v>220</v>
      </c>
      <c r="AI459" s="352" t="n">
        <v>220</v>
      </c>
      <c r="AJ459" s="352" t="n">
        <v>220</v>
      </c>
      <c r="AK459" s="352" t="n">
        <v>220</v>
      </c>
      <c r="AL459" s="352" t="n">
        <v>220</v>
      </c>
      <c r="AM459" s="352" t="n">
        <v>220</v>
      </c>
      <c r="AN459" s="352" t="n">
        <v>220</v>
      </c>
      <c r="AO459" s="352" t="n">
        <v>220</v>
      </c>
      <c r="AP459" s="352" t="n">
        <v>220</v>
      </c>
      <c r="AQ459" s="352" t="n">
        <v>220</v>
      </c>
      <c r="AR459" s="352" t="n">
        <v>220</v>
      </c>
      <c r="AS459" s="352" t="n">
        <v>220</v>
      </c>
      <c r="AT459" s="352" t="n">
        <v>220</v>
      </c>
      <c r="AU459" s="352" t="n">
        <v>220</v>
      </c>
      <c r="AV459" s="352" t="n">
        <v>220</v>
      </c>
      <c r="AW459" s="352">
        <f>IF(SUM(R459:AV459)=0,"",SUM(R459:AV459))</f>
        <v/>
      </c>
      <c r="AX459" s="431">
        <f>IFERROR(AW459*O459/1000,"")</f>
        <v/>
      </c>
      <c r="AY459" s="431">
        <f>IFERROR(ROUND(AW459*P459/10000,3),"")</f>
        <v/>
      </c>
      <c r="AZ459" s="331" t="n"/>
      <c r="BA459" s="331" t="n"/>
      <c r="BB459" s="331" t="n"/>
      <c r="BC459" s="331" t="n"/>
      <c r="BD459" s="331" t="n"/>
      <c r="BE459" s="331">
        <f>AZ459*AW459</f>
        <v/>
      </c>
      <c r="BF459" s="331">
        <f>BA459*AW459</f>
        <v/>
      </c>
      <c r="BG459" s="331">
        <f>BB459*AW459</f>
        <v/>
      </c>
      <c r="BH459" s="331">
        <f>BC459*AW459</f>
        <v/>
      </c>
      <c r="BI459" s="331" t="n"/>
      <c r="BJ459" s="356">
        <f t="array" ref="BJ459:BM459">_xlfn.LET(_xlpm.data,$R459:$AV459,_xlpm.starts,{1,8,16,23},_xlpm.lengths,{7,7,8,9},_xlpm.arr,_xlfn.MAP(_xlpm.starts,_xlpm.lengths,_xlfn.LAMBDA(_xlpm.s,_xlpm.l,SUM(INDEX(_xlpm.data,,_xlfn.SEQUENCE(,_xlpm.l,_xlpm.s))))),ROUND(_xlpm.arr*$O459/1000,2))</f>
        <v/>
      </c>
      <c r="BK459" s="331" t="n">
        <v>2.32</v>
      </c>
      <c r="BL459" s="331" t="n">
        <v>4.64</v>
      </c>
      <c r="BM459" s="331" t="n">
        <v>5.22</v>
      </c>
      <c r="BN459" s="362">
        <f>SUM(BJ459:BM459)</f>
        <v/>
      </c>
      <c r="BO459" s="362" t="n">
        <v>18.56</v>
      </c>
      <c r="BP459" s="362" t="n">
        <v>18.56</v>
      </c>
      <c r="BQ459" s="362" t="n">
        <v>21.21</v>
      </c>
      <c r="BR459" s="362" t="n">
        <v>23.86</v>
      </c>
      <c r="BS459" s="367" t="inlineStr">
        <is>
          <t>摩胎</t>
        </is>
      </c>
      <c r="BT459" s="362" t="n"/>
      <c r="BU459" s="362" t="n"/>
      <c r="BV459" s="362" t="n"/>
      <c r="BW459" s="362" t="n"/>
      <c r="BX459" s="367" t="inlineStr">
        <is>
          <t>摩胎</t>
        </is>
      </c>
      <c r="BY459" s="362">
        <f>SUM(R459:X459)</f>
        <v/>
      </c>
      <c r="BZ459" s="362">
        <f>SUM(Y459:AE459)</f>
        <v/>
      </c>
      <c r="CA459" s="362">
        <f>SUM(AF459:AM459)</f>
        <v/>
      </c>
      <c r="CB459" s="362">
        <f>SUM(AN459:AV459)</f>
        <v/>
      </c>
      <c r="CD459" s="440" t="inlineStr">
        <is>
          <t>TIDAK ADA</t>
        </is>
      </c>
      <c r="CE459" s="388">
        <f>ROUND(BY459*$O459/1000,2)</f>
        <v/>
      </c>
      <c r="CF459" s="380">
        <f>ROUND(BZ459*$O459/1000,2)</f>
        <v/>
      </c>
      <c r="CG459" s="380">
        <f>ROUND(CA459*$O459/1000,2)</f>
        <v/>
      </c>
      <c r="CH459" s="380">
        <f>ROUND(CB459*$O459/1000,2)</f>
        <v/>
      </c>
      <c r="CI459" s="362">
        <f>SUM(CE459:CH459)</f>
        <v/>
      </c>
      <c r="CJ459" s="390" t="n"/>
      <c r="CK459" s="362">
        <f>IFERROR(ROUND(BY459*$P459,2),"")</f>
        <v/>
      </c>
      <c r="CL459" s="362">
        <f>IFERROR(ROUND(BZ459*$P459,2),"")</f>
        <v/>
      </c>
      <c r="CM459" s="362">
        <f>IFERROR(ROUND(CA459*$P459,2),"")</f>
        <v/>
      </c>
      <c r="CN459" s="362">
        <f>IFERROR(ROUND(CB459*$P459,2),"")</f>
        <v/>
      </c>
    </row>
    <row r="460" s="428">
      <c r="A460" s="433" t="n"/>
      <c r="B460" s="434" t="inlineStr">
        <is>
          <t>印尼</t>
        </is>
      </c>
      <c r="C460" s="434">
        <f>IFERROR(MID(G460,FIND("-",G460)+1,2),"")</f>
        <v/>
      </c>
      <c r="D460" s="434">
        <f>"摩胎"&amp;C460&amp;"寸"</f>
        <v/>
      </c>
      <c r="E460" s="436" t="inlineStr">
        <is>
          <t>90/90-14-4PR-H597</t>
        </is>
      </c>
      <c r="F460" s="436" t="inlineStr">
        <is>
          <t>90/90-14-H597ARISUN _x001c_纳米高抓 TL</t>
        </is>
      </c>
      <c r="G460" s="436" t="inlineStr">
        <is>
          <t>90/90-14-H597ARISUN _x001c_纳米高抓 TL</t>
        </is>
      </c>
      <c r="H460" s="434" t="n">
        <v>1500</v>
      </c>
      <c r="I460" s="434" t="n"/>
      <c r="J460" s="434" t="n">
        <v>19.2</v>
      </c>
      <c r="K460" s="434" t="n"/>
      <c r="L460" s="438">
        <f>IF(J459="","",J459/(J459+$J$380/60))</f>
        <v/>
      </c>
      <c r="M460" s="438" t="n"/>
      <c r="N460" s="434" t="n"/>
      <c r="O460" s="434">
        <f>IFERROR(_xlfn.XLOOKUP(E460,轮胎重量!S:S,轮胎重量!P:P),IFERROR(_xlfn.XLOOKUP(E460,轮胎重量!AB:AB,轮胎重量!Y:Y),IFERROR(_xlfn.XLOOKUP(E460,轮胎重量!AK:AK,轮胎重量!AH:AH),IFERROR(_xlfn.XLOOKUP(E460,轮胎重量!AT:AT,轮胎重量!AQ:AQ),""))))</f>
        <v/>
      </c>
      <c r="P460" s="439">
        <f>O460*14.76</f>
        <v/>
      </c>
      <c r="Q460" s="434">
        <f>IFERROR(ROUND(1440/J460*I460*L461,0),"")</f>
        <v/>
      </c>
      <c r="R460" s="352" t="n"/>
      <c r="S460" s="352" t="n"/>
      <c r="T460" s="352" t="n"/>
      <c r="U460" s="352" t="n"/>
      <c r="V460" s="352" t="n"/>
      <c r="W460" s="352" t="n"/>
      <c r="X460" s="352" t="n"/>
      <c r="Y460" s="352" t="n"/>
      <c r="Z460" s="352" t="n"/>
      <c r="AA460" s="352" t="n"/>
      <c r="AB460" s="352" t="n"/>
      <c r="AC460" s="352" t="n"/>
      <c r="AD460" s="352" t="n"/>
      <c r="AE460" s="352" t="n"/>
      <c r="AF460" s="352" t="n"/>
      <c r="AG460" s="352" t="n"/>
      <c r="AH460" s="352" t="n"/>
      <c r="AI460" s="352" t="n"/>
      <c r="AJ460" s="352" t="n">
        <v>220</v>
      </c>
      <c r="AK460" s="352" t="n">
        <v>220</v>
      </c>
      <c r="AL460" s="352" t="n">
        <v>220</v>
      </c>
      <c r="AM460" s="352" t="n">
        <v>220</v>
      </c>
      <c r="AN460" s="352" t="n">
        <v>220</v>
      </c>
      <c r="AO460" s="352" t="n">
        <v>220</v>
      </c>
      <c r="AP460" s="352" t="n">
        <v>220</v>
      </c>
      <c r="AQ460" s="352" t="n">
        <v>220</v>
      </c>
      <c r="AR460" s="352" t="n">
        <v>220</v>
      </c>
      <c r="AS460" s="352" t="n">
        <v>220</v>
      </c>
      <c r="AT460" s="352" t="n">
        <v>220</v>
      </c>
      <c r="AU460" s="352" t="n">
        <v>220</v>
      </c>
      <c r="AV460" s="352" t="n">
        <v>220</v>
      </c>
      <c r="AW460" s="352">
        <f>IF(SUM(R460:AV460)=0,"",SUM(R460:AV460))</f>
        <v/>
      </c>
      <c r="AX460" s="431">
        <f>IFERROR(AW460*O460/1000,"")</f>
        <v/>
      </c>
      <c r="AY460" s="431">
        <f>IFERROR(ROUND(AW460*P460/10000,3),"")</f>
        <v/>
      </c>
      <c r="AZ460" s="331" t="n"/>
      <c r="BA460" s="331" t="n"/>
      <c r="BB460" s="331" t="n"/>
      <c r="BC460" s="331" t="n"/>
      <c r="BD460" s="331" t="n"/>
      <c r="BE460" s="331">
        <f>AZ460*AW460</f>
        <v/>
      </c>
      <c r="BF460" s="331">
        <f>BA460*AW460</f>
        <v/>
      </c>
      <c r="BG460" s="331">
        <f>BB460*AW460</f>
        <v/>
      </c>
      <c r="BH460" s="331">
        <f>BC460*AW460</f>
        <v/>
      </c>
      <c r="BI460" s="331" t="n"/>
      <c r="BJ460" s="356">
        <f t="array" ref="BJ460:BM460">_xlfn.LET(_xlpm.data,$R460:$AV460,_xlpm.starts,{1,8,16,23},_xlpm.lengths,{7,7,8,9},_xlpm.arr,_xlfn.MAP(_xlpm.starts,_xlpm.lengths,_xlfn.LAMBDA(_xlpm.s,_xlpm.l,SUM(INDEX(_xlpm.data,,_xlfn.SEQUENCE(,_xlpm.l,_xlpm.s))))),ROUND(_xlpm.arr*$O460/1000,2))</f>
        <v/>
      </c>
      <c r="BK460" s="331" t="n">
        <v>0</v>
      </c>
      <c r="BL460" s="331" t="n">
        <v>3.16</v>
      </c>
      <c r="BM460" s="331" t="n">
        <v>5.69</v>
      </c>
      <c r="BN460" s="362">
        <f>SUM(BJ460:BM460)</f>
        <v/>
      </c>
      <c r="BO460" s="362" t="n">
        <v>18.56</v>
      </c>
      <c r="BP460" s="362" t="n">
        <v>18.56</v>
      </c>
      <c r="BQ460" s="362" t="n">
        <v>21.21</v>
      </c>
      <c r="BR460" s="362" t="n">
        <v>23.86</v>
      </c>
      <c r="BS460" s="367" t="inlineStr">
        <is>
          <t>摩胎</t>
        </is>
      </c>
      <c r="BT460" s="362" t="n"/>
      <c r="BU460" s="362" t="n"/>
      <c r="BV460" s="362" t="n"/>
      <c r="BW460" s="362" t="n"/>
      <c r="BX460" s="367" t="inlineStr">
        <is>
          <t>摩胎</t>
        </is>
      </c>
      <c r="BY460" s="362">
        <f>SUM(R460:X460)</f>
        <v/>
      </c>
      <c r="BZ460" s="362">
        <f>SUM(Y460:AE460)</f>
        <v/>
      </c>
      <c r="CA460" s="362">
        <f>SUM(AF460:AM460)</f>
        <v/>
      </c>
      <c r="CB460" s="362">
        <f>SUM(AN460:AV460)</f>
        <v/>
      </c>
      <c r="CD460" s="440" t="inlineStr">
        <is>
          <t>TIDAK ADA</t>
        </is>
      </c>
      <c r="CE460" s="388">
        <f>ROUND(BY460*$O460/1000,2)</f>
        <v/>
      </c>
      <c r="CF460" s="380">
        <f>ROUND(BZ460*$O460/1000,2)</f>
        <v/>
      </c>
      <c r="CG460" s="380">
        <f>ROUND(CA460*$O460/1000,2)</f>
        <v/>
      </c>
      <c r="CH460" s="380">
        <f>ROUND(CB460*$O460/1000,2)</f>
        <v/>
      </c>
      <c r="CI460" s="362">
        <f>SUM(CE460:CH460)</f>
        <v/>
      </c>
      <c r="CJ460" s="390" t="n"/>
      <c r="CK460" s="362">
        <f>IFERROR(ROUND(BY460*$P460,2),"")</f>
        <v/>
      </c>
      <c r="CL460" s="362">
        <f>IFERROR(ROUND(BZ460*$P460,2),"")</f>
        <v/>
      </c>
      <c r="CM460" s="362">
        <f>IFERROR(ROUND(CA460*$P460,2),"")</f>
        <v/>
      </c>
      <c r="CN460" s="362">
        <f>IFERROR(ROUND(CB460*$P460,2),"")</f>
        <v/>
      </c>
    </row>
    <row r="461" s="428">
      <c r="A461" s="433" t="n"/>
      <c r="B461" s="434" t="inlineStr">
        <is>
          <t>印尼</t>
        </is>
      </c>
      <c r="C461" s="434">
        <f>IFERROR(MID(G461,FIND("-",G461)+1,2),"")</f>
        <v/>
      </c>
      <c r="D461" s="434">
        <f>"摩胎"&amp;C461&amp;"寸"</f>
        <v/>
      </c>
      <c r="E461" s="436" t="inlineStr">
        <is>
          <t>100/80-14-6PR-H597</t>
        </is>
      </c>
      <c r="F461" s="436" t="inlineStr">
        <is>
          <t>100/80-14-H597ARISUN _x001c_纳米高抓 TL</t>
        </is>
      </c>
      <c r="G461" s="436" t="inlineStr">
        <is>
          <t>100/80-14-H597ARISUN _x001c_纳米高抓 TL</t>
        </is>
      </c>
      <c r="H461" s="434" t="n">
        <v>12000</v>
      </c>
      <c r="I461" s="434" t="n"/>
      <c r="J461" s="434" t="n">
        <v>19.2</v>
      </c>
      <c r="K461" s="434" t="n"/>
      <c r="L461" s="438">
        <f>IF(J460="","",J460/(J460+$J$380/60))</f>
        <v/>
      </c>
      <c r="M461" s="438" t="n"/>
      <c r="N461" s="434" t="n"/>
      <c r="O461" s="434">
        <f>IFERROR(_xlfn.XLOOKUP(E461,轮胎重量!S:S,轮胎重量!P:P),IFERROR(_xlfn.XLOOKUP(E461,轮胎重量!AB:AB,轮胎重量!Y:Y),IFERROR(_xlfn.XLOOKUP(E461,轮胎重量!AK:AK,轮胎重量!AH:AH),IFERROR(_xlfn.XLOOKUP(E461,轮胎重量!AT:AT,轮胎重量!AQ:AQ),""))))</f>
        <v/>
      </c>
      <c r="P461" s="439">
        <f>O461*14.76</f>
        <v/>
      </c>
      <c r="Q461" s="434">
        <f>IFERROR(ROUND(1440/J461*I461*L462,0),"")</f>
        <v/>
      </c>
      <c r="R461" s="352" t="n"/>
      <c r="S461" s="352" t="n"/>
      <c r="T461" s="352" t="n"/>
      <c r="U461" s="352" t="n"/>
      <c r="V461" s="352" t="n"/>
      <c r="W461" s="352" t="n"/>
      <c r="X461" s="352" t="n"/>
      <c r="Y461" s="352" t="n"/>
      <c r="Z461" s="352" t="n"/>
      <c r="AA461" s="352" t="n"/>
      <c r="AB461" s="352" t="n"/>
      <c r="AC461" s="352" t="n"/>
      <c r="AD461" s="352" t="n"/>
      <c r="AE461" s="352" t="n"/>
      <c r="AF461" s="352" t="n"/>
      <c r="AG461" s="352" t="n"/>
      <c r="AH461" s="352" t="n"/>
      <c r="AI461" s="352" t="n"/>
      <c r="AJ461" s="352" t="n">
        <v>220</v>
      </c>
      <c r="AK461" s="352" t="n">
        <v>220</v>
      </c>
      <c r="AL461" s="352" t="n">
        <v>220</v>
      </c>
      <c r="AM461" s="352" t="n">
        <v>220</v>
      </c>
      <c r="AN461" s="352" t="n">
        <v>220</v>
      </c>
      <c r="AO461" s="352" t="n">
        <v>220</v>
      </c>
      <c r="AP461" s="352" t="n">
        <v>220</v>
      </c>
      <c r="AQ461" s="352" t="n">
        <v>220</v>
      </c>
      <c r="AR461" s="352" t="n">
        <v>220</v>
      </c>
      <c r="AS461" s="352" t="n">
        <v>220</v>
      </c>
      <c r="AT461" s="352" t="n">
        <v>220</v>
      </c>
      <c r="AU461" s="352" t="n">
        <v>220</v>
      </c>
      <c r="AV461" s="352" t="n">
        <v>220</v>
      </c>
      <c r="AW461" s="352">
        <f>IF(SUM(R461:AV461)=0,"",SUM(R461:AV461))</f>
        <v/>
      </c>
      <c r="AX461" s="431">
        <f>IFERROR(AW461*O461/1000,"")</f>
        <v/>
      </c>
      <c r="AY461" s="431">
        <f>IFERROR(ROUND(AW461*P461/10000,3),"")</f>
        <v/>
      </c>
      <c r="AZ461" s="331" t="n"/>
      <c r="BA461" s="331" t="n"/>
      <c r="BB461" s="331" t="n"/>
      <c r="BC461" s="331" t="n"/>
      <c r="BD461" s="331" t="n"/>
      <c r="BE461" s="331">
        <f>AZ461*AW461</f>
        <v/>
      </c>
      <c r="BF461" s="331">
        <f>BA461*AW461</f>
        <v/>
      </c>
      <c r="BG461" s="331">
        <f>BB461*AW461</f>
        <v/>
      </c>
      <c r="BH461" s="331">
        <f>BC461*AW461</f>
        <v/>
      </c>
      <c r="BI461" s="331" t="n"/>
      <c r="BJ461" s="356">
        <f t="array" ref="BJ461:BM461">_xlfn.LET(_xlpm.data,$R461:$AV461,_xlpm.starts,{1,8,16,23},_xlpm.lengths,{7,7,8,9},_xlpm.arr,_xlfn.MAP(_xlpm.starts,_xlpm.lengths,_xlfn.LAMBDA(_xlpm.s,_xlpm.l,SUM(INDEX(_xlpm.data,,_xlfn.SEQUENCE(,_xlpm.l,_xlpm.s))))),ROUND(_xlpm.arr*$O461/1000,2))</f>
        <v/>
      </c>
      <c r="BK461" s="331" t="n">
        <v>0</v>
      </c>
      <c r="BL461" s="331" t="n">
        <v>3.61</v>
      </c>
      <c r="BM461" s="331" t="n">
        <v>6.49</v>
      </c>
      <c r="BN461" s="362">
        <f>SUM(BJ461:BM461)</f>
        <v/>
      </c>
      <c r="BO461" s="362" t="n">
        <v>18.56</v>
      </c>
      <c r="BP461" s="362" t="n">
        <v>18.56</v>
      </c>
      <c r="BQ461" s="362" t="n">
        <v>21.21</v>
      </c>
      <c r="BR461" s="362" t="n">
        <v>23.86</v>
      </c>
      <c r="BS461" s="367" t="inlineStr">
        <is>
          <t>摩胎</t>
        </is>
      </c>
      <c r="BT461" s="362" t="n"/>
      <c r="BU461" s="362" t="n"/>
      <c r="BV461" s="362" t="n"/>
      <c r="BW461" s="362" t="n"/>
      <c r="BX461" s="367" t="inlineStr">
        <is>
          <t>摩胎</t>
        </is>
      </c>
      <c r="BY461" s="362">
        <f>SUM(R461:X461)</f>
        <v/>
      </c>
      <c r="BZ461" s="362">
        <f>SUM(Y461:AE461)</f>
        <v/>
      </c>
      <c r="CA461" s="362">
        <f>SUM(AF461:AM461)</f>
        <v/>
      </c>
      <c r="CB461" s="362">
        <f>SUM(AN461:AV461)</f>
        <v/>
      </c>
      <c r="CD461" s="440" t="inlineStr">
        <is>
          <t>TIDAK ADA</t>
        </is>
      </c>
      <c r="CE461" s="388">
        <f>ROUND(BY461*$O461/1000,2)</f>
        <v/>
      </c>
      <c r="CF461" s="380">
        <f>ROUND(BZ461*$O461/1000,2)</f>
        <v/>
      </c>
      <c r="CG461" s="380">
        <f>ROUND(CA461*$O461/1000,2)</f>
        <v/>
      </c>
      <c r="CH461" s="380">
        <f>ROUND(CB461*$O461/1000,2)</f>
        <v/>
      </c>
      <c r="CI461" s="362">
        <f>SUM(CE461:CH461)</f>
        <v/>
      </c>
      <c r="CJ461" s="390" t="n"/>
      <c r="CK461" s="362">
        <f>IFERROR(ROUND(BY461*$P461,2),"")</f>
        <v/>
      </c>
      <c r="CL461" s="362">
        <f>IFERROR(ROUND(BZ461*$P461,2),"")</f>
        <v/>
      </c>
      <c r="CM461" s="362">
        <f>IFERROR(ROUND(CA461*$P461,2),"")</f>
        <v/>
      </c>
      <c r="CN461" s="362">
        <f>IFERROR(ROUND(CB461*$P461,2),"")</f>
        <v/>
      </c>
    </row>
    <row r="462" hidden="1" customFormat="1" s="362">
      <c r="A462" s="331" t="n"/>
      <c r="B462" s="352" t="inlineStr">
        <is>
          <t>印尼</t>
        </is>
      </c>
      <c r="C462" s="352">
        <f>IFERROR(MID(G462,FIND("-",G462)+1,2),"")</f>
        <v/>
      </c>
      <c r="D462" s="352">
        <f>"摩胎"&amp;C462&amp;"寸"</f>
        <v/>
      </c>
      <c r="E462" s="389" t="n"/>
      <c r="F462" s="379" t="n"/>
      <c r="G462" s="379" t="n"/>
      <c r="H462" s="352" t="n">
        <v>12000</v>
      </c>
      <c r="I462" s="370" t="n"/>
      <c r="J462" s="352" t="n">
        <v>19.2</v>
      </c>
      <c r="K462" s="352" t="n"/>
      <c r="L462" s="430">
        <f>IF(J461="","",J461/(J461+$J$380/60))</f>
        <v/>
      </c>
      <c r="M462" s="430" t="n"/>
      <c r="N462" s="352" t="n"/>
      <c r="O462" s="352">
        <f>IFERROR(_xlfn.XLOOKUP(E462,轮胎重量!S:S,轮胎重量!P:P),IFERROR(_xlfn.XLOOKUP(E462,轮胎重量!AB:AB,轮胎重量!Y:Y),IFERROR(_xlfn.XLOOKUP(E462,轮胎重量!AK:AK,轮胎重量!AH:AH),IFERROR(_xlfn.XLOOKUP(E462,轮胎重量!AT:AT,轮胎重量!AQ:AQ),""))))</f>
        <v/>
      </c>
      <c r="P462" s="358">
        <f>O462*14.76</f>
        <v/>
      </c>
      <c r="Q462" s="352">
        <f>IFERROR(ROUND(1440/J462*I462*L463,0),"")</f>
        <v/>
      </c>
      <c r="R462" s="352" t="n"/>
      <c r="S462" s="352" t="n"/>
      <c r="T462" s="352" t="n"/>
      <c r="U462" s="352" t="n"/>
      <c r="V462" s="352" t="n"/>
      <c r="W462" s="352" t="n"/>
      <c r="X462" s="352" t="n"/>
      <c r="Y462" s="352" t="n"/>
      <c r="Z462" s="352" t="n"/>
      <c r="AA462" s="352" t="n"/>
      <c r="AB462" s="352" t="n"/>
      <c r="AC462" s="352" t="n"/>
      <c r="AD462" s="352" t="n"/>
      <c r="AE462" s="352" t="n"/>
      <c r="AF462" s="352" t="n"/>
      <c r="AG462" s="352" t="n"/>
      <c r="AH462" s="352" t="n"/>
      <c r="AI462" s="352" t="n"/>
      <c r="AJ462" s="352" t="n"/>
      <c r="AK462" s="352" t="n"/>
      <c r="AL462" s="352" t="n"/>
      <c r="AM462" s="352" t="n"/>
      <c r="AN462" s="352" t="n"/>
      <c r="AO462" s="352" t="n"/>
      <c r="AP462" s="352" t="n"/>
      <c r="AQ462" s="352" t="n"/>
      <c r="AR462" s="352" t="n"/>
      <c r="AS462" s="352" t="n"/>
      <c r="AT462" s="352" t="n"/>
      <c r="AU462" s="352" t="n"/>
      <c r="AV462" s="352" t="n"/>
      <c r="AW462" s="352">
        <f>IF(SUM(R462:AV462)=0,"",SUM(R462:AV462))</f>
        <v/>
      </c>
      <c r="AX462" s="431">
        <f>IFERROR(AW462*O462/1000,"")</f>
        <v/>
      </c>
      <c r="AY462" s="431">
        <f>IFERROR(ROUND(AW462*P462/10000,3),"")</f>
        <v/>
      </c>
      <c r="AZ462" s="331" t="n"/>
      <c r="BA462" s="331" t="n"/>
      <c r="BB462" s="331" t="n"/>
      <c r="BC462" s="331" t="n"/>
      <c r="BD462" s="331" t="n"/>
      <c r="BE462" s="331">
        <f>AZ462*AW462</f>
        <v/>
      </c>
      <c r="BF462" s="331">
        <f>BA462*AW462</f>
        <v/>
      </c>
      <c r="BG462" s="331">
        <f>BB462*AW462</f>
        <v/>
      </c>
      <c r="BH462" s="331">
        <f>BC462*AW462</f>
        <v/>
      </c>
      <c r="BI462" s="331" t="n"/>
      <c r="BJ462" s="356">
        <f t="array" ref="BJ462:BM462">_xlfn.LET(_xlpm.data,$R462:$AV462,_xlpm.starts,{1,8,16,23},_xlpm.lengths,{7,7,8,9},_xlpm.arr,_xlfn.MAP(_xlpm.starts,_xlpm.lengths,_xlfn.LAMBDA(_xlpm.s,_xlpm.l,SUM(INDEX(_xlpm.data,,_xlfn.SEQUENCE(,_xlpm.l,_xlpm.s))))),ROUND(_xlpm.arr*$O462/1000,2))</f>
        <v/>
      </c>
      <c r="BK462" s="331" t="n">
        <v>0</v>
      </c>
      <c r="BL462" s="331" t="n">
        <v>0</v>
      </c>
      <c r="BM462" s="331" t="n">
        <v>0</v>
      </c>
      <c r="BN462" s="362">
        <f>SUM(BJ462:BM462)</f>
        <v/>
      </c>
      <c r="BO462" s="362" t="n">
        <v>18.56</v>
      </c>
      <c r="BP462" s="362" t="n">
        <v>18.56</v>
      </c>
      <c r="BQ462" s="362" t="n">
        <v>21.21</v>
      </c>
      <c r="BR462" s="362" t="n">
        <v>23.86</v>
      </c>
      <c r="BS462" s="367" t="inlineStr">
        <is>
          <t>摩胎</t>
        </is>
      </c>
      <c r="BX462" s="367" t="inlineStr">
        <is>
          <t>摩胎</t>
        </is>
      </c>
      <c r="BY462" s="362">
        <f>SUM(R462:X462)</f>
        <v/>
      </c>
      <c r="BZ462" s="362">
        <f>SUM(Y462:AE462)</f>
        <v/>
      </c>
      <c r="CA462" s="362">
        <f>SUM(AF462:AM462)</f>
        <v/>
      </c>
      <c r="CB462" s="362">
        <f>SUM(AN462:AV462)</f>
        <v/>
      </c>
      <c r="CD462" s="390" t="n"/>
      <c r="CE462" s="388">
        <f>ROUND(BY462*$O462/1000,2)</f>
        <v/>
      </c>
      <c r="CF462" s="380">
        <f>ROUND(BZ462*$O462/1000,2)</f>
        <v/>
      </c>
      <c r="CG462" s="380">
        <f>ROUND(CA462*$O462/1000,2)</f>
        <v/>
      </c>
      <c r="CH462" s="380">
        <f>ROUND(CB462*$O462/1000,2)</f>
        <v/>
      </c>
      <c r="CI462" s="362">
        <f>SUM(CE462:CH462)</f>
        <v/>
      </c>
      <c r="CJ462" s="390" t="n"/>
      <c r="CK462" s="362">
        <f>IFERROR(ROUND(BY462*$P462,2),"")</f>
        <v/>
      </c>
      <c r="CL462" s="362">
        <f>IFERROR(ROUND(BZ462*$P462,2),"")</f>
        <v/>
      </c>
      <c r="CM462" s="362">
        <f>IFERROR(ROUND(CA462*$P462,2),"")</f>
        <v/>
      </c>
      <c r="CN462" s="362">
        <f>IFERROR(ROUND(CB462*$P462,2),"")</f>
        <v/>
      </c>
    </row>
    <row r="463" hidden="1" customFormat="1" s="362">
      <c r="A463" s="331" t="n"/>
      <c r="B463" s="352" t="inlineStr">
        <is>
          <t>印尼</t>
        </is>
      </c>
      <c r="C463" s="352">
        <f>IFERROR(MID(G463,FIND("-",G463)+1,2),"")</f>
        <v/>
      </c>
      <c r="D463" s="352">
        <f>"摩胎"&amp;C463&amp;"寸"</f>
        <v/>
      </c>
      <c r="E463" s="389" t="n"/>
      <c r="F463" s="379" t="n"/>
      <c r="G463" s="379" t="n"/>
      <c r="H463" s="352" t="n">
        <v>3000</v>
      </c>
      <c r="I463" s="370" t="n"/>
      <c r="J463" s="352" t="n">
        <v>19.2</v>
      </c>
      <c r="K463" s="352" t="n"/>
      <c r="L463" s="430">
        <f>IF(J462="","",J462/(J462+$J$380/60))</f>
        <v/>
      </c>
      <c r="M463" s="430" t="n"/>
      <c r="N463" s="352" t="n"/>
      <c r="O463" s="352">
        <f>IFERROR(_xlfn.XLOOKUP(E463,轮胎重量!S:S,轮胎重量!P:P),IFERROR(_xlfn.XLOOKUP(E463,轮胎重量!AB:AB,轮胎重量!Y:Y),IFERROR(_xlfn.XLOOKUP(E463,轮胎重量!AK:AK,轮胎重量!AH:AH),IFERROR(_xlfn.XLOOKUP(E463,轮胎重量!AT:AT,轮胎重量!AQ:AQ),""))))</f>
        <v/>
      </c>
      <c r="P463" s="358">
        <f>O463*14.76</f>
        <v/>
      </c>
      <c r="Q463" s="352">
        <f>IFERROR(ROUND(1440/J463*I463*L464,0),"")</f>
        <v/>
      </c>
      <c r="R463" s="352" t="n"/>
      <c r="S463" s="352" t="n"/>
      <c r="T463" s="352" t="n"/>
      <c r="U463" s="352" t="n"/>
      <c r="V463" s="352" t="n"/>
      <c r="W463" s="352" t="n"/>
      <c r="X463" s="352" t="n"/>
      <c r="Y463" s="352" t="n"/>
      <c r="Z463" s="352" t="n"/>
      <c r="AA463" s="352" t="n"/>
      <c r="AB463" s="352" t="n"/>
      <c r="AC463" s="352" t="n"/>
      <c r="AD463" s="352" t="n"/>
      <c r="AE463" s="352" t="n"/>
      <c r="AF463" s="352" t="n"/>
      <c r="AG463" s="352" t="n"/>
      <c r="AH463" s="352" t="n"/>
      <c r="AI463" s="352" t="n"/>
      <c r="AJ463" s="352" t="n"/>
      <c r="AK463" s="352" t="n"/>
      <c r="AL463" s="352" t="n"/>
      <c r="AM463" s="352" t="n"/>
      <c r="AN463" s="352" t="n"/>
      <c r="AO463" s="352" t="n"/>
      <c r="AP463" s="352" t="n"/>
      <c r="AQ463" s="352" t="n"/>
      <c r="AR463" s="352" t="n"/>
      <c r="AS463" s="352" t="n"/>
      <c r="AT463" s="352" t="n"/>
      <c r="AU463" s="352" t="n"/>
      <c r="AV463" s="352" t="n"/>
      <c r="AW463" s="352">
        <f>IF(SUM(R463:AV463)=0,"",SUM(R463:AV463))</f>
        <v/>
      </c>
      <c r="AX463" s="431">
        <f>IFERROR(AW463*O463/1000,"")</f>
        <v/>
      </c>
      <c r="AY463" s="431">
        <f>IFERROR(ROUND(AW463*P463/10000,3),"")</f>
        <v/>
      </c>
      <c r="AZ463" s="331" t="n"/>
      <c r="BA463" s="331" t="n"/>
      <c r="BB463" s="331" t="n"/>
      <c r="BC463" s="331" t="n"/>
      <c r="BD463" s="331" t="n"/>
      <c r="BE463" s="331">
        <f>AZ463*AW463</f>
        <v/>
      </c>
      <c r="BF463" s="331">
        <f>BA463*AW463</f>
        <v/>
      </c>
      <c r="BG463" s="331">
        <f>BB463*AW463</f>
        <v/>
      </c>
      <c r="BH463" s="331">
        <f>BC463*AW463</f>
        <v/>
      </c>
      <c r="BI463" s="331" t="n"/>
      <c r="BJ463" s="356">
        <f t="array" ref="BJ463:BM463">_xlfn.LET(_xlpm.data,$R463:$AV463,_xlpm.starts,{1,8,16,23},_xlpm.lengths,{7,7,8,9},_xlpm.arr,_xlfn.MAP(_xlpm.starts,_xlpm.lengths,_xlfn.LAMBDA(_xlpm.s,_xlpm.l,SUM(INDEX(_xlpm.data,,_xlfn.SEQUENCE(,_xlpm.l,_xlpm.s))))),ROUND(_xlpm.arr*$O463/1000,2))</f>
        <v/>
      </c>
      <c r="BK463" s="331" t="n">
        <v>0</v>
      </c>
      <c r="BL463" s="331" t="n">
        <v>0</v>
      </c>
      <c r="BM463" s="331" t="n">
        <v>0</v>
      </c>
      <c r="BN463" s="362">
        <f>SUM(BJ463:BM463)</f>
        <v/>
      </c>
      <c r="BO463" s="362" t="n">
        <v>18.56</v>
      </c>
      <c r="BP463" s="362" t="n">
        <v>18.56</v>
      </c>
      <c r="BQ463" s="362" t="n">
        <v>21.21</v>
      </c>
      <c r="BR463" s="362" t="n">
        <v>23.86</v>
      </c>
      <c r="BS463" s="367" t="inlineStr">
        <is>
          <t>摩胎</t>
        </is>
      </c>
      <c r="BX463" s="367" t="inlineStr">
        <is>
          <t>摩胎</t>
        </is>
      </c>
      <c r="BY463" s="362">
        <f>SUM(R463:X463)</f>
        <v/>
      </c>
      <c r="BZ463" s="362">
        <f>SUM(Y463:AE463)</f>
        <v/>
      </c>
      <c r="CA463" s="362">
        <f>SUM(AF463:AM463)</f>
        <v/>
      </c>
      <c r="CB463" s="362">
        <f>SUM(AN463:AV463)</f>
        <v/>
      </c>
      <c r="CD463" s="390" t="n"/>
      <c r="CE463" s="388">
        <f>ROUND(BY463*$O463/1000,2)</f>
        <v/>
      </c>
      <c r="CF463" s="380">
        <f>ROUND(BZ463*$O463/1000,2)</f>
        <v/>
      </c>
      <c r="CG463" s="380">
        <f>ROUND(CA463*$O463/1000,2)</f>
        <v/>
      </c>
      <c r="CH463" s="380">
        <f>ROUND(CB463*$O463/1000,2)</f>
        <v/>
      </c>
      <c r="CI463" s="362">
        <f>SUM(CE463:CH463)</f>
        <v/>
      </c>
      <c r="CJ463" s="390" t="n"/>
      <c r="CK463" s="362">
        <f>IFERROR(ROUND(BY463*$P463,2),"")</f>
        <v/>
      </c>
      <c r="CL463" s="362">
        <f>IFERROR(ROUND(BZ463*$P463,2),"")</f>
        <v/>
      </c>
      <c r="CM463" s="362">
        <f>IFERROR(ROUND(CA463*$P463,2),"")</f>
        <v/>
      </c>
      <c r="CN463" s="362">
        <f>IFERROR(ROUND(CB463*$P463,2),"")</f>
        <v/>
      </c>
      <c r="CO463" s="362">
        <f>SUM(CK463:CN463)</f>
        <v/>
      </c>
    </row>
    <row r="464" hidden="1" customFormat="1" s="362">
      <c r="A464" s="331" t="n"/>
      <c r="B464" s="352" t="inlineStr">
        <is>
          <t>印尼</t>
        </is>
      </c>
      <c r="C464" s="352">
        <f>IFERROR(MID(G464,FIND("-",G464)+1,2),"")</f>
        <v/>
      </c>
      <c r="D464" s="352">
        <f>"摩胎"&amp;C464&amp;"寸"</f>
        <v/>
      </c>
      <c r="E464" s="389" t="n"/>
      <c r="F464" s="379" t="n"/>
      <c r="G464" s="379" t="n"/>
      <c r="H464" s="352" t="n">
        <v>3000</v>
      </c>
      <c r="I464" s="370" t="n"/>
      <c r="J464" s="352" t="n">
        <v>19.2</v>
      </c>
      <c r="K464" s="352" t="n"/>
      <c r="L464" s="430">
        <f>IF(J463="","",J463/(J463+$J$380/60))</f>
        <v/>
      </c>
      <c r="M464" s="430" t="n"/>
      <c r="N464" s="352" t="n"/>
      <c r="O464" s="352">
        <f>IFERROR(_xlfn.XLOOKUP(E464,轮胎重量!S:S,轮胎重量!P:P),IFERROR(_xlfn.XLOOKUP(E464,轮胎重量!AB:AB,轮胎重量!Y:Y),IFERROR(_xlfn.XLOOKUP(E464,轮胎重量!AK:AK,轮胎重量!AH:AH),IFERROR(_xlfn.XLOOKUP(E464,轮胎重量!AT:AT,轮胎重量!AQ:AQ),""))))</f>
        <v/>
      </c>
      <c r="P464" s="358">
        <f>O464*14.76</f>
        <v/>
      </c>
      <c r="Q464" s="352">
        <f>IFERROR(ROUND(1440/J464*I464*L465,0),"")</f>
        <v/>
      </c>
      <c r="R464" s="352" t="n"/>
      <c r="S464" s="352" t="n"/>
      <c r="T464" s="352" t="n"/>
      <c r="U464" s="352" t="n"/>
      <c r="V464" s="352" t="n"/>
      <c r="W464" s="352" t="n"/>
      <c r="X464" s="352" t="n"/>
      <c r="Y464" s="352" t="n"/>
      <c r="Z464" s="352" t="n"/>
      <c r="AA464" s="352" t="n"/>
      <c r="AB464" s="352" t="n"/>
      <c r="AC464" s="352" t="n"/>
      <c r="AD464" s="352" t="n"/>
      <c r="AE464" s="352" t="n"/>
      <c r="AF464" s="352" t="n"/>
      <c r="AG464" s="352" t="n"/>
      <c r="AH464" s="352" t="n"/>
      <c r="AI464" s="352" t="n"/>
      <c r="AJ464" s="352" t="n"/>
      <c r="AK464" s="352" t="n"/>
      <c r="AL464" s="352" t="n"/>
      <c r="AM464" s="352" t="n"/>
      <c r="AN464" s="352" t="n"/>
      <c r="AO464" s="352" t="n"/>
      <c r="AP464" s="352" t="n"/>
      <c r="AQ464" s="352" t="n"/>
      <c r="AR464" s="352" t="n"/>
      <c r="AS464" s="352" t="n"/>
      <c r="AT464" s="352" t="n"/>
      <c r="AU464" s="352" t="n"/>
      <c r="AV464" s="352" t="n"/>
      <c r="AW464" s="352">
        <f>IF(SUM(R464:AV464)=0,"",SUM(R464:AV464))</f>
        <v/>
      </c>
      <c r="AX464" s="431">
        <f>IFERROR(AW464*O464/1000,"")</f>
        <v/>
      </c>
      <c r="AY464" s="431">
        <f>IFERROR(ROUND(AW464*P464/10000,3),"")</f>
        <v/>
      </c>
      <c r="AZ464" s="331" t="n"/>
      <c r="BA464" s="331" t="n"/>
      <c r="BB464" s="331" t="n"/>
      <c r="BC464" s="331" t="n"/>
      <c r="BD464" s="331" t="n"/>
      <c r="BE464" s="331">
        <f>AZ464*AW464</f>
        <v/>
      </c>
      <c r="BF464" s="331">
        <f>BA464*AW464</f>
        <v/>
      </c>
      <c r="BG464" s="331">
        <f>BB464*AW464</f>
        <v/>
      </c>
      <c r="BH464" s="331">
        <f>BC464*AW464</f>
        <v/>
      </c>
      <c r="BI464" s="331" t="n"/>
      <c r="BJ464" s="356">
        <f t="array" ref="BJ464:BM464">_xlfn.LET(_xlpm.data,$R464:$AV464,_xlpm.starts,{1,8,16,23},_xlpm.lengths,{7,7,8,9},_xlpm.arr,_xlfn.MAP(_xlpm.starts,_xlpm.lengths,_xlfn.LAMBDA(_xlpm.s,_xlpm.l,SUM(INDEX(_xlpm.data,,_xlfn.SEQUENCE(,_xlpm.l,_xlpm.s))))),ROUND(_xlpm.arr*$O464/1000,2))</f>
        <v/>
      </c>
      <c r="BK464" s="331" t="n">
        <v>0</v>
      </c>
      <c r="BL464" s="331" t="n">
        <v>0</v>
      </c>
      <c r="BM464" s="331" t="n">
        <v>0</v>
      </c>
      <c r="BN464" s="362">
        <f>SUM(BJ464:BM464)</f>
        <v/>
      </c>
      <c r="BO464" s="362" t="n">
        <v>18.56</v>
      </c>
      <c r="BP464" s="362" t="n">
        <v>18.56</v>
      </c>
      <c r="BQ464" s="362" t="n">
        <v>21.21</v>
      </c>
      <c r="BR464" s="362" t="n">
        <v>23.86</v>
      </c>
      <c r="BS464" s="367" t="inlineStr">
        <is>
          <t>摩胎</t>
        </is>
      </c>
      <c r="BX464" s="367" t="inlineStr">
        <is>
          <t>摩胎</t>
        </is>
      </c>
      <c r="BY464" s="362">
        <f>SUM(R464:X464)</f>
        <v/>
      </c>
      <c r="BZ464" s="362">
        <f>SUM(Y464:AE464)</f>
        <v/>
      </c>
      <c r="CA464" s="362">
        <f>SUM(AF464:AM464)</f>
        <v/>
      </c>
      <c r="CB464" s="362">
        <f>SUM(AN464:AV464)</f>
        <v/>
      </c>
      <c r="CD464" s="390" t="n"/>
      <c r="CE464" s="388">
        <f>ROUND(BY464*$O464/1000,2)</f>
        <v/>
      </c>
      <c r="CF464" s="380">
        <f>ROUND(BZ464*$O464/1000,2)</f>
        <v/>
      </c>
      <c r="CG464" s="380">
        <f>ROUND(CA464*$O464/1000,2)</f>
        <v/>
      </c>
      <c r="CH464" s="380">
        <f>ROUND(CB464*$O464/1000,2)</f>
        <v/>
      </c>
      <c r="CI464" s="362">
        <f>SUM(CE464:CH464)</f>
        <v/>
      </c>
      <c r="CJ464" s="390" t="n"/>
      <c r="CK464" s="362">
        <f>IFERROR(ROUND(BY464*$P464,2),"")</f>
        <v/>
      </c>
      <c r="CL464" s="362">
        <f>IFERROR(ROUND(BZ464*$P464,2),"")</f>
        <v/>
      </c>
      <c r="CM464" s="362">
        <f>IFERROR(ROUND(CA464*$P464,2),"")</f>
        <v/>
      </c>
      <c r="CN464" s="362">
        <f>IFERROR(ROUND(CB464*$P464,2),"")</f>
        <v/>
      </c>
      <c r="CO464" s="362">
        <f>SUM(CK464:CN464)</f>
        <v/>
      </c>
    </row>
    <row r="465" hidden="1" customFormat="1" s="362">
      <c r="A465" s="331" t="n"/>
      <c r="B465" s="352" t="inlineStr">
        <is>
          <t>印尼</t>
        </is>
      </c>
      <c r="C465" s="352">
        <f>IFERROR(MID(G465,FIND("-",G465)+1,2),"")</f>
        <v/>
      </c>
      <c r="D465" s="352">
        <f>"摩胎"&amp;C465&amp;"寸"</f>
        <v/>
      </c>
      <c r="E465" s="389" t="n"/>
      <c r="F465" s="379" t="n"/>
      <c r="G465" s="379" t="n"/>
      <c r="H465" s="352" t="n">
        <v>1000</v>
      </c>
      <c r="I465" s="370" t="n"/>
      <c r="J465" s="352" t="n">
        <v>19.2</v>
      </c>
      <c r="K465" s="352" t="n"/>
      <c r="L465" s="430">
        <f>IF(J464="","",J464/(J464+$J$380/60))</f>
        <v/>
      </c>
      <c r="M465" s="430" t="n"/>
      <c r="N465" s="352" t="n"/>
      <c r="O465" s="352">
        <f>IFERROR(_xlfn.XLOOKUP(E465,轮胎重量!S:S,轮胎重量!P:P),IFERROR(_xlfn.XLOOKUP(E465,轮胎重量!AB:AB,轮胎重量!Y:Y),IFERROR(_xlfn.XLOOKUP(E465,轮胎重量!AK:AK,轮胎重量!AH:AH),IFERROR(_xlfn.XLOOKUP(E465,轮胎重量!AT:AT,轮胎重量!AQ:AQ),""))))</f>
        <v/>
      </c>
      <c r="P465" s="358">
        <f>O465*14.76</f>
        <v/>
      </c>
      <c r="Q465" s="352">
        <f>IFERROR(ROUND(1440/J465*I465*L470,0),"")</f>
        <v/>
      </c>
      <c r="R465" s="352" t="n"/>
      <c r="S465" s="352" t="n"/>
      <c r="T465" s="352" t="n"/>
      <c r="U465" s="352" t="n"/>
      <c r="V465" s="352" t="n"/>
      <c r="W465" s="352" t="n"/>
      <c r="X465" s="352" t="n"/>
      <c r="Y465" s="352" t="n"/>
      <c r="Z465" s="352" t="n"/>
      <c r="AA465" s="352" t="n"/>
      <c r="AB465" s="352" t="n"/>
      <c r="AC465" s="352" t="n"/>
      <c r="AD465" s="352" t="n"/>
      <c r="AE465" s="352" t="n"/>
      <c r="AF465" s="352" t="n"/>
      <c r="AG465" s="352" t="n"/>
      <c r="AH465" s="352" t="n"/>
      <c r="AI465" s="352" t="n"/>
      <c r="AJ465" s="352" t="n"/>
      <c r="AK465" s="352" t="n"/>
      <c r="AL465" s="352" t="n"/>
      <c r="AM465" s="352" t="n"/>
      <c r="AN465" s="352" t="n"/>
      <c r="AO465" s="352" t="n"/>
      <c r="AP465" s="352" t="n"/>
      <c r="AQ465" s="352" t="n"/>
      <c r="AR465" s="352" t="n"/>
      <c r="AS465" s="352" t="n"/>
      <c r="AT465" s="352" t="n"/>
      <c r="AU465" s="352" t="n"/>
      <c r="AV465" s="352" t="n"/>
      <c r="AW465" s="352">
        <f>IF(SUM(R465:AV465)=0,"",SUM(R465:AV465))</f>
        <v/>
      </c>
      <c r="AX465" s="431">
        <f>IFERROR(AW465*O465/1000,"")</f>
        <v/>
      </c>
      <c r="AY465" s="431">
        <f>IFERROR(ROUND(AW465*P465/10000,3),"")</f>
        <v/>
      </c>
      <c r="AZ465" s="331" t="n"/>
      <c r="BA465" s="331" t="n"/>
      <c r="BB465" s="331" t="n"/>
      <c r="BC465" s="331" t="n"/>
      <c r="BD465" s="331" t="n"/>
      <c r="BE465" s="331">
        <f>AZ465*AW465</f>
        <v/>
      </c>
      <c r="BF465" s="331">
        <f>BA465*AW465</f>
        <v/>
      </c>
      <c r="BG465" s="331">
        <f>BB465*AW465</f>
        <v/>
      </c>
      <c r="BH465" s="331">
        <f>BC465*AW465</f>
        <v/>
      </c>
      <c r="BI465" s="331" t="n"/>
      <c r="BJ465" s="356">
        <f t="array" ref="BJ465:BM465">_xlfn.LET(_xlpm.data,$R465:$AV465,_xlpm.starts,{1,8,16,23},_xlpm.lengths,{7,7,8,9},_xlpm.arr,_xlfn.MAP(_xlpm.starts,_xlpm.lengths,_xlfn.LAMBDA(_xlpm.s,_xlpm.l,SUM(INDEX(_xlpm.data,,_xlfn.SEQUENCE(,_xlpm.l,_xlpm.s))))),ROUND(_xlpm.arr*$O465/1000,2))</f>
        <v/>
      </c>
      <c r="BK465" s="331" t="n">
        <v>0</v>
      </c>
      <c r="BL465" s="331" t="n">
        <v>0</v>
      </c>
      <c r="BM465" s="331" t="n">
        <v>0</v>
      </c>
      <c r="BN465" s="362">
        <f>SUM(BJ465:BM465)</f>
        <v/>
      </c>
      <c r="BO465" s="362" t="n">
        <v>18.56</v>
      </c>
      <c r="BP465" s="362" t="n">
        <v>18.56</v>
      </c>
      <c r="BQ465" s="362" t="n">
        <v>21.21</v>
      </c>
      <c r="BR465" s="362" t="n">
        <v>23.86</v>
      </c>
      <c r="BS465" s="367" t="inlineStr">
        <is>
          <t>摩胎</t>
        </is>
      </c>
      <c r="BX465" s="367" t="inlineStr">
        <is>
          <t>摩胎</t>
        </is>
      </c>
      <c r="BY465" s="362">
        <f>SUM(R465:X465)</f>
        <v/>
      </c>
      <c r="BZ465" s="362">
        <f>SUM(Y465:AE465)</f>
        <v/>
      </c>
      <c r="CA465" s="362">
        <f>SUM(AF465:AM465)</f>
        <v/>
      </c>
      <c r="CB465" s="362">
        <f>SUM(AN465:AV465)</f>
        <v/>
      </c>
      <c r="CD465" s="390" t="n"/>
      <c r="CE465" s="388">
        <f>ROUND(BY465*$O465/1000,2)</f>
        <v/>
      </c>
      <c r="CF465" s="380">
        <f>ROUND(BZ465*$O465/1000,2)</f>
        <v/>
      </c>
      <c r="CG465" s="380">
        <f>ROUND(CA465*$O465/1000,2)</f>
        <v/>
      </c>
      <c r="CH465" s="380">
        <f>ROUND(CB465*$O465/1000,2)</f>
        <v/>
      </c>
      <c r="CI465" s="362">
        <f>SUM(CE465:CH465)</f>
        <v/>
      </c>
      <c r="CJ465" s="390" t="n"/>
      <c r="CK465" s="362">
        <f>IFERROR(ROUND(BY465*$P465,2),"")</f>
        <v/>
      </c>
      <c r="CL465" s="362">
        <f>IFERROR(ROUND(BZ465*$P465,2),"")</f>
        <v/>
      </c>
      <c r="CM465" s="362">
        <f>IFERROR(ROUND(CA465*$P465,2),"")</f>
        <v/>
      </c>
      <c r="CN465" s="362">
        <f>IFERROR(ROUND(CB465*$P465,2),"")</f>
        <v/>
      </c>
      <c r="CO465" s="362">
        <f>SUM(CK465:CN465)</f>
        <v/>
      </c>
    </row>
    <row r="466" hidden="1" customFormat="1" s="362">
      <c r="A466" s="331" t="n"/>
      <c r="B466" s="352" t="inlineStr">
        <is>
          <t>美国</t>
        </is>
      </c>
      <c r="C466" s="352">
        <f>IFERROR(MID(G466,FIND("-",G466)+1,1),"")</f>
        <v/>
      </c>
      <c r="D466" s="352">
        <f>"ATV"&amp;C466&amp;"寸"</f>
        <v/>
      </c>
      <c r="E466" s="389" t="n"/>
      <c r="F466" s="379" t="n"/>
      <c r="G466" s="379" t="n"/>
      <c r="H466" s="352" t="n"/>
      <c r="I466" s="370" t="n"/>
      <c r="J466" s="352" t="n">
        <v>19.2</v>
      </c>
      <c r="K466" s="352" t="n"/>
      <c r="L466" s="430">
        <f>IF(J461="","",J461/(J461+$J$380/60))</f>
        <v/>
      </c>
      <c r="M466" s="430" t="n"/>
      <c r="N466" s="352" t="n"/>
      <c r="O466" s="352">
        <f>IFERROR(_xlfn.XLOOKUP(E466,轮胎重量!S:S,轮胎重量!P:P),IFERROR(_xlfn.XLOOKUP(E466,轮胎重量!AB:AB,轮胎重量!Y:Y),IFERROR(_xlfn.XLOOKUP(E466,轮胎重量!AK:AK,轮胎重量!AH:AH),IFERROR(_xlfn.XLOOKUP(E466,轮胎重量!AT:AT,轮胎重量!AQ:AQ),""))))</f>
        <v/>
      </c>
      <c r="P466" s="358">
        <f>O466*14.76</f>
        <v/>
      </c>
      <c r="Q466" s="352">
        <f>IFERROR(ROUND(1440/J466*I466*L467,0),"")</f>
        <v/>
      </c>
      <c r="R466" s="352" t="n"/>
      <c r="S466" s="352" t="n"/>
      <c r="T466" s="352" t="n"/>
      <c r="U466" s="352" t="n"/>
      <c r="V466" s="352" t="n"/>
      <c r="W466" s="352" t="n"/>
      <c r="X466" s="352" t="n"/>
      <c r="Y466" s="352" t="n"/>
      <c r="Z466" s="352" t="n"/>
      <c r="AA466" s="352" t="n"/>
      <c r="AB466" s="352" t="n"/>
      <c r="AC466" s="352" t="n"/>
      <c r="AD466" s="352" t="n"/>
      <c r="AE466" s="352" t="n"/>
      <c r="AF466" s="352" t="n"/>
      <c r="AG466" s="352" t="n"/>
      <c r="AH466" s="352" t="n"/>
      <c r="AI466" s="352" t="n"/>
      <c r="AJ466" s="352" t="n"/>
      <c r="AK466" s="352" t="n"/>
      <c r="AL466" s="352" t="n"/>
      <c r="AM466" s="352" t="n"/>
      <c r="AN466" s="352" t="n"/>
      <c r="AO466" s="352" t="n"/>
      <c r="AP466" s="352" t="n"/>
      <c r="AQ466" s="352" t="n"/>
      <c r="AR466" s="352" t="n"/>
      <c r="AS466" s="352" t="n"/>
      <c r="AT466" s="352" t="n"/>
      <c r="AU466" s="352" t="n"/>
      <c r="AV466" s="352" t="n"/>
      <c r="AW466" s="352">
        <f>IF(SUM(R466:AV466)=0,"",SUM(R466:AV466))</f>
        <v/>
      </c>
      <c r="AX466" s="431">
        <f>IFERROR(AW466*O466/1000,"")</f>
        <v/>
      </c>
      <c r="AY466" s="431">
        <f>IFERROR(ROUND(AW466*P466/10000,3),"")</f>
        <v/>
      </c>
      <c r="AZ466" s="331" t="n"/>
      <c r="BA466" s="331" t="n"/>
      <c r="BB466" s="331" t="n"/>
      <c r="BC466" s="331" t="n"/>
      <c r="BD466" s="331" t="n"/>
      <c r="BE466" s="331">
        <f>AZ466*AW466</f>
        <v/>
      </c>
      <c r="BF466" s="331">
        <f>BA466*AW466</f>
        <v/>
      </c>
      <c r="BG466" s="331">
        <f>BB466*AW466</f>
        <v/>
      </c>
      <c r="BH466" s="331">
        <f>BC466*AW466</f>
        <v/>
      </c>
      <c r="BI466" s="331" t="n"/>
      <c r="BJ466" s="356">
        <f t="array" ref="BJ466:BM466">_xlfn.LET(_xlpm.data,$R466:$AV466,_xlpm.starts,{1,8,16,23},_xlpm.lengths,{7,7,8,9},_xlpm.arr,_xlfn.MAP(_xlpm.starts,_xlpm.lengths,_xlfn.LAMBDA(_xlpm.s,_xlpm.l,SUM(INDEX(_xlpm.data,,_xlfn.SEQUENCE(,_xlpm.l,_xlpm.s))))),ROUND(_xlpm.arr*$O466/1000,2))</f>
        <v/>
      </c>
      <c r="BK466" s="331" t="n">
        <v>0</v>
      </c>
      <c r="BL466" s="331" t="n">
        <v>0</v>
      </c>
      <c r="BM466" s="331" t="n">
        <v>0</v>
      </c>
      <c r="BN466" s="362">
        <f>SUM(BJ466:BM466)</f>
        <v/>
      </c>
      <c r="BO466" s="362" t="n">
        <v>18.56</v>
      </c>
      <c r="BP466" s="362" t="n">
        <v>18.56</v>
      </c>
      <c r="BQ466" s="362" t="n">
        <v>21.21</v>
      </c>
      <c r="BR466" s="362" t="n">
        <v>23.86</v>
      </c>
      <c r="BS466" s="115" t="inlineStr">
        <is>
          <t>ATV</t>
        </is>
      </c>
      <c r="BX466" s="115" t="inlineStr">
        <is>
          <t>ATV</t>
        </is>
      </c>
      <c r="BY466" s="362">
        <f>SUM(R466:X466)</f>
        <v/>
      </c>
      <c r="BZ466" s="362">
        <f>SUM(Y466:AE466)</f>
        <v/>
      </c>
      <c r="CA466" s="362">
        <f>SUM(AF466:AM466)</f>
        <v/>
      </c>
      <c r="CB466" s="362">
        <f>SUM(AN466:AV466)</f>
        <v/>
      </c>
      <c r="CD466" s="390" t="n"/>
      <c r="CE466" s="388">
        <f>ROUND(BY466*$O466/1000,2)</f>
        <v/>
      </c>
      <c r="CF466" s="380">
        <f>ROUND(BZ466*$O466/1000,2)</f>
        <v/>
      </c>
      <c r="CG466" s="380">
        <f>ROUND(CA466*$O466/1000,2)</f>
        <v/>
      </c>
      <c r="CH466" s="380">
        <f>ROUND(CB466*$O466/1000,2)</f>
        <v/>
      </c>
      <c r="CI466" s="362">
        <f>SUM(CE466:CH466)</f>
        <v/>
      </c>
      <c r="CJ466" s="390" t="n"/>
      <c r="CK466" s="362">
        <f>IFERROR(ROUND(BY466*$P466,2),"")</f>
        <v/>
      </c>
      <c r="CL466" s="362">
        <f>IFERROR(ROUND(BZ466*$P466,2),"")</f>
        <v/>
      </c>
      <c r="CM466" s="362">
        <f>IFERROR(ROUND(CA466*$P466,2),"")</f>
        <v/>
      </c>
      <c r="CN466" s="362">
        <f>IFERROR(ROUND(CB466*$P466,2),"")</f>
        <v/>
      </c>
      <c r="CO466" s="362">
        <f>SUM(CK466:CN466)</f>
        <v/>
      </c>
    </row>
    <row r="467" customFormat="1" s="362">
      <c r="A467" s="433" t="n"/>
      <c r="B467" s="434" t="inlineStr">
        <is>
          <t>美国</t>
        </is>
      </c>
      <c r="C467" s="434">
        <f>IFERROR(MID(G467,FIND("-",G467)+1,2),"")</f>
        <v/>
      </c>
      <c r="D467" s="434">
        <f>"ATV"&amp;C467&amp;"寸"</f>
        <v/>
      </c>
      <c r="E467" s="436" t="inlineStr">
        <is>
          <t>25 X 8-12-6PR-A033</t>
        </is>
      </c>
      <c r="F467" s="436" t="n"/>
      <c r="G467" s="436" t="inlineStr">
        <is>
          <t>25 X 8-12-6PR-A033</t>
        </is>
      </c>
      <c r="H467" s="434" t="n">
        <v>4000</v>
      </c>
      <c r="I467" s="434" t="n"/>
      <c r="J467" s="434" t="n">
        <v>19.2</v>
      </c>
      <c r="K467" s="434" t="n"/>
      <c r="L467" s="438">
        <f>IF(J466="","",J466/(J466+$J$380/60))</f>
        <v/>
      </c>
      <c r="M467" s="438" t="n"/>
      <c r="N467" s="434" t="n"/>
      <c r="O467" s="434">
        <f>IFERROR(_xlfn.XLOOKUP(E467,轮胎重量!S:S,轮胎重量!P:P),IFERROR(_xlfn.XLOOKUP(E467,轮胎重量!AB:AB,轮胎重量!Y:Y),IFERROR(_xlfn.XLOOKUP(E467,轮胎重量!AK:AK,轮胎重量!AH:AH),IFERROR(_xlfn.XLOOKUP(E467,轮胎重量!AT:AT,轮胎重量!AQ:AQ),""))))</f>
        <v/>
      </c>
      <c r="P467" s="439">
        <f>O467*14.76</f>
        <v/>
      </c>
      <c r="Q467" s="434">
        <f>IFERROR(ROUND(1440/J467*I467*L468,0),"")</f>
        <v/>
      </c>
      <c r="R467" s="352" t="n">
        <v>130</v>
      </c>
      <c r="S467" s="352" t="n">
        <v>130</v>
      </c>
      <c r="T467" s="352" t="n">
        <v>130</v>
      </c>
      <c r="U467" s="352" t="n">
        <v>130</v>
      </c>
      <c r="V467" s="352" t="n">
        <v>130</v>
      </c>
      <c r="W467" s="352" t="n">
        <v>130</v>
      </c>
      <c r="X467" s="352" t="n">
        <v>130</v>
      </c>
      <c r="Y467" s="352" t="n">
        <v>130</v>
      </c>
      <c r="Z467" s="352" t="n">
        <v>130</v>
      </c>
      <c r="AA467" s="352" t="n">
        <v>130</v>
      </c>
      <c r="AB467" s="352" t="n">
        <v>130</v>
      </c>
      <c r="AC467" s="352" t="n">
        <v>130</v>
      </c>
      <c r="AD467" s="352" t="n">
        <v>130</v>
      </c>
      <c r="AE467" s="352" t="n">
        <v>130</v>
      </c>
      <c r="AF467" s="352" t="n">
        <v>130</v>
      </c>
      <c r="AG467" s="352" t="n">
        <v>130</v>
      </c>
      <c r="AH467" s="352" t="n">
        <v>130</v>
      </c>
      <c r="AI467" s="352" t="n">
        <v>130</v>
      </c>
      <c r="AJ467" s="352" t="n">
        <v>130</v>
      </c>
      <c r="AK467" s="352" t="n">
        <v>130</v>
      </c>
      <c r="AL467" s="352" t="n">
        <v>130</v>
      </c>
      <c r="AM467" s="352" t="n">
        <v>130</v>
      </c>
      <c r="AN467" s="352" t="n">
        <v>130</v>
      </c>
      <c r="AO467" s="352" t="n">
        <v>130</v>
      </c>
      <c r="AP467" s="352" t="n">
        <v>130</v>
      </c>
      <c r="AQ467" s="352" t="n">
        <v>130</v>
      </c>
      <c r="AR467" s="352" t="n">
        <v>130</v>
      </c>
      <c r="AS467" s="352" t="n">
        <v>130</v>
      </c>
      <c r="AT467" s="352" t="n">
        <v>130</v>
      </c>
      <c r="AU467" s="352" t="n">
        <v>130</v>
      </c>
      <c r="AV467" s="352" t="n">
        <v>130</v>
      </c>
      <c r="AW467" s="352">
        <f>IF(SUM(R467:AV467)=0,"",SUM(R467:AV467))</f>
        <v/>
      </c>
      <c r="AX467" s="431">
        <f>IFERROR(AW467*O467/1000,"")</f>
        <v/>
      </c>
      <c r="AY467" s="431">
        <f>IFERROR(ROUND(AW467*P467/10000,3),"")</f>
        <v/>
      </c>
      <c r="AZ467" s="331" t="n"/>
      <c r="BA467" s="331" t="n"/>
      <c r="BB467" s="331" t="n"/>
      <c r="BC467" s="331" t="n"/>
      <c r="BD467" s="331" t="n"/>
      <c r="BE467" s="331">
        <f>AZ467*AW467</f>
        <v/>
      </c>
      <c r="BF467" s="331">
        <f>BA467*AW467</f>
        <v/>
      </c>
      <c r="BG467" s="331">
        <f>BB467*AW467</f>
        <v/>
      </c>
      <c r="BH467" s="331">
        <f>BC467*AW467</f>
        <v/>
      </c>
      <c r="BI467" s="331" t="n"/>
      <c r="BJ467" s="356">
        <f t="array" ref="BJ467:BM467">_xlfn.LET(_xlpm.data,$R467:$AV467,_xlpm.starts,{1,8,16,23},_xlpm.lengths,{7,7,8,9},_xlpm.arr,_xlfn.MAP(_xlpm.starts,_xlpm.lengths,_xlfn.LAMBDA(_xlpm.s,_xlpm.l,SUM(INDEX(_xlpm.data,,_xlfn.SEQUENCE(,_xlpm.l,_xlpm.s))))),ROUND(_xlpm.arr*$O467/1000,2))</f>
        <v/>
      </c>
      <c r="BK467" s="331" t="n">
        <v>8.539999999999999</v>
      </c>
      <c r="BL467" s="331" t="n">
        <v>9.76</v>
      </c>
      <c r="BM467" s="331" t="n">
        <v>10.97</v>
      </c>
      <c r="BN467" s="362">
        <f>SUM(BJ467:BM467)</f>
        <v/>
      </c>
      <c r="BO467" s="362" t="n">
        <v>18.56</v>
      </c>
      <c r="BP467" s="362" t="n">
        <v>18.56</v>
      </c>
      <c r="BQ467" s="362" t="n">
        <v>21.21</v>
      </c>
      <c r="BR467" s="362" t="n">
        <v>23.86</v>
      </c>
      <c r="BS467" s="115" t="inlineStr">
        <is>
          <t>ATV</t>
        </is>
      </c>
      <c r="BX467" s="115" t="inlineStr">
        <is>
          <t>ATV</t>
        </is>
      </c>
      <c r="BY467" s="362">
        <f>SUM(R467:X467)</f>
        <v/>
      </c>
      <c r="BZ467" s="362">
        <f>SUM(Y467:AE467)</f>
        <v/>
      </c>
      <c r="CA467" s="362">
        <f>SUM(AF467:AM467)</f>
        <v/>
      </c>
      <c r="CB467" s="362">
        <f>SUM(AN467:AV467)</f>
        <v/>
      </c>
      <c r="CD467" s="440" t="inlineStr">
        <is>
          <t>TIDAK ADA</t>
        </is>
      </c>
      <c r="CE467" s="388">
        <f>ROUND(BY467*$O467/1000,2)</f>
        <v/>
      </c>
      <c r="CF467" s="380">
        <f>ROUND(BZ467*$O467/1000,2)</f>
        <v/>
      </c>
      <c r="CG467" s="380">
        <f>ROUND(CA467*$O467/1000,2)</f>
        <v/>
      </c>
      <c r="CH467" s="380">
        <f>ROUND(CB467*$O467/1000,2)</f>
        <v/>
      </c>
      <c r="CI467" s="362">
        <f>SUM(CE467:CH467)</f>
        <v/>
      </c>
      <c r="CJ467" s="390" t="n"/>
      <c r="CK467" s="362">
        <f>IFERROR(ROUND(BY467*$P467,2),"")</f>
        <v/>
      </c>
      <c r="CL467" s="362">
        <f>IFERROR(ROUND(BZ467*$P467,2),"")</f>
        <v/>
      </c>
      <c r="CM467" s="362">
        <f>IFERROR(ROUND(CA467*$P467,2),"")</f>
        <v/>
      </c>
      <c r="CN467" s="362">
        <f>IFERROR(ROUND(CB467*$P467,2),"")</f>
        <v/>
      </c>
    </row>
    <row r="468" customFormat="1" s="362">
      <c r="A468" s="433" t="n"/>
      <c r="B468" s="434" t="inlineStr">
        <is>
          <t>美国</t>
        </is>
      </c>
      <c r="C468" s="434">
        <f>IFERROR(MID(G468,FIND("-",G468)+1,2),"")</f>
        <v/>
      </c>
      <c r="D468" s="434">
        <f>"ATV"&amp;C468&amp;"寸"</f>
        <v/>
      </c>
      <c r="E468" s="436" t="inlineStr">
        <is>
          <t>25 X 10-12-6PR-A033</t>
        </is>
      </c>
      <c r="F468" s="436" t="n"/>
      <c r="G468" s="436" t="inlineStr">
        <is>
          <t>25 X 10-12-6PR-A033</t>
        </is>
      </c>
      <c r="H468" s="434" t="n">
        <v>4000</v>
      </c>
      <c r="I468" s="434" t="n"/>
      <c r="J468" s="434">
        <f>1200/60</f>
        <v/>
      </c>
      <c r="K468" s="434" t="n"/>
      <c r="L468" s="438">
        <f>IF(J467="","",J467/(J467+$J$380/60))</f>
        <v/>
      </c>
      <c r="M468" s="438" t="n"/>
      <c r="N468" s="434" t="n"/>
      <c r="O468" s="434">
        <f>IFERROR(_xlfn.XLOOKUP(E468,轮胎重量!S:S,轮胎重量!P:P),IFERROR(_xlfn.XLOOKUP(E468,轮胎重量!AB:AB,轮胎重量!Y:Y),IFERROR(_xlfn.XLOOKUP(E468,轮胎重量!AK:AK,轮胎重量!AH:AH),IFERROR(_xlfn.XLOOKUP(E468,轮胎重量!AT:AT,轮胎重量!AQ:AQ),""))))</f>
        <v/>
      </c>
      <c r="P468" s="439">
        <f>O468*14.76</f>
        <v/>
      </c>
      <c r="Q468" s="434">
        <f>IFERROR(ROUND(1440/J468*I468*L469,0),"")</f>
        <v/>
      </c>
      <c r="R468" s="352" t="n">
        <v>130</v>
      </c>
      <c r="S468" s="352" t="n">
        <v>130</v>
      </c>
      <c r="T468" s="352" t="n">
        <v>130</v>
      </c>
      <c r="U468" s="352" t="n">
        <v>130</v>
      </c>
      <c r="V468" s="352" t="n">
        <v>130</v>
      </c>
      <c r="W468" s="352" t="n">
        <v>130</v>
      </c>
      <c r="X468" s="352" t="n">
        <v>130</v>
      </c>
      <c r="Y468" s="352" t="n">
        <v>130</v>
      </c>
      <c r="Z468" s="352" t="n">
        <v>130</v>
      </c>
      <c r="AA468" s="352" t="n">
        <v>130</v>
      </c>
      <c r="AB468" s="352" t="n">
        <v>130</v>
      </c>
      <c r="AC468" s="352" t="n">
        <v>130</v>
      </c>
      <c r="AD468" s="352" t="n">
        <v>130</v>
      </c>
      <c r="AE468" s="352" t="n">
        <v>130</v>
      </c>
      <c r="AF468" s="352" t="n">
        <v>130</v>
      </c>
      <c r="AG468" s="352" t="n">
        <v>130</v>
      </c>
      <c r="AH468" s="352" t="n">
        <v>130</v>
      </c>
      <c r="AI468" s="352" t="n">
        <v>130</v>
      </c>
      <c r="AJ468" s="352" t="n">
        <v>130</v>
      </c>
      <c r="AK468" s="352" t="n">
        <v>130</v>
      </c>
      <c r="AL468" s="352" t="n">
        <v>130</v>
      </c>
      <c r="AM468" s="352" t="n">
        <v>130</v>
      </c>
      <c r="AN468" s="352" t="n">
        <v>130</v>
      </c>
      <c r="AO468" s="352" t="n">
        <v>130</v>
      </c>
      <c r="AP468" s="352" t="n">
        <v>130</v>
      </c>
      <c r="AQ468" s="352" t="n">
        <v>130</v>
      </c>
      <c r="AR468" s="352" t="n">
        <v>130</v>
      </c>
      <c r="AS468" s="352" t="n">
        <v>130</v>
      </c>
      <c r="AT468" s="352" t="n">
        <v>130</v>
      </c>
      <c r="AU468" s="352" t="n">
        <v>130</v>
      </c>
      <c r="AV468" s="352" t="n">
        <v>130</v>
      </c>
      <c r="AW468" s="352">
        <f>IF(SUM(R468:AV468)=0,"",SUM(R468:AV468))</f>
        <v/>
      </c>
      <c r="AX468" s="431">
        <f>IFERROR(AW468*O468/1000,"")</f>
        <v/>
      </c>
      <c r="AY468" s="431">
        <f>IFERROR(ROUND(AW468*P468/10000,3),"")</f>
        <v/>
      </c>
      <c r="AZ468" s="331" t="n"/>
      <c r="BA468" s="331" t="n"/>
      <c r="BB468" s="331" t="n"/>
      <c r="BC468" s="331" t="n"/>
      <c r="BD468" s="331" t="n"/>
      <c r="BE468" s="331">
        <f>AZ468*AW468</f>
        <v/>
      </c>
      <c r="BF468" s="331">
        <f>BA468*AW468</f>
        <v/>
      </c>
      <c r="BG468" s="331">
        <f>BB468*AW468</f>
        <v/>
      </c>
      <c r="BH468" s="331">
        <f>BC468*AW468</f>
        <v/>
      </c>
      <c r="BI468" s="331" t="n"/>
      <c r="BJ468" s="356">
        <f t="array" ref="BJ468:BM468">_xlfn.LET(_xlpm.data,$R468:$AV468,_xlpm.starts,{1,8,16,23},_xlpm.lengths,{7,7,8,9},_xlpm.arr,_xlfn.MAP(_xlpm.starts,_xlpm.lengths,_xlfn.LAMBDA(_xlpm.s,_xlpm.l,SUM(INDEX(_xlpm.data,,_xlfn.SEQUENCE(,_xlpm.l,_xlpm.s))))),ROUND(_xlpm.arr*$O468/1000,2))</f>
        <v/>
      </c>
      <c r="BK468" s="331" t="n">
        <v>9.74</v>
      </c>
      <c r="BL468" s="331" t="n">
        <v>11.13</v>
      </c>
      <c r="BM468" s="331" t="n">
        <v>12.52</v>
      </c>
      <c r="BN468" s="362">
        <f>SUM(BJ468:BM468)</f>
        <v/>
      </c>
      <c r="BO468" s="362" t="n">
        <v>1.51</v>
      </c>
      <c r="BP468" s="362" t="n">
        <v>1.51</v>
      </c>
      <c r="BQ468" s="362" t="n">
        <v>1.73</v>
      </c>
      <c r="BR468" s="362" t="n">
        <v>1.94</v>
      </c>
      <c r="BS468" s="115" t="inlineStr">
        <is>
          <t>ATV</t>
        </is>
      </c>
      <c r="BX468" s="115" t="inlineStr">
        <is>
          <t>ATV</t>
        </is>
      </c>
      <c r="BY468" s="362">
        <f>SUM(R468:X468)</f>
        <v/>
      </c>
      <c r="BZ468" s="362">
        <f>SUM(Y468:AE468)</f>
        <v/>
      </c>
      <c r="CA468" s="362">
        <f>SUM(AF468:AM468)</f>
        <v/>
      </c>
      <c r="CB468" s="362">
        <f>SUM(AN468:AV468)</f>
        <v/>
      </c>
      <c r="CD468" s="440" t="inlineStr">
        <is>
          <t>TIDAK ADA</t>
        </is>
      </c>
      <c r="CE468" s="380">
        <f>ROUND(BY468*$O468/1000,2)</f>
        <v/>
      </c>
      <c r="CF468" s="380">
        <f>ROUND(BZ468*$O468/1000,2)</f>
        <v/>
      </c>
      <c r="CG468" s="380">
        <f>ROUND(CA468*$O468/1000,2)</f>
        <v/>
      </c>
      <c r="CH468" s="380">
        <f>ROUND(CB468*$O468/1000,2)</f>
        <v/>
      </c>
      <c r="CI468" s="362">
        <f>SUM(CE468:CH468)</f>
        <v/>
      </c>
      <c r="CJ468" s="390" t="n"/>
      <c r="CK468" s="362">
        <f>IFERROR(ROUND(BY468*$P468,2),"")</f>
        <v/>
      </c>
      <c r="CL468" s="362">
        <f>IFERROR(ROUND(BZ468*$P468,2),"")</f>
        <v/>
      </c>
      <c r="CM468" s="362">
        <f>IFERROR(ROUND(CA468*$P468,2),"")</f>
        <v/>
      </c>
      <c r="CN468" s="362">
        <f>IFERROR(ROUND(CB468*$P468,2),"")</f>
        <v/>
      </c>
      <c r="CO468" s="362">
        <f>SUM(CK468:CN468)</f>
        <v/>
      </c>
    </row>
    <row r="469" customFormat="1" s="362">
      <c r="A469" s="433" t="n"/>
      <c r="B469" s="434" t="inlineStr">
        <is>
          <t>美国</t>
        </is>
      </c>
      <c r="C469" s="434">
        <f>IFERROR(MID(G469,FIND("-",G469)+1,2),"")</f>
        <v/>
      </c>
      <c r="D469" s="434">
        <f>"ATV"&amp;C469&amp;"寸"</f>
        <v/>
      </c>
      <c r="E469" s="436" t="inlineStr">
        <is>
          <t>26 X11.00-12-6PR-A033</t>
        </is>
      </c>
      <c r="F469" s="436" t="n"/>
      <c r="G469" s="436" t="inlineStr">
        <is>
          <t>26 X11.00-12-6PR-A033</t>
        </is>
      </c>
      <c r="H469" s="434" t="n">
        <v>1500</v>
      </c>
      <c r="I469" s="434" t="n"/>
      <c r="J469" s="434" t="n">
        <v>20</v>
      </c>
      <c r="K469" s="434" t="n"/>
      <c r="L469" s="438">
        <f>IF(J468="","",J468/(J468+$J$380/60))</f>
        <v/>
      </c>
      <c r="M469" s="438" t="n"/>
      <c r="N469" s="434" t="n"/>
      <c r="O469" s="434">
        <f>IFERROR(_xlfn.XLOOKUP(E469,轮胎重量!S:S,轮胎重量!P:P),IFERROR(_xlfn.XLOOKUP(E469,轮胎重量!AB:AB,轮胎重量!Y:Y),IFERROR(_xlfn.XLOOKUP(E469,轮胎重量!AK:AK,轮胎重量!AH:AH),IFERROR(_xlfn.XLOOKUP(E469,轮胎重量!AT:AT,轮胎重量!AQ:AQ),""))))</f>
        <v/>
      </c>
      <c r="P469" s="439">
        <f>O469*14.76</f>
        <v/>
      </c>
      <c r="Q469" s="434">
        <f>IFERROR(ROUND(1440/J469*I469*L470,0),"")</f>
        <v/>
      </c>
      <c r="R469" s="352" t="n"/>
      <c r="S469" s="352" t="n"/>
      <c r="T469" s="352" t="n"/>
      <c r="U469" s="352" t="n"/>
      <c r="V469" s="352" t="n"/>
      <c r="W469" s="352" t="n"/>
      <c r="X469" s="352" t="n"/>
      <c r="Y469" s="352" t="n"/>
      <c r="Z469" s="352" t="n"/>
      <c r="AA469" s="352" t="n"/>
      <c r="AB469" s="352" t="n">
        <v>60</v>
      </c>
      <c r="AC469" s="352" t="n">
        <v>60</v>
      </c>
      <c r="AD469" s="352" t="n">
        <v>60</v>
      </c>
      <c r="AE469" s="352" t="n">
        <v>60</v>
      </c>
      <c r="AF469" s="352" t="n">
        <v>60</v>
      </c>
      <c r="AG469" s="352" t="n">
        <v>60</v>
      </c>
      <c r="AH469" s="352" t="n">
        <v>60</v>
      </c>
      <c r="AI469" s="352" t="n">
        <v>60</v>
      </c>
      <c r="AJ469" s="352" t="n">
        <v>60</v>
      </c>
      <c r="AK469" s="352" t="n">
        <v>60</v>
      </c>
      <c r="AL469" s="352" t="n">
        <v>60</v>
      </c>
      <c r="AM469" s="352" t="n">
        <v>60</v>
      </c>
      <c r="AN469" s="352" t="n">
        <v>60</v>
      </c>
      <c r="AO469" s="352" t="n">
        <v>60</v>
      </c>
      <c r="AP469" s="352" t="n">
        <v>60</v>
      </c>
      <c r="AQ469" s="352" t="n">
        <v>60</v>
      </c>
      <c r="AR469" s="352" t="n">
        <v>60</v>
      </c>
      <c r="AS469" s="352" t="n">
        <v>60</v>
      </c>
      <c r="AT469" s="352" t="n">
        <v>60</v>
      </c>
      <c r="AU469" s="352" t="n">
        <v>60</v>
      </c>
      <c r="AV469" s="352" t="n">
        <v>60</v>
      </c>
      <c r="AW469" s="352">
        <f>IF(SUM(R469:AV469)=0,"",SUM(R469:AV469))</f>
        <v/>
      </c>
      <c r="AX469" s="431">
        <f>IFERROR(AW469*O469/1000,"")</f>
        <v/>
      </c>
      <c r="AY469" s="431">
        <f>IFERROR(ROUND(AW469*P469/10000,3),"")</f>
        <v/>
      </c>
      <c r="AZ469" s="331" t="n"/>
      <c r="BA469" s="331" t="n"/>
      <c r="BB469" s="331" t="n"/>
      <c r="BC469" s="331" t="n"/>
      <c r="BD469" s="331" t="n"/>
      <c r="BE469" s="331">
        <f>AZ469*AW469</f>
        <v/>
      </c>
      <c r="BF469" s="331">
        <f>BA469*AW469</f>
        <v/>
      </c>
      <c r="BG469" s="331">
        <f>BB469*AW469</f>
        <v/>
      </c>
      <c r="BH469" s="331">
        <f>BC469*AW469</f>
        <v/>
      </c>
      <c r="BI469" s="331" t="n"/>
      <c r="BJ469" s="356">
        <f t="array" ref="BJ469:BM469">_xlfn.LET(_xlpm.data,$R469:$AV469,_xlpm.starts,{1,8,16,23},_xlpm.lengths,{7,7,8,9},_xlpm.arr,_xlfn.MAP(_xlpm.starts,_xlpm.lengths,_xlfn.LAMBDA(_xlpm.s,_xlpm.l,SUM(INDEX(_xlpm.data,,_xlfn.SEQUENCE(,_xlpm.l,_xlpm.s))))),ROUND(_xlpm.arr*$O469/1000,2))</f>
        <v/>
      </c>
      <c r="BK469" s="331" t="n">
        <v>2.7</v>
      </c>
      <c r="BL469" s="331" t="n">
        <v>5.4</v>
      </c>
      <c r="BM469" s="331" t="n">
        <v>6.08</v>
      </c>
      <c r="BN469" s="362">
        <f>SUM(BJ469:BM469)</f>
        <v/>
      </c>
      <c r="BO469" s="362" t="n">
        <v>1.35</v>
      </c>
      <c r="BP469" s="362" t="n">
        <v>1.35</v>
      </c>
      <c r="BQ469" s="362" t="n">
        <v>1.54</v>
      </c>
      <c r="BR469" s="362" t="n">
        <v>1.74</v>
      </c>
      <c r="BS469" s="115" t="inlineStr">
        <is>
          <t>ATV</t>
        </is>
      </c>
      <c r="BX469" s="362" t="inlineStr">
        <is>
          <t>ATV</t>
        </is>
      </c>
      <c r="BY469" s="362">
        <f>SUM(R469:X469)</f>
        <v/>
      </c>
      <c r="BZ469" s="362">
        <f>SUM(Y469:AE469)</f>
        <v/>
      </c>
      <c r="CA469" s="362">
        <f>SUM(AF469:AM469)</f>
        <v/>
      </c>
      <c r="CB469" s="362">
        <f>SUM(AN469:AV469)</f>
        <v/>
      </c>
      <c r="CD469" s="440" t="inlineStr">
        <is>
          <t>TIDAK ADA</t>
        </is>
      </c>
      <c r="CE469" s="380">
        <f>ROUND(BY469*$O469/1000,2)</f>
        <v/>
      </c>
      <c r="CF469" s="380">
        <f>ROUND(BZ469*$O469/1000,2)</f>
        <v/>
      </c>
      <c r="CG469" s="380">
        <f>ROUND(CA469*$O469/1000,2)</f>
        <v/>
      </c>
      <c r="CH469" s="380">
        <f>ROUND(CB469*$O469/1000,2)</f>
        <v/>
      </c>
      <c r="CI469" s="362">
        <f>SUM(CE469:CH469)</f>
        <v/>
      </c>
      <c r="CJ469" s="390" t="n"/>
      <c r="CK469" s="362">
        <f>IFERROR(ROUND(BY469*$P469,2),"")</f>
        <v/>
      </c>
      <c r="CL469" s="362">
        <f>IFERROR(ROUND(BZ469*$P469,2),"")</f>
        <v/>
      </c>
      <c r="CM469" s="362">
        <f>IFERROR(ROUND(CA469*$P469,2),"")</f>
        <v/>
      </c>
      <c r="CN469" s="362">
        <f>IFERROR(ROUND(CB469*$P469,2),"")</f>
        <v/>
      </c>
      <c r="CO469" s="362">
        <f>SUM(CK469:CN469)</f>
        <v/>
      </c>
    </row>
    <row r="470" customFormat="1" s="362">
      <c r="A470" s="433" t="n"/>
      <c r="B470" s="434" t="inlineStr">
        <is>
          <t>美国</t>
        </is>
      </c>
      <c r="C470" s="434">
        <f>IFERROR(MID(G470,FIND("-",G470)+1,2),"")</f>
        <v/>
      </c>
      <c r="D470" s="434">
        <f>"ATV"&amp;C470&amp;"寸"</f>
        <v/>
      </c>
      <c r="E470" s="436" t="inlineStr">
        <is>
          <t>27 X 9.00-12-6PR-A033</t>
        </is>
      </c>
      <c r="F470" s="436" t="n"/>
      <c r="G470" s="436" t="inlineStr">
        <is>
          <t>27 X 9.00-12-6PR-A033</t>
        </is>
      </c>
      <c r="H470" s="434" t="n">
        <v>1500</v>
      </c>
      <c r="I470" s="434" t="n"/>
      <c r="J470" s="434" t="n">
        <v>19.2</v>
      </c>
      <c r="K470" s="434" t="n"/>
      <c r="L470" s="438">
        <f>IF(J465="","",J465/(J465+$J$380/60))</f>
        <v/>
      </c>
      <c r="M470" s="438" t="n"/>
      <c r="N470" s="434" t="n"/>
      <c r="O470" s="434">
        <f>IFERROR(_xlfn.XLOOKUP(E470,轮胎重量!S:S,轮胎重量!P:P),IFERROR(_xlfn.XLOOKUP(E470,轮胎重量!AB:AB,轮胎重量!Y:Y),IFERROR(_xlfn.XLOOKUP(E470,轮胎重量!AK:AK,轮胎重量!AH:AH),IFERROR(_xlfn.XLOOKUP(E470,轮胎重量!AT:AT,轮胎重量!AQ:AQ),""))))</f>
        <v/>
      </c>
      <c r="P470" s="439">
        <f>O470*14.76</f>
        <v/>
      </c>
      <c r="Q470" s="434">
        <f>IFERROR(ROUND(1440/J470*I470*L471,0),"")</f>
        <v/>
      </c>
      <c r="R470" s="352" t="n"/>
      <c r="S470" s="352" t="n"/>
      <c r="T470" s="352" t="n"/>
      <c r="U470" s="352" t="n"/>
      <c r="V470" s="352" t="n"/>
      <c r="W470" s="352" t="n"/>
      <c r="X470" s="352" t="n"/>
      <c r="Y470" s="352" t="n"/>
      <c r="Z470" s="352" t="n"/>
      <c r="AA470" s="352" t="n"/>
      <c r="AB470" s="352" t="n">
        <v>60</v>
      </c>
      <c r="AC470" s="352" t="n">
        <v>60</v>
      </c>
      <c r="AD470" s="352" t="n">
        <v>60</v>
      </c>
      <c r="AE470" s="352" t="n">
        <v>60</v>
      </c>
      <c r="AF470" s="352" t="n">
        <v>60</v>
      </c>
      <c r="AG470" s="352" t="n">
        <v>60</v>
      </c>
      <c r="AH470" s="352" t="n">
        <v>60</v>
      </c>
      <c r="AI470" s="352" t="n">
        <v>60</v>
      </c>
      <c r="AJ470" s="352" t="n">
        <v>60</v>
      </c>
      <c r="AK470" s="352" t="n">
        <v>60</v>
      </c>
      <c r="AL470" s="352" t="n">
        <v>60</v>
      </c>
      <c r="AM470" s="352" t="n">
        <v>60</v>
      </c>
      <c r="AN470" s="352" t="n">
        <v>60</v>
      </c>
      <c r="AO470" s="352" t="n">
        <v>60</v>
      </c>
      <c r="AP470" s="352" t="n">
        <v>60</v>
      </c>
      <c r="AQ470" s="352" t="n">
        <v>60</v>
      </c>
      <c r="AR470" s="352" t="n">
        <v>60</v>
      </c>
      <c r="AS470" s="352" t="n">
        <v>60</v>
      </c>
      <c r="AT470" s="352" t="n">
        <v>60</v>
      </c>
      <c r="AU470" s="352" t="n">
        <v>60</v>
      </c>
      <c r="AV470" s="352" t="n">
        <v>60</v>
      </c>
      <c r="AW470" s="352">
        <f>IF(SUM(R470:AV470)=0,"",SUM(R470:AV470))</f>
        <v/>
      </c>
      <c r="AX470" s="431">
        <f>IFERROR(AW470*O470/1000,"")</f>
        <v/>
      </c>
      <c r="AY470" s="431">
        <f>IFERROR(ROUND(AW470*P470/10000,3),"")</f>
        <v/>
      </c>
      <c r="AZ470" s="331" t="n"/>
      <c r="BA470" s="331" t="n"/>
      <c r="BB470" s="331" t="n"/>
      <c r="BC470" s="331" t="n"/>
      <c r="BD470" s="331" t="n"/>
      <c r="BE470" s="331">
        <f>AZ470*AW470</f>
        <v/>
      </c>
      <c r="BF470" s="331">
        <f>BA470*AW470</f>
        <v/>
      </c>
      <c r="BG470" s="331">
        <f>BB470*AW470</f>
        <v/>
      </c>
      <c r="BH470" s="331">
        <f>BC470*AW470</f>
        <v/>
      </c>
      <c r="BI470" s="331" t="n"/>
      <c r="BJ470" s="356">
        <f t="array" ref="BJ470:BM470">_xlfn.LET(_xlpm.data,$R470:$AV470,_xlpm.starts,{1,8,16,23},_xlpm.lengths,{7,7,8,9},_xlpm.arr,_xlfn.MAP(_xlpm.starts,_xlpm.lengths,_xlfn.LAMBDA(_xlpm.s,_xlpm.l,SUM(INDEX(_xlpm.data,,_xlfn.SEQUENCE(,_xlpm.l,_xlpm.s))))),ROUND(_xlpm.arr*$O470/1000,2))</f>
        <v/>
      </c>
      <c r="BK470" s="331" t="n">
        <v>2.55</v>
      </c>
      <c r="BL470" s="331" t="n">
        <v>5.11</v>
      </c>
      <c r="BM470" s="331" t="n">
        <v>5.75</v>
      </c>
      <c r="BN470" s="362">
        <f>SUM(BJ470:BM470)</f>
        <v/>
      </c>
      <c r="BO470" s="362" t="n">
        <v>18.56</v>
      </c>
      <c r="BP470" s="362" t="n">
        <v>18.56</v>
      </c>
      <c r="BQ470" s="362" t="n">
        <v>21.21</v>
      </c>
      <c r="BR470" s="362" t="n">
        <v>23.86</v>
      </c>
      <c r="BS470" s="115" t="inlineStr">
        <is>
          <t>ATV</t>
        </is>
      </c>
      <c r="BX470" s="115" t="inlineStr">
        <is>
          <t>ATV</t>
        </is>
      </c>
      <c r="BY470" s="362">
        <f>SUM(R470:X470)</f>
        <v/>
      </c>
      <c r="BZ470" s="362">
        <f>SUM(Y470:AE470)</f>
        <v/>
      </c>
      <c r="CA470" s="362">
        <f>SUM(AF470:AM470)</f>
        <v/>
      </c>
      <c r="CB470" s="362">
        <f>SUM(AN470:AV470)</f>
        <v/>
      </c>
      <c r="CD470" s="440" t="inlineStr">
        <is>
          <t>TIDAK ADA</t>
        </is>
      </c>
      <c r="CE470" s="388">
        <f>ROUND(BY470*$O470/1000,2)</f>
        <v/>
      </c>
      <c r="CF470" s="380">
        <f>ROUND(BZ470*$O470/1000,2)</f>
        <v/>
      </c>
      <c r="CG470" s="380">
        <f>ROUND(CA470*$O470/1000,2)</f>
        <v/>
      </c>
      <c r="CH470" s="380">
        <f>ROUND(CB470*$O470/1000,2)</f>
        <v/>
      </c>
      <c r="CI470" s="362">
        <f>SUM(CE470:CH470)</f>
        <v/>
      </c>
      <c r="CJ470" s="390" t="n"/>
      <c r="CK470" s="362">
        <f>IFERROR(ROUND(BY470*$P470,2),"")</f>
        <v/>
      </c>
      <c r="CL470" s="362">
        <f>IFERROR(ROUND(BZ470*$P470,2),"")</f>
        <v/>
      </c>
      <c r="CM470" s="362">
        <f>IFERROR(ROUND(CA470*$P470,2),"")</f>
        <v/>
      </c>
      <c r="CN470" s="362">
        <f>IFERROR(ROUND(CB470*$P470,2),"")</f>
        <v/>
      </c>
      <c r="CO470" s="362">
        <f>SUM(CK470:CN470)</f>
        <v/>
      </c>
    </row>
    <row r="471" hidden="1" customFormat="1" s="362">
      <c r="A471" s="331" t="n"/>
      <c r="B471" s="352" t="inlineStr">
        <is>
          <t>美国</t>
        </is>
      </c>
      <c r="C471" s="352" t="n"/>
      <c r="D471" s="352">
        <f>"ATV"&amp;C471&amp;"寸"</f>
        <v/>
      </c>
      <c r="E471" s="389" t="n"/>
      <c r="F471" s="379" t="n"/>
      <c r="G471" s="379" t="n"/>
      <c r="H471" s="352" t="n"/>
      <c r="I471" s="370" t="n"/>
      <c r="J471" s="352" t="n">
        <v>19.2</v>
      </c>
      <c r="K471" s="352" t="n"/>
      <c r="L471" s="430">
        <f>IF(J470="","",J470/(J470+$J$380/60))</f>
        <v/>
      </c>
      <c r="M471" s="430" t="n"/>
      <c r="N471" s="352" t="n"/>
      <c r="O471" s="352">
        <f>IFERROR(_xlfn.XLOOKUP(E471,轮胎重量!S:S,轮胎重量!P:P),IFERROR(_xlfn.XLOOKUP(E471,轮胎重量!AB:AB,轮胎重量!Y:Y),IFERROR(_xlfn.XLOOKUP(E471,轮胎重量!AK:AK,轮胎重量!AH:AH),IFERROR(_xlfn.XLOOKUP(E471,轮胎重量!AT:AT,轮胎重量!AQ:AQ),""))))</f>
        <v/>
      </c>
      <c r="P471" s="358">
        <f>O471*14.76</f>
        <v/>
      </c>
      <c r="Q471" s="352">
        <f>IFERROR(ROUND(1440/J471*I471*L472,0),"")</f>
        <v/>
      </c>
      <c r="R471" s="352" t="n"/>
      <c r="S471" s="352" t="n"/>
      <c r="T471" s="352" t="n"/>
      <c r="U471" s="352" t="n"/>
      <c r="V471" s="352" t="n"/>
      <c r="W471" s="352" t="n"/>
      <c r="X471" s="352" t="n"/>
      <c r="Y471" s="352" t="n"/>
      <c r="Z471" s="352" t="n"/>
      <c r="AA471" s="352" t="n"/>
      <c r="AB471" s="352" t="n"/>
      <c r="AC471" s="352" t="n"/>
      <c r="AD471" s="352" t="n"/>
      <c r="AE471" s="352" t="n"/>
      <c r="AF471" s="352" t="n"/>
      <c r="AG471" s="352" t="n"/>
      <c r="AH471" s="352" t="n"/>
      <c r="AI471" s="352" t="n"/>
      <c r="AJ471" s="352" t="n"/>
      <c r="AK471" s="352" t="n"/>
      <c r="AL471" s="352" t="n"/>
      <c r="AM471" s="352" t="n"/>
      <c r="AN471" s="352" t="n"/>
      <c r="AO471" s="352" t="n"/>
      <c r="AP471" s="352" t="n"/>
      <c r="AQ471" s="352" t="n"/>
      <c r="AR471" s="352" t="n"/>
      <c r="AS471" s="352" t="n"/>
      <c r="AT471" s="352" t="n"/>
      <c r="AU471" s="352" t="n"/>
      <c r="AV471" s="352" t="n"/>
      <c r="AW471" s="352">
        <f>IF(SUM(R471:AV471)=0,"",SUM(R471:AV471))</f>
        <v/>
      </c>
      <c r="AX471" s="431">
        <f>IFERROR(AW471*O471/1000,"")</f>
        <v/>
      </c>
      <c r="AY471" s="431">
        <f>IFERROR(ROUND(AW471*P471/10000,3),"")</f>
        <v/>
      </c>
      <c r="AZ471" s="331" t="n"/>
      <c r="BA471" s="331" t="n"/>
      <c r="BB471" s="331" t="n"/>
      <c r="BC471" s="331" t="n"/>
      <c r="BD471" s="331" t="n"/>
      <c r="BE471" s="331">
        <f>AZ471*AW471</f>
        <v/>
      </c>
      <c r="BF471" s="331">
        <f>BA471*AW471</f>
        <v/>
      </c>
      <c r="BG471" s="331">
        <f>BB471*AW471</f>
        <v/>
      </c>
      <c r="BH471" s="331">
        <f>BC471*AW471</f>
        <v/>
      </c>
      <c r="BI471" s="331" t="n"/>
      <c r="BJ471" s="356">
        <f t="array" ref="BJ471:BM471">_xlfn.LET(_xlpm.data,$R471:$AV471,_xlpm.starts,{1,8,16,23},_xlpm.lengths,{7,7,8,9},_xlpm.arr,_xlfn.MAP(_xlpm.starts,_xlpm.lengths,_xlfn.LAMBDA(_xlpm.s,_xlpm.l,SUM(INDEX(_xlpm.data,,_xlfn.SEQUENCE(,_xlpm.l,_xlpm.s))))),ROUND(_xlpm.arr*$O471/1000,2))</f>
        <v/>
      </c>
      <c r="BK471" s="331" t="n">
        <v>0</v>
      </c>
      <c r="BL471" s="331" t="n">
        <v>0</v>
      </c>
      <c r="BM471" s="331" t="n">
        <v>0</v>
      </c>
      <c r="BN471" s="362">
        <f>SUM(BJ471:BM471)</f>
        <v/>
      </c>
      <c r="BO471" s="362" t="n">
        <v>18.56</v>
      </c>
      <c r="BP471" s="362" t="n">
        <v>18.56</v>
      </c>
      <c r="BQ471" s="362" t="n">
        <v>21.21</v>
      </c>
      <c r="BR471" s="362" t="n">
        <v>23.86</v>
      </c>
      <c r="BS471" s="115" t="inlineStr">
        <is>
          <t>ATV</t>
        </is>
      </c>
      <c r="BX471" s="115" t="inlineStr">
        <is>
          <t>ATV</t>
        </is>
      </c>
      <c r="BY471" s="362">
        <f>SUM(R471:X471)</f>
        <v/>
      </c>
      <c r="BZ471" s="362">
        <f>SUM(Y471:AE471)</f>
        <v/>
      </c>
      <c r="CA471" s="362">
        <f>SUM(AF471:AM471)</f>
        <v/>
      </c>
      <c r="CB471" s="362">
        <f>SUM(AN471:AV471)</f>
        <v/>
      </c>
      <c r="CD471" s="390" t="n"/>
      <c r="CE471" s="388">
        <f>ROUND(BY471*$O471/1000,2)</f>
        <v/>
      </c>
      <c r="CF471" s="380">
        <f>ROUND(BZ471*$O471/1000,2)</f>
        <v/>
      </c>
      <c r="CG471" s="380">
        <f>ROUND(CA471*$O471/1000,2)</f>
        <v/>
      </c>
      <c r="CH471" s="380">
        <f>ROUND(CB471*$O471/1000,2)</f>
        <v/>
      </c>
      <c r="CI471" s="362">
        <f>SUM(CE471:CH471)</f>
        <v/>
      </c>
      <c r="CJ471" s="390" t="n"/>
      <c r="CK471" s="362">
        <f>IFERROR(ROUND(BY471*$P471,2),"")</f>
        <v/>
      </c>
      <c r="CL471" s="362">
        <f>IFERROR(ROUND(BZ471*$P471,2),"")</f>
        <v/>
      </c>
      <c r="CM471" s="362">
        <f>IFERROR(ROUND(CA471*$P471,2),"")</f>
        <v/>
      </c>
      <c r="CN471" s="362">
        <f>IFERROR(ROUND(CB471*$P471,2),"")</f>
        <v/>
      </c>
    </row>
    <row r="472" hidden="1" s="428">
      <c r="B472" s="352" t="inlineStr">
        <is>
          <t>美国</t>
        </is>
      </c>
      <c r="C472" s="352">
        <f>IFERROR(MID(G472,FIND("-",G472)+1,2),"")</f>
        <v/>
      </c>
      <c r="D472" s="352">
        <f>"ATV"&amp;C472&amp;"寸"</f>
        <v/>
      </c>
      <c r="E472" s="379" t="n"/>
      <c r="F472" s="389" t="n"/>
      <c r="G472" s="379" t="n"/>
      <c r="H472" s="352" t="n"/>
      <c r="I472" s="370" t="n"/>
      <c r="J472" s="352">
        <f>1200/60</f>
        <v/>
      </c>
      <c r="K472" s="352" t="n"/>
      <c r="L472" s="430">
        <f>IF(J471="","",J471/(J471+$J$380/60))</f>
        <v/>
      </c>
      <c r="M472" s="430" t="n"/>
      <c r="N472" s="352" t="n"/>
      <c r="O472" s="352">
        <f>IFERROR(_xlfn.XLOOKUP(E472,轮胎重量!S:S,轮胎重量!P:P),IFERROR(_xlfn.XLOOKUP(E472,轮胎重量!AB:AB,轮胎重量!Y:Y),IFERROR(_xlfn.XLOOKUP(E472,轮胎重量!AK:AK,轮胎重量!AH:AH),IFERROR(_xlfn.XLOOKUP(E472,轮胎重量!AT:AT,轮胎重量!AQ:AQ),""))))</f>
        <v/>
      </c>
      <c r="P472" s="358">
        <f>O472*14.76</f>
        <v/>
      </c>
      <c r="Q472" s="352">
        <f>IFERROR(ROUND(1440/J472*I472*L473,0),"")</f>
        <v/>
      </c>
      <c r="R472" s="352" t="n"/>
      <c r="S472" s="352" t="n"/>
      <c r="T472" s="352" t="n"/>
      <c r="U472" s="352" t="n"/>
      <c r="V472" s="352" t="n"/>
      <c r="W472" s="352" t="n"/>
      <c r="X472" s="352" t="n"/>
      <c r="Y472" s="352" t="n"/>
      <c r="Z472" s="352" t="n"/>
      <c r="AA472" s="352" t="n"/>
      <c r="AB472" s="352" t="n"/>
      <c r="AC472" s="352" t="n"/>
      <c r="AD472" s="352" t="n"/>
      <c r="AE472" s="352" t="n"/>
      <c r="AF472" s="352" t="n"/>
      <c r="AG472" s="352" t="n"/>
      <c r="AH472" s="352" t="n"/>
      <c r="AI472" s="352" t="n"/>
      <c r="AJ472" s="352" t="n"/>
      <c r="AK472" s="352" t="n"/>
      <c r="AL472" s="352" t="n"/>
      <c r="AM472" s="352" t="n"/>
      <c r="AN472" s="352" t="n"/>
      <c r="AO472" s="352" t="n"/>
      <c r="AP472" s="352" t="n"/>
      <c r="AQ472" s="352" t="n"/>
      <c r="AR472" s="352" t="n"/>
      <c r="AS472" s="352" t="n"/>
      <c r="AT472" s="352" t="n"/>
      <c r="AU472" s="352" t="n"/>
      <c r="AV472" s="352" t="n"/>
      <c r="AW472" s="352">
        <f>IF(SUM(R472:AV472)=0,"",SUM(R472:AV472))</f>
        <v/>
      </c>
      <c r="AX472" s="431">
        <f>IFERROR(AW472*O472/1000,"")</f>
        <v/>
      </c>
      <c r="AY472" s="431">
        <f>IFERROR(ROUND(AW472*P472/10000,3),"")</f>
        <v/>
      </c>
      <c r="AZ472" s="331" t="n"/>
      <c r="BA472" s="331" t="n"/>
      <c r="BB472" s="331" t="n"/>
      <c r="BE472" s="331">
        <f>AZ472*AW472</f>
        <v/>
      </c>
      <c r="BF472" s="331">
        <f>BA472*AW472</f>
        <v/>
      </c>
      <c r="BG472" s="331">
        <f>BB472*AW472</f>
        <v/>
      </c>
      <c r="BH472" s="331">
        <f>BC472*AW472</f>
        <v/>
      </c>
      <c r="BJ472" s="356">
        <f t="array" ref="BJ472:BM472">_xlfn.LET(_xlpm.data,$R472:$AV472,_xlpm.starts,{1,8,16,23},_xlpm.lengths,{7,7,8,9},_xlpm.arr,_xlfn.MAP(_xlpm.starts,_xlpm.lengths,_xlfn.LAMBDA(_xlpm.s,_xlpm.l,SUM(INDEX(_xlpm.data,,_xlfn.SEQUENCE(,_xlpm.l,_xlpm.s))))),ROUND(_xlpm.arr*$O472/1000,2))</f>
        <v/>
      </c>
      <c r="BK472" s="331" t="n">
        <v>0</v>
      </c>
      <c r="BL472" s="331" t="n">
        <v>0</v>
      </c>
      <c r="BM472" s="331" t="n">
        <v>0</v>
      </c>
      <c r="BN472" s="362">
        <f>SUM(BJ472:BM472)</f>
        <v/>
      </c>
      <c r="BO472" s="362" t="n">
        <v>1.51</v>
      </c>
      <c r="BP472" s="362" t="n">
        <v>1.51</v>
      </c>
      <c r="BQ472" s="362" t="n">
        <v>1.73</v>
      </c>
      <c r="BR472" s="362" t="n">
        <v>1.94</v>
      </c>
      <c r="BS472" s="115" t="inlineStr">
        <is>
          <t>ATV</t>
        </is>
      </c>
      <c r="BX472" s="115" t="inlineStr">
        <is>
          <t>ATV</t>
        </is>
      </c>
      <c r="BY472" s="362">
        <f>SUM(R472:X472)</f>
        <v/>
      </c>
      <c r="BZ472" s="362">
        <f>SUM(Y472:AE472)</f>
        <v/>
      </c>
      <c r="CA472" s="362">
        <f>SUM(AF472:AM472)</f>
        <v/>
      </c>
      <c r="CB472" s="362">
        <f>SUM(AN472:AV472)</f>
        <v/>
      </c>
      <c r="CE472" s="380">
        <f>ROUND(BY472*$O472/1000,2)</f>
        <v/>
      </c>
      <c r="CF472" s="380">
        <f>ROUND(BZ472*$O472/1000,2)</f>
        <v/>
      </c>
      <c r="CG472" s="380">
        <f>ROUND(CA472*$O472/1000,2)</f>
        <v/>
      </c>
      <c r="CH472" s="380">
        <f>ROUND(CB472*$O472/1000,2)</f>
        <v/>
      </c>
      <c r="CI472" s="362">
        <f>SUM(CE472:CH472)</f>
        <v/>
      </c>
      <c r="CK472" s="362">
        <f>IFERROR(ROUND(BY472*$P472,2),"")</f>
        <v/>
      </c>
      <c r="CL472" s="362">
        <f>IFERROR(ROUND(BZ472*$P472,2),"")</f>
        <v/>
      </c>
      <c r="CM472" s="362">
        <f>IFERROR(ROUND(CA472*$P472,2),"")</f>
        <v/>
      </c>
      <c r="CN472" s="362">
        <f>IFERROR(ROUND(CB472*$P472,2),"")</f>
        <v/>
      </c>
      <c r="CO472" s="362">
        <f>SUM(CK472:CN472)</f>
        <v/>
      </c>
    </row>
    <row r="473" hidden="1" s="428">
      <c r="B473" s="352" t="inlineStr">
        <is>
          <t>美国</t>
        </is>
      </c>
      <c r="C473" s="352">
        <f>IFERROR(MID(G473,FIND("-",G473)+1,2),"")</f>
        <v/>
      </c>
      <c r="D473" s="352">
        <f>"ATV"&amp;C473&amp;"寸"</f>
        <v/>
      </c>
      <c r="E473" s="379" t="n"/>
      <c r="F473" s="389" t="n"/>
      <c r="G473" s="379" t="n"/>
      <c r="H473" s="352" t="n"/>
      <c r="I473" s="370" t="n"/>
      <c r="J473" s="352" t="n">
        <v>20</v>
      </c>
      <c r="K473" s="352" t="n"/>
      <c r="L473" s="430">
        <f>IF(J472="","",J472/(J472+$J$380/60))</f>
        <v/>
      </c>
      <c r="M473" s="430" t="n"/>
      <c r="N473" s="352" t="n"/>
      <c r="O473" s="352">
        <f>IFERROR(_xlfn.XLOOKUP(E473,轮胎重量!S:S,轮胎重量!P:P),IFERROR(_xlfn.XLOOKUP(E473,轮胎重量!AB:AB,轮胎重量!Y:Y),IFERROR(_xlfn.XLOOKUP(E473,轮胎重量!AK:AK,轮胎重量!AH:AH),IFERROR(_xlfn.XLOOKUP(E473,轮胎重量!AT:AT,轮胎重量!AQ:AQ),""))))</f>
        <v/>
      </c>
      <c r="P473" s="358">
        <f>O473*14.76</f>
        <v/>
      </c>
      <c r="Q473" s="352">
        <f>IFERROR(ROUND(1440/J473*I473*L474,0),"")</f>
        <v/>
      </c>
      <c r="R473" s="352" t="n"/>
      <c r="S473" s="352" t="n"/>
      <c r="T473" s="352" t="n"/>
      <c r="U473" s="352" t="n"/>
      <c r="V473" s="352" t="n"/>
      <c r="W473" s="352" t="n"/>
      <c r="X473" s="352" t="n"/>
      <c r="Y473" s="352" t="n"/>
      <c r="Z473" s="352" t="n"/>
      <c r="AA473" s="352" t="n"/>
      <c r="AB473" s="352" t="n"/>
      <c r="AC473" s="352" t="n"/>
      <c r="AD473" s="352" t="n"/>
      <c r="AE473" s="352" t="n"/>
      <c r="AF473" s="352" t="n"/>
      <c r="AG473" s="352" t="n"/>
      <c r="AH473" s="352" t="n"/>
      <c r="AI473" s="352" t="n"/>
      <c r="AJ473" s="352" t="n"/>
      <c r="AK473" s="352" t="n"/>
      <c r="AL473" s="352" t="n"/>
      <c r="AM473" s="352" t="n"/>
      <c r="AN473" s="352" t="n"/>
      <c r="AO473" s="352" t="n"/>
      <c r="AP473" s="352" t="n"/>
      <c r="AQ473" s="352" t="n"/>
      <c r="AR473" s="352" t="n"/>
      <c r="AS473" s="352" t="n"/>
      <c r="AT473" s="352" t="n"/>
      <c r="AU473" s="352" t="n"/>
      <c r="AV473" s="352" t="n"/>
      <c r="AW473" s="352">
        <f>IF(SUM(R473:AV473)=0,"",SUM(R473:AV473))</f>
        <v/>
      </c>
      <c r="AX473" s="431">
        <f>IFERROR(AW473*O473/1000,"")</f>
        <v/>
      </c>
      <c r="AY473" s="431">
        <f>IFERROR(ROUND(AW473*P473/10000,3),"")</f>
        <v/>
      </c>
      <c r="AZ473" s="331" t="n"/>
      <c r="BA473" s="331" t="n"/>
      <c r="BB473" s="331" t="n"/>
      <c r="BE473" s="331">
        <f>AZ473*AW473</f>
        <v/>
      </c>
      <c r="BF473" s="331">
        <f>BA473*AW473</f>
        <v/>
      </c>
      <c r="BG473" s="331">
        <f>BB473*AW473</f>
        <v/>
      </c>
      <c r="BH473" s="331">
        <f>BC473*AW473</f>
        <v/>
      </c>
      <c r="BJ473" s="356">
        <f t="array" ref="BJ473:BM473">_xlfn.LET(_xlpm.data,$R473:$AV473,_xlpm.starts,{1,8,16,23},_xlpm.lengths,{7,7,8,9},_xlpm.arr,_xlfn.MAP(_xlpm.starts,_xlpm.lengths,_xlfn.LAMBDA(_xlpm.s,_xlpm.l,SUM(INDEX(_xlpm.data,,_xlfn.SEQUENCE(,_xlpm.l,_xlpm.s))))),ROUND(_xlpm.arr*$O473/1000,2))</f>
        <v/>
      </c>
      <c r="BK473" s="331" t="n">
        <v>0</v>
      </c>
      <c r="BL473" s="331" t="n">
        <v>0</v>
      </c>
      <c r="BM473" s="331" t="n">
        <v>0</v>
      </c>
      <c r="BN473" s="362">
        <f>SUM(BJ473:BM473)</f>
        <v/>
      </c>
      <c r="BO473" s="362" t="n">
        <v>1.35</v>
      </c>
      <c r="BP473" s="362" t="n">
        <v>1.35</v>
      </c>
      <c r="BQ473" s="362" t="n">
        <v>1.54</v>
      </c>
      <c r="BR473" s="362" t="n">
        <v>1.74</v>
      </c>
      <c r="BS473" s="115" t="inlineStr">
        <is>
          <t>ATV</t>
        </is>
      </c>
      <c r="BX473" s="362" t="inlineStr">
        <is>
          <t>ATV</t>
        </is>
      </c>
      <c r="BY473" s="362">
        <f>SUM(R473:X473)</f>
        <v/>
      </c>
      <c r="BZ473" s="362">
        <f>SUM(Y473:AE473)</f>
        <v/>
      </c>
      <c r="CA473" s="362">
        <f>SUM(AF473:AM473)</f>
        <v/>
      </c>
      <c r="CB473" s="362">
        <f>SUM(AN473:AV473)</f>
        <v/>
      </c>
      <c r="CE473" s="380">
        <f>ROUND(BY473*$O473/1000,2)</f>
        <v/>
      </c>
      <c r="CF473" s="380">
        <f>ROUND(BZ473*$O473/1000,2)</f>
        <v/>
      </c>
      <c r="CG473" s="380">
        <f>ROUND(CA473*$O473/1000,2)</f>
        <v/>
      </c>
      <c r="CH473" s="380">
        <f>ROUND(CB473*$O473/1000,2)</f>
        <v/>
      </c>
      <c r="CI473" s="362">
        <f>SUM(CE473:CH473)</f>
        <v/>
      </c>
      <c r="CK473" s="362">
        <f>IFERROR(ROUND(BY473*$P473,2),"")</f>
        <v/>
      </c>
      <c r="CL473" s="362">
        <f>IFERROR(ROUND(BZ473*$P473,2),"")</f>
        <v/>
      </c>
      <c r="CM473" s="362">
        <f>IFERROR(ROUND(CA473*$P473,2),"")</f>
        <v/>
      </c>
      <c r="CN473" s="362">
        <f>IFERROR(ROUND(CB473*$P473,2),"")</f>
        <v/>
      </c>
      <c r="CO473" s="362">
        <f>SUM(CK473:CN473)</f>
        <v/>
      </c>
    </row>
    <row r="474" hidden="1" customFormat="1" s="362">
      <c r="A474" s="331" t="n"/>
      <c r="B474" s="352" t="n"/>
      <c r="C474" s="352" t="n"/>
      <c r="D474" s="352" t="n"/>
      <c r="E474" s="379" t="n"/>
      <c r="F474" s="389" t="n"/>
      <c r="G474" s="379" t="n"/>
      <c r="H474" s="352" t="n"/>
      <c r="I474" s="370" t="n"/>
      <c r="J474" s="352">
        <f>1200/60</f>
        <v/>
      </c>
      <c r="K474" s="352" t="n"/>
      <c r="L474" s="430">
        <f>IF(J473="","",J473/(J473+$J$380/60))</f>
        <v/>
      </c>
      <c r="M474" s="430" t="n"/>
      <c r="N474" s="352" t="n"/>
      <c r="O474" s="352">
        <f>IFERROR(_xlfn.XLOOKUP(E474,轮胎重量!S:S,轮胎重量!P:P),IFERROR(_xlfn.XLOOKUP(E474,轮胎重量!AB:AB,轮胎重量!Y:Y),IFERROR(_xlfn.XLOOKUP(E474,轮胎重量!AK:AK,轮胎重量!AH:AH),IFERROR(_xlfn.XLOOKUP(E474,轮胎重量!AT:AT,轮胎重量!AQ:AQ),""))))</f>
        <v/>
      </c>
      <c r="P474" s="358">
        <f>O474*14.76</f>
        <v/>
      </c>
      <c r="Q474" s="352">
        <f>IFERROR(ROUND(1440/J474*I474*L475,0),"")</f>
        <v/>
      </c>
      <c r="R474" s="352" t="n"/>
      <c r="S474" s="352" t="n"/>
      <c r="T474" s="352" t="n"/>
      <c r="U474" s="352" t="n"/>
      <c r="V474" s="352" t="n"/>
      <c r="W474" s="352" t="n"/>
      <c r="X474" s="352" t="n"/>
      <c r="Y474" s="352" t="n"/>
      <c r="Z474" s="352" t="n"/>
      <c r="AA474" s="352" t="n"/>
      <c r="AB474" s="352" t="n"/>
      <c r="AC474" s="352" t="n"/>
      <c r="AD474" s="352" t="n"/>
      <c r="AE474" s="352" t="n"/>
      <c r="AF474" s="352" t="n"/>
      <c r="AG474" s="352" t="n"/>
      <c r="AH474" s="352" t="n"/>
      <c r="AI474" s="352" t="n"/>
      <c r="AJ474" s="352" t="n"/>
      <c r="AK474" s="352" t="n"/>
      <c r="AL474" s="352" t="n"/>
      <c r="AM474" s="352" t="n"/>
      <c r="AN474" s="352" t="n"/>
      <c r="AO474" s="352" t="n"/>
      <c r="AP474" s="352" t="n"/>
      <c r="AQ474" s="352" t="n"/>
      <c r="AR474" s="352" t="n"/>
      <c r="AS474" s="352" t="n"/>
      <c r="AT474" s="352" t="n"/>
      <c r="AU474" s="352" t="n"/>
      <c r="AV474" s="352" t="n"/>
      <c r="AW474" s="352">
        <f>IF(SUM(R474:AV474)=0,"",SUM(R474:AV474))</f>
        <v/>
      </c>
      <c r="AX474" s="431">
        <f>IFERROR(AW474*O474/1000,"")</f>
        <v/>
      </c>
      <c r="AY474" s="431">
        <f>IFERROR(ROUND(AW474*P474/10000,3),"")</f>
        <v/>
      </c>
      <c r="AZ474" s="331" t="n"/>
      <c r="BA474" s="331" t="n"/>
      <c r="BB474" s="331" t="n"/>
      <c r="BC474" s="331" t="n"/>
      <c r="BD474" s="331" t="n"/>
      <c r="BE474" s="331">
        <f>AZ474*AW474</f>
        <v/>
      </c>
      <c r="BF474" s="331">
        <f>BA474*AW474</f>
        <v/>
      </c>
      <c r="BG474" s="331">
        <f>BB474*AW474</f>
        <v/>
      </c>
      <c r="BH474" s="331">
        <f>BC474*AW474</f>
        <v/>
      </c>
      <c r="BI474" s="331" t="n"/>
      <c r="BJ474" s="356">
        <f t="array" ref="BJ474:BM474">_xlfn.LET(_xlpm.data,$R474:$AV474,_xlpm.starts,{1,8,16,23},_xlpm.lengths,{7,7,8,9},_xlpm.arr,_xlfn.MAP(_xlpm.starts,_xlpm.lengths,_xlfn.LAMBDA(_xlpm.s,_xlpm.l,SUM(INDEX(_xlpm.data,,_xlfn.SEQUENCE(,_xlpm.l,_xlpm.s))))),ROUND(_xlpm.arr*$O474/1000,2))</f>
        <v/>
      </c>
      <c r="BK474" s="331" t="n">
        <v>0</v>
      </c>
      <c r="BL474" s="331" t="n">
        <v>0</v>
      </c>
      <c r="BM474" s="331" t="n">
        <v>0</v>
      </c>
      <c r="BN474" s="362">
        <f>SUM(BJ474:BM474)</f>
        <v/>
      </c>
      <c r="BO474" s="362" t="n">
        <v>1.51</v>
      </c>
      <c r="BP474" s="362" t="n">
        <v>1.51</v>
      </c>
      <c r="BQ474" s="362" t="n">
        <v>1.73</v>
      </c>
      <c r="BR474" s="362" t="n">
        <v>1.94</v>
      </c>
      <c r="BS474" s="115" t="inlineStr">
        <is>
          <t>ATV</t>
        </is>
      </c>
      <c r="BX474" s="362" t="inlineStr">
        <is>
          <t>ATV</t>
        </is>
      </c>
      <c r="BY474" s="362">
        <f>SUM(R474:X474)</f>
        <v/>
      </c>
      <c r="BZ474" s="362">
        <f>SUM(Y474:AE474)</f>
        <v/>
      </c>
      <c r="CA474" s="362">
        <f>SUM(AF474:AM474)</f>
        <v/>
      </c>
      <c r="CB474" s="362">
        <f>SUM(AN474:AV474)</f>
        <v/>
      </c>
      <c r="CD474" s="390" t="n"/>
      <c r="CE474" s="380">
        <f>ROUND(BY474*$O474/1000,2)</f>
        <v/>
      </c>
      <c r="CF474" s="380">
        <f>ROUND(BZ474*$O474/1000,2)</f>
        <v/>
      </c>
      <c r="CG474" s="380">
        <f>ROUND(CA474*$O474/1000,2)</f>
        <v/>
      </c>
      <c r="CH474" s="380">
        <f>ROUND(CB474*$O474/1000,2)</f>
        <v/>
      </c>
      <c r="CI474" s="362">
        <f>SUM(CE474:CH474)</f>
        <v/>
      </c>
      <c r="CJ474" s="390" t="n"/>
      <c r="CK474" s="362">
        <f>IFERROR(ROUND(BY474*$P474,2),"")</f>
        <v/>
      </c>
      <c r="CL474" s="362">
        <f>IFERROR(ROUND(BZ474*$P474,2),"")</f>
        <v/>
      </c>
      <c r="CM474" s="362">
        <f>IFERROR(ROUND(CA474*$P474,2),"")</f>
        <v/>
      </c>
      <c r="CN474" s="362">
        <f>IFERROR(ROUND(CB474*$P474,2),"")</f>
        <v/>
      </c>
      <c r="CO474" s="362">
        <f>SUM(CK474:CN474)</f>
        <v/>
      </c>
    </row>
    <row r="475" customFormat="1" s="362">
      <c r="A475" s="331" t="n"/>
      <c r="B475" s="352" t="inlineStr">
        <is>
          <t>美国</t>
        </is>
      </c>
      <c r="C475" s="352">
        <f>IFERROR(MID(G475,FIND("-",G475)+1,2),"")</f>
        <v/>
      </c>
      <c r="D475" s="352">
        <f>"ATD"&amp;C475&amp;"寸"</f>
        <v/>
      </c>
      <c r="E475" s="379" t="inlineStr">
        <is>
          <t>23X8.50-12-6PR-STRONG GUARD SS</t>
        </is>
      </c>
      <c r="F475" s="389" t="n"/>
      <c r="G475" s="379" t="inlineStr">
        <is>
          <t>ID23×8.50-12-6PR[STRONG GUARD SS]101A2 HERCULES无内</t>
        </is>
      </c>
      <c r="H475" s="352" t="n">
        <v>160</v>
      </c>
      <c r="I475" s="370" t="n">
        <v>2</v>
      </c>
      <c r="J475" s="352" t="n">
        <v>20</v>
      </c>
      <c r="K475" s="352" t="n"/>
      <c r="L475" s="430">
        <f>IF(J474="","",J474/(J474+$J$380/60))</f>
        <v/>
      </c>
      <c r="M475" s="430" t="n"/>
      <c r="N475" s="352" t="n"/>
      <c r="O475" s="352">
        <f>IFERROR(_xlfn.XLOOKUP(E475,轮胎重量!S:S,轮胎重量!P:P),IFERROR(_xlfn.XLOOKUP(E475,轮胎重量!AB:AB,轮胎重量!Y:Y),IFERROR(_xlfn.XLOOKUP(E475,轮胎重量!AK:AK,轮胎重量!AH:AH),IFERROR(_xlfn.XLOOKUP(E475,轮胎重量!AT:AT,轮胎重量!AQ:AQ),""))))</f>
        <v/>
      </c>
      <c r="P475" s="358">
        <f>O475*14.76</f>
        <v/>
      </c>
      <c r="Q475" s="352">
        <f>IFERROR(ROUND(1440/J475*I475*L476,0),"")</f>
        <v/>
      </c>
      <c r="R475" s="352" t="n"/>
      <c r="S475" s="352" t="n"/>
      <c r="T475" s="352" t="n"/>
      <c r="U475" s="352" t="n"/>
      <c r="V475" s="352" t="n"/>
      <c r="W475" s="352" t="n"/>
      <c r="X475" s="352" t="n"/>
      <c r="Y475" s="352" t="n"/>
      <c r="Z475" s="352" t="n">
        <v>100</v>
      </c>
      <c r="AA475" s="352" t="n">
        <v>100</v>
      </c>
      <c r="AB475" s="352" t="n"/>
      <c r="AC475" s="352" t="n"/>
      <c r="AD475" s="352" t="n"/>
      <c r="AE475" s="352" t="n"/>
      <c r="AF475" s="352" t="n"/>
      <c r="AG475" s="352" t="n"/>
      <c r="AH475" s="352" t="n"/>
      <c r="AI475" s="352" t="n"/>
      <c r="AJ475" s="352" t="n"/>
      <c r="AK475" s="352" t="n"/>
      <c r="AL475" s="352" t="n"/>
      <c r="AM475" s="352" t="n"/>
      <c r="AN475" s="352" t="n"/>
      <c r="AO475" s="352" t="n"/>
      <c r="AP475" s="352" t="n"/>
      <c r="AQ475" s="352" t="n"/>
      <c r="AR475" s="352" t="n"/>
      <c r="AS475" s="352" t="n"/>
      <c r="AT475" s="352" t="n"/>
      <c r="AU475" s="352" t="n"/>
      <c r="AV475" s="352" t="n"/>
      <c r="AW475" s="352">
        <f>IF(SUM(R475:AV475)=0,"",SUM(R475:AV475))</f>
        <v/>
      </c>
      <c r="AX475" s="431">
        <f>IFERROR(AW475*O475/1000,"")</f>
        <v/>
      </c>
      <c r="AY475" s="431">
        <f>IFERROR(ROUND(AW475*P475/10000,3),"")</f>
        <v/>
      </c>
      <c r="AZ475" s="331" t="n"/>
      <c r="BA475" s="331" t="n"/>
      <c r="BB475" s="331" t="n"/>
      <c r="BC475" s="331" t="n"/>
      <c r="BD475" s="331" t="n"/>
      <c r="BE475" s="331">
        <f>AZ475*AW475</f>
        <v/>
      </c>
      <c r="BF475" s="331">
        <f>BA475*AW475</f>
        <v/>
      </c>
      <c r="BG475" s="331">
        <f>BB475*AW475</f>
        <v/>
      </c>
      <c r="BH475" s="331">
        <f>BC475*AW475</f>
        <v/>
      </c>
      <c r="BI475" s="331" t="n"/>
      <c r="BJ475" s="356">
        <f t="array" ref="BJ475:BM475">_xlfn.LET(_xlpm.data,$R475:$AV475,_xlpm.starts,{1,8,16,23},_xlpm.lengths,{7,7,8,9},_xlpm.arr,_xlfn.MAP(_xlpm.starts,_xlpm.lengths,_xlfn.LAMBDA(_xlpm.s,_xlpm.l,SUM(INDEX(_xlpm.data,,_xlfn.SEQUENCE(,_xlpm.l,_xlpm.s))))),ROUND(_xlpm.arr*$O475/1000,2))</f>
        <v/>
      </c>
      <c r="BK475" s="331" t="n">
        <v>2.4</v>
      </c>
      <c r="BL475" s="331" t="n">
        <v>0</v>
      </c>
      <c r="BM475" s="331" t="n">
        <v>0</v>
      </c>
      <c r="BN475" s="362">
        <f>SUM(BJ475:BM475)</f>
        <v/>
      </c>
      <c r="BO475" s="362" t="n">
        <v>1.35</v>
      </c>
      <c r="BP475" s="362" t="n">
        <v>1.35</v>
      </c>
      <c r="BQ475" s="362" t="n">
        <v>1.54</v>
      </c>
      <c r="BR475" s="362" t="n">
        <v>1.74</v>
      </c>
      <c r="BS475" s="115" t="inlineStr">
        <is>
          <t>ATD</t>
        </is>
      </c>
      <c r="BX475" s="115" t="inlineStr">
        <is>
          <t>ATD</t>
        </is>
      </c>
      <c r="BY475" s="362">
        <f>SUM(R475:X475)</f>
        <v/>
      </c>
      <c r="BZ475" s="362">
        <f>SUM(Y475:AE475)</f>
        <v/>
      </c>
      <c r="CA475" s="362">
        <f>SUM(AF475:AM475)</f>
        <v/>
      </c>
      <c r="CB475" s="362">
        <f>SUM(AN475:AV475)</f>
        <v/>
      </c>
      <c r="CD475" s="432" t="inlineStr">
        <is>
          <t>ADA</t>
        </is>
      </c>
      <c r="CE475" s="380">
        <f>ROUND(BY475*$O475/1000,2)</f>
        <v/>
      </c>
      <c r="CF475" s="380">
        <f>ROUND(BZ475*$O475/1000,2)</f>
        <v/>
      </c>
      <c r="CG475" s="380">
        <f>ROUND(CA475*$O475/1000,2)</f>
        <v/>
      </c>
      <c r="CH475" s="380">
        <f>ROUND(CB475*$O475/1000,2)</f>
        <v/>
      </c>
      <c r="CI475" s="362">
        <f>SUM(CE475:CH475)</f>
        <v/>
      </c>
      <c r="CJ475" s="390" t="n"/>
      <c r="CK475" s="362">
        <f>IFERROR(ROUND(BY475*$P475,2),"")</f>
        <v/>
      </c>
      <c r="CL475" s="362">
        <f>IFERROR(ROUND(BZ475*$P475,2),"")</f>
        <v/>
      </c>
      <c r="CM475" s="362">
        <f>IFERROR(ROUND(CA475*$P475,2),"")</f>
        <v/>
      </c>
      <c r="CN475" s="362">
        <f>IFERROR(ROUND(CB475*$P475,2),"")</f>
        <v/>
      </c>
      <c r="CO475" s="362">
        <f>SUM(CK475:CN475)</f>
        <v/>
      </c>
    </row>
    <row r="476" customFormat="1" s="362">
      <c r="A476" s="331" t="n"/>
      <c r="B476" s="352" t="inlineStr">
        <is>
          <t>美国</t>
        </is>
      </c>
      <c r="C476" s="352">
        <f>IFERROR(MID(G476,FIND("-",G476)+1,2),"")</f>
        <v/>
      </c>
      <c r="D476" s="352">
        <f>"ATD"&amp;C476&amp;"寸"</f>
        <v/>
      </c>
      <c r="E476" s="379">
        <f>LEFT(REPLACE(G476,1,2,""),FIND("[",REPLACE(G476,1,2,""))-1)&amp;"-"&amp;MID(REPLACE(G476,1,2,""),FIND("[",REPLACE(G476,1,2,""))+1,FIND("]",REPLACE(G476,1,2,""))-FIND("[",REPLACE(G476,1,2,""))-1)</f>
        <v/>
      </c>
      <c r="F476" s="389" t="n"/>
      <c r="G476" s="379" t="inlineStr">
        <is>
          <t>ID26×12-12-8PR[STRONG GUARD R1]119A2 HERCULES无内</t>
        </is>
      </c>
      <c r="H476" s="352" t="n">
        <v>250</v>
      </c>
      <c r="I476" s="370" t="n">
        <v>2</v>
      </c>
      <c r="J476" s="352">
        <f>1200/60</f>
        <v/>
      </c>
      <c r="K476" s="352" t="n"/>
      <c r="L476" s="430">
        <f>IF(J475="","",J475/(J475+$J$380/60))</f>
        <v/>
      </c>
      <c r="M476" s="430" t="n"/>
      <c r="N476" s="352" t="n"/>
      <c r="O476" s="352">
        <f>IFERROR(_xlfn.XLOOKUP(E476,轮胎重量!S:S,轮胎重量!P:P),IFERROR(_xlfn.XLOOKUP(E476,轮胎重量!AB:AB,轮胎重量!Y:Y),IFERROR(_xlfn.XLOOKUP(E476,轮胎重量!AK:AK,轮胎重量!AH:AH),IFERROR(_xlfn.XLOOKUP(E476,轮胎重量!AT:AT,轮胎重量!AQ:AQ),""))))</f>
        <v/>
      </c>
      <c r="P476" s="358">
        <f>O476*14.76</f>
        <v/>
      </c>
      <c r="Q476" s="352">
        <f>IFERROR(ROUND(1440/J476*I476*L477,0),"")</f>
        <v/>
      </c>
      <c r="R476" s="352" t="n"/>
      <c r="S476" s="352" t="n"/>
      <c r="T476" s="352" t="n"/>
      <c r="U476" s="352" t="n"/>
      <c r="V476" s="352" t="n"/>
      <c r="W476" s="352" t="n">
        <v>100</v>
      </c>
      <c r="X476" s="352" t="n">
        <v>100</v>
      </c>
      <c r="Y476" s="352" t="n">
        <v>100</v>
      </c>
      <c r="Z476" s="352" t="n"/>
      <c r="AA476" s="352" t="n"/>
      <c r="AB476" s="352" t="n"/>
      <c r="AC476" s="352" t="n"/>
      <c r="AD476" s="352" t="n"/>
      <c r="AE476" s="352" t="n"/>
      <c r="AF476" s="352" t="n"/>
      <c r="AG476" s="352" t="n"/>
      <c r="AH476" s="352" t="n"/>
      <c r="AI476" s="352" t="n"/>
      <c r="AJ476" s="352" t="n"/>
      <c r="AK476" s="352" t="n"/>
      <c r="AL476" s="352" t="n"/>
      <c r="AM476" s="352" t="n"/>
      <c r="AN476" s="352" t="n"/>
      <c r="AO476" s="352" t="n"/>
      <c r="AP476" s="352" t="n"/>
      <c r="AQ476" s="352" t="n"/>
      <c r="AR476" s="352" t="n"/>
      <c r="AS476" s="352" t="n"/>
      <c r="AT476" s="352" t="n"/>
      <c r="AU476" s="352" t="n"/>
      <c r="AV476" s="352" t="n"/>
      <c r="AW476" s="352">
        <f>IF(SUM(R476:AV476)=0,"",SUM(R476:AV476))</f>
        <v/>
      </c>
      <c r="AX476" s="431">
        <f>IFERROR(AW476*O476/1000,"")</f>
        <v/>
      </c>
      <c r="AY476" s="431">
        <f>IFERROR(ROUND(AW476*P476/10000,3),"")</f>
        <v/>
      </c>
      <c r="AZ476" s="331" t="n"/>
      <c r="BA476" s="331" t="n"/>
      <c r="BB476" s="331" t="n"/>
      <c r="BC476" s="331" t="n"/>
      <c r="BD476" s="331" t="n"/>
      <c r="BE476" s="331">
        <f>AZ476*AW476</f>
        <v/>
      </c>
      <c r="BF476" s="331">
        <f>BA476*AW476</f>
        <v/>
      </c>
      <c r="BG476" s="331">
        <f>BB476*AW476</f>
        <v/>
      </c>
      <c r="BH476" s="331">
        <f>BC476*AW476</f>
        <v/>
      </c>
      <c r="BI476" s="331" t="n"/>
      <c r="BJ476" s="356">
        <f t="array" ref="BJ476:BM476">_xlfn.LET(_xlpm.data,$R476:$AV476,_xlpm.starts,{1,8,16,23},_xlpm.lengths,{7,7,8,9},_xlpm.arr,_xlfn.MAP(_xlpm.starts,_xlpm.lengths,_xlfn.LAMBDA(_xlpm.s,_xlpm.l,SUM(INDEX(_xlpm.data,,_xlfn.SEQUENCE(,_xlpm.l,_xlpm.s))))),ROUND(_xlpm.arr*$O476/1000,2))</f>
        <v/>
      </c>
      <c r="BK476" s="331" t="n">
        <v>2.14</v>
      </c>
      <c r="BL476" s="331" t="n">
        <v>0</v>
      </c>
      <c r="BM476" s="331" t="n">
        <v>0</v>
      </c>
      <c r="BN476" s="362">
        <f>SUM(BJ476:BM476)</f>
        <v/>
      </c>
      <c r="BO476" s="362" t="n">
        <v>0.13</v>
      </c>
      <c r="BP476" s="362" t="n">
        <v>0.86</v>
      </c>
      <c r="BQ476" s="362" t="n">
        <v>1.73</v>
      </c>
      <c r="BR476" s="362" t="n">
        <v>1.94</v>
      </c>
      <c r="BS476" s="115" t="inlineStr">
        <is>
          <t>ATD</t>
        </is>
      </c>
      <c r="BX476" s="115" t="inlineStr">
        <is>
          <t>ATD</t>
        </is>
      </c>
      <c r="BY476" s="362">
        <f>SUM(R476:X476)</f>
        <v/>
      </c>
      <c r="BZ476" s="362">
        <f>SUM(Y476:AE476)</f>
        <v/>
      </c>
      <c r="CA476" s="362">
        <f>SUM(AF476:AM476)</f>
        <v/>
      </c>
      <c r="CB476" s="362">
        <f>SUM(AN476:AV476)</f>
        <v/>
      </c>
      <c r="CD476" s="432" t="inlineStr">
        <is>
          <t>ADA</t>
        </is>
      </c>
      <c r="CE476" s="380">
        <f>ROUND(BY476*$O476/1000,2)</f>
        <v/>
      </c>
      <c r="CF476" s="380">
        <f>ROUND(BZ476*$O476/1000,2)</f>
        <v/>
      </c>
      <c r="CG476" s="380">
        <f>ROUND(CA476*$O476/1000,2)</f>
        <v/>
      </c>
      <c r="CH476" s="380">
        <f>ROUND(CB476*$O476/1000,2)</f>
        <v/>
      </c>
      <c r="CI476" s="362">
        <f>SUM(CE476:CH476)</f>
        <v/>
      </c>
      <c r="CJ476" s="390" t="n"/>
      <c r="CK476" s="362">
        <f>IFERROR(ROUND(BY476*$P476,2),"")</f>
        <v/>
      </c>
      <c r="CL476" s="362">
        <f>IFERROR(ROUND(BZ476*$P476,2),"")</f>
        <v/>
      </c>
      <c r="CM476" s="362">
        <f>IFERROR(ROUND(CA476*$P476,2),"")</f>
        <v/>
      </c>
      <c r="CN476" s="362">
        <f>IFERROR(ROUND(CB476*$P476,2),"")</f>
        <v/>
      </c>
      <c r="CO476" s="362">
        <f>SUM(CK476:CN476)</f>
        <v/>
      </c>
    </row>
    <row r="477" customFormat="1" s="362">
      <c r="A477" s="331" t="n"/>
      <c r="B477" s="352" t="inlineStr">
        <is>
          <t>美国</t>
        </is>
      </c>
      <c r="C477" s="352">
        <f>IFERROR(MID(G477,FIND("-",G477)+1,2),"")</f>
        <v/>
      </c>
      <c r="D477" s="352">
        <f>"ATD"&amp;C477&amp;"寸"</f>
        <v/>
      </c>
      <c r="E477" s="379">
        <f>LEFT(REPLACE(G477,1,2,""),FIND("[",REPLACE(G477,1,2,""))-1)&amp;"-"&amp;MID(REPLACE(G477,1,2,""),FIND("[",REPLACE(G477,1,2,""))+1,FIND("]",REPLACE(G477,1,2,""))-FIND("[",REPLACE(G477,1,2,""))-1)</f>
        <v/>
      </c>
      <c r="F477" s="389" t="n"/>
      <c r="G477" s="379" t="inlineStr">
        <is>
          <t>ID27×8.5-15-8PR[STRONG GUARD SS]HERCULES无内</t>
        </is>
      </c>
      <c r="H477" s="352" t="n">
        <v>420</v>
      </c>
      <c r="I477" s="370" t="n">
        <v>2</v>
      </c>
      <c r="J477" s="352" t="n">
        <v>20</v>
      </c>
      <c r="K477" s="352" t="n"/>
      <c r="L477" s="430">
        <f>IF(J476="","",J476/(J476+$J$380/60))</f>
        <v/>
      </c>
      <c r="M477" s="430" t="n"/>
      <c r="N477" s="352" t="n"/>
      <c r="O477" s="352">
        <f>IFERROR(_xlfn.XLOOKUP(E477,轮胎重量!S:S,轮胎重量!P:P),IFERROR(_xlfn.XLOOKUP(E477,轮胎重量!AB:AB,轮胎重量!Y:Y),IFERROR(_xlfn.XLOOKUP(E477,轮胎重量!AK:AK,轮胎重量!AH:AH),IFERROR(_xlfn.XLOOKUP(E477,轮胎重量!AT:AT,轮胎重量!AQ:AQ),""))))</f>
        <v/>
      </c>
      <c r="P477" s="358">
        <f>O477*14.76</f>
        <v/>
      </c>
      <c r="Q477" s="352">
        <f>IFERROR(ROUND(1440/J477*I477*L478,0),"")</f>
        <v/>
      </c>
      <c r="R477" s="352" t="n"/>
      <c r="S477" s="352" t="n"/>
      <c r="T477" s="352" t="n"/>
      <c r="U477" s="352" t="n"/>
      <c r="V477" s="352" t="n"/>
      <c r="W477" s="352" t="n"/>
      <c r="X477" s="352" t="n"/>
      <c r="Y477" s="352" t="n"/>
      <c r="Z477" s="352" t="n"/>
      <c r="AA477" s="352" t="n"/>
      <c r="AB477" s="352" t="n">
        <v>100</v>
      </c>
      <c r="AC477" s="352" t="n">
        <v>100</v>
      </c>
      <c r="AD477" s="352" t="n">
        <v>100</v>
      </c>
      <c r="AE477" s="352" t="n">
        <v>100</v>
      </c>
      <c r="AF477" s="352" t="n">
        <v>100</v>
      </c>
      <c r="AG477" s="352" t="n"/>
      <c r="AH477" s="352" t="n"/>
      <c r="AI477" s="352" t="n"/>
      <c r="AJ477" s="352" t="n"/>
      <c r="AK477" s="352" t="n"/>
      <c r="AL477" s="352" t="n"/>
      <c r="AM477" s="352" t="n"/>
      <c r="AN477" s="352" t="n"/>
      <c r="AO477" s="352" t="n"/>
      <c r="AP477" s="352" t="n"/>
      <c r="AQ477" s="352" t="n"/>
      <c r="AR477" s="352" t="n"/>
      <c r="AS477" s="352" t="n"/>
      <c r="AT477" s="352" t="n"/>
      <c r="AU477" s="352" t="n"/>
      <c r="AV477" s="352" t="n"/>
      <c r="AW477" s="352">
        <f>IF(SUM(R477:AV477)=0,"",SUM(R477:AV477))</f>
        <v/>
      </c>
      <c r="AX477" s="431">
        <f>IFERROR(AW477*O477/1000,"")</f>
        <v/>
      </c>
      <c r="AY477" s="431">
        <f>IFERROR(ROUND(AW477*P477/10000,3),"")</f>
        <v/>
      </c>
      <c r="AZ477" s="331" t="n"/>
      <c r="BA477" s="331" t="n"/>
      <c r="BB477" s="331" t="n"/>
      <c r="BC477" s="331" t="n"/>
      <c r="BD477" s="331" t="n"/>
      <c r="BE477" s="331">
        <f>AZ477*AW477</f>
        <v/>
      </c>
      <c r="BF477" s="331">
        <f>BA477*AW477</f>
        <v/>
      </c>
      <c r="BG477" s="331">
        <f>BB477*AW477</f>
        <v/>
      </c>
      <c r="BH477" s="331">
        <f>BC477*AW477</f>
        <v/>
      </c>
      <c r="BI477" s="331" t="n"/>
      <c r="BJ477" s="356">
        <f t="array" ref="BJ477:BM477">_xlfn.LET(_xlpm.data,$R477:$AV477,_xlpm.starts,{1,8,16,23},_xlpm.lengths,{7,7,8,9},_xlpm.arr,_xlfn.MAP(_xlpm.starts,_xlpm.lengths,_xlfn.LAMBDA(_xlpm.s,_xlpm.l,SUM(INDEX(_xlpm.data,,_xlfn.SEQUENCE(,_xlpm.l,_xlpm.s))))),ROUND(_xlpm.arr*$O477/1000,2))</f>
        <v/>
      </c>
      <c r="BK477" s="331" t="n">
        <v>6.23</v>
      </c>
      <c r="BL477" s="331" t="n">
        <v>0</v>
      </c>
      <c r="BM477" s="331" t="n">
        <v>0</v>
      </c>
      <c r="BN477" s="362">
        <f>SUM(BJ477:BM477)</f>
        <v/>
      </c>
      <c r="BO477" s="362" t="n">
        <v>0.12</v>
      </c>
      <c r="BP477" s="362" t="n">
        <v>0.77</v>
      </c>
      <c r="BQ477" s="362" t="n">
        <v>1.54</v>
      </c>
      <c r="BR477" s="362" t="n">
        <v>1.74</v>
      </c>
      <c r="BS477" s="115" t="inlineStr">
        <is>
          <t>ATD</t>
        </is>
      </c>
      <c r="BX477" s="115" t="inlineStr">
        <is>
          <t>ATD</t>
        </is>
      </c>
      <c r="BY477" s="362">
        <f>SUM(R477:X477)</f>
        <v/>
      </c>
      <c r="BZ477" s="362">
        <f>SUM(Y477:AE477)</f>
        <v/>
      </c>
      <c r="CA477" s="362">
        <f>SUM(AF477:AM477)</f>
        <v/>
      </c>
      <c r="CB477" s="362">
        <f>SUM(AN477:AV477)</f>
        <v/>
      </c>
      <c r="CD477" s="432" t="inlineStr">
        <is>
          <t>ADA</t>
        </is>
      </c>
      <c r="CE477" s="380">
        <f>ROUND(BY477*$O477/1000,2)</f>
        <v/>
      </c>
      <c r="CF477" s="380">
        <f>ROUND(BZ477*$O477/1000,2)</f>
        <v/>
      </c>
      <c r="CG477" s="380">
        <f>ROUND(CA477*$O477/1000,2)</f>
        <v/>
      </c>
      <c r="CH477" s="380">
        <f>ROUND(CB477*$O477/1000,2)</f>
        <v/>
      </c>
      <c r="CI477" s="362">
        <f>SUM(CE477:CH477)</f>
        <v/>
      </c>
      <c r="CJ477" s="390" t="n"/>
      <c r="CK477" s="362">
        <f>IFERROR(ROUND(BY477*$P477,2),"")</f>
        <v/>
      </c>
      <c r="CL477" s="362">
        <f>IFERROR(ROUND(BZ477*$P477,2),"")</f>
        <v/>
      </c>
      <c r="CM477" s="362">
        <f>IFERROR(ROUND(CA477*$P477,2),"")</f>
        <v/>
      </c>
      <c r="CN477" s="362">
        <f>IFERROR(ROUND(CB477*$P477,2),"")</f>
        <v/>
      </c>
      <c r="CO477" s="362">
        <f>SUM(CK477:CN477)</f>
        <v/>
      </c>
    </row>
    <row r="478" customFormat="1" s="362">
      <c r="A478" s="331" t="n"/>
      <c r="B478" s="352" t="inlineStr">
        <is>
          <t>美国</t>
        </is>
      </c>
      <c r="C478" s="352">
        <f>IFERROR(MID(G478,FIND("-",G478)+1,2),"")</f>
        <v/>
      </c>
      <c r="D478" s="352">
        <f>"ATD"&amp;C478&amp;"寸"</f>
        <v/>
      </c>
      <c r="E478" s="379" t="inlineStr">
        <is>
          <t>29X12-15-8PR-STRONG GUARD R1</t>
        </is>
      </c>
      <c r="F478" s="389" t="n"/>
      <c r="G478" s="379" t="inlineStr">
        <is>
          <t>ID29×12.5-15-8PR[STRONG GUARD R1]123A2 HERCULES无内</t>
        </is>
      </c>
      <c r="H478" s="352" t="n">
        <v>100</v>
      </c>
      <c r="I478" s="370" t="n">
        <v>2</v>
      </c>
      <c r="J478" s="352" t="n">
        <v>20</v>
      </c>
      <c r="K478" s="352" t="n"/>
      <c r="L478" s="430">
        <f>IF(J477="","",J477/(J477+$J$380/60))</f>
        <v/>
      </c>
      <c r="M478" s="430" t="n"/>
      <c r="N478" s="352" t="n"/>
      <c r="O478" s="352">
        <f>IFERROR(_xlfn.XLOOKUP(E478,轮胎重量!S:S,轮胎重量!P:P),IFERROR(_xlfn.XLOOKUP(E478,轮胎重量!AB:AB,轮胎重量!Y:Y),IFERROR(_xlfn.XLOOKUP(E478,轮胎重量!AK:AK,轮胎重量!AH:AH),IFERROR(_xlfn.XLOOKUP(E478,轮胎重量!AT:AT,轮胎重量!AQ:AQ),""))))</f>
        <v/>
      </c>
      <c r="P478" s="358">
        <f>O478*14.76</f>
        <v/>
      </c>
      <c r="Q478" s="352">
        <f>IFERROR(ROUND(1440/J478*I478*L479,0),"")</f>
        <v/>
      </c>
      <c r="R478" s="352" t="n"/>
      <c r="S478" s="352" t="n"/>
      <c r="T478" s="352" t="n"/>
      <c r="U478" s="352" t="n"/>
      <c r="V478" s="352" t="n"/>
      <c r="W478" s="352" t="n"/>
      <c r="X478" s="352" t="n"/>
      <c r="Y478" s="352" t="n"/>
      <c r="Z478" s="352" t="n"/>
      <c r="AA478" s="352" t="n"/>
      <c r="AB478" s="352" t="n"/>
      <c r="AC478" s="352" t="n"/>
      <c r="AD478" s="352" t="n"/>
      <c r="AE478" s="352" t="n"/>
      <c r="AF478" s="352" t="n"/>
      <c r="AG478" s="352" t="n">
        <v>100</v>
      </c>
      <c r="AH478" s="352" t="n">
        <v>100</v>
      </c>
      <c r="AI478" s="352" t="n"/>
      <c r="AJ478" s="352" t="n"/>
      <c r="AK478" s="352" t="n"/>
      <c r="AL478" s="352" t="n"/>
      <c r="AM478" s="352" t="n"/>
      <c r="AN478" s="352" t="n"/>
      <c r="AO478" s="352" t="n"/>
      <c r="AP478" s="352" t="n"/>
      <c r="AQ478" s="352" t="n"/>
      <c r="AR478" s="352" t="n"/>
      <c r="AS478" s="352" t="n"/>
      <c r="AT478" s="352" t="n"/>
      <c r="AU478" s="352" t="n"/>
      <c r="AV478" s="352" t="n"/>
      <c r="AW478" s="352">
        <f>IF(SUM(R478:AV478)=0,"",SUM(R478:AV478))</f>
        <v/>
      </c>
      <c r="AX478" s="431">
        <f>IFERROR(AW478*O478/1000,"")</f>
        <v/>
      </c>
      <c r="AY478" s="431">
        <f>IFERROR(ROUND(AW478*P478/10000,3),"")</f>
        <v/>
      </c>
      <c r="AZ478" s="331" t="n"/>
      <c r="BA478" s="331" t="n"/>
      <c r="BB478" s="331" t="n"/>
      <c r="BC478" s="331" t="n"/>
      <c r="BD478" s="331" t="n"/>
      <c r="BE478" s="331">
        <f>AZ478*AW478</f>
        <v/>
      </c>
      <c r="BF478" s="331">
        <f>BA478*AW478</f>
        <v/>
      </c>
      <c r="BG478" s="331">
        <f>BB478*AW478</f>
        <v/>
      </c>
      <c r="BH478" s="331">
        <f>BC478*AW478</f>
        <v/>
      </c>
      <c r="BI478" s="331" t="n"/>
      <c r="BJ478" s="356">
        <f t="array" ref="BJ478:BM478">_xlfn.LET(_xlpm.data,$R478:$AV478,_xlpm.starts,{1,8,16,23},_xlpm.lengths,{7,7,8,9},_xlpm.arr,_xlfn.MAP(_xlpm.starts,_xlpm.lengths,_xlfn.LAMBDA(_xlpm.s,_xlpm.l,SUM(INDEX(_xlpm.data,,_xlfn.SEQUENCE(,_xlpm.l,_xlpm.s))))),ROUND(_xlpm.arr*$O478/1000,2))</f>
        <v/>
      </c>
      <c r="BK478" s="331" t="n">
        <v>0</v>
      </c>
      <c r="BL478" s="331" t="n">
        <v>4.99</v>
      </c>
      <c r="BM478" s="331" t="n">
        <v>0</v>
      </c>
      <c r="BN478" s="362">
        <f>SUM(BJ478:BM478)</f>
        <v/>
      </c>
      <c r="BO478" s="362" t="n">
        <v>0.12</v>
      </c>
      <c r="BP478" s="362" t="n">
        <v>0.77</v>
      </c>
      <c r="BQ478" s="362" t="n">
        <v>1.54</v>
      </c>
      <c r="BR478" s="362" t="n">
        <v>1.74</v>
      </c>
      <c r="BS478" s="115" t="inlineStr">
        <is>
          <t>ATD</t>
        </is>
      </c>
      <c r="BX478" s="115" t="inlineStr">
        <is>
          <t>ATD</t>
        </is>
      </c>
      <c r="BY478" s="362">
        <f>SUM(R478:X478)</f>
        <v/>
      </c>
      <c r="BZ478" s="362">
        <f>SUM(Y478:AE478)</f>
        <v/>
      </c>
      <c r="CA478" s="362">
        <f>SUM(AF478:AM478)</f>
        <v/>
      </c>
      <c r="CB478" s="362">
        <f>SUM(AN478:AV478)</f>
        <v/>
      </c>
      <c r="CD478" s="432" t="inlineStr">
        <is>
          <t>ADA</t>
        </is>
      </c>
      <c r="CE478" s="380">
        <f>ROUND(BY478*$O478/1000,2)</f>
        <v/>
      </c>
      <c r="CF478" s="380">
        <f>ROUND(BZ478*$O478/1000,2)</f>
        <v/>
      </c>
      <c r="CG478" s="380">
        <f>ROUND(CA478*$O478/1000,2)</f>
        <v/>
      </c>
      <c r="CH478" s="380">
        <f>ROUND(CB478*$O478/1000,2)</f>
        <v/>
      </c>
      <c r="CI478" s="362">
        <f>SUM(CE478:CH478)</f>
        <v/>
      </c>
      <c r="CJ478" s="390" t="n"/>
      <c r="CK478" s="362">
        <f>IFERROR(ROUND(BY478*$P478,2),"")</f>
        <v/>
      </c>
      <c r="CL478" s="362">
        <f>IFERROR(ROUND(BZ478*$P478,2),"")</f>
        <v/>
      </c>
      <c r="CM478" s="362">
        <f>IFERROR(ROUND(CA478*$P478,2),"")</f>
        <v/>
      </c>
      <c r="CN478" s="362">
        <f>IFERROR(ROUND(CB478*$P478,2),"")</f>
        <v/>
      </c>
      <c r="CO478" s="362">
        <f>SUM(CK478:CN478)</f>
        <v/>
      </c>
    </row>
    <row r="479" customFormat="1" s="362">
      <c r="A479" s="433" t="n"/>
      <c r="B479" s="434" t="inlineStr">
        <is>
          <t>美国</t>
        </is>
      </c>
      <c r="C479" s="434" t="n">
        <v>12</v>
      </c>
      <c r="D479" s="434">
        <f>"ATD"&amp;C479&amp;"寸"</f>
        <v/>
      </c>
      <c r="E479" s="436" t="inlineStr">
        <is>
          <t>5.70-12-6PR-STRONG GUARD SS</t>
        </is>
      </c>
      <c r="F479" s="436" t="n"/>
      <c r="G479" s="436" t="inlineStr">
        <is>
          <t>ID5.70-12-6PR[STRONG GUARD SS]97A2 HERCULES无内</t>
        </is>
      </c>
      <c r="H479" s="434" t="n">
        <v>180</v>
      </c>
      <c r="I479" s="434" t="n">
        <v>2</v>
      </c>
      <c r="J479" s="434" t="n">
        <v>20</v>
      </c>
      <c r="K479" s="434" t="n"/>
      <c r="L479" s="438">
        <f>IF(J478="","",J478/(J478+$J$380/60))</f>
        <v/>
      </c>
      <c r="M479" s="438" t="n"/>
      <c r="N479" s="434" t="n"/>
      <c r="O479" s="434">
        <f>IFERROR(_xlfn.XLOOKUP(E479,轮胎重量!S:S,轮胎重量!P:P),IFERROR(_xlfn.XLOOKUP(E479,轮胎重量!AB:AB,轮胎重量!Y:Y),IFERROR(_xlfn.XLOOKUP(E479,轮胎重量!AK:AK,轮胎重量!AH:AH),IFERROR(_xlfn.XLOOKUP(E479,轮胎重量!AT:AT,轮胎重量!AQ:AQ),""))))</f>
        <v/>
      </c>
      <c r="P479" s="439">
        <f>O479*14.76</f>
        <v/>
      </c>
      <c r="Q479" s="434">
        <f>IFERROR(ROUND(1440/J479*I479*L480,0),"")</f>
        <v/>
      </c>
      <c r="R479" s="352" t="n"/>
      <c r="S479" s="352" t="n"/>
      <c r="T479" s="352" t="n"/>
      <c r="U479" s="352" t="n"/>
      <c r="V479" s="352" t="n"/>
      <c r="W479" s="352" t="n"/>
      <c r="X479" s="352" t="n"/>
      <c r="Y479" s="352" t="n"/>
      <c r="Z479" s="352" t="n"/>
      <c r="AA479" s="352" t="n"/>
      <c r="AB479" s="352" t="n"/>
      <c r="AC479" s="352" t="n"/>
      <c r="AD479" s="352" t="n"/>
      <c r="AE479" s="352" t="n"/>
      <c r="AF479" s="352" t="n"/>
      <c r="AG479" s="352" t="n"/>
      <c r="AH479" s="352" t="n"/>
      <c r="AI479" s="352" t="n">
        <v>100</v>
      </c>
      <c r="AJ479" s="352" t="n">
        <v>100</v>
      </c>
      <c r="AK479" s="352" t="n"/>
      <c r="AL479" s="352" t="n"/>
      <c r="AM479" s="352" t="n"/>
      <c r="AN479" s="352" t="n"/>
      <c r="AO479" s="352" t="n"/>
      <c r="AP479" s="352" t="n"/>
      <c r="AQ479" s="352" t="n"/>
      <c r="AR479" s="352" t="n"/>
      <c r="AS479" s="352" t="n"/>
      <c r="AT479" s="352" t="n"/>
      <c r="AU479" s="352" t="n"/>
      <c r="AV479" s="352" t="n"/>
      <c r="AW479" s="352">
        <f>IF(SUM(R479:AV479)=0,"",SUM(R479:AV479))</f>
        <v/>
      </c>
      <c r="AX479" s="431">
        <f>IFERROR(AW479*O479/1000,"")</f>
        <v/>
      </c>
      <c r="AY479" s="431">
        <f>IFERROR(ROUND(AW479*P479/10000,3),"")</f>
        <v/>
      </c>
      <c r="AZ479" s="331" t="n"/>
      <c r="BA479" s="331" t="n"/>
      <c r="BB479" s="331" t="n"/>
      <c r="BC479" s="331" t="n"/>
      <c r="BD479" s="331" t="n"/>
      <c r="BE479" s="331">
        <f>AZ479*AW479</f>
        <v/>
      </c>
      <c r="BF479" s="331">
        <f>BA479*AW479</f>
        <v/>
      </c>
      <c r="BG479" s="331">
        <f>BB479*AW479</f>
        <v/>
      </c>
      <c r="BH479" s="331">
        <f>BC479*AW479</f>
        <v/>
      </c>
      <c r="BI479" s="331" t="n"/>
      <c r="BJ479" s="356">
        <f t="array" ref="BJ479:BM479">_xlfn.LET(_xlpm.data,$R479:$AV479,_xlpm.starts,{1,8,16,23},_xlpm.lengths,{7,7,8,9},_xlpm.arr,_xlfn.MAP(_xlpm.starts,_xlpm.lengths,_xlfn.LAMBDA(_xlpm.s,_xlpm.l,SUM(INDEX(_xlpm.data,,_xlfn.SEQUENCE(,_xlpm.l,_xlpm.s))))),ROUND(_xlpm.arr*$O479/1000,2))</f>
        <v/>
      </c>
      <c r="BK479" s="331" t="n">
        <v>0</v>
      </c>
      <c r="BL479" s="331" t="n">
        <v>1.8</v>
      </c>
      <c r="BM479" s="331" t="n">
        <v>0</v>
      </c>
      <c r="BN479" s="362">
        <f>SUM(BJ479:BM479)</f>
        <v/>
      </c>
      <c r="BO479" s="362" t="n">
        <v>0.12</v>
      </c>
      <c r="BP479" s="362" t="n">
        <v>0.77</v>
      </c>
      <c r="BQ479" s="362" t="n">
        <v>1.54</v>
      </c>
      <c r="BR479" s="362" t="n">
        <v>1.74</v>
      </c>
      <c r="BS479" s="115" t="inlineStr">
        <is>
          <t>ATD</t>
        </is>
      </c>
      <c r="BX479" s="115" t="inlineStr">
        <is>
          <t>ATD</t>
        </is>
      </c>
      <c r="BY479" s="362">
        <f>SUM(R479:X479)</f>
        <v/>
      </c>
      <c r="BZ479" s="362">
        <f>SUM(Y479:AE479)</f>
        <v/>
      </c>
      <c r="CA479" s="362">
        <f>SUM(AF479:AM479)</f>
        <v/>
      </c>
      <c r="CB479" s="362">
        <f>SUM(AN479:AV479)</f>
        <v/>
      </c>
      <c r="CD479" s="440" t="inlineStr">
        <is>
          <t>TIDAK ADA</t>
        </is>
      </c>
      <c r="CE479" s="380">
        <f>ROUND(BY479*$O479/1000,2)</f>
        <v/>
      </c>
      <c r="CF479" s="380">
        <f>ROUND(BZ479*$O479/1000,2)</f>
        <v/>
      </c>
      <c r="CG479" s="380">
        <f>ROUND(CA479*$O479/1000,2)</f>
        <v/>
      </c>
      <c r="CH479" s="380">
        <f>ROUND(CB479*$O479/1000,2)</f>
        <v/>
      </c>
      <c r="CI479" s="362">
        <f>SUM(CE479:CH479)</f>
        <v/>
      </c>
      <c r="CJ479" s="390" t="n"/>
      <c r="CK479" s="362">
        <f>IFERROR(ROUND(BY479*$P479,2),"")</f>
        <v/>
      </c>
      <c r="CL479" s="362">
        <f>IFERROR(ROUND(BZ479*$P479,2),"")</f>
        <v/>
      </c>
      <c r="CM479" s="362">
        <f>IFERROR(ROUND(CA479*$P479,2),"")</f>
        <v/>
      </c>
      <c r="CN479" s="362">
        <f>IFERROR(ROUND(CB479*$P479,2),"")</f>
        <v/>
      </c>
      <c r="CO479" s="362">
        <f>SUM(CK479:CN479)</f>
        <v/>
      </c>
    </row>
    <row r="480" customFormat="1" s="362">
      <c r="A480" s="433" t="n"/>
      <c r="B480" s="434" t="inlineStr">
        <is>
          <t>美国</t>
        </is>
      </c>
      <c r="C480" s="434" t="n">
        <v>16.1</v>
      </c>
      <c r="D480" s="434">
        <f>"ATD"&amp;C480&amp;"寸"</f>
        <v/>
      </c>
      <c r="E480" s="436" t="inlineStr">
        <is>
          <t>14.5/75-16.1SL-10PR-STRONG GUARD F-3</t>
        </is>
      </c>
      <c r="F480" s="436" t="n"/>
      <c r="G480" s="436" t="inlineStr">
        <is>
          <t>ID14.5/75-16.1SL-10PR[STRONG GUARD F-3]121A8 HERCULES无内</t>
        </is>
      </c>
      <c r="H480" s="434" t="n">
        <v>140</v>
      </c>
      <c r="I480" s="434" t="n"/>
      <c r="J480" s="434" t="n">
        <v>20</v>
      </c>
      <c r="K480" s="434" t="n"/>
      <c r="L480" s="438">
        <f>IF(J479="","",J479/(J479+$J$380/60))</f>
        <v/>
      </c>
      <c r="M480" s="438" t="n"/>
      <c r="N480" s="434" t="n"/>
      <c r="O480" s="434">
        <f>IFERROR(_xlfn.XLOOKUP(E480,轮胎重量!S:S,轮胎重量!P:P),IFERROR(_xlfn.XLOOKUP(E480,轮胎重量!AB:AB,轮胎重量!Y:Y),IFERROR(_xlfn.XLOOKUP(E480,轮胎重量!AK:AK,轮胎重量!AH:AH),IFERROR(_xlfn.XLOOKUP(E480,轮胎重量!AT:AT,轮胎重量!AQ:AQ),""))))</f>
        <v/>
      </c>
      <c r="P480" s="434" t="n"/>
      <c r="Q480" s="434">
        <f>IFERROR(ROUND(1440/J480*I480*L483,0),"")</f>
        <v/>
      </c>
      <c r="R480" s="352" t="n"/>
      <c r="S480" s="352" t="n"/>
      <c r="T480" s="352" t="n"/>
      <c r="U480" s="352" t="n"/>
      <c r="V480" s="352" t="n"/>
      <c r="W480" s="352" t="n"/>
      <c r="X480" s="352" t="n"/>
      <c r="Y480" s="352" t="n"/>
      <c r="Z480" s="352" t="n"/>
      <c r="AA480" s="352" t="n"/>
      <c r="AB480" s="352" t="n"/>
      <c r="AC480" s="352" t="n"/>
      <c r="AD480" s="352" t="n"/>
      <c r="AE480" s="352" t="n"/>
      <c r="AF480" s="352" t="n"/>
      <c r="AG480" s="352" t="n"/>
      <c r="AH480" s="352" t="n"/>
      <c r="AI480" s="352" t="n"/>
      <c r="AJ480" s="352" t="n"/>
      <c r="AK480" s="352" t="n">
        <v>100</v>
      </c>
      <c r="AL480" s="352" t="n">
        <v>100</v>
      </c>
      <c r="AM480" s="352" t="n"/>
      <c r="AN480" s="352" t="n"/>
      <c r="AO480" s="352" t="n"/>
      <c r="AP480" s="352" t="n"/>
      <c r="AQ480" s="352" t="n"/>
      <c r="AR480" s="352" t="n"/>
      <c r="AS480" s="352" t="n"/>
      <c r="AT480" s="352" t="n"/>
      <c r="AU480" s="352" t="n"/>
      <c r="AV480" s="352" t="n"/>
      <c r="AW480" s="352">
        <f>IF(SUM(R480:AV480)=0,"",SUM(R480:AV480))</f>
        <v/>
      </c>
      <c r="AX480" s="431">
        <f>IFERROR(AW480*O480/1000,"")</f>
        <v/>
      </c>
      <c r="AY480" s="431">
        <f>IFERROR(ROUND(AW480*P480/10000,3),"")</f>
        <v/>
      </c>
      <c r="AZ480" s="331" t="n"/>
      <c r="BA480" s="331" t="n"/>
      <c r="BB480" s="331" t="n"/>
      <c r="BC480" s="331" t="n"/>
      <c r="BD480" s="331" t="n"/>
      <c r="BE480" s="331">
        <f>AZ480*AW480</f>
        <v/>
      </c>
      <c r="BF480" s="331">
        <f>BA480*AW480</f>
        <v/>
      </c>
      <c r="BG480" s="331">
        <f>BB480*AW480</f>
        <v/>
      </c>
      <c r="BH480" s="331">
        <f>BC480*AW480</f>
        <v/>
      </c>
      <c r="BI480" s="331" t="n"/>
      <c r="BJ480" s="356">
        <f t="array" ref="BJ480:BM480">_xlfn.LET(_xlpm.data,$R480:$AV480,_xlpm.starts,{1,8,16,23},_xlpm.lengths,{7,7,8,9},_xlpm.arr,_xlfn.MAP(_xlpm.starts,_xlpm.lengths,_xlfn.LAMBDA(_xlpm.s,_xlpm.l,SUM(INDEX(_xlpm.data,,_xlfn.SEQUENCE(,_xlpm.l,_xlpm.s))))),ROUND(_xlpm.arr*$O480/1000,2))</f>
        <v/>
      </c>
      <c r="BK480" s="331" t="n">
        <v>0</v>
      </c>
      <c r="BL480" s="331" t="n">
        <v>10.85</v>
      </c>
      <c r="BM480" s="331" t="n">
        <v>0</v>
      </c>
      <c r="BN480" s="362">
        <f>SUM(BJ480:BM480)</f>
        <v/>
      </c>
      <c r="BO480" s="362" t="n">
        <v>0.12</v>
      </c>
      <c r="BP480" s="362" t="n">
        <v>0.77</v>
      </c>
      <c r="BQ480" s="362" t="n">
        <v>1.54</v>
      </c>
      <c r="BR480" s="362" t="n">
        <v>1.74</v>
      </c>
      <c r="BS480" s="115" t="inlineStr">
        <is>
          <t>ATD</t>
        </is>
      </c>
      <c r="BX480" s="115" t="inlineStr">
        <is>
          <t>ATD</t>
        </is>
      </c>
      <c r="BY480" s="362">
        <f>SUM(R480:X480)</f>
        <v/>
      </c>
      <c r="BZ480" s="362">
        <f>SUM(Y480:AE480)</f>
        <v/>
      </c>
      <c r="CA480" s="362">
        <f>SUM(AF480:AM480)</f>
        <v/>
      </c>
      <c r="CB480" s="362">
        <f>SUM(AN480:AV480)</f>
        <v/>
      </c>
      <c r="CD480" s="440" t="inlineStr">
        <is>
          <t>TIDAK ADA</t>
        </is>
      </c>
      <c r="CE480" s="380">
        <f>ROUND(BY480*$O480/1000,2)</f>
        <v/>
      </c>
      <c r="CF480" s="380">
        <f>ROUND(BZ480*$O480/1000,2)</f>
        <v/>
      </c>
      <c r="CG480" s="380">
        <f>ROUND(CA480*$O480/1000,2)</f>
        <v/>
      </c>
      <c r="CH480" s="380">
        <f>ROUND(CB480*$O480/1000,2)</f>
        <v/>
      </c>
      <c r="CI480" s="362">
        <f>SUM(CE480:CH480)</f>
        <v/>
      </c>
      <c r="CJ480" s="390" t="n"/>
      <c r="CK480" s="362">
        <f>IFERROR(ROUND(BY480*$P480,2),"")</f>
        <v/>
      </c>
      <c r="CL480" s="362">
        <f>IFERROR(ROUND(BZ480*$P480,2),"")</f>
        <v/>
      </c>
      <c r="CM480" s="362">
        <f>IFERROR(ROUND(CA480*$P480,2),"")</f>
        <v/>
      </c>
      <c r="CN480" s="362">
        <f>IFERROR(ROUND(CB480*$P480,2),"")</f>
        <v/>
      </c>
      <c r="CO480" s="362">
        <f>SUM(CK480:CN480)</f>
        <v/>
      </c>
    </row>
    <row r="481" hidden="1" customFormat="1" s="362">
      <c r="A481" s="331" t="n"/>
      <c r="B481" s="352" t="n"/>
      <c r="C481" s="352" t="n"/>
      <c r="D481" s="352" t="n"/>
      <c r="E481" s="389" t="n"/>
      <c r="F481" s="389" t="n"/>
      <c r="G481" s="379" t="n"/>
      <c r="H481" s="352" t="n"/>
      <c r="I481" s="370" t="n"/>
      <c r="J481" s="352" t="n">
        <v>20</v>
      </c>
      <c r="K481" s="352" t="n"/>
      <c r="L481" s="430">
        <f>IF(J478="","",J478/(J478+$J$380/60))</f>
        <v/>
      </c>
      <c r="M481" s="430" t="n"/>
      <c r="N481" s="352" t="n"/>
      <c r="O481" s="352">
        <f>IFERROR(_xlfn.XLOOKUP(E481,轮胎重量!S:S,轮胎重量!P:P),IFERROR(_xlfn.XLOOKUP(E481,轮胎重量!AB:AB,轮胎重量!Y:Y),IFERROR(_xlfn.XLOOKUP(E481,轮胎重量!AK:AK,轮胎重量!AH:AH),IFERROR(_xlfn.XLOOKUP(E481,轮胎重量!AT:AT,轮胎重量!AQ:AQ),""))))</f>
        <v/>
      </c>
      <c r="P481" s="352" t="n"/>
      <c r="Q481" s="352">
        <f>IFERROR(ROUND(1440/J481*I481*L482,0),"")</f>
        <v/>
      </c>
      <c r="R481" s="352" t="n"/>
      <c r="S481" s="352" t="n"/>
      <c r="T481" s="352" t="n"/>
      <c r="U481" s="352" t="n"/>
      <c r="V481" s="352" t="n"/>
      <c r="W481" s="352" t="n"/>
      <c r="X481" s="352" t="n"/>
      <c r="Y481" s="352" t="n"/>
      <c r="Z481" s="352" t="n"/>
      <c r="AA481" s="352" t="n"/>
      <c r="AB481" s="352" t="n"/>
      <c r="AC481" s="352" t="n"/>
      <c r="AD481" s="352" t="n"/>
      <c r="AE481" s="352" t="n"/>
      <c r="AF481" s="352" t="n"/>
      <c r="AG481" s="352" t="n"/>
      <c r="AH481" s="352" t="n"/>
      <c r="AI481" s="352" t="n"/>
      <c r="AJ481" s="352" t="n"/>
      <c r="AK481" s="352" t="n"/>
      <c r="AL481" s="352" t="n"/>
      <c r="AM481" s="352" t="n"/>
      <c r="AN481" s="352" t="n"/>
      <c r="AO481" s="352" t="n"/>
      <c r="AP481" s="352" t="n"/>
      <c r="AQ481" s="352" t="n"/>
      <c r="AR481" s="352" t="n"/>
      <c r="AS481" s="352" t="n"/>
      <c r="AT481" s="352" t="n"/>
      <c r="AU481" s="352" t="n"/>
      <c r="AV481" s="352" t="n"/>
      <c r="AW481" s="352">
        <f>IF(SUM(R481:AV481)=0,"",SUM(R481:AV481))</f>
        <v/>
      </c>
      <c r="AX481" s="431">
        <f>IFERROR(AW481*O481/1000,"")</f>
        <v/>
      </c>
      <c r="AY481" s="431">
        <f>IFERROR(ROUND(AW481*P481/10000,3),"")</f>
        <v/>
      </c>
      <c r="AZ481" s="331" t="n"/>
      <c r="BA481" s="331" t="n"/>
      <c r="BB481" s="331" t="n"/>
      <c r="BC481" s="331" t="n"/>
      <c r="BD481" s="331" t="n"/>
      <c r="BE481" s="331">
        <f>AZ481*AW481</f>
        <v/>
      </c>
      <c r="BF481" s="331">
        <f>BA481*AW481</f>
        <v/>
      </c>
      <c r="BG481" s="331">
        <f>BB481*AW481</f>
        <v/>
      </c>
      <c r="BH481" s="331">
        <f>BC481*AW481</f>
        <v/>
      </c>
      <c r="BI481" s="331" t="n"/>
      <c r="BJ481" s="356">
        <f t="array" ref="BJ481:BM481">_xlfn.LET(_xlpm.data,$R481:$AV481,_xlpm.starts,{1,8,16,23},_xlpm.lengths,{7,7,8,9},_xlpm.arr,_xlfn.MAP(_xlpm.starts,_xlpm.lengths,_xlfn.LAMBDA(_xlpm.s,_xlpm.l,SUM(INDEX(_xlpm.data,,_xlfn.SEQUENCE(,_xlpm.l,_xlpm.s))))),ROUND(_xlpm.arr*$O481/1000,2))</f>
        <v/>
      </c>
      <c r="BK481" s="331" t="n">
        <v>0</v>
      </c>
      <c r="BL481" s="331" t="n">
        <v>0</v>
      </c>
      <c r="BM481" s="331" t="n">
        <v>0</v>
      </c>
      <c r="BN481" s="362">
        <f>SUM(BJ481:BM481)</f>
        <v/>
      </c>
      <c r="BO481" s="362" t="n">
        <v>0.12</v>
      </c>
      <c r="BP481" s="362" t="n">
        <v>0.77</v>
      </c>
      <c r="BQ481" s="362" t="n">
        <v>1.54</v>
      </c>
      <c r="BR481" s="362" t="n">
        <v>1.74</v>
      </c>
      <c r="BS481" s="115" t="inlineStr">
        <is>
          <t>ATD</t>
        </is>
      </c>
      <c r="BX481" s="115" t="inlineStr">
        <is>
          <t>ATD</t>
        </is>
      </c>
      <c r="BY481" s="362">
        <f>SUM(R481:X481)</f>
        <v/>
      </c>
      <c r="BZ481" s="362">
        <f>SUM(Y481:AE481)</f>
        <v/>
      </c>
      <c r="CA481" s="362">
        <f>SUM(AF481:AM481)</f>
        <v/>
      </c>
      <c r="CB481" s="362">
        <f>SUM(AN481:AV481)</f>
        <v/>
      </c>
      <c r="CD481" s="390" t="n"/>
      <c r="CE481" s="380">
        <f>ROUND(BY481*$O481/1000,2)</f>
        <v/>
      </c>
      <c r="CF481" s="380">
        <f>ROUND(BZ481*$O481/1000,2)</f>
        <v/>
      </c>
      <c r="CG481" s="380">
        <f>ROUND(CA481*$O481/1000,2)</f>
        <v/>
      </c>
      <c r="CH481" s="380">
        <f>ROUND(CB481*$O481/1000,2)</f>
        <v/>
      </c>
      <c r="CI481" s="362">
        <f>SUM(CE481:CH481)</f>
        <v/>
      </c>
      <c r="CJ481" s="390" t="n"/>
      <c r="CK481" s="362">
        <f>IFERROR(ROUND(BY481*$P481,2),"")</f>
        <v/>
      </c>
      <c r="CL481" s="362">
        <f>IFERROR(ROUND(BZ481*$P481,2),"")</f>
        <v/>
      </c>
      <c r="CM481" s="362">
        <f>IFERROR(ROUND(CA481*$P481,2),"")</f>
        <v/>
      </c>
      <c r="CN481" s="362">
        <f>IFERROR(ROUND(CB481*$P481,2),"")</f>
        <v/>
      </c>
      <c r="CO481" s="362">
        <f>SUM(CK481:CN481)</f>
        <v/>
      </c>
    </row>
    <row r="482" customFormat="1" s="362">
      <c r="A482" s="331" t="n"/>
      <c r="B482" s="352" t="inlineStr">
        <is>
          <t>印尼</t>
        </is>
      </c>
      <c r="C482" s="352">
        <f>IFERROR(MID(E482,FIND("-",E482)+1,2),"")</f>
        <v/>
      </c>
      <c r="D482" s="352">
        <f>"工程胎"&amp;C482&amp;"寸"</f>
        <v/>
      </c>
      <c r="E482" s="379">
        <f>LEFT(REPLACE(G482,1,2,""),FIND("[",REPLACE(G482,1,2,""))-1)&amp;"-"&amp;MID(REPLACE(G482,1,2,""),FIND("[",REPLACE(G482,1,2,""))+1,FIND("]",REPLACE(G482,1,2,""))-FIND("[",REPLACE(G482,1,2,""))-1)</f>
        <v/>
      </c>
      <c r="F482" s="363" t="n"/>
      <c r="G482" s="379" t="inlineStr">
        <is>
          <t>ID23.5-25-20PR[T318]天力</t>
        </is>
      </c>
      <c r="H482" s="352" t="n">
        <v>40</v>
      </c>
      <c r="I482" s="364" t="n">
        <v>2</v>
      </c>
      <c r="J482" s="364" t="n">
        <v>85</v>
      </c>
      <c r="K482" s="352" t="n"/>
      <c r="L482" s="430">
        <f>IF(J481="","",J481/(J481+$J$380/60))</f>
        <v/>
      </c>
      <c r="M482" s="450" t="n"/>
      <c r="N482" s="364" t="n"/>
      <c r="O482" s="364">
        <f>IFERROR(_xlfn.XLOOKUP(E482,轮胎重量!S:S,轮胎重量!P:P),"")</f>
        <v/>
      </c>
      <c r="P482" s="358">
        <f>O482*14.76</f>
        <v/>
      </c>
      <c r="Q482" s="364">
        <f>IFERROR(ROUND(1440/J482*I482*L483,0),"")</f>
        <v/>
      </c>
      <c r="R482" s="364" t="n">
        <v>12</v>
      </c>
      <c r="S482" s="364" t="n">
        <v>12</v>
      </c>
      <c r="T482" s="364" t="n">
        <v>12</v>
      </c>
      <c r="U482" s="364" t="n">
        <v>12</v>
      </c>
      <c r="V482" s="364" t="n"/>
      <c r="W482" s="364" t="n"/>
      <c r="X482" s="364" t="n"/>
      <c r="Y482" s="364" t="n"/>
      <c r="Z482" s="364" t="n"/>
      <c r="AA482" s="364" t="n"/>
      <c r="AB482" s="364" t="n"/>
      <c r="AC482" s="364" t="n"/>
      <c r="AD482" s="364" t="n"/>
      <c r="AE482" s="364" t="n"/>
      <c r="AF482" s="364" t="n"/>
      <c r="AG482" s="364" t="n"/>
      <c r="AH482" s="364" t="n"/>
      <c r="AI482" s="364" t="n"/>
      <c r="AJ482" s="364" t="n"/>
      <c r="AK482" s="364" t="n"/>
      <c r="AL482" s="364" t="n"/>
      <c r="AM482" s="364" t="n"/>
      <c r="AN482" s="364" t="n"/>
      <c r="AO482" s="364" t="n"/>
      <c r="AP482" s="364" t="n"/>
      <c r="AQ482" s="364" t="n"/>
      <c r="AR482" s="364" t="n"/>
      <c r="AS482" s="364" t="n"/>
      <c r="AT482" s="364" t="n"/>
      <c r="AU482" s="364" t="n"/>
      <c r="AV482" s="364" t="n"/>
      <c r="AW482" s="352">
        <f>IF(SUM(R482:AV482)=0,"",SUM(R482:AV482))</f>
        <v/>
      </c>
      <c r="AX482" s="431">
        <f>IFERROR(AW482*O482/1000,"")</f>
        <v/>
      </c>
      <c r="AY482" s="431">
        <f>IFERROR(ROUND(AW482*P482/10000,3),"")</f>
        <v/>
      </c>
      <c r="AZ482" s="355" t="n">
        <v>2105.4655</v>
      </c>
      <c r="BA482" s="355" t="n">
        <v>133.3057</v>
      </c>
      <c r="BB482" s="355" t="n">
        <v>179.267</v>
      </c>
      <c r="BC482" s="355" t="n">
        <v>216.1879</v>
      </c>
      <c r="BD482" s="331" t="n"/>
      <c r="BE482" s="331">
        <f>AZ482*AW482</f>
        <v/>
      </c>
      <c r="BF482" s="331">
        <f>BA482*AW482</f>
        <v/>
      </c>
      <c r="BG482" s="331">
        <f>BB482*AW482</f>
        <v/>
      </c>
      <c r="BH482" s="331">
        <f>BC482*AW482</f>
        <v/>
      </c>
      <c r="BI482" s="331" t="n"/>
      <c r="BJ482" s="356">
        <f t="array" ref="BJ482:BM482">_xlfn.LET(_xlpm.data,$R482:$AV482,_xlpm.starts,{1,8,16,23},_xlpm.lengths,{7,7,8,9},_xlpm.arr,_xlfn.MAP(_xlpm.starts,_xlpm.lengths,_xlfn.LAMBDA(_xlpm.s,_xlpm.l,SUM(INDEX(_xlpm.data,,_xlfn.SEQUENCE(,_xlpm.l,_xlpm.s))))),ROUND(_xlpm.arr*$O482/1000,2))</f>
        <v/>
      </c>
      <c r="BK482" s="331" t="n">
        <v>0</v>
      </c>
      <c r="BL482" s="331" t="n">
        <v>0</v>
      </c>
      <c r="BM482" s="331" t="n">
        <v>0</v>
      </c>
      <c r="BN482" s="362">
        <f>SUM(BJ482:BM482)</f>
        <v/>
      </c>
      <c r="BO482" s="362" t="n">
        <v>41.26</v>
      </c>
      <c r="BP482" s="362" t="n">
        <v>41.26</v>
      </c>
      <c r="BQ482" s="362" t="n">
        <v>47.15</v>
      </c>
      <c r="BR482" s="362" t="n">
        <v>53.05</v>
      </c>
      <c r="BS482" s="367" t="inlineStr">
        <is>
          <t>工程胎</t>
        </is>
      </c>
      <c r="BX482" s="357" t="inlineStr">
        <is>
          <t>工程胎</t>
        </is>
      </c>
      <c r="BY482" s="362">
        <f>SUM(R482:X482)</f>
        <v/>
      </c>
      <c r="BZ482" s="362">
        <f>SUM(Y482:AE482)</f>
        <v/>
      </c>
      <c r="CA482" s="362">
        <f>SUM(AF482:AM482)</f>
        <v/>
      </c>
      <c r="CB482" s="362">
        <f>SUM(AN482:AV482)</f>
        <v/>
      </c>
      <c r="CD482" s="432" t="inlineStr">
        <is>
          <t>ADA</t>
        </is>
      </c>
      <c r="CE482" s="380">
        <f>ROUND(BY482*$O482/1000,2)</f>
        <v/>
      </c>
      <c r="CF482" s="380">
        <f>ROUND(BZ482*$O482/1000,2)</f>
        <v/>
      </c>
      <c r="CG482" s="380">
        <f>ROUND(CA482*$O482/1000,2)</f>
        <v/>
      </c>
      <c r="CH482" s="380">
        <f>ROUND(CB482*$O482/1000,2)</f>
        <v/>
      </c>
      <c r="CI482" s="362">
        <f>SUM(CE482:CH482)</f>
        <v/>
      </c>
      <c r="CJ482" s="390" t="n"/>
      <c r="CK482" s="362">
        <f>IFERROR(ROUND(BY482*$P482,2),"")</f>
        <v/>
      </c>
      <c r="CL482" s="362">
        <f>IFERROR(ROUND(BZ482*$P482,2),"")</f>
        <v/>
      </c>
      <c r="CM482" s="362">
        <f>IFERROR(ROUND(CA482*$P482,2),"")</f>
        <v/>
      </c>
      <c r="CN482" s="362">
        <f>IFERROR(ROUND(CB482*$P482,2),"")</f>
        <v/>
      </c>
      <c r="CO482" s="362">
        <f>SUM(CK482:CN482)</f>
        <v/>
      </c>
    </row>
    <row r="483" customFormat="1" s="362">
      <c r="A483" s="433" t="n"/>
      <c r="B483" s="434" t="inlineStr">
        <is>
          <t>印尼</t>
        </is>
      </c>
      <c r="C483" s="434">
        <f>IFERROR(MID(E483,FIND("-",E483)+1,2),"")</f>
        <v/>
      </c>
      <c r="D483" s="434">
        <f>"工程胎"&amp;C483&amp;"寸"</f>
        <v/>
      </c>
      <c r="E483" s="436">
        <f>LEFT(REPLACE(G483,1,2,""),FIND("[",REPLACE(G483,1,2,""))-1)&amp;"-"&amp;MID(REPLACE(G483,1,2,""),FIND("[",REPLACE(G483,1,2,""))+1,FIND("]",REPLACE(G483,1,2,""))-FIND("[",REPLACE(G483,1,2,""))-1)</f>
        <v/>
      </c>
      <c r="F483" s="436" t="n"/>
      <c r="G483" s="436" t="inlineStr">
        <is>
          <t>ID23.5-25-24PR[CL728]威狮 东南亚</t>
        </is>
      </c>
      <c r="H483" s="434" t="n">
        <v>240</v>
      </c>
      <c r="I483" s="434" t="n">
        <v>2</v>
      </c>
      <c r="J483" s="434" t="n">
        <v>85</v>
      </c>
      <c r="K483" s="434" t="n"/>
      <c r="L483" s="438">
        <f>IF(J482="","",J482/(J482+$J$380/60))</f>
        <v/>
      </c>
      <c r="M483" s="438" t="n"/>
      <c r="N483" s="434" t="n"/>
      <c r="O483" s="434">
        <f>IFERROR(_xlfn.XLOOKUP(E483,轮胎重量!S:S,轮胎重量!P:P),"")</f>
        <v/>
      </c>
      <c r="P483" s="434">
        <f>IFERROR(_xlfn.XLOOKUP(E483,硫化工艺!I:I,硫化工艺!J:J),"")</f>
        <v/>
      </c>
      <c r="Q483" s="434">
        <f>IFERROR(ROUND(1440/J483*I483*L484,0),"")</f>
        <v/>
      </c>
      <c r="R483" s="364" t="n"/>
      <c r="S483" s="364" t="n"/>
      <c r="T483" s="364" t="n"/>
      <c r="U483" s="364" t="n"/>
      <c r="V483" s="364" t="n">
        <v>12</v>
      </c>
      <c r="W483" s="364" t="n">
        <v>12</v>
      </c>
      <c r="X483" s="364" t="n">
        <v>12</v>
      </c>
      <c r="Y483" s="364" t="n">
        <v>12</v>
      </c>
      <c r="Z483" s="364" t="n">
        <v>12</v>
      </c>
      <c r="AA483" s="364" t="n">
        <v>12</v>
      </c>
      <c r="AB483" s="364" t="n">
        <v>12</v>
      </c>
      <c r="AC483" s="364" t="n">
        <v>12</v>
      </c>
      <c r="AD483" s="364" t="n">
        <v>12</v>
      </c>
      <c r="AE483" s="364" t="n">
        <v>12</v>
      </c>
      <c r="AF483" s="364" t="n">
        <v>12</v>
      </c>
      <c r="AG483" s="364" t="n">
        <v>12</v>
      </c>
      <c r="AH483" s="364" t="n">
        <v>12</v>
      </c>
      <c r="AI483" s="364" t="n">
        <v>12</v>
      </c>
      <c r="AJ483" s="364" t="n">
        <v>12</v>
      </c>
      <c r="AK483" s="364" t="n">
        <v>12</v>
      </c>
      <c r="AL483" s="364" t="n">
        <v>12</v>
      </c>
      <c r="AM483" s="364" t="n">
        <v>12</v>
      </c>
      <c r="AN483" s="364" t="n">
        <v>12</v>
      </c>
      <c r="AO483" s="364" t="n">
        <v>12</v>
      </c>
      <c r="AP483" s="364" t="n">
        <v>12</v>
      </c>
      <c r="AQ483" s="364" t="n">
        <v>12</v>
      </c>
      <c r="AR483" s="364" t="n">
        <v>12</v>
      </c>
      <c r="AS483" s="364" t="n">
        <v>12</v>
      </c>
      <c r="AT483" s="364" t="n">
        <v>12</v>
      </c>
      <c r="AU483" s="364" t="n">
        <v>12</v>
      </c>
      <c r="AV483" s="364" t="n">
        <v>12</v>
      </c>
      <c r="AW483" s="352">
        <f>IF(SUM(R483:AV483)=0,"",SUM(R483:AV483))</f>
        <v/>
      </c>
      <c r="AX483" s="431">
        <f>IFERROR(AW483*O483/1000,"")</f>
        <v/>
      </c>
      <c r="AY483" s="431">
        <f>IFERROR(ROUND(AW483*P483/10000,3),"")</f>
        <v/>
      </c>
      <c r="AZ483" s="355" t="n">
        <v>2105.4655</v>
      </c>
      <c r="BA483" s="355" t="n">
        <v>133.3057</v>
      </c>
      <c r="BB483" s="355" t="n">
        <v>179.267</v>
      </c>
      <c r="BC483" s="355" t="n">
        <v>216.1879</v>
      </c>
      <c r="BD483" s="331" t="n"/>
      <c r="BE483" s="331">
        <f>AZ483*AW483</f>
        <v/>
      </c>
      <c r="BF483" s="331">
        <f>BA483*AW483</f>
        <v/>
      </c>
      <c r="BG483" s="331">
        <f>BB483*AW483</f>
        <v/>
      </c>
      <c r="BH483" s="331">
        <f>BC483*AW483</f>
        <v/>
      </c>
      <c r="BI483" s="331" t="n"/>
      <c r="BJ483" s="356">
        <f t="array" ref="BJ483:BM483">_xlfn.LET(_xlpm.data,$R483:$AV483,_xlpm.starts,{1,8,16,23},_xlpm.lengths,{7,7,8,9},_xlpm.arr,_xlfn.MAP(_xlpm.starts,_xlpm.lengths,_xlfn.LAMBDA(_xlpm.s,_xlpm.l,SUM(INDEX(_xlpm.data,,_xlfn.SEQUENCE(,_xlpm.l,_xlpm.s))))),ROUND(_xlpm.arr*$O483/1000,2))</f>
        <v/>
      </c>
      <c r="BK483" s="331" t="n">
        <v>18.2</v>
      </c>
      <c r="BL483" s="331" t="n">
        <v>20.8</v>
      </c>
      <c r="BM483" s="331" t="n">
        <v>23.4</v>
      </c>
      <c r="BN483" s="362">
        <f>SUM(BJ483:BM483)</f>
        <v/>
      </c>
      <c r="BO483" s="362" t="n">
        <v>41.26</v>
      </c>
      <c r="BP483" s="362" t="n">
        <v>41.26</v>
      </c>
      <c r="BQ483" s="362" t="n">
        <v>47.15</v>
      </c>
      <c r="BR483" s="362" t="n">
        <v>53.05</v>
      </c>
      <c r="BS483" s="367" t="inlineStr">
        <is>
          <t>工程胎</t>
        </is>
      </c>
      <c r="BX483" s="357" t="inlineStr">
        <is>
          <t>工程胎</t>
        </is>
      </c>
      <c r="BY483" s="362">
        <f>SUM(R483:X483)</f>
        <v/>
      </c>
      <c r="BZ483" s="362">
        <f>SUM(Y483:AE483)</f>
        <v/>
      </c>
      <c r="CA483" s="362">
        <f>SUM(AF483:AM483)</f>
        <v/>
      </c>
      <c r="CB483" s="362">
        <f>SUM(AN483:AV483)</f>
        <v/>
      </c>
      <c r="CD483" s="440" t="inlineStr">
        <is>
          <t>TIDAK ADA</t>
        </is>
      </c>
      <c r="CE483" s="380">
        <f>ROUND(BY483*$O483/1000,2)</f>
        <v/>
      </c>
      <c r="CF483" s="380">
        <f>ROUND(BZ483*$O483/1000,2)</f>
        <v/>
      </c>
      <c r="CG483" s="380">
        <f>ROUND(CA483*$O483/1000,2)</f>
        <v/>
      </c>
      <c r="CH483" s="380">
        <f>ROUND(CB483*$O483/1000,2)</f>
        <v/>
      </c>
      <c r="CI483" s="362">
        <f>SUM(CE483:CH483)</f>
        <v/>
      </c>
      <c r="CJ483" s="390" t="n"/>
      <c r="CK483" s="362">
        <f>IFERROR(ROUND(BY483*$P483,2),"")</f>
        <v/>
      </c>
      <c r="CL483" s="362">
        <f>IFERROR(ROUND(BZ483*$P483,2),"")</f>
        <v/>
      </c>
      <c r="CM483" s="362">
        <f>IFERROR(ROUND(CA483*$P483,2),"")</f>
        <v/>
      </c>
      <c r="CN483" s="362">
        <f>IFERROR(ROUND(CB483*$P483,2),"")</f>
        <v/>
      </c>
      <c r="CO483" s="362">
        <f>SUM(CK483:CN483)</f>
        <v/>
      </c>
    </row>
    <row r="484">
      <c r="B484" s="352" t="inlineStr">
        <is>
          <t>印尼</t>
        </is>
      </c>
      <c r="C484" s="352">
        <f>IFERROR(MID(E484,FIND("-",E484)+1,2),"")</f>
        <v/>
      </c>
      <c r="D484" s="352">
        <f>"工程胎"&amp;C484&amp;"寸"</f>
        <v/>
      </c>
      <c r="E484" s="379">
        <f>LEFT(REPLACE(G484,1,2,""),FIND("[",REPLACE(G484,1,2,""))-1)&amp;"-"&amp;MID(REPLACE(G484,1,2,""),FIND("[",REPLACE(G484,1,2,""))+1,FIND("]",REPLACE(G484,1,2,""))-FIND("[",REPLACE(G484,1,2,""))-1)</f>
        <v/>
      </c>
      <c r="F484" s="363" t="n"/>
      <c r="G484" s="379" t="inlineStr">
        <is>
          <t>ID23.5-25-24PR[EL36A]朝阳</t>
        </is>
      </c>
      <c r="H484" s="352" t="n"/>
      <c r="I484" s="364" t="n">
        <v>2</v>
      </c>
      <c r="J484" s="364" t="n">
        <v>85</v>
      </c>
      <c r="K484" s="352" t="n"/>
      <c r="L484" s="430">
        <f>IF(J483="","",J483/(J483+$J$380/60))</f>
        <v/>
      </c>
      <c r="M484" s="450" t="n"/>
      <c r="N484" s="364" t="n"/>
      <c r="O484" s="364">
        <f>IFERROR(_xlfn.XLOOKUP(E484,轮胎重量!S:S,轮胎重量!P:P),"")</f>
        <v/>
      </c>
      <c r="P484" s="352">
        <f>IFERROR(_xlfn.XLOOKUP(E484,硫化工艺!I:I,硫化工艺!J:J),"")</f>
        <v/>
      </c>
      <c r="Q484" s="364">
        <f>IFERROR(ROUND(1440/J484*I484*L485,0),"")</f>
        <v/>
      </c>
      <c r="R484" s="364" t="n">
        <v>24</v>
      </c>
      <c r="S484" s="364" t="n">
        <v>24</v>
      </c>
      <c r="T484" s="364" t="n">
        <v>24</v>
      </c>
      <c r="U484" s="364" t="n">
        <v>24</v>
      </c>
      <c r="V484" s="364" t="n">
        <v>24</v>
      </c>
      <c r="W484" s="364" t="n">
        <v>24</v>
      </c>
      <c r="X484" s="364" t="n">
        <v>24</v>
      </c>
      <c r="Y484" s="364" t="n">
        <v>24</v>
      </c>
      <c r="Z484" s="364" t="n">
        <v>24</v>
      </c>
      <c r="AA484" s="364" t="n">
        <v>24</v>
      </c>
      <c r="AB484" s="364" t="n">
        <v>24</v>
      </c>
      <c r="AC484" s="364" t="n">
        <v>24</v>
      </c>
      <c r="AD484" s="364" t="n">
        <v>24</v>
      </c>
      <c r="AE484" s="364" t="n">
        <v>24</v>
      </c>
      <c r="AF484" s="364" t="n">
        <v>24</v>
      </c>
      <c r="AG484" s="364" t="n">
        <v>24</v>
      </c>
      <c r="AH484" s="364" t="n">
        <v>24</v>
      </c>
      <c r="AI484" s="364" t="n">
        <v>24</v>
      </c>
      <c r="AJ484" s="364" t="n">
        <v>24</v>
      </c>
      <c r="AK484" s="364" t="n">
        <v>24</v>
      </c>
      <c r="AL484" s="364" t="n">
        <v>24</v>
      </c>
      <c r="AM484" s="364" t="n">
        <v>24</v>
      </c>
      <c r="AN484" s="364" t="n">
        <v>24</v>
      </c>
      <c r="AO484" s="364" t="n">
        <v>24</v>
      </c>
      <c r="AP484" s="364" t="n">
        <v>24</v>
      </c>
      <c r="AQ484" s="364" t="n">
        <v>24</v>
      </c>
      <c r="AR484" s="364" t="n">
        <v>24</v>
      </c>
      <c r="AS484" s="364" t="n">
        <v>24</v>
      </c>
      <c r="AT484" s="364" t="n">
        <v>24</v>
      </c>
      <c r="AU484" s="364" t="n">
        <v>24</v>
      </c>
      <c r="AV484" s="364" t="n">
        <v>24</v>
      </c>
      <c r="AW484" s="352">
        <f>IF(SUM(R484:AV484)=0,"",SUM(R484:AV484))</f>
        <v/>
      </c>
      <c r="AX484" s="431">
        <f>IFERROR(AW484*O484/1000,"")</f>
        <v/>
      </c>
      <c r="AY484" s="431">
        <f>IFERROR(ROUND(AW484*P484/10000,3),"")</f>
        <v/>
      </c>
      <c r="AZ484" s="355" t="n">
        <v>2105.4655</v>
      </c>
      <c r="BA484" s="355" t="n">
        <v>133.3057</v>
      </c>
      <c r="BB484" s="355" t="n">
        <v>179.267</v>
      </c>
      <c r="BC484" s="355" t="n">
        <v>216.1879</v>
      </c>
      <c r="BE484" s="331">
        <f>AZ484*AW484</f>
        <v/>
      </c>
      <c r="BF484" s="331">
        <f>BA484*AW484</f>
        <v/>
      </c>
      <c r="BG484" s="331">
        <f>BB484*AW484</f>
        <v/>
      </c>
      <c r="BH484" s="331">
        <f>BC484*AW484</f>
        <v/>
      </c>
      <c r="BJ484" s="356">
        <f t="array" ref="BJ484:BM484">_xlfn.LET(_xlpm.data,$R484:$AV484,_xlpm.starts,{1,8,16,23},_xlpm.lengths,{7,7,8,9},_xlpm.arr,_xlfn.MAP(_xlpm.starts,_xlpm.lengths,_xlfn.LAMBDA(_xlpm.s,_xlpm.l,SUM(INDEX(_xlpm.data,,_xlfn.SEQUENCE(,_xlpm.l,_xlpm.s))))),ROUND(_xlpm.arr*$O484/1000,2))</f>
        <v/>
      </c>
      <c r="BK484" s="331" t="n">
        <v>35.48</v>
      </c>
      <c r="BL484" s="331" t="n">
        <v>40.55</v>
      </c>
      <c r="BM484" s="331" t="n">
        <v>45.62</v>
      </c>
      <c r="BN484" s="362">
        <f>SUM(BJ484:BM484)</f>
        <v/>
      </c>
      <c r="BO484" s="362" t="n">
        <v>41.26</v>
      </c>
      <c r="BP484" s="362" t="n">
        <v>41.26</v>
      </c>
      <c r="BQ484" s="362" t="n">
        <v>47.15</v>
      </c>
      <c r="BR484" s="362" t="n">
        <v>53.05</v>
      </c>
      <c r="BS484" s="367" t="inlineStr">
        <is>
          <t>工程胎</t>
        </is>
      </c>
      <c r="BX484" s="357" t="inlineStr">
        <is>
          <t>工程胎</t>
        </is>
      </c>
      <c r="BY484" s="362">
        <f>SUM(R484:X484)</f>
        <v/>
      </c>
      <c r="BZ484" s="362">
        <f>SUM(Y484:AE484)</f>
        <v/>
      </c>
      <c r="CA484" s="362">
        <f>SUM(AF484:AM484)</f>
        <v/>
      </c>
      <c r="CB484" s="362">
        <f>SUM(AN484:AV484)</f>
        <v/>
      </c>
      <c r="CD484" s="432" t="inlineStr">
        <is>
          <t>ADA</t>
        </is>
      </c>
      <c r="CE484" s="380">
        <f>ROUND(BY484*$O484/1000,2)</f>
        <v/>
      </c>
      <c r="CF484" s="380">
        <f>ROUND(BZ484*$O484/1000,2)</f>
        <v/>
      </c>
      <c r="CG484" s="380">
        <f>ROUND(CA484*$O484/1000,2)</f>
        <v/>
      </c>
      <c r="CH484" s="380">
        <f>ROUND(CB484*$O484/1000,2)</f>
        <v/>
      </c>
      <c r="CI484" s="362">
        <f>SUM(CE484:CH484)</f>
        <v/>
      </c>
      <c r="CK484" s="362">
        <f>IFERROR(ROUND(BY484*$P484,2),"")</f>
        <v/>
      </c>
      <c r="CL484" s="362">
        <f>IFERROR(ROUND(BZ484*$P484,2),"")</f>
        <v/>
      </c>
      <c r="CM484" s="362">
        <f>IFERROR(ROUND(CA484*$P484,2),"")</f>
        <v/>
      </c>
      <c r="CN484" s="362">
        <f>IFERROR(ROUND(CB484*$P484,2),"")</f>
        <v/>
      </c>
      <c r="CO484" s="362">
        <f>SUM(CK484:CN484)</f>
        <v/>
      </c>
    </row>
    <row r="485">
      <c r="A485" s="441" t="n"/>
      <c r="B485" s="434" t="inlineStr">
        <is>
          <t>印尼</t>
        </is>
      </c>
      <c r="C485" s="434">
        <f>IFERROR(MID(E485,FIND("-",E485)+1,2),"")</f>
        <v/>
      </c>
      <c r="D485" s="434">
        <f>"工程胎"&amp;C485&amp;"寸"</f>
        <v/>
      </c>
      <c r="E485" s="436">
        <f>LEFT(REPLACE(G485,1,2,""),FIND("[",REPLACE(G485,1,2,""))-1)&amp;"-"&amp;MID(REPLACE(G485,1,2,""),FIND("[",REPLACE(G485,1,2,""))+1,FIND("]",REPLACE(G485,1,2,""))-FIND("[",REPLACE(G485,1,2,""))-1)</f>
        <v/>
      </c>
      <c r="F485" s="436" t="n"/>
      <c r="G485" s="436" t="inlineStr">
        <is>
          <t>ID23.5-25-24PR[DF60]TRUST TRACK</t>
        </is>
      </c>
      <c r="H485" s="434" t="n"/>
      <c r="I485" s="434" t="n">
        <v>2</v>
      </c>
      <c r="J485" s="434" t="n">
        <v>85</v>
      </c>
      <c r="K485" s="434" t="n"/>
      <c r="L485" s="438" t="n">
        <v>0.891411589895988</v>
      </c>
      <c r="M485" s="438" t="n"/>
      <c r="N485" s="434" t="n"/>
      <c r="O485" s="434">
        <f>IFERROR(_xlfn.XLOOKUP(E485,轮胎重量!S:S,轮胎重量!P:P),"")</f>
        <v/>
      </c>
      <c r="P485" s="434">
        <f>IFERROR(_xlfn.XLOOKUP(E485,硫化工艺!I:I,硫化工艺!J:J),"")</f>
        <v/>
      </c>
      <c r="Q485" s="434">
        <f>IFERROR(ROUND(1440/J485*I485*L486,0),"")</f>
        <v/>
      </c>
      <c r="R485" s="364" t="n">
        <v>24</v>
      </c>
      <c r="S485" s="364" t="n">
        <v>24</v>
      </c>
      <c r="T485" s="364" t="n">
        <v>24</v>
      </c>
      <c r="U485" s="364" t="n">
        <v>24</v>
      </c>
      <c r="V485" s="364" t="n">
        <v>24</v>
      </c>
      <c r="W485" s="364" t="n">
        <v>24</v>
      </c>
      <c r="X485" s="364" t="n">
        <v>24</v>
      </c>
      <c r="Y485" s="364" t="n">
        <v>24</v>
      </c>
      <c r="Z485" s="364" t="n">
        <v>24</v>
      </c>
      <c r="AA485" s="364" t="n">
        <v>24</v>
      </c>
      <c r="AB485" s="364" t="n">
        <v>24</v>
      </c>
      <c r="AC485" s="364" t="n">
        <v>24</v>
      </c>
      <c r="AD485" s="364" t="n">
        <v>24</v>
      </c>
      <c r="AE485" s="364" t="n">
        <v>24</v>
      </c>
      <c r="AF485" s="364" t="n">
        <v>24</v>
      </c>
      <c r="AG485" s="364" t="n">
        <v>24</v>
      </c>
      <c r="AH485" s="364" t="n">
        <v>24</v>
      </c>
      <c r="AI485" s="364" t="n">
        <v>24</v>
      </c>
      <c r="AJ485" s="364" t="n">
        <v>24</v>
      </c>
      <c r="AK485" s="364" t="n">
        <v>24</v>
      </c>
      <c r="AL485" s="364" t="n">
        <v>24</v>
      </c>
      <c r="AM485" s="364" t="n">
        <v>24</v>
      </c>
      <c r="AN485" s="364" t="n">
        <v>24</v>
      </c>
      <c r="AO485" s="364" t="n">
        <v>24</v>
      </c>
      <c r="AP485" s="364" t="n">
        <v>24</v>
      </c>
      <c r="AQ485" s="364" t="n">
        <v>24</v>
      </c>
      <c r="AR485" s="364" t="n">
        <v>24</v>
      </c>
      <c r="AS485" s="364" t="n">
        <v>24</v>
      </c>
      <c r="AT485" s="364" t="n">
        <v>24</v>
      </c>
      <c r="AU485" s="364" t="n">
        <v>24</v>
      </c>
      <c r="AV485" s="364" t="n">
        <v>24</v>
      </c>
      <c r="AW485" s="352">
        <f>IF(SUM(R485:AV485)=0,"",SUM(R485:AV485))</f>
        <v/>
      </c>
      <c r="AX485" s="431">
        <f>IFERROR(AW485*O485/1000,"")</f>
        <v/>
      </c>
      <c r="AY485" s="431">
        <f>IFERROR(ROUND(AW485*P485/10000,3),"")</f>
        <v/>
      </c>
      <c r="AZ485" s="355" t="n">
        <v>2105.4655</v>
      </c>
      <c r="BA485" s="355" t="n">
        <v>133.3057</v>
      </c>
      <c r="BB485" s="355" t="n">
        <v>179.267</v>
      </c>
      <c r="BC485" s="355" t="n">
        <v>216.1879</v>
      </c>
      <c r="BE485" s="331">
        <f>AZ485*AW485</f>
        <v/>
      </c>
      <c r="BF485" s="331">
        <f>BA485*AW485</f>
        <v/>
      </c>
      <c r="BG485" s="331">
        <f>BB485*AW485</f>
        <v/>
      </c>
      <c r="BH485" s="331">
        <f>BC485*AW485</f>
        <v/>
      </c>
      <c r="BJ485" s="356">
        <f t="array" ref="BJ485:BM485">_xlfn.LET(_xlpm.data,$R485:$AV485,_xlpm.starts,{1,8,16,23},_xlpm.lengths,{7,7,8,9},_xlpm.arr,_xlfn.MAP(_xlpm.starts,_xlpm.lengths,_xlfn.LAMBDA(_xlpm.s,_xlpm.l,SUM(INDEX(_xlpm.data,,_xlfn.SEQUENCE(,_xlpm.l,_xlpm.s))))),ROUND(_xlpm.arr*$O485/1000,2))</f>
        <v/>
      </c>
      <c r="BK485" s="331" t="n">
        <v>35.48</v>
      </c>
      <c r="BL485" s="331" t="n">
        <v>40.55</v>
      </c>
      <c r="BM485" s="331" t="n">
        <v>45.62</v>
      </c>
      <c r="BN485" s="362">
        <f>SUM(BJ485:BM485)</f>
        <v/>
      </c>
      <c r="BO485" s="362" t="n">
        <v>41.26</v>
      </c>
      <c r="BP485" s="362" t="n">
        <v>41.26</v>
      </c>
      <c r="BQ485" s="362" t="n">
        <v>47.15</v>
      </c>
      <c r="BR485" s="362" t="n">
        <v>53.05</v>
      </c>
      <c r="BS485" s="367" t="inlineStr">
        <is>
          <t>工程胎</t>
        </is>
      </c>
      <c r="BX485" s="357" t="inlineStr">
        <is>
          <t>工程胎</t>
        </is>
      </c>
      <c r="BY485" s="362">
        <f>SUM(R485:X485)</f>
        <v/>
      </c>
      <c r="BZ485" s="362">
        <f>SUM(Y485:AE485)</f>
        <v/>
      </c>
      <c r="CA485" s="362">
        <f>SUM(AF485:AM485)</f>
        <v/>
      </c>
      <c r="CB485" s="362">
        <f>SUM(AN485:AV485)</f>
        <v/>
      </c>
      <c r="CD485" s="440" t="inlineStr">
        <is>
          <t>TIDAK ADA</t>
        </is>
      </c>
      <c r="CE485" s="380">
        <f>ROUND(BY485*$O485/1000,2)</f>
        <v/>
      </c>
      <c r="CF485" s="380">
        <f>ROUND(BZ485*$O485/1000,2)</f>
        <v/>
      </c>
      <c r="CG485" s="380">
        <f>ROUND(CA485*$O485/1000,2)</f>
        <v/>
      </c>
      <c r="CH485" s="380">
        <f>ROUND(CB485*$O485/1000,2)</f>
        <v/>
      </c>
      <c r="CI485" s="362">
        <f>SUM(CE485:CH485)</f>
        <v/>
      </c>
      <c r="CK485" s="362">
        <f>IFERROR(ROUND(BY485*$P485,2),"")</f>
        <v/>
      </c>
      <c r="CL485" s="362">
        <f>IFERROR(ROUND(BZ485*$P485,2),"")</f>
        <v/>
      </c>
      <c r="CM485" s="362">
        <f>IFERROR(ROUND(CA485*$P485,2),"")</f>
        <v/>
      </c>
      <c r="CN485" s="362">
        <f>IFERROR(ROUND(CB485*$P485,2),"")</f>
        <v/>
      </c>
      <c r="CO485" s="362">
        <f>SUM(CK485:CN485)</f>
        <v/>
      </c>
    </row>
    <row r="486" hidden="1" s="428">
      <c r="A486" s="441" t="n"/>
      <c r="B486" s="434" t="inlineStr">
        <is>
          <t>印尼</t>
        </is>
      </c>
      <c r="C486" s="434">
        <f>IFERROR(MID(E486,FIND("-",E486)+1,2),"")</f>
        <v/>
      </c>
      <c r="D486" s="434">
        <f>"工程胎"&amp;C486&amp;"寸"</f>
        <v/>
      </c>
      <c r="E486" s="436" t="inlineStr">
        <is>
          <t>17.5-25-16PR-CL729(TT)</t>
        </is>
      </c>
      <c r="F486" s="436" t="n"/>
      <c r="G486" s="436" t="inlineStr">
        <is>
          <t>ID17.5-25-16PR[CL729]威狮</t>
        </is>
      </c>
      <c r="H486" s="434" t="n">
        <v>80</v>
      </c>
      <c r="I486" s="434" t="n">
        <v>4</v>
      </c>
      <c r="J486" s="434" t="n">
        <v>85</v>
      </c>
      <c r="K486" s="434" t="n"/>
      <c r="L486" s="438" t="n">
        <v>0.891411589895988</v>
      </c>
      <c r="M486" s="438" t="n"/>
      <c r="N486" s="434" t="n"/>
      <c r="O486" s="434">
        <f>IFERROR(_xlfn.XLOOKUP(E486,轮胎重量!S:S,轮胎重量!P:P),"")</f>
        <v/>
      </c>
      <c r="P486" s="439">
        <f>O486*14.76</f>
        <v/>
      </c>
      <c r="Q486" s="434">
        <f>IFERROR(ROUND(1440/J486*I486*L487,0),"")</f>
        <v/>
      </c>
      <c r="R486" s="364" t="n"/>
      <c r="S486" s="364" t="n"/>
      <c r="T486" s="364" t="n"/>
      <c r="U486" s="364" t="n"/>
      <c r="V486" s="364" t="n"/>
      <c r="W486" s="364" t="n"/>
      <c r="X486" s="364" t="n"/>
      <c r="Y486" s="364" t="n"/>
      <c r="Z486" s="364" t="n"/>
      <c r="AA486" s="364" t="n"/>
      <c r="AB486" s="364" t="n"/>
      <c r="AC486" s="364" t="n"/>
      <c r="AD486" s="364" t="n"/>
      <c r="AE486" s="364" t="n"/>
      <c r="AF486" s="364" t="n"/>
      <c r="AG486" s="364" t="n"/>
      <c r="AH486" s="364" t="n"/>
      <c r="AI486" s="364" t="n"/>
      <c r="AJ486" s="364" t="n"/>
      <c r="AK486" s="364" t="n"/>
      <c r="AL486" s="364" t="n"/>
      <c r="AM486" s="364" t="n"/>
      <c r="AN486" s="364" t="n"/>
      <c r="AO486" s="364" t="n"/>
      <c r="AP486" s="364" t="n"/>
      <c r="AQ486" s="364" t="n"/>
      <c r="AR486" s="364" t="n"/>
      <c r="AS486" s="364" t="n"/>
      <c r="AT486" s="364" t="n"/>
      <c r="AU486" s="364" t="n"/>
      <c r="AV486" s="364" t="n"/>
      <c r="AW486" s="352">
        <f>IF(SUM(R486:AV486)=0,"",SUM(R486:AV486))</f>
        <v/>
      </c>
      <c r="AX486" s="431">
        <f>IFERROR(AW486*O486/1000,"")</f>
        <v/>
      </c>
      <c r="AY486" s="431">
        <f>IFERROR(ROUND(AW486*P486/10000,3),"")</f>
        <v/>
      </c>
      <c r="AZ486" s="355" t="n">
        <v>2156.2074</v>
      </c>
      <c r="BA486" s="355" t="n">
        <v>137.0122</v>
      </c>
      <c r="BB486" s="355" t="n">
        <v>184.2515</v>
      </c>
      <c r="BC486" s="355" t="n">
        <v>222.199</v>
      </c>
      <c r="BE486" s="331">
        <f>AZ486*AW486</f>
        <v/>
      </c>
      <c r="BF486" s="331">
        <f>BA486*AW486</f>
        <v/>
      </c>
      <c r="BG486" s="331">
        <f>BB486*AW486</f>
        <v/>
      </c>
      <c r="BH486" s="331">
        <f>BC486*AW486</f>
        <v/>
      </c>
      <c r="BJ486" s="356">
        <f t="array" ref="BJ486:BM486">_xlfn.LET(_xlpm.data,$R486:$AV486,_xlpm.starts,{1,8,16,23},_xlpm.lengths,{7,7,8,9},_xlpm.arr,_xlfn.MAP(_xlpm.starts,_xlpm.lengths,_xlfn.LAMBDA(_xlpm.s,_xlpm.l,SUM(INDEX(_xlpm.data,,_xlfn.SEQUENCE(,_xlpm.l,_xlpm.s))))),ROUND(_xlpm.arr*$O486/1000,2))</f>
        <v/>
      </c>
      <c r="BK486" s="331" t="n">
        <v>0</v>
      </c>
      <c r="BL486" s="331" t="n">
        <v>0</v>
      </c>
      <c r="BM486" s="331" t="n">
        <v>0</v>
      </c>
      <c r="BN486" s="362">
        <f>SUM(BJ486:BM486)</f>
        <v/>
      </c>
      <c r="BO486" s="362" t="n">
        <v>17.68</v>
      </c>
      <c r="BP486" s="362" t="n">
        <v>17.68</v>
      </c>
      <c r="BQ486" s="362" t="n">
        <v>7.58</v>
      </c>
      <c r="BR486" s="362" t="n">
        <v>0</v>
      </c>
      <c r="BS486" s="367" t="inlineStr">
        <is>
          <t>工程胎</t>
        </is>
      </c>
      <c r="BX486" s="357" t="inlineStr">
        <is>
          <t>工程胎</t>
        </is>
      </c>
      <c r="BY486" s="362">
        <f>SUM(R486:X486)</f>
        <v/>
      </c>
      <c r="BZ486" s="362">
        <f>SUM(Y486:AE486)</f>
        <v/>
      </c>
      <c r="CA486" s="362">
        <f>SUM(AF486:AM486)</f>
        <v/>
      </c>
      <c r="CB486" s="362">
        <f>SUM(AN486:AV486)</f>
        <v/>
      </c>
      <c r="CD486" s="440" t="inlineStr">
        <is>
          <t>TIDAK ADA</t>
        </is>
      </c>
      <c r="CE486" s="380">
        <f>ROUND(BY486*$O486/1000,2)</f>
        <v/>
      </c>
      <c r="CF486" s="380">
        <f>ROUND(BZ486*$O486/1000,2)</f>
        <v/>
      </c>
      <c r="CG486" s="380">
        <f>ROUND(CA486*$O486/1000,2)</f>
        <v/>
      </c>
      <c r="CH486" s="380">
        <f>ROUND(CB486*$O486/1000,2)</f>
        <v/>
      </c>
      <c r="CI486" s="362">
        <f>SUM(CE486:CH486)</f>
        <v/>
      </c>
      <c r="CK486" s="362">
        <f>IFERROR(ROUND(BY486*$P486,2),"")</f>
        <v/>
      </c>
      <c r="CL486" s="362">
        <f>IFERROR(ROUND(BZ486*$P486,2),"")</f>
        <v/>
      </c>
      <c r="CM486" s="362">
        <f>IFERROR(ROUND(CA486*$P486,2),"")</f>
        <v/>
      </c>
      <c r="CN486" s="362">
        <f>IFERROR(ROUND(CB486*$P486,2),"")</f>
        <v/>
      </c>
      <c r="CO486" s="362">
        <f>SUM(CK486:CN486)</f>
        <v/>
      </c>
    </row>
    <row r="487" hidden="1" s="428">
      <c r="A487" s="441" t="n"/>
      <c r="B487" s="434" t="inlineStr">
        <is>
          <t>印尼</t>
        </is>
      </c>
      <c r="C487" s="434">
        <f>IFERROR(MID(E487,FIND("-",E487)+1,2),"")</f>
        <v/>
      </c>
      <c r="D487" s="434">
        <f>"工程胎"&amp;C487&amp;"寸"</f>
        <v/>
      </c>
      <c r="E487" s="436" t="inlineStr">
        <is>
          <t>17.5-25-16PR-EL36(TT)</t>
        </is>
      </c>
      <c r="F487" s="436" t="n"/>
      <c r="G487" s="436" t="inlineStr">
        <is>
          <t>ID17.5-25-16PR[CL729]威狮无内</t>
        </is>
      </c>
      <c r="H487" s="434" t="n">
        <v>80</v>
      </c>
      <c r="I487" s="434" t="n">
        <v>4</v>
      </c>
      <c r="J487" s="434" t="n">
        <v>85</v>
      </c>
      <c r="K487" s="434" t="n"/>
      <c r="L487" s="438" t="n">
        <v>0.891411589895988</v>
      </c>
      <c r="M487" s="438" t="n"/>
      <c r="N487" s="434" t="n"/>
      <c r="O487" s="434">
        <f>IFERROR(_xlfn.XLOOKUP(E487,轮胎重量!S:S,轮胎重量!P:P),"")</f>
        <v/>
      </c>
      <c r="P487" s="434">
        <f>14.15*O487</f>
        <v/>
      </c>
      <c r="Q487" s="434">
        <f>IFERROR(ROUND(1440/J487*I487*L488,0),"")</f>
        <v/>
      </c>
      <c r="R487" s="364" t="n"/>
      <c r="S487" s="364" t="n"/>
      <c r="T487" s="364" t="n"/>
      <c r="U487" s="364" t="n"/>
      <c r="V487" s="364" t="n"/>
      <c r="W487" s="364" t="n"/>
      <c r="X487" s="364" t="n"/>
      <c r="Y487" s="364" t="n"/>
      <c r="Z487" s="364" t="n"/>
      <c r="AA487" s="364" t="n"/>
      <c r="AB487" s="364" t="n"/>
      <c r="AC487" s="364" t="n"/>
      <c r="AD487" s="364" t="n"/>
      <c r="AE487" s="364" t="n"/>
      <c r="AF487" s="364" t="n"/>
      <c r="AG487" s="364" t="n"/>
      <c r="AH487" s="364" t="n"/>
      <c r="AI487" s="364" t="n"/>
      <c r="AJ487" s="364" t="n"/>
      <c r="AK487" s="364" t="n"/>
      <c r="AL487" s="364" t="n"/>
      <c r="AM487" s="364" t="n"/>
      <c r="AN487" s="364" t="n"/>
      <c r="AO487" s="364" t="n"/>
      <c r="AP487" s="364" t="n"/>
      <c r="AQ487" s="364" t="n"/>
      <c r="AR487" s="364" t="n"/>
      <c r="AS487" s="364" t="n"/>
      <c r="AT487" s="364" t="n"/>
      <c r="AU487" s="364" t="n"/>
      <c r="AV487" s="364" t="n"/>
      <c r="AW487" s="352">
        <f>IF(SUM(R487:AV487)=0,"",SUM(R487:AV487))</f>
        <v/>
      </c>
      <c r="AX487" s="431">
        <f>IFERROR(AW487*O487/1000,"")</f>
        <v/>
      </c>
      <c r="AY487" s="431">
        <f>IFERROR(ROUND(AW487*P487/10000,3),"")</f>
        <v/>
      </c>
      <c r="AZ487" s="355" t="n">
        <v>2156.2074</v>
      </c>
      <c r="BA487" s="355" t="n">
        <v>137.0122</v>
      </c>
      <c r="BB487" s="355" t="n">
        <v>184.2515</v>
      </c>
      <c r="BC487" s="355" t="n">
        <v>222.199</v>
      </c>
      <c r="BE487" s="331">
        <f>AZ487*AW487</f>
        <v/>
      </c>
      <c r="BF487" s="331">
        <f>BA487*AW487</f>
        <v/>
      </c>
      <c r="BG487" s="331">
        <f>BB487*AW487</f>
        <v/>
      </c>
      <c r="BH487" s="331">
        <f>BC487*AW487</f>
        <v/>
      </c>
      <c r="BJ487" s="356">
        <f t="array" ref="BJ487:BM487">_xlfn.LET(_xlpm.data,$R487:$AV487,_xlpm.starts,{1,8,16,23},_xlpm.lengths,{7,7,8,9},_xlpm.arr,_xlfn.MAP(_xlpm.starts,_xlpm.lengths,_xlfn.LAMBDA(_xlpm.s,_xlpm.l,SUM(INDEX(_xlpm.data,,_xlfn.SEQUENCE(,_xlpm.l,_xlpm.s))))),ROUND(_xlpm.arr*$O487/1000,2))</f>
        <v/>
      </c>
      <c r="BK487" s="331" t="n">
        <v>0</v>
      </c>
      <c r="BL487" s="331" t="n">
        <v>0</v>
      </c>
      <c r="BM487" s="331" t="n">
        <v>0</v>
      </c>
      <c r="BN487" s="362">
        <f>SUM(BJ487:BM487)</f>
        <v/>
      </c>
      <c r="BO487" s="362" t="n">
        <v>17.68</v>
      </c>
      <c r="BP487" s="362" t="n">
        <v>17.68</v>
      </c>
      <c r="BQ487" s="362" t="n">
        <v>7.58</v>
      </c>
      <c r="BR487" s="362" t="n">
        <v>0</v>
      </c>
      <c r="BS487" s="367" t="inlineStr">
        <is>
          <t>工程胎</t>
        </is>
      </c>
      <c r="BX487" s="357" t="inlineStr">
        <is>
          <t>工程胎</t>
        </is>
      </c>
      <c r="BY487" s="362">
        <f>SUM(R487:X487)</f>
        <v/>
      </c>
      <c r="BZ487" s="362">
        <f>SUM(Y487:AE487)</f>
        <v/>
      </c>
      <c r="CA487" s="362">
        <f>SUM(AF487:AM487)</f>
        <v/>
      </c>
      <c r="CB487" s="362">
        <f>SUM(AN487:AV487)</f>
        <v/>
      </c>
      <c r="CD487" s="440" t="inlineStr">
        <is>
          <t>TIDAK ADA</t>
        </is>
      </c>
      <c r="CE487" s="380">
        <f>ROUND(BY487*$O487/1000,2)</f>
        <v/>
      </c>
      <c r="CF487" s="380">
        <f>ROUND(BZ487*$O487/1000,2)</f>
        <v/>
      </c>
      <c r="CG487" s="380">
        <f>ROUND(CA487*$O487/1000,2)</f>
        <v/>
      </c>
      <c r="CH487" s="380">
        <f>ROUND(CB487*$O487/1000,2)</f>
        <v/>
      </c>
      <c r="CI487" s="362">
        <f>SUM(CE487:CH487)</f>
        <v/>
      </c>
      <c r="CK487" s="362">
        <f>IFERROR(ROUND(BY487*$P487,2),"")</f>
        <v/>
      </c>
      <c r="CL487" s="362">
        <f>IFERROR(ROUND(BZ487*$P487,2),"")</f>
        <v/>
      </c>
      <c r="CM487" s="362">
        <f>IFERROR(ROUND(CA487*$P487,2),"")</f>
        <v/>
      </c>
      <c r="CN487" s="362">
        <f>IFERROR(ROUND(CB487*$P487,2),"")</f>
        <v/>
      </c>
      <c r="CO487" s="362">
        <f>SUM(CK487:CN487)</f>
        <v/>
      </c>
    </row>
    <row r="488" hidden="1" customFormat="1" s="362">
      <c r="A488" s="331" t="n"/>
      <c r="B488" s="352" t="n"/>
      <c r="C488" s="352">
        <f>IFERROR(MID(E488,FIND("-",E488)+1,2),"")</f>
        <v/>
      </c>
      <c r="D488" s="352">
        <f>"工程胎"&amp;C488&amp;"寸"</f>
        <v/>
      </c>
      <c r="E488" s="363" t="n"/>
      <c r="F488" s="363" t="n"/>
      <c r="G488" s="379" t="n"/>
      <c r="H488" s="352" t="n"/>
      <c r="I488" s="364" t="n">
        <v>1</v>
      </c>
      <c r="J488" s="364" t="n">
        <v>85</v>
      </c>
      <c r="K488" s="352" t="n"/>
      <c r="L488" s="450" t="n">
        <v>0.891411589895988</v>
      </c>
      <c r="M488" s="450" t="n"/>
      <c r="N488" s="364" t="n"/>
      <c r="O488" s="364">
        <f>IFERROR(_xlfn.XLOOKUP(E488,轮胎重量!S:S,轮胎重量!P:P),"")</f>
        <v/>
      </c>
      <c r="P488" s="352">
        <f>IFERROR(_xlfn.XLOOKUP(E488,硫化工艺!I:I,硫化工艺!J:J),"")</f>
        <v/>
      </c>
      <c r="Q488" s="364">
        <f>IFERROR(ROUND(1440/J488*I488*L493,0),"")</f>
        <v/>
      </c>
      <c r="R488" s="364" t="n"/>
      <c r="S488" s="364" t="n"/>
      <c r="T488" s="364" t="n"/>
      <c r="U488" s="364" t="n"/>
      <c r="V488" s="364" t="n"/>
      <c r="W488" s="364" t="n"/>
      <c r="X488" s="364" t="n"/>
      <c r="Y488" s="364" t="n"/>
      <c r="Z488" s="364" t="n"/>
      <c r="AA488" s="364" t="n"/>
      <c r="AB488" s="364" t="n"/>
      <c r="AC488" s="364" t="n"/>
      <c r="AD488" s="364" t="n"/>
      <c r="AE488" s="364" t="n"/>
      <c r="AF488" s="364" t="n"/>
      <c r="AG488" s="364" t="n"/>
      <c r="AH488" s="364" t="n"/>
      <c r="AI488" s="364" t="n"/>
      <c r="AJ488" s="364" t="n"/>
      <c r="AK488" s="364" t="n"/>
      <c r="AL488" s="364" t="n"/>
      <c r="AM488" s="364" t="n"/>
      <c r="AN488" s="364" t="n"/>
      <c r="AO488" s="364" t="n"/>
      <c r="AP488" s="364" t="n"/>
      <c r="AQ488" s="364" t="n"/>
      <c r="AR488" s="364" t="n"/>
      <c r="AS488" s="364" t="n"/>
      <c r="AT488" s="364" t="n"/>
      <c r="AU488" s="364" t="n"/>
      <c r="AV488" s="364" t="n"/>
      <c r="AW488" s="352">
        <f>IF(SUM(R488:AV488)=0,"",SUM(R488:AV488))</f>
        <v/>
      </c>
      <c r="AX488" s="431">
        <f>IFERROR(AW488*O488/1000,"")</f>
        <v/>
      </c>
      <c r="AY488" s="431">
        <f>IFERROR(ROUND(AW488*P488/10000,3),"")</f>
        <v/>
      </c>
      <c r="AZ488" s="355" t="n">
        <v>2156.2074</v>
      </c>
      <c r="BA488" s="355" t="n">
        <v>137.0122</v>
      </c>
      <c r="BB488" s="355" t="n">
        <v>184.2515</v>
      </c>
      <c r="BC488" s="355" t="n">
        <v>222.199</v>
      </c>
      <c r="BD488" s="331" t="n"/>
      <c r="BE488" s="331">
        <f>AZ488*AW488</f>
        <v/>
      </c>
      <c r="BF488" s="331">
        <f>BA488*AW488</f>
        <v/>
      </c>
      <c r="BG488" s="331">
        <f>BB488*AW488</f>
        <v/>
      </c>
      <c r="BH488" s="331">
        <f>BC488*AW488</f>
        <v/>
      </c>
      <c r="BI488" s="331" t="n"/>
      <c r="BJ488" s="356">
        <f t="array" ref="BJ488:BM488">_xlfn.LET(_xlpm.data,$R488:$AV488,_xlpm.starts,{1,8,16,23},_xlpm.lengths,{7,7,8,9},_xlpm.arr,_xlfn.MAP(_xlpm.starts,_xlpm.lengths,_xlfn.LAMBDA(_xlpm.s,_xlpm.l,SUM(INDEX(_xlpm.data,,_xlfn.SEQUENCE(,_xlpm.l,_xlpm.s))))),ROUND(_xlpm.arr*$O488/1000,2))</f>
        <v/>
      </c>
      <c r="BK488" s="331" t="n">
        <v>0</v>
      </c>
      <c r="BL488" s="331" t="n">
        <v>0</v>
      </c>
      <c r="BM488" s="331" t="n">
        <v>0</v>
      </c>
      <c r="BN488" s="362">
        <f>SUM(BJ488:BM488)</f>
        <v/>
      </c>
      <c r="BO488" s="362" t="n">
        <v>0</v>
      </c>
      <c r="BP488" s="362" t="n">
        <v>0</v>
      </c>
      <c r="BQ488" s="362" t="n">
        <v>7.32</v>
      </c>
      <c r="BR488" s="362" t="n">
        <v>13.18</v>
      </c>
      <c r="BS488" s="367" t="inlineStr">
        <is>
          <t>工程胎</t>
        </is>
      </c>
      <c r="BX488" s="357" t="inlineStr">
        <is>
          <t>工程胎</t>
        </is>
      </c>
      <c r="BY488" s="362">
        <f>SUM(R488:X488)</f>
        <v/>
      </c>
      <c r="BZ488" s="362">
        <f>SUM(Y488:AE488)</f>
        <v/>
      </c>
      <c r="CA488" s="362">
        <f>SUM(AF488:AM488)</f>
        <v/>
      </c>
      <c r="CB488" s="362">
        <f>SUM(AN488:AV488)</f>
        <v/>
      </c>
      <c r="CD488" s="390" t="n"/>
      <c r="CE488" s="362">
        <f>ROUND(BY488*$O488/1000,2)</f>
        <v/>
      </c>
      <c r="CF488" s="362">
        <f>ROUND(BZ488*$O488/1000,2)</f>
        <v/>
      </c>
      <c r="CG488" s="362">
        <f>ROUND(CA488*$O488/1000,2)</f>
        <v/>
      </c>
      <c r="CH488" s="362">
        <f>ROUND(CB488*$O488/1000,2)</f>
        <v/>
      </c>
      <c r="CI488" s="362">
        <f>SUM(CE488:CH488)</f>
        <v/>
      </c>
      <c r="CJ488" s="390" t="n"/>
      <c r="CK488" s="362">
        <f>IFERROR(ROUND(BY488*$P488,2),"")</f>
        <v/>
      </c>
      <c r="CL488" s="362">
        <f>IFERROR(ROUND(BZ488*$P488,2),"")</f>
        <v/>
      </c>
      <c r="CM488" s="362">
        <f>IFERROR(ROUND(CA488*$P488,2),"")</f>
        <v/>
      </c>
      <c r="CN488" s="362">
        <f>IFERROR(ROUND(CB488*$P488,2),"")</f>
        <v/>
      </c>
    </row>
    <row r="489" hidden="1" customFormat="1" s="362">
      <c r="A489" s="331" t="n"/>
      <c r="B489" s="352" t="n"/>
      <c r="C489" s="352">
        <f>IFERROR(MID(E489,FIND("-",E489)+1,2),"")</f>
        <v/>
      </c>
      <c r="D489" s="352">
        <f>"工程胎"&amp;C489&amp;"寸"</f>
        <v/>
      </c>
      <c r="E489" s="389" t="n"/>
      <c r="F489" s="389" t="n"/>
      <c r="G489" s="379" t="n"/>
      <c r="H489" s="352" t="n"/>
      <c r="I489" s="370" t="n"/>
      <c r="J489" s="352" t="n"/>
      <c r="K489" s="352" t="n"/>
      <c r="L489" s="450" t="n">
        <v>0.891411589895988</v>
      </c>
      <c r="M489" s="430" t="n"/>
      <c r="N489" s="352" t="n"/>
      <c r="O489" s="352">
        <f>IFERROR(_xlfn.XLOOKUP(E489,轮胎重量!S:S,轮胎重量!P:P),"")</f>
        <v/>
      </c>
      <c r="P489" s="352">
        <f>14.15*O489</f>
        <v/>
      </c>
      <c r="Q489" s="352" t="n"/>
      <c r="R489" s="352" t="n"/>
      <c r="S489" s="352" t="n"/>
      <c r="T489" s="352" t="n"/>
      <c r="U489" s="352" t="n"/>
      <c r="V489" s="352" t="n"/>
      <c r="W489" s="352" t="n"/>
      <c r="X489" s="352" t="n"/>
      <c r="Y489" s="352" t="n"/>
      <c r="Z489" s="352" t="n"/>
      <c r="AA489" s="352" t="n"/>
      <c r="AB489" s="352" t="n"/>
      <c r="AC489" s="352" t="n"/>
      <c r="AD489" s="352" t="n"/>
      <c r="AE489" s="352" t="n"/>
      <c r="AF489" s="352" t="n"/>
      <c r="AG489" s="352" t="n"/>
      <c r="AH489" s="352" t="n"/>
      <c r="AI489" s="352" t="n"/>
      <c r="AJ489" s="352" t="n"/>
      <c r="AK489" s="352" t="n"/>
      <c r="AL489" s="352" t="n"/>
      <c r="AM489" s="352" t="n"/>
      <c r="AN489" s="352" t="n"/>
      <c r="AO489" s="352" t="n"/>
      <c r="AP489" s="352" t="n"/>
      <c r="AQ489" s="352" t="n"/>
      <c r="AR489" s="352" t="n"/>
      <c r="AS489" s="352" t="n"/>
      <c r="AT489" s="352" t="n"/>
      <c r="AU489" s="352" t="n"/>
      <c r="AV489" s="352" t="n"/>
      <c r="AW489" s="352">
        <f>IF(SUM(R489:AV489)=0,"",SUM(R489:AV489))</f>
        <v/>
      </c>
      <c r="AX489" s="431">
        <f>IFERROR(AW489*O489/1000,"")</f>
        <v/>
      </c>
      <c r="AY489" s="431">
        <f>IFERROR(ROUND(AW489*P489/10000,3),"")</f>
        <v/>
      </c>
      <c r="BC489" s="331" t="n"/>
      <c r="BD489" s="331" t="n"/>
      <c r="BE489" s="331" t="n"/>
      <c r="BF489" s="331" t="n"/>
      <c r="BG489" s="331" t="n"/>
      <c r="BH489" s="331" t="n"/>
      <c r="BI489" s="331" t="n"/>
      <c r="BJ489" s="356">
        <f t="array" ref="BJ489">SUMPRODUCT(IF(ISNUMBER(BJ378:BJ387),BJ378:BJ387,0),IF(ISERROR(BJ378:BJ387),0,1))</f>
        <v/>
      </c>
      <c r="BK489" s="356">
        <f t="array" ref="BK489">SUMPRODUCT(IF(ISNUMBER(BK378:BK387),BK378:BK387,0),IF(ISERROR(BK378:BK387),0,1))</f>
        <v/>
      </c>
      <c r="BL489" s="356">
        <f t="array" ref="BL489">SUMPRODUCT(IF(ISNUMBER(BL378:BL387),BL378:BL387,0),IF(ISERROR(BL378:BL387),0,1))</f>
        <v/>
      </c>
      <c r="BM489" s="356">
        <f t="array" ref="BM489">SUMPRODUCT(IF(ISNUMBER(BM378:BM387),BM378:BM387,0),IF(ISERROR(BM378:BM387),0,1))</f>
        <v/>
      </c>
      <c r="BN489" s="362">
        <f>SUM(BJ489:BM489)</f>
        <v/>
      </c>
      <c r="BO489" s="362" t="n">
        <v>42.79</v>
      </c>
      <c r="BP489" s="362" t="n">
        <v>44.13</v>
      </c>
      <c r="BQ489" s="362" t="n">
        <v>49.14</v>
      </c>
      <c r="BR489" s="362" t="n">
        <v>55.17</v>
      </c>
      <c r="BS489" s="367" t="inlineStr">
        <is>
          <t>工程胎</t>
        </is>
      </c>
      <c r="BX489" s="367" t="inlineStr">
        <is>
          <t>工程胎</t>
        </is>
      </c>
      <c r="BY489" s="362">
        <f>SUM(R489:X489)</f>
        <v/>
      </c>
      <c r="BZ489" s="362">
        <f>SUM(Y489:AE489)</f>
        <v/>
      </c>
      <c r="CA489" s="362">
        <f>SUM(AF489:AM489)</f>
        <v/>
      </c>
      <c r="CB489" s="362">
        <f>SUM(AN489:AV489)</f>
        <v/>
      </c>
      <c r="CD489" s="390" t="n"/>
      <c r="CE489" s="362">
        <f>ROUND(BY489*$O489/1000,2)</f>
        <v/>
      </c>
      <c r="CF489" s="362">
        <f>ROUND(BZ489*$O489/1000,2)</f>
        <v/>
      </c>
      <c r="CG489" s="362">
        <f>ROUND(CA489*$O489/1000,2)</f>
        <v/>
      </c>
      <c r="CH489" s="362">
        <f>ROUND(CB489*$O489/1000,2)</f>
        <v/>
      </c>
      <c r="CI489" s="362">
        <f>SUM(CE489:CH489)</f>
        <v/>
      </c>
      <c r="CJ489" s="390" t="n"/>
      <c r="CK489" s="362">
        <f>IFERROR(ROUND(BY489*$P489,2),"")</f>
        <v/>
      </c>
      <c r="CL489" s="362">
        <f>IFERROR(ROUND(BZ489*$P489,2),"")</f>
        <v/>
      </c>
      <c r="CM489" s="362">
        <f>IFERROR(ROUND(CA489*$P489,2),"")</f>
        <v/>
      </c>
      <c r="CN489" s="362">
        <f>IFERROR(ROUND(CB489*$P489,2),"")</f>
        <v/>
      </c>
    </row>
    <row r="490" customFormat="1" s="362">
      <c r="A490" s="331" t="n"/>
      <c r="B490" s="331" t="n"/>
      <c r="C490" s="331" t="n"/>
      <c r="D490" s="331" t="n"/>
      <c r="E490" s="376" t="n"/>
      <c r="F490" s="376" t="n"/>
      <c r="G490" s="376" t="n"/>
      <c r="H490" s="331" t="n"/>
      <c r="I490" s="331" t="n"/>
      <c r="J490" s="331" t="n"/>
      <c r="K490" s="331" t="n"/>
      <c r="L490" s="442" t="n"/>
      <c r="M490" s="442" t="n"/>
      <c r="N490" s="331" t="n"/>
      <c r="O490" s="331" t="n"/>
      <c r="P490" s="331" t="n"/>
      <c r="Q490" s="331" t="n"/>
      <c r="R490" s="331">
        <f>SUM(R382:R489)</f>
        <v/>
      </c>
      <c r="S490" s="331">
        <f>SUM(S382:S489)</f>
        <v/>
      </c>
      <c r="T490" s="331">
        <f>SUM(T382:T489)</f>
        <v/>
      </c>
      <c r="U490" s="331">
        <f>SUM(U382:U489)</f>
        <v/>
      </c>
      <c r="V490" s="331">
        <f>SUM(V382:V489)</f>
        <v/>
      </c>
      <c r="W490" s="331">
        <f>SUM(W382:W489)</f>
        <v/>
      </c>
      <c r="X490" s="331">
        <f>SUM(X382:X489)</f>
        <v/>
      </c>
      <c r="Y490" s="331">
        <f>SUM(Y382:Y489)</f>
        <v/>
      </c>
      <c r="Z490" s="331">
        <f>SUM(Z382:Z489)</f>
        <v/>
      </c>
      <c r="AA490" s="331">
        <f>SUM(AA382:AA489)</f>
        <v/>
      </c>
      <c r="AB490" s="331">
        <f>SUM(AB382:AB489)</f>
        <v/>
      </c>
      <c r="AC490" s="331">
        <f>SUM(AC382:AC489)</f>
        <v/>
      </c>
      <c r="AD490" s="331">
        <f>SUM(AD382:AD489)</f>
        <v/>
      </c>
      <c r="AE490" s="331">
        <f>SUM(AE382:AE489)</f>
        <v/>
      </c>
      <c r="AF490" s="331">
        <f>SUM(AF382:AF489)</f>
        <v/>
      </c>
      <c r="AG490" s="331">
        <f>SUM(AG382:AG489)</f>
        <v/>
      </c>
      <c r="AH490" s="331">
        <f>SUM(AH382:AH489)</f>
        <v/>
      </c>
      <c r="AI490" s="331">
        <f>SUM(AI382:AI489)</f>
        <v/>
      </c>
      <c r="AJ490" s="331">
        <f>SUM(AJ382:AJ489)</f>
        <v/>
      </c>
      <c r="AK490" s="331">
        <f>SUM(AK382:AK489)</f>
        <v/>
      </c>
      <c r="AL490" s="331">
        <f>SUM(AL382:AL489)</f>
        <v/>
      </c>
      <c r="AM490" s="331">
        <f>SUM(AM382:AM489)</f>
        <v/>
      </c>
      <c r="AN490" s="331">
        <f>SUM(AN382:AN489)</f>
        <v/>
      </c>
      <c r="AO490" s="331">
        <f>SUM(AO382:AO489)</f>
        <v/>
      </c>
      <c r="AP490" s="331">
        <f>SUM(AP382:AP489)</f>
        <v/>
      </c>
      <c r="AQ490" s="331">
        <f>SUM(AQ382:AQ489)</f>
        <v/>
      </c>
      <c r="AR490" s="331">
        <f>SUM(AR382:AR489)</f>
        <v/>
      </c>
      <c r="AS490" s="331">
        <f>SUM(AS382:AS489)</f>
        <v/>
      </c>
      <c r="AT490" s="331">
        <f>SUM(AT382:AT489)</f>
        <v/>
      </c>
      <c r="AU490" s="331">
        <f>SUM(AU382:AU489)</f>
        <v/>
      </c>
      <c r="AV490" s="331">
        <f>SUM(AV382:AV489)</f>
        <v/>
      </c>
      <c r="AW490" s="352">
        <f>SUM(AW382:AW489)</f>
        <v/>
      </c>
      <c r="AX490" s="431">
        <f>SUM(AX382:AX489)</f>
        <v/>
      </c>
      <c r="AY490" s="431">
        <f>SUM(AY382:AY489)</f>
        <v/>
      </c>
      <c r="BC490" s="331" t="n"/>
      <c r="BD490" s="331" t="n"/>
      <c r="BE490" s="331" t="n"/>
      <c r="BF490" s="331" t="n"/>
      <c r="BG490" s="331" t="n"/>
      <c r="BH490" s="331" t="n"/>
      <c r="BI490" s="331" t="n"/>
      <c r="BJ490" s="356">
        <f t="array" ref="BJ490">SUMPRODUCT(IF(ISNUMBER(BJ377:BJ386),BJ377:BJ386,0),IF(ISERROR(BJ377:BJ386),0,1))</f>
        <v/>
      </c>
      <c r="BK490" s="356">
        <f t="array" ref="BK490">SUMPRODUCT(IF(ISNUMBER(BK377:BK386),BK377:BK386,0),IF(ISERROR(BK377:BK386),0,1))</f>
        <v/>
      </c>
      <c r="BL490" s="356">
        <f t="array" ref="BL490">SUMPRODUCT(IF(ISNUMBER(BL377:BL386),BL377:BL386,0),IF(ISERROR(BL377:BL386),0,1))</f>
        <v/>
      </c>
      <c r="BM490" s="356">
        <f t="array" ref="BM490">SUMPRODUCT(IF(ISNUMBER(BM377:BM386),BM377:BM386,0),IF(ISERROR(BM377:BM386),0,1))</f>
        <v/>
      </c>
      <c r="BN490" s="362">
        <f>SUM(BJ490:BM490)</f>
        <v/>
      </c>
      <c r="BO490" s="362" t="n">
        <v>42.79</v>
      </c>
      <c r="BP490" s="362" t="n">
        <v>44.13</v>
      </c>
      <c r="BQ490" s="362" t="n">
        <v>49.14</v>
      </c>
      <c r="BR490" s="362" t="n">
        <v>55.17</v>
      </c>
      <c r="BS490" s="367" t="n"/>
      <c r="BX490" s="367" t="n"/>
      <c r="BY490" s="362">
        <f>SUM(R490:X490)</f>
        <v/>
      </c>
      <c r="BZ490" s="362">
        <f>SUM(Y490:AE490)</f>
        <v/>
      </c>
      <c r="CA490" s="362">
        <f>SUM(AF490:AL490)</f>
        <v/>
      </c>
      <c r="CB490" s="362">
        <f>SUM(AM490:AV490)</f>
        <v/>
      </c>
      <c r="CD490" s="390" t="n"/>
      <c r="CE490" s="362">
        <f>ROUND(BY490*$O490/1000,2)</f>
        <v/>
      </c>
      <c r="CF490" s="362">
        <f>ROUND(BZ490*$O490/1000,2)</f>
        <v/>
      </c>
      <c r="CG490" s="362">
        <f>ROUND(CA490*$O490/1000,2)</f>
        <v/>
      </c>
      <c r="CH490" s="362">
        <f>ROUND(CB490*$O490/1000,2)</f>
        <v/>
      </c>
      <c r="CI490" s="362">
        <f>SUM(CE490:CH490)</f>
        <v/>
      </c>
      <c r="CJ490" s="390" t="n"/>
      <c r="CK490" s="362">
        <f>IFERROR(ROUND(BY490*$P490,2),"")</f>
        <v/>
      </c>
      <c r="CL490" s="362">
        <f>IFERROR(ROUND(BZ490*$P490,2),"")</f>
        <v/>
      </c>
      <c r="CM490" s="362">
        <f>IFERROR(ROUND(CA490*$P490,2),"")</f>
        <v/>
      </c>
      <c r="CN490" s="362">
        <f>IFERROR(ROUND(CB490*$P490,2),"")</f>
        <v/>
      </c>
    </row>
    <row r="491" customFormat="1" s="362">
      <c r="A491" s="331" t="n"/>
      <c r="B491" s="331" t="n"/>
      <c r="C491" s="331" t="n"/>
      <c r="D491" s="331" t="n"/>
      <c r="E491" s="376" t="n"/>
      <c r="F491" s="376" t="n"/>
      <c r="G491" s="376" t="n"/>
      <c r="H491" s="331" t="n"/>
      <c r="I491" s="331" t="n"/>
      <c r="J491" s="331" t="n"/>
      <c r="K491" s="331" t="n"/>
      <c r="L491" s="442" t="n"/>
      <c r="M491" s="442" t="n"/>
      <c r="N491" s="331" t="n"/>
      <c r="O491" s="331" t="n"/>
      <c r="P491" s="331" t="n"/>
      <c r="Q491" s="331" t="n"/>
      <c r="R491" s="331" t="n"/>
      <c r="S491" s="331" t="n"/>
      <c r="T491" s="331" t="n"/>
      <c r="U491" s="331" t="n"/>
      <c r="V491" s="331" t="n"/>
      <c r="W491" s="331" t="n"/>
      <c r="X491" s="331" t="n"/>
      <c r="Y491" s="331" t="n"/>
      <c r="Z491" s="331" t="n"/>
      <c r="AA491" s="331" t="n"/>
      <c r="AB491" s="331" t="n"/>
      <c r="AC491" s="331" t="n"/>
      <c r="AD491" s="331" t="n"/>
      <c r="AE491" s="331" t="n"/>
      <c r="AF491" s="331" t="n"/>
      <c r="AG491" s="331" t="n"/>
      <c r="AH491" s="331" t="n"/>
      <c r="AI491" s="331" t="n"/>
      <c r="AJ491" s="331" t="n"/>
      <c r="AK491" s="331" t="n"/>
      <c r="AL491" s="331" t="n"/>
      <c r="AM491" s="331" t="n"/>
      <c r="AN491" s="331" t="n"/>
      <c r="AO491" s="331" t="n"/>
      <c r="AP491" s="331" t="n"/>
      <c r="AQ491" s="331" t="n"/>
      <c r="AR491" s="331" t="n"/>
      <c r="AS491" s="331" t="n"/>
      <c r="AT491" s="331" t="n"/>
      <c r="AU491" s="331" t="n"/>
      <c r="AV491" s="331" t="n"/>
      <c r="AW491" s="451">
        <f>AW490/31</f>
        <v/>
      </c>
      <c r="AX491" s="451">
        <f>AX490/31</f>
        <v/>
      </c>
      <c r="AY491" s="451">
        <f>AY490/31</f>
        <v/>
      </c>
      <c r="BC491" s="331" t="n"/>
      <c r="BD491" s="331" t="n"/>
      <c r="BE491" s="331" t="n"/>
      <c r="BF491" s="331" t="n"/>
      <c r="BG491" s="331" t="n"/>
      <c r="BH491" s="331" t="n"/>
      <c r="BI491" s="331" t="n"/>
      <c r="BJ491" s="356" t="n"/>
      <c r="BK491" s="356" t="n"/>
      <c r="BL491" s="356" t="n"/>
      <c r="BM491" s="356" t="n"/>
      <c r="BS491" s="367" t="n"/>
      <c r="BX491" s="367" t="n"/>
      <c r="CD491" s="390" t="n"/>
      <c r="CJ491" s="390" t="n"/>
    </row>
    <row r="492" hidden="1" customFormat="1" s="362">
      <c r="A492" s="331" t="n"/>
      <c r="B492" s="331" t="n"/>
      <c r="C492" s="331" t="n"/>
      <c r="D492" s="331" t="n"/>
      <c r="E492" s="376" t="n"/>
      <c r="F492" s="376" t="n"/>
      <c r="G492" s="376" t="n"/>
      <c r="H492" s="331" t="n"/>
      <c r="I492" s="331" t="n"/>
      <c r="J492" s="331" t="n"/>
      <c r="K492" s="331" t="n"/>
      <c r="L492" s="442" t="n"/>
      <c r="M492" s="442" t="n"/>
      <c r="N492" s="331" t="n"/>
      <c r="O492" s="331" t="n"/>
      <c r="P492" s="331" t="n"/>
      <c r="Q492" s="331" t="n"/>
      <c r="R492" s="331" t="n"/>
      <c r="S492" s="331" t="n"/>
      <c r="T492" s="331" t="n"/>
      <c r="U492" s="331" t="n"/>
      <c r="V492" s="331" t="n"/>
      <c r="W492" s="331" t="n"/>
      <c r="X492" s="331" t="n"/>
      <c r="Y492" s="331" t="n"/>
      <c r="Z492" s="331" t="n"/>
      <c r="AA492" s="331" t="n"/>
      <c r="AB492" s="331" t="n"/>
      <c r="AC492" s="331" t="n"/>
      <c r="AD492" s="331" t="n"/>
      <c r="AE492" s="331" t="n"/>
      <c r="AF492" s="331" t="n"/>
      <c r="AG492" s="331" t="n"/>
      <c r="AH492" s="331" t="n"/>
      <c r="AI492" s="331" t="n"/>
      <c r="AJ492" s="331" t="n"/>
      <c r="AK492" s="331" t="n"/>
      <c r="AL492" s="331" t="n"/>
      <c r="AM492" s="331" t="n"/>
      <c r="AN492" s="331" t="n"/>
      <c r="AO492" s="331" t="n"/>
      <c r="AP492" s="331" t="n"/>
      <c r="AQ492" s="331" t="n"/>
      <c r="AR492" s="331" t="n"/>
      <c r="AS492" s="331" t="n"/>
      <c r="AT492" s="331" t="n"/>
      <c r="AU492" s="331" t="n"/>
      <c r="AV492" s="331" t="n"/>
      <c r="AW492" s="331" t="n"/>
      <c r="AX492" s="452" t="n"/>
      <c r="AY492" s="452" t="n"/>
      <c r="BC492" s="331" t="n"/>
      <c r="BD492" s="331" t="n"/>
      <c r="BE492" s="331" t="n"/>
      <c r="BF492" s="331" t="n"/>
      <c r="BG492" s="331" t="n"/>
      <c r="BH492" s="331" t="n"/>
      <c r="BI492" s="331" t="n"/>
      <c r="BJ492" s="356">
        <f t="array" ref="BJ492">SUMPRODUCT(IF(ISNUMBER(BJ378:BJ387),BJ378:BJ387,0),IF(ISERROR(BJ378:BJ387),0,1))</f>
        <v/>
      </c>
      <c r="BK492" s="356">
        <f t="array" ref="BK492">SUMPRODUCT(IF(ISNUMBER(BK378:BK387),BK378:BK387,0),IF(ISERROR(BK378:BK387),0,1))</f>
        <v/>
      </c>
      <c r="BL492" s="356">
        <f t="array" ref="BL492">SUMPRODUCT(IF(ISNUMBER(BL378:BL387),BL378:BL387,0),IF(ISERROR(BL378:BL387),0,1))</f>
        <v/>
      </c>
      <c r="BM492" s="356">
        <f t="array" ref="BM492">SUMPRODUCT(IF(ISNUMBER(BM378:BM387),BM378:BM387,0),IF(ISERROR(BM378:BM387),0,1))</f>
        <v/>
      </c>
      <c r="BN492" s="362">
        <f>SUM(BJ492:BM492)</f>
        <v/>
      </c>
      <c r="BO492" s="362" t="n">
        <v>42.79</v>
      </c>
      <c r="BP492" s="362" t="n">
        <v>44.13</v>
      </c>
      <c r="BQ492" s="362" t="n">
        <v>49.14</v>
      </c>
      <c r="BR492" s="362" t="n">
        <v>55.17</v>
      </c>
      <c r="BS492" s="367" t="n"/>
      <c r="BX492" s="367" t="n"/>
      <c r="BY492" s="362">
        <f>SUM(R492:X492)</f>
        <v/>
      </c>
      <c r="BZ492" s="362">
        <f>SUM(Y492:AE492)</f>
        <v/>
      </c>
      <c r="CA492" s="362">
        <f>SUM(AF492:AL492)</f>
        <v/>
      </c>
      <c r="CB492" s="362">
        <f>SUM(AM492:AV492)</f>
        <v/>
      </c>
      <c r="CD492" s="390" t="n"/>
      <c r="CE492" s="362">
        <f>ROUND(BY492*$O492/1000,2)</f>
        <v/>
      </c>
      <c r="CF492" s="362">
        <f>ROUND(BZ492*$O492/1000,2)</f>
        <v/>
      </c>
      <c r="CG492" s="362">
        <f>ROUND(CA492*$O492/1000,2)</f>
        <v/>
      </c>
      <c r="CH492" s="362">
        <f>ROUND(CB492*$O492/1000,2)</f>
        <v/>
      </c>
      <c r="CI492" s="362">
        <f>SUM(CE492:CH492)</f>
        <v/>
      </c>
      <c r="CJ492" s="390" t="n"/>
      <c r="CK492" s="362">
        <f>IFERROR(ROUND(BY492*$P492,2),"")</f>
        <v/>
      </c>
      <c r="CL492" s="362">
        <f>IFERROR(ROUND(BZ492*$P492,2),"")</f>
        <v/>
      </c>
      <c r="CM492" s="362">
        <f>IFERROR(ROUND(CA492*$P492,2),"")</f>
        <v/>
      </c>
      <c r="CN492" s="362">
        <f>IFERROR(ROUND(CB492*$P492,2),"")</f>
        <v/>
      </c>
    </row>
    <row r="493" ht="31.2" customFormat="1" customHeight="1" s="362">
      <c r="A493" s="433" t="n"/>
      <c r="B493" s="443" t="inlineStr">
        <is>
          <t>市场</t>
        </is>
      </c>
      <c r="C493" s="443" t="inlineStr">
        <is>
          <t>尺寸</t>
        </is>
      </c>
      <c r="D493" s="443" t="n"/>
      <c r="E493" s="444" t="inlineStr">
        <is>
          <t>规格花纹</t>
        </is>
      </c>
      <c r="F493" s="444" t="n"/>
      <c r="G493" s="445" t="inlineStr">
        <is>
          <t>半钢ST规格</t>
        </is>
      </c>
      <c r="H493" s="453" t="inlineStr">
        <is>
          <t>需求数</t>
        </is>
      </c>
      <c r="I493" s="443" t="inlineStr">
        <is>
          <t>模具</t>
        </is>
      </c>
      <c r="J493" s="446" t="inlineStr">
        <is>
          <t>发出模具</t>
        </is>
      </c>
      <c r="K493" s="446" t="inlineStr">
        <is>
          <t>优先级别</t>
        </is>
      </c>
      <c r="L493" s="446" t="inlineStr">
        <is>
          <t>硫化时间</t>
        </is>
      </c>
      <c r="M493" s="443" t="inlineStr">
        <is>
          <t>运转率</t>
        </is>
      </c>
      <c r="N493" s="443" t="inlineStr">
        <is>
          <t>轮胎库存</t>
        </is>
      </c>
      <c r="O493" s="446" t="inlineStr">
        <is>
          <t>单胎重量</t>
        </is>
      </c>
      <c r="P493" s="446" t="inlineStr">
        <is>
          <t>中策价</t>
        </is>
      </c>
      <c r="Q493" s="446" t="inlineStr">
        <is>
          <t>硫化机                          条/天</t>
        </is>
      </c>
      <c r="R493" s="334" t="n">
        <v>1</v>
      </c>
      <c r="S493" s="334" t="n">
        <v>2</v>
      </c>
      <c r="T493" s="334" t="n">
        <v>3</v>
      </c>
      <c r="U493" s="334" t="n">
        <v>4</v>
      </c>
      <c r="V493" s="334" t="n">
        <v>5</v>
      </c>
      <c r="W493" s="334" t="n">
        <v>6</v>
      </c>
      <c r="X493" s="334" t="n">
        <v>7</v>
      </c>
      <c r="Y493" s="334" t="n">
        <v>8</v>
      </c>
      <c r="Z493" s="334" t="n">
        <v>9</v>
      </c>
      <c r="AA493" s="334" t="n">
        <v>10</v>
      </c>
      <c r="AB493" s="334" t="n">
        <v>11</v>
      </c>
      <c r="AC493" s="334" t="n">
        <v>12</v>
      </c>
      <c r="AD493" s="334" t="n">
        <v>13</v>
      </c>
      <c r="AE493" s="334" t="n">
        <v>14</v>
      </c>
      <c r="AF493" s="334" t="n">
        <v>15</v>
      </c>
      <c r="AG493" s="334" t="n">
        <v>16</v>
      </c>
      <c r="AH493" s="334" t="n">
        <v>17</v>
      </c>
      <c r="AI493" s="334" t="n">
        <v>18</v>
      </c>
      <c r="AJ493" s="334" t="n">
        <v>19</v>
      </c>
      <c r="AK493" s="334" t="n">
        <v>20</v>
      </c>
      <c r="AL493" s="334" t="n">
        <v>21</v>
      </c>
      <c r="AM493" s="334" t="n">
        <v>22</v>
      </c>
      <c r="AN493" s="334" t="n">
        <v>23</v>
      </c>
      <c r="AO493" s="334" t="n">
        <v>24</v>
      </c>
      <c r="AP493" s="334" t="n">
        <v>25</v>
      </c>
      <c r="AQ493" s="334" t="n">
        <v>26</v>
      </c>
      <c r="AR493" s="334" t="n">
        <v>27</v>
      </c>
      <c r="AS493" s="334" t="n">
        <v>28</v>
      </c>
      <c r="AT493" s="334" t="n">
        <v>29</v>
      </c>
      <c r="AU493" s="334" t="n">
        <v>30</v>
      </c>
      <c r="AV493" s="334" t="n">
        <v>31</v>
      </c>
      <c r="AW493" s="352" t="inlineStr">
        <is>
          <t>合计</t>
        </is>
      </c>
      <c r="AX493" s="341" t="inlineStr">
        <is>
          <t>吨位</t>
        </is>
      </c>
      <c r="AY493" s="341" t="inlineStr">
        <is>
          <t>产值(万元)</t>
        </is>
      </c>
      <c r="AZ493" s="342" t="inlineStr">
        <is>
          <t>原材料</t>
        </is>
      </c>
      <c r="BA493" s="342" t="inlineStr">
        <is>
          <t>动力</t>
        </is>
      </c>
      <c r="BB493" s="342" t="inlineStr">
        <is>
          <t>工资</t>
        </is>
      </c>
      <c r="BC493" s="342" t="inlineStr">
        <is>
          <t>车间经费</t>
        </is>
      </c>
      <c r="BD493" s="331" t="n"/>
      <c r="BE493" s="343" t="inlineStr">
        <is>
          <t>原材料</t>
        </is>
      </c>
      <c r="BF493" s="343" t="inlineStr">
        <is>
          <t>动力</t>
        </is>
      </c>
      <c r="BG493" s="343" t="inlineStr">
        <is>
          <t>工资</t>
        </is>
      </c>
      <c r="BH493" s="343" t="inlineStr">
        <is>
          <t>车间经费</t>
        </is>
      </c>
      <c r="BI493" s="331" t="n"/>
      <c r="BJ493" s="331" t="n"/>
      <c r="BK493" s="331" t="n"/>
      <c r="BL493" s="331" t="n"/>
      <c r="BM493" s="331" t="n"/>
      <c r="BN493" s="362" t="n"/>
      <c r="BO493" s="362" t="n"/>
      <c r="BP493" s="362" t="n"/>
      <c r="BQ493" s="362" t="n"/>
      <c r="BR493" s="362" t="n"/>
      <c r="BS493" s="115" t="n"/>
      <c r="BY493" s="390">
        <f>SUM(BY494:BY818)</f>
        <v/>
      </c>
      <c r="BZ493" s="390">
        <f>SUM(BZ494:BZ818)</f>
        <v/>
      </c>
      <c r="CA493" s="390">
        <f>SUM(CA494:CA818)</f>
        <v/>
      </c>
      <c r="CB493" s="390">
        <f>SUM(CB494:CB818)</f>
        <v/>
      </c>
      <c r="CC493" s="390" t="n"/>
      <c r="CD493" s="440" t="inlineStr">
        <is>
          <t>TIDAK ADA</t>
        </is>
      </c>
      <c r="CE493" s="362" t="n"/>
      <c r="CF493" s="362" t="n"/>
      <c r="CG493" s="362" t="n"/>
      <c r="CH493" s="362" t="n"/>
      <c r="CI493" s="362" t="n"/>
      <c r="CJ493" s="390" t="n"/>
    </row>
    <row r="494" customFormat="1" s="362">
      <c r="A494" s="433" t="n"/>
      <c r="B494" s="434" t="inlineStr">
        <is>
          <t>巴西</t>
        </is>
      </c>
      <c r="C494" s="434" t="n">
        <v>13</v>
      </c>
      <c r="D494" s="434">
        <f>"半钢ST"&amp;C494&amp;"寸"</f>
        <v/>
      </c>
      <c r="E494" s="436" t="inlineStr">
        <is>
          <t>165/70R13-T-118</t>
        </is>
      </c>
      <c r="F494" s="436" t="n"/>
      <c r="G494" s="436" t="inlineStr">
        <is>
          <t>ID165/70R13PR[T-118]79T TRAZANO(全诺)无内</t>
        </is>
      </c>
      <c r="H494" s="434" t="n">
        <v>5000</v>
      </c>
      <c r="I494" s="434" t="n"/>
      <c r="J494" s="434" t="n"/>
      <c r="K494" s="434" t="n"/>
      <c r="L494" s="438" t="n"/>
      <c r="M494" s="438" t="n"/>
      <c r="N494" s="434" t="n"/>
      <c r="O494" s="434">
        <f>IFERROR(_xlfn.XLOOKUP(E494,轮胎重量!S:S,轮胎重量!P:P),IFERROR(_xlfn.XLOOKUP(E494,轮胎重量!AB:AB,轮胎重量!Y:Y),IFERROR(_xlfn.XLOOKUP(E494,轮胎重量!AK:AK,轮胎重量!AH:AH),IFERROR(_xlfn.XLOOKUP(E494,轮胎重量!AT:AT,轮胎重量!AQ:AQ),IFERROR(_xlfn.XLOOKUP(E494,轮胎重量!BB:BB,轮胎重量!AY:AY),"")))))</f>
        <v/>
      </c>
      <c r="P494" s="434" t="n">
        <v>149.65559</v>
      </c>
      <c r="Q494" s="434" t="n"/>
      <c r="R494" s="352" t="n">
        <v>150</v>
      </c>
      <c r="S494" s="352" t="n">
        <v>150</v>
      </c>
      <c r="T494" s="352" t="n">
        <v>150</v>
      </c>
      <c r="U494" s="352" t="n">
        <v>150</v>
      </c>
      <c r="V494" s="352" t="n">
        <v>150</v>
      </c>
      <c r="W494" s="352" t="n">
        <v>150</v>
      </c>
      <c r="X494" s="352" t="n">
        <v>150</v>
      </c>
      <c r="Y494" s="352" t="n">
        <v>150</v>
      </c>
      <c r="Z494" s="352" t="n">
        <v>150</v>
      </c>
      <c r="AA494" s="352" t="n">
        <v>150</v>
      </c>
      <c r="AB494" s="352" t="n">
        <v>150</v>
      </c>
      <c r="AC494" s="352" t="n">
        <v>150</v>
      </c>
      <c r="AD494" s="352" t="n">
        <v>150</v>
      </c>
      <c r="AE494" s="352" t="n">
        <v>150</v>
      </c>
      <c r="AF494" s="352" t="n">
        <v>150</v>
      </c>
      <c r="AG494" s="352" t="n">
        <v>150</v>
      </c>
      <c r="AH494" s="352" t="n">
        <v>150</v>
      </c>
      <c r="AI494" s="352" t="n">
        <v>150</v>
      </c>
      <c r="AJ494" s="352" t="n">
        <v>150</v>
      </c>
      <c r="AK494" s="352" t="n">
        <v>150</v>
      </c>
      <c r="AL494" s="352" t="n">
        <v>150</v>
      </c>
      <c r="AM494" s="352" t="n">
        <v>150</v>
      </c>
      <c r="AN494" s="352" t="n">
        <v>150</v>
      </c>
      <c r="AO494" s="352" t="n">
        <v>150</v>
      </c>
      <c r="AP494" s="352" t="n">
        <v>150</v>
      </c>
      <c r="AQ494" s="352" t="n">
        <v>150</v>
      </c>
      <c r="AR494" s="352" t="n">
        <v>150</v>
      </c>
      <c r="AS494" s="352" t="n">
        <v>150</v>
      </c>
      <c r="AT494" s="352" t="n">
        <v>150</v>
      </c>
      <c r="AU494" s="352" t="n">
        <v>150</v>
      </c>
      <c r="AV494" s="352" t="n">
        <v>150</v>
      </c>
      <c r="AW494" s="352">
        <f>IF(SUM(R494:AV494)=0,"",SUM(R494:AV494))</f>
        <v/>
      </c>
      <c r="AX494" s="431">
        <f>IFERROR(AW494*O494/1000,"")</f>
        <v/>
      </c>
      <c r="AY494" s="431">
        <f>IFERROR(ROUND(AW494*P494/10000,3),"")</f>
        <v/>
      </c>
      <c r="BC494" s="331" t="n"/>
      <c r="BD494" s="331" t="n"/>
      <c r="BE494" s="331" t="n"/>
      <c r="BF494" s="331" t="n"/>
      <c r="BG494" s="331" t="n"/>
      <c r="BH494" s="331" t="n"/>
      <c r="BI494" s="331" t="n"/>
      <c r="BJ494" s="356">
        <f t="array" ref="BJ494">SUMPRODUCT(IF(ISNUMBER(BJ378:BJ386),BJ378:BJ386,0),IF(ISERROR(BJ378:BJ386),0,1))</f>
        <v/>
      </c>
      <c r="BK494" s="356">
        <f t="array" ref="BK494">SUMPRODUCT(IF(ISNUMBER(BK378:BK386),BK378:BK386,0),IF(ISERROR(BK378:BK386),0,1))</f>
        <v/>
      </c>
      <c r="BL494" s="356">
        <f t="array" ref="BL494">SUMPRODUCT(IF(ISNUMBER(BL378:BL386),BL378:BL386,0),IF(ISERROR(BL378:BL386),0,1))</f>
        <v/>
      </c>
      <c r="BM494" s="356">
        <f t="array" ref="BM494">SUMPRODUCT(IF(ISNUMBER(BM378:BM386),BM378:BM386,0),IF(ISERROR(BM378:BM386),0,1))</f>
        <v/>
      </c>
      <c r="BN494" s="362">
        <f>SUM(BJ494:BM494)</f>
        <v/>
      </c>
      <c r="BO494" s="362" t="n">
        <v>42.79</v>
      </c>
      <c r="BP494" s="362" t="n">
        <v>44.13</v>
      </c>
      <c r="BQ494" s="362" t="n">
        <v>49.14</v>
      </c>
      <c r="BR494" s="362" t="n">
        <v>55.17</v>
      </c>
      <c r="BS494" s="367" t="inlineStr">
        <is>
          <t>半钢ST</t>
        </is>
      </c>
      <c r="BX494" s="367" t="inlineStr">
        <is>
          <t>半钢/半钢ST</t>
        </is>
      </c>
      <c r="BY494" s="362">
        <f>SUM(R494:X494)</f>
        <v/>
      </c>
      <c r="BZ494" s="362">
        <f>SUM(Y494:AE494)</f>
        <v/>
      </c>
      <c r="CA494" s="362">
        <f>SUM(AF494:AM494)</f>
        <v/>
      </c>
      <c r="CB494" s="362">
        <f>SUM(AN494:AV494)</f>
        <v/>
      </c>
      <c r="CD494" s="440" t="inlineStr">
        <is>
          <t>TIDAK ADA</t>
        </is>
      </c>
      <c r="CE494" s="362">
        <f>ROUND(BY494*$O494/1000,2)</f>
        <v/>
      </c>
      <c r="CF494" s="362">
        <f>ROUND(BZ494*$O494/1000,2)</f>
        <v/>
      </c>
      <c r="CG494" s="362">
        <f>ROUND(CA494*$O494/1000,2)</f>
        <v/>
      </c>
      <c r="CH494" s="362">
        <f>ROUND(CB494*$O494/1000,2)</f>
        <v/>
      </c>
      <c r="CI494" s="362">
        <f>SUM(CE494:CH494)</f>
        <v/>
      </c>
      <c r="CJ494" s="390" t="n"/>
      <c r="CK494" s="362">
        <f>IFERROR(ROUND(BY494*$P494,2),"")</f>
        <v/>
      </c>
      <c r="CL494" s="362">
        <f>IFERROR(ROUND(BZ494*$P494,2),"")</f>
        <v/>
      </c>
      <c r="CM494" s="362">
        <f>IFERROR(ROUND(CA494*$P494,2),"")</f>
        <v/>
      </c>
      <c r="CN494" s="362">
        <f>IFERROR(ROUND(CB494*$P494,2),"")</f>
        <v/>
      </c>
      <c r="CO494" s="362">
        <f>SUM(CK494:CN494)</f>
        <v/>
      </c>
    </row>
    <row r="495" customFormat="1" s="362">
      <c r="A495" s="331" t="n"/>
      <c r="B495" s="352" t="inlineStr">
        <is>
          <t>巴西</t>
        </is>
      </c>
      <c r="C495" s="352" t="n">
        <v>13</v>
      </c>
      <c r="D495" s="352">
        <f>"半钢ST"&amp;C495&amp;"寸"</f>
        <v/>
      </c>
      <c r="E495" s="379" t="inlineStr">
        <is>
          <t>165/70R13-Z-108</t>
        </is>
      </c>
      <c r="F495" s="389" t="n"/>
      <c r="G495" s="379" t="inlineStr">
        <is>
          <t>ID165/70R13PR[Z-108]79T 西湖无内</t>
        </is>
      </c>
      <c r="H495" s="352" t="n"/>
      <c r="I495" s="370" t="n"/>
      <c r="J495" s="352" t="n"/>
      <c r="K495" s="352" t="n"/>
      <c r="L495" s="430" t="n"/>
      <c r="M495" s="430" t="n"/>
      <c r="N495" s="352" t="n"/>
      <c r="O495" s="352">
        <f>IFERROR(_xlfn.XLOOKUP(E495,轮胎重量!S:S,轮胎重量!P:P),IFERROR(_xlfn.XLOOKUP(E495,轮胎重量!AB:AB,轮胎重量!Y:Y),IFERROR(_xlfn.XLOOKUP(E495,轮胎重量!AK:AK,轮胎重量!AH:AH),IFERROR(_xlfn.XLOOKUP(E495,轮胎重量!AT:AT,轮胎重量!AQ:AQ),IFERROR(_xlfn.XLOOKUP(E495,轮胎重量!BB:BB,轮胎重量!AY:AY),"")))))</f>
        <v/>
      </c>
      <c r="P495" s="352" t="n">
        <v>150.65559</v>
      </c>
      <c r="Q495" s="352" t="n"/>
      <c r="R495" s="352" t="n">
        <v>150</v>
      </c>
      <c r="S495" s="352" t="n">
        <v>150</v>
      </c>
      <c r="T495" s="352" t="n">
        <v>150</v>
      </c>
      <c r="U495" s="352" t="n">
        <v>150</v>
      </c>
      <c r="V495" s="352" t="n">
        <v>150</v>
      </c>
      <c r="W495" s="352" t="n">
        <v>150</v>
      </c>
      <c r="X495" s="352" t="n">
        <v>150</v>
      </c>
      <c r="Y495" s="352" t="n">
        <v>150</v>
      </c>
      <c r="Z495" s="352" t="n">
        <v>150</v>
      </c>
      <c r="AA495" s="352" t="n">
        <v>150</v>
      </c>
      <c r="AB495" s="352" t="n">
        <v>150</v>
      </c>
      <c r="AC495" s="352" t="n">
        <v>150</v>
      </c>
      <c r="AD495" s="352" t="n">
        <v>150</v>
      </c>
      <c r="AE495" s="352" t="n">
        <v>150</v>
      </c>
      <c r="AF495" s="352" t="n">
        <v>150</v>
      </c>
      <c r="AG495" s="352" t="n">
        <v>150</v>
      </c>
      <c r="AH495" s="352" t="n">
        <v>150</v>
      </c>
      <c r="AI495" s="352" t="n">
        <v>150</v>
      </c>
      <c r="AJ495" s="352" t="n">
        <v>150</v>
      </c>
      <c r="AK495" s="352" t="n">
        <v>150</v>
      </c>
      <c r="AL495" s="352" t="n">
        <v>150</v>
      </c>
      <c r="AM495" s="352" t="n">
        <v>150</v>
      </c>
      <c r="AN495" s="352" t="n">
        <v>150</v>
      </c>
      <c r="AO495" s="352" t="n">
        <v>150</v>
      </c>
      <c r="AP495" s="352" t="n">
        <v>150</v>
      </c>
      <c r="AQ495" s="352" t="n">
        <v>150</v>
      </c>
      <c r="AR495" s="352" t="n">
        <v>150</v>
      </c>
      <c r="AS495" s="352" t="n">
        <v>150</v>
      </c>
      <c r="AT495" s="352" t="n">
        <v>150</v>
      </c>
      <c r="AU495" s="352" t="n">
        <v>150</v>
      </c>
      <c r="AV495" s="352" t="n">
        <v>150</v>
      </c>
      <c r="AW495" s="352">
        <f>IF(SUM(R495:AV495)=0,"",SUM(R495:AV495))</f>
        <v/>
      </c>
      <c r="AX495" s="431">
        <f>IFERROR(AW495*O495/1000,"")</f>
        <v/>
      </c>
      <c r="AY495" s="431">
        <f>IFERROR(ROUND(AW495*P495/10000,3),"")</f>
        <v/>
      </c>
      <c r="BC495" s="331" t="n"/>
      <c r="BD495" s="331" t="n"/>
      <c r="BE495" s="331" t="n"/>
      <c r="BF495" s="331" t="n"/>
      <c r="BG495" s="331" t="n"/>
      <c r="BH495" s="331" t="n"/>
      <c r="BI495" s="331" t="n"/>
      <c r="BJ495" s="356">
        <f t="array" ref="BJ495">SUMPRODUCT(IF(ISNUMBER(BJ379:BJ388),BJ379:BJ388,0),IF(ISERROR(BJ379:BJ388),0,1))</f>
        <v/>
      </c>
      <c r="BK495" s="356">
        <f t="array" ref="BK495">SUMPRODUCT(IF(ISNUMBER(BK379:BK388),BK379:BK388,0),IF(ISERROR(BK379:BK388),0,1))</f>
        <v/>
      </c>
      <c r="BL495" s="356">
        <f t="array" ref="BL495">SUMPRODUCT(IF(ISNUMBER(BL379:BL388),BL379:BL388,0),IF(ISERROR(BL379:BL388),0,1))</f>
        <v/>
      </c>
      <c r="BM495" s="356">
        <f t="array" ref="BM495">SUMPRODUCT(IF(ISNUMBER(BM379:BM388),BM379:BM388,0),IF(ISERROR(BM379:BM388),0,1))</f>
        <v/>
      </c>
      <c r="BN495" s="362">
        <f>SUM(BJ495:BM495)</f>
        <v/>
      </c>
      <c r="BO495" s="362" t="n">
        <v>42.79</v>
      </c>
      <c r="BP495" s="362" t="n">
        <v>44.13</v>
      </c>
      <c r="BQ495" s="362" t="n">
        <v>49.14</v>
      </c>
      <c r="BR495" s="362" t="n">
        <v>55.17</v>
      </c>
      <c r="BS495" s="367" t="inlineStr">
        <is>
          <t>半钢ST</t>
        </is>
      </c>
      <c r="BX495" s="367" t="inlineStr">
        <is>
          <t>半钢/半钢ST</t>
        </is>
      </c>
      <c r="BY495" s="362">
        <f>SUM(R495:X495)</f>
        <v/>
      </c>
      <c r="BZ495" s="362">
        <f>SUM(Y495:AE495)</f>
        <v/>
      </c>
      <c r="CA495" s="362">
        <f>SUM(AF495:AM495)</f>
        <v/>
      </c>
      <c r="CB495" s="362">
        <f>SUM(AN495:AV495)</f>
        <v/>
      </c>
      <c r="CD495" s="432" t="inlineStr">
        <is>
          <t>ADA</t>
        </is>
      </c>
      <c r="CE495" s="362">
        <f>ROUND(BY495*$O495/1000,2)</f>
        <v/>
      </c>
      <c r="CF495" s="362">
        <f>ROUND(BZ495*$O495/1000,2)</f>
        <v/>
      </c>
      <c r="CG495" s="362">
        <f>ROUND(CA495*$O495/1000,2)</f>
        <v/>
      </c>
      <c r="CH495" s="362">
        <f>ROUND(CB495*$O495/1000,2)</f>
        <v/>
      </c>
      <c r="CI495" s="362">
        <f>SUM(CE495:CH495)</f>
        <v/>
      </c>
      <c r="CJ495" s="390" t="n"/>
      <c r="CK495" s="362">
        <f>IFERROR(ROUND(BY495*$P495,2),"")</f>
        <v/>
      </c>
      <c r="CL495" s="362">
        <f>IFERROR(ROUND(BZ495*$P495,2),"")</f>
        <v/>
      </c>
      <c r="CM495" s="362">
        <f>IFERROR(ROUND(CA495*$P495,2),"")</f>
        <v/>
      </c>
      <c r="CN495" s="362">
        <f>IFERROR(ROUND(CB495*$P495,2),"")</f>
        <v/>
      </c>
      <c r="CO495" s="362">
        <f>SUM(CK495:CN495)</f>
        <v/>
      </c>
    </row>
    <row r="496" customFormat="1" s="362">
      <c r="A496" s="433" t="n"/>
      <c r="B496" s="434" t="inlineStr">
        <is>
          <t>巴西</t>
        </is>
      </c>
      <c r="C496" s="434" t="n">
        <v>13</v>
      </c>
      <c r="D496" s="434">
        <f>"半钢ST"&amp;C496&amp;"寸"</f>
        <v/>
      </c>
      <c r="E496" s="436" t="inlineStr">
        <is>
          <t>175/70R13-T-118</t>
        </is>
      </c>
      <c r="F496" s="436" t="n"/>
      <c r="G496" s="436" t="inlineStr">
        <is>
          <t>ID175/70R13PR[T-118]82T TRAZANO(全诺)无内</t>
        </is>
      </c>
      <c r="H496" s="434" t="n">
        <v>10000</v>
      </c>
      <c r="I496" s="434" t="n"/>
      <c r="J496" s="434" t="n"/>
      <c r="K496" s="434" t="n"/>
      <c r="L496" s="438" t="n"/>
      <c r="M496" s="438" t="n"/>
      <c r="N496" s="434" t="n"/>
      <c r="O496" s="434">
        <f>IFERROR(_xlfn.XLOOKUP(E496,轮胎重量!S:S,轮胎重量!P:P),IFERROR(_xlfn.XLOOKUP(E496,轮胎重量!AB:AB,轮胎重量!Y:Y),IFERROR(_xlfn.XLOOKUP(E496,轮胎重量!AK:AK,轮胎重量!AH:AH),IFERROR(_xlfn.XLOOKUP(E496,轮胎重量!AT:AT,轮胎重量!AQ:AQ),IFERROR(_xlfn.XLOOKUP(E496,轮胎重量!BB:BB,轮胎重量!AY:AY),"")))))</f>
        <v/>
      </c>
      <c r="P496" s="439">
        <f>14.15*O496</f>
        <v/>
      </c>
      <c r="Q496" s="434" t="n"/>
      <c r="R496" s="352" t="n">
        <v>300</v>
      </c>
      <c r="S496" s="352" t="n">
        <v>300</v>
      </c>
      <c r="T496" s="352" t="n">
        <v>300</v>
      </c>
      <c r="U496" s="352" t="n">
        <v>300</v>
      </c>
      <c r="V496" s="352" t="n">
        <v>300</v>
      </c>
      <c r="W496" s="352" t="n">
        <v>300</v>
      </c>
      <c r="X496" s="352" t="n">
        <v>300</v>
      </c>
      <c r="Y496" s="352" t="n">
        <v>300</v>
      </c>
      <c r="Z496" s="352" t="n">
        <v>300</v>
      </c>
      <c r="AA496" s="352" t="n">
        <v>300</v>
      </c>
      <c r="AB496" s="352" t="n">
        <v>300</v>
      </c>
      <c r="AC496" s="352" t="n">
        <v>300</v>
      </c>
      <c r="AD496" s="352" t="n">
        <v>300</v>
      </c>
      <c r="AE496" s="352" t="n">
        <v>300</v>
      </c>
      <c r="AF496" s="352" t="n">
        <v>300</v>
      </c>
      <c r="AG496" s="352" t="n">
        <v>300</v>
      </c>
      <c r="AH496" s="352" t="n">
        <v>300</v>
      </c>
      <c r="AI496" s="352" t="n">
        <v>300</v>
      </c>
      <c r="AJ496" s="352" t="n">
        <v>300</v>
      </c>
      <c r="AK496" s="352" t="n">
        <v>300</v>
      </c>
      <c r="AL496" s="352" t="n">
        <v>300</v>
      </c>
      <c r="AM496" s="352" t="n">
        <v>300</v>
      </c>
      <c r="AN496" s="352" t="n">
        <v>300</v>
      </c>
      <c r="AO496" s="352" t="n">
        <v>300</v>
      </c>
      <c r="AP496" s="352" t="n">
        <v>300</v>
      </c>
      <c r="AQ496" s="352" t="n">
        <v>300</v>
      </c>
      <c r="AR496" s="352" t="n">
        <v>300</v>
      </c>
      <c r="AS496" s="352" t="n">
        <v>300</v>
      </c>
      <c r="AT496" s="352" t="n">
        <v>300</v>
      </c>
      <c r="AU496" s="352" t="n">
        <v>300</v>
      </c>
      <c r="AV496" s="352" t="n">
        <v>300</v>
      </c>
      <c r="AW496" s="352">
        <f>IF(SUM(R496:AV496)=0,"",SUM(R496:AV496))</f>
        <v/>
      </c>
      <c r="AX496" s="431">
        <f>IFERROR(AW496*O496/1000,"")</f>
        <v/>
      </c>
      <c r="AY496" s="431">
        <f>IFERROR(ROUND(AW496*P496/10000,3),"")</f>
        <v/>
      </c>
      <c r="BC496" s="331" t="n"/>
      <c r="BD496" s="331" t="n"/>
      <c r="BE496" s="331" t="n"/>
      <c r="BF496" s="331" t="n"/>
      <c r="BG496" s="331" t="n"/>
      <c r="BH496" s="331" t="n"/>
      <c r="BI496" s="331" t="n"/>
      <c r="BJ496" s="356">
        <f t="array" ref="BJ496">SUMPRODUCT(IF(ISNUMBER(BJ376:BJ390),BJ376:BJ390,0),IF(ISERROR(BJ376:BJ390),0,1))</f>
        <v/>
      </c>
      <c r="BK496" s="356">
        <f t="array" ref="BK496">SUMPRODUCT(IF(ISNUMBER(BK376:BK390),BK376:BK390,0),IF(ISERROR(BK376:BK390),0,1))</f>
        <v/>
      </c>
      <c r="BL496" s="356">
        <f t="array" ref="BL496">SUMPRODUCT(IF(ISNUMBER(BL376:BL390),BL376:BL390,0),IF(ISERROR(BL376:BL390),0,1))</f>
        <v/>
      </c>
      <c r="BM496" s="356">
        <f t="array" ref="BM496">SUMPRODUCT(IF(ISNUMBER(BM376:BM390),BM376:BM390,0),IF(ISERROR(BM376:BM390),0,1))</f>
        <v/>
      </c>
      <c r="BN496" s="362">
        <f>SUM(BJ496:BM496)</f>
        <v/>
      </c>
      <c r="BO496" s="362" t="n">
        <v>42.79</v>
      </c>
      <c r="BP496" s="362" t="n">
        <v>44.13</v>
      </c>
      <c r="BQ496" s="362" t="n">
        <v>49.14</v>
      </c>
      <c r="BR496" s="362" t="n">
        <v>55.17</v>
      </c>
      <c r="BS496" s="367" t="inlineStr">
        <is>
          <t>半钢ST</t>
        </is>
      </c>
      <c r="BX496" s="367" t="inlineStr">
        <is>
          <t>半钢/半钢ST</t>
        </is>
      </c>
      <c r="BY496" s="362">
        <f>SUM(R496:X496)</f>
        <v/>
      </c>
      <c r="BZ496" s="362">
        <f>SUM(Y496:AE496)</f>
        <v/>
      </c>
      <c r="CA496" s="362">
        <f>SUM(AF496:AM496)</f>
        <v/>
      </c>
      <c r="CB496" s="362">
        <f>SUM(AN496:AV496)</f>
        <v/>
      </c>
      <c r="CD496" s="440" t="inlineStr">
        <is>
          <t>TIDAK ADA</t>
        </is>
      </c>
      <c r="CE496" s="362">
        <f>ROUND(BY496*$O496/1000,2)</f>
        <v/>
      </c>
      <c r="CF496" s="362">
        <f>ROUND(BZ496*$O496/1000,2)</f>
        <v/>
      </c>
      <c r="CG496" s="362">
        <f>ROUND(CA496*$O496/1000,2)</f>
        <v/>
      </c>
      <c r="CH496" s="362">
        <f>ROUND(CB496*$O496/1000,2)</f>
        <v/>
      </c>
      <c r="CI496" s="362">
        <f>SUM(CE496:CH496)</f>
        <v/>
      </c>
      <c r="CJ496" s="390" t="n"/>
      <c r="CK496" s="362">
        <f>IFERROR(ROUND(BY496*$P496,2),"")</f>
        <v/>
      </c>
      <c r="CL496" s="362">
        <f>IFERROR(ROUND(BZ496*$P496,2),"")</f>
        <v/>
      </c>
      <c r="CM496" s="362">
        <f>IFERROR(ROUND(CA496*$P496,2),"")</f>
        <v/>
      </c>
      <c r="CN496" s="362">
        <f>IFERROR(ROUND(CB496*$P496,2),"")</f>
        <v/>
      </c>
      <c r="CO496" s="362">
        <f>SUM(CK496:CN496)</f>
        <v/>
      </c>
    </row>
    <row r="497" customFormat="1" s="362">
      <c r="A497" s="331" t="n"/>
      <c r="B497" s="352" t="inlineStr">
        <is>
          <t>巴西</t>
        </is>
      </c>
      <c r="C497" s="352" t="n">
        <v>13</v>
      </c>
      <c r="D497" s="352">
        <f>"半钢ST"&amp;C497&amp;"寸"</f>
        <v/>
      </c>
      <c r="E497" s="379" t="inlineStr">
        <is>
          <t>175/70R13-Z-108</t>
        </is>
      </c>
      <c r="F497" s="389" t="n"/>
      <c r="G497" s="389" t="inlineStr">
        <is>
          <t>ID175/70R13PR[Z-108]82T 西湖无内</t>
        </is>
      </c>
      <c r="H497" s="370" t="n">
        <v>6700</v>
      </c>
      <c r="I497" s="370" t="n"/>
      <c r="J497" s="352" t="n"/>
      <c r="K497" s="352" t="n"/>
      <c r="L497" s="430" t="n"/>
      <c r="M497" s="430" t="n"/>
      <c r="N497" s="352" t="n"/>
      <c r="O497" s="352">
        <f>IFERROR(_xlfn.XLOOKUP(E497,轮胎重量!S:S,轮胎重量!P:P),IFERROR(_xlfn.XLOOKUP(E497,轮胎重量!AB:AB,轮胎重量!Y:Y),IFERROR(_xlfn.XLOOKUP(E497,轮胎重量!AK:AK,轮胎重量!AH:AH),IFERROR(_xlfn.XLOOKUP(E497,轮胎重量!AT:AT,轮胎重量!AQ:AQ),IFERROR(_xlfn.XLOOKUP(E497,轮胎重量!BB:BB,轮胎重量!AY:AY),"")))))</f>
        <v/>
      </c>
      <c r="P497" s="358">
        <f>14.15*O497</f>
        <v/>
      </c>
      <c r="Q497" s="352" t="n"/>
      <c r="R497" s="352" t="n">
        <v>300</v>
      </c>
      <c r="S497" s="352" t="n">
        <v>300</v>
      </c>
      <c r="T497" s="352" t="n">
        <v>300</v>
      </c>
      <c r="U497" s="352" t="n">
        <v>300</v>
      </c>
      <c r="V497" s="352" t="n">
        <v>300</v>
      </c>
      <c r="W497" s="352" t="n">
        <v>300</v>
      </c>
      <c r="X497" s="352" t="n">
        <v>300</v>
      </c>
      <c r="Y497" s="352" t="n">
        <v>300</v>
      </c>
      <c r="Z497" s="352" t="n">
        <v>300</v>
      </c>
      <c r="AA497" s="352" t="n">
        <v>300</v>
      </c>
      <c r="AB497" s="352" t="n">
        <v>300</v>
      </c>
      <c r="AC497" s="352" t="n">
        <v>300</v>
      </c>
      <c r="AD497" s="352" t="n">
        <v>300</v>
      </c>
      <c r="AE497" s="352" t="n">
        <v>300</v>
      </c>
      <c r="AF497" s="352" t="n">
        <v>300</v>
      </c>
      <c r="AG497" s="352" t="n">
        <v>300</v>
      </c>
      <c r="AH497" s="352" t="n">
        <v>300</v>
      </c>
      <c r="AI497" s="352" t="n">
        <v>300</v>
      </c>
      <c r="AJ497" s="352" t="n">
        <v>300</v>
      </c>
      <c r="AK497" s="352" t="n">
        <v>300</v>
      </c>
      <c r="AL497" s="352" t="n">
        <v>300</v>
      </c>
      <c r="AM497" s="352" t="n">
        <v>300</v>
      </c>
      <c r="AN497" s="352" t="n">
        <v>300</v>
      </c>
      <c r="AO497" s="352" t="n">
        <v>300</v>
      </c>
      <c r="AP497" s="352" t="n">
        <v>300</v>
      </c>
      <c r="AQ497" s="352" t="n">
        <v>300</v>
      </c>
      <c r="AR497" s="352" t="n">
        <v>300</v>
      </c>
      <c r="AS497" s="352" t="n">
        <v>300</v>
      </c>
      <c r="AT497" s="352" t="n">
        <v>300</v>
      </c>
      <c r="AU497" s="352" t="n">
        <v>300</v>
      </c>
      <c r="AV497" s="352" t="n">
        <v>300</v>
      </c>
      <c r="AW497" s="352">
        <f>IF(SUM(R497:AV497)=0,"",SUM(R497:AV497))</f>
        <v/>
      </c>
      <c r="AX497" s="431">
        <f>IFERROR(AW497*O497/1000,"")</f>
        <v/>
      </c>
      <c r="AY497" s="431">
        <f>IFERROR(ROUND(AW497*P497/10000,3),"")</f>
        <v/>
      </c>
      <c r="BC497" s="331" t="n"/>
      <c r="BD497" s="331" t="n"/>
      <c r="BE497" s="331" t="n"/>
      <c r="BF497" s="331" t="n"/>
      <c r="BG497" s="331" t="n"/>
      <c r="BH497" s="331" t="n"/>
      <c r="BI497" s="331" t="n"/>
      <c r="BJ497" s="356">
        <f t="array" ref="BJ497">SUMPRODUCT(IF(ISNUMBER(BJ376:BJ390),BJ376:BJ390,0),IF(ISERROR(BJ376:BJ390),0,1))</f>
        <v/>
      </c>
      <c r="BK497" s="356">
        <f t="array" ref="BK497">SUMPRODUCT(IF(ISNUMBER(BK376:BK390),BK376:BK390,0),IF(ISERROR(BK376:BK390),0,1))</f>
        <v/>
      </c>
      <c r="BL497" s="356">
        <f t="array" ref="BL497">SUMPRODUCT(IF(ISNUMBER(BL376:BL390),BL376:BL390,0),IF(ISERROR(BL376:BL390),0,1))</f>
        <v/>
      </c>
      <c r="BM497" s="356">
        <f t="array" ref="BM497">SUMPRODUCT(IF(ISNUMBER(BM376:BM390),BM376:BM390,0),IF(ISERROR(BM376:BM390),0,1))</f>
        <v/>
      </c>
      <c r="BN497" s="362">
        <f>SUM(BJ497:BM497)</f>
        <v/>
      </c>
      <c r="BO497" s="362" t="n">
        <v>42.79</v>
      </c>
      <c r="BP497" s="362" t="n">
        <v>44.13</v>
      </c>
      <c r="BQ497" s="362" t="n">
        <v>49.14</v>
      </c>
      <c r="BR497" s="362" t="n">
        <v>55.17</v>
      </c>
      <c r="BS497" s="367" t="inlineStr">
        <is>
          <t>半钢ST</t>
        </is>
      </c>
      <c r="BX497" s="367" t="inlineStr">
        <is>
          <t>半钢/半钢ST</t>
        </is>
      </c>
      <c r="BY497" s="362">
        <f>SUM(R497:X497)</f>
        <v/>
      </c>
      <c r="BZ497" s="362">
        <f>SUM(Y497:AE497)</f>
        <v/>
      </c>
      <c r="CA497" s="362">
        <f>SUM(AF497:AM497)</f>
        <v/>
      </c>
      <c r="CB497" s="362">
        <f>SUM(AN497:AV497)</f>
        <v/>
      </c>
      <c r="CD497" s="432" t="inlineStr">
        <is>
          <t>ADA</t>
        </is>
      </c>
      <c r="CE497" s="362">
        <f>ROUND(BY497*$O497/1000,2)</f>
        <v/>
      </c>
      <c r="CF497" s="362">
        <f>ROUND(BZ497*$O497/1000,2)</f>
        <v/>
      </c>
      <c r="CG497" s="362">
        <f>ROUND(CA497*$O497/1000,2)</f>
        <v/>
      </c>
      <c r="CH497" s="362">
        <f>ROUND(CB497*$O497/1000,2)</f>
        <v/>
      </c>
      <c r="CI497" s="362">
        <f>SUM(CE497:CH497)</f>
        <v/>
      </c>
      <c r="CJ497" s="390" t="n"/>
      <c r="CK497" s="362">
        <f>IFERROR(ROUND(BY497*$P497,2),"")</f>
        <v/>
      </c>
      <c r="CL497" s="362">
        <f>IFERROR(ROUND(BZ497*$P497,2),"")</f>
        <v/>
      </c>
      <c r="CM497" s="362">
        <f>IFERROR(ROUND(CA497*$P497,2),"")</f>
        <v/>
      </c>
      <c r="CN497" s="362">
        <f>IFERROR(ROUND(CB497*$P497,2),"")</f>
        <v/>
      </c>
      <c r="CO497" s="362">
        <f>SUM(CK497:CN497)</f>
        <v/>
      </c>
    </row>
    <row r="498" customFormat="1" s="362">
      <c r="A498" s="433" t="n"/>
      <c r="B498" s="434" t="inlineStr">
        <is>
          <t>巴西</t>
        </is>
      </c>
      <c r="C498" s="434" t="n">
        <v>14</v>
      </c>
      <c r="D498" s="434">
        <f>"半钢ST"&amp;C498&amp;"寸"</f>
        <v/>
      </c>
      <c r="E498" s="436" t="inlineStr">
        <is>
          <t>175/65R14-T-118</t>
        </is>
      </c>
      <c r="F498" s="436" t="n"/>
      <c r="G498" s="436" t="inlineStr">
        <is>
          <t>ID175/65R14PR[T-118]82H TRAZANO(全诺)无内</t>
        </is>
      </c>
      <c r="H498" s="434" t="n">
        <v>25000</v>
      </c>
      <c r="I498" s="434" t="n"/>
      <c r="J498" s="434" t="n"/>
      <c r="K498" s="434" t="n"/>
      <c r="L498" s="438" t="n"/>
      <c r="M498" s="438" t="n"/>
      <c r="N498" s="434" t="n"/>
      <c r="O498" s="434">
        <f>IFERROR(_xlfn.XLOOKUP(E498,轮胎重量!S:S,轮胎重量!P:P),IFERROR(_xlfn.XLOOKUP(E498,轮胎重量!AB:AB,轮胎重量!Y:Y),IFERROR(_xlfn.XLOOKUP(E498,轮胎重量!AK:AK,轮胎重量!AH:AH),IFERROR(_xlfn.XLOOKUP(E498,轮胎重量!AT:AT,轮胎重量!AQ:AQ),IFERROR(_xlfn.XLOOKUP(E498,轮胎重量!BB:BB,轮胎重量!AY:AY),"")))))</f>
        <v/>
      </c>
      <c r="P498" s="439">
        <f>14.15*O498</f>
        <v/>
      </c>
      <c r="Q498" s="434" t="n"/>
      <c r="R498" s="352" t="n">
        <v>140</v>
      </c>
      <c r="S498" s="352" t="n">
        <v>140</v>
      </c>
      <c r="T498" s="352" t="n">
        <v>140</v>
      </c>
      <c r="U498" s="352" t="n">
        <v>140</v>
      </c>
      <c r="V498" s="352" t="n">
        <v>140</v>
      </c>
      <c r="W498" s="352" t="n">
        <v>140</v>
      </c>
      <c r="X498" s="352" t="n">
        <v>140</v>
      </c>
      <c r="Y498" s="352" t="n">
        <v>140</v>
      </c>
      <c r="Z498" s="352" t="n">
        <v>140</v>
      </c>
      <c r="AA498" s="352" t="n">
        <v>140</v>
      </c>
      <c r="AB498" s="352" t="n">
        <v>140</v>
      </c>
      <c r="AC498" s="352" t="n">
        <v>140</v>
      </c>
      <c r="AD498" s="352" t="n">
        <v>140</v>
      </c>
      <c r="AE498" s="352" t="n">
        <v>140</v>
      </c>
      <c r="AF498" s="352" t="n">
        <v>140</v>
      </c>
      <c r="AG498" s="352" t="n">
        <v>140</v>
      </c>
      <c r="AH498" s="352" t="n">
        <v>140</v>
      </c>
      <c r="AI498" s="352" t="n">
        <v>140</v>
      </c>
      <c r="AJ498" s="352" t="n">
        <v>140</v>
      </c>
      <c r="AK498" s="352" t="n">
        <v>140</v>
      </c>
      <c r="AL498" s="352" t="n">
        <v>140</v>
      </c>
      <c r="AM498" s="352" t="n">
        <v>140</v>
      </c>
      <c r="AN498" s="352" t="n">
        <v>140</v>
      </c>
      <c r="AO498" s="352" t="n">
        <v>140</v>
      </c>
      <c r="AP498" s="352" t="n">
        <v>140</v>
      </c>
      <c r="AQ498" s="352" t="n">
        <v>140</v>
      </c>
      <c r="AR498" s="352" t="n">
        <v>140</v>
      </c>
      <c r="AS498" s="352" t="n">
        <v>140</v>
      </c>
      <c r="AT498" s="352" t="n">
        <v>140</v>
      </c>
      <c r="AU498" s="352" t="n">
        <v>140</v>
      </c>
      <c r="AV498" s="352" t="n">
        <v>140</v>
      </c>
      <c r="AW498" s="352">
        <f>IF(SUM(R498:AV498)=0,"",SUM(R498:AV498))</f>
        <v/>
      </c>
      <c r="AX498" s="431">
        <f>IFERROR(AW498*O498/1000,"")</f>
        <v/>
      </c>
      <c r="AY498" s="431">
        <f>IFERROR(ROUND(AW498*P498/10000,3),"")</f>
        <v/>
      </c>
      <c r="BC498" s="331" t="n"/>
      <c r="BD498" s="331" t="n"/>
      <c r="BE498" s="331" t="n"/>
      <c r="BF498" s="331" t="n"/>
      <c r="BG498" s="331" t="n"/>
      <c r="BH498" s="331" t="n"/>
      <c r="BI498" s="331" t="n"/>
      <c r="BJ498" s="356">
        <f t="array" ref="BJ498">SUMPRODUCT(IF(ISNUMBER(BJ376:BJ390),BJ376:BJ390,0),IF(ISERROR(BJ376:BJ390),0,1))</f>
        <v/>
      </c>
      <c r="BK498" s="356">
        <f t="array" ref="BK498">SUMPRODUCT(IF(ISNUMBER(BK376:BK390),BK376:BK390,0),IF(ISERROR(BK376:BK390),0,1))</f>
        <v/>
      </c>
      <c r="BL498" s="356">
        <f t="array" ref="BL498">SUMPRODUCT(IF(ISNUMBER(BL376:BL390),BL376:BL390,0),IF(ISERROR(BL376:BL390),0,1))</f>
        <v/>
      </c>
      <c r="BM498" s="356">
        <f t="array" ref="BM498">SUMPRODUCT(IF(ISNUMBER(BM376:BM390),BM376:BM390,0),IF(ISERROR(BM376:BM390),0,1))</f>
        <v/>
      </c>
      <c r="BN498" s="362">
        <f>SUM(BJ498:BM498)</f>
        <v/>
      </c>
      <c r="BO498" s="362" t="n">
        <v>42.79</v>
      </c>
      <c r="BP498" s="362" t="n">
        <v>44.13</v>
      </c>
      <c r="BQ498" s="362" t="n">
        <v>49.14</v>
      </c>
      <c r="BR498" s="362" t="n">
        <v>55.17</v>
      </c>
      <c r="BS498" s="367" t="inlineStr">
        <is>
          <t>半钢ST</t>
        </is>
      </c>
      <c r="BX498" s="367" t="inlineStr">
        <is>
          <t>半钢/半钢ST</t>
        </is>
      </c>
      <c r="BY498" s="362">
        <f>SUM(R498:X498)</f>
        <v/>
      </c>
      <c r="BZ498" s="362">
        <f>SUM(Y498:AE498)</f>
        <v/>
      </c>
      <c r="CA498" s="362">
        <f>SUM(AF498:AM498)</f>
        <v/>
      </c>
      <c r="CB498" s="362">
        <f>SUM(AN498:AV498)</f>
        <v/>
      </c>
      <c r="CD498" s="440" t="inlineStr">
        <is>
          <t>TIDAK ADA</t>
        </is>
      </c>
      <c r="CE498" s="362">
        <f>ROUND(BY498*$O498/1000,2)</f>
        <v/>
      </c>
      <c r="CF498" s="362">
        <f>ROUND(BZ498*$O498/1000,2)</f>
        <v/>
      </c>
      <c r="CG498" s="362">
        <f>ROUND(CA498*$O498/1000,2)</f>
        <v/>
      </c>
      <c r="CH498" s="362">
        <f>ROUND(CB498*$O498/1000,2)</f>
        <v/>
      </c>
      <c r="CI498" s="362">
        <f>SUM(CE498:CH498)</f>
        <v/>
      </c>
      <c r="CJ498" s="390" t="n"/>
      <c r="CK498" s="362">
        <f>IFERROR(ROUND(BY498*$P498,2),"")</f>
        <v/>
      </c>
      <c r="CL498" s="362">
        <f>IFERROR(ROUND(BZ498*$P498,2),"")</f>
        <v/>
      </c>
      <c r="CM498" s="362">
        <f>IFERROR(ROUND(CA498*$P498,2),"")</f>
        <v/>
      </c>
      <c r="CN498" s="362">
        <f>IFERROR(ROUND(CB498*$P498,2),"")</f>
        <v/>
      </c>
      <c r="CO498" s="362">
        <f>SUM(CK498:CN498)</f>
        <v/>
      </c>
    </row>
    <row r="499" customFormat="1" s="362">
      <c r="A499" s="331" t="n"/>
      <c r="B499" s="352" t="inlineStr">
        <is>
          <t>巴西</t>
        </is>
      </c>
      <c r="C499" s="352" t="n">
        <v>14</v>
      </c>
      <c r="D499" s="352">
        <f>"半钢ST"&amp;C499&amp;"寸"</f>
        <v/>
      </c>
      <c r="E499" s="379" t="inlineStr">
        <is>
          <t>175/65R14-Z-108</t>
        </is>
      </c>
      <c r="F499" s="389" t="n"/>
      <c r="G499" s="389" t="inlineStr">
        <is>
          <t>ID175/65R14PR[Z-108]82H 西湖无内</t>
        </is>
      </c>
      <c r="H499" s="370" t="n">
        <v>17000</v>
      </c>
      <c r="I499" s="370" t="n"/>
      <c r="J499" s="352" t="n"/>
      <c r="K499" s="352" t="n"/>
      <c r="L499" s="430" t="n"/>
      <c r="M499" s="430" t="n"/>
      <c r="N499" s="352" t="n"/>
      <c r="O499" s="352">
        <f>IFERROR(_xlfn.XLOOKUP(E499,轮胎重量!S:S,轮胎重量!P:P),IFERROR(_xlfn.XLOOKUP(E499,轮胎重量!AB:AB,轮胎重量!Y:Y),IFERROR(_xlfn.XLOOKUP(E499,轮胎重量!AK:AK,轮胎重量!AH:AH),IFERROR(_xlfn.XLOOKUP(E499,轮胎重量!AT:AT,轮胎重量!AQ:AQ),IFERROR(_xlfn.XLOOKUP(E499,轮胎重量!BB:BB,轮胎重量!AY:AY),"")))))</f>
        <v/>
      </c>
      <c r="P499" s="358">
        <f>14.15*O499</f>
        <v/>
      </c>
      <c r="Q499" s="352" t="n"/>
      <c r="R499" s="352" t="n">
        <v>280</v>
      </c>
      <c r="S499" s="352" t="n">
        <v>280</v>
      </c>
      <c r="T499" s="352" t="n">
        <v>280</v>
      </c>
      <c r="U499" s="352" t="n">
        <v>280</v>
      </c>
      <c r="V499" s="352" t="n">
        <v>280</v>
      </c>
      <c r="W499" s="352" t="n">
        <v>280</v>
      </c>
      <c r="X499" s="352" t="n">
        <v>280</v>
      </c>
      <c r="Y499" s="352" t="n">
        <v>280</v>
      </c>
      <c r="Z499" s="352" t="n">
        <v>280</v>
      </c>
      <c r="AA499" s="352" t="n">
        <v>280</v>
      </c>
      <c r="AB499" s="352" t="n">
        <v>280</v>
      </c>
      <c r="AC499" s="352" t="n">
        <v>280</v>
      </c>
      <c r="AD499" s="352" t="n">
        <v>280</v>
      </c>
      <c r="AE499" s="352" t="n">
        <v>280</v>
      </c>
      <c r="AF499" s="352" t="n">
        <v>280</v>
      </c>
      <c r="AG499" s="352" t="n">
        <v>280</v>
      </c>
      <c r="AH499" s="352" t="n">
        <v>280</v>
      </c>
      <c r="AI499" s="352" t="n">
        <v>280</v>
      </c>
      <c r="AJ499" s="352" t="n">
        <v>280</v>
      </c>
      <c r="AK499" s="352" t="n">
        <v>280</v>
      </c>
      <c r="AL499" s="352" t="n">
        <v>280</v>
      </c>
      <c r="AM499" s="352" t="n">
        <v>280</v>
      </c>
      <c r="AN499" s="352" t="n">
        <v>280</v>
      </c>
      <c r="AO499" s="352" t="n">
        <v>280</v>
      </c>
      <c r="AP499" s="352" t="n">
        <v>280</v>
      </c>
      <c r="AQ499" s="352" t="n">
        <v>280</v>
      </c>
      <c r="AR499" s="352" t="n">
        <v>280</v>
      </c>
      <c r="AS499" s="352" t="n">
        <v>280</v>
      </c>
      <c r="AT499" s="352" t="n">
        <v>280</v>
      </c>
      <c r="AU499" s="352" t="n">
        <v>280</v>
      </c>
      <c r="AV499" s="352" t="n">
        <v>280</v>
      </c>
      <c r="AW499" s="352">
        <f>IF(SUM(R499:AV499)=0,"",SUM(R499:AV499))</f>
        <v/>
      </c>
      <c r="AX499" s="431">
        <f>IFERROR(AW499*O499/1000,"")</f>
        <v/>
      </c>
      <c r="AY499" s="431">
        <f>IFERROR(ROUND(AW499*P499/10000,3),"")</f>
        <v/>
      </c>
      <c r="BC499" s="331" t="n"/>
      <c r="BD499" s="331" t="n"/>
      <c r="BE499" s="331" t="n"/>
      <c r="BF499" s="331" t="n"/>
      <c r="BG499" s="331" t="n"/>
      <c r="BH499" s="331" t="n"/>
      <c r="BI499" s="331" t="n"/>
      <c r="BJ499" s="356">
        <f t="array" ref="BJ499">SUMPRODUCT(IF(ISNUMBER(BJ377:BJ391),BJ377:BJ391,0),IF(ISERROR(BJ377:BJ391),0,1))</f>
        <v/>
      </c>
      <c r="BK499" s="356">
        <f t="array" ref="BK499">SUMPRODUCT(IF(ISNUMBER(BK377:BK391),BK377:BK391,0),IF(ISERROR(BK377:BK391),0,1))</f>
        <v/>
      </c>
      <c r="BL499" s="356">
        <f t="array" ref="BL499">SUMPRODUCT(IF(ISNUMBER(BL377:BL391),BL377:BL391,0),IF(ISERROR(BL377:BL391),0,1))</f>
        <v/>
      </c>
      <c r="BM499" s="356">
        <f t="array" ref="BM499">SUMPRODUCT(IF(ISNUMBER(BM377:BM391),BM377:BM391,0),IF(ISERROR(BM377:BM391),0,1))</f>
        <v/>
      </c>
      <c r="BN499" s="362">
        <f>SUM(BJ499:BM499)</f>
        <v/>
      </c>
      <c r="BO499" s="362" t="n">
        <v>42.79</v>
      </c>
      <c r="BP499" s="362" t="n">
        <v>44.13</v>
      </c>
      <c r="BQ499" s="362" t="n">
        <v>49.14</v>
      </c>
      <c r="BR499" s="362" t="n">
        <v>55.17</v>
      </c>
      <c r="BS499" s="367" t="inlineStr">
        <is>
          <t>半钢ST</t>
        </is>
      </c>
      <c r="BX499" s="367" t="inlineStr">
        <is>
          <t>半钢/半钢ST</t>
        </is>
      </c>
      <c r="BY499" s="362">
        <f>SUM(R499:X499)</f>
        <v/>
      </c>
      <c r="BZ499" s="362">
        <f>SUM(Y499:AE499)</f>
        <v/>
      </c>
      <c r="CA499" s="362">
        <f>SUM(AF499:AM499)</f>
        <v/>
      </c>
      <c r="CB499" s="362">
        <f>SUM(AN499:AV499)</f>
        <v/>
      </c>
      <c r="CD499" s="432" t="inlineStr">
        <is>
          <t>ADA</t>
        </is>
      </c>
      <c r="CE499" s="362">
        <f>ROUND(BY499*$O499/1000,2)</f>
        <v/>
      </c>
      <c r="CF499" s="362">
        <f>ROUND(BZ499*$O499/1000,2)</f>
        <v/>
      </c>
      <c r="CG499" s="362">
        <f>ROUND(CA499*$O499/1000,2)</f>
        <v/>
      </c>
      <c r="CH499" s="362">
        <f>ROUND(CB499*$O499/1000,2)</f>
        <v/>
      </c>
      <c r="CI499" s="362">
        <f>SUM(CE499:CH499)</f>
        <v/>
      </c>
      <c r="CJ499" s="390" t="n"/>
      <c r="CK499" s="362">
        <f>IFERROR(ROUND(BY499*$P499,2),"")</f>
        <v/>
      </c>
      <c r="CL499" s="362">
        <f>IFERROR(ROUND(BZ499*$P499,2),"")</f>
        <v/>
      </c>
      <c r="CM499" s="362">
        <f>IFERROR(ROUND(CA499*$P499,2),"")</f>
        <v/>
      </c>
      <c r="CN499" s="362">
        <f>IFERROR(ROUND(CB499*$P499,2),"")</f>
        <v/>
      </c>
      <c r="CO499" s="362">
        <f>SUM(CK499:CN499)</f>
        <v/>
      </c>
    </row>
    <row r="500" customFormat="1" s="362">
      <c r="A500" s="433" t="n"/>
      <c r="B500" s="434" t="inlineStr">
        <is>
          <t>巴西</t>
        </is>
      </c>
      <c r="C500" s="434" t="n">
        <v>14</v>
      </c>
      <c r="D500" s="434">
        <f>"半钢ST"&amp;C500&amp;"寸"</f>
        <v/>
      </c>
      <c r="E500" s="436" t="inlineStr">
        <is>
          <t>165/70R14-T-118</t>
        </is>
      </c>
      <c r="F500" s="436" t="n"/>
      <c r="G500" s="436" t="inlineStr">
        <is>
          <t>ID165/70R14PR[T-118]81T TRAZANO(全诺)无内</t>
        </is>
      </c>
      <c r="H500" s="434" t="n">
        <v>2000</v>
      </c>
      <c r="I500" s="434" t="n"/>
      <c r="J500" s="434" t="n"/>
      <c r="K500" s="434" t="n"/>
      <c r="L500" s="438" t="n"/>
      <c r="M500" s="438" t="n"/>
      <c r="N500" s="434" t="n"/>
      <c r="O500" s="434">
        <f>IFERROR(_xlfn.XLOOKUP(E500,轮胎重量!S:S,轮胎重量!P:P),IFERROR(_xlfn.XLOOKUP(E500,轮胎重量!AB:AB,轮胎重量!Y:Y),IFERROR(_xlfn.XLOOKUP(E500,轮胎重量!AK:AK,轮胎重量!AH:AH),IFERROR(_xlfn.XLOOKUP(E500,轮胎重量!AT:AT,轮胎重量!AQ:AQ),IFERROR(_xlfn.XLOOKUP(E500,轮胎重量!BB:BB,轮胎重量!AY:AY),"")))))</f>
        <v/>
      </c>
      <c r="P500" s="439">
        <f>14.15*O500</f>
        <v/>
      </c>
      <c r="Q500" s="434" t="n"/>
      <c r="R500" s="352" t="n">
        <v>140</v>
      </c>
      <c r="S500" s="352" t="n">
        <v>140</v>
      </c>
      <c r="T500" s="352" t="n">
        <v>140</v>
      </c>
      <c r="U500" s="352" t="n">
        <v>140</v>
      </c>
      <c r="V500" s="352" t="n">
        <v>140</v>
      </c>
      <c r="W500" s="352" t="n">
        <v>140</v>
      </c>
      <c r="X500" s="352" t="n">
        <v>140</v>
      </c>
      <c r="Y500" s="352" t="n">
        <v>140</v>
      </c>
      <c r="Z500" s="352" t="n">
        <v>140</v>
      </c>
      <c r="AA500" s="352" t="n">
        <v>140</v>
      </c>
      <c r="AB500" s="352" t="n">
        <v>140</v>
      </c>
      <c r="AC500" s="352" t="n">
        <v>140</v>
      </c>
      <c r="AD500" s="352" t="n">
        <v>140</v>
      </c>
      <c r="AE500" s="352" t="n">
        <v>140</v>
      </c>
      <c r="AF500" s="352" t="n">
        <v>140</v>
      </c>
      <c r="AG500" s="352" t="n">
        <v>140</v>
      </c>
      <c r="AH500" s="352" t="n">
        <v>140</v>
      </c>
      <c r="AI500" s="352" t="n">
        <v>140</v>
      </c>
      <c r="AJ500" s="352" t="n">
        <v>140</v>
      </c>
      <c r="AK500" s="352" t="n">
        <v>140</v>
      </c>
      <c r="AL500" s="352" t="n">
        <v>140</v>
      </c>
      <c r="AM500" s="352" t="n">
        <v>140</v>
      </c>
      <c r="AN500" s="352" t="n">
        <v>140</v>
      </c>
      <c r="AO500" s="352" t="n">
        <v>140</v>
      </c>
      <c r="AP500" s="352" t="n">
        <v>140</v>
      </c>
      <c r="AQ500" s="352" t="n">
        <v>140</v>
      </c>
      <c r="AR500" s="352" t="n">
        <v>140</v>
      </c>
      <c r="AS500" s="352" t="n">
        <v>140</v>
      </c>
      <c r="AT500" s="352" t="n">
        <v>140</v>
      </c>
      <c r="AU500" s="352" t="n">
        <v>140</v>
      </c>
      <c r="AV500" s="352" t="n">
        <v>140</v>
      </c>
      <c r="AW500" s="352">
        <f>IF(SUM(R500:AV500)=0,"",SUM(R500:AV500))</f>
        <v/>
      </c>
      <c r="AX500" s="431">
        <f>IFERROR(AW500*O500/1000,"")</f>
        <v/>
      </c>
      <c r="AY500" s="431">
        <f>IFERROR(ROUND(AW500*P500/10000,3),"")</f>
        <v/>
      </c>
      <c r="BC500" s="331" t="n"/>
      <c r="BD500" s="331" t="n"/>
      <c r="BE500" s="331" t="n"/>
      <c r="BF500" s="331" t="n"/>
      <c r="BG500" s="331" t="n"/>
      <c r="BH500" s="331" t="n"/>
      <c r="BI500" s="331" t="n"/>
      <c r="BJ500" s="356">
        <f t="array" ref="BJ500">SUMPRODUCT(IF(ISNUMBER(BJ380:BJ395),BJ380:BJ395,0),IF(ISERROR(BJ380:BJ395),0,1))</f>
        <v/>
      </c>
      <c r="BK500" s="356">
        <f t="array" ref="BK500">SUMPRODUCT(IF(ISNUMBER(BK380:BK395),BK380:BK395,0),IF(ISERROR(BK380:BK395),0,1))</f>
        <v/>
      </c>
      <c r="BL500" s="356">
        <f t="array" ref="BL500">SUMPRODUCT(IF(ISNUMBER(BL380:BL395),BL380:BL395,0),IF(ISERROR(BL380:BL395),0,1))</f>
        <v/>
      </c>
      <c r="BM500" s="356">
        <f t="array" ref="BM500">SUMPRODUCT(IF(ISNUMBER(BM380:BM395),BM380:BM395,0),IF(ISERROR(BM380:BM395),0,1))</f>
        <v/>
      </c>
      <c r="BN500" s="362">
        <f>SUM(BJ500:BM500)</f>
        <v/>
      </c>
      <c r="BO500" s="362" t="n">
        <v>42.79</v>
      </c>
      <c r="BP500" s="362" t="n">
        <v>44.13</v>
      </c>
      <c r="BQ500" s="362" t="n">
        <v>49.14</v>
      </c>
      <c r="BR500" s="362" t="n">
        <v>55.17</v>
      </c>
      <c r="BS500" s="367" t="inlineStr">
        <is>
          <t>半钢ST</t>
        </is>
      </c>
      <c r="BX500" s="367" t="inlineStr">
        <is>
          <t>半钢/半钢ST</t>
        </is>
      </c>
      <c r="BY500" s="362">
        <f>SUM(R500:X500)</f>
        <v/>
      </c>
      <c r="BZ500" s="362">
        <f>SUM(Y500:AE500)</f>
        <v/>
      </c>
      <c r="CA500" s="362">
        <f>SUM(AF500:AM500)</f>
        <v/>
      </c>
      <c r="CB500" s="362">
        <f>SUM(AN500:AV500)</f>
        <v/>
      </c>
      <c r="CD500" s="440" t="inlineStr">
        <is>
          <t>TIDAK ADA</t>
        </is>
      </c>
      <c r="CE500" s="362">
        <f>ROUND(BY500*$O500/1000,2)</f>
        <v/>
      </c>
      <c r="CF500" s="362">
        <f>ROUND(BZ500*$O500/1000,2)</f>
        <v/>
      </c>
      <c r="CG500" s="362">
        <f>ROUND(CA500*$O500/1000,2)</f>
        <v/>
      </c>
      <c r="CH500" s="362">
        <f>ROUND(CB500*$O500/1000,2)</f>
        <v/>
      </c>
      <c r="CI500" s="362">
        <f>SUM(CE500:CH500)</f>
        <v/>
      </c>
      <c r="CJ500" s="390" t="n"/>
      <c r="CK500" s="362">
        <f>IFERROR(ROUND(BY500*$P500,2),"")</f>
        <v/>
      </c>
      <c r="CL500" s="362">
        <f>IFERROR(ROUND(BZ500*$P500,2),"")</f>
        <v/>
      </c>
      <c r="CM500" s="362">
        <f>IFERROR(ROUND(CA500*$P500,2),"")</f>
        <v/>
      </c>
      <c r="CN500" s="362">
        <f>IFERROR(ROUND(CB500*$P500,2),"")</f>
        <v/>
      </c>
    </row>
    <row r="501" customFormat="1" s="362">
      <c r="A501" s="433" t="n"/>
      <c r="B501" s="434" t="inlineStr">
        <is>
          <t>巴西</t>
        </is>
      </c>
      <c r="C501" s="434" t="n">
        <v>14</v>
      </c>
      <c r="D501" s="434">
        <f>"半钢ST"&amp;C501&amp;"寸"</f>
        <v/>
      </c>
      <c r="E501" s="436" t="inlineStr">
        <is>
          <t>165/70R14-Z-108</t>
        </is>
      </c>
      <c r="F501" s="436" t="n"/>
      <c r="G501" s="436" t="inlineStr">
        <is>
          <t>ID165/70R14PR[Z-108]81T 西湖无内</t>
        </is>
      </c>
      <c r="H501" s="434" t="n">
        <v>3800</v>
      </c>
      <c r="I501" s="434" t="n"/>
      <c r="J501" s="434" t="n"/>
      <c r="K501" s="434" t="n"/>
      <c r="L501" s="438" t="n"/>
      <c r="M501" s="438" t="n"/>
      <c r="N501" s="434" t="n"/>
      <c r="O501" s="434">
        <f>IFERROR(_xlfn.XLOOKUP(E501,轮胎重量!S:S,轮胎重量!P:P),IFERROR(_xlfn.XLOOKUP(E501,轮胎重量!AB:AB,轮胎重量!Y:Y),IFERROR(_xlfn.XLOOKUP(E501,轮胎重量!AK:AK,轮胎重量!AH:AH),IFERROR(_xlfn.XLOOKUP(E501,轮胎重量!AT:AT,轮胎重量!AQ:AQ),IFERROR(_xlfn.XLOOKUP(E501,轮胎重量!BB:BB,轮胎重量!AY:AY),"")))))</f>
        <v/>
      </c>
      <c r="P501" s="439">
        <f>14.15*O501</f>
        <v/>
      </c>
      <c r="Q501" s="434" t="n"/>
      <c r="R501" s="352" t="n">
        <v>140</v>
      </c>
      <c r="S501" s="352" t="n">
        <v>140</v>
      </c>
      <c r="T501" s="352" t="n">
        <v>140</v>
      </c>
      <c r="U501" s="352" t="n">
        <v>140</v>
      </c>
      <c r="V501" s="352" t="n">
        <v>140</v>
      </c>
      <c r="W501" s="352" t="n">
        <v>140</v>
      </c>
      <c r="X501" s="352" t="n">
        <v>140</v>
      </c>
      <c r="Y501" s="352" t="n">
        <v>140</v>
      </c>
      <c r="Z501" s="352" t="n">
        <v>140</v>
      </c>
      <c r="AA501" s="352" t="n">
        <v>140</v>
      </c>
      <c r="AB501" s="352" t="n">
        <v>140</v>
      </c>
      <c r="AC501" s="352" t="n">
        <v>140</v>
      </c>
      <c r="AD501" s="352" t="n">
        <v>140</v>
      </c>
      <c r="AE501" s="352" t="n">
        <v>140</v>
      </c>
      <c r="AF501" s="352" t="n">
        <v>140</v>
      </c>
      <c r="AG501" s="352" t="n">
        <v>140</v>
      </c>
      <c r="AH501" s="352" t="n">
        <v>140</v>
      </c>
      <c r="AI501" s="352" t="n">
        <v>140</v>
      </c>
      <c r="AJ501" s="352" t="n">
        <v>140</v>
      </c>
      <c r="AK501" s="352" t="n">
        <v>140</v>
      </c>
      <c r="AL501" s="352" t="n">
        <v>140</v>
      </c>
      <c r="AM501" s="352" t="n">
        <v>140</v>
      </c>
      <c r="AN501" s="352" t="n">
        <v>140</v>
      </c>
      <c r="AO501" s="352" t="n">
        <v>140</v>
      </c>
      <c r="AP501" s="352" t="n">
        <v>140</v>
      </c>
      <c r="AQ501" s="352" t="n">
        <v>140</v>
      </c>
      <c r="AR501" s="352" t="n">
        <v>140</v>
      </c>
      <c r="AS501" s="352" t="n">
        <v>140</v>
      </c>
      <c r="AT501" s="352" t="n">
        <v>140</v>
      </c>
      <c r="AU501" s="352" t="n">
        <v>140</v>
      </c>
      <c r="AV501" s="352" t="n">
        <v>140</v>
      </c>
      <c r="AW501" s="352">
        <f>IF(SUM(R501:AV501)=0,"",SUM(R501:AV501))</f>
        <v/>
      </c>
      <c r="AX501" s="431">
        <f>IFERROR(AW501*O501/1000,"")</f>
        <v/>
      </c>
      <c r="AY501" s="431">
        <f>IFERROR(ROUND(AW501*P501/10000,3),"")</f>
        <v/>
      </c>
      <c r="BC501" s="331" t="n"/>
      <c r="BD501" s="331" t="n"/>
      <c r="BE501" s="331" t="n"/>
      <c r="BF501" s="331" t="n"/>
      <c r="BG501" s="331" t="n"/>
      <c r="BH501" s="331" t="n"/>
      <c r="BI501" s="331" t="n"/>
      <c r="BJ501" s="356">
        <f t="array" ref="BJ501">SUMPRODUCT(IF(ISNUMBER(BJ377:BJ391),BJ377:BJ391,0),IF(ISERROR(BJ377:BJ391),0,1))</f>
        <v/>
      </c>
      <c r="BK501" s="356">
        <f t="array" ref="BK501">SUMPRODUCT(IF(ISNUMBER(BK377:BK391),BK377:BK391,0),IF(ISERROR(BK377:BK391),0,1))</f>
        <v/>
      </c>
      <c r="BL501" s="356">
        <f t="array" ref="BL501">SUMPRODUCT(IF(ISNUMBER(BL377:BL391),BL377:BL391,0),IF(ISERROR(BL377:BL391),0,1))</f>
        <v/>
      </c>
      <c r="BM501" s="356">
        <f t="array" ref="BM501">SUMPRODUCT(IF(ISNUMBER(BM377:BM391),BM377:BM391,0),IF(ISERROR(BM377:BM391),0,1))</f>
        <v/>
      </c>
      <c r="BN501" s="362">
        <f>SUM(BJ501:BM501)</f>
        <v/>
      </c>
      <c r="BO501" s="362" t="n">
        <v>42.79</v>
      </c>
      <c r="BP501" s="362" t="n">
        <v>44.13</v>
      </c>
      <c r="BQ501" s="362" t="n">
        <v>49.14</v>
      </c>
      <c r="BR501" s="362" t="n">
        <v>55.17</v>
      </c>
      <c r="BS501" s="367" t="inlineStr">
        <is>
          <t>半钢ST</t>
        </is>
      </c>
      <c r="BX501" s="367" t="inlineStr">
        <is>
          <t>半钢/半钢ST</t>
        </is>
      </c>
      <c r="BY501" s="362">
        <f>SUM(R501:X501)</f>
        <v/>
      </c>
      <c r="BZ501" s="362">
        <f>SUM(Y501:AE501)</f>
        <v/>
      </c>
      <c r="CA501" s="362">
        <f>SUM(AF501:AM501)</f>
        <v/>
      </c>
      <c r="CB501" s="362">
        <f>SUM(AN501:AV501)</f>
        <v/>
      </c>
      <c r="CD501" s="440" t="inlineStr">
        <is>
          <t>TIDAK ADA</t>
        </is>
      </c>
      <c r="CE501" s="362">
        <f>ROUND(BY501*$O501/1000,2)</f>
        <v/>
      </c>
      <c r="CF501" s="362">
        <f>ROUND(BZ501*$O501/1000,2)</f>
        <v/>
      </c>
      <c r="CG501" s="362">
        <f>ROUND(CA501*$O501/1000,2)</f>
        <v/>
      </c>
      <c r="CH501" s="362">
        <f>ROUND(CB501*$O501/1000,2)</f>
        <v/>
      </c>
      <c r="CI501" s="362">
        <f>SUM(CE501:CH501)</f>
        <v/>
      </c>
      <c r="CJ501" s="390" t="n"/>
      <c r="CK501" s="362">
        <f>IFERROR(ROUND(BY501*$P501,2),"")</f>
        <v/>
      </c>
      <c r="CL501" s="362">
        <f>IFERROR(ROUND(BZ501*$P501,2),"")</f>
        <v/>
      </c>
      <c r="CM501" s="362">
        <f>IFERROR(ROUND(CA501*$P501,2),"")</f>
        <v/>
      </c>
      <c r="CN501" s="362">
        <f>IFERROR(ROUND(CB501*$P501,2),"")</f>
        <v/>
      </c>
    </row>
    <row r="502" customFormat="1" s="362">
      <c r="A502" s="433" t="n"/>
      <c r="B502" s="434" t="inlineStr">
        <is>
          <t>巴西</t>
        </is>
      </c>
      <c r="C502" s="434" t="n">
        <v>14</v>
      </c>
      <c r="D502" s="434">
        <f>"半钢ST"&amp;C502&amp;"寸"</f>
        <v/>
      </c>
      <c r="E502" s="436" t="inlineStr">
        <is>
          <t>185/65R14-T-118</t>
        </is>
      </c>
      <c r="F502" s="436" t="n"/>
      <c r="G502" s="436" t="inlineStr">
        <is>
          <t>ID185/65R14PR[T-118]86H TRAZANO(全诺)无内</t>
        </is>
      </c>
      <c r="H502" s="434" t="n">
        <v>2000</v>
      </c>
      <c r="I502" s="434" t="n"/>
      <c r="J502" s="434" t="n"/>
      <c r="K502" s="434" t="n"/>
      <c r="L502" s="438" t="n"/>
      <c r="M502" s="438" t="n"/>
      <c r="N502" s="434" t="n"/>
      <c r="O502" s="434">
        <f>IFERROR(_xlfn.XLOOKUP(E502,轮胎重量!S:S,轮胎重量!P:P),IFERROR(_xlfn.XLOOKUP(E502,轮胎重量!AB:AB,轮胎重量!Y:Y),IFERROR(_xlfn.XLOOKUP(E502,轮胎重量!AK:AK,轮胎重量!AH:AH),IFERROR(_xlfn.XLOOKUP(E502,轮胎重量!AT:AT,轮胎重量!AQ:AQ),IFERROR(_xlfn.XLOOKUP(E502,轮胎重量!BB:BB,轮胎重量!AY:AY),"")))))</f>
        <v/>
      </c>
      <c r="P502" s="439">
        <f>14.15*O502</f>
        <v/>
      </c>
      <c r="Q502" s="434" t="n"/>
      <c r="R502" s="352" t="n">
        <v>140</v>
      </c>
      <c r="S502" s="352" t="n">
        <v>140</v>
      </c>
      <c r="T502" s="352" t="n">
        <v>140</v>
      </c>
      <c r="U502" s="352" t="n">
        <v>140</v>
      </c>
      <c r="V502" s="352" t="n">
        <v>140</v>
      </c>
      <c r="W502" s="352" t="n">
        <v>140</v>
      </c>
      <c r="X502" s="352" t="n">
        <v>140</v>
      </c>
      <c r="Y502" s="352" t="n">
        <v>140</v>
      </c>
      <c r="Z502" s="352" t="n">
        <v>140</v>
      </c>
      <c r="AA502" s="352" t="n">
        <v>140</v>
      </c>
      <c r="AB502" s="352" t="n">
        <v>140</v>
      </c>
      <c r="AC502" s="352" t="n">
        <v>140</v>
      </c>
      <c r="AD502" s="352" t="n">
        <v>140</v>
      </c>
      <c r="AE502" s="352" t="n">
        <v>140</v>
      </c>
      <c r="AF502" s="352" t="n">
        <v>140</v>
      </c>
      <c r="AG502" s="352" t="n">
        <v>140</v>
      </c>
      <c r="AH502" s="352" t="n">
        <v>140</v>
      </c>
      <c r="AI502" s="352" t="n">
        <v>140</v>
      </c>
      <c r="AJ502" s="352" t="n">
        <v>140</v>
      </c>
      <c r="AK502" s="352" t="n">
        <v>140</v>
      </c>
      <c r="AL502" s="352" t="n">
        <v>140</v>
      </c>
      <c r="AM502" s="352" t="n">
        <v>140</v>
      </c>
      <c r="AN502" s="352" t="n">
        <v>140</v>
      </c>
      <c r="AO502" s="352" t="n">
        <v>140</v>
      </c>
      <c r="AP502" s="352" t="n">
        <v>140</v>
      </c>
      <c r="AQ502" s="352" t="n">
        <v>140</v>
      </c>
      <c r="AR502" s="352" t="n">
        <v>140</v>
      </c>
      <c r="AS502" s="352" t="n">
        <v>140</v>
      </c>
      <c r="AT502" s="352" t="n">
        <v>140</v>
      </c>
      <c r="AU502" s="352" t="n">
        <v>140</v>
      </c>
      <c r="AV502" s="352" t="n">
        <v>140</v>
      </c>
      <c r="AW502" s="352">
        <f>IF(SUM(R502:AV502)=0,"",SUM(R502:AV502))</f>
        <v/>
      </c>
      <c r="AX502" s="431">
        <f>IFERROR(AW502*O502/1000,"")</f>
        <v/>
      </c>
      <c r="AY502" s="431">
        <f>IFERROR(ROUND(AW502*P502/10000,3),"")</f>
        <v/>
      </c>
      <c r="BC502" s="331" t="n"/>
      <c r="BD502" s="331" t="n"/>
      <c r="BE502" s="331" t="n"/>
      <c r="BF502" s="331" t="n"/>
      <c r="BG502" s="331" t="n"/>
      <c r="BH502" s="331" t="n"/>
      <c r="BI502" s="331" t="n"/>
      <c r="BJ502" s="356">
        <f t="array" ref="BJ502">SUMPRODUCT(IF(ISNUMBER(BJ377:BJ391),BJ377:BJ391,0),IF(ISERROR(BJ377:BJ391),0,1))</f>
        <v/>
      </c>
      <c r="BK502" s="356">
        <f t="array" ref="BK502">SUMPRODUCT(IF(ISNUMBER(BK377:BK391),BK377:BK391,0),IF(ISERROR(BK377:BK391),0,1))</f>
        <v/>
      </c>
      <c r="BL502" s="356">
        <f t="array" ref="BL502">SUMPRODUCT(IF(ISNUMBER(BL377:BL391),BL377:BL391,0),IF(ISERROR(BL377:BL391),0,1))</f>
        <v/>
      </c>
      <c r="BM502" s="356">
        <f t="array" ref="BM502">SUMPRODUCT(IF(ISNUMBER(BM377:BM391),BM377:BM391,0),IF(ISERROR(BM377:BM391),0,1))</f>
        <v/>
      </c>
      <c r="BN502" s="362">
        <f>SUM(BJ502:BM502)</f>
        <v/>
      </c>
      <c r="BO502" s="362" t="n">
        <v>42.79</v>
      </c>
      <c r="BP502" s="362" t="n">
        <v>44.13</v>
      </c>
      <c r="BQ502" s="362" t="n">
        <v>49.14</v>
      </c>
      <c r="BR502" s="362" t="n">
        <v>55.17</v>
      </c>
      <c r="BS502" s="367" t="inlineStr">
        <is>
          <t>半钢ST</t>
        </is>
      </c>
      <c r="BX502" s="367" t="inlineStr">
        <is>
          <t>半钢/半钢ST</t>
        </is>
      </c>
      <c r="BY502" s="362">
        <f>SUM(R502:X502)</f>
        <v/>
      </c>
      <c r="BZ502" s="362">
        <f>SUM(Y502:AE502)</f>
        <v/>
      </c>
      <c r="CA502" s="362">
        <f>SUM(AF502:AM502)</f>
        <v/>
      </c>
      <c r="CB502" s="362">
        <f>SUM(AN502:AV502)</f>
        <v/>
      </c>
      <c r="CD502" s="440" t="inlineStr">
        <is>
          <t>TIDAK ADA</t>
        </is>
      </c>
      <c r="CE502" s="362">
        <f>ROUND(BY502*$O502/1000,2)</f>
        <v/>
      </c>
      <c r="CF502" s="362">
        <f>ROUND(BZ502*$O502/1000,2)</f>
        <v/>
      </c>
      <c r="CG502" s="362">
        <f>ROUND(CA502*$O502/1000,2)</f>
        <v/>
      </c>
      <c r="CH502" s="362">
        <f>ROUND(CB502*$O502/1000,2)</f>
        <v/>
      </c>
      <c r="CI502" s="362">
        <f>SUM(CE502:CH502)</f>
        <v/>
      </c>
      <c r="CJ502" s="390" t="n"/>
      <c r="CK502" s="362">
        <f>IFERROR(ROUND(BY502*$P502,2),"")</f>
        <v/>
      </c>
      <c r="CL502" s="362">
        <f>IFERROR(ROUND(BZ502*$P502,2),"")</f>
        <v/>
      </c>
      <c r="CM502" s="362">
        <f>IFERROR(ROUND(CA502*$P502,2),"")</f>
        <v/>
      </c>
      <c r="CN502" s="362">
        <f>IFERROR(ROUND(CB502*$P502,2),"")</f>
        <v/>
      </c>
      <c r="CO502" s="362">
        <f>SUM(CK502:CN502)</f>
        <v/>
      </c>
    </row>
    <row r="503" customFormat="1" s="362">
      <c r="A503" s="433" t="n"/>
      <c r="B503" s="434" t="inlineStr">
        <is>
          <t>巴西</t>
        </is>
      </c>
      <c r="C503" s="434" t="n">
        <v>14</v>
      </c>
      <c r="D503" s="434">
        <f>"半钢ST"&amp;C503&amp;"寸"</f>
        <v/>
      </c>
      <c r="E503" s="436" t="inlineStr">
        <is>
          <t>185/65R14-Z-108</t>
        </is>
      </c>
      <c r="F503" s="436" t="n"/>
      <c r="G503" s="436" t="inlineStr">
        <is>
          <t>ID185/65R14PR[Z-108]86H 西湖无内</t>
        </is>
      </c>
      <c r="H503" s="434" t="n">
        <v>1700</v>
      </c>
      <c r="I503" s="434" t="n"/>
      <c r="J503" s="434" t="n"/>
      <c r="K503" s="434" t="n"/>
      <c r="L503" s="438" t="n"/>
      <c r="M503" s="438" t="n"/>
      <c r="N503" s="434" t="n"/>
      <c r="O503" s="434">
        <f>IFERROR(_xlfn.XLOOKUP(E503,轮胎重量!S:S,轮胎重量!P:P),IFERROR(_xlfn.XLOOKUP(E503,轮胎重量!AB:AB,轮胎重量!Y:Y),IFERROR(_xlfn.XLOOKUP(E503,轮胎重量!AK:AK,轮胎重量!AH:AH),IFERROR(_xlfn.XLOOKUP(E503,轮胎重量!AT:AT,轮胎重量!AQ:AQ),IFERROR(_xlfn.XLOOKUP(E503,轮胎重量!BB:BB,轮胎重量!AY:AY),"")))))</f>
        <v/>
      </c>
      <c r="P503" s="439">
        <f>14.15*O503</f>
        <v/>
      </c>
      <c r="Q503" s="434" t="n"/>
      <c r="R503" s="352" t="n">
        <v>140</v>
      </c>
      <c r="S503" s="352" t="n">
        <v>140</v>
      </c>
      <c r="T503" s="352" t="n">
        <v>140</v>
      </c>
      <c r="U503" s="352" t="n">
        <v>140</v>
      </c>
      <c r="V503" s="352" t="n">
        <v>140</v>
      </c>
      <c r="W503" s="352" t="n">
        <v>140</v>
      </c>
      <c r="X503" s="352" t="n">
        <v>140</v>
      </c>
      <c r="Y503" s="352" t="n">
        <v>140</v>
      </c>
      <c r="Z503" s="352" t="n">
        <v>140</v>
      </c>
      <c r="AA503" s="352" t="n">
        <v>140</v>
      </c>
      <c r="AB503" s="352" t="n">
        <v>140</v>
      </c>
      <c r="AC503" s="352" t="n">
        <v>140</v>
      </c>
      <c r="AD503" s="352" t="n">
        <v>140</v>
      </c>
      <c r="AE503" s="352" t="n">
        <v>140</v>
      </c>
      <c r="AF503" s="352" t="n">
        <v>140</v>
      </c>
      <c r="AG503" s="352" t="n">
        <v>140</v>
      </c>
      <c r="AH503" s="352" t="n">
        <v>140</v>
      </c>
      <c r="AI503" s="352" t="n">
        <v>140</v>
      </c>
      <c r="AJ503" s="352" t="n">
        <v>140</v>
      </c>
      <c r="AK503" s="352" t="n">
        <v>140</v>
      </c>
      <c r="AL503" s="352" t="n">
        <v>140</v>
      </c>
      <c r="AM503" s="352" t="n">
        <v>140</v>
      </c>
      <c r="AN503" s="352" t="n">
        <v>140</v>
      </c>
      <c r="AO503" s="352" t="n">
        <v>140</v>
      </c>
      <c r="AP503" s="352" t="n">
        <v>140</v>
      </c>
      <c r="AQ503" s="352" t="n">
        <v>140</v>
      </c>
      <c r="AR503" s="352" t="n">
        <v>140</v>
      </c>
      <c r="AS503" s="352" t="n">
        <v>140</v>
      </c>
      <c r="AT503" s="352" t="n">
        <v>140</v>
      </c>
      <c r="AU503" s="352" t="n">
        <v>140</v>
      </c>
      <c r="AV503" s="352" t="n">
        <v>140</v>
      </c>
      <c r="AW503" s="352">
        <f>IF(SUM(R503:AV503)=0,"",SUM(R503:AV503))</f>
        <v/>
      </c>
      <c r="AX503" s="431">
        <f>IFERROR(AW503*O503/1000,"")</f>
        <v/>
      </c>
      <c r="AY503" s="431">
        <f>IFERROR(ROUND(AW503*P503/10000,3),"")</f>
        <v/>
      </c>
      <c r="BC503" s="331" t="n"/>
      <c r="BD503" s="331" t="n"/>
      <c r="BE503" s="331" t="n"/>
      <c r="BF503" s="331" t="n"/>
      <c r="BG503" s="331" t="n"/>
      <c r="BH503" s="331" t="n"/>
      <c r="BI503" s="331" t="n"/>
      <c r="BJ503" s="356">
        <f t="array" ref="BJ503">SUMPRODUCT(IF(ISNUMBER(BJ378:BJ392),BJ378:BJ392,0),IF(ISERROR(BJ378:BJ392),0,1))</f>
        <v/>
      </c>
      <c r="BK503" s="356">
        <f t="array" ref="BK503">SUMPRODUCT(IF(ISNUMBER(BK378:BK392),BK378:BK392,0),IF(ISERROR(BK378:BK392),0,1))</f>
        <v/>
      </c>
      <c r="BL503" s="356">
        <f t="array" ref="BL503">SUMPRODUCT(IF(ISNUMBER(BL378:BL392),BL378:BL392,0),IF(ISERROR(BL378:BL392),0,1))</f>
        <v/>
      </c>
      <c r="BM503" s="356">
        <f t="array" ref="BM503">SUMPRODUCT(IF(ISNUMBER(BM378:BM392),BM378:BM392,0),IF(ISERROR(BM378:BM392),0,1))</f>
        <v/>
      </c>
      <c r="BN503" s="362">
        <f>SUM(BJ503:BM503)</f>
        <v/>
      </c>
      <c r="BO503" s="362" t="n">
        <v>42.79</v>
      </c>
      <c r="BP503" s="362" t="n">
        <v>44.13</v>
      </c>
      <c r="BQ503" s="362" t="n">
        <v>49.14</v>
      </c>
      <c r="BR503" s="362" t="n">
        <v>55.17</v>
      </c>
      <c r="BS503" s="367" t="inlineStr">
        <is>
          <t>半钢ST</t>
        </is>
      </c>
      <c r="BX503" s="367" t="inlineStr">
        <is>
          <t>半钢/半钢ST</t>
        </is>
      </c>
      <c r="BY503" s="362">
        <f>SUM(R503:X503)</f>
        <v/>
      </c>
      <c r="BZ503" s="362">
        <f>SUM(Y503:AE503)</f>
        <v/>
      </c>
      <c r="CA503" s="362">
        <f>SUM(AF503:AM503)</f>
        <v/>
      </c>
      <c r="CB503" s="362">
        <f>SUM(AN503:AV503)</f>
        <v/>
      </c>
      <c r="CD503" s="440" t="inlineStr">
        <is>
          <t>TIDAK ADA</t>
        </is>
      </c>
      <c r="CE503" s="362">
        <f>ROUND(BY503*$O503/1000,2)</f>
        <v/>
      </c>
      <c r="CF503" s="362">
        <f>ROUND(BZ503*$O503/1000,2)</f>
        <v/>
      </c>
      <c r="CG503" s="362">
        <f>ROUND(CA503*$O503/1000,2)</f>
        <v/>
      </c>
      <c r="CH503" s="362">
        <f>ROUND(CB503*$O503/1000,2)</f>
        <v/>
      </c>
      <c r="CI503" s="362">
        <f>SUM(CE503:CH503)</f>
        <v/>
      </c>
      <c r="CJ503" s="390" t="n"/>
      <c r="CK503" s="362">
        <f>IFERROR(ROUND(BY503*$P503,2),"")</f>
        <v/>
      </c>
      <c r="CL503" s="362">
        <f>IFERROR(ROUND(BZ503*$P503,2),"")</f>
        <v/>
      </c>
      <c r="CM503" s="362">
        <f>IFERROR(ROUND(CA503*$P503,2),"")</f>
        <v/>
      </c>
      <c r="CN503" s="362">
        <f>IFERROR(ROUND(CB503*$P503,2),"")</f>
        <v/>
      </c>
      <c r="CO503" s="362">
        <f>SUM(CK503:CN503)</f>
        <v/>
      </c>
    </row>
    <row r="504" customFormat="1" s="362">
      <c r="A504" s="433" t="n"/>
      <c r="B504" s="434" t="inlineStr">
        <is>
          <t>巴西</t>
        </is>
      </c>
      <c r="C504" s="434">
        <f>IFERROR(MID(E504,FIND("-",E504)-2,2),"")</f>
        <v/>
      </c>
      <c r="D504" s="434">
        <f>"半钢ST"&amp;C504&amp;"寸"</f>
        <v/>
      </c>
      <c r="E504" s="436" t="inlineStr">
        <is>
          <t>185/70R14-T-118</t>
        </is>
      </c>
      <c r="F504" s="436" t="n"/>
      <c r="G504" s="436" t="inlineStr">
        <is>
          <t>ID185/70R14PR[T-118]88T TRAZANO(全诺)无内</t>
        </is>
      </c>
      <c r="H504" s="434" t="n">
        <v>10000</v>
      </c>
      <c r="I504" s="434" t="n"/>
      <c r="J504" s="434" t="n"/>
      <c r="K504" s="434" t="n"/>
      <c r="L504" s="438" t="n"/>
      <c r="M504" s="438" t="n"/>
      <c r="N504" s="434" t="n"/>
      <c r="O504" s="434">
        <f>IFERROR(_xlfn.XLOOKUP(E504,轮胎重量!S:S,轮胎重量!P:P),IFERROR(_xlfn.XLOOKUP(E504,轮胎重量!AB:AB,轮胎重量!Y:Y),IFERROR(_xlfn.XLOOKUP(E504,轮胎重量!AK:AK,轮胎重量!AH:AH),IFERROR(_xlfn.XLOOKUP(E504,轮胎重量!AT:AT,轮胎重量!AQ:AQ),IFERROR(_xlfn.XLOOKUP(E504,轮胎重量!BB:BB,轮胎重量!AY:AY),"")))))</f>
        <v/>
      </c>
      <c r="P504" s="439">
        <f>14.15*O504</f>
        <v/>
      </c>
      <c r="Q504" s="434" t="n"/>
      <c r="R504" s="352" t="n">
        <v>280</v>
      </c>
      <c r="S504" s="352" t="n">
        <v>280</v>
      </c>
      <c r="T504" s="352" t="n">
        <v>280</v>
      </c>
      <c r="U504" s="352" t="n">
        <v>280</v>
      </c>
      <c r="V504" s="352" t="n">
        <v>280</v>
      </c>
      <c r="W504" s="352" t="n">
        <v>280</v>
      </c>
      <c r="X504" s="352" t="n">
        <v>280</v>
      </c>
      <c r="Y504" s="352" t="n">
        <v>280</v>
      </c>
      <c r="Z504" s="352" t="n">
        <v>280</v>
      </c>
      <c r="AA504" s="352" t="n">
        <v>280</v>
      </c>
      <c r="AB504" s="352" t="n">
        <v>280</v>
      </c>
      <c r="AC504" s="352" t="n">
        <v>280</v>
      </c>
      <c r="AD504" s="352" t="n">
        <v>280</v>
      </c>
      <c r="AE504" s="352" t="n">
        <v>280</v>
      </c>
      <c r="AF504" s="352" t="n">
        <v>280</v>
      </c>
      <c r="AG504" s="352" t="n">
        <v>280</v>
      </c>
      <c r="AH504" s="352" t="n">
        <v>280</v>
      </c>
      <c r="AI504" s="352" t="n">
        <v>280</v>
      </c>
      <c r="AJ504" s="352" t="n">
        <v>280</v>
      </c>
      <c r="AK504" s="352" t="n">
        <v>280</v>
      </c>
      <c r="AL504" s="352" t="n">
        <v>280</v>
      </c>
      <c r="AM504" s="352" t="n">
        <v>280</v>
      </c>
      <c r="AN504" s="352" t="n">
        <v>280</v>
      </c>
      <c r="AO504" s="352" t="n">
        <v>280</v>
      </c>
      <c r="AP504" s="352" t="n">
        <v>280</v>
      </c>
      <c r="AQ504" s="352" t="n">
        <v>280</v>
      </c>
      <c r="AR504" s="352" t="n">
        <v>280</v>
      </c>
      <c r="AS504" s="352" t="n">
        <v>280</v>
      </c>
      <c r="AT504" s="352" t="n">
        <v>280</v>
      </c>
      <c r="AU504" s="352" t="n">
        <v>280</v>
      </c>
      <c r="AV504" s="352" t="n">
        <v>280</v>
      </c>
      <c r="AW504" s="352">
        <f>IF(SUM(R504:AV504)=0,"",SUM(R504:AV504))</f>
        <v/>
      </c>
      <c r="AX504" s="431">
        <f>IFERROR(AW504*O504/1000,"")</f>
        <v/>
      </c>
      <c r="AY504" s="431">
        <f>IFERROR(ROUND(AW504*P504/10000,3),"")</f>
        <v/>
      </c>
      <c r="BC504" s="331" t="n"/>
      <c r="BD504" s="331" t="n"/>
      <c r="BE504" s="331" t="n"/>
      <c r="BF504" s="331" t="n"/>
      <c r="BG504" s="331" t="n"/>
      <c r="BH504" s="331" t="n"/>
      <c r="BI504" s="331" t="n"/>
      <c r="BJ504" s="356">
        <f t="array" ref="BJ504">SUMPRODUCT(IF(ISNUMBER(BJ380:BJ395),BJ380:BJ395,0),IF(ISERROR(BJ380:BJ395),0,1))</f>
        <v/>
      </c>
      <c r="BK504" s="356">
        <f t="array" ref="BK504">SUMPRODUCT(IF(ISNUMBER(BK380:BK395),BK380:BK395,0),IF(ISERROR(BK380:BK395),0,1))</f>
        <v/>
      </c>
      <c r="BL504" s="356">
        <f t="array" ref="BL504">SUMPRODUCT(IF(ISNUMBER(BL380:BL395),BL380:BL395,0),IF(ISERROR(BL380:BL395),0,1))</f>
        <v/>
      </c>
      <c r="BM504" s="356">
        <f t="array" ref="BM504">SUMPRODUCT(IF(ISNUMBER(BM380:BM395),BM380:BM395,0),IF(ISERROR(BM380:BM395),0,1))</f>
        <v/>
      </c>
      <c r="BN504" s="362">
        <f>SUM(BJ504:BM504)</f>
        <v/>
      </c>
      <c r="BO504" s="362" t="n">
        <v>42.79</v>
      </c>
      <c r="BP504" s="362" t="n">
        <v>44.13</v>
      </c>
      <c r="BQ504" s="362" t="n">
        <v>49.14</v>
      </c>
      <c r="BR504" s="362" t="n">
        <v>55.17</v>
      </c>
      <c r="BS504" s="367" t="inlineStr">
        <is>
          <t>半钢ST</t>
        </is>
      </c>
      <c r="BX504" s="367" t="inlineStr">
        <is>
          <t>半钢/半钢ST</t>
        </is>
      </c>
      <c r="BY504" s="362">
        <f>SUM(R504:X504)</f>
        <v/>
      </c>
      <c r="BZ504" s="362">
        <f>SUM(Y504:AE504)</f>
        <v/>
      </c>
      <c r="CA504" s="362">
        <f>SUM(AF504:AM504)</f>
        <v/>
      </c>
      <c r="CB504" s="362">
        <f>SUM(AN504:AV504)</f>
        <v/>
      </c>
      <c r="CD504" s="440" t="inlineStr">
        <is>
          <t>TIDAK ADA</t>
        </is>
      </c>
      <c r="CE504" s="362">
        <f>ROUND(BY504*$O504/1000,2)</f>
        <v/>
      </c>
      <c r="CF504" s="362">
        <f>ROUND(BZ504*$O504/1000,2)</f>
        <v/>
      </c>
      <c r="CG504" s="362">
        <f>ROUND(CA504*$O504/1000,2)</f>
        <v/>
      </c>
      <c r="CH504" s="362">
        <f>ROUND(CB504*$O504/1000,2)</f>
        <v/>
      </c>
      <c r="CI504" s="362">
        <f>SUM(CE504:CH504)</f>
        <v/>
      </c>
      <c r="CJ504" s="390" t="n"/>
      <c r="CK504" s="362">
        <f>IFERROR(ROUND(BY504*$P504,2),"")</f>
        <v/>
      </c>
      <c r="CL504" s="362">
        <f>IFERROR(ROUND(BZ504*$P504,2),"")</f>
        <v/>
      </c>
      <c r="CM504" s="362">
        <f>IFERROR(ROUND(CA504*$P504,2),"")</f>
        <v/>
      </c>
      <c r="CN504" s="362">
        <f>IFERROR(ROUND(CB504*$P504,2),"")</f>
        <v/>
      </c>
    </row>
    <row r="505" customFormat="1" s="362">
      <c r="A505" s="331" t="n"/>
      <c r="B505" s="352" t="inlineStr">
        <is>
          <t>巴西</t>
        </is>
      </c>
      <c r="C505" s="352" t="n">
        <v>14</v>
      </c>
      <c r="D505" s="352">
        <f>"半钢ST"&amp;C505&amp;"寸"</f>
        <v/>
      </c>
      <c r="E505" s="379" t="inlineStr">
        <is>
          <t>185/70R14-Z-108</t>
        </is>
      </c>
      <c r="F505" s="389" t="n"/>
      <c r="G505" s="389" t="inlineStr">
        <is>
          <t>ID185/70R14PR[Z-108]88T 西湖无内</t>
        </is>
      </c>
      <c r="H505" s="370" t="n">
        <v>8000</v>
      </c>
      <c r="I505" s="370" t="n"/>
      <c r="J505" s="352" t="n"/>
      <c r="K505" s="352" t="n"/>
      <c r="L505" s="430" t="n"/>
      <c r="M505" s="430" t="n"/>
      <c r="N505" s="352" t="n"/>
      <c r="O505" s="352">
        <f>IFERROR(_xlfn.XLOOKUP(E505,轮胎重量!S:S,轮胎重量!P:P),IFERROR(_xlfn.XLOOKUP(E505,轮胎重量!AB:AB,轮胎重量!Y:Y),IFERROR(_xlfn.XLOOKUP(E505,轮胎重量!AK:AK,轮胎重量!AH:AH),IFERROR(_xlfn.XLOOKUP(E505,轮胎重量!AT:AT,轮胎重量!AQ:AQ),IFERROR(_xlfn.XLOOKUP(E505,轮胎重量!BB:BB,轮胎重量!AY:AY),"")))))</f>
        <v/>
      </c>
      <c r="P505" s="358">
        <f>14.15*O505</f>
        <v/>
      </c>
      <c r="Q505" s="352" t="n"/>
      <c r="R505" s="352" t="n">
        <v>280</v>
      </c>
      <c r="S505" s="352" t="n">
        <v>280</v>
      </c>
      <c r="T505" s="352" t="n">
        <v>280</v>
      </c>
      <c r="U505" s="352" t="n">
        <v>280</v>
      </c>
      <c r="V505" s="352" t="n">
        <v>280</v>
      </c>
      <c r="W505" s="352" t="n">
        <v>280</v>
      </c>
      <c r="X505" s="352" t="n">
        <v>280</v>
      </c>
      <c r="Y505" s="352" t="n">
        <v>280</v>
      </c>
      <c r="Z505" s="352" t="n">
        <v>280</v>
      </c>
      <c r="AA505" s="352" t="n">
        <v>280</v>
      </c>
      <c r="AB505" s="352" t="n">
        <v>280</v>
      </c>
      <c r="AC505" s="352" t="n">
        <v>280</v>
      </c>
      <c r="AD505" s="352" t="n">
        <v>280</v>
      </c>
      <c r="AE505" s="352" t="n">
        <v>280</v>
      </c>
      <c r="AF505" s="352" t="n">
        <v>280</v>
      </c>
      <c r="AG505" s="352" t="n">
        <v>280</v>
      </c>
      <c r="AH505" s="352" t="n">
        <v>280</v>
      </c>
      <c r="AI505" s="352" t="n">
        <v>280</v>
      </c>
      <c r="AJ505" s="352" t="n">
        <v>280</v>
      </c>
      <c r="AK505" s="352" t="n">
        <v>280</v>
      </c>
      <c r="AL505" s="352" t="n">
        <v>280</v>
      </c>
      <c r="AM505" s="352" t="n">
        <v>280</v>
      </c>
      <c r="AN505" s="352" t="n">
        <v>280</v>
      </c>
      <c r="AO505" s="352" t="n">
        <v>280</v>
      </c>
      <c r="AP505" s="352" t="n">
        <v>280</v>
      </c>
      <c r="AQ505" s="352" t="n">
        <v>280</v>
      </c>
      <c r="AR505" s="352" t="n">
        <v>280</v>
      </c>
      <c r="AS505" s="352" t="n">
        <v>280</v>
      </c>
      <c r="AT505" s="352" t="n">
        <v>280</v>
      </c>
      <c r="AU505" s="352" t="n">
        <v>280</v>
      </c>
      <c r="AV505" s="352" t="n">
        <v>280</v>
      </c>
      <c r="AW505" s="352">
        <f>IF(SUM(R505:AV505)=0,"",SUM(R505:AV505))</f>
        <v/>
      </c>
      <c r="AX505" s="431">
        <f>IFERROR(AW505*O505/1000,"")</f>
        <v/>
      </c>
      <c r="AY505" s="431">
        <f>IFERROR(ROUND(AW505*P505/10000,3),"")</f>
        <v/>
      </c>
      <c r="BC505" s="331" t="n"/>
      <c r="BD505" s="331" t="n"/>
      <c r="BE505" s="331" t="n"/>
      <c r="BF505" s="331" t="n"/>
      <c r="BG505" s="331" t="n"/>
      <c r="BH505" s="331" t="n"/>
      <c r="BI505" s="331" t="n"/>
      <c r="BJ505" s="356">
        <f t="array" ref="BJ505">SUMPRODUCT(IF(ISNUMBER(BJ380:BJ395),BJ380:BJ395,0),IF(ISERROR(BJ380:BJ395),0,1))</f>
        <v/>
      </c>
      <c r="BK505" s="356">
        <f t="array" ref="BK505">SUMPRODUCT(IF(ISNUMBER(BK380:BK395),BK380:BK395,0),IF(ISERROR(BK380:BK395),0,1))</f>
        <v/>
      </c>
      <c r="BL505" s="356">
        <f t="array" ref="BL505">SUMPRODUCT(IF(ISNUMBER(BL380:BL395),BL380:BL395,0),IF(ISERROR(BL380:BL395),0,1))</f>
        <v/>
      </c>
      <c r="BM505" s="356">
        <f t="array" ref="BM505">SUMPRODUCT(IF(ISNUMBER(BM380:BM395),BM380:BM395,0),IF(ISERROR(BM380:BM395),0,1))</f>
        <v/>
      </c>
      <c r="BN505" s="362">
        <f>SUM(BJ505:BM505)</f>
        <v/>
      </c>
      <c r="BO505" s="362" t="n">
        <v>42.79</v>
      </c>
      <c r="BP505" s="362" t="n">
        <v>44.13</v>
      </c>
      <c r="BQ505" s="362" t="n">
        <v>49.14</v>
      </c>
      <c r="BR505" s="362" t="n">
        <v>55.17</v>
      </c>
      <c r="BS505" s="367" t="inlineStr">
        <is>
          <t>半钢ST</t>
        </is>
      </c>
      <c r="BX505" s="367" t="inlineStr">
        <is>
          <t>半钢/半钢ST</t>
        </is>
      </c>
      <c r="BY505" s="362">
        <f>SUM(R505:X505)</f>
        <v/>
      </c>
      <c r="BZ505" s="362">
        <f>SUM(Y505:AE505)</f>
        <v/>
      </c>
      <c r="CA505" s="362">
        <f>SUM(AF505:AM505)</f>
        <v/>
      </c>
      <c r="CB505" s="362">
        <f>SUM(AN505:AV505)</f>
        <v/>
      </c>
      <c r="CD505" s="432" t="inlineStr">
        <is>
          <t>ADA</t>
        </is>
      </c>
      <c r="CE505" s="362">
        <f>ROUND(BY505*$O505/1000,2)</f>
        <v/>
      </c>
      <c r="CF505" s="362">
        <f>ROUND(BZ505*$O505/1000,2)</f>
        <v/>
      </c>
      <c r="CG505" s="362">
        <f>ROUND(CA505*$O505/1000,2)</f>
        <v/>
      </c>
      <c r="CH505" s="362">
        <f>ROUND(CB505*$O505/1000,2)</f>
        <v/>
      </c>
      <c r="CI505" s="362">
        <f>SUM(CE505:CH505)</f>
        <v/>
      </c>
      <c r="CJ505" s="390" t="n"/>
      <c r="CK505" s="362">
        <f>IFERROR(ROUND(BY505*$P505,2),"")</f>
        <v/>
      </c>
      <c r="CL505" s="362">
        <f>IFERROR(ROUND(BZ505*$P505,2),"")</f>
        <v/>
      </c>
      <c r="CM505" s="362">
        <f>IFERROR(ROUND(CA505*$P505,2),"")</f>
        <v/>
      </c>
      <c r="CN505" s="362">
        <f>IFERROR(ROUND(CB505*$P505,2),"")</f>
        <v/>
      </c>
      <c r="CO505" s="362">
        <f>SUM(CK505:CN505)</f>
        <v/>
      </c>
    </row>
    <row r="506" customFormat="1" s="362">
      <c r="A506" s="433" t="n"/>
      <c r="B506" s="434" t="inlineStr">
        <is>
          <t>巴西</t>
        </is>
      </c>
      <c r="C506" s="434">
        <f>IFERROR(MID(E506,FIND("-",E506)-2,2),"")</f>
        <v/>
      </c>
      <c r="D506" s="434">
        <f>"半钢ST"&amp;C506&amp;"寸"</f>
        <v/>
      </c>
      <c r="E506" s="436" t="inlineStr">
        <is>
          <t>175/70R14-T-118</t>
        </is>
      </c>
      <c r="F506" s="436" t="n"/>
      <c r="G506" s="436" t="inlineStr">
        <is>
          <t>ID175/70R14PR[T-118]84T TRAZANO(全诺)无内</t>
        </is>
      </c>
      <c r="H506" s="434" t="n">
        <v>25000</v>
      </c>
      <c r="I506" s="434" t="n"/>
      <c r="J506" s="434" t="n"/>
      <c r="K506" s="434" t="n"/>
      <c r="L506" s="438" t="n"/>
      <c r="M506" s="438" t="n"/>
      <c r="N506" s="434" t="n"/>
      <c r="O506" s="434">
        <f>IFERROR(_xlfn.XLOOKUP(E506,轮胎重量!S:S,轮胎重量!P:P),IFERROR(_xlfn.XLOOKUP(E506,轮胎重量!AB:AB,轮胎重量!Y:Y),IFERROR(_xlfn.XLOOKUP(E506,轮胎重量!AK:AK,轮胎重量!AH:AH),IFERROR(_xlfn.XLOOKUP(E506,轮胎重量!AT:AT,轮胎重量!AQ:AQ),IFERROR(_xlfn.XLOOKUP(E506,轮胎重量!BB:BB,轮胎重量!AY:AY),"")))))</f>
        <v/>
      </c>
      <c r="P506" s="439">
        <f>14.15*O506</f>
        <v/>
      </c>
      <c r="Q506" s="434" t="n"/>
      <c r="R506" s="352" t="n">
        <v>280</v>
      </c>
      <c r="S506" s="352" t="n">
        <v>280</v>
      </c>
      <c r="T506" s="352" t="n">
        <v>280</v>
      </c>
      <c r="U506" s="352" t="n">
        <v>280</v>
      </c>
      <c r="V506" s="352" t="n">
        <v>280</v>
      </c>
      <c r="W506" s="352" t="n">
        <v>280</v>
      </c>
      <c r="X506" s="352" t="n">
        <v>280</v>
      </c>
      <c r="Y506" s="352" t="n">
        <v>280</v>
      </c>
      <c r="Z506" s="352" t="n">
        <v>280</v>
      </c>
      <c r="AA506" s="352" t="n">
        <v>280</v>
      </c>
      <c r="AB506" s="352" t="n">
        <v>280</v>
      </c>
      <c r="AC506" s="352" t="n">
        <v>280</v>
      </c>
      <c r="AD506" s="352" t="n">
        <v>280</v>
      </c>
      <c r="AE506" s="352" t="n">
        <v>280</v>
      </c>
      <c r="AF506" s="352" t="n">
        <v>280</v>
      </c>
      <c r="AG506" s="352" t="n">
        <v>280</v>
      </c>
      <c r="AH506" s="352" t="n">
        <v>280</v>
      </c>
      <c r="AI506" s="352" t="n">
        <v>280</v>
      </c>
      <c r="AJ506" s="352" t="n">
        <v>280</v>
      </c>
      <c r="AK506" s="352" t="n">
        <v>280</v>
      </c>
      <c r="AL506" s="352" t="n">
        <v>280</v>
      </c>
      <c r="AM506" s="352" t="n">
        <v>280</v>
      </c>
      <c r="AN506" s="352" t="n">
        <v>280</v>
      </c>
      <c r="AO506" s="352" t="n">
        <v>280</v>
      </c>
      <c r="AP506" s="352" t="n">
        <v>280</v>
      </c>
      <c r="AQ506" s="352" t="n">
        <v>280</v>
      </c>
      <c r="AR506" s="352" t="n">
        <v>280</v>
      </c>
      <c r="AS506" s="352" t="n">
        <v>280</v>
      </c>
      <c r="AT506" s="352" t="n">
        <v>280</v>
      </c>
      <c r="AU506" s="352" t="n">
        <v>280</v>
      </c>
      <c r="AV506" s="352" t="n">
        <v>280</v>
      </c>
      <c r="AW506" s="352">
        <f>IF(SUM(R506:AV506)=0,"",SUM(R506:AV506))</f>
        <v/>
      </c>
      <c r="AX506" s="431">
        <f>IFERROR(AW506*O506/1000,"")</f>
        <v/>
      </c>
      <c r="AY506" s="431">
        <f>IFERROR(ROUND(AW506*P506/10000,3),"")</f>
        <v/>
      </c>
      <c r="BC506" s="331" t="n"/>
      <c r="BD506" s="331" t="n"/>
      <c r="BE506" s="331" t="n"/>
      <c r="BF506" s="331" t="n"/>
      <c r="BG506" s="331" t="n"/>
      <c r="BH506" s="331" t="n"/>
      <c r="BI506" s="331" t="n"/>
      <c r="BJ506" s="356">
        <f t="array" ref="BJ506">SUMPRODUCT(IF(ISNUMBER(BJ381:BJ396),BJ381:BJ396,0),IF(ISERROR(BJ381:BJ396),0,1))</f>
        <v/>
      </c>
      <c r="BK506" s="356">
        <f t="array" ref="BK506">SUMPRODUCT(IF(ISNUMBER(BK381:BK396),BK381:BK396,0),IF(ISERROR(BK381:BK396),0,1))</f>
        <v/>
      </c>
      <c r="BL506" s="356">
        <f t="array" ref="BL506">SUMPRODUCT(IF(ISNUMBER(BL381:BL396),BL381:BL396,0),IF(ISERROR(BL381:BL396),0,1))</f>
        <v/>
      </c>
      <c r="BM506" s="356">
        <f t="array" ref="BM506">SUMPRODUCT(IF(ISNUMBER(BM381:BM396),BM381:BM396,0),IF(ISERROR(BM381:BM396),0,1))</f>
        <v/>
      </c>
      <c r="BN506" s="362">
        <f>SUM(BJ506:BM506)</f>
        <v/>
      </c>
      <c r="BO506" s="362" t="n">
        <v>42.79</v>
      </c>
      <c r="BP506" s="362" t="n">
        <v>44.13</v>
      </c>
      <c r="BQ506" s="362" t="n">
        <v>49.14</v>
      </c>
      <c r="BR506" s="362" t="n">
        <v>55.17</v>
      </c>
      <c r="BS506" s="367" t="inlineStr">
        <is>
          <t>半钢ST</t>
        </is>
      </c>
      <c r="BX506" s="367" t="inlineStr">
        <is>
          <t>半钢/半钢ST</t>
        </is>
      </c>
      <c r="BY506" s="362">
        <f>SUM(R506:X506)</f>
        <v/>
      </c>
      <c r="BZ506" s="362">
        <f>SUM(Y506:AE506)</f>
        <v/>
      </c>
      <c r="CA506" s="362">
        <f>SUM(AF506:AM506)</f>
        <v/>
      </c>
      <c r="CB506" s="362">
        <f>SUM(AN506:AV506)</f>
        <v/>
      </c>
      <c r="CD506" s="440" t="inlineStr">
        <is>
          <t>TIDAK ADA</t>
        </is>
      </c>
      <c r="CE506" s="362">
        <f>ROUND(BY506*$O506/1000,2)</f>
        <v/>
      </c>
      <c r="CF506" s="362">
        <f>ROUND(BZ506*$O506/1000,2)</f>
        <v/>
      </c>
      <c r="CG506" s="362">
        <f>ROUND(CA506*$O506/1000,2)</f>
        <v/>
      </c>
      <c r="CH506" s="362">
        <f>ROUND(CB506*$O506/1000,2)</f>
        <v/>
      </c>
      <c r="CI506" s="362">
        <f>SUM(CE506:CH506)</f>
        <v/>
      </c>
      <c r="CJ506" s="390" t="n"/>
      <c r="CK506" s="362">
        <f>IFERROR(ROUND(BY506*$P506,2),"")</f>
        <v/>
      </c>
      <c r="CL506" s="362">
        <f>IFERROR(ROUND(BZ506*$P506,2),"")</f>
        <v/>
      </c>
      <c r="CM506" s="362">
        <f>IFERROR(ROUND(CA506*$P506,2),"")</f>
        <v/>
      </c>
      <c r="CN506" s="362">
        <f>IFERROR(ROUND(CB506*$P506,2),"")</f>
        <v/>
      </c>
      <c r="CO506" s="362">
        <f>SUM(CK506:CN506)</f>
        <v/>
      </c>
    </row>
    <row r="507" customFormat="1" s="362">
      <c r="A507" s="331" t="n"/>
      <c r="B507" s="352" t="inlineStr">
        <is>
          <t>巴西</t>
        </is>
      </c>
      <c r="C507" s="352">
        <f>IFERROR(MID(E507,FIND("-",E507)-2,2),"")</f>
        <v/>
      </c>
      <c r="D507" s="352">
        <f>"半钢ST"&amp;C507&amp;"寸"</f>
        <v/>
      </c>
      <c r="E507" s="379" t="inlineStr">
        <is>
          <t>175/70R14-Z-108</t>
        </is>
      </c>
      <c r="F507" s="389" t="n"/>
      <c r="G507" s="389" t="inlineStr">
        <is>
          <t>ID175/70R14PR[Z-108]84T 西湖无内</t>
        </is>
      </c>
      <c r="H507" s="370" t="n">
        <v>27000</v>
      </c>
      <c r="I507" s="370" t="n"/>
      <c r="J507" s="352" t="n"/>
      <c r="K507" s="352" t="n"/>
      <c r="L507" s="430" t="n"/>
      <c r="M507" s="430" t="n"/>
      <c r="N507" s="352" t="n"/>
      <c r="O507" s="352">
        <f>IFERROR(_xlfn.XLOOKUP(E507,轮胎重量!S:S,轮胎重量!P:P),IFERROR(_xlfn.XLOOKUP(E507,轮胎重量!AB:AB,轮胎重量!Y:Y),IFERROR(_xlfn.XLOOKUP(E507,轮胎重量!AK:AK,轮胎重量!AH:AH),IFERROR(_xlfn.XLOOKUP(E507,轮胎重量!AT:AT,轮胎重量!AQ:AQ),IFERROR(_xlfn.XLOOKUP(E507,轮胎重量!BB:BB,轮胎重量!AY:AY),"")))))</f>
        <v/>
      </c>
      <c r="P507" s="358">
        <f>14.15*O507</f>
        <v/>
      </c>
      <c r="Q507" s="352" t="n"/>
      <c r="R507" s="352" t="n">
        <v>280</v>
      </c>
      <c r="S507" s="352" t="n">
        <v>280</v>
      </c>
      <c r="T507" s="352" t="n">
        <v>280</v>
      </c>
      <c r="U507" s="352" t="n">
        <v>280</v>
      </c>
      <c r="V507" s="352" t="n">
        <v>280</v>
      </c>
      <c r="W507" s="352" t="n">
        <v>280</v>
      </c>
      <c r="X507" s="352" t="n">
        <v>280</v>
      </c>
      <c r="Y507" s="352" t="n">
        <v>280</v>
      </c>
      <c r="Z507" s="352" t="n">
        <v>280</v>
      </c>
      <c r="AA507" s="352" t="n">
        <v>280</v>
      </c>
      <c r="AB507" s="352" t="n">
        <v>280</v>
      </c>
      <c r="AC507" s="352" t="n">
        <v>280</v>
      </c>
      <c r="AD507" s="352" t="n">
        <v>280</v>
      </c>
      <c r="AE507" s="352" t="n">
        <v>280</v>
      </c>
      <c r="AF507" s="352" t="n">
        <v>280</v>
      </c>
      <c r="AG507" s="352" t="n">
        <v>280</v>
      </c>
      <c r="AH507" s="352" t="n">
        <v>280</v>
      </c>
      <c r="AI507" s="352" t="n">
        <v>280</v>
      </c>
      <c r="AJ507" s="352" t="n">
        <v>280</v>
      </c>
      <c r="AK507" s="352" t="n">
        <v>280</v>
      </c>
      <c r="AL507" s="352" t="n">
        <v>280</v>
      </c>
      <c r="AM507" s="352" t="n">
        <v>280</v>
      </c>
      <c r="AN507" s="352" t="n">
        <v>280</v>
      </c>
      <c r="AO507" s="352" t="n">
        <v>280</v>
      </c>
      <c r="AP507" s="352" t="n">
        <v>280</v>
      </c>
      <c r="AQ507" s="352" t="n">
        <v>280</v>
      </c>
      <c r="AR507" s="352" t="n">
        <v>280</v>
      </c>
      <c r="AS507" s="352" t="n">
        <v>280</v>
      </c>
      <c r="AT507" s="352" t="n">
        <v>280</v>
      </c>
      <c r="AU507" s="352" t="n">
        <v>280</v>
      </c>
      <c r="AV507" s="352" t="n">
        <v>280</v>
      </c>
      <c r="AW507" s="352">
        <f>IF(SUM(R507:AV507)=0,"",SUM(R507:AV507))</f>
        <v/>
      </c>
      <c r="AX507" s="431">
        <f>IFERROR(AW507*O507/1000,"")</f>
        <v/>
      </c>
      <c r="AY507" s="431">
        <f>IFERROR(ROUND(AW507*P507/10000,3),"")</f>
        <v/>
      </c>
      <c r="BC507" s="331" t="n"/>
      <c r="BD507" s="331" t="n"/>
      <c r="BE507" s="331" t="n"/>
      <c r="BF507" s="331" t="n"/>
      <c r="BG507" s="331" t="n"/>
      <c r="BH507" s="331" t="n"/>
      <c r="BI507" s="331" t="n"/>
      <c r="BJ507" s="356">
        <f t="array" ref="BJ507">SUMPRODUCT(IF(ISNUMBER(BJ379:BJ391),BJ379:BJ391,0),IF(ISERROR(BJ379:BJ391),0,1))</f>
        <v/>
      </c>
      <c r="BK507" s="356">
        <f t="array" ref="BK507">SUMPRODUCT(IF(ISNUMBER(BK379:BK391),BK379:BK391,0),IF(ISERROR(BK379:BK391),0,1))</f>
        <v/>
      </c>
      <c r="BL507" s="356">
        <f t="array" ref="BL507">SUMPRODUCT(IF(ISNUMBER(BL379:BL391),BL379:BL391,0),IF(ISERROR(BL379:BL391),0,1))</f>
        <v/>
      </c>
      <c r="BM507" s="356">
        <f t="array" ref="BM507">SUMPRODUCT(IF(ISNUMBER(BM379:BM391),BM379:BM391,0),IF(ISERROR(BM379:BM391),0,1))</f>
        <v/>
      </c>
      <c r="BN507" s="362">
        <f>SUM(BJ507:BM507)</f>
        <v/>
      </c>
      <c r="BO507" s="362" t="n">
        <v>42.79</v>
      </c>
      <c r="BP507" s="362" t="n">
        <v>44.13</v>
      </c>
      <c r="BQ507" s="362" t="n">
        <v>49.14</v>
      </c>
      <c r="BR507" s="362" t="n">
        <v>55.17</v>
      </c>
      <c r="BS507" s="367" t="inlineStr">
        <is>
          <t>半钢ST</t>
        </is>
      </c>
      <c r="BX507" s="367" t="inlineStr">
        <is>
          <t>半钢/半钢ST</t>
        </is>
      </c>
      <c r="BY507" s="362">
        <f>SUM(R507:X507)</f>
        <v/>
      </c>
      <c r="BZ507" s="362">
        <f>SUM(Y507:AE507)</f>
        <v/>
      </c>
      <c r="CA507" s="362">
        <f>SUM(AF507:AM507)</f>
        <v/>
      </c>
      <c r="CB507" s="362">
        <f>SUM(AN507:AV507)</f>
        <v/>
      </c>
      <c r="CD507" s="432" t="inlineStr">
        <is>
          <t>ADA</t>
        </is>
      </c>
      <c r="CE507" s="362">
        <f>ROUND(BY507*$O507/1000,2)</f>
        <v/>
      </c>
      <c r="CF507" s="362">
        <f>ROUND(BZ507*$O507/1000,2)</f>
        <v/>
      </c>
      <c r="CG507" s="362">
        <f>ROUND(CA507*$O507/1000,2)</f>
        <v/>
      </c>
      <c r="CH507" s="362">
        <f>ROUND(CB507*$O507/1000,2)</f>
        <v/>
      </c>
      <c r="CI507" s="362">
        <f>SUM(CE507:CH507)</f>
        <v/>
      </c>
      <c r="CJ507" s="390" t="n"/>
      <c r="CK507" s="362">
        <f>IFERROR(ROUND(BY507*$P507,2),"")</f>
        <v/>
      </c>
      <c r="CL507" s="362">
        <f>IFERROR(ROUND(BZ507*$P507,2),"")</f>
        <v/>
      </c>
      <c r="CM507" s="362">
        <f>IFERROR(ROUND(CA507*$P507,2),"")</f>
        <v/>
      </c>
      <c r="CN507" s="362">
        <f>IFERROR(ROUND(CB507*$P507,2),"")</f>
        <v/>
      </c>
    </row>
    <row r="508" hidden="1" ht="15" customFormat="1" customHeight="1" s="362">
      <c r="A508" s="331" t="n"/>
      <c r="B508" s="352" t="n"/>
      <c r="C508" s="352">
        <f>IFERROR(MID(E508,FIND("-",E508)-2,2),"")</f>
        <v/>
      </c>
      <c r="D508" s="352">
        <f>"半钢ST"&amp;C508&amp;"寸"</f>
        <v/>
      </c>
      <c r="E508" s="379" t="n"/>
      <c r="F508" s="389" t="n"/>
      <c r="G508" s="389" t="n"/>
      <c r="H508" s="370" t="n"/>
      <c r="I508" s="370" t="n"/>
      <c r="J508" s="352" t="n"/>
      <c r="K508" s="352" t="n"/>
      <c r="L508" s="430">
        <f>IF(J507="","",J507/(J507+$L$175/60))</f>
        <v/>
      </c>
      <c r="M508" s="430" t="n"/>
      <c r="N508" s="352" t="n"/>
      <c r="O508" s="352">
        <f>IFERROR(_xlfn.XLOOKUP(E508,轮胎重量!S:S,轮胎重量!P:P),IFERROR(_xlfn.XLOOKUP(E508,轮胎重量!AB:AB,轮胎重量!Y:Y),IFERROR(_xlfn.XLOOKUP(E508,轮胎重量!AK:AK,轮胎重量!AH:AH),IFERROR(_xlfn.XLOOKUP(E508,轮胎重量!AT:AT,轮胎重量!AQ:AQ),IFERROR(_xlfn.XLOOKUP(E508,轮胎重量!BB:BB,轮胎重量!AY:AY),"")))))</f>
        <v/>
      </c>
      <c r="P508" s="358">
        <f>14.15*O508</f>
        <v/>
      </c>
      <c r="Q508" s="352" t="n"/>
      <c r="R508" s="352" t="n"/>
      <c r="S508" s="352" t="n"/>
      <c r="T508" s="352" t="n"/>
      <c r="U508" s="352" t="n"/>
      <c r="V508" s="352" t="n"/>
      <c r="W508" s="352" t="n"/>
      <c r="X508" s="352" t="n"/>
      <c r="Y508" s="352" t="n"/>
      <c r="Z508" s="352" t="n"/>
      <c r="AA508" s="352" t="n"/>
      <c r="AB508" s="352" t="n"/>
      <c r="AC508" s="352" t="n"/>
      <c r="AD508" s="352" t="n"/>
      <c r="AE508" s="352" t="n"/>
      <c r="AF508" s="352" t="n"/>
      <c r="AG508" s="352" t="n"/>
      <c r="AH508" s="352" t="n"/>
      <c r="AI508" s="352" t="n"/>
      <c r="AJ508" s="352" t="n"/>
      <c r="AK508" s="352" t="n"/>
      <c r="AL508" s="352" t="n"/>
      <c r="AM508" s="352" t="n"/>
      <c r="AN508" s="352" t="n"/>
      <c r="AO508" s="352" t="n"/>
      <c r="AP508" s="352" t="n"/>
      <c r="AQ508" s="352" t="n"/>
      <c r="AR508" s="352" t="n"/>
      <c r="AS508" s="352" t="n"/>
      <c r="AT508" s="352" t="n"/>
      <c r="AU508" s="352" t="n"/>
      <c r="AV508" s="352" t="n"/>
      <c r="AW508" s="352">
        <f>IF(SUM(R508:AV508)=0,"",SUM(R508:AV508))</f>
        <v/>
      </c>
      <c r="AX508" s="431">
        <f>IFERROR(AW508*O508/1000,"")</f>
        <v/>
      </c>
      <c r="AY508" s="431">
        <f>IFERROR(ROUND(AW508*P508/10000,3),"")</f>
        <v/>
      </c>
      <c r="BC508" s="331" t="n"/>
      <c r="BD508" s="331" t="n"/>
      <c r="BE508" s="331" t="n"/>
      <c r="BF508" s="331" t="n"/>
      <c r="BG508" s="331" t="n"/>
      <c r="BH508" s="331" t="n"/>
      <c r="BI508" s="331" t="n"/>
      <c r="BJ508" s="356">
        <f t="array" ref="BJ508">SUMPRODUCT(IF(ISNUMBER(BJ378:BJ390),BJ378:BJ390,0),IF(ISERROR(BJ378:BJ390),0,1))</f>
        <v/>
      </c>
      <c r="BK508" s="356">
        <f t="array" ref="BK508">SUMPRODUCT(IF(ISNUMBER(BK378:BK390),BK378:BK390,0),IF(ISERROR(BK378:BK390),0,1))</f>
        <v/>
      </c>
      <c r="BL508" s="356">
        <f t="array" ref="BL508">SUMPRODUCT(IF(ISNUMBER(BL378:BL390),BL378:BL390,0),IF(ISERROR(BL378:BL390),0,1))</f>
        <v/>
      </c>
      <c r="BM508" s="356">
        <f t="array" ref="BM508">SUMPRODUCT(IF(ISNUMBER(BM378:BM390),BM378:BM390,0),IF(ISERROR(BM378:BM390),0,1))</f>
        <v/>
      </c>
      <c r="BN508" s="362">
        <f>SUM(BJ508:BM508)</f>
        <v/>
      </c>
      <c r="BO508" s="362" t="n">
        <v>42.79</v>
      </c>
      <c r="BP508" s="362" t="n">
        <v>44.13</v>
      </c>
      <c r="BQ508" s="362" t="n">
        <v>49.14</v>
      </c>
      <c r="BR508" s="362" t="n">
        <v>55.17</v>
      </c>
      <c r="BS508" s="367" t="inlineStr">
        <is>
          <t>半钢ST</t>
        </is>
      </c>
      <c r="BX508" s="367" t="inlineStr">
        <is>
          <t>半钢/半钢ST</t>
        </is>
      </c>
      <c r="BY508" s="362">
        <f>SUM(R508:X508)</f>
        <v/>
      </c>
      <c r="BZ508" s="362">
        <f>SUM(Y508:AE508)</f>
        <v/>
      </c>
      <c r="CA508" s="362">
        <f>SUM(AF508:AM508)</f>
        <v/>
      </c>
      <c r="CB508" s="362">
        <f>SUM(AN508:AV508)</f>
        <v/>
      </c>
      <c r="CD508" s="390" t="n"/>
      <c r="CE508" s="362">
        <f>ROUND(BY508*$O508/1000,2)</f>
        <v/>
      </c>
      <c r="CF508" s="362">
        <f>ROUND(BZ508*$O508/1000,2)</f>
        <v/>
      </c>
      <c r="CG508" s="362">
        <f>ROUND(CA508*$O508/1000,2)</f>
        <v/>
      </c>
      <c r="CH508" s="362">
        <f>ROUND(CB508*$O508/1000,2)</f>
        <v/>
      </c>
      <c r="CI508" s="362">
        <f>SUM(CE508:CH508)</f>
        <v/>
      </c>
      <c r="CJ508" s="390" t="n"/>
      <c r="CK508" s="362">
        <f>IFERROR(ROUND(BY508*$P508,2),"")</f>
        <v/>
      </c>
      <c r="CL508" s="362">
        <f>IFERROR(ROUND(BZ508*$P508,2),"")</f>
        <v/>
      </c>
      <c r="CM508" s="362">
        <f>IFERROR(ROUND(CA508*$P508,2),"")</f>
        <v/>
      </c>
      <c r="CN508" s="362">
        <f>IFERROR(ROUND(CB508*$P508,2),"")</f>
        <v/>
      </c>
      <c r="CO508" s="362">
        <f>SUM(CK508:CN508)</f>
        <v/>
      </c>
    </row>
    <row r="509" customFormat="1" s="362">
      <c r="A509" s="331" t="n"/>
      <c r="B509" s="352" t="inlineStr">
        <is>
          <t>美国</t>
        </is>
      </c>
      <c r="C509" s="352">
        <f>IFERROR(MID(E509,FIND("-",E509)-2,2),"")</f>
        <v/>
      </c>
      <c r="D509" s="352">
        <f>"半钢ST"&amp;C509&amp;"寸"</f>
        <v/>
      </c>
      <c r="E509" s="379">
        <f>LEFT(REPLACE(G509,1,2,""),FIND("[",REPLACE(G509,1,2,""))-1)&amp;"-"&amp;MID(REPLACE(G509,1,2,""),FIND("[",REPLACE(G509,1,2,""))+1,FIND("]",REPLACE(G509,1,2,""))-FIND("[",REPLACE(G509,1,2,""))-1)</f>
        <v/>
      </c>
      <c r="F509" s="389" t="inlineStr">
        <is>
          <t>IDST175/80R13-6PR[ST100]91/87M 西湖无内</t>
        </is>
      </c>
      <c r="G509" s="389" t="inlineStr">
        <is>
          <t>IDST175/80R13-6PR[ST100]91/87M 西湖无内</t>
        </is>
      </c>
      <c r="H509" s="370" t="n"/>
      <c r="I509" s="370" t="n"/>
      <c r="J509" s="352" t="n"/>
      <c r="K509" s="352" t="n"/>
      <c r="L509" s="430">
        <f>IF(J497="","",J497/(J497+$L$175/60))</f>
        <v/>
      </c>
      <c r="M509" s="430" t="n"/>
      <c r="N509" s="352" t="n"/>
      <c r="O509" s="352">
        <f>IFERROR(_xlfn.XLOOKUP(E509,轮胎重量!S:S,轮胎重量!P:P),IFERROR(_xlfn.XLOOKUP(E509,轮胎重量!AB:AB,轮胎重量!Y:Y),IFERROR(_xlfn.XLOOKUP(E509,轮胎重量!AK:AK,轮胎重量!AH:AH),IFERROR(_xlfn.XLOOKUP(E509,轮胎重量!AT:AT,轮胎重量!AQ:AQ),IFERROR(_xlfn.XLOOKUP(E509,轮胎重量!BB:BB,轮胎重量!AY:AY),"")))))</f>
        <v/>
      </c>
      <c r="P509" s="358">
        <f>O509*15.16</f>
        <v/>
      </c>
      <c r="Q509" s="352" t="n"/>
      <c r="R509" s="352" t="n">
        <v>150</v>
      </c>
      <c r="S509" s="352" t="n">
        <v>150</v>
      </c>
      <c r="T509" s="352" t="n">
        <v>150</v>
      </c>
      <c r="U509" s="352" t="n">
        <v>150</v>
      </c>
      <c r="V509" s="352" t="n">
        <v>150</v>
      </c>
      <c r="W509" s="352" t="n">
        <v>150</v>
      </c>
      <c r="X509" s="352" t="n">
        <v>150</v>
      </c>
      <c r="Y509" s="352" t="n">
        <v>150</v>
      </c>
      <c r="Z509" s="352" t="n">
        <v>150</v>
      </c>
      <c r="AA509" s="352" t="n">
        <v>150</v>
      </c>
      <c r="AB509" s="352" t="n">
        <v>150</v>
      </c>
      <c r="AC509" s="352" t="n">
        <v>150</v>
      </c>
      <c r="AD509" s="352" t="n">
        <v>150</v>
      </c>
      <c r="AE509" s="352" t="n">
        <v>150</v>
      </c>
      <c r="AF509" s="352" t="n">
        <v>150</v>
      </c>
      <c r="AG509" s="352" t="n">
        <v>150</v>
      </c>
      <c r="AH509" s="352" t="n">
        <v>150</v>
      </c>
      <c r="AI509" s="352" t="n">
        <v>150</v>
      </c>
      <c r="AJ509" s="352" t="n">
        <v>150</v>
      </c>
      <c r="AK509" s="352" t="n">
        <v>150</v>
      </c>
      <c r="AL509" s="352" t="n">
        <v>150</v>
      </c>
      <c r="AM509" s="352" t="n">
        <v>150</v>
      </c>
      <c r="AN509" s="352" t="n">
        <v>150</v>
      </c>
      <c r="AO509" s="352" t="n">
        <v>150</v>
      </c>
      <c r="AP509" s="352" t="n">
        <v>150</v>
      </c>
      <c r="AQ509" s="352" t="n">
        <v>150</v>
      </c>
      <c r="AR509" s="352" t="n">
        <v>150</v>
      </c>
      <c r="AS509" s="352" t="n">
        <v>150</v>
      </c>
      <c r="AT509" s="352" t="n">
        <v>150</v>
      </c>
      <c r="AU509" s="352" t="n">
        <v>150</v>
      </c>
      <c r="AV509" s="352" t="n">
        <v>150</v>
      </c>
      <c r="AW509" s="352">
        <f>IF(SUM(R509:AV509)=0,"",SUM(R509:AV509))</f>
        <v/>
      </c>
      <c r="AX509" s="431">
        <f>IFERROR(AW509*O509/1000,"")</f>
        <v/>
      </c>
      <c r="AY509" s="431">
        <f>IFERROR(ROUND(AW509*P509/10000,3),"")</f>
        <v/>
      </c>
      <c r="BC509" s="331" t="n"/>
      <c r="BD509" s="331" t="n"/>
      <c r="BE509" s="331" t="n"/>
      <c r="BF509" s="331" t="n"/>
      <c r="BG509" s="331" t="n"/>
      <c r="BH509" s="331" t="n"/>
      <c r="BI509" s="331" t="n"/>
      <c r="BJ509" s="356">
        <f t="array" ref="BJ509">SUMPRODUCT(IF(ISNUMBER(BJ368:BJ380),BJ368:BJ380,0),IF(ISERROR(BJ368:BJ380),0,1))</f>
        <v/>
      </c>
      <c r="BK509" s="356">
        <f t="array" ref="BK509">SUMPRODUCT(IF(ISNUMBER(BK368:BK380),BK368:BK380,0),IF(ISERROR(BK368:BK380),0,1))</f>
        <v/>
      </c>
      <c r="BL509" s="356">
        <f t="array" ref="BL509">SUMPRODUCT(IF(ISNUMBER(BL368:BL380),BL368:BL380,0),IF(ISERROR(BL368:BL380),0,1))</f>
        <v/>
      </c>
      <c r="BM509" s="356">
        <f t="array" ref="BM509">SUMPRODUCT(IF(ISNUMBER(BM368:BM380),BM368:BM380,0),IF(ISERROR(BM368:BM380),0,1))</f>
        <v/>
      </c>
      <c r="BN509" s="362">
        <f>SUM(BJ509:BM509)</f>
        <v/>
      </c>
      <c r="BO509" s="362" t="n">
        <v>42.79</v>
      </c>
      <c r="BP509" s="362" t="n">
        <v>44.13</v>
      </c>
      <c r="BQ509" s="362" t="n">
        <v>49.14</v>
      </c>
      <c r="BR509" s="362" t="n">
        <v>55.17</v>
      </c>
      <c r="BS509" s="367" t="inlineStr">
        <is>
          <t>半钢ST</t>
        </is>
      </c>
      <c r="BX509" s="367" t="inlineStr">
        <is>
          <t>半钢/半钢ST</t>
        </is>
      </c>
      <c r="BY509" s="362">
        <f>SUM(R509:X509)</f>
        <v/>
      </c>
      <c r="BZ509" s="362">
        <f>SUM(Y509:AE509)</f>
        <v/>
      </c>
      <c r="CA509" s="362">
        <f>SUM(AF509:AM509)</f>
        <v/>
      </c>
      <c r="CB509" s="362">
        <f>SUM(AN509:AV509)</f>
        <v/>
      </c>
      <c r="CD509" s="432" t="inlineStr">
        <is>
          <t>ADA</t>
        </is>
      </c>
      <c r="CE509" s="362">
        <f>ROUND(BY509*$O509/1000,2)</f>
        <v/>
      </c>
      <c r="CF509" s="362">
        <f>ROUND(BZ509*$O509/1000,2)</f>
        <v/>
      </c>
      <c r="CG509" s="362">
        <f>ROUND(CA509*$O509/1000,2)</f>
        <v/>
      </c>
      <c r="CH509" s="362">
        <f>ROUND(CB509*$O509/1000,2)</f>
        <v/>
      </c>
      <c r="CI509" s="362">
        <f>SUM(CE509:CH509)</f>
        <v/>
      </c>
      <c r="CJ509" s="390" t="n"/>
      <c r="CK509" s="362">
        <f>IFERROR(ROUND(BY509*$P509,2),"")</f>
        <v/>
      </c>
      <c r="CL509" s="362">
        <f>IFERROR(ROUND(BZ509*$P509,2),"")</f>
        <v/>
      </c>
      <c r="CM509" s="362">
        <f>IFERROR(ROUND(CA509*$P509,2),"")</f>
        <v/>
      </c>
      <c r="CN509" s="362">
        <f>IFERROR(ROUND(CB509*$P509,2),"")</f>
        <v/>
      </c>
      <c r="CO509" s="362">
        <f>SUM(CK509:CN509)</f>
        <v/>
      </c>
    </row>
    <row r="510" customFormat="1" s="362">
      <c r="A510" s="433" t="n"/>
      <c r="B510" s="434" t="inlineStr">
        <is>
          <t>美国</t>
        </is>
      </c>
      <c r="C510" s="434">
        <f>IFERROR(MID(E510,FIND("-",E510)-2,2),"")</f>
        <v/>
      </c>
      <c r="D510" s="434">
        <f>"半钢ST"&amp;C510&amp;"寸"</f>
        <v/>
      </c>
      <c r="E510" s="436">
        <f>LEFT(REPLACE(G510,1,2,""),FIND("[",REPLACE(G510,1,2,""))-1)&amp;"-"&amp;MID(REPLACE(G510,1,2,""),FIND("[",REPLACE(G510,1,2,""))+1,FIND("]",REPLACE(G510,1,2,""))-FIND("[",REPLACE(G510,1,2,""))-1)</f>
        <v/>
      </c>
      <c r="F510" s="436" t="inlineStr">
        <is>
          <t>IDST175/80R13-6PR[STZC]91/87L 西湖无内</t>
        </is>
      </c>
      <c r="G510" s="436" t="inlineStr">
        <is>
          <t>IDST175/80R13-6PR[STZC]91/87L 西湖无内</t>
        </is>
      </c>
      <c r="H510" s="434" t="n"/>
      <c r="I510" s="434" t="n"/>
      <c r="J510" s="434" t="n"/>
      <c r="K510" s="434" t="n"/>
      <c r="L510" s="438">
        <f>IF(J492="","",J492/(J492+$L$175/60))</f>
        <v/>
      </c>
      <c r="M510" s="438" t="n"/>
      <c r="N510" s="434" t="n"/>
      <c r="O510" s="434">
        <f>IFERROR(_xlfn.XLOOKUP(E510,轮胎重量!S:S,轮胎重量!P:P),IFERROR(_xlfn.XLOOKUP(E510,轮胎重量!AB:AB,轮胎重量!Y:Y),IFERROR(_xlfn.XLOOKUP(E510,轮胎重量!AK:AK,轮胎重量!AH:AH),IFERROR(_xlfn.XLOOKUP(E510,轮胎重量!AT:AT,轮胎重量!AQ:AQ),IFERROR(_xlfn.XLOOKUP(E510,轮胎重量!BB:BB,轮胎重量!AY:AY),"")))))</f>
        <v/>
      </c>
      <c r="P510" s="439">
        <f>O510*15.16</f>
        <v/>
      </c>
      <c r="Q510" s="434" t="n"/>
      <c r="R510" s="352" t="n">
        <v>150</v>
      </c>
      <c r="S510" s="352" t="n">
        <v>150</v>
      </c>
      <c r="T510" s="352" t="n">
        <v>150</v>
      </c>
      <c r="U510" s="352" t="n">
        <v>150</v>
      </c>
      <c r="V510" s="352" t="n">
        <v>150</v>
      </c>
      <c r="W510" s="352" t="n">
        <v>150</v>
      </c>
      <c r="X510" s="352" t="n">
        <v>150</v>
      </c>
      <c r="Y510" s="352" t="n">
        <v>150</v>
      </c>
      <c r="Z510" s="352" t="n">
        <v>150</v>
      </c>
      <c r="AA510" s="352" t="n">
        <v>150</v>
      </c>
      <c r="AB510" s="352" t="n">
        <v>150</v>
      </c>
      <c r="AC510" s="352" t="n">
        <v>150</v>
      </c>
      <c r="AD510" s="352" t="n">
        <v>150</v>
      </c>
      <c r="AE510" s="352" t="n">
        <v>150</v>
      </c>
      <c r="AF510" s="352" t="n">
        <v>150</v>
      </c>
      <c r="AG510" s="352" t="n">
        <v>150</v>
      </c>
      <c r="AH510" s="352" t="n">
        <v>150</v>
      </c>
      <c r="AI510" s="352" t="n">
        <v>150</v>
      </c>
      <c r="AJ510" s="352" t="n">
        <v>150</v>
      </c>
      <c r="AK510" s="352" t="n">
        <v>150</v>
      </c>
      <c r="AL510" s="352" t="n">
        <v>150</v>
      </c>
      <c r="AM510" s="352" t="n">
        <v>150</v>
      </c>
      <c r="AN510" s="352" t="n">
        <v>150</v>
      </c>
      <c r="AO510" s="352" t="n">
        <v>150</v>
      </c>
      <c r="AP510" s="352" t="n">
        <v>150</v>
      </c>
      <c r="AQ510" s="352" t="n">
        <v>150</v>
      </c>
      <c r="AR510" s="352" t="n">
        <v>150</v>
      </c>
      <c r="AS510" s="352" t="n">
        <v>150</v>
      </c>
      <c r="AT510" s="352" t="n">
        <v>150</v>
      </c>
      <c r="AU510" s="352" t="n">
        <v>150</v>
      </c>
      <c r="AV510" s="352" t="n">
        <v>150</v>
      </c>
      <c r="AW510" s="352">
        <f>IF(SUM(R510:AV510)=0,"",SUM(R510:AV510))</f>
        <v/>
      </c>
      <c r="AX510" s="431">
        <f>IFERROR(AW510*O510/1000,"")</f>
        <v/>
      </c>
      <c r="AY510" s="431">
        <f>IFERROR(ROUND(AW510*P510/10000,3),"")</f>
        <v/>
      </c>
      <c r="BC510" s="331" t="n"/>
      <c r="BD510" s="331" t="n"/>
      <c r="BE510" s="331" t="n"/>
      <c r="BF510" s="331" t="n"/>
      <c r="BG510" s="331" t="n"/>
      <c r="BH510" s="331" t="n"/>
      <c r="BI510" s="331" t="n"/>
      <c r="BJ510" s="356">
        <f t="array" ref="BJ510">SUMPRODUCT(IF(ISNUMBER(BJ363:BJ377),BJ363:BJ377,0),IF(ISERROR(BJ363:BJ377),0,1))</f>
        <v/>
      </c>
      <c r="BK510" s="356">
        <f t="array" ref="BK510">SUMPRODUCT(IF(ISNUMBER(BK363:BK377),BK363:BK377,0),IF(ISERROR(BK363:BK377),0,1))</f>
        <v/>
      </c>
      <c r="BL510" s="356">
        <f t="array" ref="BL510">SUMPRODUCT(IF(ISNUMBER(BL363:BL377),BL363:BL377,0),IF(ISERROR(BL363:BL377),0,1))</f>
        <v/>
      </c>
      <c r="BM510" s="356">
        <f t="array" ref="BM510">SUMPRODUCT(IF(ISNUMBER(BM363:BM377),BM363:BM377,0),IF(ISERROR(BM363:BM377),0,1))</f>
        <v/>
      </c>
      <c r="BN510" s="362">
        <f>SUM(BJ510:BM510)</f>
        <v/>
      </c>
      <c r="BO510" s="362" t="n">
        <v>42.79</v>
      </c>
      <c r="BP510" s="362" t="n">
        <v>44.13</v>
      </c>
      <c r="BQ510" s="362" t="n">
        <v>49.14</v>
      </c>
      <c r="BR510" s="362" t="n">
        <v>55.17</v>
      </c>
      <c r="BS510" s="367" t="inlineStr">
        <is>
          <t>半钢ST</t>
        </is>
      </c>
      <c r="BX510" s="367" t="inlineStr">
        <is>
          <t>半钢/半钢ST</t>
        </is>
      </c>
      <c r="BY510" s="362">
        <f>SUM(R510:X510)</f>
        <v/>
      </c>
      <c r="BZ510" s="362">
        <f>SUM(Y510:AE510)</f>
        <v/>
      </c>
      <c r="CA510" s="362">
        <f>SUM(AF510:AM510)</f>
        <v/>
      </c>
      <c r="CB510" s="362">
        <f>SUM(AN510:AV510)</f>
        <v/>
      </c>
      <c r="CD510" s="440" t="inlineStr">
        <is>
          <t>TIDAK ADA</t>
        </is>
      </c>
      <c r="CE510" s="362">
        <f>ROUND(BY510*$O510/1000,2)</f>
        <v/>
      </c>
      <c r="CF510" s="362">
        <f>ROUND(BZ510*$O510/1000,2)</f>
        <v/>
      </c>
      <c r="CG510" s="362">
        <f>ROUND(CA510*$O510/1000,2)</f>
        <v/>
      </c>
      <c r="CH510" s="362">
        <f>ROUND(CB510*$O510/1000,2)</f>
        <v/>
      </c>
      <c r="CI510" s="362">
        <f>SUM(CE510:CH510)</f>
        <v/>
      </c>
      <c r="CJ510" s="390" t="n"/>
      <c r="CK510" s="362">
        <f>IFERROR(ROUND(BY510*$P510,2),"")</f>
        <v/>
      </c>
      <c r="CL510" s="362">
        <f>IFERROR(ROUND(BZ510*$P510,2),"")</f>
        <v/>
      </c>
      <c r="CM510" s="362">
        <f>IFERROR(ROUND(CA510*$P510,2),"")</f>
        <v/>
      </c>
      <c r="CN510" s="362">
        <f>IFERROR(ROUND(CB510*$P510,2),"")</f>
        <v/>
      </c>
    </row>
    <row r="511" customFormat="1" s="362">
      <c r="A511" s="433" t="n"/>
      <c r="B511" s="434" t="inlineStr">
        <is>
          <t>美国</t>
        </is>
      </c>
      <c r="C511" s="434">
        <f>IFERROR(MID(E511,FIND("-",E511)-2,2),"")</f>
        <v/>
      </c>
      <c r="D511" s="434">
        <f>"半钢ST"&amp;C511&amp;"寸"</f>
        <v/>
      </c>
      <c r="E511" s="436">
        <f>LEFT(REPLACE(G511,1,2,""),FIND("[",REPLACE(G511,1,2,""))-1)&amp;"-"&amp;MID(REPLACE(G511,1,2,""),FIND("[",REPLACE(G511,1,2,""))+1,FIND("]",REPLACE(G511,1,2,""))-FIND("[",REPLACE(G511,1,2,""))-1)</f>
        <v/>
      </c>
      <c r="F511" s="436" t="inlineStr">
        <is>
          <t>IDST185/80R13-8PR[ST226]99/95L CASTLE ROCK无内 NR</t>
        </is>
      </c>
      <c r="G511" s="436" t="inlineStr">
        <is>
          <t>IDST185/80R13-8PR[ST226]99/95L CASTLE ROCK无内 NR</t>
        </is>
      </c>
      <c r="H511" s="434" t="n"/>
      <c r="I511" s="434" t="n"/>
      <c r="J511" s="434" t="n"/>
      <c r="K511" s="434" t="n"/>
      <c r="L511" s="438" t="n"/>
      <c r="M511" s="438" t="n"/>
      <c r="N511" s="434" t="n"/>
      <c r="O511" s="434">
        <f>IFERROR(_xlfn.XLOOKUP(E511,轮胎重量!S:S,轮胎重量!P:P),IFERROR(_xlfn.XLOOKUP(E511,轮胎重量!AB:AB,轮胎重量!Y:Y),IFERROR(_xlfn.XLOOKUP(E511,轮胎重量!AK:AK,轮胎重量!AH:AH),IFERROR(_xlfn.XLOOKUP(E511,轮胎重量!AT:AT,轮胎重量!AQ:AQ),IFERROR(_xlfn.XLOOKUP(E511,轮胎重量!BB:BB,轮胎重量!AY:AY),"")))))</f>
        <v/>
      </c>
      <c r="P511" s="439">
        <f>O511*15.16</f>
        <v/>
      </c>
      <c r="Q511" s="434" t="n"/>
      <c r="R511" s="352" t="n">
        <v>150</v>
      </c>
      <c r="S511" s="352" t="n">
        <v>150</v>
      </c>
      <c r="T511" s="352" t="n">
        <v>150</v>
      </c>
      <c r="U511" s="352" t="n">
        <v>150</v>
      </c>
      <c r="V511" s="352" t="n">
        <v>150</v>
      </c>
      <c r="W511" s="352" t="n">
        <v>150</v>
      </c>
      <c r="X511" s="352" t="n">
        <v>150</v>
      </c>
      <c r="Y511" s="352" t="n">
        <v>150</v>
      </c>
      <c r="Z511" s="352" t="n">
        <v>150</v>
      </c>
      <c r="AA511" s="352" t="n">
        <v>150</v>
      </c>
      <c r="AB511" s="352" t="n">
        <v>150</v>
      </c>
      <c r="AC511" s="352" t="n">
        <v>150</v>
      </c>
      <c r="AD511" s="352" t="n">
        <v>150</v>
      </c>
      <c r="AE511" s="352" t="n">
        <v>150</v>
      </c>
      <c r="AF511" s="352" t="n">
        <v>150</v>
      </c>
      <c r="AG511" s="352" t="n">
        <v>150</v>
      </c>
      <c r="AH511" s="352" t="n">
        <v>150</v>
      </c>
      <c r="AI511" s="352" t="n">
        <v>150</v>
      </c>
      <c r="AJ511" s="352" t="n">
        <v>150</v>
      </c>
      <c r="AK511" s="352" t="n">
        <v>150</v>
      </c>
      <c r="AL511" s="352" t="n">
        <v>150</v>
      </c>
      <c r="AM511" s="352" t="n">
        <v>150</v>
      </c>
      <c r="AN511" s="352" t="n">
        <v>150</v>
      </c>
      <c r="AO511" s="352" t="n">
        <v>150</v>
      </c>
      <c r="AP511" s="352" t="n">
        <v>150</v>
      </c>
      <c r="AQ511" s="352" t="n">
        <v>150</v>
      </c>
      <c r="AR511" s="352" t="n">
        <v>150</v>
      </c>
      <c r="AS511" s="352" t="n">
        <v>150</v>
      </c>
      <c r="AT511" s="352" t="n">
        <v>150</v>
      </c>
      <c r="AU511" s="352" t="n">
        <v>150</v>
      </c>
      <c r="AV511" s="352" t="n">
        <v>150</v>
      </c>
      <c r="AW511" s="352">
        <f>IF(SUM(R511:AV511)=0,"",SUM(R511:AV511))</f>
        <v/>
      </c>
      <c r="AX511" s="431">
        <f>IFERROR(AW511*O511/1000,"")</f>
        <v/>
      </c>
      <c r="AY511" s="431">
        <f>IFERROR(ROUND(AW511*P511/10000,3),"")</f>
        <v/>
      </c>
      <c r="BC511" s="331" t="n"/>
      <c r="BD511" s="331" t="n"/>
      <c r="BE511" s="331" t="n"/>
      <c r="BF511" s="331" t="n"/>
      <c r="BG511" s="331" t="n"/>
      <c r="BH511" s="331" t="n"/>
      <c r="BI511" s="331" t="n"/>
      <c r="BJ511" s="356">
        <f t="array" ref="BJ511">SUMPRODUCT(IF(ISNUMBER(BJ364:BJ378),BJ364:BJ378,0),IF(ISERROR(BJ364:BJ378),0,1))</f>
        <v/>
      </c>
      <c r="BK511" s="356">
        <f t="array" ref="BK511">SUMPRODUCT(IF(ISNUMBER(BK364:BK378),BK364:BK378,0),IF(ISERROR(BK364:BK378),0,1))</f>
        <v/>
      </c>
      <c r="BL511" s="356">
        <f t="array" ref="BL511">SUMPRODUCT(IF(ISNUMBER(BL364:BL378),BL364:BL378,0),IF(ISERROR(BL364:BL378),0,1))</f>
        <v/>
      </c>
      <c r="BM511" s="356">
        <f t="array" ref="BM511">SUMPRODUCT(IF(ISNUMBER(BM364:BM378),BM364:BM378,0),IF(ISERROR(BM364:BM378),0,1))</f>
        <v/>
      </c>
      <c r="BN511" s="362">
        <f>SUM(BJ511:BM511)</f>
        <v/>
      </c>
      <c r="BO511" s="362" t="n">
        <v>42.79</v>
      </c>
      <c r="BP511" s="362" t="n">
        <v>44.13</v>
      </c>
      <c r="BQ511" s="362" t="n">
        <v>49.14</v>
      </c>
      <c r="BR511" s="362" t="n">
        <v>55.17</v>
      </c>
      <c r="BS511" s="367" t="inlineStr">
        <is>
          <t>半钢ST</t>
        </is>
      </c>
      <c r="BX511" s="367" t="inlineStr">
        <is>
          <t>半钢/半钢ST</t>
        </is>
      </c>
      <c r="BY511" s="362">
        <f>SUM(R511:X511)</f>
        <v/>
      </c>
      <c r="BZ511" s="362">
        <f>SUM(Y511:AE511)</f>
        <v/>
      </c>
      <c r="CA511" s="362">
        <f>SUM(AF511:AM511)</f>
        <v/>
      </c>
      <c r="CB511" s="362">
        <f>SUM(AN511:AV511)</f>
        <v/>
      </c>
      <c r="CD511" s="440" t="inlineStr">
        <is>
          <t>TIDAK ADA</t>
        </is>
      </c>
      <c r="CE511" s="362">
        <f>ROUND(BY511*$O511/1000,2)</f>
        <v/>
      </c>
      <c r="CF511" s="362">
        <f>ROUND(BZ511*$O511/1000,2)</f>
        <v/>
      </c>
      <c r="CG511" s="362">
        <f>ROUND(CA511*$O511/1000,2)</f>
        <v/>
      </c>
      <c r="CH511" s="362">
        <f>ROUND(CB511*$O511/1000,2)</f>
        <v/>
      </c>
      <c r="CI511" s="362">
        <f>SUM(CE511:CH511)</f>
        <v/>
      </c>
      <c r="CJ511" s="390" t="n"/>
      <c r="CK511" s="362">
        <f>IFERROR(ROUND(BY511*$P511,2),"")</f>
        <v/>
      </c>
      <c r="CL511" s="362">
        <f>IFERROR(ROUND(BZ511*$P511,2),"")</f>
        <v/>
      </c>
      <c r="CM511" s="362">
        <f>IFERROR(ROUND(CA511*$P511,2),"")</f>
        <v/>
      </c>
      <c r="CN511" s="362">
        <f>IFERROR(ROUND(CB511*$P511,2),"")</f>
        <v/>
      </c>
    </row>
    <row r="512" customFormat="1" s="362">
      <c r="A512" s="433" t="n"/>
      <c r="B512" s="434" t="inlineStr">
        <is>
          <t>美国</t>
        </is>
      </c>
      <c r="C512" s="434">
        <f>IFERROR(MID(E512,FIND("-",E512)-2,2),"")</f>
        <v/>
      </c>
      <c r="D512" s="434">
        <f>"半钢ST"&amp;C512&amp;"寸"</f>
        <v/>
      </c>
      <c r="E512" s="436">
        <f>LEFT(REPLACE(G512,1,2,""),FIND("[",REPLACE(G512,1,2,""))-1)&amp;"-"&amp;MID(REPLACE(G512,1,2,""),FIND("[",REPLACE(G512,1,2,""))+1,FIND("]",REPLACE(G512,1,2,""))-FIND("[",REPLACE(G512,1,2,""))-1)</f>
        <v/>
      </c>
      <c r="F512" s="436" t="inlineStr">
        <is>
          <t>IDST175/80R13-6PR[ST226]91/87L CASTLE ROCK无内 NR</t>
        </is>
      </c>
      <c r="G512" s="436" t="inlineStr">
        <is>
          <t>IDST175/80R13-6PR[ST226]91/87L CASTLE ROCK无内 NR</t>
        </is>
      </c>
      <c r="H512" s="434" t="n"/>
      <c r="I512" s="434" t="n"/>
      <c r="J512" s="434" t="n"/>
      <c r="K512" s="454" t="n"/>
      <c r="L512" s="438">
        <f>IF(J511="","",J511/(J511+$L$175/60))</f>
        <v/>
      </c>
      <c r="M512" s="438" t="n"/>
      <c r="N512" s="434" t="n"/>
      <c r="O512" s="434">
        <f>IFERROR(_xlfn.XLOOKUP(E512,轮胎重量!S:S,轮胎重量!P:P),IFERROR(_xlfn.XLOOKUP(E512,轮胎重量!AB:AB,轮胎重量!Y:Y),IFERROR(_xlfn.XLOOKUP(E512,轮胎重量!AK:AK,轮胎重量!AH:AH),IFERROR(_xlfn.XLOOKUP(E512,轮胎重量!AT:AT,轮胎重量!AQ:AQ),IFERROR(_xlfn.XLOOKUP(E512,轮胎重量!BB:BB,轮胎重量!AY:AY),"")))))</f>
        <v/>
      </c>
      <c r="P512" s="439">
        <f>O512*15.16</f>
        <v/>
      </c>
      <c r="Q512" s="434" t="n"/>
      <c r="R512" s="352" t="n">
        <v>150</v>
      </c>
      <c r="S512" s="352" t="n">
        <v>150</v>
      </c>
      <c r="T512" s="352" t="n">
        <v>150</v>
      </c>
      <c r="U512" s="352" t="n">
        <v>150</v>
      </c>
      <c r="V512" s="352" t="n">
        <v>150</v>
      </c>
      <c r="W512" s="352" t="n">
        <v>150</v>
      </c>
      <c r="X512" s="352" t="n">
        <v>150</v>
      </c>
      <c r="Y512" s="352" t="n">
        <v>150</v>
      </c>
      <c r="Z512" s="352" t="n">
        <v>150</v>
      </c>
      <c r="AA512" s="352" t="n">
        <v>150</v>
      </c>
      <c r="AB512" s="352" t="n">
        <v>150</v>
      </c>
      <c r="AC512" s="352" t="n">
        <v>150</v>
      </c>
      <c r="AD512" s="352" t="n">
        <v>150</v>
      </c>
      <c r="AE512" s="352" t="n">
        <v>150</v>
      </c>
      <c r="AF512" s="352" t="n">
        <v>150</v>
      </c>
      <c r="AG512" s="352" t="n">
        <v>150</v>
      </c>
      <c r="AH512" s="352" t="n">
        <v>150</v>
      </c>
      <c r="AI512" s="352" t="n">
        <v>150</v>
      </c>
      <c r="AJ512" s="352" t="n">
        <v>150</v>
      </c>
      <c r="AK512" s="352" t="n">
        <v>150</v>
      </c>
      <c r="AL512" s="352" t="n">
        <v>150</v>
      </c>
      <c r="AM512" s="352" t="n">
        <v>150</v>
      </c>
      <c r="AN512" s="352" t="n">
        <v>150</v>
      </c>
      <c r="AO512" s="352" t="n">
        <v>150</v>
      </c>
      <c r="AP512" s="352" t="n">
        <v>150</v>
      </c>
      <c r="AQ512" s="352" t="n">
        <v>150</v>
      </c>
      <c r="AR512" s="352" t="n">
        <v>150</v>
      </c>
      <c r="AS512" s="352" t="n">
        <v>150</v>
      </c>
      <c r="AT512" s="352" t="n">
        <v>150</v>
      </c>
      <c r="AU512" s="352" t="n">
        <v>150</v>
      </c>
      <c r="AV512" s="352" t="n">
        <v>150</v>
      </c>
      <c r="AW512" s="352">
        <f>IF(SUM(R512:AV512)=0,"",SUM(R512:AV512))</f>
        <v/>
      </c>
      <c r="AX512" s="431">
        <f>IFERROR(AW512*O512/1000,"")</f>
        <v/>
      </c>
      <c r="AY512" s="431">
        <f>IFERROR(ROUND(AW512*P512/10000,3),"")</f>
        <v/>
      </c>
      <c r="BC512" s="331" t="n"/>
      <c r="BD512" s="331" t="n"/>
      <c r="BE512" s="331" t="n"/>
      <c r="BF512" s="331" t="n"/>
      <c r="BG512" s="331" t="n"/>
      <c r="BH512" s="331" t="n"/>
      <c r="BI512" s="331" t="n"/>
      <c r="BJ512" s="356">
        <f t="array" ref="BJ512">SUMPRODUCT(IF(ISNUMBER(BJ364:BJ378),BJ364:BJ378,0),IF(ISERROR(BJ364:BJ378),0,1))</f>
        <v/>
      </c>
      <c r="BK512" s="356">
        <f t="array" ref="BK512">SUMPRODUCT(IF(ISNUMBER(BK364:BK378),BK364:BK378,0),IF(ISERROR(BK364:BK378),0,1))</f>
        <v/>
      </c>
      <c r="BL512" s="356">
        <f t="array" ref="BL512">SUMPRODUCT(IF(ISNUMBER(BL364:BL378),BL364:BL378,0),IF(ISERROR(BL364:BL378),0,1))</f>
        <v/>
      </c>
      <c r="BM512" s="356">
        <f t="array" ref="BM512">SUMPRODUCT(IF(ISNUMBER(BM364:BM378),BM364:BM378,0),IF(ISERROR(BM364:BM378),0,1))</f>
        <v/>
      </c>
      <c r="BN512" s="362">
        <f>SUM(BJ512:BM512)</f>
        <v/>
      </c>
      <c r="BO512" s="362" t="n">
        <v>42.79</v>
      </c>
      <c r="BP512" s="362" t="n">
        <v>44.13</v>
      </c>
      <c r="BQ512" s="362" t="n">
        <v>49.14</v>
      </c>
      <c r="BR512" s="362" t="n">
        <v>55.17</v>
      </c>
      <c r="BS512" s="367" t="inlineStr">
        <is>
          <t>半钢ST</t>
        </is>
      </c>
      <c r="BX512" s="367" t="inlineStr">
        <is>
          <t>半钢/半钢ST</t>
        </is>
      </c>
      <c r="BY512" s="362">
        <f>SUM(R512:X512)</f>
        <v/>
      </c>
      <c r="BZ512" s="362">
        <f>SUM(Y512:AE512)</f>
        <v/>
      </c>
      <c r="CA512" s="362">
        <f>SUM(AF512:AM512)</f>
        <v/>
      </c>
      <c r="CB512" s="362">
        <f>SUM(AN512:AV512)</f>
        <v/>
      </c>
      <c r="CD512" s="440" t="inlineStr">
        <is>
          <t>TIDAK ADA</t>
        </is>
      </c>
      <c r="CE512" s="362">
        <f>ROUND(BY512*$O512/1000,2)</f>
        <v/>
      </c>
      <c r="CF512" s="362">
        <f>ROUND(BZ512*$O512/1000,2)</f>
        <v/>
      </c>
      <c r="CG512" s="362">
        <f>ROUND(CA512*$O512/1000,2)</f>
        <v/>
      </c>
      <c r="CH512" s="362">
        <f>ROUND(CB512*$O512/1000,2)</f>
        <v/>
      </c>
      <c r="CI512" s="362">
        <f>SUM(CE512:CH512)</f>
        <v/>
      </c>
      <c r="CJ512" s="390" t="n"/>
      <c r="CK512" s="362">
        <f>IFERROR(ROUND(BY512*$P512,2),"")</f>
        <v/>
      </c>
      <c r="CL512" s="362">
        <f>IFERROR(ROUND(BZ512*$P512,2),"")</f>
        <v/>
      </c>
      <c r="CM512" s="362">
        <f>IFERROR(ROUND(CA512*$P512,2),"")</f>
        <v/>
      </c>
      <c r="CN512" s="362">
        <f>IFERROR(ROUND(CB512*$P512,2),"")</f>
        <v/>
      </c>
      <c r="CO512" s="362">
        <f>SUM(CK512:CN512)</f>
        <v/>
      </c>
    </row>
    <row r="513" customFormat="1" s="362">
      <c r="A513" s="331" t="n"/>
      <c r="B513" s="352" t="inlineStr">
        <is>
          <t>美国</t>
        </is>
      </c>
      <c r="C513" s="352">
        <f>IFERROR(MID(E513,FIND("-",E513)-2,2),"")</f>
        <v/>
      </c>
      <c r="D513" s="352">
        <f>"半钢ST"&amp;C513&amp;"寸"</f>
        <v/>
      </c>
      <c r="E513" s="379">
        <f>LEFT(REPLACE(G513,1,2,""),FIND("[",REPLACE(G513,1,2,""))-1)&amp;"-"&amp;MID(REPLACE(G513,1,2,""),FIND("[",REPLACE(G513,1,2,""))+1,FIND("]",REPLACE(G513,1,2,""))-FIND("[",REPLACE(G513,1,2,""))-1)</f>
        <v/>
      </c>
      <c r="F513" s="389" t="inlineStr">
        <is>
          <t>IDST175/80R13-6PR[ST200]91/87M GOODRIDE(好运)无内 NR</t>
        </is>
      </c>
      <c r="G513" s="389" t="inlineStr">
        <is>
          <t>IDST175/80R13-6PR[ST200]91/87M GOODRIDE(好运)无内 NR</t>
        </is>
      </c>
      <c r="H513" s="370" t="n"/>
      <c r="I513" s="370" t="n"/>
      <c r="J513" s="352" t="n"/>
      <c r="K513" s="430" t="n"/>
      <c r="L513" s="430">
        <f>IF(J512="","",J512/(J512+$L$175/60))</f>
        <v/>
      </c>
      <c r="M513" s="430" t="n"/>
      <c r="N513" s="352" t="n"/>
      <c r="O513" s="352">
        <f>IFERROR(_xlfn.XLOOKUP(E513,轮胎重量!S:S,轮胎重量!P:P),IFERROR(_xlfn.XLOOKUP(E513,轮胎重量!AB:AB,轮胎重量!Y:Y),IFERROR(_xlfn.XLOOKUP(E513,轮胎重量!AK:AK,轮胎重量!AH:AH),IFERROR(_xlfn.XLOOKUP(E513,轮胎重量!AT:AT,轮胎重量!AQ:AQ),IFERROR(_xlfn.XLOOKUP(E513,轮胎重量!BB:BB,轮胎重量!AY:AY),"")))))</f>
        <v/>
      </c>
      <c r="P513" s="358">
        <f>O513*15.16</f>
        <v/>
      </c>
      <c r="Q513" s="352" t="n"/>
      <c r="R513" s="352" t="n">
        <v>150</v>
      </c>
      <c r="S513" s="352" t="n">
        <v>150</v>
      </c>
      <c r="T513" s="352" t="n">
        <v>150</v>
      </c>
      <c r="U513" s="352" t="n">
        <v>150</v>
      </c>
      <c r="V513" s="352" t="n">
        <v>150</v>
      </c>
      <c r="W513" s="352" t="n">
        <v>150</v>
      </c>
      <c r="X513" s="352" t="n">
        <v>150</v>
      </c>
      <c r="Y513" s="352" t="n">
        <v>150</v>
      </c>
      <c r="Z513" s="352" t="n">
        <v>150</v>
      </c>
      <c r="AA513" s="352" t="n">
        <v>150</v>
      </c>
      <c r="AB513" s="352" t="n">
        <v>150</v>
      </c>
      <c r="AC513" s="352" t="n">
        <v>150</v>
      </c>
      <c r="AD513" s="352" t="n">
        <v>150</v>
      </c>
      <c r="AE513" s="352" t="n">
        <v>150</v>
      </c>
      <c r="AF513" s="352" t="n">
        <v>150</v>
      </c>
      <c r="AG513" s="352" t="n">
        <v>150</v>
      </c>
      <c r="AH513" s="352" t="n">
        <v>150</v>
      </c>
      <c r="AI513" s="352" t="n">
        <v>150</v>
      </c>
      <c r="AJ513" s="352" t="n">
        <v>150</v>
      </c>
      <c r="AK513" s="352" t="n">
        <v>150</v>
      </c>
      <c r="AL513" s="352" t="n">
        <v>150</v>
      </c>
      <c r="AM513" s="352" t="n">
        <v>150</v>
      </c>
      <c r="AN513" s="352" t="n">
        <v>150</v>
      </c>
      <c r="AO513" s="352" t="n">
        <v>150</v>
      </c>
      <c r="AP513" s="352" t="n">
        <v>150</v>
      </c>
      <c r="AQ513" s="352" t="n">
        <v>150</v>
      </c>
      <c r="AR513" s="352" t="n">
        <v>150</v>
      </c>
      <c r="AS513" s="352" t="n">
        <v>150</v>
      </c>
      <c r="AT513" s="352" t="n">
        <v>150</v>
      </c>
      <c r="AU513" s="352" t="n">
        <v>150</v>
      </c>
      <c r="AV513" s="352" t="n">
        <v>150</v>
      </c>
      <c r="AW513" s="352">
        <f>IF(SUM(R513:AV513)=0,"",SUM(R513:AV513))</f>
        <v/>
      </c>
      <c r="AX513" s="431">
        <f>IFERROR(AW513*O513/1000,"")</f>
        <v/>
      </c>
      <c r="AY513" s="431">
        <f>IFERROR(ROUND(AW513*P513/10000,3),"")</f>
        <v/>
      </c>
      <c r="BC513" s="331" t="n"/>
      <c r="BD513" s="331" t="n"/>
      <c r="BE513" s="331" t="n"/>
      <c r="BF513" s="331" t="n"/>
      <c r="BG513" s="331" t="n"/>
      <c r="BH513" s="331" t="n"/>
      <c r="BI513" s="331" t="n"/>
      <c r="BJ513" s="356">
        <f t="array" ref="BJ513">SUMPRODUCT(IF(ISNUMBER(BJ364:BJ378),BJ364:BJ378,0),IF(ISERROR(BJ364:BJ378),0,1))</f>
        <v/>
      </c>
      <c r="BK513" s="356">
        <f t="array" ref="BK513">SUMPRODUCT(IF(ISNUMBER(BK364:BK378),BK364:BK378,0),IF(ISERROR(BK364:BK378),0,1))</f>
        <v/>
      </c>
      <c r="BL513" s="356">
        <f t="array" ref="BL513">SUMPRODUCT(IF(ISNUMBER(BL364:BL378),BL364:BL378,0),IF(ISERROR(BL364:BL378),0,1))</f>
        <v/>
      </c>
      <c r="BM513" s="356">
        <f t="array" ref="BM513">SUMPRODUCT(IF(ISNUMBER(BM364:BM378),BM364:BM378,0),IF(ISERROR(BM364:BM378),0,1))</f>
        <v/>
      </c>
      <c r="BN513" s="362">
        <f>SUM(BJ513:BM513)</f>
        <v/>
      </c>
      <c r="BO513" s="362" t="n">
        <v>42.79</v>
      </c>
      <c r="BP513" s="362" t="n">
        <v>44.13</v>
      </c>
      <c r="BQ513" s="362" t="n">
        <v>49.14</v>
      </c>
      <c r="BR513" s="362" t="n">
        <v>55.17</v>
      </c>
      <c r="BS513" s="367" t="inlineStr">
        <is>
          <t>半钢ST</t>
        </is>
      </c>
      <c r="BX513" s="367" t="inlineStr">
        <is>
          <t>半钢/半钢ST</t>
        </is>
      </c>
      <c r="BY513" s="362">
        <f>SUM(R513:X513)</f>
        <v/>
      </c>
      <c r="BZ513" s="362">
        <f>SUM(Y513:AE513)</f>
        <v/>
      </c>
      <c r="CA513" s="362">
        <f>SUM(AF513:AM513)</f>
        <v/>
      </c>
      <c r="CB513" s="362">
        <f>SUM(AN513:AV513)</f>
        <v/>
      </c>
      <c r="CD513" s="432" t="inlineStr">
        <is>
          <t>ADA</t>
        </is>
      </c>
      <c r="CE513" s="362">
        <f>ROUND(BY513*$O513/1000,2)</f>
        <v/>
      </c>
      <c r="CF513" s="362">
        <f>ROUND(BZ513*$O513/1000,2)</f>
        <v/>
      </c>
      <c r="CG513" s="362">
        <f>ROUND(CA513*$O513/1000,2)</f>
        <v/>
      </c>
      <c r="CH513" s="362">
        <f>ROUND(CB513*$O513/1000,2)</f>
        <v/>
      </c>
      <c r="CI513" s="362">
        <f>SUM(CE513:CH513)</f>
        <v/>
      </c>
      <c r="CJ513" s="390" t="n"/>
      <c r="CK513" s="362">
        <f>IFERROR(ROUND(BY513*$P513,2),"")</f>
        <v/>
      </c>
      <c r="CL513" s="362">
        <f>IFERROR(ROUND(BZ513*$P513,2),"")</f>
        <v/>
      </c>
      <c r="CM513" s="362">
        <f>IFERROR(ROUND(CA513*$P513,2),"")</f>
        <v/>
      </c>
      <c r="CN513" s="362">
        <f>IFERROR(ROUND(CB513*$P513,2),"")</f>
        <v/>
      </c>
      <c r="CO513" s="362">
        <f>SUM(CK513:CN513)</f>
        <v/>
      </c>
    </row>
    <row r="514" customFormat="1" s="362">
      <c r="A514" s="433" t="n"/>
      <c r="B514" s="434" t="inlineStr">
        <is>
          <t>美国</t>
        </is>
      </c>
      <c r="C514" s="434">
        <f>IFERROR(MID(E514,FIND("-",E514)-2,2),"")</f>
        <v/>
      </c>
      <c r="D514" s="434">
        <f>"半钢ST"&amp;C514&amp;"寸"</f>
        <v/>
      </c>
      <c r="E514" s="436">
        <f>LEFT(REPLACE(G514,1,2,""),FIND("[",REPLACE(G514,1,2,""))-1)&amp;"-"&amp;MID(REPLACE(G514,1,2,""),FIND("[",REPLACE(G514,1,2,""))+1,FIND("]",REPLACE(G514,1,2,""))-FIND("[",REPLACE(G514,1,2,""))-1)</f>
        <v/>
      </c>
      <c r="F514" s="436" t="inlineStr">
        <is>
          <t>IDST175/80R13-6PR[ST Radial]91/87M Tamarack无内 NR</t>
        </is>
      </c>
      <c r="G514" s="436" t="inlineStr">
        <is>
          <t>IDST175/80R13-6PR[ST Radial]91/87M Tamarack无内 NR</t>
        </is>
      </c>
      <c r="H514" s="434" t="n"/>
      <c r="I514" s="434" t="n"/>
      <c r="J514" s="434" t="n"/>
      <c r="K514" s="438" t="n"/>
      <c r="L514" s="438" t="n"/>
      <c r="M514" s="438" t="n"/>
      <c r="N514" s="434" t="n"/>
      <c r="O514" s="434">
        <f>IFERROR(_xlfn.XLOOKUP(E514,轮胎重量!S:S,轮胎重量!P:P),IFERROR(_xlfn.XLOOKUP(E514,轮胎重量!AB:AB,轮胎重量!Y:Y),IFERROR(_xlfn.XLOOKUP(E514,轮胎重量!AK:AK,轮胎重量!AH:AH),IFERROR(_xlfn.XLOOKUP(E514,轮胎重量!AT:AT,轮胎重量!AQ:AQ),IFERROR(_xlfn.XLOOKUP(E514,轮胎重量!BB:BB,轮胎重量!AY:AY),"")))))</f>
        <v/>
      </c>
      <c r="P514" s="439">
        <f>O514*15.16</f>
        <v/>
      </c>
      <c r="Q514" s="434" t="n"/>
      <c r="R514" s="352" t="n">
        <v>150</v>
      </c>
      <c r="S514" s="352" t="n">
        <v>150</v>
      </c>
      <c r="T514" s="352" t="n">
        <v>150</v>
      </c>
      <c r="U514" s="352" t="n">
        <v>150</v>
      </c>
      <c r="V514" s="352" t="n">
        <v>150</v>
      </c>
      <c r="W514" s="352" t="n">
        <v>150</v>
      </c>
      <c r="X514" s="352" t="n">
        <v>150</v>
      </c>
      <c r="Y514" s="352" t="n">
        <v>150</v>
      </c>
      <c r="Z514" s="352" t="n">
        <v>150</v>
      </c>
      <c r="AA514" s="352" t="n">
        <v>150</v>
      </c>
      <c r="AB514" s="352" t="n">
        <v>150</v>
      </c>
      <c r="AC514" s="352" t="n">
        <v>150</v>
      </c>
      <c r="AD514" s="352" t="n">
        <v>150</v>
      </c>
      <c r="AE514" s="352" t="n">
        <v>150</v>
      </c>
      <c r="AF514" s="352" t="n">
        <v>150</v>
      </c>
      <c r="AG514" s="352" t="n">
        <v>150</v>
      </c>
      <c r="AH514" s="352" t="n">
        <v>150</v>
      </c>
      <c r="AI514" s="352" t="n">
        <v>150</v>
      </c>
      <c r="AJ514" s="352" t="n">
        <v>150</v>
      </c>
      <c r="AK514" s="352" t="n">
        <v>150</v>
      </c>
      <c r="AL514" s="352" t="n">
        <v>150</v>
      </c>
      <c r="AM514" s="352" t="n">
        <v>150</v>
      </c>
      <c r="AN514" s="352" t="n">
        <v>150</v>
      </c>
      <c r="AO514" s="352" t="n">
        <v>150</v>
      </c>
      <c r="AP514" s="352" t="n">
        <v>150</v>
      </c>
      <c r="AQ514" s="352" t="n">
        <v>150</v>
      </c>
      <c r="AR514" s="352" t="n">
        <v>150</v>
      </c>
      <c r="AS514" s="352" t="n">
        <v>150</v>
      </c>
      <c r="AT514" s="352" t="n">
        <v>150</v>
      </c>
      <c r="AU514" s="352" t="n">
        <v>150</v>
      </c>
      <c r="AV514" s="352" t="n">
        <v>150</v>
      </c>
      <c r="AW514" s="352">
        <f>IF(SUM(R514:AV514)=0,"",SUM(R514:AV514))</f>
        <v/>
      </c>
      <c r="AX514" s="431">
        <f>IFERROR(AW514*O514/1000,"")</f>
        <v/>
      </c>
      <c r="AY514" s="431">
        <f>IFERROR(ROUND(AW514*P514/10000,3),"")</f>
        <v/>
      </c>
      <c r="BC514" s="331" t="n"/>
      <c r="BD514" s="331" t="n"/>
      <c r="BE514" s="331" t="n"/>
      <c r="BF514" s="331" t="n"/>
      <c r="BG514" s="331" t="n"/>
      <c r="BH514" s="331" t="n"/>
      <c r="BI514" s="331" t="n"/>
      <c r="BJ514" s="356">
        <f t="array" ref="BJ514">SUMPRODUCT(IF(ISNUMBER(BJ365:BJ379),BJ365:BJ379,0),IF(ISERROR(BJ365:BJ379),0,1))</f>
        <v/>
      </c>
      <c r="BK514" s="356">
        <f t="array" ref="BK514">SUMPRODUCT(IF(ISNUMBER(BK365:BK379),BK365:BK379,0),IF(ISERROR(BK365:BK379),0,1))</f>
        <v/>
      </c>
      <c r="BL514" s="356">
        <f t="array" ref="BL514">SUMPRODUCT(IF(ISNUMBER(BL365:BL379),BL365:BL379,0),IF(ISERROR(BL365:BL379),0,1))</f>
        <v/>
      </c>
      <c r="BM514" s="356">
        <f t="array" ref="BM514">SUMPRODUCT(IF(ISNUMBER(BM365:BM379),BM365:BM379,0),IF(ISERROR(BM365:BM379),0,1))</f>
        <v/>
      </c>
      <c r="BN514" s="362">
        <f>SUM(BJ514:BM514)</f>
        <v/>
      </c>
      <c r="BO514" s="362" t="n">
        <v>42.79</v>
      </c>
      <c r="BP514" s="362" t="n">
        <v>44.13</v>
      </c>
      <c r="BQ514" s="362" t="n">
        <v>49.14</v>
      </c>
      <c r="BR514" s="362" t="n">
        <v>55.17</v>
      </c>
      <c r="BS514" s="367" t="inlineStr">
        <is>
          <t>半钢ST</t>
        </is>
      </c>
      <c r="BX514" s="367" t="inlineStr">
        <is>
          <t>半钢/半钢ST</t>
        </is>
      </c>
      <c r="BY514" s="362">
        <f>SUM(R514:X514)</f>
        <v/>
      </c>
      <c r="BZ514" s="362">
        <f>SUM(Y514:AE514)</f>
        <v/>
      </c>
      <c r="CA514" s="362">
        <f>SUM(AF514:AM514)</f>
        <v/>
      </c>
      <c r="CB514" s="362">
        <f>SUM(AN514:AV514)</f>
        <v/>
      </c>
      <c r="CD514" s="440" t="inlineStr">
        <is>
          <t>TIDAK ADA</t>
        </is>
      </c>
      <c r="CE514" s="362">
        <f>ROUND(BY514*$O514/1000,2)</f>
        <v/>
      </c>
      <c r="CF514" s="362">
        <f>ROUND(BZ514*$O514/1000,2)</f>
        <v/>
      </c>
      <c r="CG514" s="362">
        <f>ROUND(CA514*$O514/1000,2)</f>
        <v/>
      </c>
      <c r="CH514" s="362">
        <f>ROUND(CB514*$O514/1000,2)</f>
        <v/>
      </c>
      <c r="CI514" s="362">
        <f>SUM(CE514:CH514)</f>
        <v/>
      </c>
      <c r="CJ514" s="390" t="n"/>
      <c r="CK514" s="362">
        <f>IFERROR(ROUND(BY514*$P514,2),"")</f>
        <v/>
      </c>
      <c r="CL514" s="362">
        <f>IFERROR(ROUND(BZ514*$P514,2),"")</f>
        <v/>
      </c>
      <c r="CM514" s="362">
        <f>IFERROR(ROUND(CA514*$P514,2),"")</f>
        <v/>
      </c>
      <c r="CN514" s="362">
        <f>IFERROR(ROUND(CB514*$P514,2),"")</f>
        <v/>
      </c>
    </row>
    <row r="515" customFormat="1" s="362">
      <c r="A515" s="433" t="n"/>
      <c r="B515" s="434" t="inlineStr">
        <is>
          <t>美国</t>
        </is>
      </c>
      <c r="C515" s="434">
        <f>IFERROR(MID(E515,FIND("-",E515)-2,2),"")</f>
        <v/>
      </c>
      <c r="D515" s="434">
        <f>"半钢ST"&amp;C515&amp;"寸"</f>
        <v/>
      </c>
      <c r="E515" s="436">
        <f>LEFT(REPLACE(G515,1,2,""),FIND("[",REPLACE(G515,1,2,""))-1)&amp;"-"&amp;MID(REPLACE(G515,1,2,""),FIND("[",REPLACE(G515,1,2,""))+1,FIND("]",REPLACE(G515,1,2,""))-FIND("[",REPLACE(G515,1,2,""))-1)</f>
        <v/>
      </c>
      <c r="F515" s="436" t="inlineStr">
        <is>
          <t>IDST205/75R14-8PR[ST Radial]105/101M Tamarack无内 NR</t>
        </is>
      </c>
      <c r="G515" s="436" t="inlineStr">
        <is>
          <t>IDST205/75R14-8PR[ST Radial]105/101M Tamarack无内 NR</t>
        </is>
      </c>
      <c r="H515" s="434" t="n">
        <v>12000</v>
      </c>
      <c r="I515" s="434" t="n"/>
      <c r="J515" s="434" t="n"/>
      <c r="K515" s="438">
        <f>IF(J515="","",J515/(J515+$L$175/60))</f>
        <v/>
      </c>
      <c r="L515" s="438" t="n"/>
      <c r="M515" s="438" t="n"/>
      <c r="N515" s="434" t="n"/>
      <c r="O515" s="434">
        <f>IFERROR(_xlfn.XLOOKUP(E515,轮胎重量!S:S,轮胎重量!P:P),IFERROR(_xlfn.XLOOKUP(E515,轮胎重量!AB:AB,轮胎重量!Y:Y),IFERROR(_xlfn.XLOOKUP(E515,轮胎重量!AK:AK,轮胎重量!AH:AH),IFERROR(_xlfn.XLOOKUP(E515,轮胎重量!AT:AT,轮胎重量!AQ:AQ),IFERROR(_xlfn.XLOOKUP(E515,轮胎重量!BB:BB,轮胎重量!AY:AY),"")))))</f>
        <v/>
      </c>
      <c r="P515" s="439">
        <f>O515*15.16</f>
        <v/>
      </c>
      <c r="Q515" s="434" t="n"/>
      <c r="R515" s="352" t="n">
        <v>140</v>
      </c>
      <c r="S515" s="352" t="n">
        <v>140</v>
      </c>
      <c r="T515" s="352" t="n">
        <v>140</v>
      </c>
      <c r="U515" s="352" t="n">
        <v>140</v>
      </c>
      <c r="V515" s="352" t="n">
        <v>140</v>
      </c>
      <c r="W515" s="352" t="n">
        <v>140</v>
      </c>
      <c r="X515" s="352" t="n">
        <v>140</v>
      </c>
      <c r="Y515" s="352" t="n">
        <v>140</v>
      </c>
      <c r="Z515" s="352" t="n">
        <v>140</v>
      </c>
      <c r="AA515" s="352" t="n">
        <v>140</v>
      </c>
      <c r="AB515" s="352" t="n">
        <v>140</v>
      </c>
      <c r="AC515" s="352" t="n">
        <v>140</v>
      </c>
      <c r="AD515" s="352" t="n">
        <v>140</v>
      </c>
      <c r="AE515" s="352" t="n">
        <v>140</v>
      </c>
      <c r="AF515" s="352" t="n">
        <v>140</v>
      </c>
      <c r="AG515" s="352" t="n">
        <v>140</v>
      </c>
      <c r="AH515" s="352" t="n">
        <v>140</v>
      </c>
      <c r="AI515" s="352" t="n">
        <v>140</v>
      </c>
      <c r="AJ515" s="352" t="n">
        <v>140</v>
      </c>
      <c r="AK515" s="352" t="n">
        <v>140</v>
      </c>
      <c r="AL515" s="352" t="n">
        <v>140</v>
      </c>
      <c r="AM515" s="352" t="n">
        <v>140</v>
      </c>
      <c r="AN515" s="352" t="n">
        <v>140</v>
      </c>
      <c r="AO515" s="352" t="n">
        <v>140</v>
      </c>
      <c r="AP515" s="352" t="n">
        <v>140</v>
      </c>
      <c r="AQ515" s="352" t="n">
        <v>140</v>
      </c>
      <c r="AR515" s="352" t="n">
        <v>140</v>
      </c>
      <c r="AS515" s="352" t="n">
        <v>140</v>
      </c>
      <c r="AT515" s="352" t="n">
        <v>140</v>
      </c>
      <c r="AU515" s="352" t="n">
        <v>140</v>
      </c>
      <c r="AV515" s="352" t="n">
        <v>140</v>
      </c>
      <c r="AW515" s="352">
        <f>IF(SUM(R515:AV515)=0,"",SUM(R515:AV515))</f>
        <v/>
      </c>
      <c r="AX515" s="431">
        <f>IFERROR(AW515*O515/1000,"")</f>
        <v/>
      </c>
      <c r="AY515" s="431">
        <f>IFERROR(ROUND(AW515*P515/10000,3),"")</f>
        <v/>
      </c>
      <c r="BC515" s="331" t="n"/>
      <c r="BD515" s="331" t="n"/>
      <c r="BE515" s="331" t="n"/>
      <c r="BF515" s="331" t="n"/>
      <c r="BG515" s="331" t="n"/>
      <c r="BH515" s="331" t="n"/>
      <c r="BI515" s="331" t="n"/>
      <c r="BJ515" s="356">
        <f t="array" ref="BJ515">SUMPRODUCT(IF(ISNUMBER(BJ367:BJ380),BJ367:BJ380,0),IF(ISERROR(BJ367:BJ380),0,1))</f>
        <v/>
      </c>
      <c r="BK515" s="356">
        <f t="array" ref="BK515">SUMPRODUCT(IF(ISNUMBER(BK367:BK380),BK367:BK380,0),IF(ISERROR(BK367:BK380),0,1))</f>
        <v/>
      </c>
      <c r="BL515" s="356">
        <f t="array" ref="BL515">SUMPRODUCT(IF(ISNUMBER(BL367:BL380),BL367:BL380,0),IF(ISERROR(BL367:BL380),0,1))</f>
        <v/>
      </c>
      <c r="BM515" s="356">
        <f t="array" ref="BM515">SUMPRODUCT(IF(ISNUMBER(BM367:BM380),BM367:BM380,0),IF(ISERROR(BM367:BM380),0,1))</f>
        <v/>
      </c>
      <c r="BN515" s="362">
        <f>SUM(BJ515:BM515)</f>
        <v/>
      </c>
      <c r="BO515" s="362" t="n">
        <v>42.79</v>
      </c>
      <c r="BP515" s="362" t="n">
        <v>44.13</v>
      </c>
      <c r="BQ515" s="362" t="n">
        <v>49.14</v>
      </c>
      <c r="BR515" s="362" t="n">
        <v>55.17</v>
      </c>
      <c r="BS515" s="367" t="inlineStr">
        <is>
          <t>半钢ST</t>
        </is>
      </c>
      <c r="BX515" s="367" t="inlineStr">
        <is>
          <t>半钢/半钢ST</t>
        </is>
      </c>
      <c r="BY515" s="362">
        <f>SUM(R515:X515)</f>
        <v/>
      </c>
      <c r="BZ515" s="362">
        <f>SUM(Y515:AE515)</f>
        <v/>
      </c>
      <c r="CA515" s="362">
        <f>SUM(AF515:AM515)</f>
        <v/>
      </c>
      <c r="CB515" s="362">
        <f>SUM(AN515:AV515)</f>
        <v/>
      </c>
      <c r="CD515" s="440" t="inlineStr">
        <is>
          <t>TIDAK ADA</t>
        </is>
      </c>
      <c r="CE515" s="362">
        <f>ROUND(BY515*$O515/1000,2)</f>
        <v/>
      </c>
      <c r="CF515" s="362">
        <f>ROUND(BZ515*$O515/1000,2)</f>
        <v/>
      </c>
      <c r="CG515" s="362">
        <f>ROUND(CA515*$O515/1000,2)</f>
        <v/>
      </c>
      <c r="CH515" s="362">
        <f>ROUND(CB515*$O515/1000,2)</f>
        <v/>
      </c>
      <c r="CI515" s="362">
        <f>SUM(CE515:CH515)</f>
        <v/>
      </c>
      <c r="CJ515" s="390" t="n"/>
      <c r="CK515" s="362">
        <f>IFERROR(ROUND(BY515*$P515,2),"")</f>
        <v/>
      </c>
      <c r="CL515" s="362">
        <f>IFERROR(ROUND(BZ515*$P515,2),"")</f>
        <v/>
      </c>
      <c r="CM515" s="362">
        <f>IFERROR(ROUND(CA515*$P515,2),"")</f>
        <v/>
      </c>
      <c r="CN515" s="362">
        <f>IFERROR(ROUND(CB515*$P515,2),"")</f>
        <v/>
      </c>
    </row>
    <row r="516" customFormat="1" s="362">
      <c r="A516" s="433" t="n"/>
      <c r="B516" s="434" t="inlineStr">
        <is>
          <t>美国</t>
        </is>
      </c>
      <c r="C516" s="434">
        <f>IFERROR(MID(E516,FIND("-",E516)-2,2),"")</f>
        <v/>
      </c>
      <c r="D516" s="434">
        <f>"半钢ST"&amp;C516&amp;"寸"</f>
        <v/>
      </c>
      <c r="E516" s="436">
        <f>LEFT(REPLACE(G516,1,2,""),FIND("[",REPLACE(G516,1,2,""))-1)&amp;"-"&amp;MID(REPLACE(G516,1,2,""),FIND("[",REPLACE(G516,1,2,""))+1,FIND("]",REPLACE(G516,1,2,""))-FIND("[",REPLACE(G516,1,2,""))-1)</f>
        <v/>
      </c>
      <c r="F516" s="436" t="inlineStr">
        <is>
          <t>IDST205/75R14-8PR[ST226]105/101L CASTLE ROCK无内 NR</t>
        </is>
      </c>
      <c r="G516" s="436" t="inlineStr">
        <is>
          <t>IDST205/75R14-8PR[ST226]105/101L CASTLE ROCK无内 NR</t>
        </is>
      </c>
      <c r="H516" s="434" t="n"/>
      <c r="I516" s="434" t="n"/>
      <c r="J516" s="434" t="n"/>
      <c r="K516" s="434" t="n"/>
      <c r="L516" s="438">
        <f>IF(J509="","",J509/(J509+$L$175/60))</f>
        <v/>
      </c>
      <c r="M516" s="438" t="n"/>
      <c r="N516" s="434" t="n"/>
      <c r="O516" s="434">
        <f>IFERROR(_xlfn.XLOOKUP(E516,轮胎重量!S:S,轮胎重量!P:P),IFERROR(_xlfn.XLOOKUP(E516,轮胎重量!AB:AB,轮胎重量!Y:Y),IFERROR(_xlfn.XLOOKUP(E516,轮胎重量!AK:AK,轮胎重量!AH:AH),IFERROR(_xlfn.XLOOKUP(E516,轮胎重量!AT:AT,轮胎重量!AQ:AQ),IFERROR(_xlfn.XLOOKUP(E516,轮胎重量!BB:BB,轮胎重量!AY:AY),"")))))</f>
        <v/>
      </c>
      <c r="P516" s="439">
        <f>O516*15.16</f>
        <v/>
      </c>
      <c r="Q516" s="434" t="n"/>
      <c r="R516" s="352" t="n">
        <v>560</v>
      </c>
      <c r="S516" s="352" t="n">
        <v>560</v>
      </c>
      <c r="T516" s="352" t="n">
        <v>560</v>
      </c>
      <c r="U516" s="352" t="n">
        <v>560</v>
      </c>
      <c r="V516" s="352" t="n">
        <v>560</v>
      </c>
      <c r="W516" s="352" t="n">
        <v>560</v>
      </c>
      <c r="X516" s="352" t="n">
        <v>560</v>
      </c>
      <c r="Y516" s="352" t="n">
        <v>560</v>
      </c>
      <c r="Z516" s="352" t="n">
        <v>560</v>
      </c>
      <c r="AA516" s="352" t="n">
        <v>840</v>
      </c>
      <c r="AB516" s="352" t="n">
        <v>840</v>
      </c>
      <c r="AC516" s="352" t="n">
        <v>840</v>
      </c>
      <c r="AD516" s="352" t="n">
        <v>840</v>
      </c>
      <c r="AE516" s="352" t="n">
        <v>840</v>
      </c>
      <c r="AF516" s="352" t="n">
        <v>840</v>
      </c>
      <c r="AG516" s="352" t="n">
        <v>840</v>
      </c>
      <c r="AH516" s="352" t="n">
        <v>840</v>
      </c>
      <c r="AI516" s="352" t="n">
        <v>840</v>
      </c>
      <c r="AJ516" s="352" t="n">
        <v>840</v>
      </c>
      <c r="AK516" s="352" t="n">
        <v>840</v>
      </c>
      <c r="AL516" s="352" t="n">
        <v>840</v>
      </c>
      <c r="AM516" s="352" t="n">
        <v>840</v>
      </c>
      <c r="AN516" s="352" t="n">
        <v>840</v>
      </c>
      <c r="AO516" s="352" t="n">
        <v>840</v>
      </c>
      <c r="AP516" s="352" t="n">
        <v>840</v>
      </c>
      <c r="AQ516" s="352" t="n">
        <v>840</v>
      </c>
      <c r="AR516" s="352" t="n">
        <v>840</v>
      </c>
      <c r="AS516" s="352" t="n">
        <v>840</v>
      </c>
      <c r="AT516" s="352" t="n">
        <v>840</v>
      </c>
      <c r="AU516" s="352" t="n">
        <v>840</v>
      </c>
      <c r="AV516" s="352" t="n">
        <v>840</v>
      </c>
      <c r="AW516" s="352">
        <f>IF(SUM(R516:AV516)=0,"",SUM(R516:AV516))</f>
        <v/>
      </c>
      <c r="AX516" s="431">
        <f>IFERROR(AW516*O516/1000,"")</f>
        <v/>
      </c>
      <c r="AY516" s="431">
        <f>IFERROR(ROUND(AW516*P516/10000,3),"")</f>
        <v/>
      </c>
      <c r="BC516" s="331" t="n"/>
      <c r="BD516" s="331" t="n"/>
      <c r="BE516" s="331" t="n"/>
      <c r="BF516" s="331" t="n"/>
      <c r="BG516" s="331" t="n"/>
      <c r="BH516" s="331" t="n"/>
      <c r="BI516" s="331" t="n"/>
      <c r="BJ516" s="356">
        <f t="array" ref="BJ516">SUMPRODUCT(IF(ISNUMBER(BJ369:BJ383),BJ369:BJ383,0),IF(ISERROR(BJ369:BJ383),0,1))</f>
        <v/>
      </c>
      <c r="BK516" s="356">
        <f t="array" ref="BK516">SUMPRODUCT(IF(ISNUMBER(BK369:BK383),BK369:BK383,0),IF(ISERROR(BK369:BK383),0,1))</f>
        <v/>
      </c>
      <c r="BL516" s="356">
        <f t="array" ref="BL516">SUMPRODUCT(IF(ISNUMBER(BL369:BL383),BL369:BL383,0),IF(ISERROR(BL369:BL383),0,1))</f>
        <v/>
      </c>
      <c r="BM516" s="356">
        <f t="array" ref="BM516">SUMPRODUCT(IF(ISNUMBER(BM369:BM383),BM369:BM383,0),IF(ISERROR(BM369:BM383),0,1))</f>
        <v/>
      </c>
      <c r="BN516" s="362">
        <f>SUM(BJ516:BM516)</f>
        <v/>
      </c>
      <c r="BO516" s="362" t="n">
        <v>42.79</v>
      </c>
      <c r="BP516" s="362" t="n">
        <v>44.13</v>
      </c>
      <c r="BQ516" s="362" t="n">
        <v>49.14</v>
      </c>
      <c r="BR516" s="362" t="n">
        <v>55.17</v>
      </c>
      <c r="BS516" s="367" t="inlineStr">
        <is>
          <t>半钢ST</t>
        </is>
      </c>
      <c r="BX516" s="367" t="inlineStr">
        <is>
          <t>半钢/半钢ST</t>
        </is>
      </c>
      <c r="BY516" s="362">
        <f>SUM(R516:X516)</f>
        <v/>
      </c>
      <c r="BZ516" s="362">
        <f>SUM(Y516:AE516)</f>
        <v/>
      </c>
      <c r="CA516" s="362">
        <f>SUM(AF516:AM516)</f>
        <v/>
      </c>
      <c r="CB516" s="362">
        <f>SUM(AN516:AV516)</f>
        <v/>
      </c>
      <c r="CD516" s="440" t="inlineStr">
        <is>
          <t>TIDAK ADA</t>
        </is>
      </c>
      <c r="CE516" s="362">
        <f>ROUND(BY516*$O516/1000,2)</f>
        <v/>
      </c>
      <c r="CF516" s="362">
        <f>ROUND(BZ516*$O516/1000,2)</f>
        <v/>
      </c>
      <c r="CG516" s="362">
        <f>ROUND(CA516*$O516/1000,2)</f>
        <v/>
      </c>
      <c r="CH516" s="362">
        <f>ROUND(CB516*$O516/1000,2)</f>
        <v/>
      </c>
      <c r="CI516" s="362">
        <f>SUM(CE516:CH516)</f>
        <v/>
      </c>
      <c r="CJ516" s="390" t="n"/>
      <c r="CK516" s="362">
        <f>IFERROR(ROUND(BY516*$P516,2),"")</f>
        <v/>
      </c>
      <c r="CL516" s="362">
        <f>IFERROR(ROUND(BZ516*$P516,2),"")</f>
        <v/>
      </c>
      <c r="CM516" s="362">
        <f>IFERROR(ROUND(CA516*$P516,2),"")</f>
        <v/>
      </c>
      <c r="CN516" s="362">
        <f>IFERROR(ROUND(CB516*$P516,2),"")</f>
        <v/>
      </c>
    </row>
    <row r="517" customFormat="1" s="362">
      <c r="A517" s="433" t="n"/>
      <c r="B517" s="434" t="inlineStr">
        <is>
          <t>美国</t>
        </is>
      </c>
      <c r="C517" s="434">
        <f>IFERROR(MID(E517,FIND("-",E517)-2,2),"")</f>
        <v/>
      </c>
      <c r="D517" s="434">
        <f>"半钢ST"&amp;C517&amp;"寸"</f>
        <v/>
      </c>
      <c r="E517" s="436">
        <f>LEFT(REPLACE(G517,1,2,""),FIND("[",REPLACE(G517,1,2,""))-1)&amp;"-"&amp;MID(REPLACE(G517,1,2,""),FIND("[",REPLACE(G517,1,2,""))+1,FIND("]",REPLACE(G517,1,2,""))-FIND("[",REPLACE(G517,1,2,""))-1)</f>
        <v/>
      </c>
      <c r="F517" s="436" t="inlineStr">
        <is>
          <t>IDST225/75R15-10PR[ST226]117/112L CASTLE ROCK无内 NR</t>
        </is>
      </c>
      <c r="G517" s="436" t="inlineStr">
        <is>
          <t>IDST225/75R15-10PR[ST226]117/112L CASTLE ROCK无内 NR</t>
        </is>
      </c>
      <c r="H517" s="434" t="n"/>
      <c r="I517" s="434" t="n"/>
      <c r="J517" s="434" t="n"/>
      <c r="K517" s="454" t="n"/>
      <c r="L517" s="438">
        <f>IF(J516="","",J516/(J516+$L$175/60))</f>
        <v/>
      </c>
      <c r="M517" s="438" t="n"/>
      <c r="N517" s="434" t="n"/>
      <c r="O517" s="434">
        <f>IFERROR(_xlfn.XLOOKUP(E517,轮胎重量!S:S,轮胎重量!P:P),IFERROR(_xlfn.XLOOKUP(E517,轮胎重量!AB:AB,轮胎重量!Y:Y),IFERROR(_xlfn.XLOOKUP(E517,轮胎重量!AK:AK,轮胎重量!AH:AH),IFERROR(_xlfn.XLOOKUP(E517,轮胎重量!AT:AT,轮胎重量!AQ:AQ),IFERROR(_xlfn.XLOOKUP(E517,轮胎重量!BB:BB,轮胎重量!AY:AY),"")))))</f>
        <v/>
      </c>
      <c r="P517" s="439">
        <f>O517*15.16</f>
        <v/>
      </c>
      <c r="Q517" s="434" t="n"/>
      <c r="R517" s="352" t="n">
        <v>360</v>
      </c>
      <c r="S517" s="352" t="n">
        <v>360</v>
      </c>
      <c r="T517" s="352" t="n">
        <v>360</v>
      </c>
      <c r="U517" s="352" t="n">
        <v>360</v>
      </c>
      <c r="V517" s="352" t="n">
        <v>360</v>
      </c>
      <c r="W517" s="352" t="n">
        <v>360</v>
      </c>
      <c r="X517" s="352" t="n">
        <v>360</v>
      </c>
      <c r="Y517" s="352" t="n">
        <v>360</v>
      </c>
      <c r="Z517" s="352" t="n">
        <v>360</v>
      </c>
      <c r="AA517" s="352" t="n">
        <v>360</v>
      </c>
      <c r="AB517" s="352" t="n">
        <v>360</v>
      </c>
      <c r="AC517" s="352" t="n">
        <v>360</v>
      </c>
      <c r="AD517" s="352" t="n">
        <v>360</v>
      </c>
      <c r="AE517" s="352" t="n">
        <v>360</v>
      </c>
      <c r="AF517" s="352" t="n">
        <v>360</v>
      </c>
      <c r="AG517" s="352" t="n">
        <v>360</v>
      </c>
      <c r="AH517" s="352" t="n">
        <v>360</v>
      </c>
      <c r="AI517" s="352" t="n">
        <v>360</v>
      </c>
      <c r="AJ517" s="352" t="n">
        <v>360</v>
      </c>
      <c r="AK517" s="352" t="n">
        <v>360</v>
      </c>
      <c r="AL517" s="352" t="n">
        <v>360</v>
      </c>
      <c r="AM517" s="352" t="n">
        <v>360</v>
      </c>
      <c r="AN517" s="352" t="n">
        <v>360</v>
      </c>
      <c r="AO517" s="352" t="n">
        <v>360</v>
      </c>
      <c r="AP517" s="352" t="n">
        <v>360</v>
      </c>
      <c r="AQ517" s="352" t="n">
        <v>360</v>
      </c>
      <c r="AR517" s="352" t="n">
        <v>360</v>
      </c>
      <c r="AS517" s="352" t="n">
        <v>360</v>
      </c>
      <c r="AT517" s="352" t="n">
        <v>360</v>
      </c>
      <c r="AU517" s="352" t="n">
        <v>360</v>
      </c>
      <c r="AV517" s="352" t="n">
        <v>360</v>
      </c>
      <c r="AW517" s="352">
        <f>IF(SUM(R517:AV517)=0,"",SUM(R517:AV517))</f>
        <v/>
      </c>
      <c r="AX517" s="431">
        <f>IFERROR(AW517*O517/1000,"")</f>
        <v/>
      </c>
      <c r="AY517" s="431">
        <f>IFERROR(ROUND(AW517*P517/10000,3),"")</f>
        <v/>
      </c>
      <c r="BC517" s="331" t="n"/>
      <c r="BD517" s="331" t="n"/>
      <c r="BE517" s="331" t="n"/>
      <c r="BF517" s="331" t="n"/>
      <c r="BG517" s="331" t="n"/>
      <c r="BH517" s="331" t="n"/>
      <c r="BI517" s="331" t="n"/>
      <c r="BJ517" s="356">
        <f t="array" ref="BJ517">SUMPRODUCT(IF(ISNUMBER(BJ369:BJ383),BJ369:BJ383,0),IF(ISERROR(BJ369:BJ383),0,1))</f>
        <v/>
      </c>
      <c r="BK517" s="356">
        <f t="array" ref="BK517">SUMPRODUCT(IF(ISNUMBER(BK369:BK383),BK369:BK383,0),IF(ISERROR(BK369:BK383),0,1))</f>
        <v/>
      </c>
      <c r="BL517" s="356">
        <f t="array" ref="BL517">SUMPRODUCT(IF(ISNUMBER(BL369:BL383),BL369:BL383,0),IF(ISERROR(BL369:BL383),0,1))</f>
        <v/>
      </c>
      <c r="BM517" s="356">
        <f t="array" ref="BM517">SUMPRODUCT(IF(ISNUMBER(BM369:BM383),BM369:BM383,0),IF(ISERROR(BM369:BM383),0,1))</f>
        <v/>
      </c>
      <c r="BN517" s="362">
        <f>SUM(BJ517:BM517)</f>
        <v/>
      </c>
      <c r="BO517" s="362" t="n">
        <v>42.79</v>
      </c>
      <c r="BP517" s="362" t="n">
        <v>44.13</v>
      </c>
      <c r="BQ517" s="362" t="n">
        <v>49.14</v>
      </c>
      <c r="BR517" s="362" t="n">
        <v>55.17</v>
      </c>
      <c r="BS517" s="367" t="inlineStr">
        <is>
          <t>半钢ST</t>
        </is>
      </c>
      <c r="BX517" s="367" t="inlineStr">
        <is>
          <t>半钢/半钢ST</t>
        </is>
      </c>
      <c r="BY517" s="362">
        <f>SUM(R517:X517)</f>
        <v/>
      </c>
      <c r="BZ517" s="362">
        <f>SUM(Y517:AE517)</f>
        <v/>
      </c>
      <c r="CA517" s="362">
        <f>SUM(AF517:AM517)</f>
        <v/>
      </c>
      <c r="CB517" s="362">
        <f>SUM(AN517:AV517)</f>
        <v/>
      </c>
      <c r="CD517" s="440" t="inlineStr">
        <is>
          <t>TIDAK ADA</t>
        </is>
      </c>
      <c r="CE517" s="362">
        <f>ROUND(BY517*$O517/1000,2)</f>
        <v/>
      </c>
      <c r="CF517" s="362">
        <f>ROUND(BZ517*$O517/1000,2)</f>
        <v/>
      </c>
      <c r="CG517" s="362">
        <f>ROUND(CA517*$O517/1000,2)</f>
        <v/>
      </c>
      <c r="CH517" s="362">
        <f>ROUND(CB517*$O517/1000,2)</f>
        <v/>
      </c>
      <c r="CI517" s="362">
        <f>SUM(CE517:CH517)</f>
        <v/>
      </c>
      <c r="CJ517" s="390" t="n"/>
      <c r="CK517" s="362">
        <f>IFERROR(ROUND(BY517*$P517,2),"")</f>
        <v/>
      </c>
      <c r="CL517" s="362">
        <f>IFERROR(ROUND(BZ517*$P517,2),"")</f>
        <v/>
      </c>
      <c r="CM517" s="362">
        <f>IFERROR(ROUND(CA517*$P517,2),"")</f>
        <v/>
      </c>
      <c r="CN517" s="362">
        <f>IFERROR(ROUND(CB517*$P517,2),"")</f>
        <v/>
      </c>
      <c r="CO517" s="362">
        <f>SUM(CK517:CN517)</f>
        <v/>
      </c>
    </row>
    <row r="518" customFormat="1" s="362">
      <c r="A518" s="433" t="n"/>
      <c r="B518" s="434" t="inlineStr">
        <is>
          <t>美国</t>
        </is>
      </c>
      <c r="C518" s="434">
        <f>IFERROR(MID(E518,FIND("-",E518)-2,2),"")</f>
        <v/>
      </c>
      <c r="D518" s="434">
        <f>"半钢ST"&amp;C518&amp;"寸"</f>
        <v/>
      </c>
      <c r="E518" s="436">
        <f>LEFT(REPLACE(G518,1,2,""),FIND("[",REPLACE(G518,1,2,""))-1)&amp;"-"&amp;MID(REPLACE(G518,1,2,""),FIND("[",REPLACE(G518,1,2,""))+1,FIND("]",REPLACE(G518,1,2,""))-FIND("[",REPLACE(G518,1,2,""))-1)</f>
        <v/>
      </c>
      <c r="F518" s="436" t="inlineStr">
        <is>
          <t>IDST205/75R15-6PR[ST200]101/97M GOODRIDE(好运)无内</t>
        </is>
      </c>
      <c r="G518" s="436" t="inlineStr">
        <is>
          <t>IDST205/75R15-6PR[ST200]101/97M GOODRIDE(好运)无内</t>
        </is>
      </c>
      <c r="H518" s="434" t="n">
        <v>7700</v>
      </c>
      <c r="I518" s="434" t="n"/>
      <c r="J518" s="434" t="n"/>
      <c r="K518" s="438" t="n"/>
      <c r="L518" s="438">
        <f>IF(J517="","",J517/(J517+$L$175/60))</f>
        <v/>
      </c>
      <c r="M518" s="438" t="n"/>
      <c r="N518" s="434" t="n"/>
      <c r="O518" s="434">
        <f>IFERROR(_xlfn.XLOOKUP(E518,轮胎重量!S:S,轮胎重量!P:P),IFERROR(_xlfn.XLOOKUP(E518,轮胎重量!AB:AB,轮胎重量!Y:Y),IFERROR(_xlfn.XLOOKUP(E518,轮胎重量!AK:AK,轮胎重量!AH:AH),IFERROR(_xlfn.XLOOKUP(E518,轮胎重量!AT:AT,轮胎重量!AQ:AQ),IFERROR(_xlfn.XLOOKUP(E518,轮胎重量!BB:BB,轮胎重量!AY:AY),"")))))</f>
        <v/>
      </c>
      <c r="P518" s="439">
        <f>O518*15.16</f>
        <v/>
      </c>
      <c r="Q518" s="434" t="n"/>
      <c r="R518" s="352" t="n">
        <v>120</v>
      </c>
      <c r="S518" s="352" t="n">
        <v>120</v>
      </c>
      <c r="T518" s="352" t="n">
        <v>120</v>
      </c>
      <c r="U518" s="352" t="n">
        <v>120</v>
      </c>
      <c r="V518" s="352" t="n">
        <v>120</v>
      </c>
      <c r="W518" s="352" t="n">
        <v>120</v>
      </c>
      <c r="X518" s="352" t="n">
        <v>120</v>
      </c>
      <c r="Y518" s="352" t="n">
        <v>120</v>
      </c>
      <c r="Z518" s="352" t="n">
        <v>120</v>
      </c>
      <c r="AA518" s="352" t="n">
        <v>120</v>
      </c>
      <c r="AB518" s="352" t="n">
        <v>120</v>
      </c>
      <c r="AC518" s="352" t="n">
        <v>120</v>
      </c>
      <c r="AD518" s="352" t="n">
        <v>120</v>
      </c>
      <c r="AE518" s="352" t="n">
        <v>120</v>
      </c>
      <c r="AF518" s="352" t="n">
        <v>120</v>
      </c>
      <c r="AG518" s="352" t="n">
        <v>120</v>
      </c>
      <c r="AH518" s="352" t="n">
        <v>120</v>
      </c>
      <c r="AI518" s="352" t="n">
        <v>120</v>
      </c>
      <c r="AJ518" s="352" t="n">
        <v>120</v>
      </c>
      <c r="AK518" s="352" t="n">
        <v>120</v>
      </c>
      <c r="AL518" s="352" t="n">
        <v>120</v>
      </c>
      <c r="AM518" s="352" t="n">
        <v>120</v>
      </c>
      <c r="AN518" s="352" t="n">
        <v>120</v>
      </c>
      <c r="AO518" s="352" t="n">
        <v>120</v>
      </c>
      <c r="AP518" s="352" t="n">
        <v>120</v>
      </c>
      <c r="AQ518" s="352" t="n">
        <v>120</v>
      </c>
      <c r="AR518" s="352" t="n">
        <v>120</v>
      </c>
      <c r="AS518" s="352" t="n">
        <v>120</v>
      </c>
      <c r="AT518" s="352" t="n">
        <v>120</v>
      </c>
      <c r="AU518" s="352" t="n">
        <v>120</v>
      </c>
      <c r="AV518" s="352" t="n">
        <v>120</v>
      </c>
      <c r="AW518" s="352">
        <f>IF(SUM(R518:AV518)=0,"",SUM(R518:AV518))</f>
        <v/>
      </c>
      <c r="AX518" s="431">
        <f>IFERROR(AW518*O518/1000,"")</f>
        <v/>
      </c>
      <c r="AY518" s="431">
        <f>IFERROR(ROUND(AW518*P518/10000,3),"")</f>
        <v/>
      </c>
      <c r="BC518" s="331" t="n"/>
      <c r="BD518" s="331" t="n"/>
      <c r="BE518" s="331" t="n"/>
      <c r="BF518" s="331" t="n"/>
      <c r="BG518" s="331" t="n"/>
      <c r="BH518" s="331" t="n"/>
      <c r="BI518" s="331" t="n"/>
      <c r="BJ518" s="356">
        <f t="array" ref="BJ518">SUMPRODUCT(IF(ISNUMBER(BJ369:BJ383),BJ369:BJ383,0),IF(ISERROR(BJ369:BJ383),0,1))</f>
        <v/>
      </c>
      <c r="BK518" s="356">
        <f t="array" ref="BK518">SUMPRODUCT(IF(ISNUMBER(BK369:BK383),BK369:BK383,0),IF(ISERROR(BK369:BK383),0,1))</f>
        <v/>
      </c>
      <c r="BL518" s="356">
        <f t="array" ref="BL518">SUMPRODUCT(IF(ISNUMBER(BL369:BL383),BL369:BL383,0),IF(ISERROR(BL369:BL383),0,1))</f>
        <v/>
      </c>
      <c r="BM518" s="356">
        <f t="array" ref="BM518">SUMPRODUCT(IF(ISNUMBER(BM369:BM383),BM369:BM383,0),IF(ISERROR(BM369:BM383),0,1))</f>
        <v/>
      </c>
      <c r="BN518" s="362">
        <f>SUM(BJ518:BM518)</f>
        <v/>
      </c>
      <c r="BO518" s="362" t="n">
        <v>42.79</v>
      </c>
      <c r="BP518" s="362" t="n">
        <v>44.13</v>
      </c>
      <c r="BQ518" s="362" t="n">
        <v>49.14</v>
      </c>
      <c r="BR518" s="362" t="n">
        <v>55.17</v>
      </c>
      <c r="BS518" s="367" t="inlineStr">
        <is>
          <t>半钢ST</t>
        </is>
      </c>
      <c r="BX518" s="367" t="inlineStr">
        <is>
          <t>半钢/半钢ST</t>
        </is>
      </c>
      <c r="BY518" s="362">
        <f>SUM(R518:X518)</f>
        <v/>
      </c>
      <c r="BZ518" s="362">
        <f>SUM(Y518:AE518)</f>
        <v/>
      </c>
      <c r="CA518" s="362">
        <f>SUM(AF518:AM518)</f>
        <v/>
      </c>
      <c r="CB518" s="362">
        <f>SUM(AN518:AV518)</f>
        <v/>
      </c>
      <c r="CD518" s="440" t="inlineStr">
        <is>
          <t>TIDAK ADA</t>
        </is>
      </c>
      <c r="CE518" s="362">
        <f>ROUND(BY518*$O518/1000,2)</f>
        <v/>
      </c>
      <c r="CF518" s="362">
        <f>ROUND(BZ518*$O518/1000,2)</f>
        <v/>
      </c>
      <c r="CG518" s="362">
        <f>ROUND(CA518*$O518/1000,2)</f>
        <v/>
      </c>
      <c r="CH518" s="362">
        <f>ROUND(CB518*$O518/1000,2)</f>
        <v/>
      </c>
      <c r="CI518" s="362">
        <f>SUM(CE518:CH518)</f>
        <v/>
      </c>
      <c r="CJ518" s="390" t="n"/>
      <c r="CK518" s="362">
        <f>IFERROR(ROUND(BY518*$P518,2),"")</f>
        <v/>
      </c>
      <c r="CL518" s="362">
        <f>IFERROR(ROUND(BZ518*$P518,2),"")</f>
        <v/>
      </c>
      <c r="CM518" s="362">
        <f>IFERROR(ROUND(CA518*$P518,2),"")</f>
        <v/>
      </c>
      <c r="CN518" s="362">
        <f>IFERROR(ROUND(CB518*$P518,2),"")</f>
        <v/>
      </c>
      <c r="CO518" s="362">
        <f>SUM(CK518:CN518)</f>
        <v/>
      </c>
    </row>
    <row r="519" customFormat="1" s="362">
      <c r="A519" s="433" t="n"/>
      <c r="B519" s="434" t="inlineStr">
        <is>
          <t>美国</t>
        </is>
      </c>
      <c r="C519" s="434">
        <f>IFERROR(MID(E519,FIND("-",E519)-2,2),"")</f>
        <v/>
      </c>
      <c r="D519" s="434">
        <f>"半钢ST"&amp;C519&amp;"寸"</f>
        <v/>
      </c>
      <c r="E519" s="436">
        <f>LEFT(REPLACE(G519,1,2,""),FIND("[",REPLACE(G519,1,2,""))-1)&amp;"-"&amp;MID(REPLACE(G519,1,2,""),FIND("[",REPLACE(G519,1,2,""))+1,FIND("]",REPLACE(G519,1,2,""))-FIND("[",REPLACE(G519,1,2,""))-1)</f>
        <v/>
      </c>
      <c r="F519" s="436" t="inlineStr">
        <is>
          <t>IDST225/75R15-8PR[ST226]113/108L CASTLE ROCK无内 NR</t>
        </is>
      </c>
      <c r="G519" s="436" t="inlineStr">
        <is>
          <t>IDST225/75R15-8PR[ST226]113/108L CASTLE ROCK无内 NR</t>
        </is>
      </c>
      <c r="H519" s="434" t="n"/>
      <c r="I519" s="434" t="n"/>
      <c r="J519" s="434" t="n"/>
      <c r="K519" s="438" t="n"/>
      <c r="L519" s="438" t="n"/>
      <c r="M519" s="438" t="n"/>
      <c r="N519" s="434" t="n"/>
      <c r="O519" s="434">
        <f>IFERROR(_xlfn.XLOOKUP(E519,轮胎重量!S:S,轮胎重量!P:P),IFERROR(_xlfn.XLOOKUP(E519,轮胎重量!AB:AB,轮胎重量!Y:Y),IFERROR(_xlfn.XLOOKUP(E519,轮胎重量!AK:AK,轮胎重量!AH:AH),IFERROR(_xlfn.XLOOKUP(E519,轮胎重量!AT:AT,轮胎重量!AQ:AQ),IFERROR(_xlfn.XLOOKUP(E519,轮胎重量!BB:BB,轮胎重量!AY:AY),"")))))</f>
        <v/>
      </c>
      <c r="P519" s="439">
        <f>O519*15.16</f>
        <v/>
      </c>
      <c r="Q519" s="434" t="n"/>
      <c r="R519" s="352" t="n">
        <v>480</v>
      </c>
      <c r="S519" s="352" t="n">
        <v>480</v>
      </c>
      <c r="T519" s="352" t="n">
        <v>480</v>
      </c>
      <c r="U519" s="352" t="n">
        <v>480</v>
      </c>
      <c r="V519" s="352" t="n">
        <v>480</v>
      </c>
      <c r="W519" s="352" t="n">
        <v>480</v>
      </c>
      <c r="X519" s="352" t="n">
        <v>480</v>
      </c>
      <c r="Y519" s="352" t="n">
        <v>480</v>
      </c>
      <c r="Z519" s="352" t="n">
        <v>480</v>
      </c>
      <c r="AA519" s="352" t="n">
        <v>480</v>
      </c>
      <c r="AB519" s="352" t="n">
        <v>480</v>
      </c>
      <c r="AC519" s="352" t="n">
        <v>480</v>
      </c>
      <c r="AD519" s="352" t="n">
        <v>480</v>
      </c>
      <c r="AE519" s="352" t="n">
        <v>480</v>
      </c>
      <c r="AF519" s="352" t="n">
        <v>480</v>
      </c>
      <c r="AG519" s="352" t="n">
        <v>480</v>
      </c>
      <c r="AH519" s="352" t="n">
        <v>480</v>
      </c>
      <c r="AI519" s="352" t="n">
        <v>480</v>
      </c>
      <c r="AJ519" s="352" t="n">
        <v>480</v>
      </c>
      <c r="AK519" s="352" t="n">
        <v>480</v>
      </c>
      <c r="AL519" s="352" t="n">
        <v>480</v>
      </c>
      <c r="AM519" s="352" t="n">
        <v>480</v>
      </c>
      <c r="AN519" s="352" t="n">
        <v>480</v>
      </c>
      <c r="AO519" s="352" t="n">
        <v>480</v>
      </c>
      <c r="AP519" s="352" t="n">
        <v>480</v>
      </c>
      <c r="AQ519" s="352" t="n">
        <v>480</v>
      </c>
      <c r="AR519" s="352" t="n">
        <v>480</v>
      </c>
      <c r="AS519" s="352" t="n">
        <v>480</v>
      </c>
      <c r="AT519" s="352" t="n">
        <v>480</v>
      </c>
      <c r="AU519" s="352" t="n">
        <v>480</v>
      </c>
      <c r="AV519" s="352" t="n">
        <v>480</v>
      </c>
      <c r="AW519" s="352">
        <f>IF(SUM(R519:AV519)=0,"",SUM(R519:AV519))</f>
        <v/>
      </c>
      <c r="AX519" s="431">
        <f>IFERROR(AW519*O519/1000,"")</f>
        <v/>
      </c>
      <c r="AY519" s="431">
        <f>IFERROR(ROUND(AW519*P519/10000,3),"")</f>
        <v/>
      </c>
      <c r="BC519" s="331" t="n"/>
      <c r="BD519" s="331" t="n"/>
      <c r="BE519" s="331" t="n"/>
      <c r="BF519" s="331" t="n"/>
      <c r="BG519" s="331" t="n"/>
      <c r="BH519" s="331" t="n"/>
      <c r="BI519" s="331" t="n"/>
      <c r="BJ519" s="356">
        <f t="array" ref="BJ519">SUMPRODUCT(IF(ISNUMBER(BJ370:BJ384),BJ370:BJ384,0),IF(ISERROR(BJ370:BJ384),0,1))</f>
        <v/>
      </c>
      <c r="BK519" s="356">
        <f t="array" ref="BK519">SUMPRODUCT(IF(ISNUMBER(BK370:BK384),BK370:BK384,0),IF(ISERROR(BK370:BK384),0,1))</f>
        <v/>
      </c>
      <c r="BL519" s="356">
        <f t="array" ref="BL519">SUMPRODUCT(IF(ISNUMBER(BL370:BL384),BL370:BL384,0),IF(ISERROR(BL370:BL384),0,1))</f>
        <v/>
      </c>
      <c r="BM519" s="356">
        <f t="array" ref="BM519">SUMPRODUCT(IF(ISNUMBER(BM370:BM384),BM370:BM384,0),IF(ISERROR(BM370:BM384),0,1))</f>
        <v/>
      </c>
      <c r="BN519" s="362">
        <f>SUM(BJ519:BM519)</f>
        <v/>
      </c>
      <c r="BO519" s="362" t="n">
        <v>42.79</v>
      </c>
      <c r="BP519" s="362" t="n">
        <v>44.13</v>
      </c>
      <c r="BQ519" s="362" t="n">
        <v>49.14</v>
      </c>
      <c r="BR519" s="362" t="n">
        <v>55.17</v>
      </c>
      <c r="BS519" s="367" t="inlineStr">
        <is>
          <t>半钢ST</t>
        </is>
      </c>
      <c r="BX519" s="367" t="inlineStr">
        <is>
          <t>半钢/半钢ST</t>
        </is>
      </c>
      <c r="BY519" s="362">
        <f>SUM(R519:X519)</f>
        <v/>
      </c>
      <c r="BZ519" s="362">
        <f>SUM(Y519:AE519)</f>
        <v/>
      </c>
      <c r="CA519" s="362">
        <f>SUM(AF519:AM519)</f>
        <v/>
      </c>
      <c r="CB519" s="362">
        <f>SUM(AN519:AV519)</f>
        <v/>
      </c>
      <c r="CD519" s="440" t="inlineStr">
        <is>
          <t>TIDAK ADA</t>
        </is>
      </c>
      <c r="CE519" s="362">
        <f>ROUND(BY519*$O519/1000,2)</f>
        <v/>
      </c>
      <c r="CF519" s="362">
        <f>ROUND(BZ519*$O519/1000,2)</f>
        <v/>
      </c>
      <c r="CG519" s="362">
        <f>ROUND(CA519*$O519/1000,2)</f>
        <v/>
      </c>
      <c r="CH519" s="362">
        <f>ROUND(CB519*$O519/1000,2)</f>
        <v/>
      </c>
      <c r="CI519" s="362">
        <f>SUM(CE519:CH519)</f>
        <v/>
      </c>
      <c r="CJ519" s="390" t="n"/>
      <c r="CK519" s="362">
        <f>IFERROR(ROUND(BY519*$P519,2),"")</f>
        <v/>
      </c>
      <c r="CL519" s="362">
        <f>IFERROR(ROUND(BZ519*$P519,2),"")</f>
        <v/>
      </c>
      <c r="CM519" s="362">
        <f>IFERROR(ROUND(CA519*$P519,2),"")</f>
        <v/>
      </c>
      <c r="CN519" s="362">
        <f>IFERROR(ROUND(CB519*$P519,2),"")</f>
        <v/>
      </c>
    </row>
    <row r="520" customFormat="1" s="362">
      <c r="A520" s="433" t="n"/>
      <c r="B520" s="434" t="inlineStr">
        <is>
          <t>美国</t>
        </is>
      </c>
      <c r="C520" s="434">
        <f>IFERROR(MID(E520,FIND("-",E520)-2,2),"")</f>
        <v/>
      </c>
      <c r="D520" s="434">
        <f>"半钢ST"&amp;C520&amp;"寸"</f>
        <v/>
      </c>
      <c r="E520" s="436">
        <f>LEFT(REPLACE(G520,1,2,""),FIND("[",REPLACE(G520,1,2,""))-1)&amp;"-"&amp;MID(REPLACE(G520,1,2,""),FIND("[",REPLACE(G520,1,2,""))+1,FIND("]",REPLACE(G520,1,2,""))-FIND("[",REPLACE(G520,1,2,""))-1)</f>
        <v/>
      </c>
      <c r="F520" s="436" t="inlineStr">
        <is>
          <t>IDST205/75R15-8PR[ST226]107/102L CASTLE ROCK无内 NR</t>
        </is>
      </c>
      <c r="G520" s="436" t="inlineStr">
        <is>
          <t>IDST205/75R15-8PR[ST226]107/102L CASTLE ROCK无内 NR</t>
        </is>
      </c>
      <c r="H520" s="434" t="n">
        <v>5900</v>
      </c>
      <c r="I520" s="434" t="n"/>
      <c r="J520" s="434" t="n"/>
      <c r="K520" s="434" t="n"/>
      <c r="L520" s="438">
        <f>IF(J508="","",J508/(J508+$L$175/60))</f>
        <v/>
      </c>
      <c r="M520" s="438" t="n"/>
      <c r="N520" s="434" t="n"/>
      <c r="O520" s="434">
        <f>IFERROR(_xlfn.XLOOKUP(E520,轮胎重量!S:S,轮胎重量!P:P),IFERROR(_xlfn.XLOOKUP(E520,轮胎重量!AB:AB,轮胎重量!Y:Y),IFERROR(_xlfn.XLOOKUP(E520,轮胎重量!AK:AK,轮胎重量!AH:AH),IFERROR(_xlfn.XLOOKUP(E520,轮胎重量!AT:AT,轮胎重量!AQ:AQ),IFERROR(_xlfn.XLOOKUP(E520,轮胎重量!BB:BB,轮胎重量!AY:AY),"")))))</f>
        <v/>
      </c>
      <c r="P520" s="439">
        <f>O520*15.16</f>
        <v/>
      </c>
      <c r="Q520" s="434" t="n"/>
      <c r="R520" s="352" t="n"/>
      <c r="S520" s="352" t="n"/>
      <c r="T520" s="352" t="n"/>
      <c r="U520" s="352" t="n"/>
      <c r="V520" s="352" t="n"/>
      <c r="W520" s="352" t="n"/>
      <c r="X520" s="352" t="n"/>
      <c r="Y520" s="352" t="n"/>
      <c r="Z520" s="352" t="n"/>
      <c r="AA520" s="352" t="n"/>
      <c r="AB520" s="352" t="n">
        <v>720</v>
      </c>
      <c r="AC520" s="352" t="n">
        <v>720</v>
      </c>
      <c r="AD520" s="352" t="n">
        <v>720</v>
      </c>
      <c r="AE520" s="352" t="n">
        <v>720</v>
      </c>
      <c r="AF520" s="352" t="n">
        <v>720</v>
      </c>
      <c r="AG520" s="352" t="n">
        <v>720</v>
      </c>
      <c r="AH520" s="352" t="n">
        <v>720</v>
      </c>
      <c r="AI520" s="352" t="n">
        <v>720</v>
      </c>
      <c r="AJ520" s="352" t="n">
        <v>720</v>
      </c>
      <c r="AK520" s="352" t="n">
        <v>720</v>
      </c>
      <c r="AL520" s="352" t="n">
        <v>720</v>
      </c>
      <c r="AM520" s="352" t="n">
        <v>720</v>
      </c>
      <c r="AN520" s="352" t="n">
        <v>720</v>
      </c>
      <c r="AO520" s="352" t="n">
        <v>720</v>
      </c>
      <c r="AP520" s="352" t="n">
        <v>720</v>
      </c>
      <c r="AQ520" s="352" t="n">
        <v>720</v>
      </c>
      <c r="AR520" s="352" t="n">
        <v>720</v>
      </c>
      <c r="AS520" s="352" t="n">
        <v>720</v>
      </c>
      <c r="AT520" s="352" t="n">
        <v>720</v>
      </c>
      <c r="AU520" s="352" t="n">
        <v>720</v>
      </c>
      <c r="AV520" s="352" t="n">
        <v>720</v>
      </c>
      <c r="AW520" s="352">
        <f>IF(SUM(R520:AV520)=0,"",SUM(R520:AV520))</f>
        <v/>
      </c>
      <c r="AX520" s="431">
        <f>IFERROR(AW520*O520/1000,"")</f>
        <v/>
      </c>
      <c r="AY520" s="431">
        <f>IFERROR(ROUND(AW520*P520/10000,3),"")</f>
        <v/>
      </c>
      <c r="BC520" s="331" t="n"/>
      <c r="BD520" s="331" t="n"/>
      <c r="BE520" s="331" t="n"/>
      <c r="BF520" s="331" t="n"/>
      <c r="BG520" s="331" t="n"/>
      <c r="BH520" s="331" t="n"/>
      <c r="BI520" s="331" t="n"/>
      <c r="BJ520" s="356">
        <f t="array" ref="BJ520">SUMPRODUCT(IF(ISNUMBER(BJ379:BJ391),BJ379:BJ391,0),IF(ISERROR(BJ379:BJ391),0,1))</f>
        <v/>
      </c>
      <c r="BK520" s="356">
        <f t="array" ref="BK520">SUMPRODUCT(IF(ISNUMBER(BK379:BK391),BK379:BK391,0),IF(ISERROR(BK379:BK391),0,1))</f>
        <v/>
      </c>
      <c r="BL520" s="356">
        <f t="array" ref="BL520">SUMPRODUCT(IF(ISNUMBER(BL379:BL391),BL379:BL391,0),IF(ISERROR(BL379:BL391),0,1))</f>
        <v/>
      </c>
      <c r="BM520" s="356">
        <f t="array" ref="BM520">SUMPRODUCT(IF(ISNUMBER(BM379:BM391),BM379:BM391,0),IF(ISERROR(BM379:BM391),0,1))</f>
        <v/>
      </c>
      <c r="BN520" s="362">
        <f>SUM(BJ520:BM520)</f>
        <v/>
      </c>
      <c r="BO520" s="362" t="n">
        <v>42.79</v>
      </c>
      <c r="BP520" s="362" t="n">
        <v>44.13</v>
      </c>
      <c r="BQ520" s="362" t="n">
        <v>49.14</v>
      </c>
      <c r="BR520" s="362" t="n">
        <v>55.17</v>
      </c>
      <c r="BS520" s="367" t="inlineStr">
        <is>
          <t>半钢ST</t>
        </is>
      </c>
      <c r="BX520" s="367" t="inlineStr">
        <is>
          <t>半钢/半钢ST</t>
        </is>
      </c>
      <c r="BY520" s="362">
        <f>SUM(R520:X520)</f>
        <v/>
      </c>
      <c r="BZ520" s="362">
        <f>SUM(Y520:AE520)</f>
        <v/>
      </c>
      <c r="CA520" s="362">
        <f>SUM(AF520:AM520)</f>
        <v/>
      </c>
      <c r="CB520" s="362">
        <f>SUM(AN520:AV520)</f>
        <v/>
      </c>
      <c r="CD520" s="440" t="inlineStr">
        <is>
          <t>TIDAK ADA</t>
        </is>
      </c>
      <c r="CE520" s="362">
        <f>ROUND(BY520*$O520/1000,2)</f>
        <v/>
      </c>
      <c r="CF520" s="362">
        <f>ROUND(BZ520*$O520/1000,2)</f>
        <v/>
      </c>
      <c r="CG520" s="362">
        <f>ROUND(CA520*$O520/1000,2)</f>
        <v/>
      </c>
      <c r="CH520" s="362">
        <f>ROUND(CB520*$O520/1000,2)</f>
        <v/>
      </c>
      <c r="CI520" s="362">
        <f>SUM(CE520:CH520)</f>
        <v/>
      </c>
      <c r="CJ520" s="390" t="n"/>
      <c r="CK520" s="362">
        <f>IFERROR(ROUND(BY520*$P520,2),"")</f>
        <v/>
      </c>
      <c r="CL520" s="362">
        <f>IFERROR(ROUND(BZ520*$P520,2),"")</f>
        <v/>
      </c>
      <c r="CM520" s="362">
        <f>IFERROR(ROUND(CA520*$P520,2),"")</f>
        <v/>
      </c>
      <c r="CN520" s="362">
        <f>IFERROR(ROUND(CB520*$P520,2),"")</f>
        <v/>
      </c>
      <c r="CO520" s="362">
        <f>SUM(CK520:CN520)</f>
        <v/>
      </c>
    </row>
    <row r="521" customFormat="1" s="362">
      <c r="A521" s="433" t="n"/>
      <c r="B521" s="434" t="inlineStr">
        <is>
          <t>美国</t>
        </is>
      </c>
      <c r="C521" s="434">
        <f>IFERROR(MID(E521,FIND("-",E521)-2,2),"")</f>
        <v/>
      </c>
      <c r="D521" s="434">
        <f>"半钢ST"&amp;C521&amp;"寸"</f>
        <v/>
      </c>
      <c r="E521" s="436">
        <f>LEFT(REPLACE(G521,1,2,""),FIND("[",REPLACE(G521,1,2,""))-1)&amp;"-"&amp;MID(REPLACE(G521,1,2,""),FIND("[",REPLACE(G521,1,2,""))+1,FIND("]",REPLACE(G521,1,2,""))-FIND("[",REPLACE(G521,1,2,""))-1)</f>
        <v/>
      </c>
      <c r="F521" s="436" t="inlineStr">
        <is>
          <t>IDST205/75R15-6PR[ST226]101/97L CASTLE ROCK无内 NR</t>
        </is>
      </c>
      <c r="G521" s="436" t="inlineStr">
        <is>
          <t>IDST205/75R15-6PR[ST226]101/97L CASTLE ROCK无内 NR</t>
        </is>
      </c>
      <c r="H521" s="434" t="n"/>
      <c r="I521" s="434" t="n"/>
      <c r="J521" s="434" t="n"/>
      <c r="K521" s="434" t="n"/>
      <c r="L521" s="438">
        <f>IF(J503="","",J503/(J503+$L$175/60))</f>
        <v/>
      </c>
      <c r="M521" s="438" t="n"/>
      <c r="N521" s="434" t="n"/>
      <c r="O521" s="434">
        <f>IFERROR(_xlfn.XLOOKUP(E521,轮胎重量!S:S,轮胎重量!P:P),IFERROR(_xlfn.XLOOKUP(E521,轮胎重量!AB:AB,轮胎重量!Y:Y),IFERROR(_xlfn.XLOOKUP(E521,轮胎重量!AK:AK,轮胎重量!AH:AH),IFERROR(_xlfn.XLOOKUP(E521,轮胎重量!AT:AT,轮胎重量!AQ:AQ),IFERROR(_xlfn.XLOOKUP(E521,轮胎重量!BB:BB,轮胎重量!AY:AY),"")))))</f>
        <v/>
      </c>
      <c r="P521" s="439">
        <f>O521*15.16</f>
        <v/>
      </c>
      <c r="Q521" s="434" t="n"/>
      <c r="R521" s="352" t="n">
        <v>720</v>
      </c>
      <c r="S521" s="352" t="n">
        <v>720</v>
      </c>
      <c r="T521" s="352" t="n">
        <v>720</v>
      </c>
      <c r="U521" s="352" t="n">
        <v>720</v>
      </c>
      <c r="V521" s="352" t="n">
        <v>720</v>
      </c>
      <c r="W521" s="352" t="n">
        <v>720</v>
      </c>
      <c r="X521" s="352" t="n">
        <v>720</v>
      </c>
      <c r="Y521" s="352" t="n">
        <v>720</v>
      </c>
      <c r="Z521" s="352" t="n">
        <v>720</v>
      </c>
      <c r="AA521" s="352" t="n">
        <v>720</v>
      </c>
      <c r="AB521" s="352" t="n"/>
      <c r="AC521" s="352" t="n"/>
      <c r="AD521" s="352" t="n"/>
      <c r="AE521" s="352" t="n"/>
      <c r="AF521" s="352" t="n"/>
      <c r="AG521" s="352" t="n"/>
      <c r="AH521" s="352" t="n"/>
      <c r="AI521" s="352" t="n"/>
      <c r="AJ521" s="352" t="n"/>
      <c r="AK521" s="352" t="n"/>
      <c r="AL521" s="352" t="n"/>
      <c r="AM521" s="352" t="n"/>
      <c r="AN521" s="352" t="n"/>
      <c r="AO521" s="352" t="n"/>
      <c r="AP521" s="352" t="n"/>
      <c r="AQ521" s="352" t="n"/>
      <c r="AR521" s="352" t="n"/>
      <c r="AS521" s="352" t="n"/>
      <c r="AT521" s="352" t="n"/>
      <c r="AU521" s="352" t="n"/>
      <c r="AV521" s="352" t="n"/>
      <c r="AW521" s="352">
        <f>IF(SUM(R521:AV521)=0,"",SUM(R521:AV521))</f>
        <v/>
      </c>
      <c r="AX521" s="431">
        <f>IFERROR(AW521*O521/1000,"")</f>
        <v/>
      </c>
      <c r="AY521" s="431">
        <f>IFERROR(ROUND(AW521*P521/10000,3),"")</f>
        <v/>
      </c>
      <c r="BC521" s="331" t="n"/>
      <c r="BD521" s="331" t="n"/>
      <c r="BE521" s="331" t="n"/>
      <c r="BF521" s="331" t="n"/>
      <c r="BG521" s="331" t="n"/>
      <c r="BH521" s="331" t="n"/>
      <c r="BI521" s="331" t="n"/>
      <c r="BJ521" s="356">
        <f t="array" ref="BJ521">SUMPRODUCT(IF(ISNUMBER(BJ374:BJ388),BJ374:BJ388,0),IF(ISERROR(BJ374:BJ388),0,1))</f>
        <v/>
      </c>
      <c r="BK521" s="356">
        <f t="array" ref="BK521">SUMPRODUCT(IF(ISNUMBER(BK374:BK388),BK374:BK388,0),IF(ISERROR(BK374:BK388),0,1))</f>
        <v/>
      </c>
      <c r="BL521" s="356">
        <f t="array" ref="BL521">SUMPRODUCT(IF(ISNUMBER(BL374:BL388),BL374:BL388,0),IF(ISERROR(BL374:BL388),0,1))</f>
        <v/>
      </c>
      <c r="BM521" s="356">
        <f t="array" ref="BM521">SUMPRODUCT(IF(ISNUMBER(BM374:BM388),BM374:BM388,0),IF(ISERROR(BM374:BM388),0,1))</f>
        <v/>
      </c>
      <c r="BN521" s="362">
        <f>SUM(BJ521:BM521)</f>
        <v/>
      </c>
      <c r="BO521" s="362" t="n">
        <v>42.79</v>
      </c>
      <c r="BP521" s="362" t="n">
        <v>44.13</v>
      </c>
      <c r="BQ521" s="362" t="n">
        <v>49.14</v>
      </c>
      <c r="BR521" s="362" t="n">
        <v>55.17</v>
      </c>
      <c r="BS521" s="367" t="inlineStr">
        <is>
          <t>半钢ST</t>
        </is>
      </c>
      <c r="BX521" s="367" t="inlineStr">
        <is>
          <t>半钢/半钢ST</t>
        </is>
      </c>
      <c r="BY521" s="362">
        <f>SUM(R521:X521)</f>
        <v/>
      </c>
      <c r="BZ521" s="362">
        <f>SUM(Y521:AE521)</f>
        <v/>
      </c>
      <c r="CA521" s="362">
        <f>SUM(AF521:AM521)</f>
        <v/>
      </c>
      <c r="CB521" s="362">
        <f>SUM(AN521:AV521)</f>
        <v/>
      </c>
      <c r="CD521" s="440" t="inlineStr">
        <is>
          <t>TIDAK ADA</t>
        </is>
      </c>
      <c r="CE521" s="362">
        <f>ROUND(BY521*$O521/1000,2)</f>
        <v/>
      </c>
      <c r="CF521" s="362">
        <f>ROUND(BZ521*$O521/1000,2)</f>
        <v/>
      </c>
      <c r="CG521" s="362">
        <f>ROUND(CA521*$O521/1000,2)</f>
        <v/>
      </c>
      <c r="CH521" s="362">
        <f>ROUND(CB521*$O521/1000,2)</f>
        <v/>
      </c>
      <c r="CI521" s="362">
        <f>SUM(CE521:CH521)</f>
        <v/>
      </c>
      <c r="CJ521" s="390" t="n"/>
      <c r="CK521" s="362">
        <f>IFERROR(ROUND(BY521*$P521,2),"")</f>
        <v/>
      </c>
      <c r="CL521" s="362">
        <f>IFERROR(ROUND(BZ521*$P521,2),"")</f>
        <v/>
      </c>
      <c r="CM521" s="362">
        <f>IFERROR(ROUND(CA521*$P521,2),"")</f>
        <v/>
      </c>
      <c r="CN521" s="362">
        <f>IFERROR(ROUND(CB521*$P521,2),"")</f>
        <v/>
      </c>
    </row>
    <row r="522" customFormat="1" s="362">
      <c r="A522" s="433" t="n"/>
      <c r="B522" s="434" t="inlineStr">
        <is>
          <t>美国</t>
        </is>
      </c>
      <c r="C522" s="434">
        <f>IFERROR(MID(E522,FIND("-",E522)-2,2),"")</f>
        <v/>
      </c>
      <c r="D522" s="434">
        <f>"半钢ST"&amp;C522&amp;"寸"</f>
        <v/>
      </c>
      <c r="E522" s="436">
        <f>LEFT(REPLACE(G522,1,2,""),FIND("[",REPLACE(G522,1,2,""))-1)&amp;"-"&amp;MID(REPLACE(G522,1,2,""),FIND("[",REPLACE(G522,1,2,""))+1,FIND("]",REPLACE(G522,1,2,""))-FIND("[",REPLACE(G522,1,2,""))-1)</f>
        <v/>
      </c>
      <c r="F522" s="436" t="inlineStr">
        <is>
          <t>IDST225/75R15-10PR[ST Radial]117/112M Tamarack无内 NR</t>
        </is>
      </c>
      <c r="G522" s="436" t="inlineStr">
        <is>
          <t>IDST225/75R15-10PR[ST Radial]117/112M Tamarack无内 NR</t>
        </is>
      </c>
      <c r="H522" s="434" t="n">
        <v>1000</v>
      </c>
      <c r="I522" s="434" t="n"/>
      <c r="J522" s="434" t="n"/>
      <c r="K522" s="434" t="n"/>
      <c r="L522" s="438">
        <f>IF(J497="","",J497/(J497+$L$175/60))</f>
        <v/>
      </c>
      <c r="M522" s="438" t="n"/>
      <c r="N522" s="434" t="n"/>
      <c r="O522" s="434">
        <f>IFERROR(_xlfn.XLOOKUP(E522,轮胎重量!S:S,轮胎重量!P:P),IFERROR(_xlfn.XLOOKUP(E522,轮胎重量!AB:AB,轮胎重量!Y:Y),IFERROR(_xlfn.XLOOKUP(E522,轮胎重量!AK:AK,轮胎重量!AH:AH),IFERROR(_xlfn.XLOOKUP(E522,轮胎重量!AT:AT,轮胎重量!AQ:AQ),IFERROR(_xlfn.XLOOKUP(E522,轮胎重量!BB:BB,轮胎重量!AY:AY),"")))))</f>
        <v/>
      </c>
      <c r="P522" s="439">
        <f>O522*15.16</f>
        <v/>
      </c>
      <c r="Q522" s="434" t="n"/>
      <c r="R522" s="352" t="n"/>
      <c r="S522" s="352" t="n"/>
      <c r="T522" s="352" t="n"/>
      <c r="U522" s="352" t="n"/>
      <c r="V522" s="352" t="n"/>
      <c r="W522" s="352" t="n"/>
      <c r="X522" s="352" t="n"/>
      <c r="Y522" s="352" t="n"/>
      <c r="Z522" s="352" t="n"/>
      <c r="AA522" s="352" t="n"/>
      <c r="AB522" s="352" t="n"/>
      <c r="AC522" s="352" t="n"/>
      <c r="AD522" s="352" t="n"/>
      <c r="AE522" s="352" t="n"/>
      <c r="AF522" s="352" t="n"/>
      <c r="AG522" s="352" t="n"/>
      <c r="AH522" s="352" t="n"/>
      <c r="AI522" s="352" t="n"/>
      <c r="AJ522" s="352" t="n"/>
      <c r="AK522" s="352" t="n"/>
      <c r="AL522" s="352" t="n">
        <v>120</v>
      </c>
      <c r="AM522" s="352" t="n">
        <v>120</v>
      </c>
      <c r="AN522" s="352" t="n">
        <v>120</v>
      </c>
      <c r="AO522" s="352" t="n">
        <v>120</v>
      </c>
      <c r="AP522" s="352" t="n">
        <v>120</v>
      </c>
      <c r="AQ522" s="352" t="n">
        <v>120</v>
      </c>
      <c r="AR522" s="352" t="n">
        <v>120</v>
      </c>
      <c r="AS522" s="352" t="n">
        <v>120</v>
      </c>
      <c r="AT522" s="352" t="n">
        <v>120</v>
      </c>
      <c r="AU522" s="352" t="n">
        <v>120</v>
      </c>
      <c r="AV522" s="352" t="n">
        <v>120</v>
      </c>
      <c r="AW522" s="352">
        <f>IF(SUM(R522:AV522)=0,"",SUM(R522:AV522))</f>
        <v/>
      </c>
      <c r="AX522" s="431">
        <f>IFERROR(AW522*O522/1000,"")</f>
        <v/>
      </c>
      <c r="AY522" s="431">
        <f>IFERROR(ROUND(AW522*P522/10000,3),"")</f>
        <v/>
      </c>
      <c r="BC522" s="331" t="n"/>
      <c r="BD522" s="331" t="n"/>
      <c r="BE522" s="331" t="n"/>
      <c r="BF522" s="331" t="n"/>
      <c r="BG522" s="331" t="n"/>
      <c r="BH522" s="331" t="n"/>
      <c r="BI522" s="331" t="n"/>
      <c r="BJ522" s="356">
        <f t="array" ref="BJ522">SUMPRODUCT(IF(ISNUMBER(BJ368:BJ382),BJ368:BJ382,0),IF(ISERROR(BJ368:BJ382),0,1))</f>
        <v/>
      </c>
      <c r="BK522" s="356">
        <f t="array" ref="BK522">SUMPRODUCT(IF(ISNUMBER(BK368:BK382),BK368:BK382,0),IF(ISERROR(BK368:BK382),0,1))</f>
        <v/>
      </c>
      <c r="BL522" s="356">
        <f t="array" ref="BL522">SUMPRODUCT(IF(ISNUMBER(BL368:BL382),BL368:BL382,0),IF(ISERROR(BL368:BL382),0,1))</f>
        <v/>
      </c>
      <c r="BM522" s="356">
        <f t="array" ref="BM522">SUMPRODUCT(IF(ISNUMBER(BM368:BM382),BM368:BM382,0),IF(ISERROR(BM368:BM382),0,1))</f>
        <v/>
      </c>
      <c r="BN522" s="362">
        <f>SUM(BJ522:BM522)</f>
        <v/>
      </c>
      <c r="BO522" s="362" t="n">
        <v>42.79</v>
      </c>
      <c r="BP522" s="362" t="n">
        <v>44.13</v>
      </c>
      <c r="BQ522" s="362" t="n">
        <v>49.14</v>
      </c>
      <c r="BR522" s="362" t="n">
        <v>55.17</v>
      </c>
      <c r="BS522" s="367" t="inlineStr">
        <is>
          <t>半钢ST</t>
        </is>
      </c>
      <c r="BX522" s="367" t="inlineStr">
        <is>
          <t>半钢/半钢ST</t>
        </is>
      </c>
      <c r="BY522" s="362">
        <f>SUM(R522:X522)</f>
        <v/>
      </c>
      <c r="BZ522" s="362">
        <f>SUM(Y522:AE522)</f>
        <v/>
      </c>
      <c r="CA522" s="362">
        <f>SUM(AF522:AM522)</f>
        <v/>
      </c>
      <c r="CB522" s="362">
        <f>SUM(AN522:AV522)</f>
        <v/>
      </c>
      <c r="CD522" s="440" t="inlineStr">
        <is>
          <t>TIDAK ADA</t>
        </is>
      </c>
      <c r="CE522" s="362">
        <f>ROUND(BY522*$O522/1000,2)</f>
        <v/>
      </c>
      <c r="CF522" s="362">
        <f>ROUND(BZ522*$O522/1000,2)</f>
        <v/>
      </c>
      <c r="CG522" s="362">
        <f>ROUND(CA522*$O522/1000,2)</f>
        <v/>
      </c>
      <c r="CH522" s="362">
        <f>ROUND(CB522*$O522/1000,2)</f>
        <v/>
      </c>
      <c r="CI522" s="362">
        <f>SUM(CE522:CH522)</f>
        <v/>
      </c>
      <c r="CJ522" s="390" t="n"/>
      <c r="CK522" s="362">
        <f>IFERROR(ROUND(BY522*$P522,2),"")</f>
        <v/>
      </c>
      <c r="CL522" s="362">
        <f>IFERROR(ROUND(BZ522*$P522,2),"")</f>
        <v/>
      </c>
      <c r="CM522" s="362">
        <f>IFERROR(ROUND(CA522*$P522,2),"")</f>
        <v/>
      </c>
      <c r="CN522" s="362">
        <f>IFERROR(ROUND(CB522*$P522,2),"")</f>
        <v/>
      </c>
    </row>
    <row r="523" customFormat="1" s="362">
      <c r="A523" s="433" t="n"/>
      <c r="B523" s="434" t="inlineStr">
        <is>
          <t>美国</t>
        </is>
      </c>
      <c r="C523" s="434">
        <f>IFERROR(MID(E523,FIND("-",E523)-2,2),"")</f>
        <v/>
      </c>
      <c r="D523" s="434">
        <f>"半钢ST"&amp;C523&amp;"寸"</f>
        <v/>
      </c>
      <c r="E523" s="436">
        <f>LEFT(REPLACE(G523,1,2,""),FIND("[",REPLACE(G523,1,2,""))-1)&amp;"-"&amp;MID(REPLACE(G523,1,2,""),FIND("[",REPLACE(G523,1,2,""))+1,FIND("]",REPLACE(G523,1,2,""))-FIND("[",REPLACE(G523,1,2,""))-1)</f>
        <v/>
      </c>
      <c r="F523" s="436" t="inlineStr">
        <is>
          <t>IDST225/75R15-8PR[ST Radial]113/108M Tamarack无内 NR</t>
        </is>
      </c>
      <c r="G523" s="436" t="inlineStr">
        <is>
          <t>IDST225/75R15-8PR[ST Radial]113/108M Tamarack无内 NR</t>
        </is>
      </c>
      <c r="H523" s="434" t="n">
        <v>1300</v>
      </c>
      <c r="I523" s="434" t="n"/>
      <c r="J523" s="434" t="n"/>
      <c r="K523" s="454" t="n"/>
      <c r="L523" s="438">
        <f>IF(J522="","",J522/(J522+$L$175/60))</f>
        <v/>
      </c>
      <c r="M523" s="438" t="n"/>
      <c r="N523" s="434" t="n"/>
      <c r="O523" s="434">
        <f>IFERROR(_xlfn.XLOOKUP(E523,轮胎重量!S:S,轮胎重量!P:P),IFERROR(_xlfn.XLOOKUP(E523,轮胎重量!AB:AB,轮胎重量!Y:Y),IFERROR(_xlfn.XLOOKUP(E523,轮胎重量!AK:AK,轮胎重量!AH:AH),IFERROR(_xlfn.XLOOKUP(E523,轮胎重量!AT:AT,轮胎重量!AQ:AQ),IFERROR(_xlfn.XLOOKUP(E523,轮胎重量!BB:BB,轮胎重量!AY:AY),"")))))</f>
        <v/>
      </c>
      <c r="P523" s="439">
        <f>O523*15.16</f>
        <v/>
      </c>
      <c r="Q523" s="434" t="n"/>
      <c r="R523" s="352" t="n">
        <v>120</v>
      </c>
      <c r="S523" s="352" t="n">
        <v>120</v>
      </c>
      <c r="T523" s="352" t="n">
        <v>120</v>
      </c>
      <c r="U523" s="352" t="n">
        <v>120</v>
      </c>
      <c r="V523" s="352" t="n">
        <v>120</v>
      </c>
      <c r="W523" s="352" t="n">
        <v>120</v>
      </c>
      <c r="X523" s="352" t="n">
        <v>120</v>
      </c>
      <c r="Y523" s="352" t="n">
        <v>120</v>
      </c>
      <c r="Z523" s="352" t="n">
        <v>120</v>
      </c>
      <c r="AA523" s="352" t="n">
        <v>120</v>
      </c>
      <c r="AB523" s="352" t="n">
        <v>120</v>
      </c>
      <c r="AC523" s="352" t="n">
        <v>120</v>
      </c>
      <c r="AD523" s="352" t="n">
        <v>120</v>
      </c>
      <c r="AE523" s="352" t="n">
        <v>120</v>
      </c>
      <c r="AF523" s="352" t="n">
        <v>120</v>
      </c>
      <c r="AG523" s="352" t="n">
        <v>120</v>
      </c>
      <c r="AH523" s="352" t="n">
        <v>120</v>
      </c>
      <c r="AI523" s="352" t="n">
        <v>120</v>
      </c>
      <c r="AJ523" s="352" t="n">
        <v>120</v>
      </c>
      <c r="AK523" s="352" t="n">
        <v>120</v>
      </c>
      <c r="AL523" s="352" t="n"/>
      <c r="AM523" s="352" t="n"/>
      <c r="AN523" s="352" t="n"/>
      <c r="AO523" s="352" t="n"/>
      <c r="AP523" s="352" t="n"/>
      <c r="AQ523" s="352" t="n"/>
      <c r="AR523" s="352" t="n"/>
      <c r="AS523" s="352" t="n"/>
      <c r="AT523" s="352" t="n"/>
      <c r="AU523" s="352" t="n"/>
      <c r="AV523" s="352" t="n"/>
      <c r="AW523" s="352">
        <f>IF(SUM(R523:AV523)=0,"",SUM(R523:AV523))</f>
        <v/>
      </c>
      <c r="AX523" s="431">
        <f>IFERROR(AW523*O523/1000,"")</f>
        <v/>
      </c>
      <c r="AY523" s="431">
        <f>IFERROR(ROUND(AW523*P523/10000,3),"")</f>
        <v/>
      </c>
      <c r="BC523" s="331" t="n"/>
      <c r="BD523" s="331" t="n"/>
      <c r="BE523" s="331" t="n"/>
      <c r="BF523" s="331" t="n"/>
      <c r="BG523" s="331" t="n"/>
      <c r="BH523" s="331" t="n"/>
      <c r="BI523" s="331" t="n"/>
      <c r="BJ523" s="356">
        <f t="array" ref="BJ523">SUMPRODUCT(IF(ISNUMBER(BJ368:BJ382),BJ368:BJ382,0),IF(ISERROR(BJ368:BJ382),0,1))</f>
        <v/>
      </c>
      <c r="BK523" s="356">
        <f t="array" ref="BK523">SUMPRODUCT(IF(ISNUMBER(BK368:BK382),BK368:BK382,0),IF(ISERROR(BK368:BK382),0,1))</f>
        <v/>
      </c>
      <c r="BL523" s="356">
        <f t="array" ref="BL523">SUMPRODUCT(IF(ISNUMBER(BL368:BL382),BL368:BL382,0),IF(ISERROR(BL368:BL382),0,1))</f>
        <v/>
      </c>
      <c r="BM523" s="356">
        <f t="array" ref="BM523">SUMPRODUCT(IF(ISNUMBER(BM368:BM382),BM368:BM382,0),IF(ISERROR(BM368:BM382),0,1))</f>
        <v/>
      </c>
      <c r="BN523" s="362">
        <f>SUM(BJ523:BM523)</f>
        <v/>
      </c>
      <c r="BO523" s="362" t="n">
        <v>42.79</v>
      </c>
      <c r="BP523" s="362" t="n">
        <v>44.13</v>
      </c>
      <c r="BQ523" s="362" t="n">
        <v>49.14</v>
      </c>
      <c r="BR523" s="362" t="n">
        <v>55.17</v>
      </c>
      <c r="BS523" s="367" t="inlineStr">
        <is>
          <t>半钢ST</t>
        </is>
      </c>
      <c r="BX523" s="367" t="inlineStr">
        <is>
          <t>半钢/半钢ST</t>
        </is>
      </c>
      <c r="BY523" s="362">
        <f>SUM(R523:X523)</f>
        <v/>
      </c>
      <c r="BZ523" s="362">
        <f>SUM(Y523:AE523)</f>
        <v/>
      </c>
      <c r="CA523" s="362">
        <f>SUM(AF523:AM523)</f>
        <v/>
      </c>
      <c r="CB523" s="362">
        <f>SUM(AN523:AV523)</f>
        <v/>
      </c>
      <c r="CD523" s="440" t="inlineStr">
        <is>
          <t>TIDAK ADA</t>
        </is>
      </c>
      <c r="CE523" s="362">
        <f>ROUND(BY523*$O523/1000,2)</f>
        <v/>
      </c>
      <c r="CF523" s="362">
        <f>ROUND(BZ523*$O523/1000,2)</f>
        <v/>
      </c>
      <c r="CG523" s="362">
        <f>ROUND(CA523*$O523/1000,2)</f>
        <v/>
      </c>
      <c r="CH523" s="362">
        <f>ROUND(CB523*$O523/1000,2)</f>
        <v/>
      </c>
      <c r="CI523" s="362">
        <f>SUM(CE523:CH523)</f>
        <v/>
      </c>
      <c r="CJ523" s="390" t="n"/>
      <c r="CK523" s="362">
        <f>IFERROR(ROUND(BY523*$P523,2),"")</f>
        <v/>
      </c>
      <c r="CL523" s="362">
        <f>IFERROR(ROUND(BZ523*$P523,2),"")</f>
        <v/>
      </c>
      <c r="CM523" s="362">
        <f>IFERROR(ROUND(CA523*$P523,2),"")</f>
        <v/>
      </c>
      <c r="CN523" s="362">
        <f>IFERROR(ROUND(CB523*$P523,2),"")</f>
        <v/>
      </c>
      <c r="CO523" s="362">
        <f>SUM(CK523:CN523)</f>
        <v/>
      </c>
    </row>
    <row r="524" customFormat="1" s="362">
      <c r="A524" s="331" t="n"/>
      <c r="B524" s="352" t="inlineStr">
        <is>
          <t>美国</t>
        </is>
      </c>
      <c r="C524" s="352">
        <f>IFERROR(MID(E524,FIND("-",E524)-2,2),"")</f>
        <v/>
      </c>
      <c r="D524" s="352">
        <f>"半钢ST"&amp;C524&amp;"寸"</f>
        <v/>
      </c>
      <c r="E524" s="379">
        <f>LEFT(REPLACE(G524,1,2,""),FIND("[",REPLACE(G524,1,2,""))-1)&amp;"-"&amp;MID(REPLACE(G524,1,2,""),FIND("[",REPLACE(G524,1,2,""))+1,FIND("]",REPLACE(G524,1,2,""))-FIND("[",REPLACE(G524,1,2,""))-1)</f>
        <v/>
      </c>
      <c r="F524" s="389" t="inlineStr">
        <is>
          <t>IDST225/75R15-10PR[ST200]117/112M GOODRIDE(好运)无内NR</t>
        </is>
      </c>
      <c r="G524" s="389" t="inlineStr">
        <is>
          <t>IDST225/75R15-10PR[ST200]117/112M GOODRIDE(好运)无内NR</t>
        </is>
      </c>
      <c r="H524" s="370" t="n"/>
      <c r="I524" s="370" t="n"/>
      <c r="J524" s="352" t="n"/>
      <c r="K524" s="430" t="n"/>
      <c r="L524" s="430">
        <f>IF(J523="","",J523/(J523+$L$175/60))</f>
        <v/>
      </c>
      <c r="M524" s="430" t="n"/>
      <c r="N524" s="352" t="n"/>
      <c r="O524" s="352">
        <f>IFERROR(_xlfn.XLOOKUP(E524,轮胎重量!S:S,轮胎重量!P:P),IFERROR(_xlfn.XLOOKUP(E524,轮胎重量!AB:AB,轮胎重量!Y:Y),IFERROR(_xlfn.XLOOKUP(E524,轮胎重量!AK:AK,轮胎重量!AH:AH),IFERROR(_xlfn.XLOOKUP(E524,轮胎重量!AT:AT,轮胎重量!AQ:AQ),IFERROR(_xlfn.XLOOKUP(E524,轮胎重量!BB:BB,轮胎重量!AY:AY),"")))))</f>
        <v/>
      </c>
      <c r="P524" s="358">
        <f>O524*15.16</f>
        <v/>
      </c>
      <c r="Q524" s="352" t="n"/>
      <c r="R524" s="352" t="n"/>
      <c r="S524" s="352" t="n"/>
      <c r="T524" s="352" t="n"/>
      <c r="U524" s="352" t="n"/>
      <c r="V524" s="352" t="n"/>
      <c r="W524" s="352" t="n"/>
      <c r="X524" s="352" t="n"/>
      <c r="Y524" s="352" t="n"/>
      <c r="Z524" s="352" t="n"/>
      <c r="AA524" s="352" t="n"/>
      <c r="AB524" s="352" t="n"/>
      <c r="AC524" s="352" t="n"/>
      <c r="AD524" s="352" t="n"/>
      <c r="AE524" s="352" t="n"/>
      <c r="AF524" s="352" t="n"/>
      <c r="AG524" s="352" t="n"/>
      <c r="AH524" s="352" t="n"/>
      <c r="AI524" s="352" t="n"/>
      <c r="AJ524" s="352" t="n"/>
      <c r="AK524" s="352" t="n"/>
      <c r="AL524" s="352" t="n">
        <v>120</v>
      </c>
      <c r="AM524" s="352" t="n">
        <v>120</v>
      </c>
      <c r="AN524" s="352" t="n">
        <v>120</v>
      </c>
      <c r="AO524" s="352" t="n">
        <v>120</v>
      </c>
      <c r="AP524" s="352" t="n">
        <v>120</v>
      </c>
      <c r="AQ524" s="352" t="n">
        <v>120</v>
      </c>
      <c r="AR524" s="352" t="n">
        <v>120</v>
      </c>
      <c r="AS524" s="352" t="n">
        <v>120</v>
      </c>
      <c r="AT524" s="352" t="n">
        <v>120</v>
      </c>
      <c r="AU524" s="352" t="n">
        <v>120</v>
      </c>
      <c r="AV524" s="352" t="n">
        <v>120</v>
      </c>
      <c r="AW524" s="352">
        <f>IF(SUM(R524:AV524)=0,"",SUM(R524:AV524))</f>
        <v/>
      </c>
      <c r="AX524" s="431">
        <f>IFERROR(AW524*O524/1000,"")</f>
        <v/>
      </c>
      <c r="AY524" s="431">
        <f>IFERROR(ROUND(AW524*P524/10000,3),"")</f>
        <v/>
      </c>
      <c r="BC524" s="331" t="n"/>
      <c r="BD524" s="331" t="n"/>
      <c r="BE524" s="331" t="n"/>
      <c r="BF524" s="331" t="n"/>
      <c r="BG524" s="331" t="n"/>
      <c r="BH524" s="331" t="n"/>
      <c r="BI524" s="331" t="n"/>
      <c r="BJ524" s="356">
        <f t="array" ref="BJ524">SUMPRODUCT(IF(ISNUMBER(BJ368:BJ382),BJ368:BJ382,0),IF(ISERROR(BJ368:BJ382),0,1))</f>
        <v/>
      </c>
      <c r="BK524" s="356">
        <f t="array" ref="BK524">SUMPRODUCT(IF(ISNUMBER(BK368:BK382),BK368:BK382,0),IF(ISERROR(BK368:BK382),0,1))</f>
        <v/>
      </c>
      <c r="BL524" s="356">
        <f t="array" ref="BL524">SUMPRODUCT(IF(ISNUMBER(BL368:BL382),BL368:BL382,0),IF(ISERROR(BL368:BL382),0,1))</f>
        <v/>
      </c>
      <c r="BM524" s="356">
        <f t="array" ref="BM524">SUMPRODUCT(IF(ISNUMBER(BM368:BM382),BM368:BM382,0),IF(ISERROR(BM368:BM382),0,1))</f>
        <v/>
      </c>
      <c r="BN524" s="362">
        <f>SUM(BJ524:BM524)</f>
        <v/>
      </c>
      <c r="BO524" s="362" t="n">
        <v>42.79</v>
      </c>
      <c r="BP524" s="362" t="n">
        <v>44.13</v>
      </c>
      <c r="BQ524" s="362" t="n">
        <v>49.14</v>
      </c>
      <c r="BR524" s="362" t="n">
        <v>55.17</v>
      </c>
      <c r="BS524" s="367" t="inlineStr">
        <is>
          <t>半钢ST</t>
        </is>
      </c>
      <c r="BX524" s="367" t="inlineStr">
        <is>
          <t>半钢/半钢ST</t>
        </is>
      </c>
      <c r="BY524" s="362">
        <f>SUM(R524:X524)</f>
        <v/>
      </c>
      <c r="BZ524" s="362">
        <f>SUM(Y524:AE524)</f>
        <v/>
      </c>
      <c r="CA524" s="362">
        <f>SUM(AF524:AM524)</f>
        <v/>
      </c>
      <c r="CB524" s="362">
        <f>SUM(AN524:AV524)</f>
        <v/>
      </c>
      <c r="CD524" s="432" t="inlineStr">
        <is>
          <t>ADA</t>
        </is>
      </c>
      <c r="CE524" s="362">
        <f>ROUND(BY524*$O524/1000,2)</f>
        <v/>
      </c>
      <c r="CF524" s="362">
        <f>ROUND(BZ524*$O524/1000,2)</f>
        <v/>
      </c>
      <c r="CG524" s="362">
        <f>ROUND(CA524*$O524/1000,2)</f>
        <v/>
      </c>
      <c r="CH524" s="362">
        <f>ROUND(CB524*$O524/1000,2)</f>
        <v/>
      </c>
      <c r="CI524" s="362">
        <f>SUM(CE524:CH524)</f>
        <v/>
      </c>
      <c r="CJ524" s="390" t="n"/>
      <c r="CK524" s="362">
        <f>IFERROR(ROUND(BY524*$P524,2),"")</f>
        <v/>
      </c>
      <c r="CL524" s="362">
        <f>IFERROR(ROUND(BZ524*$P524,2),"")</f>
        <v/>
      </c>
      <c r="CM524" s="362">
        <f>IFERROR(ROUND(CA524*$P524,2),"")</f>
        <v/>
      </c>
      <c r="CN524" s="362">
        <f>IFERROR(ROUND(CB524*$P524,2),"")</f>
        <v/>
      </c>
      <c r="CO524" s="362">
        <f>SUM(CK524:CN524)</f>
        <v/>
      </c>
    </row>
    <row r="525" customFormat="1" s="362">
      <c r="A525" s="331" t="n"/>
      <c r="B525" s="352" t="inlineStr">
        <is>
          <t>美国</t>
        </is>
      </c>
      <c r="C525" s="352">
        <f>IFERROR(MID(E525,FIND("-",E525)-2,2),"")</f>
        <v/>
      </c>
      <c r="D525" s="352">
        <f>"半钢ST"&amp;C525&amp;"寸"</f>
        <v/>
      </c>
      <c r="E525" s="379">
        <f>LEFT(REPLACE(G525,1,2,""),FIND("[",REPLACE(G525,1,2,""))-1)&amp;"-"&amp;MID(REPLACE(G525,1,2,""),FIND("[",REPLACE(G525,1,2,""))+1,FIND("]",REPLACE(G525,1,2,""))-FIND("[",REPLACE(G525,1,2,""))-1)</f>
        <v/>
      </c>
      <c r="F525" s="389" t="inlineStr">
        <is>
          <t>IDST225/75R15-8PR[ST200]113/108M GOODRIDE(好运)无内NR</t>
        </is>
      </c>
      <c r="G525" s="389" t="inlineStr">
        <is>
          <t>IDST225/75R15-8PR[ST200]113/108M GOODRIDE(好运)无内NR</t>
        </is>
      </c>
      <c r="H525" s="370" t="n"/>
      <c r="I525" s="370" t="n"/>
      <c r="J525" s="352" t="n"/>
      <c r="K525" s="430" t="n"/>
      <c r="L525" s="430" t="n"/>
      <c r="M525" s="430" t="n"/>
      <c r="N525" s="352" t="n"/>
      <c r="O525" s="352">
        <f>IFERROR(_xlfn.XLOOKUP(E525,轮胎重量!S:S,轮胎重量!P:P),IFERROR(_xlfn.XLOOKUP(E525,轮胎重量!AB:AB,轮胎重量!Y:Y),IFERROR(_xlfn.XLOOKUP(E525,轮胎重量!AK:AK,轮胎重量!AH:AH),IFERROR(_xlfn.XLOOKUP(E525,轮胎重量!AT:AT,轮胎重量!AQ:AQ),IFERROR(_xlfn.XLOOKUP(E525,轮胎重量!BB:BB,轮胎重量!AY:AY),"")))))</f>
        <v/>
      </c>
      <c r="P525" s="358">
        <f>O525*15.16</f>
        <v/>
      </c>
      <c r="Q525" s="352" t="n"/>
      <c r="R525" s="352" t="n">
        <v>120</v>
      </c>
      <c r="S525" s="352" t="n">
        <v>120</v>
      </c>
      <c r="T525" s="352" t="n">
        <v>120</v>
      </c>
      <c r="U525" s="352" t="n">
        <v>120</v>
      </c>
      <c r="V525" s="352" t="n">
        <v>120</v>
      </c>
      <c r="W525" s="352" t="n">
        <v>120</v>
      </c>
      <c r="X525" s="352" t="n">
        <v>120</v>
      </c>
      <c r="Y525" s="352" t="n">
        <v>120</v>
      </c>
      <c r="Z525" s="352" t="n">
        <v>120</v>
      </c>
      <c r="AA525" s="352" t="n">
        <v>120</v>
      </c>
      <c r="AB525" s="352" t="n">
        <v>120</v>
      </c>
      <c r="AC525" s="352" t="n">
        <v>120</v>
      </c>
      <c r="AD525" s="352" t="n">
        <v>120</v>
      </c>
      <c r="AE525" s="352" t="n">
        <v>120</v>
      </c>
      <c r="AF525" s="352" t="n">
        <v>120</v>
      </c>
      <c r="AG525" s="352" t="n">
        <v>120</v>
      </c>
      <c r="AH525" s="352" t="n">
        <v>120</v>
      </c>
      <c r="AI525" s="352" t="n">
        <v>120</v>
      </c>
      <c r="AJ525" s="352" t="n">
        <v>120</v>
      </c>
      <c r="AK525" s="352" t="n">
        <v>120</v>
      </c>
      <c r="AL525" s="352" t="n"/>
      <c r="AM525" s="352" t="n"/>
      <c r="AN525" s="352" t="n"/>
      <c r="AO525" s="352" t="n"/>
      <c r="AP525" s="352" t="n"/>
      <c r="AQ525" s="352" t="n"/>
      <c r="AR525" s="352" t="n"/>
      <c r="AS525" s="352" t="n"/>
      <c r="AT525" s="352" t="n"/>
      <c r="AU525" s="352" t="n"/>
      <c r="AV525" s="352" t="n"/>
      <c r="AW525" s="352">
        <f>IF(SUM(R525:AV525)=0,"",SUM(R525:AV525))</f>
        <v/>
      </c>
      <c r="AX525" s="431">
        <f>IFERROR(AW525*O525/1000,"")</f>
        <v/>
      </c>
      <c r="AY525" s="431">
        <f>IFERROR(ROUND(AW525*P525/10000,3),"")</f>
        <v/>
      </c>
      <c r="BC525" s="331" t="n"/>
      <c r="BD525" s="331" t="n"/>
      <c r="BE525" s="331" t="n"/>
      <c r="BF525" s="331" t="n"/>
      <c r="BG525" s="331" t="n"/>
      <c r="BH525" s="331" t="n"/>
      <c r="BI525" s="331" t="n"/>
      <c r="BJ525" s="356">
        <f t="array" ref="BJ525">SUMPRODUCT(IF(ISNUMBER(BJ369:BJ383),BJ369:BJ383,0),IF(ISERROR(BJ369:BJ383),0,1))</f>
        <v/>
      </c>
      <c r="BK525" s="356">
        <f t="array" ref="BK525">SUMPRODUCT(IF(ISNUMBER(BK369:BK383),BK369:BK383,0),IF(ISERROR(BK369:BK383),0,1))</f>
        <v/>
      </c>
      <c r="BL525" s="356">
        <f t="array" ref="BL525">SUMPRODUCT(IF(ISNUMBER(BL369:BL383),BL369:BL383,0),IF(ISERROR(BL369:BL383),0,1))</f>
        <v/>
      </c>
      <c r="BM525" s="356">
        <f t="array" ref="BM525">SUMPRODUCT(IF(ISNUMBER(BM369:BM383),BM369:BM383,0),IF(ISERROR(BM369:BM383),0,1))</f>
        <v/>
      </c>
      <c r="BN525" s="362">
        <f>SUM(BJ525:BM525)</f>
        <v/>
      </c>
      <c r="BO525" s="362" t="n">
        <v>42.79</v>
      </c>
      <c r="BP525" s="362" t="n">
        <v>44.13</v>
      </c>
      <c r="BQ525" s="362" t="n">
        <v>49.14</v>
      </c>
      <c r="BR525" s="362" t="n">
        <v>55.17</v>
      </c>
      <c r="BS525" s="367" t="inlineStr">
        <is>
          <t>半钢ST</t>
        </is>
      </c>
      <c r="BX525" s="367" t="inlineStr">
        <is>
          <t>半钢/半钢ST</t>
        </is>
      </c>
      <c r="BY525" s="362">
        <f>SUM(R525:X525)</f>
        <v/>
      </c>
      <c r="BZ525" s="362">
        <f>SUM(Y525:AE525)</f>
        <v/>
      </c>
      <c r="CA525" s="362">
        <f>SUM(AF525:AM525)</f>
        <v/>
      </c>
      <c r="CB525" s="362">
        <f>SUM(AN525:AV525)</f>
        <v/>
      </c>
      <c r="CD525" s="432" t="inlineStr">
        <is>
          <t>ADA</t>
        </is>
      </c>
      <c r="CE525" s="362">
        <f>ROUND(BY525*$O525/1000,2)</f>
        <v/>
      </c>
      <c r="CF525" s="362">
        <f>ROUND(BZ525*$O525/1000,2)</f>
        <v/>
      </c>
      <c r="CG525" s="362">
        <f>ROUND(CA525*$O525/1000,2)</f>
        <v/>
      </c>
      <c r="CH525" s="362">
        <f>ROUND(CB525*$O525/1000,2)</f>
        <v/>
      </c>
      <c r="CI525" s="362">
        <f>SUM(CE525:CH525)</f>
        <v/>
      </c>
      <c r="CJ525" s="390" t="n"/>
      <c r="CK525" s="362">
        <f>IFERROR(ROUND(BY525*$P525,2),"")</f>
        <v/>
      </c>
      <c r="CL525" s="362">
        <f>IFERROR(ROUND(BZ525*$P525,2),"")</f>
        <v/>
      </c>
      <c r="CM525" s="362">
        <f>IFERROR(ROUND(CA525*$P525,2),"")</f>
        <v/>
      </c>
      <c r="CN525" s="362">
        <f>IFERROR(ROUND(CB525*$P525,2),"")</f>
        <v/>
      </c>
    </row>
    <row r="526" customFormat="1" s="362">
      <c r="A526" s="331" t="n"/>
      <c r="B526" s="352" t="inlineStr">
        <is>
          <t>美国</t>
        </is>
      </c>
      <c r="C526" s="352">
        <f>IFERROR(MID(E526,FIND("-",E526)-2,2),"")</f>
        <v/>
      </c>
      <c r="D526" s="352">
        <f>"半钢ST"&amp;C526&amp;"寸"</f>
        <v/>
      </c>
      <c r="E526" s="379">
        <f>LEFT(REPLACE(G526,1,2,""),FIND("[",REPLACE(G526,1,2,""))-1)&amp;"-"&amp;MID(REPLACE(G526,1,2,""),FIND("[",REPLACE(G526,1,2,""))+1,FIND("]",REPLACE(G526,1,2,""))-FIND("[",REPLACE(G526,1,2,""))-1)</f>
        <v/>
      </c>
      <c r="F526" s="389" t="inlineStr">
        <is>
          <t>IDST205/75R15-8PR[ST100]107/102M 西湖无内</t>
        </is>
      </c>
      <c r="G526" s="389" t="inlineStr">
        <is>
          <t>IDST205/75R15-8PR[ST100]107/102M 西湖无内</t>
        </is>
      </c>
      <c r="H526" s="370" t="n"/>
      <c r="I526" s="370" t="n"/>
      <c r="J526" s="352" t="n"/>
      <c r="K526" s="430">
        <f>IF(J526="","",J526/(J526+$L$175/60))</f>
        <v/>
      </c>
      <c r="L526" s="430" t="n"/>
      <c r="M526" s="430" t="n"/>
      <c r="N526" s="352" t="n"/>
      <c r="O526" s="352">
        <f>IFERROR(_xlfn.XLOOKUP(E526,轮胎重量!S:S,轮胎重量!P:P),IFERROR(_xlfn.XLOOKUP(E526,轮胎重量!AB:AB,轮胎重量!Y:Y),IFERROR(_xlfn.XLOOKUP(E526,轮胎重量!AK:AK,轮胎重量!AH:AH),IFERROR(_xlfn.XLOOKUP(E526,轮胎重量!AT:AT,轮胎重量!AQ:AQ),IFERROR(_xlfn.XLOOKUP(E526,轮胎重量!BB:BB,轮胎重量!AY:AY),"")))))</f>
        <v/>
      </c>
      <c r="P526" s="358">
        <f>O526*15.16</f>
        <v/>
      </c>
      <c r="Q526" s="352" t="n"/>
      <c r="R526" s="352" t="n"/>
      <c r="S526" s="352" t="n"/>
      <c r="T526" s="352" t="n"/>
      <c r="U526" s="352" t="n"/>
      <c r="V526" s="352" t="n"/>
      <c r="W526" s="352" t="n"/>
      <c r="X526" s="352" t="n"/>
      <c r="Y526" s="352" t="n"/>
      <c r="Z526" s="352" t="n"/>
      <c r="AA526" s="352" t="n"/>
      <c r="AB526" s="352" t="n"/>
      <c r="AC526" s="352" t="n"/>
      <c r="AD526" s="352" t="n"/>
      <c r="AE526" s="352" t="n"/>
      <c r="AF526" s="352" t="n">
        <v>480</v>
      </c>
      <c r="AG526" s="352" t="n">
        <v>480</v>
      </c>
      <c r="AH526" s="352" t="n">
        <v>480</v>
      </c>
      <c r="AI526" s="352" t="n">
        <v>480</v>
      </c>
      <c r="AJ526" s="352" t="n">
        <v>480</v>
      </c>
      <c r="AK526" s="352" t="n">
        <v>480</v>
      </c>
      <c r="AL526" s="352" t="n">
        <v>480</v>
      </c>
      <c r="AM526" s="352" t="n">
        <v>480</v>
      </c>
      <c r="AN526" s="352" t="n">
        <v>480</v>
      </c>
      <c r="AO526" s="352" t="n">
        <v>480</v>
      </c>
      <c r="AP526" s="352" t="n">
        <v>480</v>
      </c>
      <c r="AQ526" s="352" t="n">
        <v>480</v>
      </c>
      <c r="AR526" s="352" t="n">
        <v>480</v>
      </c>
      <c r="AS526" s="352" t="n">
        <v>480</v>
      </c>
      <c r="AT526" s="352" t="n">
        <v>480</v>
      </c>
      <c r="AU526" s="352" t="n">
        <v>480</v>
      </c>
      <c r="AV526" s="352" t="n">
        <v>480</v>
      </c>
      <c r="AW526" s="352">
        <f>IF(SUM(R526:AV526)=0,"",SUM(R526:AV526))</f>
        <v/>
      </c>
      <c r="AX526" s="431">
        <f>IFERROR(AW526*O526/1000,"")</f>
        <v/>
      </c>
      <c r="AY526" s="431">
        <f>IFERROR(ROUND(AW526*P526/10000,3),"")</f>
        <v/>
      </c>
      <c r="BC526" s="331" t="n"/>
      <c r="BD526" s="331" t="n"/>
      <c r="BE526" s="331" t="n"/>
      <c r="BF526" s="331" t="n"/>
      <c r="BG526" s="331" t="n"/>
      <c r="BH526" s="331" t="n"/>
      <c r="BI526" s="331" t="n"/>
      <c r="BJ526" s="356">
        <f t="array" ref="BJ526">SUMPRODUCT(IF(ISNUMBER(BJ371:BJ384),BJ371:BJ384,0),IF(ISERROR(BJ371:BJ384),0,1))</f>
        <v/>
      </c>
      <c r="BK526" s="356">
        <f t="array" ref="BK526">SUMPRODUCT(IF(ISNUMBER(BK371:BK384),BK371:BK384,0),IF(ISERROR(BK371:BK384),0,1))</f>
        <v/>
      </c>
      <c r="BL526" s="356">
        <f t="array" ref="BL526">SUMPRODUCT(IF(ISNUMBER(BL371:BL384),BL371:BL384,0),IF(ISERROR(BL371:BL384),0,1))</f>
        <v/>
      </c>
      <c r="BM526" s="356">
        <f t="array" ref="BM526">SUMPRODUCT(IF(ISNUMBER(BM371:BM384),BM371:BM384,0),IF(ISERROR(BM371:BM384),0,1))</f>
        <v/>
      </c>
      <c r="BN526" s="362">
        <f>SUM(BJ526:BM526)</f>
        <v/>
      </c>
      <c r="BO526" s="362" t="n">
        <v>42.79</v>
      </c>
      <c r="BP526" s="362" t="n">
        <v>44.13</v>
      </c>
      <c r="BQ526" s="362" t="n">
        <v>49.14</v>
      </c>
      <c r="BR526" s="362" t="n">
        <v>55.17</v>
      </c>
      <c r="BS526" s="367" t="inlineStr">
        <is>
          <t>半钢ST</t>
        </is>
      </c>
      <c r="BX526" s="367" t="inlineStr">
        <is>
          <t>半钢/半钢ST</t>
        </is>
      </c>
      <c r="BY526" s="362">
        <f>SUM(R526:X526)</f>
        <v/>
      </c>
      <c r="BZ526" s="362">
        <f>SUM(Y526:AE526)</f>
        <v/>
      </c>
      <c r="CA526" s="362">
        <f>SUM(AF526:AM526)</f>
        <v/>
      </c>
      <c r="CB526" s="362">
        <f>SUM(AN526:AV526)</f>
        <v/>
      </c>
      <c r="CD526" s="432" t="inlineStr">
        <is>
          <t>ADA</t>
        </is>
      </c>
      <c r="CE526" s="362">
        <f>ROUND(BY526*$O526/1000,2)</f>
        <v/>
      </c>
      <c r="CF526" s="362">
        <f>ROUND(BZ526*$O526/1000,2)</f>
        <v/>
      </c>
      <c r="CG526" s="362">
        <f>ROUND(CA526*$O526/1000,2)</f>
        <v/>
      </c>
      <c r="CH526" s="362">
        <f>ROUND(CB526*$O526/1000,2)</f>
        <v/>
      </c>
      <c r="CI526" s="362">
        <f>SUM(CE526:CH526)</f>
        <v/>
      </c>
      <c r="CJ526" s="390" t="n"/>
      <c r="CK526" s="362">
        <f>IFERROR(ROUND(BY526*$P526,2),"")</f>
        <v/>
      </c>
      <c r="CL526" s="362">
        <f>IFERROR(ROUND(BZ526*$P526,2),"")</f>
        <v/>
      </c>
      <c r="CM526" s="362">
        <f>IFERROR(ROUND(CA526*$P526,2),"")</f>
        <v/>
      </c>
      <c r="CN526" s="362">
        <f>IFERROR(ROUND(CB526*$P526,2),"")</f>
        <v/>
      </c>
    </row>
    <row r="527" customFormat="1" s="362">
      <c r="A527" s="331" t="n"/>
      <c r="B527" s="352" t="inlineStr">
        <is>
          <t>美国</t>
        </is>
      </c>
      <c r="C527" s="352">
        <f>IFERROR(MID(E527,FIND("-",E527)-2,2),"")</f>
        <v/>
      </c>
      <c r="D527" s="352">
        <f>"半钢ST"&amp;C527&amp;"寸"</f>
        <v/>
      </c>
      <c r="E527" s="379">
        <f>LEFT(REPLACE(G527,1,2,""),FIND("[",REPLACE(G527,1,2,""))-1)&amp;"-"&amp;MID(REPLACE(G527,1,2,""),FIND("[",REPLACE(G527,1,2,""))+1,FIND("]",REPLACE(G527,1,2,""))-FIND("[",REPLACE(G527,1,2,""))-1)</f>
        <v/>
      </c>
      <c r="F527" s="389" t="inlineStr">
        <is>
          <t>IDST205/75R15-8PR[ST100]107/102M 西湖无内</t>
        </is>
      </c>
      <c r="G527" s="389" t="inlineStr">
        <is>
          <t>IDST205/75R15-8PR[ST100]107/102M 西湖无内</t>
        </is>
      </c>
      <c r="H527" s="370" t="n">
        <v>300</v>
      </c>
      <c r="I527" s="370" t="n"/>
      <c r="J527" s="352" t="n"/>
      <c r="K527" s="352" t="n"/>
      <c r="L527" s="430">
        <f>IF(J513="","",J513/(J513+$L$175/60))</f>
        <v/>
      </c>
      <c r="M527" s="430" t="n"/>
      <c r="N527" s="352" t="n"/>
      <c r="O527" s="352">
        <f>IFERROR(_xlfn.XLOOKUP(E527,轮胎重量!S:S,轮胎重量!P:P),IFERROR(_xlfn.XLOOKUP(E527,轮胎重量!AB:AB,轮胎重量!Y:Y),IFERROR(_xlfn.XLOOKUP(E527,轮胎重量!AK:AK,轮胎重量!AH:AH),IFERROR(_xlfn.XLOOKUP(E527,轮胎重量!AT:AT,轮胎重量!AQ:AQ),IFERROR(_xlfn.XLOOKUP(E527,轮胎重量!BB:BB,轮胎重量!AY:AY),"")))))</f>
        <v/>
      </c>
      <c r="P527" s="358">
        <f>O527*15.16</f>
        <v/>
      </c>
      <c r="Q527" s="352" t="n"/>
      <c r="R527" s="352" t="n">
        <v>240</v>
      </c>
      <c r="S527" s="352" t="n">
        <v>240</v>
      </c>
      <c r="T527" s="352" t="n">
        <v>240</v>
      </c>
      <c r="U527" s="352" t="n">
        <v>240</v>
      </c>
      <c r="V527" s="352" t="n">
        <v>240</v>
      </c>
      <c r="W527" s="352" t="n">
        <v>240</v>
      </c>
      <c r="X527" s="352" t="n">
        <v>240</v>
      </c>
      <c r="Y527" s="352" t="n">
        <v>240</v>
      </c>
      <c r="Z527" s="352" t="n">
        <v>240</v>
      </c>
      <c r="AA527" s="352" t="n">
        <v>240</v>
      </c>
      <c r="AB527" s="352" t="n">
        <v>240</v>
      </c>
      <c r="AC527" s="352" t="n">
        <v>240</v>
      </c>
      <c r="AD527" s="352" t="n">
        <v>240</v>
      </c>
      <c r="AE527" s="352" t="n">
        <v>240</v>
      </c>
      <c r="AF527" s="352" t="n">
        <v>240</v>
      </c>
      <c r="AG527" s="352" t="n">
        <v>240</v>
      </c>
      <c r="AH527" s="352" t="n">
        <v>240</v>
      </c>
      <c r="AI527" s="352" t="n">
        <v>240</v>
      </c>
      <c r="AJ527" s="352" t="n">
        <v>240</v>
      </c>
      <c r="AK527" s="352" t="n">
        <v>240</v>
      </c>
      <c r="AL527" s="352" t="n">
        <v>240</v>
      </c>
      <c r="AM527" s="352" t="n">
        <v>240</v>
      </c>
      <c r="AN527" s="352" t="n">
        <v>240</v>
      </c>
      <c r="AO527" s="352" t="n">
        <v>240</v>
      </c>
      <c r="AP527" s="352" t="n">
        <v>240</v>
      </c>
      <c r="AQ527" s="352" t="n">
        <v>240</v>
      </c>
      <c r="AR527" s="352" t="n">
        <v>240</v>
      </c>
      <c r="AS527" s="352" t="n">
        <v>240</v>
      </c>
      <c r="AT527" s="352" t="n">
        <v>240</v>
      </c>
      <c r="AU527" s="352" t="n">
        <v>240</v>
      </c>
      <c r="AV527" s="352" t="n">
        <v>240</v>
      </c>
      <c r="AW527" s="352">
        <f>IF(SUM(R527:AV527)=0,"",SUM(R527:AV527))</f>
        <v/>
      </c>
      <c r="AX527" s="431">
        <f>IFERROR(AW527*O527/1000,"")</f>
        <v/>
      </c>
      <c r="AY527" s="431">
        <f>IFERROR(ROUND(AW527*P527/10000,3),"")</f>
        <v/>
      </c>
      <c r="BC527" s="331" t="n"/>
      <c r="BD527" s="331" t="n"/>
      <c r="BE527" s="331" t="n"/>
      <c r="BF527" s="331" t="n"/>
      <c r="BG527" s="331" t="n"/>
      <c r="BH527" s="331" t="n"/>
      <c r="BI527" s="331" t="n"/>
      <c r="BJ527" s="356">
        <f t="array" ref="BJ527">SUMPRODUCT(IF(ISNUMBER(BJ373:BJ387),BJ373:BJ387,0),IF(ISERROR(BJ373:BJ387),0,1))</f>
        <v/>
      </c>
      <c r="BK527" s="356">
        <f t="array" ref="BK527">SUMPRODUCT(IF(ISNUMBER(BK373:BK387),BK373:BK387,0),IF(ISERROR(BK373:BK387),0,1))</f>
        <v/>
      </c>
      <c r="BL527" s="356">
        <f t="array" ref="BL527">SUMPRODUCT(IF(ISNUMBER(BL373:BL387),BL373:BL387,0),IF(ISERROR(BL373:BL387),0,1))</f>
        <v/>
      </c>
      <c r="BM527" s="356">
        <f t="array" ref="BM527">SUMPRODUCT(IF(ISNUMBER(BM373:BM387),BM373:BM387,0),IF(ISERROR(BM373:BM387),0,1))</f>
        <v/>
      </c>
      <c r="BN527" s="362">
        <f>SUM(BJ527:BM527)</f>
        <v/>
      </c>
      <c r="BO527" s="362" t="n">
        <v>42.79</v>
      </c>
      <c r="BP527" s="362" t="n">
        <v>44.13</v>
      </c>
      <c r="BQ527" s="362" t="n">
        <v>49.14</v>
      </c>
      <c r="BR527" s="362" t="n">
        <v>55.17</v>
      </c>
      <c r="BS527" s="367" t="inlineStr">
        <is>
          <t>半钢ST</t>
        </is>
      </c>
      <c r="BX527" s="367" t="inlineStr">
        <is>
          <t>半钢/半钢ST</t>
        </is>
      </c>
      <c r="BY527" s="362">
        <f>SUM(R527:X527)</f>
        <v/>
      </c>
      <c r="BZ527" s="362">
        <f>SUM(Y527:AE527)</f>
        <v/>
      </c>
      <c r="CA527" s="362">
        <f>SUM(AF527:AM527)</f>
        <v/>
      </c>
      <c r="CB527" s="362">
        <f>SUM(AN527:AV527)</f>
        <v/>
      </c>
      <c r="CD527" s="432" t="inlineStr">
        <is>
          <t>ADA</t>
        </is>
      </c>
      <c r="CE527" s="362">
        <f>ROUND(BY527*$O527/1000,2)</f>
        <v/>
      </c>
      <c r="CF527" s="362">
        <f>ROUND(BZ527*$O527/1000,2)</f>
        <v/>
      </c>
      <c r="CG527" s="362">
        <f>ROUND(CA527*$O527/1000,2)</f>
        <v/>
      </c>
      <c r="CH527" s="362">
        <f>ROUND(CB527*$O527/1000,2)</f>
        <v/>
      </c>
      <c r="CI527" s="362">
        <f>SUM(CE527:CH527)</f>
        <v/>
      </c>
      <c r="CJ527" s="390" t="n"/>
      <c r="CK527" s="362">
        <f>IFERROR(ROUND(BY527*$P527,2),"")</f>
        <v/>
      </c>
      <c r="CL527" s="362">
        <f>IFERROR(ROUND(BZ527*$P527,2),"")</f>
        <v/>
      </c>
      <c r="CM527" s="362">
        <f>IFERROR(ROUND(CA527*$P527,2),"")</f>
        <v/>
      </c>
      <c r="CN527" s="362">
        <f>IFERROR(ROUND(CB527*$P527,2),"")</f>
        <v/>
      </c>
    </row>
    <row r="528" customFormat="1" s="362">
      <c r="A528" s="433" t="n"/>
      <c r="B528" s="434" t="inlineStr">
        <is>
          <t>美国</t>
        </is>
      </c>
      <c r="C528" s="434">
        <f>IFERROR(MID(E528,FIND("-",E528)-2,2),"")</f>
        <v/>
      </c>
      <c r="D528" s="434">
        <f>"半钢ST"&amp;C528&amp;"寸"</f>
        <v/>
      </c>
      <c r="E528" s="436">
        <f>LEFT(REPLACE(G528,1,2,""),FIND("[",REPLACE(G528,1,2,""))-1)&amp;"-"&amp;MID(REPLACE(G528,1,2,""),FIND("[",REPLACE(G528,1,2,""))+1,FIND("]",REPLACE(G528,1,2,""))-FIND("[",REPLACE(G528,1,2,""))-1)</f>
        <v/>
      </c>
      <c r="F528" s="436" t="inlineStr">
        <is>
          <t>IDST205/75R15-8PR[STZC]107/102L 西湖无内</t>
        </is>
      </c>
      <c r="G528" s="436" t="inlineStr">
        <is>
          <t>IDST205/75R15-8PR[STZC]107/102L 西湖无内</t>
        </is>
      </c>
      <c r="H528" s="434" t="n">
        <v>1700</v>
      </c>
      <c r="I528" s="434" t="n"/>
      <c r="J528" s="434" t="n"/>
      <c r="K528" s="454" t="n"/>
      <c r="L528" s="438">
        <f>IF(J527="","",J527/(J527+$L$175/60))</f>
        <v/>
      </c>
      <c r="M528" s="438" t="n"/>
      <c r="N528" s="434" t="n"/>
      <c r="O528" s="434">
        <f>IFERROR(_xlfn.XLOOKUP(E528,轮胎重量!S:S,轮胎重量!P:P),IFERROR(_xlfn.XLOOKUP(E528,轮胎重量!AB:AB,轮胎重量!Y:Y),IFERROR(_xlfn.XLOOKUP(E528,轮胎重量!AK:AK,轮胎重量!AH:AH),IFERROR(_xlfn.XLOOKUP(E528,轮胎重量!AT:AT,轮胎重量!AQ:AQ),IFERROR(_xlfn.XLOOKUP(E528,轮胎重量!BB:BB,轮胎重量!AY:AY),"")))))</f>
        <v/>
      </c>
      <c r="P528" s="439">
        <f>O528*15.16</f>
        <v/>
      </c>
      <c r="Q528" s="434" t="n"/>
      <c r="R528" s="352" t="n">
        <v>240</v>
      </c>
      <c r="S528" s="352" t="n">
        <v>240</v>
      </c>
      <c r="T528" s="352" t="n">
        <v>240</v>
      </c>
      <c r="U528" s="352" t="n">
        <v>240</v>
      </c>
      <c r="V528" s="352" t="n">
        <v>240</v>
      </c>
      <c r="W528" s="352" t="n">
        <v>240</v>
      </c>
      <c r="X528" s="352" t="n">
        <v>240</v>
      </c>
      <c r="Y528" s="352" t="n">
        <v>240</v>
      </c>
      <c r="Z528" s="352" t="n">
        <v>240</v>
      </c>
      <c r="AA528" s="352" t="n">
        <v>240</v>
      </c>
      <c r="AB528" s="352" t="n">
        <v>240</v>
      </c>
      <c r="AC528" s="352" t="n">
        <v>240</v>
      </c>
      <c r="AD528" s="352" t="n">
        <v>240</v>
      </c>
      <c r="AE528" s="352" t="n">
        <v>240</v>
      </c>
      <c r="AF528" s="352" t="n">
        <v>240</v>
      </c>
      <c r="AG528" s="352" t="n">
        <v>240</v>
      </c>
      <c r="AH528" s="352" t="n">
        <v>240</v>
      </c>
      <c r="AI528" s="352" t="n">
        <v>240</v>
      </c>
      <c r="AJ528" s="352" t="n">
        <v>240</v>
      </c>
      <c r="AK528" s="352" t="n">
        <v>240</v>
      </c>
      <c r="AL528" s="352" t="n">
        <v>240</v>
      </c>
      <c r="AM528" s="352" t="n">
        <v>240</v>
      </c>
      <c r="AN528" s="352" t="n">
        <v>240</v>
      </c>
      <c r="AO528" s="352" t="n">
        <v>240</v>
      </c>
      <c r="AP528" s="352" t="n">
        <v>240</v>
      </c>
      <c r="AQ528" s="352" t="n">
        <v>240</v>
      </c>
      <c r="AR528" s="352" t="n">
        <v>240</v>
      </c>
      <c r="AS528" s="352" t="n">
        <v>240</v>
      </c>
      <c r="AT528" s="352" t="n">
        <v>240</v>
      </c>
      <c r="AU528" s="352" t="n">
        <v>240</v>
      </c>
      <c r="AV528" s="352" t="n">
        <v>240</v>
      </c>
      <c r="AW528" s="352">
        <f>IF(SUM(R528:AV528)=0,"",SUM(R528:AV528))</f>
        <v/>
      </c>
      <c r="AX528" s="431">
        <f>IFERROR(AW528*O528/1000,"")</f>
        <v/>
      </c>
      <c r="AY528" s="431">
        <f>IFERROR(ROUND(AW528*P528/10000,3),"")</f>
        <v/>
      </c>
      <c r="BC528" s="331" t="n"/>
      <c r="BD528" s="331" t="n"/>
      <c r="BE528" s="331" t="n"/>
      <c r="BF528" s="331" t="n"/>
      <c r="BG528" s="331" t="n"/>
      <c r="BH528" s="331" t="n"/>
      <c r="BI528" s="331" t="n"/>
      <c r="BJ528" s="356">
        <f t="array" ref="BJ528">SUMPRODUCT(IF(ISNUMBER(BJ373:BJ387),BJ373:BJ387,0),IF(ISERROR(BJ373:BJ387),0,1))</f>
        <v/>
      </c>
      <c r="BK528" s="356">
        <f t="array" ref="BK528">SUMPRODUCT(IF(ISNUMBER(BK373:BK387),BK373:BK387,0),IF(ISERROR(BK373:BK387),0,1))</f>
        <v/>
      </c>
      <c r="BL528" s="356">
        <f t="array" ref="BL528">SUMPRODUCT(IF(ISNUMBER(BL373:BL387),BL373:BL387,0),IF(ISERROR(BL373:BL387),0,1))</f>
        <v/>
      </c>
      <c r="BM528" s="356">
        <f t="array" ref="BM528">SUMPRODUCT(IF(ISNUMBER(BM373:BM387),BM373:BM387,0),IF(ISERROR(BM373:BM387),0,1))</f>
        <v/>
      </c>
      <c r="BN528" s="362">
        <f>SUM(BJ528:BM528)</f>
        <v/>
      </c>
      <c r="BO528" s="362" t="n">
        <v>42.79</v>
      </c>
      <c r="BP528" s="362" t="n">
        <v>44.13</v>
      </c>
      <c r="BQ528" s="362" t="n">
        <v>49.14</v>
      </c>
      <c r="BR528" s="362" t="n">
        <v>55.17</v>
      </c>
      <c r="BS528" s="367" t="inlineStr">
        <is>
          <t>半钢ST</t>
        </is>
      </c>
      <c r="BX528" s="367" t="inlineStr">
        <is>
          <t>半钢/半钢ST</t>
        </is>
      </c>
      <c r="BY528" s="362">
        <f>SUM(R528:X528)</f>
        <v/>
      </c>
      <c r="BZ528" s="362">
        <f>SUM(Y528:AE528)</f>
        <v/>
      </c>
      <c r="CA528" s="362">
        <f>SUM(AF528:AM528)</f>
        <v/>
      </c>
      <c r="CB528" s="362">
        <f>SUM(AN528:AV528)</f>
        <v/>
      </c>
      <c r="CD528" s="440" t="inlineStr">
        <is>
          <t>TIDAK ADA</t>
        </is>
      </c>
      <c r="CE528" s="362">
        <f>ROUND(BY528*$O528/1000,2)</f>
        <v/>
      </c>
      <c r="CF528" s="362">
        <f>ROUND(BZ528*$O528/1000,2)</f>
        <v/>
      </c>
      <c r="CG528" s="362">
        <f>ROUND(CA528*$O528/1000,2)</f>
        <v/>
      </c>
      <c r="CH528" s="362">
        <f>ROUND(CB528*$O528/1000,2)</f>
        <v/>
      </c>
      <c r="CI528" s="362">
        <f>SUM(CE528:CH528)</f>
        <v/>
      </c>
      <c r="CJ528" s="390" t="n"/>
      <c r="CK528" s="362">
        <f>IFERROR(ROUND(BY528*$P528,2),"")</f>
        <v/>
      </c>
      <c r="CL528" s="362">
        <f>IFERROR(ROUND(BZ528*$P528,2),"")</f>
        <v/>
      </c>
      <c r="CM528" s="362">
        <f>IFERROR(ROUND(CA528*$P528,2),"")</f>
        <v/>
      </c>
      <c r="CN528" s="362">
        <f>IFERROR(ROUND(CB528*$P528,2),"")</f>
        <v/>
      </c>
      <c r="CO528" s="362">
        <f>SUM(CK528:CN528)</f>
        <v/>
      </c>
    </row>
    <row r="529" customFormat="1" s="362">
      <c r="A529" s="433" t="n"/>
      <c r="B529" s="434" t="inlineStr">
        <is>
          <t>美国</t>
        </is>
      </c>
      <c r="C529" s="434">
        <f>IFERROR(MID(E529,FIND("-",E529)-2,2),"")</f>
        <v/>
      </c>
      <c r="D529" s="434">
        <f>"半钢ST"&amp;C529&amp;"寸"</f>
        <v/>
      </c>
      <c r="E529" s="436">
        <f>LEFT(REPLACE(G529,1,2,""),FIND("[",REPLACE(G529,1,2,""))-1)&amp;"-"&amp;MID(REPLACE(G529,1,2,""),FIND("[",REPLACE(G529,1,2,""))+1,FIND("]",REPLACE(G529,1,2,""))-FIND("[",REPLACE(G529,1,2,""))-1)</f>
        <v/>
      </c>
      <c r="F529" s="436" t="inlineStr">
        <is>
          <t>IDST225/75R15-10PR[ST100]117/112M ARISUN无内</t>
        </is>
      </c>
      <c r="G529" s="436" t="inlineStr">
        <is>
          <t>IDST225/75R15-10PR[ST100]117/112M ARISUN无内</t>
        </is>
      </c>
      <c r="H529" s="434" t="n">
        <v>400</v>
      </c>
      <c r="I529" s="434" t="n"/>
      <c r="J529" s="434" t="n"/>
      <c r="K529" s="434" t="n"/>
      <c r="L529" s="438">
        <f>IF(J504="","",J504/(J504+$L$175/60))</f>
        <v/>
      </c>
      <c r="M529" s="438" t="n"/>
      <c r="N529" s="434" t="n"/>
      <c r="O529" s="434">
        <f>IFERROR(_xlfn.XLOOKUP(E529,轮胎重量!S:S,轮胎重量!P:P),IFERROR(_xlfn.XLOOKUP(E529,轮胎重量!AB:AB,轮胎重量!Y:Y),IFERROR(_xlfn.XLOOKUP(E529,轮胎重量!AK:AK,轮胎重量!AH:AH),IFERROR(_xlfn.XLOOKUP(E529,轮胎重量!AT:AT,轮胎重量!AQ:AQ),IFERROR(_xlfn.XLOOKUP(E529,轮胎重量!BB:BB,轮胎重量!AY:AY),"")))))</f>
        <v/>
      </c>
      <c r="P529" s="439">
        <f>O529*15.16</f>
        <v/>
      </c>
      <c r="Q529" s="434" t="n"/>
      <c r="R529" s="352" t="n">
        <v>120</v>
      </c>
      <c r="S529" s="352" t="n">
        <v>120</v>
      </c>
      <c r="T529" s="352" t="n">
        <v>120</v>
      </c>
      <c r="U529" s="352" t="n">
        <v>120</v>
      </c>
      <c r="V529" s="352" t="n">
        <v>120</v>
      </c>
      <c r="W529" s="352" t="n">
        <v>120</v>
      </c>
      <c r="X529" s="352" t="n">
        <v>120</v>
      </c>
      <c r="Y529" s="352" t="n">
        <v>120</v>
      </c>
      <c r="Z529" s="352" t="n"/>
      <c r="AA529" s="352" t="n"/>
      <c r="AB529" s="352" t="n"/>
      <c r="AC529" s="352" t="n"/>
      <c r="AD529" s="352" t="n"/>
      <c r="AE529" s="352" t="n"/>
      <c r="AF529" s="352" t="n"/>
      <c r="AG529" s="352" t="n"/>
      <c r="AH529" s="352" t="n"/>
      <c r="AI529" s="352" t="n"/>
      <c r="AJ529" s="352" t="n"/>
      <c r="AK529" s="352" t="n"/>
      <c r="AL529" s="352" t="n"/>
      <c r="AM529" s="352" t="n"/>
      <c r="AN529" s="352" t="n"/>
      <c r="AO529" s="352" t="n"/>
      <c r="AP529" s="352" t="n"/>
      <c r="AQ529" s="352" t="n"/>
      <c r="AR529" s="352" t="n"/>
      <c r="AS529" s="352" t="n"/>
      <c r="AT529" s="352" t="n"/>
      <c r="AU529" s="352" t="n"/>
      <c r="AV529" s="352" t="n"/>
      <c r="AW529" s="352">
        <f>IF(SUM(R529:AV529)=0,"",SUM(R529:AV529))</f>
        <v/>
      </c>
      <c r="AX529" s="431">
        <f>IFERROR(AW529*O529/1000,"")</f>
        <v/>
      </c>
      <c r="AY529" s="431">
        <f>IFERROR(ROUND(AW529*P529/10000,3),"")</f>
        <v/>
      </c>
      <c r="BC529" s="331" t="n"/>
      <c r="BD529" s="331" t="n"/>
      <c r="BE529" s="331" t="n"/>
      <c r="BF529" s="331" t="n"/>
      <c r="BG529" s="331" t="n"/>
      <c r="BH529" s="331" t="n"/>
      <c r="BI529" s="331" t="n"/>
      <c r="BJ529" s="356">
        <f t="array" ref="BJ529">SUMPRODUCT(IF(ISNUMBER(BJ375:BJ389),BJ375:BJ389,0),IF(ISERROR(BJ375:BJ389),0,1))</f>
        <v/>
      </c>
      <c r="BK529" s="356">
        <f t="array" ref="BK529">SUMPRODUCT(IF(ISNUMBER(BK375:BK389),BK375:BK389,0),IF(ISERROR(BK375:BK389),0,1))</f>
        <v/>
      </c>
      <c r="BL529" s="356">
        <f t="array" ref="BL529">SUMPRODUCT(IF(ISNUMBER(BL375:BL389),BL375:BL389,0),IF(ISERROR(BL375:BL389),0,1))</f>
        <v/>
      </c>
      <c r="BM529" s="356">
        <f t="array" ref="BM529">SUMPRODUCT(IF(ISNUMBER(BM375:BM389),BM375:BM389,0),IF(ISERROR(BM375:BM389),0,1))</f>
        <v/>
      </c>
      <c r="BN529" s="362">
        <f>SUM(BJ529:BM529)</f>
        <v/>
      </c>
      <c r="BO529" s="362" t="n">
        <v>42.79</v>
      </c>
      <c r="BP529" s="362" t="n">
        <v>44.13</v>
      </c>
      <c r="BQ529" s="362" t="n">
        <v>49.14</v>
      </c>
      <c r="BR529" s="362" t="n">
        <v>55.17</v>
      </c>
      <c r="BS529" s="367" t="inlineStr">
        <is>
          <t>半钢ST</t>
        </is>
      </c>
      <c r="BX529" s="367" t="inlineStr">
        <is>
          <t>半钢/半钢ST</t>
        </is>
      </c>
      <c r="BY529" s="362">
        <f>SUM(R529:X529)</f>
        <v/>
      </c>
      <c r="BZ529" s="362">
        <f>SUM(Y529:AE529)</f>
        <v/>
      </c>
      <c r="CA529" s="362">
        <f>SUM(AF529:AM529)</f>
        <v/>
      </c>
      <c r="CB529" s="362">
        <f>SUM(AN529:AV529)</f>
        <v/>
      </c>
      <c r="CD529" s="440" t="inlineStr">
        <is>
          <t>TIDAK ADA</t>
        </is>
      </c>
      <c r="CE529" s="362">
        <f>ROUND(BY529*$O529/1000,2)</f>
        <v/>
      </c>
      <c r="CF529" s="362">
        <f>ROUND(BZ529*$O529/1000,2)</f>
        <v/>
      </c>
      <c r="CG529" s="362">
        <f>ROUND(CA529*$O529/1000,2)</f>
        <v/>
      </c>
      <c r="CH529" s="362">
        <f>ROUND(CB529*$O529/1000,2)</f>
        <v/>
      </c>
      <c r="CI529" s="362">
        <f>SUM(CE529:CH529)</f>
        <v/>
      </c>
      <c r="CJ529" s="390" t="n"/>
      <c r="CK529" s="362">
        <f>IFERROR(ROUND(BY529*$P529,2),"")</f>
        <v/>
      </c>
      <c r="CL529" s="362">
        <f>IFERROR(ROUND(BZ529*$P529,2),"")</f>
        <v/>
      </c>
      <c r="CM529" s="362">
        <f>IFERROR(ROUND(CA529*$P529,2),"")</f>
        <v/>
      </c>
      <c r="CN529" s="362">
        <f>IFERROR(ROUND(CB529*$P529,2),"")</f>
        <v/>
      </c>
    </row>
    <row r="530" customFormat="1" s="362">
      <c r="A530" s="433" t="n"/>
      <c r="B530" s="434" t="inlineStr">
        <is>
          <t>美国</t>
        </is>
      </c>
      <c r="C530" s="434">
        <f>IFERROR(MID(E530,FIND("-",E530)-2,2),"")</f>
        <v/>
      </c>
      <c r="D530" s="434">
        <f>"半钢ST"&amp;C530&amp;"寸"</f>
        <v/>
      </c>
      <c r="E530" s="436">
        <f>LEFT(REPLACE(G530,1,2,""),FIND("[",REPLACE(G530,1,2,""))-1)&amp;"-"&amp;MID(REPLACE(G530,1,2,""),FIND("[",REPLACE(G530,1,2,""))+1,FIND("]",REPLACE(G530,1,2,""))-FIND("[",REPLACE(G530,1,2,""))-1)</f>
        <v/>
      </c>
      <c r="F530" s="436" t="inlineStr">
        <is>
          <t>IDST235/80R16-10PR[ST226]124/120L CASTLE ROCK无内 NR</t>
        </is>
      </c>
      <c r="G530" s="436" t="inlineStr">
        <is>
          <t>IDST235/80R16-10PR[ST226]124/120L CASTLE ROCK无内 NR</t>
        </is>
      </c>
      <c r="H530" s="434" t="n">
        <v>5300</v>
      </c>
      <c r="I530" s="434" t="n"/>
      <c r="J530" s="434" t="n"/>
      <c r="K530" s="454" t="n"/>
      <c r="L530" s="438">
        <f>IF(J529="","",J529/(J529+$L$175/60))</f>
        <v/>
      </c>
      <c r="M530" s="438" t="n"/>
      <c r="N530" s="434" t="n"/>
      <c r="O530" s="434">
        <f>IFERROR(_xlfn.XLOOKUP(E530,轮胎重量!S:S,轮胎重量!P:P),IFERROR(_xlfn.XLOOKUP(E530,轮胎重量!AB:AB,轮胎重量!Y:Y),IFERROR(_xlfn.XLOOKUP(E530,轮胎重量!AK:AK,轮胎重量!AH:AH),IFERROR(_xlfn.XLOOKUP(E530,轮胎重量!AT:AT,轮胎重量!AQ:AQ),IFERROR(_xlfn.XLOOKUP(E530,轮胎重量!BB:BB,轮胎重量!AY:AY),"")))))</f>
        <v/>
      </c>
      <c r="P530" s="439">
        <f>O530*15.16</f>
        <v/>
      </c>
      <c r="Q530" s="434" t="n"/>
      <c r="R530" s="352" t="n">
        <v>240</v>
      </c>
      <c r="S530" s="352" t="n">
        <v>240</v>
      </c>
      <c r="T530" s="352" t="n">
        <v>240</v>
      </c>
      <c r="U530" s="352" t="n">
        <v>240</v>
      </c>
      <c r="V530" s="352" t="n">
        <v>240</v>
      </c>
      <c r="W530" s="352" t="n">
        <v>240</v>
      </c>
      <c r="X530" s="352" t="n">
        <v>240</v>
      </c>
      <c r="Y530" s="352" t="n">
        <v>240</v>
      </c>
      <c r="Z530" s="352" t="n">
        <v>240</v>
      </c>
      <c r="AA530" s="352" t="n">
        <v>240</v>
      </c>
      <c r="AB530" s="352" t="n">
        <v>240</v>
      </c>
      <c r="AC530" s="352" t="n">
        <v>240</v>
      </c>
      <c r="AD530" s="352" t="n">
        <v>240</v>
      </c>
      <c r="AE530" s="352" t="n">
        <v>240</v>
      </c>
      <c r="AF530" s="352" t="n">
        <v>240</v>
      </c>
      <c r="AG530" s="352" t="n">
        <v>240</v>
      </c>
      <c r="AH530" s="352" t="n">
        <v>240</v>
      </c>
      <c r="AI530" s="352" t="n">
        <v>240</v>
      </c>
      <c r="AJ530" s="352" t="n">
        <v>240</v>
      </c>
      <c r="AK530" s="352" t="n">
        <v>240</v>
      </c>
      <c r="AL530" s="352" t="n">
        <v>240</v>
      </c>
      <c r="AM530" s="352" t="n">
        <v>240</v>
      </c>
      <c r="AN530" s="352" t="n">
        <v>240</v>
      </c>
      <c r="AO530" s="352" t="n">
        <v>240</v>
      </c>
      <c r="AP530" s="352" t="n">
        <v>240</v>
      </c>
      <c r="AQ530" s="352" t="n">
        <v>240</v>
      </c>
      <c r="AR530" s="352" t="n">
        <v>240</v>
      </c>
      <c r="AS530" s="352" t="n">
        <v>240</v>
      </c>
      <c r="AT530" s="352" t="n">
        <v>240</v>
      </c>
      <c r="AU530" s="352" t="n">
        <v>240</v>
      </c>
      <c r="AV530" s="352" t="n">
        <v>240</v>
      </c>
      <c r="AW530" s="352">
        <f>IF(SUM(R530:AV530)=0,"",SUM(R530:AV530))</f>
        <v/>
      </c>
      <c r="AX530" s="431">
        <f>IFERROR(AW530*O530/1000,"")</f>
        <v/>
      </c>
      <c r="AY530" s="431">
        <f>IFERROR(ROUND(AW530*P530/10000,3),"")</f>
        <v/>
      </c>
      <c r="BC530" s="331" t="n"/>
      <c r="BD530" s="331" t="n"/>
      <c r="BE530" s="331" t="n"/>
      <c r="BF530" s="331" t="n"/>
      <c r="BG530" s="331" t="n"/>
      <c r="BH530" s="331" t="n"/>
      <c r="BI530" s="331" t="n"/>
      <c r="BJ530" s="356">
        <f t="array" ref="BJ530">SUMPRODUCT(IF(ISNUMBER(BJ375:BJ389),BJ375:BJ389,0),IF(ISERROR(BJ375:BJ389),0,1))</f>
        <v/>
      </c>
      <c r="BK530" s="356">
        <f t="array" ref="BK530">SUMPRODUCT(IF(ISNUMBER(BK375:BK389),BK375:BK389,0),IF(ISERROR(BK375:BK389),0,1))</f>
        <v/>
      </c>
      <c r="BL530" s="356">
        <f t="array" ref="BL530">SUMPRODUCT(IF(ISNUMBER(BL375:BL389),BL375:BL389,0),IF(ISERROR(BL375:BL389),0,1))</f>
        <v/>
      </c>
      <c r="BM530" s="356">
        <f t="array" ref="BM530">SUMPRODUCT(IF(ISNUMBER(BM375:BM389),BM375:BM389,0),IF(ISERROR(BM375:BM389),0,1))</f>
        <v/>
      </c>
      <c r="BN530" s="362">
        <f>SUM(BJ530:BM530)</f>
        <v/>
      </c>
      <c r="BO530" s="362" t="n">
        <v>42.79</v>
      </c>
      <c r="BP530" s="362" t="n">
        <v>44.13</v>
      </c>
      <c r="BQ530" s="362" t="n">
        <v>49.14</v>
      </c>
      <c r="BR530" s="362" t="n">
        <v>55.17</v>
      </c>
      <c r="BS530" s="367" t="inlineStr">
        <is>
          <t>半钢ST</t>
        </is>
      </c>
      <c r="BX530" s="367" t="inlineStr">
        <is>
          <t>半钢/半钢ST</t>
        </is>
      </c>
      <c r="BY530" s="362">
        <f>SUM(R530:X530)</f>
        <v/>
      </c>
      <c r="BZ530" s="362">
        <f>SUM(Y530:AE530)</f>
        <v/>
      </c>
      <c r="CA530" s="362">
        <f>SUM(AF530:AM530)</f>
        <v/>
      </c>
      <c r="CB530" s="362">
        <f>SUM(AN530:AV530)</f>
        <v/>
      </c>
      <c r="CD530" s="440" t="inlineStr">
        <is>
          <t>TIDAK ADA</t>
        </is>
      </c>
      <c r="CE530" s="362">
        <f>ROUND(BY530*$O530/1000,2)</f>
        <v/>
      </c>
      <c r="CF530" s="362">
        <f>ROUND(BZ530*$O530/1000,2)</f>
        <v/>
      </c>
      <c r="CG530" s="362">
        <f>ROUND(CA530*$O530/1000,2)</f>
        <v/>
      </c>
      <c r="CH530" s="362">
        <f>ROUND(CB530*$O530/1000,2)</f>
        <v/>
      </c>
      <c r="CI530" s="362">
        <f>SUM(CE530:CH530)</f>
        <v/>
      </c>
      <c r="CJ530" s="390" t="n"/>
      <c r="CK530" s="362">
        <f>IFERROR(ROUND(BY530*$P530,2),"")</f>
        <v/>
      </c>
      <c r="CL530" s="362">
        <f>IFERROR(ROUND(BZ530*$P530,2),"")</f>
        <v/>
      </c>
      <c r="CM530" s="362">
        <f>IFERROR(ROUND(CA530*$P530,2),"")</f>
        <v/>
      </c>
      <c r="CN530" s="362">
        <f>IFERROR(ROUND(CB530*$P530,2),"")</f>
        <v/>
      </c>
      <c r="CO530" s="362">
        <f>SUM(CK530:CN530)</f>
        <v/>
      </c>
    </row>
    <row r="531" customFormat="1" s="362">
      <c r="A531" s="433" t="n"/>
      <c r="B531" s="434" t="inlineStr">
        <is>
          <t>美国</t>
        </is>
      </c>
      <c r="C531" s="434">
        <f>IFERROR(MID(E531,FIND("-",E531)-2,2),"")</f>
        <v/>
      </c>
      <c r="D531" s="434">
        <f>"半钢ST"&amp;C531&amp;"寸"</f>
        <v/>
      </c>
      <c r="E531" s="436">
        <f>LEFT(REPLACE(G531,1,2,""),FIND("[",REPLACE(G531,1,2,""))-1)&amp;"-"&amp;MID(REPLACE(G531,1,2,""),FIND("[",REPLACE(G531,1,2,""))+1,FIND("]",REPLACE(G531,1,2,""))-FIND("[",REPLACE(G531,1,2,""))-1)</f>
        <v/>
      </c>
      <c r="F531" s="436" t="inlineStr">
        <is>
          <t>IDST235/85R16-12PR[ST Radial]128/124M Tamarack无内 NR</t>
        </is>
      </c>
      <c r="G531" s="436" t="inlineStr">
        <is>
          <t>IDST235/85R16-12PR[ST Radial]128/124M Tamarack无内 NR</t>
        </is>
      </c>
      <c r="H531" s="434" t="n">
        <v>350</v>
      </c>
      <c r="I531" s="434" t="n"/>
      <c r="J531" s="434" t="n"/>
      <c r="K531" s="438" t="n"/>
      <c r="L531" s="438">
        <f>IF(J530="","",J530/(J530+$L$175/60))</f>
        <v/>
      </c>
      <c r="M531" s="438" t="n"/>
      <c r="N531" s="434" t="n"/>
      <c r="O531" s="434">
        <f>IFERROR(_xlfn.XLOOKUP(E531,轮胎重量!S:S,轮胎重量!P:P),IFERROR(_xlfn.XLOOKUP(E531,轮胎重量!AB:AB,轮胎重量!Y:Y),IFERROR(_xlfn.XLOOKUP(E531,轮胎重量!AK:AK,轮胎重量!AH:AH),IFERROR(_xlfn.XLOOKUP(E531,轮胎重量!AT:AT,轮胎重量!AQ:AQ),IFERROR(_xlfn.XLOOKUP(E531,轮胎重量!BB:BB,轮胎重量!AY:AY),"")))))</f>
        <v/>
      </c>
      <c r="P531" s="439">
        <f>O531*15.16</f>
        <v/>
      </c>
      <c r="Q531" s="434" t="n"/>
      <c r="R531" s="352" t="n">
        <v>120</v>
      </c>
      <c r="S531" s="352" t="n">
        <v>120</v>
      </c>
      <c r="T531" s="352" t="n">
        <v>120</v>
      </c>
      <c r="U531" s="352" t="n">
        <v>120</v>
      </c>
      <c r="V531" s="352" t="n">
        <v>120</v>
      </c>
      <c r="W531" s="352" t="n">
        <v>120</v>
      </c>
      <c r="X531" s="352" t="n">
        <v>120</v>
      </c>
      <c r="Y531" s="352" t="n">
        <v>120</v>
      </c>
      <c r="Z531" s="352" t="n">
        <v>120</v>
      </c>
      <c r="AA531" s="352" t="n">
        <v>120</v>
      </c>
      <c r="AB531" s="352" t="n">
        <v>120</v>
      </c>
      <c r="AC531" s="352" t="n">
        <v>120</v>
      </c>
      <c r="AD531" s="352" t="n">
        <v>120</v>
      </c>
      <c r="AE531" s="352" t="n">
        <v>120</v>
      </c>
      <c r="AF531" s="352" t="n">
        <v>120</v>
      </c>
      <c r="AG531" s="352" t="n">
        <v>120</v>
      </c>
      <c r="AH531" s="352" t="n">
        <v>120</v>
      </c>
      <c r="AI531" s="352" t="n">
        <v>120</v>
      </c>
      <c r="AJ531" s="352" t="n">
        <v>120</v>
      </c>
      <c r="AK531" s="352" t="n">
        <v>120</v>
      </c>
      <c r="AL531" s="352" t="n">
        <v>120</v>
      </c>
      <c r="AM531" s="352" t="n">
        <v>120</v>
      </c>
      <c r="AN531" s="352" t="n">
        <v>120</v>
      </c>
      <c r="AO531" s="352" t="n">
        <v>120</v>
      </c>
      <c r="AP531" s="352" t="n">
        <v>120</v>
      </c>
      <c r="AQ531" s="352" t="n">
        <v>120</v>
      </c>
      <c r="AR531" s="352" t="n">
        <v>120</v>
      </c>
      <c r="AS531" s="352" t="n">
        <v>120</v>
      </c>
      <c r="AT531" s="352" t="n">
        <v>120</v>
      </c>
      <c r="AU531" s="352" t="n">
        <v>120</v>
      </c>
      <c r="AV531" s="352" t="n">
        <v>120</v>
      </c>
      <c r="AW531" s="352">
        <f>IF(SUM(R531:AV531)=0,"",SUM(R531:AV531))</f>
        <v/>
      </c>
      <c r="AX531" s="431">
        <f>IFERROR(AW531*O531/1000,"")</f>
        <v/>
      </c>
      <c r="AY531" s="431">
        <f>IFERROR(ROUND(AW531*P531/10000,3),"")</f>
        <v/>
      </c>
      <c r="BC531" s="331" t="n"/>
      <c r="BD531" s="331" t="n"/>
      <c r="BE531" s="331" t="n"/>
      <c r="BF531" s="331" t="n"/>
      <c r="BG531" s="331" t="n"/>
      <c r="BH531" s="331" t="n"/>
      <c r="BI531" s="331" t="n"/>
      <c r="BJ531" s="356">
        <f t="array" ref="BJ531">SUMPRODUCT(IF(ISNUMBER(BJ375:BJ389),BJ375:BJ389,0),IF(ISERROR(BJ375:BJ389),0,1))</f>
        <v/>
      </c>
      <c r="BK531" s="356">
        <f t="array" ref="BK531">SUMPRODUCT(IF(ISNUMBER(BK375:BK389),BK375:BK389,0),IF(ISERROR(BK375:BK389),0,1))</f>
        <v/>
      </c>
      <c r="BL531" s="356">
        <f t="array" ref="BL531">SUMPRODUCT(IF(ISNUMBER(BL375:BL389),BL375:BL389,0),IF(ISERROR(BL375:BL389),0,1))</f>
        <v/>
      </c>
      <c r="BM531" s="356">
        <f t="array" ref="BM531">SUMPRODUCT(IF(ISNUMBER(BM375:BM389),BM375:BM389,0),IF(ISERROR(BM375:BM389),0,1))</f>
        <v/>
      </c>
      <c r="BN531" s="362">
        <f>SUM(BJ531:BM531)</f>
        <v/>
      </c>
      <c r="BO531" s="362" t="n">
        <v>42.79</v>
      </c>
      <c r="BP531" s="362" t="n">
        <v>44.13</v>
      </c>
      <c r="BQ531" s="362" t="n">
        <v>49.14</v>
      </c>
      <c r="BR531" s="362" t="n">
        <v>55.17</v>
      </c>
      <c r="BS531" s="367" t="inlineStr">
        <is>
          <t>半钢ST</t>
        </is>
      </c>
      <c r="BX531" s="367" t="inlineStr">
        <is>
          <t>半钢/半钢ST</t>
        </is>
      </c>
      <c r="BY531" s="362">
        <f>SUM(R531:X531)</f>
        <v/>
      </c>
      <c r="BZ531" s="362">
        <f>SUM(Y531:AE531)</f>
        <v/>
      </c>
      <c r="CA531" s="362">
        <f>SUM(AF531:AM531)</f>
        <v/>
      </c>
      <c r="CB531" s="362">
        <f>SUM(AN531:AV531)</f>
        <v/>
      </c>
      <c r="CD531" s="440" t="inlineStr">
        <is>
          <t>TIDAK ADA</t>
        </is>
      </c>
      <c r="CE531" s="362">
        <f>ROUND(BY531*$O531/1000,2)</f>
        <v/>
      </c>
      <c r="CF531" s="362">
        <f>ROUND(BZ531*$O531/1000,2)</f>
        <v/>
      </c>
      <c r="CG531" s="362">
        <f>ROUND(CA531*$O531/1000,2)</f>
        <v/>
      </c>
      <c r="CH531" s="362">
        <f>ROUND(CB531*$O531/1000,2)</f>
        <v/>
      </c>
      <c r="CI531" s="362">
        <f>SUM(CE531:CH531)</f>
        <v/>
      </c>
      <c r="CJ531" s="390" t="n"/>
      <c r="CK531" s="362">
        <f>IFERROR(ROUND(BY531*$P531,2),"")</f>
        <v/>
      </c>
      <c r="CL531" s="362">
        <f>IFERROR(ROUND(BZ531*$P531,2),"")</f>
        <v/>
      </c>
      <c r="CM531" s="362">
        <f>IFERROR(ROUND(CA531*$P531,2),"")</f>
        <v/>
      </c>
      <c r="CN531" s="362">
        <f>IFERROR(ROUND(CB531*$P531,2),"")</f>
        <v/>
      </c>
      <c r="CO531" s="362">
        <f>SUM(CK531:CN531)</f>
        <v/>
      </c>
    </row>
    <row r="532" customFormat="1" s="362">
      <c r="A532" s="331" t="n"/>
      <c r="B532" s="352" t="inlineStr">
        <is>
          <t>美国</t>
        </is>
      </c>
      <c r="C532" s="352">
        <f>IFERROR(MID(E532,FIND("-",E532)-2,2),"")</f>
        <v/>
      </c>
      <c r="D532" s="352">
        <f>"半钢ST"&amp;C532&amp;"寸"</f>
        <v/>
      </c>
      <c r="E532" s="379">
        <f>LEFT(REPLACE(G532,1,2,""),FIND("[",REPLACE(G532,1,2,""))-1)&amp;"-"&amp;MID(REPLACE(G532,1,2,""),FIND("[",REPLACE(G532,1,2,""))+1,FIND("]",REPLACE(G532,1,2,""))-FIND("[",REPLACE(G532,1,2,""))-1)</f>
        <v/>
      </c>
      <c r="F532" s="389" t="inlineStr">
        <is>
          <t>IDST235/80R16-10PR[ST200]124/120M GOODRIDE(好运)无内NR</t>
        </is>
      </c>
      <c r="G532" s="389" t="inlineStr">
        <is>
          <t>IDST235/80R16-10PR[ST200]124/120M GOODRIDE(好运)无内NR</t>
        </is>
      </c>
      <c r="H532" s="370" t="n">
        <v>5000</v>
      </c>
      <c r="I532" s="370" t="n"/>
      <c r="J532" s="352" t="n"/>
      <c r="K532" s="430" t="n"/>
      <c r="L532" s="430" t="n"/>
      <c r="M532" s="430" t="n"/>
      <c r="N532" s="352" t="n"/>
      <c r="O532" s="352">
        <f>IFERROR(_xlfn.XLOOKUP(E532,轮胎重量!S:S,轮胎重量!P:P),IFERROR(_xlfn.XLOOKUP(E532,轮胎重量!AB:AB,轮胎重量!Y:Y),IFERROR(_xlfn.XLOOKUP(E532,轮胎重量!AK:AK,轮胎重量!AH:AH),IFERROR(_xlfn.XLOOKUP(E532,轮胎重量!AT:AT,轮胎重量!AQ:AQ),IFERROR(_xlfn.XLOOKUP(E532,轮胎重量!BB:BB,轮胎重量!AY:AY),"")))))</f>
        <v/>
      </c>
      <c r="P532" s="358">
        <f>O532*15.16</f>
        <v/>
      </c>
      <c r="Q532" s="352" t="n"/>
      <c r="R532" s="352" t="n">
        <v>120</v>
      </c>
      <c r="S532" s="352" t="n">
        <v>120</v>
      </c>
      <c r="T532" s="352" t="n">
        <v>120</v>
      </c>
      <c r="U532" s="352" t="n">
        <v>120</v>
      </c>
      <c r="V532" s="352" t="n">
        <v>120</v>
      </c>
      <c r="W532" s="352" t="n">
        <v>120</v>
      </c>
      <c r="X532" s="352" t="n">
        <v>120</v>
      </c>
      <c r="Y532" s="352" t="n">
        <v>120</v>
      </c>
      <c r="Z532" s="352" t="n">
        <v>120</v>
      </c>
      <c r="AA532" s="352" t="n">
        <v>120</v>
      </c>
      <c r="AB532" s="352" t="n">
        <v>120</v>
      </c>
      <c r="AC532" s="352" t="n">
        <v>120</v>
      </c>
      <c r="AD532" s="352" t="n">
        <v>120</v>
      </c>
      <c r="AE532" s="352" t="n">
        <v>120</v>
      </c>
      <c r="AF532" s="352" t="n">
        <v>120</v>
      </c>
      <c r="AG532" s="352" t="n">
        <v>120</v>
      </c>
      <c r="AH532" s="352" t="n">
        <v>120</v>
      </c>
      <c r="AI532" s="352" t="n">
        <v>120</v>
      </c>
      <c r="AJ532" s="352" t="n">
        <v>120</v>
      </c>
      <c r="AK532" s="352" t="n">
        <v>120</v>
      </c>
      <c r="AL532" s="352" t="n">
        <v>120</v>
      </c>
      <c r="AM532" s="352" t="n">
        <v>120</v>
      </c>
      <c r="AN532" s="352" t="n">
        <v>120</v>
      </c>
      <c r="AO532" s="352" t="n">
        <v>120</v>
      </c>
      <c r="AP532" s="352" t="n">
        <v>120</v>
      </c>
      <c r="AQ532" s="352" t="n">
        <v>120</v>
      </c>
      <c r="AR532" s="352" t="n">
        <v>120</v>
      </c>
      <c r="AS532" s="352" t="n">
        <v>120</v>
      </c>
      <c r="AT532" s="352" t="n">
        <v>120</v>
      </c>
      <c r="AU532" s="352" t="n">
        <v>120</v>
      </c>
      <c r="AV532" s="352" t="n">
        <v>120</v>
      </c>
      <c r="AW532" s="352">
        <f>IF(SUM(R532:AV532)=0,"",SUM(R532:AV532))</f>
        <v/>
      </c>
      <c r="AX532" s="431">
        <f>IFERROR(AW532*O532/1000,"")</f>
        <v/>
      </c>
      <c r="AY532" s="431">
        <f>IFERROR(ROUND(AW532*P532/10000,3),"")</f>
        <v/>
      </c>
      <c r="BC532" s="331" t="n"/>
      <c r="BD532" s="331" t="n"/>
      <c r="BE532" s="331" t="n"/>
      <c r="BF532" s="331" t="n"/>
      <c r="BG532" s="331" t="n"/>
      <c r="BH532" s="331" t="n"/>
      <c r="BI532" s="331" t="n"/>
      <c r="BJ532" s="356">
        <f t="array" ref="BJ532">SUMPRODUCT(IF(ISNUMBER(BJ376:BJ390),BJ376:BJ390,0),IF(ISERROR(BJ376:BJ390),0,1))</f>
        <v/>
      </c>
      <c r="BK532" s="356">
        <f t="array" ref="BK532">SUMPRODUCT(IF(ISNUMBER(BK376:BK390),BK376:BK390,0),IF(ISERROR(BK376:BK390),0,1))</f>
        <v/>
      </c>
      <c r="BL532" s="356">
        <f t="array" ref="BL532">SUMPRODUCT(IF(ISNUMBER(BL376:BL390),BL376:BL390,0),IF(ISERROR(BL376:BL390),0,1))</f>
        <v/>
      </c>
      <c r="BM532" s="356">
        <f t="array" ref="BM532">SUMPRODUCT(IF(ISNUMBER(BM376:BM390),BM376:BM390,0),IF(ISERROR(BM376:BM390),0,1))</f>
        <v/>
      </c>
      <c r="BN532" s="362">
        <f>SUM(BJ532:BM532)</f>
        <v/>
      </c>
      <c r="BO532" s="362" t="n">
        <v>42.79</v>
      </c>
      <c r="BP532" s="362" t="n">
        <v>44.13</v>
      </c>
      <c r="BQ532" s="362" t="n">
        <v>49.14</v>
      </c>
      <c r="BR532" s="362" t="n">
        <v>55.17</v>
      </c>
      <c r="BS532" s="367" t="inlineStr">
        <is>
          <t>半钢ST</t>
        </is>
      </c>
      <c r="BX532" s="367" t="inlineStr">
        <is>
          <t>半钢/半钢ST</t>
        </is>
      </c>
      <c r="BY532" s="362">
        <f>SUM(R532:X532)</f>
        <v/>
      </c>
      <c r="BZ532" s="362">
        <f>SUM(Y532:AE532)</f>
        <v/>
      </c>
      <c r="CA532" s="362">
        <f>SUM(AF532:AM532)</f>
        <v/>
      </c>
      <c r="CB532" s="362">
        <f>SUM(AN532:AV532)</f>
        <v/>
      </c>
      <c r="CD532" s="432" t="inlineStr">
        <is>
          <t>ADA</t>
        </is>
      </c>
      <c r="CE532" s="362">
        <f>ROUND(BY532*$O532/1000,2)</f>
        <v/>
      </c>
      <c r="CF532" s="362">
        <f>ROUND(BZ532*$O532/1000,2)</f>
        <v/>
      </c>
      <c r="CG532" s="362">
        <f>ROUND(CA532*$O532/1000,2)</f>
        <v/>
      </c>
      <c r="CH532" s="362">
        <f>ROUND(CB532*$O532/1000,2)</f>
        <v/>
      </c>
      <c r="CI532" s="362">
        <f>SUM(CE532:CH532)</f>
        <v/>
      </c>
      <c r="CJ532" s="390" t="n"/>
      <c r="CK532" s="362">
        <f>IFERROR(ROUND(BY532*$P532,2),"")</f>
        <v/>
      </c>
      <c r="CL532" s="362">
        <f>IFERROR(ROUND(BZ532*$P532,2),"")</f>
        <v/>
      </c>
      <c r="CM532" s="362">
        <f>IFERROR(ROUND(CA532*$P532,2),"")</f>
        <v/>
      </c>
      <c r="CN532" s="362">
        <f>IFERROR(ROUND(CB532*$P532,2),"")</f>
        <v/>
      </c>
    </row>
    <row r="533" customFormat="1" s="362">
      <c r="A533" s="331" t="n"/>
      <c r="B533" s="352" t="inlineStr">
        <is>
          <t>美国</t>
        </is>
      </c>
      <c r="C533" s="352">
        <f>IFERROR(MID(E533,FIND("-",E533)-2,2),"")</f>
        <v/>
      </c>
      <c r="D533" s="352">
        <f>"半钢ST"&amp;C533&amp;"寸"</f>
        <v/>
      </c>
      <c r="E533" s="379">
        <f>LEFT(REPLACE(G533,1,2,""),FIND("[",REPLACE(G533,1,2,""))-1)&amp;"-"&amp;MID(REPLACE(G533,1,2,""),FIND("[",REPLACE(G533,1,2,""))+1,FIND("]",REPLACE(G533,1,2,""))-FIND("[",REPLACE(G533,1,2,""))-1)</f>
        <v/>
      </c>
      <c r="F533" s="389" t="inlineStr">
        <is>
          <t>IDST235/80R16-10PR[ST100]124/120M 西湖无内</t>
        </is>
      </c>
      <c r="G533" s="389" t="inlineStr">
        <is>
          <t>IDST235/80R16-10PR[ST100]124/120M 西湖无内</t>
        </is>
      </c>
      <c r="H533" s="370" t="n"/>
      <c r="I533" s="370" t="n"/>
      <c r="J533" s="352" t="n"/>
      <c r="K533" s="430">
        <f>IF(J533="","",J533/(J533+$L$175/60))</f>
        <v/>
      </c>
      <c r="L533" s="430" t="n"/>
      <c r="M533" s="430" t="n"/>
      <c r="N533" s="352" t="n"/>
      <c r="O533" s="352">
        <f>IFERROR(_xlfn.XLOOKUP(E533,轮胎重量!S:S,轮胎重量!P:P),IFERROR(_xlfn.XLOOKUP(E533,轮胎重量!AB:AB,轮胎重量!Y:Y),IFERROR(_xlfn.XLOOKUP(E533,轮胎重量!AK:AK,轮胎重量!AH:AH),IFERROR(_xlfn.XLOOKUP(E533,轮胎重量!AT:AT,轮胎重量!AQ:AQ),IFERROR(_xlfn.XLOOKUP(E533,轮胎重量!BB:BB,轮胎重量!AY:AY),"")))))</f>
        <v/>
      </c>
      <c r="P533" s="358">
        <f>O533*15.16</f>
        <v/>
      </c>
      <c r="Q533" s="352" t="n"/>
      <c r="R533" s="352" t="n">
        <v>600</v>
      </c>
      <c r="S533" s="352" t="n">
        <v>600</v>
      </c>
      <c r="T533" s="352" t="n">
        <v>600</v>
      </c>
      <c r="U533" s="352" t="n">
        <v>600</v>
      </c>
      <c r="V533" s="352" t="n">
        <v>600</v>
      </c>
      <c r="W533" s="352" t="n">
        <v>600</v>
      </c>
      <c r="X533" s="352" t="n">
        <v>600</v>
      </c>
      <c r="Y533" s="352" t="n">
        <v>600</v>
      </c>
      <c r="Z533" s="352" t="n">
        <v>600</v>
      </c>
      <c r="AA533" s="352" t="n">
        <v>600</v>
      </c>
      <c r="AB533" s="352" t="n">
        <v>600</v>
      </c>
      <c r="AC533" s="352" t="n">
        <v>600</v>
      </c>
      <c r="AD533" s="352" t="n">
        <v>600</v>
      </c>
      <c r="AE533" s="352" t="n">
        <v>600</v>
      </c>
      <c r="AF533" s="352" t="n">
        <v>600</v>
      </c>
      <c r="AG533" s="352" t="n">
        <v>600</v>
      </c>
      <c r="AH533" s="352" t="n">
        <v>600</v>
      </c>
      <c r="AI533" s="352" t="n">
        <v>600</v>
      </c>
      <c r="AJ533" s="352" t="n">
        <v>600</v>
      </c>
      <c r="AK533" s="352" t="n">
        <v>600</v>
      </c>
      <c r="AL533" s="352" t="n">
        <v>600</v>
      </c>
      <c r="AM533" s="352" t="n">
        <v>600</v>
      </c>
      <c r="AN533" s="352" t="n">
        <v>600</v>
      </c>
      <c r="AO533" s="352" t="n">
        <v>600</v>
      </c>
      <c r="AP533" s="352" t="n">
        <v>600</v>
      </c>
      <c r="AQ533" s="352" t="n">
        <v>600</v>
      </c>
      <c r="AR533" s="352" t="n">
        <v>600</v>
      </c>
      <c r="AS533" s="352" t="n">
        <v>600</v>
      </c>
      <c r="AT533" s="352" t="n">
        <v>600</v>
      </c>
      <c r="AU533" s="352" t="n">
        <v>600</v>
      </c>
      <c r="AV533" s="352" t="n">
        <v>600</v>
      </c>
      <c r="AW533" s="352">
        <f>IF(SUM(R533:AV533)=0,"",SUM(R533:AV533))</f>
        <v/>
      </c>
      <c r="AX533" s="431">
        <f>IFERROR(AW533*O533/1000,"")</f>
        <v/>
      </c>
      <c r="AY533" s="431">
        <f>IFERROR(ROUND(AW533*P533/10000,3),"")</f>
        <v/>
      </c>
      <c r="BC533" s="331" t="n"/>
      <c r="BD533" s="331" t="n"/>
      <c r="BE533" s="331" t="n"/>
      <c r="BF533" s="331" t="n"/>
      <c r="BG533" s="331" t="n"/>
      <c r="BH533" s="331" t="n"/>
      <c r="BI533" s="331" t="n"/>
      <c r="BJ533" s="356">
        <f t="array" ref="BJ533">SUMPRODUCT(IF(ISNUMBER(BJ378:BJ391),BJ378:BJ391,0),IF(ISERROR(BJ378:BJ391),0,1))</f>
        <v/>
      </c>
      <c r="BK533" s="356">
        <f t="array" ref="BK533">SUMPRODUCT(IF(ISNUMBER(BK378:BK391),BK378:BK391,0),IF(ISERROR(BK378:BK391),0,1))</f>
        <v/>
      </c>
      <c r="BL533" s="356">
        <f t="array" ref="BL533">SUMPRODUCT(IF(ISNUMBER(BL378:BL391),BL378:BL391,0),IF(ISERROR(BL378:BL391),0,1))</f>
        <v/>
      </c>
      <c r="BM533" s="356">
        <f t="array" ref="BM533">SUMPRODUCT(IF(ISNUMBER(BM378:BM391),BM378:BM391,0),IF(ISERROR(BM378:BM391),0,1))</f>
        <v/>
      </c>
      <c r="BN533" s="362">
        <f>SUM(BJ533:BM533)</f>
        <v/>
      </c>
      <c r="BO533" s="362" t="n">
        <v>42.79</v>
      </c>
      <c r="BP533" s="362" t="n">
        <v>44.13</v>
      </c>
      <c r="BQ533" s="362" t="n">
        <v>49.14</v>
      </c>
      <c r="BR533" s="362" t="n">
        <v>55.17</v>
      </c>
      <c r="BS533" s="367" t="inlineStr">
        <is>
          <t>半钢ST</t>
        </is>
      </c>
      <c r="BX533" s="367" t="inlineStr">
        <is>
          <t>半钢/半钢ST</t>
        </is>
      </c>
      <c r="BY533" s="362">
        <f>SUM(R533:X533)</f>
        <v/>
      </c>
      <c r="BZ533" s="362">
        <f>SUM(Y533:AE533)</f>
        <v/>
      </c>
      <c r="CA533" s="362">
        <f>SUM(AF533:AM533)</f>
        <v/>
      </c>
      <c r="CB533" s="362">
        <f>SUM(AN533:AV533)</f>
        <v/>
      </c>
      <c r="CD533" s="432" t="inlineStr">
        <is>
          <t>ADA</t>
        </is>
      </c>
      <c r="CE533" s="362">
        <f>ROUND(BY533*$O533/1000,2)</f>
        <v/>
      </c>
      <c r="CF533" s="362">
        <f>ROUND(BZ533*$O533/1000,2)</f>
        <v/>
      </c>
      <c r="CG533" s="362">
        <f>ROUND(CA533*$O533/1000,2)</f>
        <v/>
      </c>
      <c r="CH533" s="362">
        <f>ROUND(CB533*$O533/1000,2)</f>
        <v/>
      </c>
      <c r="CI533" s="362">
        <f>SUM(CE533:CH533)</f>
        <v/>
      </c>
      <c r="CJ533" s="390" t="n"/>
      <c r="CK533" s="362">
        <f>IFERROR(ROUND(BY533*$P533,2),"")</f>
        <v/>
      </c>
      <c r="CL533" s="362">
        <f>IFERROR(ROUND(BZ533*$P533,2),"")</f>
        <v/>
      </c>
      <c r="CM533" s="362">
        <f>IFERROR(ROUND(CA533*$P533,2),"")</f>
        <v/>
      </c>
      <c r="CN533" s="362">
        <f>IFERROR(ROUND(CB533*$P533,2),"")</f>
        <v/>
      </c>
    </row>
    <row r="534" customFormat="1" s="362">
      <c r="A534" s="433" t="n"/>
      <c r="B534" s="434" t="inlineStr">
        <is>
          <t>美国</t>
        </is>
      </c>
      <c r="C534" s="434">
        <f>IFERROR(MID(E534,FIND("-",E534)-2,2),"")</f>
        <v/>
      </c>
      <c r="D534" s="434">
        <f>"半钢ST"&amp;C534&amp;"寸"</f>
        <v/>
      </c>
      <c r="E534" s="436">
        <f>LEFT(REPLACE(G534,1,2,""),FIND("[",REPLACE(G534,1,2,""))-1)&amp;"-"&amp;MID(REPLACE(G534,1,2,""),FIND("[",REPLACE(G534,1,2,""))+1,FIND("]",REPLACE(G534,1,2,""))-FIND("[",REPLACE(G534,1,2,""))-1)</f>
        <v/>
      </c>
      <c r="F534" s="436" t="inlineStr">
        <is>
          <t>IDST235/80R16-10PR[STZC]124/120L 西湖无内</t>
        </is>
      </c>
      <c r="G534" s="436" t="inlineStr">
        <is>
          <t>IDST235/80R16-10PR[STZC]124/120L 西湖无内</t>
        </is>
      </c>
      <c r="H534" s="434" t="n"/>
      <c r="I534" s="434" t="n"/>
      <c r="J534" s="434" t="n"/>
      <c r="K534" s="434" t="n"/>
      <c r="L534" s="438">
        <f>IF(J520="","",J520/(J520+$L$175/60))</f>
        <v/>
      </c>
      <c r="M534" s="438" t="n"/>
      <c r="N534" s="434" t="n"/>
      <c r="O534" s="434">
        <f>IFERROR(_xlfn.XLOOKUP(E534,轮胎重量!S:S,轮胎重量!P:P),IFERROR(_xlfn.XLOOKUP(E534,轮胎重量!AB:AB,轮胎重量!Y:Y),IFERROR(_xlfn.XLOOKUP(E534,轮胎重量!AK:AK,轮胎重量!AH:AH),IFERROR(_xlfn.XLOOKUP(E534,轮胎重量!AT:AT,轮胎重量!AQ:AQ),IFERROR(_xlfn.XLOOKUP(E534,轮胎重量!BB:BB,轮胎重量!AY:AY),"")))))</f>
        <v/>
      </c>
      <c r="P534" s="439">
        <f>O534*15.16</f>
        <v/>
      </c>
      <c r="Q534" s="434" t="n"/>
      <c r="R534" s="352" t="n">
        <v>240</v>
      </c>
      <c r="S534" s="352" t="n">
        <v>240</v>
      </c>
      <c r="T534" s="352" t="n">
        <v>240</v>
      </c>
      <c r="U534" s="352" t="n">
        <v>240</v>
      </c>
      <c r="V534" s="352" t="n">
        <v>240</v>
      </c>
      <c r="W534" s="352" t="n">
        <v>240</v>
      </c>
      <c r="X534" s="352" t="n">
        <v>240</v>
      </c>
      <c r="Y534" s="352" t="n">
        <v>240</v>
      </c>
      <c r="Z534" s="352" t="n">
        <v>240</v>
      </c>
      <c r="AA534" s="352" t="n">
        <v>240</v>
      </c>
      <c r="AB534" s="352" t="n">
        <v>240</v>
      </c>
      <c r="AC534" s="352" t="n">
        <v>240</v>
      </c>
      <c r="AD534" s="352" t="n">
        <v>240</v>
      </c>
      <c r="AE534" s="352" t="n">
        <v>240</v>
      </c>
      <c r="AF534" s="352" t="n">
        <v>240</v>
      </c>
      <c r="AG534" s="352" t="n">
        <v>240</v>
      </c>
      <c r="AH534" s="352" t="n">
        <v>240</v>
      </c>
      <c r="AI534" s="352" t="n">
        <v>240</v>
      </c>
      <c r="AJ534" s="352" t="n">
        <v>240</v>
      </c>
      <c r="AK534" s="352" t="n">
        <v>240</v>
      </c>
      <c r="AL534" s="352" t="n">
        <v>240</v>
      </c>
      <c r="AM534" s="352" t="n">
        <v>240</v>
      </c>
      <c r="AN534" s="352" t="n">
        <v>240</v>
      </c>
      <c r="AO534" s="352" t="n">
        <v>240</v>
      </c>
      <c r="AP534" s="352" t="n">
        <v>240</v>
      </c>
      <c r="AQ534" s="352" t="n">
        <v>240</v>
      </c>
      <c r="AR534" s="352" t="n">
        <v>240</v>
      </c>
      <c r="AS534" s="352" t="n">
        <v>240</v>
      </c>
      <c r="AT534" s="352" t="n">
        <v>240</v>
      </c>
      <c r="AU534" s="352" t="n">
        <v>240</v>
      </c>
      <c r="AV534" s="352" t="n">
        <v>240</v>
      </c>
      <c r="AW534" s="352">
        <f>IF(SUM(R534:AV534)=0,"",SUM(R534:AV534))</f>
        <v/>
      </c>
      <c r="AX534" s="431">
        <f>IFERROR(AW534*O534/1000,"")</f>
        <v/>
      </c>
      <c r="AY534" s="431">
        <f>IFERROR(ROUND(AW534*P534/10000,3),"")</f>
        <v/>
      </c>
      <c r="BC534" s="331" t="n"/>
      <c r="BD534" s="331" t="n"/>
      <c r="BE534" s="331" t="n"/>
      <c r="BF534" s="331" t="n"/>
      <c r="BG534" s="331" t="n"/>
      <c r="BH534" s="331" t="n"/>
      <c r="BI534" s="331" t="n"/>
      <c r="BJ534" s="356">
        <f t="array" ref="BJ534">SUMPRODUCT(IF(ISNUMBER(BJ380:BJ395),BJ380:BJ395,0),IF(ISERROR(BJ380:BJ395),0,1))</f>
        <v/>
      </c>
      <c r="BK534" s="356">
        <f t="array" ref="BK534">SUMPRODUCT(IF(ISNUMBER(BK380:BK395),BK380:BK395,0),IF(ISERROR(BK380:BK395),0,1))</f>
        <v/>
      </c>
      <c r="BL534" s="356">
        <f t="array" ref="BL534">SUMPRODUCT(IF(ISNUMBER(BL380:BL395),BL380:BL395,0),IF(ISERROR(BL380:BL395),0,1))</f>
        <v/>
      </c>
      <c r="BM534" s="356">
        <f t="array" ref="BM534">SUMPRODUCT(IF(ISNUMBER(BM380:BM395),BM380:BM395,0),IF(ISERROR(BM380:BM395),0,1))</f>
        <v/>
      </c>
      <c r="BN534" s="362">
        <f>SUM(BJ534:BM534)</f>
        <v/>
      </c>
      <c r="BO534" s="362" t="n">
        <v>42.79</v>
      </c>
      <c r="BP534" s="362" t="n">
        <v>44.13</v>
      </c>
      <c r="BQ534" s="362" t="n">
        <v>49.14</v>
      </c>
      <c r="BR534" s="362" t="n">
        <v>55.17</v>
      </c>
      <c r="BS534" s="367" t="inlineStr">
        <is>
          <t>半钢ST</t>
        </is>
      </c>
      <c r="BX534" s="367" t="inlineStr">
        <is>
          <t>半钢/半钢ST</t>
        </is>
      </c>
      <c r="BY534" s="362">
        <f>SUM(R534:X534)</f>
        <v/>
      </c>
      <c r="BZ534" s="362">
        <f>SUM(Y534:AE534)</f>
        <v/>
      </c>
      <c r="CA534" s="362">
        <f>SUM(AF534:AM534)</f>
        <v/>
      </c>
      <c r="CB534" s="362">
        <f>SUM(AN534:AV534)</f>
        <v/>
      </c>
      <c r="CD534" s="440" t="inlineStr">
        <is>
          <t>TIDAK ADA</t>
        </is>
      </c>
      <c r="CE534" s="362">
        <f>ROUND(BY534*$O534/1000,2)</f>
        <v/>
      </c>
      <c r="CF534" s="362">
        <f>ROUND(BZ534*$O534/1000,2)</f>
        <v/>
      </c>
      <c r="CG534" s="362">
        <f>ROUND(CA534*$O534/1000,2)</f>
        <v/>
      </c>
      <c r="CH534" s="362">
        <f>ROUND(CB534*$O534/1000,2)</f>
        <v/>
      </c>
      <c r="CI534" s="362">
        <f>SUM(CE534:CH534)</f>
        <v/>
      </c>
      <c r="CJ534" s="390" t="n"/>
      <c r="CK534" s="362">
        <f>IFERROR(ROUND(BY534*$P534,2),"")</f>
        <v/>
      </c>
      <c r="CL534" s="362">
        <f>IFERROR(ROUND(BZ534*$P534,2),"")</f>
        <v/>
      </c>
      <c r="CM534" s="362">
        <f>IFERROR(ROUND(CA534*$P534,2),"")</f>
        <v/>
      </c>
      <c r="CN534" s="362">
        <f>IFERROR(ROUND(CB534*$P534,2),"")</f>
        <v/>
      </c>
    </row>
    <row r="535" customFormat="1" s="362">
      <c r="A535" s="433" t="n"/>
      <c r="B535" s="434" t="inlineStr">
        <is>
          <t>美国</t>
        </is>
      </c>
      <c r="C535" s="434">
        <f>IFERROR(MID(E535,FIND("-",E535)-2,2),"")</f>
        <v/>
      </c>
      <c r="D535" s="434">
        <f>"半钢ST"&amp;C535&amp;"寸"</f>
        <v/>
      </c>
      <c r="E535" s="436">
        <f>LEFT(REPLACE(G535,1,2,""),FIND("[",REPLACE(G535,1,2,""))-1)&amp;"-"&amp;MID(REPLACE(G535,1,2,""),FIND("[",REPLACE(G535,1,2,""))+1,FIND("]",REPLACE(G535,1,2,""))-FIND("[",REPLACE(G535,1,2,""))-1)</f>
        <v/>
      </c>
      <c r="F535" s="436" t="inlineStr">
        <is>
          <t>IDST205/75R15-8PR[ST100]107/102M ARISUN无内</t>
        </is>
      </c>
      <c r="G535" s="436" t="inlineStr">
        <is>
          <t>IDST205/75R15-8PR[ST100]107/102M ARISUN无内</t>
        </is>
      </c>
      <c r="H535" s="434" t="n"/>
      <c r="I535" s="434" t="n"/>
      <c r="J535" s="434" t="n"/>
      <c r="K535" s="454" t="n"/>
      <c r="L535" s="438">
        <f>IF(J534="","",J534/(J534+$L$175/60))</f>
        <v/>
      </c>
      <c r="M535" s="438" t="n"/>
      <c r="N535" s="434" t="n"/>
      <c r="O535" s="434">
        <f>IFERROR(_xlfn.XLOOKUP(E535,轮胎重量!S:S,轮胎重量!P:P),IFERROR(_xlfn.XLOOKUP(E535,轮胎重量!AB:AB,轮胎重量!Y:Y),IFERROR(_xlfn.XLOOKUP(E535,轮胎重量!AK:AK,轮胎重量!AH:AH),IFERROR(_xlfn.XLOOKUP(E535,轮胎重量!AT:AT,轮胎重量!AQ:AQ),IFERROR(_xlfn.XLOOKUP(E535,轮胎重量!BB:BB,轮胎重量!AY:AY),"")))))</f>
        <v/>
      </c>
      <c r="P535" s="439">
        <f>O535*15.16</f>
        <v/>
      </c>
      <c r="Q535" s="434" t="n"/>
      <c r="R535" s="352" t="n"/>
      <c r="S535" s="352" t="n"/>
      <c r="T535" s="352" t="n"/>
      <c r="U535" s="352" t="n"/>
      <c r="V535" s="352" t="n"/>
      <c r="W535" s="352" t="n"/>
      <c r="X535" s="352" t="n"/>
      <c r="Y535" s="352" t="n"/>
      <c r="Z535" s="352" t="n">
        <v>120</v>
      </c>
      <c r="AA535" s="352" t="n">
        <v>120</v>
      </c>
      <c r="AB535" s="352" t="n">
        <v>120</v>
      </c>
      <c r="AC535" s="352" t="n">
        <v>120</v>
      </c>
      <c r="AD535" s="352" t="n">
        <v>120</v>
      </c>
      <c r="AE535" s="352" t="n">
        <v>120</v>
      </c>
      <c r="AF535" s="352" t="n">
        <v>120</v>
      </c>
      <c r="AG535" s="352" t="n">
        <v>120</v>
      </c>
      <c r="AH535" s="352" t="n">
        <v>120</v>
      </c>
      <c r="AI535" s="352" t="n">
        <v>120</v>
      </c>
      <c r="AJ535" s="352" t="n">
        <v>120</v>
      </c>
      <c r="AK535" s="352" t="n">
        <v>120</v>
      </c>
      <c r="AL535" s="352" t="n">
        <v>120</v>
      </c>
      <c r="AM535" s="352" t="n">
        <v>120</v>
      </c>
      <c r="AN535" s="352" t="n">
        <v>120</v>
      </c>
      <c r="AO535" s="352" t="n">
        <v>120</v>
      </c>
      <c r="AP535" s="352" t="n">
        <v>120</v>
      </c>
      <c r="AQ535" s="352" t="n">
        <v>120</v>
      </c>
      <c r="AR535" s="352" t="n">
        <v>120</v>
      </c>
      <c r="AS535" s="352" t="n">
        <v>120</v>
      </c>
      <c r="AT535" s="352" t="n">
        <v>120</v>
      </c>
      <c r="AU535" s="352" t="n">
        <v>120</v>
      </c>
      <c r="AV535" s="352" t="n">
        <v>120</v>
      </c>
      <c r="AW535" s="352">
        <f>IF(SUM(R535:AV535)=0,"",SUM(R535:AV535))</f>
        <v/>
      </c>
      <c r="AX535" s="431">
        <f>IFERROR(AW535*O535/1000,"")</f>
        <v/>
      </c>
      <c r="AY535" s="431">
        <f>IFERROR(ROUND(AW535*P535/10000,3),"")</f>
        <v/>
      </c>
      <c r="BC535" s="331" t="n"/>
      <c r="BD535" s="331" t="n"/>
      <c r="BE535" s="331" t="n"/>
      <c r="BF535" s="331" t="n"/>
      <c r="BG535" s="331" t="n"/>
      <c r="BH535" s="331" t="n"/>
      <c r="BI535" s="331" t="n"/>
      <c r="BJ535" s="356">
        <f t="array" ref="BJ535">SUMPRODUCT(IF(ISNUMBER(BJ380:BJ395),BJ380:BJ395,0),IF(ISERROR(BJ380:BJ395),0,1))</f>
        <v/>
      </c>
      <c r="BK535" s="356">
        <f t="array" ref="BK535">SUMPRODUCT(IF(ISNUMBER(BK380:BK395),BK380:BK395,0),IF(ISERROR(BK380:BK395),0,1))</f>
        <v/>
      </c>
      <c r="BL535" s="356">
        <f t="array" ref="BL535">SUMPRODUCT(IF(ISNUMBER(BL380:BL395),BL380:BL395,0),IF(ISERROR(BL380:BL395),0,1))</f>
        <v/>
      </c>
      <c r="BM535" s="356">
        <f t="array" ref="BM535">SUMPRODUCT(IF(ISNUMBER(BM380:BM395),BM380:BM395,0),IF(ISERROR(BM380:BM395),0,1))</f>
        <v/>
      </c>
      <c r="BN535" s="362">
        <f>SUM(BJ535:BM535)</f>
        <v/>
      </c>
      <c r="BO535" s="362" t="n">
        <v>42.79</v>
      </c>
      <c r="BP535" s="362" t="n">
        <v>44.13</v>
      </c>
      <c r="BQ535" s="362" t="n">
        <v>49.14</v>
      </c>
      <c r="BR535" s="362" t="n">
        <v>55.17</v>
      </c>
      <c r="BS535" s="367" t="inlineStr">
        <is>
          <t>半钢ST</t>
        </is>
      </c>
      <c r="BX535" s="367" t="inlineStr">
        <is>
          <t>半钢/半钢ST</t>
        </is>
      </c>
      <c r="BY535" s="362">
        <f>SUM(R535:X535)</f>
        <v/>
      </c>
      <c r="BZ535" s="362">
        <f>SUM(Y535:AE535)</f>
        <v/>
      </c>
      <c r="CA535" s="362">
        <f>SUM(AF535:AM535)</f>
        <v/>
      </c>
      <c r="CB535" s="362">
        <f>SUM(AN535:AV535)</f>
        <v/>
      </c>
      <c r="CD535" s="440" t="inlineStr">
        <is>
          <t>TIDAK ADA</t>
        </is>
      </c>
      <c r="CE535" s="362">
        <f>ROUND(BY535*$O535/1000,2)</f>
        <v/>
      </c>
      <c r="CF535" s="362">
        <f>ROUND(BZ535*$O535/1000,2)</f>
        <v/>
      </c>
      <c r="CG535" s="362">
        <f>ROUND(CA535*$O535/1000,2)</f>
        <v/>
      </c>
      <c r="CH535" s="362">
        <f>ROUND(CB535*$O535/1000,2)</f>
        <v/>
      </c>
      <c r="CI535" s="362">
        <f>SUM(CE535:CH535)</f>
        <v/>
      </c>
      <c r="CJ535" s="390" t="n"/>
      <c r="CK535" s="362">
        <f>IFERROR(ROUND(BY535*$P535,2),"")</f>
        <v/>
      </c>
      <c r="CL535" s="362">
        <f>IFERROR(ROUND(BZ535*$P535,2),"")</f>
        <v/>
      </c>
      <c r="CM535" s="362">
        <f>IFERROR(ROUND(CA535*$P535,2),"")</f>
        <v/>
      </c>
      <c r="CN535" s="362">
        <f>IFERROR(ROUND(CB535*$P535,2),"")</f>
        <v/>
      </c>
      <c r="CO535" s="362">
        <f>SUM(CK535:CN535)</f>
        <v/>
      </c>
    </row>
    <row r="536" customFormat="1" s="362">
      <c r="A536" s="433" t="n"/>
      <c r="B536" s="434" t="inlineStr">
        <is>
          <t>美国</t>
        </is>
      </c>
      <c r="C536" s="434">
        <f>IFERROR(MID(E536,FIND("-",E536)-2,2),"")</f>
        <v/>
      </c>
      <c r="D536" s="434">
        <f>"半钢ST"&amp;C536&amp;"寸"</f>
        <v/>
      </c>
      <c r="E536" s="436">
        <f>LEFT(REPLACE(G536,1,2,""),FIND("[",REPLACE(G536,1,2,""))-1)&amp;"-"&amp;MID(REPLACE(G536,1,2,""),FIND("[",REPLACE(G536,1,2,""))+1,FIND("]",REPLACE(G536,1,2,""))-FIND("[",REPLACE(G536,1,2,""))-1)</f>
        <v/>
      </c>
      <c r="F536" s="436" t="inlineStr">
        <is>
          <t>185R14CPR[TRAILER ST290]104/102N 西湖无内 NR</t>
        </is>
      </c>
      <c r="G536" s="436" t="inlineStr">
        <is>
          <t>IDST185R14CPR[TRAILER ST290]104/102N 西湖无内 NR</t>
        </is>
      </c>
      <c r="H536" s="434" t="n"/>
      <c r="I536" s="434" t="n"/>
      <c r="J536" s="434" t="n"/>
      <c r="K536" s="438" t="n"/>
      <c r="L536" s="438">
        <f>IF(J535="","",J535/(J535+$L$175/60))</f>
        <v/>
      </c>
      <c r="M536" s="438" t="n"/>
      <c r="N536" s="434" t="n"/>
      <c r="O536" s="434">
        <f>IFERROR(_xlfn.XLOOKUP(E536,轮胎重量!S:S,轮胎重量!P:P),IFERROR(_xlfn.XLOOKUP(E536,轮胎重量!AB:AB,轮胎重量!Y:Y),IFERROR(_xlfn.XLOOKUP(E536,轮胎重量!AK:AK,轮胎重量!AH:AH),IFERROR(_xlfn.XLOOKUP(E536,轮胎重量!AT:AT,轮胎重量!AQ:AQ),IFERROR(_xlfn.XLOOKUP(E536,轮胎重量!BB:BB,轮胎重量!AY:AY),"")))))</f>
        <v/>
      </c>
      <c r="P536" s="439">
        <f>O536*15.16</f>
        <v/>
      </c>
      <c r="Q536" s="434" t="n"/>
      <c r="R536" s="352" t="n"/>
      <c r="S536" s="352" t="n"/>
      <c r="T536" s="352" t="n"/>
      <c r="U536" s="352" t="n"/>
      <c r="V536" s="352" t="n"/>
      <c r="W536" s="352" t="n"/>
      <c r="X536" s="352" t="n"/>
      <c r="Y536" s="352" t="n"/>
      <c r="Z536" s="352" t="n"/>
      <c r="AA536" s="352" t="n"/>
      <c r="AB536" s="352" t="n"/>
      <c r="AC536" s="352" t="n"/>
      <c r="AD536" s="352" t="n"/>
      <c r="AE536" s="352" t="n"/>
      <c r="AF536" s="352" t="n">
        <v>140</v>
      </c>
      <c r="AG536" s="352" t="n">
        <v>140</v>
      </c>
      <c r="AH536" s="352" t="n">
        <v>140</v>
      </c>
      <c r="AI536" s="352" t="n">
        <v>140</v>
      </c>
      <c r="AJ536" s="352" t="n">
        <v>140</v>
      </c>
      <c r="AK536" s="352" t="n">
        <v>140</v>
      </c>
      <c r="AL536" s="352" t="n">
        <v>140</v>
      </c>
      <c r="AM536" s="352" t="n">
        <v>140</v>
      </c>
      <c r="AN536" s="352" t="n">
        <v>140</v>
      </c>
      <c r="AO536" s="352" t="n">
        <v>140</v>
      </c>
      <c r="AP536" s="352" t="n">
        <v>140</v>
      </c>
      <c r="AQ536" s="352" t="n">
        <v>140</v>
      </c>
      <c r="AR536" s="352" t="n">
        <v>140</v>
      </c>
      <c r="AS536" s="352" t="n">
        <v>140</v>
      </c>
      <c r="AT536" s="352" t="n">
        <v>140</v>
      </c>
      <c r="AU536" s="352" t="n">
        <v>140</v>
      </c>
      <c r="AV536" s="352" t="n">
        <v>140</v>
      </c>
      <c r="AW536" s="352">
        <f>IF(SUM(R536:AV536)=0,"",SUM(R536:AV536))</f>
        <v/>
      </c>
      <c r="AX536" s="431">
        <f>IFERROR(AW536*O536/1000,"")</f>
        <v/>
      </c>
      <c r="AY536" s="431">
        <f>IFERROR(ROUND(AW536*P536/10000,3),"")</f>
        <v/>
      </c>
      <c r="BC536" s="331" t="n"/>
      <c r="BD536" s="331" t="n"/>
      <c r="BE536" s="331" t="n"/>
      <c r="BF536" s="331" t="n"/>
      <c r="BG536" s="331" t="n"/>
      <c r="BH536" s="331" t="n"/>
      <c r="BI536" s="331" t="n"/>
      <c r="BJ536" s="356">
        <f t="array" ref="BJ536">SUMPRODUCT(IF(ISNUMBER(BJ380:BJ395),BJ380:BJ395,0),IF(ISERROR(BJ380:BJ395),0,1))</f>
        <v/>
      </c>
      <c r="BK536" s="356">
        <f t="array" ref="BK536">SUMPRODUCT(IF(ISNUMBER(BK380:BK395),BK380:BK395,0),IF(ISERROR(BK380:BK395),0,1))</f>
        <v/>
      </c>
      <c r="BL536" s="356">
        <f t="array" ref="BL536">SUMPRODUCT(IF(ISNUMBER(BL380:BL395),BL380:BL395,0),IF(ISERROR(BL380:BL395),0,1))</f>
        <v/>
      </c>
      <c r="BM536" s="356">
        <f t="array" ref="BM536">SUMPRODUCT(IF(ISNUMBER(BM380:BM395),BM380:BM395,0),IF(ISERROR(BM380:BM395),0,1))</f>
        <v/>
      </c>
      <c r="BN536" s="362">
        <f>SUM(BJ536:BM536)</f>
        <v/>
      </c>
      <c r="BO536" s="362" t="n">
        <v>42.79</v>
      </c>
      <c r="BP536" s="362" t="n">
        <v>44.13</v>
      </c>
      <c r="BQ536" s="362" t="n">
        <v>49.14</v>
      </c>
      <c r="BR536" s="362" t="n">
        <v>55.17</v>
      </c>
      <c r="BS536" s="367" t="inlineStr">
        <is>
          <t>半钢ST</t>
        </is>
      </c>
      <c r="BX536" s="367" t="inlineStr">
        <is>
          <t>半钢/半钢ST</t>
        </is>
      </c>
      <c r="BY536" s="362">
        <f>SUM(R536:X536)</f>
        <v/>
      </c>
      <c r="BZ536" s="362">
        <f>SUM(Y536:AE536)</f>
        <v/>
      </c>
      <c r="CA536" s="362">
        <f>SUM(AF536:AM536)</f>
        <v/>
      </c>
      <c r="CB536" s="362">
        <f>SUM(AN536:AV536)</f>
        <v/>
      </c>
      <c r="CD536" s="440" t="inlineStr">
        <is>
          <t>TIDAK ADA</t>
        </is>
      </c>
      <c r="CE536" s="362">
        <f>ROUND(BY536*$O536/1000,2)</f>
        <v/>
      </c>
      <c r="CF536" s="362">
        <f>ROUND(BZ536*$O536/1000,2)</f>
        <v/>
      </c>
      <c r="CG536" s="362">
        <f>ROUND(CA536*$O536/1000,2)</f>
        <v/>
      </c>
      <c r="CH536" s="362">
        <f>ROUND(CB536*$O536/1000,2)</f>
        <v/>
      </c>
      <c r="CI536" s="362">
        <f>SUM(CE536:CH536)</f>
        <v/>
      </c>
      <c r="CJ536" s="390" t="n"/>
      <c r="CK536" s="362">
        <f>IFERROR(ROUND(BY536*$P536,2),"")</f>
        <v/>
      </c>
      <c r="CL536" s="362">
        <f>IFERROR(ROUND(BZ536*$P536,2),"")</f>
        <v/>
      </c>
      <c r="CM536" s="362">
        <f>IFERROR(ROUND(CA536*$P536,2),"")</f>
        <v/>
      </c>
      <c r="CN536" s="362">
        <f>IFERROR(ROUND(CB536*$P536,2),"")</f>
        <v/>
      </c>
      <c r="CO536" s="362">
        <f>SUM(CK536:CN536)</f>
        <v/>
      </c>
    </row>
    <row r="537" customFormat="1" s="362">
      <c r="A537" s="433" t="n"/>
      <c r="B537" s="434" t="inlineStr">
        <is>
          <t>美国</t>
        </is>
      </c>
      <c r="C537" s="434">
        <f>IFERROR(MID(E537,FIND("-",E537)-2,2),"")</f>
        <v/>
      </c>
      <c r="D537" s="434">
        <f>"半钢ST"&amp;C537&amp;"寸"</f>
        <v/>
      </c>
      <c r="E537" s="436">
        <f>LEFT(REPLACE(G537,1,2,""),FIND("[",REPLACE(G537,1,2,""))-1)&amp;"-"&amp;MID(REPLACE(G537,1,2,""),FIND("[",REPLACE(G537,1,2,""))+1,FIND("]",REPLACE(G537,1,2,""))-FIND("[",REPLACE(G537,1,2,""))-1)</f>
        <v/>
      </c>
      <c r="F537" s="436" t="inlineStr">
        <is>
          <t>195/70R14PR[ST290]96N 威狮无内 XL NR</t>
        </is>
      </c>
      <c r="G537" s="436" t="inlineStr">
        <is>
          <t>IDST195/70R14PR[ST290]96N 威狮无内 XL NR</t>
        </is>
      </c>
      <c r="H537" s="434" t="n"/>
      <c r="I537" s="434" t="n"/>
      <c r="J537" s="434" t="n"/>
      <c r="K537" s="438" t="n"/>
      <c r="L537" s="438" t="n"/>
      <c r="M537" s="438" t="n"/>
      <c r="N537" s="434" t="n"/>
      <c r="O537" s="434">
        <f>IFERROR(_xlfn.XLOOKUP(E537,轮胎重量!S:S,轮胎重量!P:P),IFERROR(_xlfn.XLOOKUP(E537,轮胎重量!AB:AB,轮胎重量!Y:Y),IFERROR(_xlfn.XLOOKUP(E537,轮胎重量!AK:AK,轮胎重量!AH:AH),IFERROR(_xlfn.XLOOKUP(E537,轮胎重量!AT:AT,轮胎重量!AQ:AQ),IFERROR(_xlfn.XLOOKUP(E537,轮胎重量!BB:BB,轮胎重量!AY:AY),"")))))</f>
        <v/>
      </c>
      <c r="P537" s="439">
        <f>O537*15.16</f>
        <v/>
      </c>
      <c r="Q537" s="434" t="n"/>
      <c r="R537" s="352" t="n"/>
      <c r="S537" s="352" t="n"/>
      <c r="T537" s="352" t="n"/>
      <c r="U537" s="352" t="n"/>
      <c r="V537" s="352" t="n"/>
      <c r="W537" s="352" t="n"/>
      <c r="X537" s="352" t="n"/>
      <c r="Y537" s="352" t="n"/>
      <c r="Z537" s="352" t="n"/>
      <c r="AA537" s="352" t="n"/>
      <c r="AB537" s="352" t="n"/>
      <c r="AC537" s="352" t="n"/>
      <c r="AD537" s="352" t="n"/>
      <c r="AE537" s="352" t="n"/>
      <c r="AF537" s="352" t="n">
        <v>140</v>
      </c>
      <c r="AG537" s="352" t="n">
        <v>140</v>
      </c>
      <c r="AH537" s="352" t="n">
        <v>140</v>
      </c>
      <c r="AI537" s="352" t="n">
        <v>140</v>
      </c>
      <c r="AJ537" s="352" t="n">
        <v>140</v>
      </c>
      <c r="AK537" s="352" t="n">
        <v>140</v>
      </c>
      <c r="AL537" s="352" t="n">
        <v>140</v>
      </c>
      <c r="AM537" s="352" t="n">
        <v>140</v>
      </c>
      <c r="AN537" s="352" t="n">
        <v>140</v>
      </c>
      <c r="AO537" s="352" t="n">
        <v>140</v>
      </c>
      <c r="AP537" s="352" t="n">
        <v>140</v>
      </c>
      <c r="AQ537" s="352" t="n">
        <v>140</v>
      </c>
      <c r="AR537" s="352" t="n">
        <v>140</v>
      </c>
      <c r="AS537" s="352" t="n">
        <v>140</v>
      </c>
      <c r="AT537" s="352" t="n">
        <v>140</v>
      </c>
      <c r="AU537" s="352" t="n">
        <v>140</v>
      </c>
      <c r="AV537" s="352" t="n">
        <v>140</v>
      </c>
      <c r="AW537" s="352">
        <f>IF(SUM(R537:AV537)=0,"",SUM(R537:AV537))</f>
        <v/>
      </c>
      <c r="AX537" s="431">
        <f>IFERROR(AW537*O537/1000,"")</f>
        <v/>
      </c>
      <c r="AY537" s="431">
        <f>IFERROR(ROUND(AW537*P537/10000,3),"")</f>
        <v/>
      </c>
      <c r="BC537" s="331" t="n"/>
      <c r="BD537" s="331" t="n"/>
      <c r="BE537" s="331" t="n"/>
      <c r="BF537" s="331" t="n"/>
      <c r="BG537" s="331" t="n"/>
      <c r="BH537" s="331" t="n"/>
      <c r="BI537" s="331" t="n"/>
      <c r="BJ537" s="356">
        <f t="array" ref="BJ537">SUMPRODUCT(IF(ISNUMBER(BJ381:BJ396),BJ381:BJ396,0),IF(ISERROR(BJ381:BJ396),0,1))</f>
        <v/>
      </c>
      <c r="BK537" s="356">
        <f t="array" ref="BK537">SUMPRODUCT(IF(ISNUMBER(BK381:BK396),BK381:BK396,0),IF(ISERROR(BK381:BK396),0,1))</f>
        <v/>
      </c>
      <c r="BL537" s="356">
        <f t="array" ref="BL537">SUMPRODUCT(IF(ISNUMBER(BL381:BL396),BL381:BL396,0),IF(ISERROR(BL381:BL396),0,1))</f>
        <v/>
      </c>
      <c r="BM537" s="356">
        <f t="array" ref="BM537">SUMPRODUCT(IF(ISNUMBER(BM381:BM396),BM381:BM396,0),IF(ISERROR(BM381:BM396),0,1))</f>
        <v/>
      </c>
      <c r="BN537" s="362">
        <f>SUM(BJ537:BM537)</f>
        <v/>
      </c>
      <c r="BO537" s="362" t="n">
        <v>42.79</v>
      </c>
      <c r="BP537" s="362" t="n">
        <v>44.13</v>
      </c>
      <c r="BQ537" s="362" t="n">
        <v>49.14</v>
      </c>
      <c r="BR537" s="362" t="n">
        <v>55.17</v>
      </c>
      <c r="BS537" s="367" t="inlineStr">
        <is>
          <t>半钢ST</t>
        </is>
      </c>
      <c r="BX537" s="367" t="inlineStr">
        <is>
          <t>半钢/半钢ST</t>
        </is>
      </c>
      <c r="BY537" s="362">
        <f>SUM(R537:X537)</f>
        <v/>
      </c>
      <c r="BZ537" s="362">
        <f>SUM(Y537:AE537)</f>
        <v/>
      </c>
      <c r="CA537" s="362">
        <f>SUM(AF537:AM537)</f>
        <v/>
      </c>
      <c r="CB537" s="362">
        <f>SUM(AN537:AV537)</f>
        <v/>
      </c>
      <c r="CD537" s="440" t="inlineStr">
        <is>
          <t>TIDAK ADA</t>
        </is>
      </c>
      <c r="CE537" s="362">
        <f>ROUND(BY537*$O537/1000,2)</f>
        <v/>
      </c>
      <c r="CF537" s="362">
        <f>ROUND(BZ537*$O537/1000,2)</f>
        <v/>
      </c>
      <c r="CG537" s="362">
        <f>ROUND(CA537*$O537/1000,2)</f>
        <v/>
      </c>
      <c r="CH537" s="362">
        <f>ROUND(CB537*$O537/1000,2)</f>
        <v/>
      </c>
      <c r="CI537" s="362">
        <f>SUM(CE537:CH537)</f>
        <v/>
      </c>
      <c r="CJ537" s="390" t="n"/>
      <c r="CK537" s="362">
        <f>IFERROR(ROUND(BY537*$P537,2),"")</f>
        <v/>
      </c>
      <c r="CL537" s="362">
        <f>IFERROR(ROUND(BZ537*$P537,2),"")</f>
        <v/>
      </c>
      <c r="CM537" s="362">
        <f>IFERROR(ROUND(CA537*$P537,2),"")</f>
        <v/>
      </c>
      <c r="CN537" s="362">
        <f>IFERROR(ROUND(CB537*$P537,2),"")</f>
        <v/>
      </c>
    </row>
    <row r="538" hidden="1" s="428">
      <c r="B538" s="352" t="n"/>
      <c r="C538" s="352" t="n"/>
      <c r="D538" s="352" t="n"/>
      <c r="E538" s="389" t="n"/>
      <c r="F538" s="389" t="n"/>
      <c r="G538" s="389" t="n"/>
      <c r="H538" s="370" t="n"/>
      <c r="I538" s="370" t="n"/>
      <c r="J538" s="352" t="n"/>
      <c r="K538" s="430">
        <f>IF(J538="","",J538/(J538+$L$175/60))</f>
        <v/>
      </c>
      <c r="L538" s="430" t="n"/>
      <c r="M538" s="430" t="n"/>
      <c r="N538" s="352" t="n"/>
      <c r="O538" s="352" t="n"/>
      <c r="P538" s="352" t="n"/>
      <c r="Q538" s="352" t="n"/>
      <c r="R538" s="352" t="n"/>
      <c r="S538" s="352" t="n"/>
      <c r="T538" s="352" t="n"/>
      <c r="U538" s="352" t="n"/>
      <c r="V538" s="352" t="n"/>
      <c r="W538" s="352" t="n"/>
      <c r="X538" s="352" t="n"/>
      <c r="Y538" s="352" t="n"/>
      <c r="Z538" s="352" t="n"/>
      <c r="AA538" s="352" t="n"/>
      <c r="AB538" s="352" t="n"/>
      <c r="AC538" s="352" t="n"/>
      <c r="AD538" s="352" t="n"/>
      <c r="AE538" s="352" t="n"/>
      <c r="AF538" s="352" t="n"/>
      <c r="AG538" s="352" t="n"/>
      <c r="AH538" s="352" t="n"/>
      <c r="AI538" s="352" t="n"/>
      <c r="AJ538" s="352" t="n"/>
      <c r="AK538" s="352" t="n"/>
      <c r="AL538" s="352" t="n"/>
      <c r="AM538" s="352" t="n"/>
      <c r="AN538" s="352" t="n"/>
      <c r="AO538" s="352" t="n"/>
      <c r="AP538" s="352" t="n"/>
      <c r="AQ538" s="352" t="n"/>
      <c r="AR538" s="352" t="n"/>
      <c r="AS538" s="352" t="n"/>
      <c r="AT538" s="352" t="n"/>
      <c r="AU538" s="352" t="n"/>
      <c r="AV538" s="352" t="n"/>
      <c r="AW538" s="352">
        <f>IF(SUM(R538:AV538)=0,"",SUM(R538:AV538))</f>
        <v/>
      </c>
      <c r="AX538" s="431">
        <f>IFERROR(AW538*O538/1000,"")</f>
        <v/>
      </c>
      <c r="AY538" s="431">
        <f>IFERROR(ROUND(AW538*P538/10000,3),"")</f>
        <v/>
      </c>
      <c r="BJ538" s="356">
        <f t="array" ref="BJ538">SUMPRODUCT(IF(ISNUMBER(BJ383:BJ397),BJ383:BJ397,0),IF(ISERROR(BJ383:BJ397),0,1))</f>
        <v/>
      </c>
      <c r="BK538" s="356">
        <f t="array" ref="BK538">SUMPRODUCT(IF(ISNUMBER(BK383:BK397),BK383:BK397,0),IF(ISERROR(BK383:BK397),0,1))</f>
        <v/>
      </c>
      <c r="BL538" s="356">
        <f t="array" ref="BL538">SUMPRODUCT(IF(ISNUMBER(BL383:BL397),BL383:BL397,0),IF(ISERROR(BL383:BL397),0,1))</f>
        <v/>
      </c>
      <c r="BM538" s="356">
        <f t="array" ref="BM538">SUMPRODUCT(IF(ISNUMBER(BM383:BM397),BM383:BM397,0),IF(ISERROR(BM383:BM397),0,1))</f>
        <v/>
      </c>
      <c r="BN538" s="362">
        <f>SUM(BJ538:BM538)</f>
        <v/>
      </c>
      <c r="BO538" s="362" t="n">
        <v>42.79</v>
      </c>
      <c r="BP538" s="362" t="n">
        <v>44.13</v>
      </c>
      <c r="BQ538" s="362" t="n">
        <v>49.14</v>
      </c>
      <c r="BR538" s="362" t="n">
        <v>55.17</v>
      </c>
      <c r="BS538" s="367" t="inlineStr">
        <is>
          <t>半钢ST</t>
        </is>
      </c>
      <c r="BX538" s="367" t="inlineStr">
        <is>
          <t>半钢/半钢ST</t>
        </is>
      </c>
      <c r="CI538" s="362">
        <f>SUM(CE538:CH538)</f>
        <v/>
      </c>
      <c r="CK538" s="362">
        <f>IFERROR(ROUND(BY538*$P538,2),"")</f>
        <v/>
      </c>
      <c r="CL538" s="362">
        <f>IFERROR(ROUND(BZ538*$P538,2),"")</f>
        <v/>
      </c>
      <c r="CM538" s="362">
        <f>IFERROR(ROUND(CA538*$P538,2),"")</f>
        <v/>
      </c>
      <c r="CN538" s="362">
        <f>IFERROR(ROUND(CB538*$P538,2),"")</f>
        <v/>
      </c>
    </row>
    <row r="539">
      <c r="O539" s="331" t="n">
        <v>39.4</v>
      </c>
      <c r="Q539" s="331" t="n">
        <v>39.4</v>
      </c>
      <c r="R539" s="331">
        <f>SUM(R494:R538)</f>
        <v/>
      </c>
      <c r="S539" s="331">
        <f>SUM(S494:S538)</f>
        <v/>
      </c>
      <c r="T539" s="331">
        <f>SUM(T494:T538)</f>
        <v/>
      </c>
      <c r="U539" s="331">
        <f>SUM(U494:U538)</f>
        <v/>
      </c>
      <c r="V539" s="331">
        <f>SUM(V494:V538)</f>
        <v/>
      </c>
      <c r="W539" s="331">
        <f>SUM(W494:W538)</f>
        <v/>
      </c>
      <c r="X539" s="331">
        <f>SUM(X494:X538)</f>
        <v/>
      </c>
      <c r="Y539" s="331">
        <f>SUM(Y494:Y538)</f>
        <v/>
      </c>
      <c r="Z539" s="331">
        <f>SUM(Z494:Z538)</f>
        <v/>
      </c>
      <c r="AA539" s="331">
        <f>SUM(AA494:AA538)</f>
        <v/>
      </c>
      <c r="AB539" s="331">
        <f>SUM(AB494:AB538)</f>
        <v/>
      </c>
      <c r="AC539" s="331">
        <f>SUM(AC494:AC538)</f>
        <v/>
      </c>
      <c r="AD539" s="331">
        <f>SUM(AD494:AD538)</f>
        <v/>
      </c>
      <c r="AE539" s="331">
        <f>SUM(AE494:AE538)</f>
        <v/>
      </c>
      <c r="AF539" s="331">
        <f>SUM(AF494:AF538)</f>
        <v/>
      </c>
      <c r="AG539" s="331">
        <f>SUM(AG494:AG538)</f>
        <v/>
      </c>
      <c r="AH539" s="331">
        <f>SUM(AH494:AH538)</f>
        <v/>
      </c>
      <c r="AI539" s="331">
        <f>SUM(AI494:AI538)</f>
        <v/>
      </c>
      <c r="AJ539" s="331">
        <f>SUM(AJ494:AJ538)</f>
        <v/>
      </c>
      <c r="AK539" s="331">
        <f>SUM(AK494:AK538)</f>
        <v/>
      </c>
      <c r="AL539" s="331">
        <f>SUM(AL494:AL538)</f>
        <v/>
      </c>
      <c r="AM539" s="331">
        <f>SUM(AM494:AM538)</f>
        <v/>
      </c>
      <c r="AN539" s="331">
        <f>SUM(AN494:AN538)</f>
        <v/>
      </c>
      <c r="AO539" s="331">
        <f>SUM(AO494:AO538)</f>
        <v/>
      </c>
      <c r="AP539" s="331">
        <f>SUM(AP494:AP538)</f>
        <v/>
      </c>
      <c r="AQ539" s="331">
        <f>SUM(AQ494:AQ538)</f>
        <v/>
      </c>
      <c r="AR539" s="331">
        <f>SUM(AR494:AR538)</f>
        <v/>
      </c>
      <c r="AS539" s="331">
        <f>SUM(AS494:AS538)</f>
        <v/>
      </c>
      <c r="AT539" s="331">
        <f>SUM(AT494:AT538)</f>
        <v/>
      </c>
      <c r="AU539" s="331">
        <f>SUM(AU494:AU538)</f>
        <v/>
      </c>
      <c r="AV539" s="331">
        <f>SUM(AV494:AV538)</f>
        <v/>
      </c>
      <c r="AW539" s="352">
        <f>SUM(AW494:AW538)</f>
        <v/>
      </c>
      <c r="AX539" s="431">
        <f>SUM(AX494:AX538)</f>
        <v/>
      </c>
      <c r="AY539" s="431">
        <f>SUM(AY494:AY538)</f>
        <v/>
      </c>
      <c r="BJ539" s="356">
        <f t="array" ref="BJ539">SUMPRODUCT(IF(ISNUMBER(BJ418:BJ435),BJ418:BJ435,0),IF(ISERROR(BJ418:BJ435),0,1))</f>
        <v/>
      </c>
      <c r="BK539" s="356">
        <f t="array" ref="BK539">SUMPRODUCT(IF(ISNUMBER(BK418:BK435),BK418:BK435,0),IF(ISERROR(BK418:BK435),0,1))</f>
        <v/>
      </c>
      <c r="BL539" s="356">
        <f t="array" ref="BL539">SUMPRODUCT(IF(ISNUMBER(BL418:BL435),BL418:BL435,0),IF(ISERROR(BL418:BL435),0,1))</f>
        <v/>
      </c>
      <c r="BM539" s="356">
        <f t="array" ref="BM539">SUMPRODUCT(IF(ISNUMBER(BM418:BM435),BM418:BM435,0),IF(ISERROR(BM418:BM435),0,1))</f>
        <v/>
      </c>
      <c r="BN539" s="362">
        <f>SUM(BJ539:BM539)</f>
        <v/>
      </c>
      <c r="BO539" s="362" t="n">
        <v>79.94</v>
      </c>
      <c r="BP539" s="362" t="n">
        <v>88.58</v>
      </c>
      <c r="BQ539" s="362" t="n">
        <v>84.92</v>
      </c>
      <c r="BR539" s="362" t="n">
        <v>94.93000000000001</v>
      </c>
    </row>
    <row r="540">
      <c r="AW540" s="331">
        <f>ROUND(AW539/31,0)</f>
        <v/>
      </c>
      <c r="AX540" s="451">
        <f>AX539/31</f>
        <v/>
      </c>
      <c r="AY540" s="331">
        <f>AY539/31</f>
        <v/>
      </c>
      <c r="BJ540" s="356">
        <f t="array" ref="BJ540">SUMPRODUCT(IF(ISNUMBER(BJ449:BJ473),BJ449:BJ473,0),IF(ISERROR(BJ449:BJ473),0,1))</f>
        <v/>
      </c>
      <c r="BK540" s="356">
        <f t="array" ref="BK540">SUMPRODUCT(IF(ISNUMBER(BK449:BK473),BK449:BK473,0),IF(ISERROR(BK449:BK473),0,1))</f>
        <v/>
      </c>
      <c r="BL540" s="356">
        <f t="array" ref="BL540">SUMPRODUCT(IF(ISNUMBER(BL449:BL473),BL449:BL473,0),IF(ISERROR(BL449:BL473),0,1))</f>
        <v/>
      </c>
      <c r="BM540" s="356">
        <f t="array" ref="BM540">SUMPRODUCT(IF(ISNUMBER(BM449:BM473),BM449:BM473,0),IF(ISERROR(BM449:BM473),0,1))</f>
        <v/>
      </c>
      <c r="BN540" s="362">
        <f>SUM(BJ540:BM540)</f>
        <v/>
      </c>
      <c r="BO540" s="362" t="n">
        <v>43.68</v>
      </c>
      <c r="BP540" s="362" t="n">
        <v>45.68</v>
      </c>
      <c r="BQ540" s="362" t="n">
        <v>89.09999999999999</v>
      </c>
      <c r="BR540" s="362" t="n">
        <v>89.06</v>
      </c>
    </row>
    <row r="541" hidden="1" s="428">
      <c r="K541" s="331" t="n">
        <v>130</v>
      </c>
      <c r="BJ541" s="356">
        <f t="array" ref="BJ541">SUMPRODUCT(IF(ISNUMBER(BJ484:BJ488),BJ484:BJ488,0),IF(ISERROR(BJ484:BJ488),0,1))</f>
        <v/>
      </c>
      <c r="BK541" s="356">
        <f t="array" ref="BK541">SUMPRODUCT(IF(ISNUMBER(BK484:BK488),BK484:BK488,0),IF(ISERROR(BK484:BK488),0,1))</f>
        <v/>
      </c>
      <c r="BL541" s="356">
        <f t="array" ref="BL541">SUMPRODUCT(IF(ISNUMBER(BL484:BL488),BL484:BL488,0),IF(ISERROR(BL484:BL488),0,1))</f>
        <v/>
      </c>
      <c r="BM541" s="356">
        <f t="array" ref="BM541">SUMPRODUCT(IF(ISNUMBER(BM484:BM488),BM484:BM488,0),IF(ISERROR(BM484:BM488),0,1))</f>
        <v/>
      </c>
      <c r="BN541" s="362">
        <f>SUM(BJ541:BM541)</f>
        <v/>
      </c>
      <c r="BO541" s="362" t="n">
        <v>59.42</v>
      </c>
      <c r="BP541" s="362" t="n">
        <v>62.42</v>
      </c>
      <c r="BQ541" s="362" t="n">
        <v>65.23</v>
      </c>
      <c r="BR541" s="362" t="n">
        <v>67.18000000000001</v>
      </c>
    </row>
    <row r="542" ht="31.2" customHeight="1" s="428">
      <c r="A542" s="441" t="n"/>
      <c r="B542" s="441" t="n"/>
      <c r="C542" s="441" t="n"/>
      <c r="D542" s="441" t="n"/>
      <c r="E542" s="444" t="inlineStr">
        <is>
          <t>规格花纹</t>
        </is>
      </c>
      <c r="F542" s="444" t="n"/>
      <c r="G542" s="443" t="inlineStr">
        <is>
          <t>内胎</t>
        </is>
      </c>
      <c r="H542" s="443" t="n"/>
      <c r="I542" s="443" t="inlineStr">
        <is>
          <t>模具</t>
        </is>
      </c>
      <c r="J542" s="443" t="inlineStr">
        <is>
          <t>品牌</t>
        </is>
      </c>
      <c r="K542" s="446" t="n"/>
      <c r="L542" s="446" t="n"/>
      <c r="M542" s="443" t="inlineStr">
        <is>
          <t>运转率</t>
        </is>
      </c>
      <c r="N542" s="443" t="inlineStr">
        <is>
          <t>计划数</t>
        </is>
      </c>
      <c r="O542" s="443" t="inlineStr">
        <is>
          <t>单胎重量</t>
        </is>
      </c>
      <c r="P542" s="443" t="inlineStr">
        <is>
          <t>中策价</t>
        </is>
      </c>
      <c r="Q542" s="446" t="inlineStr">
        <is>
          <t>硫化机                          条/天</t>
        </is>
      </c>
      <c r="R542" s="334" t="n">
        <v>1</v>
      </c>
      <c r="S542" s="334" t="n">
        <v>2</v>
      </c>
      <c r="T542" s="334" t="n">
        <v>3</v>
      </c>
      <c r="U542" s="334" t="n">
        <v>4</v>
      </c>
      <c r="V542" s="334" t="n">
        <v>5</v>
      </c>
      <c r="W542" s="334" t="n">
        <v>6</v>
      </c>
      <c r="X542" s="334" t="n">
        <v>7</v>
      </c>
      <c r="Y542" s="334" t="n">
        <v>8</v>
      </c>
      <c r="Z542" s="334" t="n">
        <v>9</v>
      </c>
      <c r="AA542" s="334" t="n">
        <v>10</v>
      </c>
      <c r="AB542" s="334" t="n">
        <v>11</v>
      </c>
      <c r="AC542" s="334" t="n">
        <v>12</v>
      </c>
      <c r="AD542" s="334" t="n">
        <v>13</v>
      </c>
      <c r="AE542" s="334" t="n">
        <v>14</v>
      </c>
      <c r="AF542" s="334" t="n">
        <v>15</v>
      </c>
      <c r="AG542" s="334" t="n">
        <v>16</v>
      </c>
      <c r="AH542" s="334" t="n">
        <v>17</v>
      </c>
      <c r="AI542" s="334" t="n">
        <v>18</v>
      </c>
      <c r="AJ542" s="334" t="n">
        <v>19</v>
      </c>
      <c r="AK542" s="334" t="n">
        <v>20</v>
      </c>
      <c r="AL542" s="334" t="n">
        <v>21</v>
      </c>
      <c r="AM542" s="334" t="n">
        <v>22</v>
      </c>
      <c r="AN542" s="334" t="n">
        <v>23</v>
      </c>
      <c r="AO542" s="334" t="n">
        <v>24</v>
      </c>
      <c r="AP542" s="334" t="n">
        <v>25</v>
      </c>
      <c r="AQ542" s="334" t="n">
        <v>26</v>
      </c>
      <c r="AR542" s="334" t="n">
        <v>27</v>
      </c>
      <c r="AS542" s="334" t="n">
        <v>28</v>
      </c>
      <c r="AT542" s="334" t="n">
        <v>29</v>
      </c>
      <c r="AU542" s="334" t="n">
        <v>30</v>
      </c>
      <c r="AV542" s="334" t="n">
        <v>31</v>
      </c>
      <c r="AW542" s="352" t="inlineStr">
        <is>
          <t>合计</t>
        </is>
      </c>
      <c r="AX542" s="341" t="inlineStr">
        <is>
          <t>吨位</t>
        </is>
      </c>
      <c r="AY542" s="341" t="inlineStr">
        <is>
          <t>产值</t>
        </is>
      </c>
      <c r="BN542" s="362">
        <f>SUM(BN538:BN541)</f>
        <v/>
      </c>
      <c r="CD542" s="440" t="inlineStr">
        <is>
          <t>TIDAK ADA</t>
        </is>
      </c>
    </row>
    <row r="543">
      <c r="A543" s="441" t="n"/>
      <c r="B543" s="441" t="n"/>
      <c r="C543" s="441" t="n"/>
      <c r="D543" s="441" t="n"/>
      <c r="E543" s="436" t="inlineStr">
        <is>
          <t>12.00R24</t>
        </is>
      </c>
      <c r="F543" s="436" t="n"/>
      <c r="G543" s="436" t="inlineStr">
        <is>
          <t>12.00R24中策</t>
        </is>
      </c>
      <c r="H543" s="434">
        <f>I543*110*2</f>
        <v/>
      </c>
      <c r="I543" s="434" t="n">
        <v>4</v>
      </c>
      <c r="J543" s="434" t="n"/>
      <c r="K543" s="434" t="n"/>
      <c r="L543" s="434" t="n"/>
      <c r="M543" s="438" t="n">
        <v>0.76</v>
      </c>
      <c r="N543" s="434" t="n"/>
      <c r="O543" s="434" t="n">
        <v>4.569</v>
      </c>
      <c r="P543" s="434" t="n">
        <v>70.81</v>
      </c>
      <c r="Q543" s="434">
        <f>IFERROR(ROUND(1440/K543*I543*M543,0),"")</f>
        <v/>
      </c>
      <c r="R543" s="352" t="n">
        <v>850</v>
      </c>
      <c r="S543" s="352" t="n">
        <v>850</v>
      </c>
      <c r="T543" s="352" t="n">
        <v>850</v>
      </c>
      <c r="U543" s="352" t="n">
        <v>850</v>
      </c>
      <c r="V543" s="352" t="n">
        <v>850</v>
      </c>
      <c r="W543" s="352" t="n">
        <v>850</v>
      </c>
      <c r="X543" s="352" t="n">
        <v>850</v>
      </c>
      <c r="Y543" s="352" t="n">
        <v>850</v>
      </c>
      <c r="Z543" s="352" t="n">
        <v>850</v>
      </c>
      <c r="AA543" s="352" t="n">
        <v>850</v>
      </c>
      <c r="AB543" s="352" t="n">
        <v>850</v>
      </c>
      <c r="AC543" s="352" t="n">
        <v>850</v>
      </c>
      <c r="AD543" s="352" t="n">
        <v>850</v>
      </c>
      <c r="AE543" s="352" t="n">
        <v>850</v>
      </c>
      <c r="AF543" s="352" t="n">
        <v>850</v>
      </c>
      <c r="AG543" s="352" t="n">
        <v>850</v>
      </c>
      <c r="AH543" s="352" t="n">
        <v>850</v>
      </c>
      <c r="AI543" s="352" t="n">
        <v>850</v>
      </c>
      <c r="AJ543" s="352" t="n">
        <v>850</v>
      </c>
      <c r="AK543" s="352" t="n">
        <v>850</v>
      </c>
      <c r="AL543" s="352" t="n">
        <v>850</v>
      </c>
      <c r="AM543" s="352" t="n">
        <v>850</v>
      </c>
      <c r="AN543" s="352" t="n">
        <v>850</v>
      </c>
      <c r="AO543" s="352" t="n">
        <v>850</v>
      </c>
      <c r="AP543" s="352" t="n">
        <v>850</v>
      </c>
      <c r="AQ543" s="352" t="n">
        <v>850</v>
      </c>
      <c r="AR543" s="352" t="n">
        <v>850</v>
      </c>
      <c r="AS543" s="352" t="n">
        <v>850</v>
      </c>
      <c r="AT543" s="352" t="n">
        <v>850</v>
      </c>
      <c r="AU543" s="352" t="n">
        <v>850</v>
      </c>
      <c r="AV543" s="352" t="n">
        <v>850</v>
      </c>
      <c r="AW543" s="352">
        <f>IF(SUM(R543:AV543)=0,"",SUM(R543:AV543))</f>
        <v/>
      </c>
      <c r="AX543" s="431">
        <f>IFERROR(AW543*O543/1000,"")</f>
        <v/>
      </c>
      <c r="AY543" s="431">
        <f>IFERROR(ROUND(AW543*P543/10000,3),"")</f>
        <v/>
      </c>
      <c r="AZ543" s="455" t="n">
        <v>53.4507</v>
      </c>
      <c r="BA543" s="352" t="n">
        <v>2.9757</v>
      </c>
      <c r="BB543" s="352" t="n">
        <v>3.4767</v>
      </c>
      <c r="BC543" s="352" t="n">
        <v>2.5962</v>
      </c>
      <c r="BE543" s="331">
        <f>AZ543*AW543</f>
        <v/>
      </c>
      <c r="BF543" s="331">
        <f>BA543*AW543</f>
        <v/>
      </c>
      <c r="BG543" s="331">
        <f>BB543*AW543</f>
        <v/>
      </c>
      <c r="BH543" s="331">
        <f>BC543*AW543</f>
        <v/>
      </c>
      <c r="BJ543" s="356">
        <f t="array" ref="BJ543:BM543">_xlfn.LET(_xlpm.data,$R543:$AV543,_xlpm.starts,{1,8,16,23},_xlpm.lengths,{7,7,8,9},_xlpm.arr,_xlfn.MAP(_xlpm.starts,_xlpm.lengths,_xlfn.LAMBDA(_xlpm.s,_xlpm.l,SUM(INDEX(_xlpm.data,,_xlfn.SEQUENCE(,_xlpm.l,_xlpm.s))))),ROUND(_xlpm.arr*$O543/1000,2))</f>
        <v/>
      </c>
      <c r="BK543" s="356" t="n">
        <v>27.19</v>
      </c>
      <c r="BL543" s="356" t="n">
        <v>31.07</v>
      </c>
      <c r="BM543" s="356" t="n">
        <v>34.95</v>
      </c>
      <c r="BN543" s="362">
        <f>SUM(BJ543:BM543)</f>
        <v/>
      </c>
      <c r="BO543" s="362" t="n">
        <v>15.35</v>
      </c>
      <c r="BP543" s="362" t="n">
        <v>15.35</v>
      </c>
      <c r="BQ543" s="362" t="n">
        <v>17.54</v>
      </c>
      <c r="BR543" s="362" t="n">
        <v>19.74</v>
      </c>
      <c r="BY543" s="362">
        <f>SUM(R543:X543)</f>
        <v/>
      </c>
      <c r="BZ543" s="362">
        <f>SUM(Y543:AE543)</f>
        <v/>
      </c>
      <c r="CA543" s="362">
        <f>SUM(AF543:AM543)</f>
        <v/>
      </c>
      <c r="CB543" s="362">
        <f>SUM(AN543:AV543)</f>
        <v/>
      </c>
      <c r="CD543" s="440" t="inlineStr">
        <is>
          <t>TIDAK ADA</t>
        </is>
      </c>
      <c r="CE543" s="362">
        <f>ROUND(BY543*$O543/1000,2)</f>
        <v/>
      </c>
      <c r="CF543" s="362">
        <f>ROUND(BZ543*$O543/1000,2)</f>
        <v/>
      </c>
      <c r="CG543" s="362">
        <f>ROUND(CA543*$O543/1000,2)</f>
        <v/>
      </c>
      <c r="CH543" s="362">
        <f>ROUND(CB543*$O543/1000,2)</f>
        <v/>
      </c>
      <c r="CI543" s="362">
        <f>SUM(CE543:CH543)</f>
        <v/>
      </c>
      <c r="CK543" s="362">
        <f>ROUND(BY543*$P543,2)</f>
        <v/>
      </c>
      <c r="CL543" s="362">
        <f>ROUND(BZ543*$P543,2)</f>
        <v/>
      </c>
      <c r="CM543" s="362">
        <f>ROUND(CA543*$P543,2)</f>
        <v/>
      </c>
      <c r="CN543" s="362">
        <f>ROUND(CB543*$P543,2)</f>
        <v/>
      </c>
      <c r="CO543" s="362">
        <f>SUM(CK543:CN543)</f>
        <v/>
      </c>
    </row>
    <row r="544" hidden="1" s="428">
      <c r="A544" s="441" t="n"/>
      <c r="B544" s="441" t="n"/>
      <c r="C544" s="441" t="n"/>
      <c r="D544" s="441" t="n"/>
      <c r="E544" s="436" t="inlineStr">
        <is>
          <t>12.00R24</t>
        </is>
      </c>
      <c r="F544" s="436" t="n"/>
      <c r="G544" s="436" t="inlineStr">
        <is>
          <t>12.00R24金冠</t>
        </is>
      </c>
      <c r="H544" s="434">
        <f>I544*110*2</f>
        <v/>
      </c>
      <c r="I544" s="434" t="n">
        <v>4</v>
      </c>
      <c r="J544" s="434" t="n"/>
      <c r="K544" s="434" t="n"/>
      <c r="L544" s="434" t="n"/>
      <c r="M544" s="438" t="n">
        <v>0.76</v>
      </c>
      <c r="N544" s="434" t="n"/>
      <c r="O544" s="434" t="n">
        <v>4.569</v>
      </c>
      <c r="P544" s="434" t="n">
        <v>70.81</v>
      </c>
      <c r="Q544" s="434">
        <f>IFERROR(ROUND(1440/K544*I544*M544,0),"")</f>
        <v/>
      </c>
      <c r="R544" s="352" t="n"/>
      <c r="S544" s="352" t="n"/>
      <c r="T544" s="352" t="n"/>
      <c r="U544" s="352" t="n"/>
      <c r="V544" s="352" t="n"/>
      <c r="W544" s="352" t="n"/>
      <c r="X544" s="352" t="n"/>
      <c r="Y544" s="352" t="n"/>
      <c r="Z544" s="352" t="n"/>
      <c r="AA544" s="352" t="n"/>
      <c r="AB544" s="352" t="n"/>
      <c r="AC544" s="352" t="n"/>
      <c r="AD544" s="352" t="n"/>
      <c r="AE544" s="352" t="n"/>
      <c r="AF544" s="352" t="n"/>
      <c r="AG544" s="352" t="n"/>
      <c r="AH544" s="352" t="n"/>
      <c r="AI544" s="352" t="n"/>
      <c r="AJ544" s="352" t="n"/>
      <c r="AK544" s="352" t="n"/>
      <c r="AL544" s="352" t="n"/>
      <c r="AM544" s="352" t="n"/>
      <c r="AN544" s="352" t="n"/>
      <c r="AO544" s="352" t="n"/>
      <c r="AP544" s="352" t="n"/>
      <c r="AQ544" s="352" t="n"/>
      <c r="AR544" s="352" t="n"/>
      <c r="AS544" s="352" t="n"/>
      <c r="AT544" s="352" t="n"/>
      <c r="AU544" s="352" t="n"/>
      <c r="AV544" s="352" t="n"/>
      <c r="AW544" s="352">
        <f>IF(SUM(R544:AV544)=0,"",SUM(R544:AV544))</f>
        <v/>
      </c>
      <c r="AX544" s="431">
        <f>IFERROR(AW544*O544/1000,"")</f>
        <v/>
      </c>
      <c r="AY544" s="431">
        <f>IFERROR(ROUND(AW544*P544/10000,3),"")</f>
        <v/>
      </c>
      <c r="AZ544" s="455" t="n">
        <v>53.4507</v>
      </c>
      <c r="BA544" s="352" t="n">
        <v>2.9757</v>
      </c>
      <c r="BB544" s="352" t="n">
        <v>3.4767</v>
      </c>
      <c r="BC544" s="352" t="n">
        <v>2.5962</v>
      </c>
      <c r="BE544" s="331">
        <f>AZ544*AW544</f>
        <v/>
      </c>
      <c r="BF544" s="331">
        <f>BA544*AW544</f>
        <v/>
      </c>
      <c r="BG544" s="331">
        <f>BB544*AW544</f>
        <v/>
      </c>
      <c r="BH544" s="331">
        <f>BC544*AW544</f>
        <v/>
      </c>
      <c r="BJ544" s="356">
        <f t="array" ref="BJ544:BM544">_xlfn.LET(_xlpm.data,$R544:$AV544,_xlpm.starts,{1,8,16,23},_xlpm.lengths,{7,7,8,9},_xlpm.arr,_xlfn.MAP(_xlpm.starts,_xlpm.lengths,_xlfn.LAMBDA(_xlpm.s,_xlpm.l,SUM(INDEX(_xlpm.data,,_xlfn.SEQUENCE(,_xlpm.l,_xlpm.s))))),ROUND(_xlpm.arr*$O544/1000,2))</f>
        <v/>
      </c>
      <c r="BK544" s="356" t="n">
        <v>0</v>
      </c>
      <c r="BL544" s="356" t="n">
        <v>0</v>
      </c>
      <c r="BM544" s="356" t="n">
        <v>0</v>
      </c>
      <c r="BN544" s="362">
        <f>SUM(BJ544:BM544)</f>
        <v/>
      </c>
      <c r="BO544" s="362" t="n">
        <v>15.35</v>
      </c>
      <c r="BP544" s="362" t="n">
        <v>15.35</v>
      </c>
      <c r="BQ544" s="362" t="n">
        <v>17.54</v>
      </c>
      <c r="BR544" s="362" t="n">
        <v>19.74</v>
      </c>
      <c r="BY544" s="362">
        <f>SUM(R544:X544)</f>
        <v/>
      </c>
      <c r="BZ544" s="362">
        <f>SUM(Y544:AE544)</f>
        <v/>
      </c>
      <c r="CA544" s="362">
        <f>SUM(AF544:AM544)</f>
        <v/>
      </c>
      <c r="CB544" s="362">
        <f>SUM(AN544:AV544)</f>
        <v/>
      </c>
      <c r="CD544" s="440" t="inlineStr">
        <is>
          <t>TIDAK ADA</t>
        </is>
      </c>
      <c r="CE544" s="362">
        <f>ROUND(BY544*$O544/1000,2)</f>
        <v/>
      </c>
      <c r="CF544" s="362">
        <f>ROUND(BZ544*$O544/1000,2)</f>
        <v/>
      </c>
      <c r="CG544" s="362">
        <f>ROUND(CA544*$O544/1000,2)</f>
        <v/>
      </c>
      <c r="CH544" s="362">
        <f>ROUND(CB544*$O544/1000,2)</f>
        <v/>
      </c>
      <c r="CI544" s="362">
        <f>SUM(CE544:CH544)</f>
        <v/>
      </c>
      <c r="CK544" s="362">
        <f>ROUND(BY544*$P544,2)</f>
        <v/>
      </c>
      <c r="CL544" s="362">
        <f>ROUND(BZ544*$P544,2)</f>
        <v/>
      </c>
      <c r="CM544" s="362">
        <f>ROUND(CA544*$P544,2)</f>
        <v/>
      </c>
      <c r="CN544" s="362">
        <f>ROUND(CB544*$P544,2)</f>
        <v/>
      </c>
      <c r="CO544" s="362">
        <f>SUM(CK544:CN544)</f>
        <v/>
      </c>
    </row>
    <row r="545">
      <c r="A545" s="441" t="n"/>
      <c r="B545" s="441" t="n"/>
      <c r="C545" s="441" t="n"/>
      <c r="D545" s="441" t="n"/>
      <c r="E545" s="436" t="inlineStr">
        <is>
          <t>12.00R20</t>
        </is>
      </c>
      <c r="F545" s="436" t="n"/>
      <c r="G545" s="436" t="inlineStr">
        <is>
          <t>12.00R20</t>
        </is>
      </c>
      <c r="H545" s="434">
        <f>I545*110*2</f>
        <v/>
      </c>
      <c r="I545" s="434" t="n">
        <v>3</v>
      </c>
      <c r="J545" s="434" t="n"/>
      <c r="K545" s="434" t="n"/>
      <c r="L545" s="434" t="n"/>
      <c r="M545" s="438" t="n">
        <v>0.76</v>
      </c>
      <c r="N545" s="434" t="n"/>
      <c r="O545" s="434" t="n">
        <v>4.068</v>
      </c>
      <c r="P545" s="434" t="n">
        <v>70.81</v>
      </c>
      <c r="Q545" s="434">
        <f>IFERROR(ROUND(1440/K545*I545*M545,0),"")</f>
        <v/>
      </c>
      <c r="R545" s="352" t="n">
        <v>780</v>
      </c>
      <c r="S545" s="352" t="n">
        <v>780</v>
      </c>
      <c r="T545" s="352" t="n">
        <v>780</v>
      </c>
      <c r="U545" s="352" t="n">
        <v>780</v>
      </c>
      <c r="V545" s="352" t="n">
        <v>780</v>
      </c>
      <c r="W545" s="352" t="n">
        <v>780</v>
      </c>
      <c r="X545" s="352" t="n">
        <v>780</v>
      </c>
      <c r="Y545" s="352" t="n">
        <v>780</v>
      </c>
      <c r="Z545" s="352" t="n">
        <v>780</v>
      </c>
      <c r="AA545" s="352" t="n">
        <v>780</v>
      </c>
      <c r="AB545" s="352" t="n">
        <v>780</v>
      </c>
      <c r="AC545" s="352" t="n">
        <v>780</v>
      </c>
      <c r="AD545" s="352" t="n">
        <v>780</v>
      </c>
      <c r="AE545" s="352" t="n">
        <v>780</v>
      </c>
      <c r="AF545" s="352" t="n">
        <v>780</v>
      </c>
      <c r="AG545" s="352" t="n">
        <v>780</v>
      </c>
      <c r="AH545" s="352" t="n">
        <v>780</v>
      </c>
      <c r="AI545" s="352" t="n">
        <v>780</v>
      </c>
      <c r="AJ545" s="352" t="n">
        <v>780</v>
      </c>
      <c r="AK545" s="352" t="n">
        <v>780</v>
      </c>
      <c r="AL545" s="352" t="n">
        <v>780</v>
      </c>
      <c r="AM545" s="352" t="n">
        <v>780</v>
      </c>
      <c r="AN545" s="352" t="n">
        <v>780</v>
      </c>
      <c r="AO545" s="352" t="n">
        <v>780</v>
      </c>
      <c r="AP545" s="352" t="n">
        <v>780</v>
      </c>
      <c r="AQ545" s="352" t="n">
        <v>780</v>
      </c>
      <c r="AR545" s="352" t="n">
        <v>780</v>
      </c>
      <c r="AS545" s="352" t="n">
        <v>780</v>
      </c>
      <c r="AT545" s="352" t="n">
        <v>780</v>
      </c>
      <c r="AU545" s="352" t="n">
        <v>780</v>
      </c>
      <c r="AV545" s="352" t="n">
        <v>780</v>
      </c>
      <c r="AW545" s="352">
        <f>IF(SUM(R545:AV545)=0,"",SUM(R545:AV545))</f>
        <v/>
      </c>
      <c r="AX545" s="431">
        <f>IFERROR(AW545*O545/1000,"")</f>
        <v/>
      </c>
      <c r="AY545" s="431">
        <f>IFERROR(ROUND(AW545*P545/10000,3),"")</f>
        <v/>
      </c>
      <c r="AZ545" s="455" t="n">
        <v>53.4507</v>
      </c>
      <c r="BA545" s="352" t="n">
        <v>2.9757</v>
      </c>
      <c r="BB545" s="352" t="n">
        <v>3.4767</v>
      </c>
      <c r="BC545" s="352" t="n">
        <v>2.5962</v>
      </c>
      <c r="BE545" s="331">
        <f>AZ545*AW545</f>
        <v/>
      </c>
      <c r="BF545" s="331">
        <f>BA545*AW545</f>
        <v/>
      </c>
      <c r="BG545" s="331">
        <f>BB545*AW545</f>
        <v/>
      </c>
      <c r="BH545" s="331">
        <f>BC545*AW545</f>
        <v/>
      </c>
      <c r="BJ545" s="356">
        <f t="array" ref="BJ545:BM545">_xlfn.LET(_xlpm.data,$R545:$AV545,_xlpm.starts,{1,8,16,23},_xlpm.lengths,{7,7,8,9},_xlpm.arr,_xlfn.MAP(_xlpm.starts,_xlpm.lengths,_xlfn.LAMBDA(_xlpm.s,_xlpm.l,SUM(INDEX(_xlpm.data,,_xlfn.SEQUENCE(,_xlpm.l,_xlpm.s))))),ROUND(_xlpm.arr*$O545/1000,2))</f>
        <v/>
      </c>
      <c r="BK545" s="356" t="n">
        <v>22.21</v>
      </c>
      <c r="BL545" s="356" t="n">
        <v>25.38</v>
      </c>
      <c r="BM545" s="356" t="n">
        <v>28.56</v>
      </c>
      <c r="BN545" s="362">
        <f>SUM(BJ545:BM545)</f>
        <v/>
      </c>
      <c r="BO545" s="362" t="n">
        <v>23.67</v>
      </c>
      <c r="BP545" s="362" t="n">
        <v>23.67</v>
      </c>
      <c r="BQ545" s="362" t="n">
        <v>27.05</v>
      </c>
      <c r="BR545" s="362" t="n">
        <v>30.43</v>
      </c>
      <c r="BY545" s="362">
        <f>SUM(R545:X545)</f>
        <v/>
      </c>
      <c r="BZ545" s="362">
        <f>SUM(Y545:AE545)</f>
        <v/>
      </c>
      <c r="CA545" s="362">
        <f>SUM(AF545:AM545)</f>
        <v/>
      </c>
      <c r="CB545" s="362">
        <f>SUM(AN545:AV545)</f>
        <v/>
      </c>
      <c r="CD545" s="440" t="inlineStr">
        <is>
          <t>TIDAK ADA</t>
        </is>
      </c>
      <c r="CE545" s="362">
        <f>ROUND(BY545*$O545/1000,2)</f>
        <v/>
      </c>
      <c r="CF545" s="362">
        <f>ROUND(BZ545*$O545/1000,2)</f>
        <v/>
      </c>
      <c r="CG545" s="362">
        <f>ROUND(CA545*$O545/1000,2)</f>
        <v/>
      </c>
      <c r="CH545" s="362">
        <f>ROUND(CB545*$O545/1000,2)</f>
        <v/>
      </c>
      <c r="CI545" s="362">
        <f>SUM(CE545:CH545)</f>
        <v/>
      </c>
      <c r="CK545" s="362">
        <f>ROUND(BY545*$P545,2)</f>
        <v/>
      </c>
      <c r="CL545" s="362">
        <f>ROUND(BZ545*$P545,2)</f>
        <v/>
      </c>
      <c r="CM545" s="362">
        <f>ROUND(CA545*$P545,2)</f>
        <v/>
      </c>
      <c r="CN545" s="362">
        <f>ROUND(CB545*$P545,2)</f>
        <v/>
      </c>
      <c r="CO545" s="362">
        <f>SUM(CK545:CN545)</f>
        <v/>
      </c>
    </row>
    <row r="546" hidden="1" s="428">
      <c r="A546" s="441" t="n"/>
      <c r="B546" s="441" t="n"/>
      <c r="C546" s="441" t="n"/>
      <c r="D546" s="441" t="n"/>
      <c r="E546" s="436" t="inlineStr">
        <is>
          <t>12.00R20</t>
        </is>
      </c>
      <c r="F546" s="436" t="n"/>
      <c r="G546" s="436" t="inlineStr">
        <is>
          <t>12.00R20金冠</t>
        </is>
      </c>
      <c r="H546" s="434">
        <f>I546*110*2</f>
        <v/>
      </c>
      <c r="I546" s="434" t="n">
        <v>4</v>
      </c>
      <c r="J546" s="434" t="n"/>
      <c r="K546" s="434" t="n"/>
      <c r="L546" s="434" t="n"/>
      <c r="M546" s="438" t="n">
        <v>0.76</v>
      </c>
      <c r="N546" s="434" t="n"/>
      <c r="O546" s="434" t="n">
        <v>4.068</v>
      </c>
      <c r="P546" s="434" t="n">
        <v>70.81</v>
      </c>
      <c r="Q546" s="434">
        <f>IFERROR(ROUND(1440/K546*I546*M546,0),"")</f>
        <v/>
      </c>
      <c r="R546" s="352" t="n"/>
      <c r="S546" s="352" t="n"/>
      <c r="T546" s="352" t="n"/>
      <c r="U546" s="352" t="n"/>
      <c r="V546" s="352" t="n"/>
      <c r="W546" s="352" t="n"/>
      <c r="X546" s="352" t="n"/>
      <c r="Y546" s="352" t="n"/>
      <c r="Z546" s="352" t="n"/>
      <c r="AA546" s="352" t="n"/>
      <c r="AB546" s="352" t="n"/>
      <c r="AC546" s="352" t="n"/>
      <c r="AD546" s="352" t="n"/>
      <c r="AE546" s="352" t="n"/>
      <c r="AF546" s="352" t="n"/>
      <c r="AG546" s="352" t="n"/>
      <c r="AH546" s="352" t="n"/>
      <c r="AI546" s="352" t="n"/>
      <c r="AJ546" s="352" t="n"/>
      <c r="AK546" s="352" t="n"/>
      <c r="AL546" s="352" t="n"/>
      <c r="AM546" s="352" t="n"/>
      <c r="AN546" s="352" t="n"/>
      <c r="AO546" s="352" t="n"/>
      <c r="AP546" s="352" t="n"/>
      <c r="AQ546" s="352" t="n"/>
      <c r="AR546" s="352" t="n"/>
      <c r="AS546" s="352" t="n"/>
      <c r="AT546" s="352" t="n"/>
      <c r="AU546" s="352" t="n"/>
      <c r="AV546" s="352" t="n"/>
      <c r="AW546" s="352">
        <f>IF(SUM(R546:AV546)=0,"",SUM(R546:AV546))</f>
        <v/>
      </c>
      <c r="AX546" s="431">
        <f>IFERROR(AW546*O546/1000,"")</f>
        <v/>
      </c>
      <c r="AY546" s="431">
        <f>IFERROR(ROUND(AW546*P546/10000,3),"")</f>
        <v/>
      </c>
      <c r="AZ546" s="352" t="n">
        <v>47.1901</v>
      </c>
      <c r="BA546" s="352" t="n">
        <v>2.7041</v>
      </c>
      <c r="BB546" s="352" t="n">
        <v>3.1594</v>
      </c>
      <c r="BC546" s="352" t="n">
        <v>2.3592</v>
      </c>
      <c r="BE546" s="331">
        <f>AZ546*AW546</f>
        <v/>
      </c>
      <c r="BF546" s="331">
        <f>BA546*AW546</f>
        <v/>
      </c>
      <c r="BG546" s="331">
        <f>BB546*AW546</f>
        <v/>
      </c>
      <c r="BH546" s="331">
        <f>BC546*AW546</f>
        <v/>
      </c>
      <c r="BJ546" s="356">
        <f t="array" ref="BJ546:BM546">_xlfn.LET(_xlpm.data,$R546:$AV546,_xlpm.starts,{1,8,16,23},_xlpm.lengths,{7,7,8,9},_xlpm.arr,_xlfn.MAP(_xlpm.starts,_xlpm.lengths,_xlfn.LAMBDA(_xlpm.s,_xlpm.l,SUM(INDEX(_xlpm.data,,_xlfn.SEQUENCE(,_xlpm.l,_xlpm.s))))),ROUND(_xlpm.arr*$O546/1000,2))</f>
        <v/>
      </c>
      <c r="BK546" s="356" t="n">
        <v>0</v>
      </c>
      <c r="BL546" s="356" t="n">
        <v>0</v>
      </c>
      <c r="BM546" s="356" t="n">
        <v>0</v>
      </c>
      <c r="BN546" s="362">
        <f>SUM(BJ546:BM546)</f>
        <v/>
      </c>
      <c r="BO546" s="362" t="n">
        <v>22.78</v>
      </c>
      <c r="BP546" s="362" t="n">
        <v>22.78</v>
      </c>
      <c r="BQ546" s="362" t="n">
        <v>26.04</v>
      </c>
      <c r="BR546" s="362" t="n">
        <v>29.29</v>
      </c>
      <c r="BY546" s="362">
        <f>SUM(R546:X546)</f>
        <v/>
      </c>
      <c r="BZ546" s="362">
        <f>SUM(Y546:AE546)</f>
        <v/>
      </c>
      <c r="CA546" s="362">
        <f>SUM(AF546:AM546)</f>
        <v/>
      </c>
      <c r="CB546" s="362">
        <f>SUM(AN546:AV546)</f>
        <v/>
      </c>
      <c r="CD546" s="440" t="inlineStr">
        <is>
          <t>TIDAK ADA</t>
        </is>
      </c>
      <c r="CE546" s="362">
        <f>ROUND(BY546*$O546/1000,2)</f>
        <v/>
      </c>
      <c r="CF546" s="362">
        <f>ROUND(BZ546*$O546/1000,2)</f>
        <v/>
      </c>
      <c r="CG546" s="362">
        <f>ROUND(CA546*$O546/1000,2)</f>
        <v/>
      </c>
      <c r="CH546" s="362">
        <f>ROUND(CB546*$O546/1000,2)</f>
        <v/>
      </c>
      <c r="CI546" s="362">
        <f>SUM(CE546:CH546)</f>
        <v/>
      </c>
      <c r="CK546" s="362">
        <f>ROUND(BY546*$P546,2)</f>
        <v/>
      </c>
      <c r="CL546" s="362">
        <f>ROUND(BZ546*$P546,2)</f>
        <v/>
      </c>
      <c r="CM546" s="362">
        <f>ROUND(CA546*$P546,2)</f>
        <v/>
      </c>
      <c r="CN546" s="362">
        <f>ROUND(CB546*$P546,2)</f>
        <v/>
      </c>
      <c r="CO546" s="362">
        <f>SUM(CK546:CN546)</f>
        <v/>
      </c>
    </row>
    <row r="547" hidden="1" customFormat="1" s="362">
      <c r="A547" s="433" t="n"/>
      <c r="B547" s="433" t="n"/>
      <c r="C547" s="433" t="n"/>
      <c r="D547" s="433" t="n"/>
      <c r="E547" s="436" t="inlineStr">
        <is>
          <t>11.00R20</t>
        </is>
      </c>
      <c r="F547" s="436" t="n"/>
      <c r="G547" s="436" t="inlineStr">
        <is>
          <t>11.00R20金冠</t>
        </is>
      </c>
      <c r="H547" s="434">
        <f>I547*110*2</f>
        <v/>
      </c>
      <c r="I547" s="434" t="n">
        <v>2</v>
      </c>
      <c r="J547" s="434" t="n"/>
      <c r="K547" s="434" t="n"/>
      <c r="L547" s="434" t="n"/>
      <c r="M547" s="438" t="n">
        <v>0.76</v>
      </c>
      <c r="N547" s="434" t="n"/>
      <c r="O547" s="434" t="n">
        <v>3.79</v>
      </c>
      <c r="P547" s="434" t="n">
        <v>70.81</v>
      </c>
      <c r="Q547" s="434">
        <f>IFERROR(ROUND(1440/K547*I547*M547,0),"")</f>
        <v/>
      </c>
      <c r="R547" s="352" t="n"/>
      <c r="S547" s="352" t="n"/>
      <c r="T547" s="352" t="n"/>
      <c r="U547" s="352" t="n"/>
      <c r="V547" s="352" t="n"/>
      <c r="W547" s="352" t="n"/>
      <c r="X547" s="352" t="n"/>
      <c r="Y547" s="352" t="n"/>
      <c r="Z547" s="352" t="n"/>
      <c r="AA547" s="352" t="n"/>
      <c r="AB547" s="352" t="n"/>
      <c r="AC547" s="352" t="n"/>
      <c r="AD547" s="352" t="n"/>
      <c r="AE547" s="352" t="n"/>
      <c r="AF547" s="352" t="n"/>
      <c r="AG547" s="352" t="n"/>
      <c r="AH547" s="352" t="n"/>
      <c r="AI547" s="352" t="n"/>
      <c r="AJ547" s="352" t="n"/>
      <c r="AK547" s="352" t="n"/>
      <c r="AL547" s="352" t="n"/>
      <c r="AM547" s="352" t="n"/>
      <c r="AN547" s="352" t="n"/>
      <c r="AO547" s="352" t="n"/>
      <c r="AP547" s="352" t="n"/>
      <c r="AQ547" s="352" t="n"/>
      <c r="AR547" s="352" t="n"/>
      <c r="AS547" s="352" t="n"/>
      <c r="AT547" s="352" t="n"/>
      <c r="AU547" s="352" t="n"/>
      <c r="AV547" s="352" t="n"/>
      <c r="AW547" s="352">
        <f>IF(SUM(R547:AV547)=0,"",SUM(R547:AV547))</f>
        <v/>
      </c>
      <c r="AX547" s="431">
        <f>IFERROR(AW547*O547/1000,"")</f>
        <v/>
      </c>
      <c r="AY547" s="431">
        <f>IFERROR(ROUND(AW547*P547/10000,3),"")</f>
        <v/>
      </c>
      <c r="AZ547" s="352" t="n">
        <v>47.1901</v>
      </c>
      <c r="BA547" s="352" t="n">
        <v>2.7041</v>
      </c>
      <c r="BB547" s="352" t="n">
        <v>3.1594</v>
      </c>
      <c r="BC547" s="352" t="n">
        <v>2.3592</v>
      </c>
      <c r="BD547" s="331" t="n"/>
      <c r="BE547" s="331">
        <f>AZ547*AW547</f>
        <v/>
      </c>
      <c r="BF547" s="331">
        <f>BA547*AW547</f>
        <v/>
      </c>
      <c r="BG547" s="331">
        <f>BB547*AW547</f>
        <v/>
      </c>
      <c r="BH547" s="331">
        <f>BC547*AW547</f>
        <v/>
      </c>
      <c r="BI547" s="331" t="n"/>
      <c r="BJ547" s="356">
        <f t="array" ref="BJ547:BM547">_xlfn.LET(_xlpm.data,$R547:$AV547,_xlpm.starts,{1,8,16,23},_xlpm.lengths,{7,7,8,9},_xlpm.arr,_xlfn.MAP(_xlpm.starts,_xlpm.lengths,_xlfn.LAMBDA(_xlpm.s,_xlpm.l,SUM(INDEX(_xlpm.data,,_xlfn.SEQUENCE(,_xlpm.l,_xlpm.s))))),ROUND(_xlpm.arr*$O547/1000,2))</f>
        <v/>
      </c>
      <c r="BK547" s="356" t="n">
        <v>0</v>
      </c>
      <c r="BL547" s="356" t="n">
        <v>0</v>
      </c>
      <c r="BM547" s="356" t="n">
        <v>0</v>
      </c>
      <c r="BN547" s="362">
        <f>SUM(BJ547:BM547)</f>
        <v/>
      </c>
      <c r="BO547" s="362" t="n">
        <v>22.78</v>
      </c>
      <c r="BP547" s="362" t="n">
        <v>22.78</v>
      </c>
      <c r="BQ547" s="362" t="n">
        <v>26.04</v>
      </c>
      <c r="BR547" s="362" t="n">
        <v>29.29</v>
      </c>
      <c r="BS547" s="115" t="n"/>
      <c r="BY547" s="362">
        <f>SUM(R547:X547)</f>
        <v/>
      </c>
      <c r="BZ547" s="362">
        <f>SUM(Y547:AE547)</f>
        <v/>
      </c>
      <c r="CA547" s="362">
        <f>SUM(AF547:AM547)</f>
        <v/>
      </c>
      <c r="CB547" s="362">
        <f>SUM(AN547:AV547)</f>
        <v/>
      </c>
      <c r="CD547" s="440" t="inlineStr">
        <is>
          <t>TIDAK ADA</t>
        </is>
      </c>
      <c r="CE547" s="362">
        <f>ROUND(BY547*$O547/1000,2)</f>
        <v/>
      </c>
      <c r="CF547" s="362">
        <f>ROUND(BZ547*$O547/1000,2)</f>
        <v/>
      </c>
      <c r="CG547" s="362">
        <f>ROUND(CA547*$O547/1000,2)</f>
        <v/>
      </c>
      <c r="CH547" s="362">
        <f>ROUND(CB547*$O547/1000,2)</f>
        <v/>
      </c>
      <c r="CI547" s="362">
        <f>SUM(CE547:CH547)</f>
        <v/>
      </c>
      <c r="CJ547" s="390" t="n"/>
      <c r="CK547" s="362">
        <f>ROUND(BY547*$P547,2)</f>
        <v/>
      </c>
      <c r="CL547" s="362">
        <f>ROUND(BZ547*$P547,2)</f>
        <v/>
      </c>
      <c r="CM547" s="362">
        <f>ROUND(CA547*$P547,2)</f>
        <v/>
      </c>
      <c r="CN547" s="362">
        <f>ROUND(CB547*$P547,2)</f>
        <v/>
      </c>
      <c r="CO547" s="362">
        <f>SUM(CK547:CN547)</f>
        <v/>
      </c>
    </row>
    <row r="548">
      <c r="A548" s="441" t="n"/>
      <c r="B548" s="441" t="n"/>
      <c r="C548" s="441" t="n"/>
      <c r="D548" s="441" t="n"/>
      <c r="E548" s="436" t="inlineStr">
        <is>
          <t>11.00R20</t>
        </is>
      </c>
      <c r="F548" s="436" t="n"/>
      <c r="G548" s="436" t="inlineStr">
        <is>
          <t>11.00R20</t>
        </is>
      </c>
      <c r="H548" s="434">
        <f>I548*110*2</f>
        <v/>
      </c>
      <c r="I548" s="434" t="n">
        <v>2</v>
      </c>
      <c r="J548" s="434" t="n"/>
      <c r="K548" s="434" t="n"/>
      <c r="L548" s="434" t="n"/>
      <c r="M548" s="438" t="n">
        <v>0.76</v>
      </c>
      <c r="N548" s="434" t="n"/>
      <c r="O548" s="434" t="n">
        <v>3.79</v>
      </c>
      <c r="P548" s="434" t="n">
        <v>59.92</v>
      </c>
      <c r="Q548" s="434">
        <f>IFERROR(ROUND(1440/K548*I548*M548,0),"")</f>
        <v/>
      </c>
      <c r="R548" s="352">
        <f>4*220</f>
        <v/>
      </c>
      <c r="S548" s="352">
        <f>4*220</f>
        <v/>
      </c>
      <c r="T548" s="352">
        <f>4*220</f>
        <v/>
      </c>
      <c r="U548" s="352">
        <f>4*220</f>
        <v/>
      </c>
      <c r="V548" s="352">
        <f>4*220</f>
        <v/>
      </c>
      <c r="W548" s="352">
        <f>4*220</f>
        <v/>
      </c>
      <c r="X548" s="352">
        <f>4*220</f>
        <v/>
      </c>
      <c r="Y548" s="352">
        <f>4*220</f>
        <v/>
      </c>
      <c r="Z548" s="352">
        <f>4*220</f>
        <v/>
      </c>
      <c r="AA548" s="352">
        <f>4*220</f>
        <v/>
      </c>
      <c r="AB548" s="352">
        <f>4*220</f>
        <v/>
      </c>
      <c r="AC548" s="352">
        <f>4*220</f>
        <v/>
      </c>
      <c r="AD548" s="352">
        <f>4*220</f>
        <v/>
      </c>
      <c r="AE548" s="352">
        <f>4*220</f>
        <v/>
      </c>
      <c r="AF548" s="352">
        <f>4*220</f>
        <v/>
      </c>
      <c r="AG548" s="352">
        <f>4*220</f>
        <v/>
      </c>
      <c r="AH548" s="352">
        <f>4*220</f>
        <v/>
      </c>
      <c r="AI548" s="352">
        <f>4*220</f>
        <v/>
      </c>
      <c r="AJ548" s="352">
        <f>4*220</f>
        <v/>
      </c>
      <c r="AK548" s="352">
        <f>4*220</f>
        <v/>
      </c>
      <c r="AL548" s="352">
        <f>4*220</f>
        <v/>
      </c>
      <c r="AM548" s="352">
        <f>4*220</f>
        <v/>
      </c>
      <c r="AN548" s="352">
        <f>4*220</f>
        <v/>
      </c>
      <c r="AO548" s="352">
        <f>4*220</f>
        <v/>
      </c>
      <c r="AP548" s="352">
        <f>4*220</f>
        <v/>
      </c>
      <c r="AQ548" s="352">
        <f>4*220</f>
        <v/>
      </c>
      <c r="AR548" s="352">
        <f>4*220</f>
        <v/>
      </c>
      <c r="AS548" s="352">
        <f>4*220</f>
        <v/>
      </c>
      <c r="AT548" s="352">
        <f>4*220</f>
        <v/>
      </c>
      <c r="AU548" s="352">
        <f>4*220</f>
        <v/>
      </c>
      <c r="AV548" s="352">
        <f>4*220</f>
        <v/>
      </c>
      <c r="AW548" s="352">
        <f>IF(SUM(R548:AV548)=0,"",SUM(R548:AV548))</f>
        <v/>
      </c>
      <c r="AX548" s="431">
        <f>IFERROR(AW548*O548/1000,"")</f>
        <v/>
      </c>
      <c r="AY548" s="431">
        <f>IFERROR(ROUND(AW548*P548/10000,3),"")</f>
        <v/>
      </c>
      <c r="AZ548" s="352" t="n">
        <v>44.5248</v>
      </c>
      <c r="BA548" s="352" t="n">
        <v>2.57</v>
      </c>
      <c r="BB548" s="352" t="n">
        <v>3.0027</v>
      </c>
      <c r="BC548" s="352" t="n">
        <v>2.2422</v>
      </c>
      <c r="BE548" s="331">
        <f>AZ548*AW548</f>
        <v/>
      </c>
      <c r="BF548" s="331">
        <f>BA548*AW548</f>
        <v/>
      </c>
      <c r="BG548" s="331">
        <f>BB548*AW548</f>
        <v/>
      </c>
      <c r="BH548" s="331">
        <f>BC548*AW548</f>
        <v/>
      </c>
      <c r="BJ548" s="356">
        <f t="array" ref="BJ548:BM548">_xlfn.LET(_xlpm.data,$R548:$AV548,_xlpm.starts,{1,8,16,23},_xlpm.lengths,{7,7,8,9},_xlpm.arr,_xlfn.MAP(_xlpm.starts,_xlpm.lengths,_xlfn.LAMBDA(_xlpm.s,_xlpm.l,SUM(INDEX(_xlpm.data,,_xlfn.SEQUENCE(,_xlpm.l,_xlpm.s))))),ROUND(_xlpm.arr*$O548/1000,2))</f>
        <v/>
      </c>
      <c r="BK548" s="356" t="n">
        <v>23.35</v>
      </c>
      <c r="BL548" s="356" t="n">
        <v>26.68</v>
      </c>
      <c r="BM548" s="356" t="n">
        <v>30.02</v>
      </c>
      <c r="BN548" s="362">
        <f>SUM(BJ548:BM548)</f>
        <v/>
      </c>
      <c r="BO548" s="362" t="n">
        <v>21.22</v>
      </c>
      <c r="BP548" s="362" t="n">
        <v>21.22</v>
      </c>
      <c r="BQ548" s="362" t="n">
        <v>24.26</v>
      </c>
      <c r="BR548" s="362" t="n">
        <v>27.29</v>
      </c>
      <c r="BY548" s="362">
        <f>SUM(R548:X548)</f>
        <v/>
      </c>
      <c r="BZ548" s="362">
        <f>SUM(Y548:AE548)</f>
        <v/>
      </c>
      <c r="CA548" s="362">
        <f>SUM(AF548:AM548)</f>
        <v/>
      </c>
      <c r="CB548" s="362">
        <f>SUM(AN548:AV548)</f>
        <v/>
      </c>
      <c r="CD548" s="440" t="inlineStr">
        <is>
          <t>TIDAK ADA</t>
        </is>
      </c>
      <c r="CE548" s="362">
        <f>ROUND(BY548*$O548/1000,2)</f>
        <v/>
      </c>
      <c r="CF548" s="362">
        <f>ROUND(BZ548*$O548/1000,2)</f>
        <v/>
      </c>
      <c r="CG548" s="362">
        <f>ROUND(CA548*$O548/1000,2)</f>
        <v/>
      </c>
      <c r="CH548" s="362">
        <f>ROUND(CB548*$O548/1000,2)</f>
        <v/>
      </c>
      <c r="CI548" s="362">
        <f>SUM(CE548:CH548)</f>
        <v/>
      </c>
      <c r="CK548" s="362">
        <f>ROUND(BY548*$P548,2)</f>
        <v/>
      </c>
      <c r="CL548" s="362">
        <f>ROUND(BZ548*$P548,2)</f>
        <v/>
      </c>
      <c r="CM548" s="362">
        <f>ROUND(CA548*$P548,2)</f>
        <v/>
      </c>
      <c r="CN548" s="362">
        <f>ROUND(CB548*$P548,2)</f>
        <v/>
      </c>
      <c r="CO548" s="362">
        <f>SUM(CK548:CN548)</f>
        <v/>
      </c>
    </row>
    <row r="549" hidden="1" s="428">
      <c r="A549" s="441" t="n"/>
      <c r="B549" s="441" t="n"/>
      <c r="C549" s="441" t="n"/>
      <c r="D549" s="441" t="n"/>
      <c r="E549" s="436" t="inlineStr">
        <is>
          <t>10.00R20</t>
        </is>
      </c>
      <c r="F549" s="436" t="n"/>
      <c r="G549" s="436" t="inlineStr">
        <is>
          <t>10.00R20金冠</t>
        </is>
      </c>
      <c r="H549" s="434">
        <f>I549*110*2</f>
        <v/>
      </c>
      <c r="I549" s="434" t="n">
        <v>2</v>
      </c>
      <c r="J549" s="434" t="n"/>
      <c r="K549" s="434" t="n"/>
      <c r="L549" s="434" t="n"/>
      <c r="M549" s="438" t="n">
        <v>0.76</v>
      </c>
      <c r="N549" s="434" t="n"/>
      <c r="O549" s="434" t="n">
        <v>3.351</v>
      </c>
      <c r="P549" s="434" t="n">
        <v>50.73</v>
      </c>
      <c r="Q549" s="434">
        <f>IFERROR(ROUND(1440/K549*I549*M549,0),"")</f>
        <v/>
      </c>
      <c r="R549" s="352" t="n"/>
      <c r="S549" s="352" t="n"/>
      <c r="T549" s="352" t="n"/>
      <c r="U549" s="352" t="n"/>
      <c r="V549" s="352" t="n"/>
      <c r="W549" s="352" t="n"/>
      <c r="X549" s="352" t="n"/>
      <c r="Y549" s="352" t="n"/>
      <c r="Z549" s="352" t="n"/>
      <c r="AA549" s="352" t="n"/>
      <c r="AB549" s="352" t="n"/>
      <c r="AC549" s="352" t="n"/>
      <c r="AD549" s="352" t="n"/>
      <c r="AE549" s="352" t="n"/>
      <c r="AF549" s="352" t="n"/>
      <c r="AG549" s="352" t="n"/>
      <c r="AH549" s="352" t="n"/>
      <c r="AI549" s="352" t="n"/>
      <c r="AJ549" s="352" t="n"/>
      <c r="AK549" s="352" t="n"/>
      <c r="AL549" s="352" t="n"/>
      <c r="AM549" s="352" t="n"/>
      <c r="AN549" s="352" t="n"/>
      <c r="AO549" s="352" t="n"/>
      <c r="AP549" s="352" t="n"/>
      <c r="AQ549" s="352" t="n"/>
      <c r="AR549" s="352" t="n"/>
      <c r="AS549" s="352" t="n"/>
      <c r="AT549" s="352" t="n"/>
      <c r="AU549" s="352" t="n"/>
      <c r="AV549" s="352" t="n"/>
      <c r="AW549" s="352">
        <f>IF(SUM(R549:AV549)=0,"",SUM(R549:AV549))</f>
        <v/>
      </c>
      <c r="AX549" s="431">
        <f>IFERROR(AW549*O549/1000,"")</f>
        <v/>
      </c>
      <c r="AY549" s="431">
        <f>IFERROR(ROUND(AW549*P549/10000,3),"")</f>
        <v/>
      </c>
      <c r="AZ549" s="352" t="n">
        <v>38.9478</v>
      </c>
      <c r="BA549" s="352" t="n">
        <v>2.3307</v>
      </c>
      <c r="BB549" s="352" t="n">
        <v>2.7231</v>
      </c>
      <c r="BC549" s="352" t="n">
        <v>2.0334</v>
      </c>
      <c r="BE549" s="331">
        <f>AZ549*AW549</f>
        <v/>
      </c>
      <c r="BF549" s="331">
        <f>BA549*AW549</f>
        <v/>
      </c>
      <c r="BG549" s="331">
        <f>BB549*AW549</f>
        <v/>
      </c>
      <c r="BH549" s="331">
        <f>BC549*AW549</f>
        <v/>
      </c>
      <c r="BJ549" s="356">
        <f t="array" ref="BJ549:BM549">_xlfn.LET(_xlpm.data,$R549:$AV549,_xlpm.starts,{1,8,16,23},_xlpm.lengths,{7,7,8,9},_xlpm.arr,_xlfn.MAP(_xlpm.starts,_xlpm.lengths,_xlfn.LAMBDA(_xlpm.s,_xlpm.l,SUM(INDEX(_xlpm.data,,_xlfn.SEQUENCE(,_xlpm.l,_xlpm.s))))),ROUND(_xlpm.arr*$O549/1000,2))</f>
        <v/>
      </c>
      <c r="BK549" s="356" t="n">
        <v>0</v>
      </c>
      <c r="BL549" s="356" t="n">
        <v>0</v>
      </c>
      <c r="BM549" s="356" t="n">
        <v>0</v>
      </c>
      <c r="BN549" s="362">
        <f>SUM(BJ549:BM549)</f>
        <v/>
      </c>
      <c r="BO549" s="362" t="n">
        <v>18.77</v>
      </c>
      <c r="BP549" s="362" t="n">
        <v>18.77</v>
      </c>
      <c r="BQ549" s="362" t="n">
        <v>21.45</v>
      </c>
      <c r="BR549" s="362" t="n">
        <v>24.13</v>
      </c>
      <c r="BY549" s="362">
        <f>SUM(R549:X549)</f>
        <v/>
      </c>
      <c r="BZ549" s="362">
        <f>SUM(Y549:AE549)</f>
        <v/>
      </c>
      <c r="CA549" s="362">
        <f>SUM(AF549:AM549)</f>
        <v/>
      </c>
      <c r="CB549" s="362">
        <f>SUM(AN549:AV549)</f>
        <v/>
      </c>
      <c r="CD549" s="440" t="inlineStr">
        <is>
          <t>TIDAK ADA</t>
        </is>
      </c>
      <c r="CE549" s="362">
        <f>ROUND(BY549*$O549/1000,2)</f>
        <v/>
      </c>
      <c r="CF549" s="362">
        <f>ROUND(BZ549*$O549/1000,2)</f>
        <v/>
      </c>
      <c r="CG549" s="362">
        <f>ROUND(CA549*$O549/1000,2)</f>
        <v/>
      </c>
      <c r="CH549" s="362">
        <f>ROUND(CB549*$O549/1000,2)</f>
        <v/>
      </c>
      <c r="CI549" s="362">
        <f>SUM(CE549:CH549)</f>
        <v/>
      </c>
      <c r="CK549" s="362">
        <f>ROUND(BY549*$P549,2)</f>
        <v/>
      </c>
      <c r="CL549" s="362">
        <f>ROUND(BZ549*$P549,2)</f>
        <v/>
      </c>
      <c r="CM549" s="362">
        <f>ROUND(CA549*$P549,2)</f>
        <v/>
      </c>
      <c r="CN549" s="362">
        <f>ROUND(CB549*$P549,2)</f>
        <v/>
      </c>
      <c r="CO549" s="362">
        <f>SUM(CK549:CN549)</f>
        <v/>
      </c>
    </row>
    <row r="550" customFormat="1" s="362">
      <c r="A550" s="433" t="n"/>
      <c r="B550" s="433" t="n"/>
      <c r="C550" s="433" t="n"/>
      <c r="D550" s="433" t="n"/>
      <c r="E550" s="436" t="inlineStr">
        <is>
          <t>10.00R20</t>
        </is>
      </c>
      <c r="F550" s="436" t="n"/>
      <c r="G550" s="436" t="inlineStr">
        <is>
          <t>10.00R20</t>
        </is>
      </c>
      <c r="H550" s="434">
        <f>I550*110*2</f>
        <v/>
      </c>
      <c r="I550" s="434" t="n">
        <v>2</v>
      </c>
      <c r="J550" s="434" t="n"/>
      <c r="K550" s="434" t="n"/>
      <c r="L550" s="434" t="n"/>
      <c r="M550" s="438" t="n">
        <v>0.76</v>
      </c>
      <c r="N550" s="434" t="n"/>
      <c r="O550" s="434" t="n">
        <v>3.351</v>
      </c>
      <c r="P550" s="434" t="n">
        <v>53.73</v>
      </c>
      <c r="Q550" s="434">
        <f>IFERROR(ROUND(1440/K550*I550*M550,0),"")</f>
        <v/>
      </c>
      <c r="R550" s="352">
        <f>6*200</f>
        <v/>
      </c>
      <c r="S550" s="352">
        <f>6*200</f>
        <v/>
      </c>
      <c r="T550" s="352">
        <f>6*200</f>
        <v/>
      </c>
      <c r="U550" s="352">
        <f>6*200</f>
        <v/>
      </c>
      <c r="V550" s="352">
        <f>6*200</f>
        <v/>
      </c>
      <c r="W550" s="352">
        <f>6*200</f>
        <v/>
      </c>
      <c r="X550" s="352">
        <f>6*200</f>
        <v/>
      </c>
      <c r="Y550" s="352">
        <f>6*200</f>
        <v/>
      </c>
      <c r="Z550" s="352">
        <f>6*200</f>
        <v/>
      </c>
      <c r="AA550" s="352">
        <f>6*200</f>
        <v/>
      </c>
      <c r="AB550" s="352">
        <f>6*200</f>
        <v/>
      </c>
      <c r="AC550" s="352">
        <f>6*200</f>
        <v/>
      </c>
      <c r="AD550" s="352">
        <f>6*200</f>
        <v/>
      </c>
      <c r="AE550" s="352">
        <f>6*200</f>
        <v/>
      </c>
      <c r="AF550" s="352">
        <f>6*200</f>
        <v/>
      </c>
      <c r="AG550" s="352">
        <f>6*200</f>
        <v/>
      </c>
      <c r="AH550" s="352">
        <f>6*200</f>
        <v/>
      </c>
      <c r="AI550" s="352">
        <f>6*200</f>
        <v/>
      </c>
      <c r="AJ550" s="352">
        <f>6*200</f>
        <v/>
      </c>
      <c r="AK550" s="352">
        <f>6*200</f>
        <v/>
      </c>
      <c r="AL550" s="352">
        <f>6*200</f>
        <v/>
      </c>
      <c r="AM550" s="352">
        <f>6*200</f>
        <v/>
      </c>
      <c r="AN550" s="352">
        <f>6*200</f>
        <v/>
      </c>
      <c r="AO550" s="352">
        <f>6*200</f>
        <v/>
      </c>
      <c r="AP550" s="352">
        <f>6*200</f>
        <v/>
      </c>
      <c r="AQ550" s="352">
        <f>6*200</f>
        <v/>
      </c>
      <c r="AR550" s="352">
        <f>6*200</f>
        <v/>
      </c>
      <c r="AS550" s="352">
        <f>6*200</f>
        <v/>
      </c>
      <c r="AT550" s="352">
        <f>6*200</f>
        <v/>
      </c>
      <c r="AU550" s="352">
        <f>6*200</f>
        <v/>
      </c>
      <c r="AV550" s="352">
        <f>6*200</f>
        <v/>
      </c>
      <c r="AW550" s="352">
        <f>IF(SUM(R550:AV550)=0,"",SUM(R550:AV550))</f>
        <v/>
      </c>
      <c r="AX550" s="431">
        <f>IFERROR(AW550*O550/1000,"")</f>
        <v/>
      </c>
      <c r="AY550" s="431">
        <f>IFERROR(ROUND(AW550*P550/10000,3),"")</f>
        <v/>
      </c>
      <c r="AZ550" s="352" t="n">
        <v>38.9478</v>
      </c>
      <c r="BA550" s="352" t="n">
        <v>2.3307</v>
      </c>
      <c r="BB550" s="352" t="n">
        <v>2.7231</v>
      </c>
      <c r="BC550" s="352" t="n">
        <v>2.0334</v>
      </c>
      <c r="BD550" s="331" t="n"/>
      <c r="BE550" s="331">
        <f>AZ550*AW550</f>
        <v/>
      </c>
      <c r="BF550" s="331">
        <f>BA550*AW550</f>
        <v/>
      </c>
      <c r="BG550" s="331">
        <f>BB550*AW550</f>
        <v/>
      </c>
      <c r="BH550" s="331">
        <f>BC550*AW550</f>
        <v/>
      </c>
      <c r="BI550" s="331" t="n"/>
      <c r="BJ550" s="356">
        <f t="array" ref="BJ550:BM550">_xlfn.LET(_xlpm.data,$R550:$AV550,_xlpm.starts,{1,8,16,23},_xlpm.lengths,{7,7,8,9},_xlpm.arr,_xlfn.MAP(_xlpm.starts,_xlpm.lengths,_xlfn.LAMBDA(_xlpm.s,_xlpm.l,SUM(INDEX(_xlpm.data,,_xlfn.SEQUENCE(,_xlpm.l,_xlpm.s))))),ROUND(_xlpm.arr*$O550/1000,2))</f>
        <v/>
      </c>
      <c r="BK550" s="356" t="n">
        <v>28.15</v>
      </c>
      <c r="BL550" s="356" t="n">
        <v>32.17</v>
      </c>
      <c r="BM550" s="356" t="n">
        <v>36.19</v>
      </c>
      <c r="BN550" s="362">
        <f>SUM(BJ550:BM550)</f>
        <v/>
      </c>
      <c r="BO550" s="362" t="n">
        <v>18.77</v>
      </c>
      <c r="BP550" s="362" t="n">
        <v>18.77</v>
      </c>
      <c r="BQ550" s="362" t="n">
        <v>21.45</v>
      </c>
      <c r="BR550" s="362" t="n">
        <v>24.13</v>
      </c>
      <c r="BS550" s="115" t="n"/>
      <c r="BY550" s="362">
        <f>SUM(R550:X550)</f>
        <v/>
      </c>
      <c r="BZ550" s="362">
        <f>SUM(Y550:AE550)</f>
        <v/>
      </c>
      <c r="CA550" s="362">
        <f>SUM(AF550:AM550)</f>
        <v/>
      </c>
      <c r="CB550" s="362">
        <f>SUM(AN550:AV550)</f>
        <v/>
      </c>
      <c r="CD550" s="440" t="inlineStr">
        <is>
          <t>TIDAK ADA</t>
        </is>
      </c>
      <c r="CE550" s="362">
        <f>ROUND(BY550*$O550/1000,2)</f>
        <v/>
      </c>
      <c r="CF550" s="362">
        <f>ROUND(BZ550*$O550/1000,2)</f>
        <v/>
      </c>
      <c r="CG550" s="362">
        <f>ROUND(CA550*$O550/1000,2)</f>
        <v/>
      </c>
      <c r="CH550" s="362">
        <f>ROUND(CB550*$O550/1000,2)</f>
        <v/>
      </c>
      <c r="CI550" s="362">
        <f>SUM(CE550:CH550)</f>
        <v/>
      </c>
      <c r="CJ550" s="390" t="n"/>
      <c r="CK550" s="362">
        <f>ROUND(BY550*$P550,2)</f>
        <v/>
      </c>
      <c r="CL550" s="362">
        <f>ROUND(BZ550*$P550,2)</f>
        <v/>
      </c>
      <c r="CM550" s="362">
        <f>ROUND(CA550*$P550,2)</f>
        <v/>
      </c>
      <c r="CN550" s="362">
        <f>ROUND(CB550*$P550,2)</f>
        <v/>
      </c>
      <c r="CO550" s="362">
        <f>SUM(CK550:CN550)</f>
        <v/>
      </c>
    </row>
    <row r="551">
      <c r="A551" s="441" t="n"/>
      <c r="B551" s="441" t="n"/>
      <c r="C551" s="441" t="n"/>
      <c r="D551" s="441" t="n"/>
      <c r="E551" s="436" t="inlineStr">
        <is>
          <t>7.50R16</t>
        </is>
      </c>
      <c r="F551" s="436" t="n"/>
      <c r="G551" s="436" t="inlineStr">
        <is>
          <t>7.50R16</t>
        </is>
      </c>
      <c r="H551" s="434">
        <f>I551*135*2</f>
        <v/>
      </c>
      <c r="I551" s="434" t="n">
        <v>4</v>
      </c>
      <c r="J551" s="434" t="n"/>
      <c r="K551" s="434" t="n"/>
      <c r="L551" s="434" t="n"/>
      <c r="M551" s="438" t="n">
        <v>0.76</v>
      </c>
      <c r="N551" s="434" t="n"/>
      <c r="O551" s="434" t="n">
        <v>1.769</v>
      </c>
      <c r="P551" s="434" t="n">
        <v>31.31</v>
      </c>
      <c r="Q551" s="434">
        <f>IFERROR(ROUND(1440/K551*I551*M551,0),"")</f>
        <v/>
      </c>
      <c r="R551" s="352">
        <f>4*260</f>
        <v/>
      </c>
      <c r="S551" s="352">
        <f>4*260</f>
        <v/>
      </c>
      <c r="T551" s="352">
        <f>4*260</f>
        <v/>
      </c>
      <c r="U551" s="352">
        <f>4*260</f>
        <v/>
      </c>
      <c r="V551" s="352">
        <f>4*260</f>
        <v/>
      </c>
      <c r="W551" s="352">
        <f>4*260</f>
        <v/>
      </c>
      <c r="X551" s="352">
        <f>4*260</f>
        <v/>
      </c>
      <c r="Y551" s="352">
        <f>4*260</f>
        <v/>
      </c>
      <c r="Z551" s="352">
        <f>4*260</f>
        <v/>
      </c>
      <c r="AA551" s="352">
        <f>4*260</f>
        <v/>
      </c>
      <c r="AB551" s="352">
        <f>4*260</f>
        <v/>
      </c>
      <c r="AC551" s="352">
        <f>4*260</f>
        <v/>
      </c>
      <c r="AD551" s="352">
        <f>4*260</f>
        <v/>
      </c>
      <c r="AE551" s="352">
        <f>4*260</f>
        <v/>
      </c>
      <c r="AF551" s="352">
        <f>4*260</f>
        <v/>
      </c>
      <c r="AG551" s="352">
        <f>4*260</f>
        <v/>
      </c>
      <c r="AH551" s="352">
        <f>4*260</f>
        <v/>
      </c>
      <c r="AI551" s="352">
        <f>4*260</f>
        <v/>
      </c>
      <c r="AJ551" s="352">
        <f>4*260</f>
        <v/>
      </c>
      <c r="AK551" s="352">
        <f>4*260</f>
        <v/>
      </c>
      <c r="AL551" s="352">
        <f>4*260</f>
        <v/>
      </c>
      <c r="AM551" s="352">
        <f>4*260</f>
        <v/>
      </c>
      <c r="AN551" s="352">
        <f>4*260</f>
        <v/>
      </c>
      <c r="AO551" s="352">
        <f>4*260</f>
        <v/>
      </c>
      <c r="AP551" s="352">
        <f>4*260</f>
        <v/>
      </c>
      <c r="AQ551" s="352">
        <f>4*260</f>
        <v/>
      </c>
      <c r="AR551" s="352">
        <f>4*260</f>
        <v/>
      </c>
      <c r="AS551" s="352">
        <f>4*260</f>
        <v/>
      </c>
      <c r="AT551" s="352">
        <f>4*260</f>
        <v/>
      </c>
      <c r="AU551" s="352">
        <f>4*260</f>
        <v/>
      </c>
      <c r="AV551" s="352">
        <f>4*260</f>
        <v/>
      </c>
      <c r="AW551" s="352">
        <f>IF(SUM(R551:AV551)=0,"",SUM(R551:AV551))</f>
        <v/>
      </c>
      <c r="AX551" s="431">
        <f>IFERROR(AW551*O551/1000,"")</f>
        <v/>
      </c>
      <c r="AY551" s="431">
        <f>IFERROR(ROUND(AW551*P551/10000,3),"")</f>
        <v/>
      </c>
      <c r="AZ551" s="352" t="n">
        <v>22.8162</v>
      </c>
      <c r="BA551" s="352" t="n">
        <v>1.4581</v>
      </c>
      <c r="BB551" s="352" t="n">
        <v>1.7036</v>
      </c>
      <c r="BC551" s="352" t="n">
        <v>1.2722</v>
      </c>
      <c r="BE551" s="331">
        <f>AZ551*AW551</f>
        <v/>
      </c>
      <c r="BF551" s="331">
        <f>BA551*AW551</f>
        <v/>
      </c>
      <c r="BG551" s="331">
        <f>BB551*AW551</f>
        <v/>
      </c>
      <c r="BH551" s="331">
        <f>BC551*AW551</f>
        <v/>
      </c>
      <c r="BJ551" s="356">
        <f t="array" ref="BJ551:BM551">_xlfn.LET(_xlpm.data,$R551:$AV551,_xlpm.starts,{1,8,16,23},_xlpm.lengths,{7,7,8,9},_xlpm.arr,_xlfn.MAP(_xlpm.starts,_xlpm.lengths,_xlfn.LAMBDA(_xlpm.s,_xlpm.l,SUM(INDEX(_xlpm.data,,_xlfn.SEQUENCE(,_xlpm.l,_xlpm.s))))),ROUND(_xlpm.arr*$O551/1000,2))</f>
        <v/>
      </c>
      <c r="BK551" s="356" t="n">
        <v>12.88</v>
      </c>
      <c r="BL551" s="356" t="n">
        <v>14.72</v>
      </c>
      <c r="BM551" s="356" t="n">
        <v>16.56</v>
      </c>
      <c r="BN551" s="362">
        <f>SUM(BJ551:BM551)</f>
        <v/>
      </c>
      <c r="BO551" s="362" t="n">
        <v>11.14</v>
      </c>
      <c r="BP551" s="362" t="n">
        <v>11.14</v>
      </c>
      <c r="BQ551" s="362" t="n">
        <v>12.74</v>
      </c>
      <c r="BR551" s="362" t="n">
        <v>14.33</v>
      </c>
      <c r="BY551" s="362">
        <f>SUM(R551:X551)</f>
        <v/>
      </c>
      <c r="BZ551" s="362">
        <f>SUM(Y551:AE551)</f>
        <v/>
      </c>
      <c r="CA551" s="362">
        <f>SUM(AF551:AM551)</f>
        <v/>
      </c>
      <c r="CB551" s="362">
        <f>SUM(AN551:AV551)</f>
        <v/>
      </c>
      <c r="CD551" s="440" t="inlineStr">
        <is>
          <t>TIDAK ADA</t>
        </is>
      </c>
      <c r="CE551" s="362">
        <f>ROUND(BY551*$O551/1000,2)</f>
        <v/>
      </c>
      <c r="CF551" s="362">
        <f>ROUND(BZ551*$O551/1000,2)</f>
        <v/>
      </c>
      <c r="CG551" s="362">
        <f>ROUND(CA551*$O551/1000,2)</f>
        <v/>
      </c>
      <c r="CH551" s="362">
        <f>ROUND(CB551*$O551/1000,2)</f>
        <v/>
      </c>
      <c r="CI551" s="362">
        <f>SUM(CE551:CH551)</f>
        <v/>
      </c>
      <c r="CK551" s="362">
        <f>ROUND(BY551*$P551,2)</f>
        <v/>
      </c>
      <c r="CL551" s="362">
        <f>ROUND(BZ551*$P551,2)</f>
        <v/>
      </c>
      <c r="CM551" s="362">
        <f>ROUND(CA551*$P551,2)</f>
        <v/>
      </c>
      <c r="CN551" s="362">
        <f>ROUND(CB551*$P551,2)</f>
        <v/>
      </c>
      <c r="CO551" s="362">
        <f>SUM(CK551:CN551)</f>
        <v/>
      </c>
    </row>
    <row r="552" hidden="1" s="428">
      <c r="A552" s="441" t="n"/>
      <c r="B552" s="441" t="n"/>
      <c r="C552" s="441" t="n"/>
      <c r="D552" s="441" t="n"/>
      <c r="E552" s="436" t="inlineStr">
        <is>
          <t>8.25R16</t>
        </is>
      </c>
      <c r="F552" s="436" t="n"/>
      <c r="G552" s="436" t="inlineStr">
        <is>
          <t>8.25R16</t>
        </is>
      </c>
      <c r="H552" s="434" t="n"/>
      <c r="I552" s="434" t="n">
        <v>1</v>
      </c>
      <c r="J552" s="434" t="n"/>
      <c r="K552" s="434" t="n"/>
      <c r="L552" s="434" t="n"/>
      <c r="M552" s="438">
        <f>IF(K552="","",K552/(K552+#REF!/60))</f>
        <v/>
      </c>
      <c r="N552" s="434" t="n"/>
      <c r="O552" s="434" t="n"/>
      <c r="P552" s="434" t="n"/>
      <c r="Q552" s="434" t="n">
        <v>280</v>
      </c>
      <c r="R552" s="352" t="n"/>
      <c r="S552" s="352" t="n"/>
      <c r="T552" s="352" t="n"/>
      <c r="U552" s="352" t="n"/>
      <c r="V552" s="352" t="n"/>
      <c r="W552" s="352" t="n"/>
      <c r="X552" s="352" t="n"/>
      <c r="Y552" s="352" t="n"/>
      <c r="Z552" s="352" t="n"/>
      <c r="AA552" s="352" t="n"/>
      <c r="AB552" s="352" t="n"/>
      <c r="AC552" s="352" t="n"/>
      <c r="AD552" s="352" t="n"/>
      <c r="AE552" s="352" t="n"/>
      <c r="AF552" s="352" t="n"/>
      <c r="AG552" s="352" t="n"/>
      <c r="AH552" s="352" t="n"/>
      <c r="AI552" s="352" t="n"/>
      <c r="AJ552" s="352" t="n"/>
      <c r="AK552" s="352" t="n"/>
      <c r="AL552" s="352" t="n"/>
      <c r="AM552" s="352" t="n"/>
      <c r="AN552" s="352" t="n"/>
      <c r="AO552" s="352" t="n"/>
      <c r="AP552" s="352" t="n"/>
      <c r="AQ552" s="352" t="n"/>
      <c r="AR552" s="352" t="n"/>
      <c r="AS552" s="352" t="n"/>
      <c r="AT552" s="352" t="n"/>
      <c r="AU552" s="352" t="n"/>
      <c r="AV552" s="352" t="n"/>
      <c r="AW552" s="352">
        <f>IF(SUM(R552:AV552)=0,"",SUM(R552:AV552))</f>
        <v/>
      </c>
      <c r="AX552" s="431">
        <f>IFERROR(AW552*O552/1000,"")</f>
        <v/>
      </c>
      <c r="AY552" s="431">
        <f>IFERROR(ROUND(AW552*P552/10000,3),"")</f>
        <v/>
      </c>
      <c r="BE552" s="331">
        <f>SUM(BE542:BE550)</f>
        <v/>
      </c>
      <c r="BF552" s="331">
        <f>SUM(BF542:BF550)</f>
        <v/>
      </c>
      <c r="BG552" s="331">
        <f>SUM(BG542:BG550)</f>
        <v/>
      </c>
      <c r="BH552" s="331">
        <f>SUM(BH542:BH550)</f>
        <v/>
      </c>
      <c r="BJ552" s="356">
        <f t="array" ref="BJ552">SUMPRODUCT(IF(ISNUMBER(BJ542:BJ550),BJ542:BJ550,0),IF(ISERROR(BJ542:BJ550),0,1))</f>
        <v/>
      </c>
      <c r="BK552" s="356">
        <f t="array" ref="BK552">SUMPRODUCT(IF(ISNUMBER(BK542:BK550),BK542:BK550,0),IF(ISERROR(BK542:BK550),0,1))</f>
        <v/>
      </c>
      <c r="BL552" s="356">
        <f t="array" ref="BL552">SUMPRODUCT(IF(ISNUMBER(BL542:BL550),BL542:BL550,0),IF(ISERROR(BL542:BL550),0,1))</f>
        <v/>
      </c>
      <c r="BM552" s="356">
        <f t="array" ref="BM552">SUMPRODUCT(IF(ISNUMBER(BM542:BM550),BM542:BM550,0),IF(ISERROR(BM542:BM550),0,1))</f>
        <v/>
      </c>
      <c r="BN552" s="362">
        <f>SUM(BJ552:BM552)</f>
        <v/>
      </c>
      <c r="BO552" s="362" t="n">
        <v>128.28</v>
      </c>
      <c r="BP552" s="362" t="n">
        <v>128.28</v>
      </c>
      <c r="BQ552" s="362" t="n">
        <v>146.62</v>
      </c>
      <c r="BR552" s="362" t="n">
        <v>164.95</v>
      </c>
      <c r="BY552" s="362">
        <f>SUM(R552:X552)</f>
        <v/>
      </c>
      <c r="BZ552" s="362">
        <f>SUM(Y552:AE552)</f>
        <v/>
      </c>
      <c r="CA552" s="362">
        <f>SUM(AF552:AM552)</f>
        <v/>
      </c>
      <c r="CB552" s="362">
        <f>SUM(AN552:AV552)</f>
        <v/>
      </c>
      <c r="CD552" s="440" t="inlineStr">
        <is>
          <t>TIDAK ADA</t>
        </is>
      </c>
      <c r="CE552" s="362">
        <f>ROUND(BY552*$O552/1000,2)</f>
        <v/>
      </c>
      <c r="CF552" s="362">
        <f>ROUND(BZ552*$O552/1000,2)</f>
        <v/>
      </c>
      <c r="CG552" s="362">
        <f>ROUND(CA552*$O552/1000,2)</f>
        <v/>
      </c>
      <c r="CH552" s="362">
        <f>ROUND(CB552*$O552/1000,2)</f>
        <v/>
      </c>
      <c r="CI552" s="362">
        <f>SUM(CE552:CH552)</f>
        <v/>
      </c>
    </row>
    <row r="553">
      <c r="A553" s="441" t="n"/>
      <c r="B553" s="441" t="n"/>
      <c r="C553" s="441" t="n"/>
      <c r="D553" s="441" t="n"/>
      <c r="E553" s="436" t="inlineStr">
        <is>
          <t>7.50R15</t>
        </is>
      </c>
      <c r="F553" s="436" t="n"/>
      <c r="G553" s="436" t="inlineStr">
        <is>
          <t>7.50R15</t>
        </is>
      </c>
      <c r="H553" s="434" t="n"/>
      <c r="I553" s="434" t="n"/>
      <c r="J553" s="434" t="n"/>
      <c r="K553" s="434" t="n"/>
      <c r="L553" s="434" t="n"/>
      <c r="M553" s="438">
        <f>IF(K553="","",K553/(K553+#REF!/60))</f>
        <v/>
      </c>
      <c r="N553" s="434" t="n"/>
      <c r="O553" s="434" t="n">
        <v>1.769</v>
      </c>
      <c r="P553" s="434" t="n"/>
      <c r="Q553" s="434">
        <f>IFERROR(ROUND(1440/K553*I553*M553,0),"")</f>
        <v/>
      </c>
      <c r="R553" s="352" t="n">
        <v>250</v>
      </c>
      <c r="S553" s="352" t="n">
        <v>250</v>
      </c>
      <c r="T553" s="352" t="n">
        <v>250</v>
      </c>
      <c r="U553" s="352" t="n">
        <v>250</v>
      </c>
      <c r="V553" s="352" t="n">
        <v>250</v>
      </c>
      <c r="W553" s="352" t="n">
        <v>250</v>
      </c>
      <c r="X553" s="352" t="n">
        <v>250</v>
      </c>
      <c r="Y553" s="352" t="n">
        <v>250</v>
      </c>
      <c r="Z553" s="352" t="n">
        <v>250</v>
      </c>
      <c r="AA553" s="352" t="n">
        <v>250</v>
      </c>
      <c r="AB553" s="352" t="n">
        <v>250</v>
      </c>
      <c r="AC553" s="352" t="n">
        <v>250</v>
      </c>
      <c r="AD553" s="352" t="n">
        <v>250</v>
      </c>
      <c r="AE553" s="352" t="n">
        <v>250</v>
      </c>
      <c r="AF553" s="352" t="n">
        <v>250</v>
      </c>
      <c r="AG553" s="352" t="n">
        <v>250</v>
      </c>
      <c r="AH553" s="352" t="n">
        <v>250</v>
      </c>
      <c r="AI553" s="352" t="n">
        <v>250</v>
      </c>
      <c r="AJ553" s="352" t="n">
        <v>250</v>
      </c>
      <c r="AK553" s="352" t="n">
        <v>250</v>
      </c>
      <c r="AL553" s="352" t="n">
        <v>250</v>
      </c>
      <c r="AM553" s="352" t="n">
        <v>250</v>
      </c>
      <c r="AN553" s="352" t="n">
        <v>250</v>
      </c>
      <c r="AO553" s="352" t="n">
        <v>250</v>
      </c>
      <c r="AP553" s="352" t="n">
        <v>250</v>
      </c>
      <c r="AQ553" s="352" t="n">
        <v>250</v>
      </c>
      <c r="AR553" s="352" t="n">
        <v>250</v>
      </c>
      <c r="AS553" s="352" t="n">
        <v>250</v>
      </c>
      <c r="AT553" s="352" t="n">
        <v>250</v>
      </c>
      <c r="AU553" s="352" t="n">
        <v>250</v>
      </c>
      <c r="AV553" s="352" t="n">
        <v>250</v>
      </c>
      <c r="AW553" s="352">
        <f>IF(SUM(R553:AV553)=0,"",SUM(R553:AV553))</f>
        <v/>
      </c>
      <c r="AX553" s="431">
        <f>IFERROR(AW553*O553/1000,"")</f>
        <v/>
      </c>
      <c r="AY553" s="431">
        <f>IFERROR(ROUND(AW553*P553/10000,3),"")</f>
        <v/>
      </c>
      <c r="BE553" s="331">
        <f>SUM(BE543:BE551)</f>
        <v/>
      </c>
      <c r="BF553" s="331">
        <f>SUM(BF543:BF551)</f>
        <v/>
      </c>
      <c r="BG553" s="331">
        <f>SUM(BG543:BG551)</f>
        <v/>
      </c>
      <c r="BH553" s="331">
        <f>SUM(BH543:BH551)</f>
        <v/>
      </c>
      <c r="BJ553" s="356">
        <f t="array" ref="BJ553">SUMPRODUCT(IF(ISNUMBER(BJ543:BJ551),BJ543:BJ551,0),IF(ISERROR(BJ543:BJ551),0,1))</f>
        <v/>
      </c>
      <c r="BK553" s="356">
        <f t="array" ref="BK553">SUMPRODUCT(IF(ISNUMBER(BK543:BK551),BK543:BK551,0),IF(ISERROR(BK543:BK551),0,1))</f>
        <v/>
      </c>
      <c r="BL553" s="356">
        <f t="array" ref="BL553">SUMPRODUCT(IF(ISNUMBER(BL543:BL551),BL543:BL551,0),IF(ISERROR(BL543:BL551),0,1))</f>
        <v/>
      </c>
      <c r="BM553" s="356">
        <f t="array" ref="BM553">SUMPRODUCT(IF(ISNUMBER(BM543:BM551),BM543:BM551,0),IF(ISERROR(BM543:BM551),0,1))</f>
        <v/>
      </c>
      <c r="BN553" s="362">
        <f>SUM(BJ553:BM553)</f>
        <v/>
      </c>
      <c r="BO553" s="362" t="n">
        <v>128.28</v>
      </c>
      <c r="BP553" s="362" t="n">
        <v>128.28</v>
      </c>
      <c r="BQ553" s="362" t="n">
        <v>146.62</v>
      </c>
      <c r="BR553" s="362" t="n">
        <v>164.95</v>
      </c>
      <c r="BY553" s="362">
        <f>SUM(R553:X553)</f>
        <v/>
      </c>
      <c r="BZ553" s="362">
        <f>SUM(Y553:AE553)</f>
        <v/>
      </c>
      <c r="CA553" s="362">
        <f>SUM(AF553:AM553)</f>
        <v/>
      </c>
      <c r="CB553" s="362">
        <f>SUM(AN553:AV553)</f>
        <v/>
      </c>
      <c r="CD553" s="440" t="inlineStr">
        <is>
          <t>TIDAK ADA</t>
        </is>
      </c>
      <c r="CE553" s="362">
        <f>ROUND(BY553*$O553/1000,2)</f>
        <v/>
      </c>
      <c r="CF553" s="362">
        <f>ROUND(BZ553*$O553/1000,2)</f>
        <v/>
      </c>
      <c r="CG553" s="362">
        <f>ROUND(CA553*$O553/1000,2)</f>
        <v/>
      </c>
      <c r="CH553" s="362">
        <f>ROUND(CB553*$O553/1000,2)</f>
        <v/>
      </c>
      <c r="CI553" s="362">
        <f>SUM(CE553:CH553)</f>
        <v/>
      </c>
    </row>
    <row r="554" hidden="1" s="428">
      <c r="A554" s="441" t="n"/>
      <c r="B554" s="441" t="n"/>
      <c r="C554" s="441" t="n"/>
      <c r="D554" s="441" t="n"/>
      <c r="E554" s="436" t="inlineStr">
        <is>
          <t>7.00R15</t>
        </is>
      </c>
      <c r="F554" s="436" t="n"/>
      <c r="G554" s="436" t="inlineStr">
        <is>
          <t>7.00R15</t>
        </is>
      </c>
      <c r="H554" s="434" t="n"/>
      <c r="I554" s="434" t="n"/>
      <c r="J554" s="434" t="n"/>
      <c r="K554" s="434" t="n"/>
      <c r="L554" s="434" t="n"/>
      <c r="M554" s="438">
        <f>IF(K554="","",K554/(K554+$L$175/60))</f>
        <v/>
      </c>
      <c r="N554" s="434" t="n"/>
      <c r="O554" s="434" t="n"/>
      <c r="P554" s="434" t="n"/>
      <c r="Q554" s="434">
        <f>IFERROR(ROUND(1440/K554*I554*M554,0),"")</f>
        <v/>
      </c>
      <c r="R554" s="352" t="n"/>
      <c r="S554" s="352" t="n"/>
      <c r="T554" s="352" t="n"/>
      <c r="U554" s="352" t="n"/>
      <c r="V554" s="352" t="n"/>
      <c r="W554" s="352" t="n"/>
      <c r="X554" s="352" t="n"/>
      <c r="Y554" s="352" t="n"/>
      <c r="Z554" s="352" t="n"/>
      <c r="AA554" s="352" t="n"/>
      <c r="AB554" s="352" t="n"/>
      <c r="AC554" s="352" t="n"/>
      <c r="AD554" s="352" t="n"/>
      <c r="AE554" s="352" t="n"/>
      <c r="AF554" s="352" t="n"/>
      <c r="AG554" s="352" t="n"/>
      <c r="AH554" s="352" t="n"/>
      <c r="AI554" s="352" t="n"/>
      <c r="AJ554" s="352" t="n"/>
      <c r="AK554" s="352" t="n"/>
      <c r="AL554" s="352" t="n"/>
      <c r="AM554" s="352" t="n"/>
      <c r="AN554" s="352" t="n"/>
      <c r="AO554" s="352" t="n"/>
      <c r="AP554" s="352" t="n"/>
      <c r="AQ554" s="352" t="n"/>
      <c r="AR554" s="352" t="n"/>
      <c r="AS554" s="352" t="n"/>
      <c r="AT554" s="352" t="n"/>
      <c r="AU554" s="352" t="n"/>
      <c r="AV554" s="352" t="n"/>
      <c r="AW554" s="352">
        <f>IF(SUM(R554:AV554)=0,"",SUM(R554:AV554))</f>
        <v/>
      </c>
      <c r="AX554" s="431">
        <f>IFERROR(AW554*O554/1000,"")</f>
        <v/>
      </c>
      <c r="AY554" s="431">
        <f>IFERROR(ROUND(AW554*P554/10000,3),"")</f>
        <v/>
      </c>
      <c r="BJ554" s="356" t="n"/>
      <c r="BO554" s="362" t="n">
        <v>3120</v>
      </c>
      <c r="BP554" s="362" t="n">
        <v>3360</v>
      </c>
      <c r="BQ554" s="362" t="n">
        <v>3840</v>
      </c>
      <c r="BR554" s="362" t="n">
        <v>4320</v>
      </c>
      <c r="BY554" s="362">
        <f>SUM(BY543:BY553)</f>
        <v/>
      </c>
      <c r="BZ554" s="362">
        <f>SUM(BZ543:BZ553)</f>
        <v/>
      </c>
      <c r="CA554" s="362">
        <f>SUM(CA543:CA553)</f>
        <v/>
      </c>
      <c r="CB554" s="362">
        <f>SUM(CB543:CB553)</f>
        <v/>
      </c>
      <c r="CD554" s="440" t="inlineStr">
        <is>
          <t>TIDAK ADA</t>
        </is>
      </c>
      <c r="CE554" s="362">
        <f>SUM(CE543:CE553)</f>
        <v/>
      </c>
      <c r="CF554" s="362">
        <f>SUM(CF543:CF553)</f>
        <v/>
      </c>
      <c r="CG554" s="362">
        <f>SUM(CG543:CG553)</f>
        <v/>
      </c>
      <c r="CH554" s="362">
        <f>SUM(CH543:CH553)</f>
        <v/>
      </c>
      <c r="CI554" s="362">
        <f>SUM(CI543:CI553)</f>
        <v/>
      </c>
    </row>
    <row r="555">
      <c r="Q555" s="331" t="n">
        <v>3.7</v>
      </c>
      <c r="R555" s="331">
        <f>SUM(R543:R554)</f>
        <v/>
      </c>
      <c r="S555" s="331">
        <f>SUM(S543:S554)</f>
        <v/>
      </c>
      <c r="T555" s="331">
        <f>SUM(T543:T554)</f>
        <v/>
      </c>
      <c r="U555" s="331">
        <f>SUM(U543:U554)</f>
        <v/>
      </c>
      <c r="V555" s="331">
        <f>SUM(V543:V554)</f>
        <v/>
      </c>
      <c r="W555" s="331">
        <f>SUM(W543:W554)</f>
        <v/>
      </c>
      <c r="X555" s="331">
        <f>SUM(X543:X554)</f>
        <v/>
      </c>
      <c r="Y555" s="331">
        <f>SUM(Y543:Y554)</f>
        <v/>
      </c>
      <c r="Z555" s="331">
        <f>SUM(Z543:Z554)</f>
        <v/>
      </c>
      <c r="AA555" s="331">
        <f>SUM(AA543:AA554)</f>
        <v/>
      </c>
      <c r="AB555" s="331">
        <f>SUM(AB543:AB554)</f>
        <v/>
      </c>
      <c r="AC555" s="331">
        <f>SUM(AC543:AC554)</f>
        <v/>
      </c>
      <c r="AD555" s="331">
        <f>SUM(AD543:AD554)</f>
        <v/>
      </c>
      <c r="AE555" s="331">
        <f>SUM(AE543:AE554)</f>
        <v/>
      </c>
      <c r="AF555" s="331">
        <f>SUM(AF543:AF554)</f>
        <v/>
      </c>
      <c r="AG555" s="331">
        <f>SUM(AG543:AG554)</f>
        <v/>
      </c>
      <c r="AH555" s="331">
        <f>SUM(AH543:AH554)</f>
        <v/>
      </c>
      <c r="AI555" s="331">
        <f>SUM(AI543:AI554)</f>
        <v/>
      </c>
      <c r="AJ555" s="331">
        <f>SUM(AJ543:AJ554)</f>
        <v/>
      </c>
      <c r="AK555" s="331">
        <f>SUM(AK543:AK554)</f>
        <v/>
      </c>
      <c r="AL555" s="331">
        <f>SUM(AL543:AL554)</f>
        <v/>
      </c>
      <c r="AM555" s="331">
        <f>SUM(AM543:AM554)</f>
        <v/>
      </c>
      <c r="AN555" s="331">
        <f>SUM(AN543:AN554)</f>
        <v/>
      </c>
      <c r="AO555" s="331">
        <f>SUM(AO543:AO554)</f>
        <v/>
      </c>
      <c r="AP555" s="331">
        <f>SUM(AP543:AP554)</f>
        <v/>
      </c>
      <c r="AQ555" s="331">
        <f>SUM(AQ543:AQ554)</f>
        <v/>
      </c>
      <c r="AR555" s="331">
        <f>SUM(AR543:AR554)</f>
        <v/>
      </c>
      <c r="AS555" s="331">
        <f>SUM(AS543:AS554)</f>
        <v/>
      </c>
      <c r="AT555" s="331">
        <f>SUM(AT543:AT554)</f>
        <v/>
      </c>
      <c r="AU555" s="331">
        <f>SUM(AU543:AU554)</f>
        <v/>
      </c>
      <c r="AV555" s="331">
        <f>SUM(AV543:AV554)</f>
        <v/>
      </c>
      <c r="AW555" s="352">
        <f>SUM(AW543:AW554)</f>
        <v/>
      </c>
      <c r="AX555" s="431">
        <f>SUM(AX543:AX554)</f>
        <v/>
      </c>
      <c r="AY555" s="431">
        <f>SUM(AY543:AY554)</f>
        <v/>
      </c>
      <c r="BJ555" s="356" t="n"/>
      <c r="BO555" s="362" t="n">
        <v>4810</v>
      </c>
      <c r="BP555" s="362" t="n">
        <v>5180</v>
      </c>
      <c r="BQ555" s="362" t="n">
        <v>5920</v>
      </c>
      <c r="BR555" s="362" t="n">
        <v>6660</v>
      </c>
      <c r="CK555" s="362">
        <f>SUBTOTAL(9,CK543:CK554)</f>
        <v/>
      </c>
      <c r="CL555" s="362">
        <f>SUBTOTAL(9,CL543:CL554)</f>
        <v/>
      </c>
      <c r="CM555" s="362">
        <f>SUBTOTAL(9,CM543:CM554)</f>
        <v/>
      </c>
      <c r="CN555" s="362">
        <f>SUBTOTAL(9,CN543:CN554)</f>
        <v/>
      </c>
    </row>
    <row r="556">
      <c r="AW556" s="331">
        <f>ROUND(AW555/31,0)</f>
        <v/>
      </c>
      <c r="AX556" s="451">
        <f>ROUND(AX555/31,3)</f>
        <v/>
      </c>
      <c r="AY556" s="451">
        <f>AY555/31</f>
        <v/>
      </c>
      <c r="BJ556" s="356" t="n"/>
      <c r="BK556" s="356" t="n"/>
      <c r="BL556" s="356" t="n"/>
      <c r="BM556" s="356" t="n"/>
      <c r="BO556" s="362" t="n">
        <v>5200</v>
      </c>
      <c r="BP556" s="362" t="n">
        <v>5600</v>
      </c>
      <c r="BQ556" s="362" t="n">
        <v>6400</v>
      </c>
      <c r="BR556" s="362" t="n">
        <v>7200</v>
      </c>
    </row>
    <row r="557" hidden="1" s="428">
      <c r="G557" s="362" t="n"/>
      <c r="H557" s="390" t="n"/>
      <c r="R557" s="331" t="n"/>
      <c r="BJ557" s="356" t="n"/>
      <c r="BO557" s="362" t="n">
        <v>5200</v>
      </c>
      <c r="BP557" s="362" t="n">
        <v>5600</v>
      </c>
      <c r="BQ557" s="362" t="n">
        <v>6400</v>
      </c>
      <c r="BR557" s="362" t="n">
        <v>7200</v>
      </c>
    </row>
    <row r="558" ht="31.2" customHeight="1" s="428">
      <c r="A558" s="441" t="n"/>
      <c r="B558" s="441" t="n"/>
      <c r="C558" s="441" t="n"/>
      <c r="D558" s="441" t="n"/>
      <c r="E558" s="444" t="inlineStr">
        <is>
          <t>规格花纹</t>
        </is>
      </c>
      <c r="F558" s="444" t="n"/>
      <c r="G558" s="443" t="inlineStr">
        <is>
          <t>垫带</t>
        </is>
      </c>
      <c r="H558" s="443" t="n"/>
      <c r="I558" s="443" t="inlineStr">
        <is>
          <t>模具</t>
        </is>
      </c>
      <c r="J558" s="443" t="inlineStr">
        <is>
          <t>品牌</t>
        </is>
      </c>
      <c r="K558" s="446" t="n"/>
      <c r="L558" s="446" t="n"/>
      <c r="M558" s="443" t="inlineStr">
        <is>
          <t>运转率</t>
        </is>
      </c>
      <c r="N558" s="443" t="inlineStr">
        <is>
          <t>计划数</t>
        </is>
      </c>
      <c r="O558" s="443" t="inlineStr">
        <is>
          <t>单胎重量</t>
        </is>
      </c>
      <c r="P558" s="443" t="inlineStr">
        <is>
          <t>中策价</t>
        </is>
      </c>
      <c r="Q558" s="446" t="inlineStr">
        <is>
          <t>硫化机                          条/天</t>
        </is>
      </c>
      <c r="R558" s="334" t="n">
        <v>1</v>
      </c>
      <c r="S558" s="334" t="n">
        <v>2</v>
      </c>
      <c r="T558" s="334" t="n">
        <v>3</v>
      </c>
      <c r="U558" s="334" t="n">
        <v>4</v>
      </c>
      <c r="V558" s="334" t="n">
        <v>5</v>
      </c>
      <c r="W558" s="334" t="n">
        <v>6</v>
      </c>
      <c r="X558" s="334" t="n">
        <v>7</v>
      </c>
      <c r="Y558" s="334" t="n">
        <v>8</v>
      </c>
      <c r="Z558" s="334" t="n">
        <v>9</v>
      </c>
      <c r="AA558" s="334" t="n">
        <v>10</v>
      </c>
      <c r="AB558" s="334" t="n">
        <v>11</v>
      </c>
      <c r="AC558" s="334" t="n">
        <v>12</v>
      </c>
      <c r="AD558" s="334" t="n">
        <v>13</v>
      </c>
      <c r="AE558" s="334" t="n">
        <v>14</v>
      </c>
      <c r="AF558" s="334" t="n">
        <v>15</v>
      </c>
      <c r="AG558" s="334" t="n">
        <v>16</v>
      </c>
      <c r="AH558" s="334" t="n">
        <v>17</v>
      </c>
      <c r="AI558" s="334" t="n">
        <v>18</v>
      </c>
      <c r="AJ558" s="334" t="n">
        <v>19</v>
      </c>
      <c r="AK558" s="334" t="n">
        <v>20</v>
      </c>
      <c r="AL558" s="334" t="n">
        <v>21</v>
      </c>
      <c r="AM558" s="334" t="n">
        <v>22</v>
      </c>
      <c r="AN558" s="334" t="n">
        <v>23</v>
      </c>
      <c r="AO558" s="334" t="n">
        <v>24</v>
      </c>
      <c r="AP558" s="334" t="n">
        <v>25</v>
      </c>
      <c r="AQ558" s="334" t="n">
        <v>26</v>
      </c>
      <c r="AR558" s="334" t="n">
        <v>27</v>
      </c>
      <c r="AS558" s="334" t="n">
        <v>28</v>
      </c>
      <c r="AT558" s="334" t="n">
        <v>29</v>
      </c>
      <c r="AU558" s="334" t="n">
        <v>30</v>
      </c>
      <c r="AV558" s="334" t="n">
        <v>31</v>
      </c>
      <c r="AW558" s="352" t="inlineStr">
        <is>
          <t>合计</t>
        </is>
      </c>
      <c r="AX558" s="341" t="inlineStr">
        <is>
          <t>吨位</t>
        </is>
      </c>
      <c r="AY558" s="341" t="inlineStr">
        <is>
          <t>产值</t>
        </is>
      </c>
      <c r="BN558" s="362">
        <f>SUM(BN554:BN557)</f>
        <v/>
      </c>
      <c r="CD558" s="440" t="inlineStr">
        <is>
          <t>TIDAK ADA</t>
        </is>
      </c>
    </row>
    <row r="559">
      <c r="A559" s="441" t="n"/>
      <c r="B559" s="441" t="n"/>
      <c r="C559" s="441" t="n"/>
      <c r="D559" s="441" t="n"/>
      <c r="E559" s="436" t="inlineStr">
        <is>
          <t>12.00R24</t>
        </is>
      </c>
      <c r="F559" s="436" t="n"/>
      <c r="G559" s="436" t="inlineStr">
        <is>
          <t>12.00R24</t>
        </is>
      </c>
      <c r="H559" s="434" t="n"/>
      <c r="I559" s="434" t="n">
        <v>2</v>
      </c>
      <c r="J559" s="434" t="n"/>
      <c r="K559" s="434" t="n"/>
      <c r="L559" s="434" t="n"/>
      <c r="M559" s="438" t="n">
        <v>0.76</v>
      </c>
      <c r="N559" s="434" t="n"/>
      <c r="O559" s="434" t="n">
        <v>3.15</v>
      </c>
      <c r="P559" s="434" t="n">
        <v>22.42</v>
      </c>
      <c r="Q559" s="434">
        <f>IFERROR(ROUND(1440/K559*I559*M559,0),"")</f>
        <v/>
      </c>
      <c r="R559" s="352" t="n">
        <v>240</v>
      </c>
      <c r="S559" s="352" t="n">
        <v>240</v>
      </c>
      <c r="T559" s="352" t="n">
        <v>240</v>
      </c>
      <c r="U559" s="352" t="n">
        <v>240</v>
      </c>
      <c r="V559" s="352" t="n">
        <v>240</v>
      </c>
      <c r="W559" s="352" t="n">
        <v>240</v>
      </c>
      <c r="X559" s="352" t="n">
        <v>240</v>
      </c>
      <c r="Y559" s="352" t="n">
        <v>240</v>
      </c>
      <c r="Z559" s="352" t="n">
        <v>240</v>
      </c>
      <c r="AA559" s="352" t="n">
        <v>240</v>
      </c>
      <c r="AB559" s="352" t="n">
        <v>240</v>
      </c>
      <c r="AC559" s="352" t="n">
        <v>240</v>
      </c>
      <c r="AD559" s="352" t="n">
        <v>240</v>
      </c>
      <c r="AE559" s="352" t="n">
        <v>240</v>
      </c>
      <c r="AF559" s="352" t="n">
        <v>240</v>
      </c>
      <c r="AG559" s="352" t="n">
        <v>240</v>
      </c>
      <c r="AH559" s="352" t="n">
        <v>240</v>
      </c>
      <c r="AI559" s="352" t="n">
        <v>240</v>
      </c>
      <c r="AJ559" s="352" t="n">
        <v>240</v>
      </c>
      <c r="AK559" s="352" t="n">
        <v>240</v>
      </c>
      <c r="AL559" s="352" t="n">
        <v>240</v>
      </c>
      <c r="AM559" s="352" t="n">
        <v>240</v>
      </c>
      <c r="AN559" s="352" t="n">
        <v>240</v>
      </c>
      <c r="AO559" s="352" t="n">
        <v>240</v>
      </c>
      <c r="AP559" s="352" t="n">
        <v>240</v>
      </c>
      <c r="AQ559" s="352" t="n">
        <v>240</v>
      </c>
      <c r="AR559" s="352" t="n">
        <v>240</v>
      </c>
      <c r="AS559" s="352" t="n">
        <v>240</v>
      </c>
      <c r="AT559" s="352" t="n">
        <v>240</v>
      </c>
      <c r="AU559" s="352" t="n">
        <v>240</v>
      </c>
      <c r="AV559" s="352" t="n">
        <v>240</v>
      </c>
      <c r="AW559" s="352">
        <f>IF(SUM(R559:AV559)=0,"",SUM(R559:AV559))</f>
        <v/>
      </c>
      <c r="AX559" s="431">
        <f>IFERROR(AW559*O559/1000,"")</f>
        <v/>
      </c>
      <c r="AY559" s="431">
        <f>IFERROR(ROUND(AW559*P559/10000,3),"")</f>
        <v/>
      </c>
      <c r="AZ559" s="455" t="n">
        <v>53.4507</v>
      </c>
      <c r="BA559" s="352" t="n">
        <v>2.9757</v>
      </c>
      <c r="BB559" s="352" t="n">
        <v>3.4767</v>
      </c>
      <c r="BC559" s="352" t="n">
        <v>2.5962</v>
      </c>
      <c r="BE559" s="331">
        <f>AZ559*AW559</f>
        <v/>
      </c>
      <c r="BF559" s="331">
        <f>BA559*AW559</f>
        <v/>
      </c>
      <c r="BG559" s="331">
        <f>BB559*AW559</f>
        <v/>
      </c>
      <c r="BH559" s="331">
        <f>BC559*AW559</f>
        <v/>
      </c>
      <c r="BJ559" s="356">
        <f t="array" ref="BJ559:BM559">_xlfn.LET(_xlpm.data,$R559:$AV559,_xlpm.starts,{1,8,16,23},_xlpm.lengths,{7,7,8,9},_xlpm.arr,_xlfn.MAP(_xlpm.starts,_xlpm.lengths,_xlfn.LAMBDA(_xlpm.s,_xlpm.l,SUM(INDEX(_xlpm.data,,_xlfn.SEQUENCE(,_xlpm.l,_xlpm.s))))),ROUND(_xlpm.arr*$O559/1000,2))</f>
        <v/>
      </c>
      <c r="BK559" s="356" t="n">
        <v>5.29</v>
      </c>
      <c r="BL559" s="356" t="n">
        <v>6.05</v>
      </c>
      <c r="BM559" s="356" t="n">
        <v>6.8</v>
      </c>
      <c r="BN559" s="362">
        <f>SUM(BJ559:BM559)</f>
        <v/>
      </c>
      <c r="BO559" s="362" t="n">
        <v>15.35</v>
      </c>
      <c r="BP559" s="362" t="n">
        <v>15.35</v>
      </c>
      <c r="BQ559" s="362" t="n">
        <v>17.54</v>
      </c>
      <c r="BR559" s="362" t="n">
        <v>19.74</v>
      </c>
      <c r="BY559" s="362">
        <f>SUM(R559:X559)</f>
        <v/>
      </c>
      <c r="BZ559" s="362">
        <f>SUM(Y559:AE559)</f>
        <v/>
      </c>
      <c r="CA559" s="362">
        <f>SUM(AF559:AM559)</f>
        <v/>
      </c>
      <c r="CB559" s="362">
        <f>SUM(AN559:AV559)</f>
        <v/>
      </c>
      <c r="CD559" s="440" t="inlineStr">
        <is>
          <t>TIDAK ADA</t>
        </is>
      </c>
      <c r="CE559" s="362">
        <f>ROUND(BY559*$O559/1000,2)</f>
        <v/>
      </c>
      <c r="CF559" s="362">
        <f>ROUND(BZ559*$O559/1000,2)</f>
        <v/>
      </c>
      <c r="CG559" s="362">
        <f>ROUND(CA559*$O559/1000,2)</f>
        <v/>
      </c>
      <c r="CH559" s="362">
        <f>ROUND(CB559*$O559/1000,2)</f>
        <v/>
      </c>
      <c r="CI559" s="362">
        <f>SUM(CE559:CH559)</f>
        <v/>
      </c>
      <c r="CK559" s="362">
        <f>ROUND(BY559*$P559,2)</f>
        <v/>
      </c>
      <c r="CL559" s="362">
        <f>ROUND(BZ559*$P559,2)</f>
        <v/>
      </c>
      <c r="CM559" s="362">
        <f>ROUND(CA559*$P559,2)</f>
        <v/>
      </c>
      <c r="CN559" s="362">
        <f>ROUND(CB559*$P559,2)</f>
        <v/>
      </c>
      <c r="CO559" s="362">
        <f>SUM(CK559:CN559)</f>
        <v/>
      </c>
    </row>
    <row r="560">
      <c r="A560" s="441" t="n"/>
      <c r="B560" s="441" t="n"/>
      <c r="C560" s="441" t="n"/>
      <c r="D560" s="441" t="n"/>
      <c r="E560" s="436" t="inlineStr">
        <is>
          <t>12.00R24</t>
        </is>
      </c>
      <c r="F560" s="436" t="n"/>
      <c r="G560" s="436" t="inlineStr">
        <is>
          <t>12.00R20</t>
        </is>
      </c>
      <c r="H560" s="434" t="n"/>
      <c r="I560" s="434" t="n">
        <v>4</v>
      </c>
      <c r="J560" s="434" t="n"/>
      <c r="K560" s="434" t="n"/>
      <c r="L560" s="434" t="n"/>
      <c r="M560" s="438" t="n">
        <v>0.76</v>
      </c>
      <c r="N560" s="434" t="n"/>
      <c r="O560" s="434" t="n">
        <v>3</v>
      </c>
      <c r="P560" s="434" t="n">
        <v>20.42</v>
      </c>
      <c r="Q560" s="434">
        <f>IFERROR(ROUND(1440/K560*I560*M560,0),"")</f>
        <v/>
      </c>
      <c r="R560" s="352" t="n">
        <v>500</v>
      </c>
      <c r="S560" s="352" t="n">
        <v>500</v>
      </c>
      <c r="T560" s="352" t="n">
        <v>500</v>
      </c>
      <c r="U560" s="352" t="n">
        <v>500</v>
      </c>
      <c r="V560" s="352" t="n">
        <v>500</v>
      </c>
      <c r="W560" s="352" t="n">
        <v>500</v>
      </c>
      <c r="X560" s="352" t="n">
        <v>500</v>
      </c>
      <c r="Y560" s="352" t="n">
        <v>500</v>
      </c>
      <c r="Z560" s="352" t="n">
        <v>500</v>
      </c>
      <c r="AA560" s="352" t="n">
        <v>500</v>
      </c>
      <c r="AB560" s="352" t="n">
        <v>500</v>
      </c>
      <c r="AC560" s="352" t="n">
        <v>500</v>
      </c>
      <c r="AD560" s="352" t="n">
        <v>500</v>
      </c>
      <c r="AE560" s="352" t="n">
        <v>500</v>
      </c>
      <c r="AF560" s="352" t="n">
        <v>500</v>
      </c>
      <c r="AG560" s="352" t="n">
        <v>500</v>
      </c>
      <c r="AH560" s="352" t="n">
        <v>500</v>
      </c>
      <c r="AI560" s="352" t="n">
        <v>500</v>
      </c>
      <c r="AJ560" s="352" t="n">
        <v>500</v>
      </c>
      <c r="AK560" s="352" t="n">
        <v>500</v>
      </c>
      <c r="AL560" s="352" t="n">
        <v>500</v>
      </c>
      <c r="AM560" s="352" t="n">
        <v>500</v>
      </c>
      <c r="AN560" s="352" t="n">
        <v>500</v>
      </c>
      <c r="AO560" s="352" t="n">
        <v>500</v>
      </c>
      <c r="AP560" s="352" t="n">
        <v>500</v>
      </c>
      <c r="AQ560" s="352" t="n">
        <v>500</v>
      </c>
      <c r="AR560" s="352" t="n">
        <v>500</v>
      </c>
      <c r="AS560" s="352" t="n">
        <v>500</v>
      </c>
      <c r="AT560" s="352" t="n">
        <v>500</v>
      </c>
      <c r="AU560" s="352" t="n">
        <v>500</v>
      </c>
      <c r="AV560" s="352" t="n">
        <v>500</v>
      </c>
      <c r="AW560" s="352">
        <f>IF(SUM(R560:AV560)=0,"",SUM(R560:AV560))</f>
        <v/>
      </c>
      <c r="AX560" s="431">
        <f>IFERROR(AW560*O560/1000,"")</f>
        <v/>
      </c>
      <c r="AY560" s="431">
        <f>IFERROR(ROUND(AW560*P560/10000,3),"")</f>
        <v/>
      </c>
      <c r="AZ560" s="455" t="n">
        <v>53.4507</v>
      </c>
      <c r="BA560" s="352" t="n">
        <v>2.9757</v>
      </c>
      <c r="BB560" s="352" t="n">
        <v>3.4767</v>
      </c>
      <c r="BC560" s="352" t="n">
        <v>2.5962</v>
      </c>
      <c r="BE560" s="331">
        <f>AZ560*AW560</f>
        <v/>
      </c>
      <c r="BF560" s="331">
        <f>BA560*AW560</f>
        <v/>
      </c>
      <c r="BG560" s="331">
        <f>BB560*AW560</f>
        <v/>
      </c>
      <c r="BH560" s="331">
        <f>BC560*AW560</f>
        <v/>
      </c>
      <c r="BJ560" s="356">
        <f t="array" ref="BJ560:BM560">_xlfn.LET(_xlpm.data,$R560:$AV560,_xlpm.starts,{1,8,16,23},_xlpm.lengths,{7,7,8,9},_xlpm.arr,_xlfn.MAP(_xlpm.starts,_xlpm.lengths,_xlfn.LAMBDA(_xlpm.s,_xlpm.l,SUM(INDEX(_xlpm.data,,_xlfn.SEQUENCE(,_xlpm.l,_xlpm.s))))),ROUND(_xlpm.arr*$O560/1000,2))</f>
        <v/>
      </c>
      <c r="BK560" s="356" t="n">
        <v>10.5</v>
      </c>
      <c r="BL560" s="356" t="n">
        <v>12</v>
      </c>
      <c r="BM560" s="356" t="n">
        <v>13.5</v>
      </c>
      <c r="BN560" s="362">
        <f>SUM(BJ560:BM560)</f>
        <v/>
      </c>
      <c r="BO560" s="362" t="n">
        <v>15.35</v>
      </c>
      <c r="BP560" s="362" t="n">
        <v>15.35</v>
      </c>
      <c r="BQ560" s="362" t="n">
        <v>17.54</v>
      </c>
      <c r="BR560" s="362" t="n">
        <v>19.74</v>
      </c>
      <c r="BY560" s="362">
        <f>SUM(R560:X560)</f>
        <v/>
      </c>
      <c r="BZ560" s="362">
        <f>SUM(Y560:AE560)</f>
        <v/>
      </c>
      <c r="CA560" s="362">
        <f>SUM(AF560:AM560)</f>
        <v/>
      </c>
      <c r="CB560" s="362">
        <f>SUM(AN560:AV560)</f>
        <v/>
      </c>
      <c r="CD560" s="440" t="inlineStr">
        <is>
          <t>TIDAK ADA</t>
        </is>
      </c>
      <c r="CE560" s="362">
        <f>ROUND(BY560*$O560/1000,2)</f>
        <v/>
      </c>
      <c r="CF560" s="362">
        <f>ROUND(BZ560*$O560/1000,2)</f>
        <v/>
      </c>
      <c r="CG560" s="362">
        <f>ROUND(CA560*$O560/1000,2)</f>
        <v/>
      </c>
      <c r="CH560" s="362">
        <f>ROUND(CB560*$O560/1000,2)</f>
        <v/>
      </c>
      <c r="CI560" s="362">
        <f>SUM(CE560:CH560)</f>
        <v/>
      </c>
      <c r="CK560" s="362">
        <f>ROUND(BY560*$P560,2)</f>
        <v/>
      </c>
      <c r="CL560" s="362">
        <f>ROUND(BZ560*$P560,2)</f>
        <v/>
      </c>
      <c r="CM560" s="362">
        <f>ROUND(CA560*$P560,2)</f>
        <v/>
      </c>
      <c r="CN560" s="362">
        <f>ROUND(CB560*$P560,2)</f>
        <v/>
      </c>
      <c r="CO560" s="362">
        <f>SUM(CK560:CN560)</f>
        <v/>
      </c>
    </row>
    <row r="561">
      <c r="A561" s="441" t="n"/>
      <c r="B561" s="441" t="n"/>
      <c r="C561" s="441" t="n"/>
      <c r="D561" s="441" t="n"/>
      <c r="E561" s="436" t="inlineStr">
        <is>
          <t>12.00R20</t>
        </is>
      </c>
      <c r="F561" s="436" t="n"/>
      <c r="G561" s="436" t="inlineStr">
        <is>
          <t>7.50R16</t>
        </is>
      </c>
      <c r="H561" s="434" t="n"/>
      <c r="I561" s="434" t="n">
        <v>2</v>
      </c>
      <c r="J561" s="434" t="n"/>
      <c r="K561" s="434" t="n"/>
      <c r="L561" s="434" t="n"/>
      <c r="M561" s="438" t="n">
        <v>0.76</v>
      </c>
      <c r="N561" s="434" t="n"/>
      <c r="O561" s="434" t="n">
        <v>1.6</v>
      </c>
      <c r="P561" s="434" t="n">
        <v>13</v>
      </c>
      <c r="Q561" s="434">
        <f>IFERROR(ROUND(1440/K561*I561*M561,0),"")</f>
        <v/>
      </c>
      <c r="R561" s="352" t="n">
        <v>440</v>
      </c>
      <c r="S561" s="352" t="n">
        <v>440</v>
      </c>
      <c r="T561" s="352" t="n">
        <v>440</v>
      </c>
      <c r="U561" s="352" t="n">
        <v>440</v>
      </c>
      <c r="V561" s="352" t="n">
        <v>440</v>
      </c>
      <c r="W561" s="352" t="n">
        <v>440</v>
      </c>
      <c r="X561" s="352" t="n">
        <v>440</v>
      </c>
      <c r="Y561" s="352" t="n">
        <v>440</v>
      </c>
      <c r="Z561" s="352" t="n">
        <v>440</v>
      </c>
      <c r="AA561" s="352" t="n">
        <v>440</v>
      </c>
      <c r="AB561" s="352" t="n">
        <v>440</v>
      </c>
      <c r="AC561" s="352" t="n">
        <v>440</v>
      </c>
      <c r="AD561" s="352" t="n">
        <v>440</v>
      </c>
      <c r="AE561" s="352" t="n">
        <v>440</v>
      </c>
      <c r="AF561" s="352" t="n">
        <v>440</v>
      </c>
      <c r="AG561" s="352" t="n">
        <v>440</v>
      </c>
      <c r="AH561" s="352" t="n">
        <v>440</v>
      </c>
      <c r="AI561" s="352" t="n">
        <v>440</v>
      </c>
      <c r="AJ561" s="352" t="n">
        <v>440</v>
      </c>
      <c r="AK561" s="352" t="n">
        <v>440</v>
      </c>
      <c r="AL561" s="352" t="n">
        <v>440</v>
      </c>
      <c r="AM561" s="352" t="n">
        <v>440</v>
      </c>
      <c r="AN561" s="352" t="n">
        <v>440</v>
      </c>
      <c r="AO561" s="352" t="n">
        <v>440</v>
      </c>
      <c r="AP561" s="352" t="n">
        <v>440</v>
      </c>
      <c r="AQ561" s="352" t="n">
        <v>440</v>
      </c>
      <c r="AR561" s="352" t="n">
        <v>440</v>
      </c>
      <c r="AS561" s="352" t="n">
        <v>440</v>
      </c>
      <c r="AT561" s="352" t="n">
        <v>440</v>
      </c>
      <c r="AU561" s="352" t="n">
        <v>440</v>
      </c>
      <c r="AV561" s="352" t="n">
        <v>440</v>
      </c>
      <c r="AW561" s="352">
        <f>IF(SUM(R561:AV561)=0,"",SUM(R561:AV561))</f>
        <v/>
      </c>
      <c r="AX561" s="431">
        <f>IFERROR(AW561*O561/1000,"")</f>
        <v/>
      </c>
      <c r="AY561" s="431">
        <f>IFERROR(ROUND(AW561*P561/10000,3),"")</f>
        <v/>
      </c>
      <c r="AZ561" s="455" t="n">
        <v>53.4507</v>
      </c>
      <c r="BA561" s="352" t="n">
        <v>2.9757</v>
      </c>
      <c r="BB561" s="352" t="n">
        <v>3.4767</v>
      </c>
      <c r="BC561" s="352" t="n">
        <v>2.5962</v>
      </c>
      <c r="BE561" s="331">
        <f>AZ561*AW561</f>
        <v/>
      </c>
      <c r="BF561" s="331">
        <f>BA561*AW561</f>
        <v/>
      </c>
      <c r="BG561" s="331">
        <f>BB561*AW561</f>
        <v/>
      </c>
      <c r="BH561" s="331">
        <f>BC561*AW561</f>
        <v/>
      </c>
      <c r="BJ561" s="356">
        <f t="array" ref="BJ561:BM561">_xlfn.LET(_xlpm.data,$R561:$AV561,_xlpm.starts,{1,8,16,23},_xlpm.lengths,{7,7,8,9},_xlpm.arr,_xlfn.MAP(_xlpm.starts,_xlpm.lengths,_xlfn.LAMBDA(_xlpm.s,_xlpm.l,SUM(INDEX(_xlpm.data,,_xlfn.SEQUENCE(,_xlpm.l,_xlpm.s))))),ROUND(_xlpm.arr*$O561/1000,2))</f>
        <v/>
      </c>
      <c r="BK561" s="356" t="n">
        <v>4.93</v>
      </c>
      <c r="BL561" s="356" t="n">
        <v>5.63</v>
      </c>
      <c r="BM561" s="356" t="n">
        <v>6.34</v>
      </c>
      <c r="BN561" s="362">
        <f>SUM(BJ561:BM561)</f>
        <v/>
      </c>
      <c r="BO561" s="362" t="n">
        <v>23.67</v>
      </c>
      <c r="BP561" s="362" t="n">
        <v>23.67</v>
      </c>
      <c r="BQ561" s="362" t="n">
        <v>27.05</v>
      </c>
      <c r="BR561" s="362" t="n">
        <v>30.43</v>
      </c>
      <c r="BY561" s="362">
        <f>SUM(R561:X561)</f>
        <v/>
      </c>
      <c r="BZ561" s="362">
        <f>SUM(Y561:AE561)</f>
        <v/>
      </c>
      <c r="CA561" s="362">
        <f>SUM(AF561:AM561)</f>
        <v/>
      </c>
      <c r="CB561" s="362">
        <f>SUM(AN561:AV561)</f>
        <v/>
      </c>
      <c r="CD561" s="440" t="inlineStr">
        <is>
          <t>TIDAK ADA</t>
        </is>
      </c>
      <c r="CE561" s="362">
        <f>ROUND(BY561*$O561/1000,2)</f>
        <v/>
      </c>
      <c r="CF561" s="362">
        <f>ROUND(BZ561*$O561/1000,2)</f>
        <v/>
      </c>
      <c r="CG561" s="362">
        <f>ROUND(CA561*$O561/1000,2)</f>
        <v/>
      </c>
      <c r="CH561" s="362">
        <f>ROUND(CB561*$O561/1000,2)</f>
        <v/>
      </c>
      <c r="CI561" s="362">
        <f>SUM(CE561:CH561)</f>
        <v/>
      </c>
      <c r="CK561" s="362">
        <f>ROUND(BY561*$P561,2)</f>
        <v/>
      </c>
      <c r="CL561" s="362">
        <f>ROUND(BZ561*$P561,2)</f>
        <v/>
      </c>
      <c r="CM561" s="362">
        <f>ROUND(CA561*$P561,2)</f>
        <v/>
      </c>
      <c r="CN561" s="362">
        <f>ROUND(CB561*$P561,2)</f>
        <v/>
      </c>
      <c r="CO561" s="362">
        <f>SUM(CK561:CN561)</f>
        <v/>
      </c>
    </row>
    <row r="562" hidden="1" s="428">
      <c r="E562" s="379" t="inlineStr">
        <is>
          <t>7.50R15</t>
        </is>
      </c>
      <c r="F562" s="379" t="n"/>
      <c r="G562" s="379" t="n"/>
      <c r="H562" s="352" t="n"/>
      <c r="I562" s="352" t="n"/>
      <c r="J562" s="352" t="n"/>
      <c r="K562" s="352" t="n"/>
      <c r="L562" s="352" t="n"/>
      <c r="M562" s="430">
        <f>IF(K562="","",K562/(K562+#REF!/60))</f>
        <v/>
      </c>
      <c r="N562" s="352" t="n"/>
      <c r="O562" s="352" t="n"/>
      <c r="P562" s="352" t="n"/>
      <c r="Q562" s="352">
        <f>IFERROR(ROUND(1440/K562*I562*M562,0),"")</f>
        <v/>
      </c>
      <c r="R562" s="352" t="n"/>
      <c r="S562" s="352" t="n"/>
      <c r="T562" s="352" t="n"/>
      <c r="U562" s="352" t="n"/>
      <c r="V562" s="352" t="n"/>
      <c r="W562" s="352" t="n"/>
      <c r="X562" s="352" t="n"/>
      <c r="Y562" s="352" t="n"/>
      <c r="Z562" s="352" t="n"/>
      <c r="AA562" s="352" t="n"/>
      <c r="AB562" s="352" t="n"/>
      <c r="AC562" s="352" t="n"/>
      <c r="AD562" s="352" t="n"/>
      <c r="AE562" s="352" t="n"/>
      <c r="AF562" s="352" t="n"/>
      <c r="AG562" s="352" t="n"/>
      <c r="AH562" s="352" t="n"/>
      <c r="AI562" s="352" t="n"/>
      <c r="AJ562" s="352" t="n"/>
      <c r="AK562" s="352" t="n"/>
      <c r="AL562" s="352" t="n"/>
      <c r="AM562" s="352" t="n"/>
      <c r="AN562" s="352" t="n"/>
      <c r="AO562" s="352" t="n"/>
      <c r="AP562" s="352" t="n"/>
      <c r="AQ562" s="352" t="n"/>
      <c r="AR562" s="352" t="n"/>
      <c r="AS562" s="352" t="n"/>
      <c r="AT562" s="352" t="n"/>
      <c r="AU562" s="352" t="n"/>
      <c r="AV562" s="352" t="n"/>
      <c r="AW562" s="352">
        <f>IF(SUM(R562:AV562)=0,"",SUM(R562:AV562))</f>
        <v/>
      </c>
      <c r="AX562" s="431">
        <f>IFERROR(AW562*O562/1000,"")</f>
        <v/>
      </c>
      <c r="AY562" s="431">
        <f>IFERROR(ROUND(AW562*P562/10000,3),"")</f>
        <v/>
      </c>
      <c r="BE562" s="331">
        <f>SUM(BE559:BE561)</f>
        <v/>
      </c>
      <c r="BF562" s="331">
        <f>SUM(BF559:BF561)</f>
        <v/>
      </c>
      <c r="BG562" s="331">
        <f>SUM(BG559:BG561)</f>
        <v/>
      </c>
      <c r="BH562" s="331">
        <f>SUM(BH559:BH561)</f>
        <v/>
      </c>
      <c r="BJ562" s="356">
        <f t="array" ref="BJ562">SUMPRODUCT(IF(ISNUMBER(BJ559:BJ561),BJ559:BJ561,0),IF(ISERROR(BJ559:BJ561),0,1))</f>
        <v/>
      </c>
      <c r="BK562" s="356">
        <f t="array" ref="BK562">SUMPRODUCT(IF(ISNUMBER(BK559:BK561),BK559:BK561,0),IF(ISERROR(BK559:BK561),0,1))</f>
        <v/>
      </c>
      <c r="BL562" s="356">
        <f t="array" ref="BL562">SUMPRODUCT(IF(ISNUMBER(BL559:BL561),BL559:BL561,0),IF(ISERROR(BL559:BL561),0,1))</f>
        <v/>
      </c>
      <c r="BM562" s="356">
        <f t="array" ref="BM562">SUMPRODUCT(IF(ISNUMBER(BM559:BM561),BM559:BM561,0),IF(ISERROR(BM559:BM561),0,1))</f>
        <v/>
      </c>
      <c r="BN562" s="362">
        <f>SUM(BJ562:BM562)</f>
        <v/>
      </c>
      <c r="BO562" s="362" t="n">
        <v>128.28</v>
      </c>
      <c r="BP562" s="362" t="n">
        <v>128.28</v>
      </c>
      <c r="BQ562" s="362" t="n">
        <v>146.62</v>
      </c>
      <c r="BR562" s="362" t="n">
        <v>164.95</v>
      </c>
      <c r="BY562" s="362">
        <f>SUM(R562:X562)</f>
        <v/>
      </c>
      <c r="BZ562" s="362">
        <f>SUM(Y562:AE562)</f>
        <v/>
      </c>
      <c r="CA562" s="362">
        <f>SUM(AF562:AM562)</f>
        <v/>
      </c>
      <c r="CB562" s="362">
        <f>SUM(AN562:AV562)</f>
        <v/>
      </c>
      <c r="CE562" s="362">
        <f>ROUND(BY562*$O562/1000,2)</f>
        <v/>
      </c>
      <c r="CF562" s="362">
        <f>ROUND(BZ562*$O562/1000,2)</f>
        <v/>
      </c>
      <c r="CG562" s="362">
        <f>ROUND(CA562*$O562/1000,2)</f>
        <v/>
      </c>
      <c r="CH562" s="362">
        <f>ROUND(CB562*$O562/1000,2)</f>
        <v/>
      </c>
      <c r="CI562" s="362">
        <f>SUM(CE562:CH562)</f>
        <v/>
      </c>
    </row>
    <row r="563" hidden="1" s="428">
      <c r="E563" s="379" t="inlineStr">
        <is>
          <t>7.00R15</t>
        </is>
      </c>
      <c r="F563" s="379" t="n"/>
      <c r="G563" s="379" t="n"/>
      <c r="H563" s="352" t="n"/>
      <c r="I563" s="352" t="n"/>
      <c r="J563" s="352" t="n"/>
      <c r="K563" s="352" t="n"/>
      <c r="L563" s="352" t="n"/>
      <c r="M563" s="430">
        <f>IF(K563="","",K563/(K563+$L$175/60))</f>
        <v/>
      </c>
      <c r="N563" s="352" t="n"/>
      <c r="O563" s="352" t="n"/>
      <c r="P563" s="352" t="n"/>
      <c r="Q563" s="352">
        <f>IFERROR(ROUND(1440/K563*I563*M563,0),"")</f>
        <v/>
      </c>
      <c r="R563" s="352" t="n"/>
      <c r="S563" s="352" t="n"/>
      <c r="T563" s="352" t="n"/>
      <c r="U563" s="352" t="n"/>
      <c r="V563" s="352" t="n"/>
      <c r="W563" s="352" t="n"/>
      <c r="X563" s="352" t="n"/>
      <c r="Y563" s="352" t="n"/>
      <c r="Z563" s="352" t="n"/>
      <c r="AA563" s="352" t="n"/>
      <c r="AB563" s="352" t="n"/>
      <c r="AC563" s="352" t="n"/>
      <c r="AD563" s="352" t="n"/>
      <c r="AE563" s="352" t="n"/>
      <c r="AF563" s="352" t="n"/>
      <c r="AG563" s="352" t="n"/>
      <c r="AH563" s="352" t="n"/>
      <c r="AI563" s="352" t="n"/>
      <c r="AJ563" s="352" t="n"/>
      <c r="AK563" s="352" t="n"/>
      <c r="AL563" s="352" t="n"/>
      <c r="AM563" s="352" t="n"/>
      <c r="AN563" s="352" t="n"/>
      <c r="AO563" s="352" t="n"/>
      <c r="AP563" s="352" t="n"/>
      <c r="AQ563" s="352" t="n"/>
      <c r="AR563" s="352" t="n"/>
      <c r="AS563" s="352" t="n"/>
      <c r="AT563" s="352" t="n"/>
      <c r="AU563" s="352" t="n"/>
      <c r="AV563" s="352" t="n"/>
      <c r="AW563" s="352">
        <f>IF(SUM(R563:AV563)=0,"",SUM(R563:AV563))</f>
        <v/>
      </c>
      <c r="AX563" s="431">
        <f>IFERROR(AW563*O563/1000,"")</f>
        <v/>
      </c>
      <c r="AY563" s="431">
        <f>IFERROR(ROUND(AW563*P563/10000,3),"")</f>
        <v/>
      </c>
      <c r="BJ563" s="356" t="n"/>
      <c r="BO563" s="362" t="n">
        <v>3120</v>
      </c>
      <c r="BP563" s="362" t="n">
        <v>3360</v>
      </c>
      <c r="BQ563" s="362" t="n">
        <v>3840</v>
      </c>
      <c r="BR563" s="362" t="n">
        <v>4320</v>
      </c>
      <c r="BY563" s="362">
        <f>SUM(BY559:BY562)</f>
        <v/>
      </c>
      <c r="BZ563" s="362">
        <f>SUM(BZ559:BZ562)</f>
        <v/>
      </c>
      <c r="CA563" s="362">
        <f>SUM(CA559:CA562)</f>
        <v/>
      </c>
      <c r="CB563" s="362">
        <f>SUM(CB559:CB562)</f>
        <v/>
      </c>
      <c r="CE563" s="362">
        <f>SUM(CE559:CE562)</f>
        <v/>
      </c>
      <c r="CF563" s="362">
        <f>SUM(CF559:CF562)</f>
        <v/>
      </c>
      <c r="CG563" s="362">
        <f>SUM(CG559:CG562)</f>
        <v/>
      </c>
      <c r="CH563" s="362">
        <f>SUM(CH559:CH562)</f>
        <v/>
      </c>
      <c r="CI563" s="362">
        <f>SUM(CI559:CI562)</f>
        <v/>
      </c>
    </row>
    <row r="564">
      <c r="Q564" s="331" t="n">
        <v>3.7</v>
      </c>
      <c r="R564" s="331">
        <f>SUM(R559:R563)</f>
        <v/>
      </c>
      <c r="S564" s="331">
        <f>SUM(S559:S563)</f>
        <v/>
      </c>
      <c r="T564" s="331">
        <f>SUM(T559:T563)</f>
        <v/>
      </c>
      <c r="U564" s="331">
        <f>SUM(U559:U563)</f>
        <v/>
      </c>
      <c r="V564" s="331">
        <f>SUM(V559:V563)</f>
        <v/>
      </c>
      <c r="W564" s="331">
        <f>SUM(W559:W563)</f>
        <v/>
      </c>
      <c r="X564" s="331">
        <f>SUM(X559:X563)</f>
        <v/>
      </c>
      <c r="Y564" s="331">
        <f>SUM(Y559:Y563)</f>
        <v/>
      </c>
      <c r="Z564" s="331">
        <f>SUM(Z559:Z563)</f>
        <v/>
      </c>
      <c r="AA564" s="331">
        <f>SUM(AA559:AA563)</f>
        <v/>
      </c>
      <c r="AB564" s="331">
        <f>SUM(AB559:AB563)</f>
        <v/>
      </c>
      <c r="AC564" s="331">
        <f>SUM(AC559:AC563)</f>
        <v/>
      </c>
      <c r="AD564" s="331">
        <f>SUM(AD559:AD563)</f>
        <v/>
      </c>
      <c r="AE564" s="331">
        <f>SUM(AE559:AE563)</f>
        <v/>
      </c>
      <c r="AF564" s="331">
        <f>SUM(AF559:AF563)</f>
        <v/>
      </c>
      <c r="AG564" s="331">
        <f>SUM(AG559:AG563)</f>
        <v/>
      </c>
      <c r="AH564" s="331">
        <f>SUM(AH559:AH563)</f>
        <v/>
      </c>
      <c r="AI564" s="331">
        <f>SUM(AI559:AI563)</f>
        <v/>
      </c>
      <c r="AJ564" s="331">
        <f>SUM(AJ559:AJ563)</f>
        <v/>
      </c>
      <c r="AK564" s="331">
        <f>SUM(AK559:AK563)</f>
        <v/>
      </c>
      <c r="AL564" s="331">
        <f>SUM(AL559:AL563)</f>
        <v/>
      </c>
      <c r="AM564" s="331">
        <f>SUM(AM559:AM563)</f>
        <v/>
      </c>
      <c r="AN564" s="331">
        <f>SUM(AN559:AN563)</f>
        <v/>
      </c>
      <c r="AO564" s="331">
        <f>SUM(AO559:AO563)</f>
        <v/>
      </c>
      <c r="AP564" s="331">
        <f>SUM(AP559:AP563)</f>
        <v/>
      </c>
      <c r="AQ564" s="331">
        <f>SUM(AQ559:AQ563)</f>
        <v/>
      </c>
      <c r="AR564" s="331">
        <f>SUM(AR559:AR563)</f>
        <v/>
      </c>
      <c r="AS564" s="331">
        <f>SUM(AS559:AS563)</f>
        <v/>
      </c>
      <c r="AT564" s="331">
        <f>SUM(AT559:AT563)</f>
        <v/>
      </c>
      <c r="AU564" s="331">
        <f>SUM(AU559:AU563)</f>
        <v/>
      </c>
      <c r="AV564" s="331">
        <f>SUM(AV559:AV563)</f>
        <v/>
      </c>
      <c r="AW564" s="352">
        <f>SUM(AW559:AW563)</f>
        <v/>
      </c>
      <c r="AX564" s="431">
        <f>SUM(AX559:AX563)</f>
        <v/>
      </c>
      <c r="AY564" s="431">
        <f>SUM(AY559:AY563)</f>
        <v/>
      </c>
      <c r="BJ564" s="356" t="n"/>
      <c r="BO564" s="362" t="n">
        <v>4810</v>
      </c>
      <c r="BP564" s="362" t="n">
        <v>5180</v>
      </c>
      <c r="BQ564" s="362" t="n">
        <v>5920</v>
      </c>
      <c r="BR564" s="362" t="n">
        <v>6660</v>
      </c>
      <c r="CK564" s="362">
        <f>SUBTOTAL(9,CK559:CK563)</f>
        <v/>
      </c>
      <c r="CL564" s="362">
        <f>SUBTOTAL(9,CL559:CL563)</f>
        <v/>
      </c>
      <c r="CM564" s="362">
        <f>SUBTOTAL(9,CM559:CM563)</f>
        <v/>
      </c>
      <c r="CN564" s="362">
        <f>SUBTOTAL(9,CN559:CN563)</f>
        <v/>
      </c>
    </row>
    <row r="565">
      <c r="G565" s="362" t="n"/>
      <c r="AW565" s="331">
        <f>ROUND(AW564/31,0)</f>
        <v/>
      </c>
      <c r="AX565" s="451">
        <f>ROUND(AX564/31,3)</f>
        <v/>
      </c>
      <c r="AY565" s="451">
        <f>AY564/31</f>
        <v/>
      </c>
      <c r="BJ565" s="356" t="n"/>
      <c r="BK565" s="356" t="n"/>
      <c r="BL565" s="356" t="n"/>
      <c r="BM565" s="356" t="n"/>
      <c r="BO565" s="362" t="n">
        <v>5200</v>
      </c>
      <c r="BP565" s="362" t="n">
        <v>5600</v>
      </c>
      <c r="BQ565" s="362" t="n">
        <v>6400</v>
      </c>
      <c r="BR565" s="362" t="n">
        <v>7200</v>
      </c>
    </row>
    <row r="566">
      <c r="G566" s="362" t="n"/>
      <c r="R566" s="331" t="n"/>
      <c r="AW566" s="451">
        <f>AW564+AW555+AW539+AW490+AW377</f>
        <v/>
      </c>
      <c r="AX566" s="451">
        <f>AX564+AX555+AX539+AX490+AX377</f>
        <v/>
      </c>
      <c r="AY566" s="451">
        <f>AY564+AY555+AY539+AY490+AY377</f>
        <v/>
      </c>
      <c r="BJ566" s="356" t="n"/>
      <c r="BK566" s="356" t="n"/>
      <c r="BL566" s="356" t="n"/>
      <c r="BM566" s="356" t="n"/>
    </row>
    <row r="567" hidden="1" s="428">
      <c r="G567" s="362" t="n"/>
      <c r="H567" s="390" t="n"/>
      <c r="R567" s="331" t="n"/>
      <c r="AX567" s="331">
        <f>ROUND(AX378+AX540+AX556,2)</f>
        <v/>
      </c>
      <c r="AY567" s="331">
        <f>AY556+AY540+AY378</f>
        <v/>
      </c>
      <c r="BJ567" s="356" t="n"/>
      <c r="BO567" s="362" t="n">
        <v>5200</v>
      </c>
      <c r="BP567" s="362" t="n">
        <v>5600</v>
      </c>
      <c r="BQ567" s="362" t="n">
        <v>6400</v>
      </c>
      <c r="BR567" s="362" t="n">
        <v>7200</v>
      </c>
    </row>
    <row r="568" hidden="1" s="428">
      <c r="G568" s="362" t="n"/>
      <c r="H568" s="390" t="n"/>
      <c r="BJ568" s="356" t="n"/>
      <c r="BO568" s="362" t="n">
        <v>5850</v>
      </c>
      <c r="BP568" s="362" t="n">
        <v>6300</v>
      </c>
      <c r="BQ568" s="362" t="n">
        <v>7200</v>
      </c>
      <c r="BR568" s="362" t="n">
        <v>8100</v>
      </c>
    </row>
    <row r="569">
      <c r="G569" s="362" t="n"/>
      <c r="H569" s="390" t="n"/>
      <c r="BJ569" s="356" t="n"/>
    </row>
    <row r="570">
      <c r="G570" s="362" t="n"/>
      <c r="H570" s="390" t="n"/>
    </row>
    <row r="571">
      <c r="G571" s="362" t="n"/>
      <c r="H571" s="390" t="n"/>
    </row>
    <row r="572">
      <c r="G572" s="362" t="n"/>
      <c r="H572" s="390" t="n"/>
    </row>
    <row r="573">
      <c r="H573" s="390" t="n"/>
    </row>
    <row r="574">
      <c r="H574" s="390" t="n"/>
    </row>
    <row r="575">
      <c r="G575" s="362" t="n"/>
      <c r="H575" s="390" t="n"/>
    </row>
    <row r="576">
      <c r="G576" s="362" t="n"/>
      <c r="H576" s="390" t="n"/>
    </row>
    <row r="577">
      <c r="G577" s="362" t="n"/>
      <c r="H577" s="390" t="n"/>
    </row>
    <row r="578">
      <c r="G578" s="362" t="n"/>
      <c r="H578" s="390" t="n"/>
    </row>
    <row r="579">
      <c r="G579" s="362" t="n"/>
      <c r="H579" s="390" t="n"/>
    </row>
    <row r="580">
      <c r="C580" s="362" t="n"/>
      <c r="D580" s="362" t="n"/>
      <c r="E580" s="362" t="n"/>
      <c r="F580" s="362" t="n"/>
      <c r="G580" s="362" t="n"/>
      <c r="H580" s="390" t="n"/>
    </row>
    <row r="581">
      <c r="C581" s="362" t="n"/>
      <c r="D581" s="362" t="n"/>
      <c r="E581" s="362" t="n"/>
      <c r="F581" s="362" t="n"/>
      <c r="G581" s="362" t="n"/>
      <c r="H581" s="390" t="n"/>
    </row>
    <row r="582">
      <c r="C582" s="362" t="n"/>
      <c r="D582" s="362" t="n"/>
      <c r="E582" s="362" t="n"/>
      <c r="F582" s="362" t="n"/>
      <c r="G582" s="362" t="n"/>
      <c r="H582" s="390" t="n"/>
    </row>
    <row r="583">
      <c r="C583" s="362" t="n"/>
      <c r="D583" s="362" t="n"/>
      <c r="E583" s="362" t="n"/>
      <c r="F583" s="362" t="n"/>
      <c r="G583" s="362" t="n"/>
      <c r="H583" s="390" t="n"/>
    </row>
    <row r="584">
      <c r="C584" s="362" t="n"/>
      <c r="D584" s="362" t="n"/>
      <c r="E584" s="362" t="n"/>
      <c r="F584" s="362" t="n"/>
      <c r="G584" s="362" t="n"/>
      <c r="H584" s="390" t="n"/>
    </row>
    <row r="585">
      <c r="C585" s="362" t="n"/>
      <c r="D585" s="362" t="n"/>
      <c r="E585" s="362" t="n"/>
      <c r="F585" s="362" t="n"/>
      <c r="G585" s="362" t="n"/>
      <c r="H585" s="390" t="n"/>
    </row>
    <row r="586">
      <c r="C586" s="362" t="n"/>
      <c r="D586" s="362" t="n"/>
      <c r="E586" s="362" t="n"/>
      <c r="F586" s="362" t="n"/>
      <c r="G586" s="362" t="n"/>
      <c r="H586" s="390" t="n"/>
    </row>
    <row r="587">
      <c r="C587" s="362" t="n"/>
      <c r="D587" s="362" t="n"/>
      <c r="E587" s="362" t="n"/>
      <c r="F587" s="362" t="n"/>
    </row>
    <row r="588">
      <c r="C588" s="362" t="n"/>
      <c r="D588" s="362" t="n"/>
      <c r="E588" s="362" t="n"/>
      <c r="F588" s="362" t="n"/>
    </row>
    <row r="589">
      <c r="C589" s="362" t="n"/>
      <c r="D589" s="362" t="n"/>
      <c r="E589" s="362" t="n"/>
      <c r="F589" s="362" t="n"/>
    </row>
    <row r="590">
      <c r="C590" s="362" t="n"/>
      <c r="D590" s="362" t="n"/>
      <c r="E590" s="362" t="n"/>
      <c r="F590" s="362" t="n"/>
    </row>
    <row r="591">
      <c r="C591" s="362" t="n"/>
      <c r="D591" s="362" t="n"/>
      <c r="E591" s="362" t="n"/>
      <c r="F591" s="362" t="n"/>
    </row>
    <row r="592">
      <c r="C592" s="362" t="n"/>
      <c r="D592" s="362" t="n"/>
      <c r="E592" s="362" t="n"/>
      <c r="F592" s="362" t="n"/>
    </row>
    <row r="593">
      <c r="C593" s="362" t="n"/>
      <c r="D593" s="362" t="n"/>
      <c r="E593" s="362" t="n"/>
      <c r="F593" s="362" t="n"/>
    </row>
    <row r="594">
      <c r="C594" s="362" t="n"/>
      <c r="D594" s="362" t="n"/>
      <c r="E594" s="362" t="n"/>
      <c r="F594" s="362" t="n"/>
    </row>
    <row r="595">
      <c r="C595" s="362" t="n"/>
      <c r="D595" s="362" t="n"/>
      <c r="E595" s="362" t="n"/>
      <c r="F595" s="362" t="n"/>
    </row>
    <row r="596">
      <c r="C596" s="362" t="n"/>
      <c r="D596" s="362" t="n"/>
      <c r="E596" s="362" t="n"/>
      <c r="F596" s="362" t="n"/>
    </row>
    <row r="597">
      <c r="C597" s="362" t="n"/>
      <c r="D597" s="362" t="n"/>
      <c r="E597" s="362" t="n"/>
      <c r="F597" s="362" t="n"/>
    </row>
    <row r="598">
      <c r="C598" s="362" t="n"/>
      <c r="D598" s="362" t="n"/>
      <c r="E598" s="362" t="n"/>
      <c r="F598" s="362" t="n"/>
    </row>
    <row r="599">
      <c r="C599" s="362" t="n"/>
      <c r="D599" s="362" t="n"/>
      <c r="E599" s="362" t="n"/>
      <c r="F599" s="362" t="n"/>
    </row>
    <row r="600">
      <c r="C600" s="362" t="n"/>
      <c r="D600" s="362" t="n"/>
      <c r="E600" s="362" t="n"/>
      <c r="F600" s="362" t="n"/>
    </row>
  </sheetData>
  <autoFilter ref="A2:CD600">
    <filterColumn colId="48" hiddenButton="0" showButton="1">
      <filters>
        <filter val="合计"/>
        <filter val="200"/>
        <filter val="300"/>
        <filter val="400"/>
        <filter val="500"/>
        <filter val="600"/>
        <filter val="700"/>
        <filter val="800"/>
        <filter val="900"/>
        <filter val="1100"/>
        <filter val="1500"/>
        <filter val="2100"/>
        <filter val="2400"/>
        <filter val="2800"/>
        <filter val="3100"/>
        <filter val="3900"/>
        <filter val="4200"/>
        <filter val="4400"/>
        <filter val="5000"/>
        <filter val="5600"/>
        <filter val="6600"/>
        <filter val="7200"/>
        <filter val="9300"/>
        <filter val="15500"/>
        <filter val="18600"/>
        <filter val="37200"/>
        <filter val="155000"/>
        <filter val="1102"/>
        <filter val="504"/>
        <filter val="704"/>
        <filter val="904"/>
        <filter val="2304"/>
        <filter val="1408"/>
        <filter val="2408"/>
        <filter val="910"/>
        <filter val="6510"/>
        <filter val="1012"/>
        <filter val="2112"/>
        <filter val="616"/>
        <filter val="1116"/>
        <filter val="235618"/>
        <filter val="220"/>
        <filter val="420"/>
        <filter val="520"/>
        <filter val="720"/>
        <filter val="1020"/>
        <filter val="1120"/>
        <filter val="1320"/>
        <filter val="1620"/>
        <filter val="1820"/>
        <filter val="1920"/>
        <filter val="2420"/>
        <filter val="3220"/>
        <filter val="3720"/>
        <filter val="4620"/>
        <filter val="5520"/>
        <filter val="6820"/>
        <filter val="12420"/>
        <filter val="15120"/>
        <filter val="23520"/>
        <filter val="28520"/>
        <filter val="280720"/>
        <filter val="1922"/>
        <filter val="324"/>
        <filter val="924"/>
        <filter val="2024"/>
        <filter val="528"/>
        <filter val="928"/>
        <filter val="8829"/>
        <filter val="330"/>
        <filter val="4030"/>
        <filter val="132"/>
        <filter val="1232"/>
        <filter val="1736"/>
        <filter val="240"/>
        <filter val="440"/>
        <filter val="540"/>
        <filter val="640"/>
        <filter val="840"/>
        <filter val="1040"/>
        <filter val="1140"/>
        <filter val="1440"/>
        <filter val="1540"/>
        <filter val="1740"/>
        <filter val="2040"/>
        <filter val="2240"/>
        <filter val="4340"/>
        <filter val="6440"/>
        <filter val="7440"/>
        <filter val="13640"/>
        <filter val="32240"/>
        <filter val="744"/>
        <filter val="3844"/>
        <filter val="2046"/>
        <filter val="48"/>
        <filter val="250"/>
        <filter val="350"/>
        <filter val="550"/>
        <filter val="650"/>
        <filter val="750"/>
        <filter val="850"/>
        <filter val="950"/>
        <filter val="1050"/>
        <filter val="1550"/>
        <filter val="1950"/>
        <filter val="2450"/>
        <filter val="2550"/>
        <filter val="4650"/>
        <filter val="7750"/>
        <filter val="26350"/>
        <filter val="981614.00"/>
        <filter val="1452"/>
        <filter val="1254"/>
        <filter val="9055"/>
        <filter val="256"/>
        <filter val="858"/>
        <filter val="360"/>
        <filter val="560"/>
        <filter val="660"/>
        <filter val="960"/>
        <filter val="1260"/>
        <filter val="1860"/>
        <filter val="2760"/>
        <filter val="2860"/>
        <filter val="3360"/>
        <filter val="3660"/>
        <filter val="4060"/>
        <filter val="8060"/>
        <filter val="8160"/>
        <filter val="11160"/>
        <filter val="14260"/>
        <filter val="1364"/>
        <filter val="7564"/>
        <filter val="770"/>
        <filter val="870"/>
        <filter val="1170"/>
        <filter val="2170"/>
        <filter val="2470"/>
        <filter val="3570"/>
        <filter val="176"/>
        <filter val="180"/>
        <filter val="280"/>
        <filter val="480"/>
        <filter val="780"/>
        <filter val="880"/>
        <filter val="1080"/>
        <filter val="1180"/>
        <filter val="1280"/>
        <filter val="1380"/>
        <filter val="2080"/>
        <filter val="2380"/>
        <filter val="2880"/>
        <filter val="3080"/>
        <filter val="4480"/>
        <filter val="5580"/>
        <filter val="8680"/>
        <filter val="14880"/>
        <filter val="24180"/>
        <filter val="27280"/>
        <filter val="36580"/>
        <filter val="2982"/>
        <filter val="784"/>
        <filter val="1188"/>
        <filter val="7600.58"/>
        <filter val="490"/>
        <filter val="2790"/>
        <filter val="3990"/>
        <filter val="792"/>
        <filter val="992"/>
        <filter val="696"/>
        <filter val="273696"/>
      </filters>
    </filterColumn>
  </autoFilter>
  <mergeCells count="2">
    <mergeCell ref="AZ1:BC1"/>
    <mergeCell ref="BE1:BH1"/>
  </mergeCells>
  <conditionalFormatting sqref="AW4">
    <cfRule type="cellIs" priority="337" operator="lessThan" dxfId="1">
      <formula>$N$3</formula>
    </cfRule>
  </conditionalFormatting>
  <conditionalFormatting sqref="AW8">
    <cfRule type="cellIs" priority="231" operator="lessThan" dxfId="1">
      <formula>$N$3</formula>
    </cfRule>
  </conditionalFormatting>
  <conditionalFormatting sqref="AW9">
    <cfRule type="cellIs" priority="232" operator="lessThan" dxfId="1">
      <formula>$N$3</formula>
    </cfRule>
  </conditionalFormatting>
  <conditionalFormatting sqref="AW10">
    <cfRule type="cellIs" priority="229" operator="lessThan" dxfId="1">
      <formula>$N$3</formula>
    </cfRule>
  </conditionalFormatting>
  <conditionalFormatting sqref="AW11">
    <cfRule type="cellIs" priority="230" operator="lessThan" dxfId="1">
      <formula>$N$3</formula>
    </cfRule>
  </conditionalFormatting>
  <conditionalFormatting sqref="AW12">
    <cfRule type="cellIs" priority="236" operator="lessThan" dxfId="1">
      <formula>$N$3</formula>
    </cfRule>
  </conditionalFormatting>
  <conditionalFormatting sqref="AW13">
    <cfRule type="cellIs" priority="234" operator="lessThan" dxfId="1">
      <formula>$N$3</formula>
    </cfRule>
  </conditionalFormatting>
  <conditionalFormatting sqref="AW14">
    <cfRule type="cellIs" priority="233" operator="lessThan" dxfId="1">
      <formula>$N$3</formula>
    </cfRule>
  </conditionalFormatting>
  <conditionalFormatting sqref="AW15">
    <cfRule type="cellIs" priority="235" operator="lessThan" dxfId="1">
      <formula>$N$3</formula>
    </cfRule>
  </conditionalFormatting>
  <conditionalFormatting sqref="AW16">
    <cfRule type="cellIs" priority="246" operator="lessThan" dxfId="1">
      <formula>$N$3</formula>
    </cfRule>
  </conditionalFormatting>
  <conditionalFormatting sqref="AW17">
    <cfRule type="cellIs" priority="247" operator="lessThan" dxfId="1">
      <formula>$N$3</formula>
    </cfRule>
  </conditionalFormatting>
  <conditionalFormatting sqref="AW18">
    <cfRule type="cellIs" priority="244" operator="lessThan" dxfId="1">
      <formula>$N$3</formula>
    </cfRule>
  </conditionalFormatting>
  <conditionalFormatting sqref="AW19">
    <cfRule type="cellIs" priority="172" operator="lessThan" dxfId="1">
      <formula>$N$3</formula>
    </cfRule>
  </conditionalFormatting>
  <conditionalFormatting sqref="AW20">
    <cfRule type="cellIs" priority="167" operator="lessThan" dxfId="1">
      <formula>$N$3</formula>
    </cfRule>
  </conditionalFormatting>
  <conditionalFormatting sqref="AW21">
    <cfRule type="cellIs" priority="166" operator="lessThan" dxfId="1">
      <formula>$N$3</formula>
    </cfRule>
  </conditionalFormatting>
  <conditionalFormatting sqref="AW22">
    <cfRule type="cellIs" priority="169" operator="lessThan" dxfId="1">
      <formula>$N$3</formula>
    </cfRule>
  </conditionalFormatting>
  <conditionalFormatting sqref="AW23">
    <cfRule type="cellIs" priority="168" operator="lessThan" dxfId="1">
      <formula>$N$3</formula>
    </cfRule>
  </conditionalFormatting>
  <conditionalFormatting sqref="AW24">
    <cfRule type="cellIs" priority="171" operator="lessThan" dxfId="1">
      <formula>$N$3</formula>
    </cfRule>
  </conditionalFormatting>
  <conditionalFormatting sqref="AW25">
    <cfRule type="cellIs" priority="170" operator="lessThan" dxfId="1">
      <formula>$N$3</formula>
    </cfRule>
  </conditionalFormatting>
  <conditionalFormatting sqref="AW26">
    <cfRule type="cellIs" priority="174" operator="lessThan" dxfId="1">
      <formula>$N$3</formula>
    </cfRule>
  </conditionalFormatting>
  <conditionalFormatting sqref="AW27">
    <cfRule type="cellIs" priority="173" operator="lessThan" dxfId="1">
      <formula>$N$3</formula>
    </cfRule>
  </conditionalFormatting>
  <conditionalFormatting sqref="AW28">
    <cfRule type="cellIs" priority="245" operator="lessThan" dxfId="1">
      <formula>$N$3</formula>
    </cfRule>
  </conditionalFormatting>
  <conditionalFormatting sqref="AW29">
    <cfRule type="cellIs" priority="213" operator="lessThan" dxfId="1">
      <formula>$N$3</formula>
    </cfRule>
  </conditionalFormatting>
  <conditionalFormatting sqref="AW30">
    <cfRule type="cellIs" priority="212" operator="lessThan" dxfId="1">
      <formula>$N$3</formula>
    </cfRule>
  </conditionalFormatting>
  <conditionalFormatting sqref="AW31">
    <cfRule type="cellIs" priority="215" operator="lessThan" dxfId="1">
      <formula>$N$3</formula>
    </cfRule>
  </conditionalFormatting>
  <conditionalFormatting sqref="AW32">
    <cfRule type="cellIs" priority="214" operator="lessThan" dxfId="1">
      <formula>$N$3</formula>
    </cfRule>
  </conditionalFormatting>
  <conditionalFormatting sqref="AW33">
    <cfRule type="cellIs" priority="217" operator="lessThan" dxfId="1">
      <formula>$N$3</formula>
    </cfRule>
  </conditionalFormatting>
  <conditionalFormatting sqref="AW34">
    <cfRule type="cellIs" priority="216" operator="lessThan" dxfId="1">
      <formula>$N$3</formula>
    </cfRule>
  </conditionalFormatting>
  <conditionalFormatting sqref="AW35">
    <cfRule type="cellIs" priority="342" operator="lessThan" dxfId="1">
      <formula>$N$3</formula>
    </cfRule>
  </conditionalFormatting>
  <conditionalFormatting sqref="AW36">
    <cfRule type="cellIs" priority="335" operator="lessThan" dxfId="1">
      <formula>$N$3</formula>
    </cfRule>
  </conditionalFormatting>
  <conditionalFormatting sqref="AW37">
    <cfRule type="cellIs" priority="275" operator="lessThan" dxfId="1">
      <formula>$N$3</formula>
    </cfRule>
  </conditionalFormatting>
  <conditionalFormatting sqref="AW38">
    <cfRule type="cellIs" priority="341" operator="lessThan" dxfId="1">
      <formula>$N$3</formula>
    </cfRule>
  </conditionalFormatting>
  <conditionalFormatting sqref="AW40">
    <cfRule type="cellIs" priority="196" operator="lessThan" dxfId="1">
      <formula>$N$3</formula>
    </cfRule>
  </conditionalFormatting>
  <conditionalFormatting sqref="AW42">
    <cfRule type="cellIs" priority="200" operator="lessThan" dxfId="1">
      <formula>$N$3</formula>
    </cfRule>
  </conditionalFormatting>
  <conditionalFormatting sqref="AW43">
    <cfRule type="cellIs" priority="201" operator="lessThan" dxfId="1">
      <formula>$N$3</formula>
    </cfRule>
  </conditionalFormatting>
  <conditionalFormatting sqref="AW44">
    <cfRule type="cellIs" priority="199" operator="lessThan" dxfId="1">
      <formula>$N$3</formula>
    </cfRule>
  </conditionalFormatting>
  <conditionalFormatting sqref="AW45">
    <cfRule type="cellIs" priority="151" operator="lessThan" dxfId="1">
      <formula>$N$3</formula>
    </cfRule>
  </conditionalFormatting>
  <conditionalFormatting sqref="AW46">
    <cfRule type="cellIs" priority="197" operator="lessThan" dxfId="1">
      <formula>$N$3</formula>
    </cfRule>
  </conditionalFormatting>
  <conditionalFormatting sqref="AW47">
    <cfRule type="cellIs" priority="195" operator="lessThan" dxfId="1">
      <formula>$N$3</formula>
    </cfRule>
  </conditionalFormatting>
  <conditionalFormatting sqref="AW48">
    <cfRule type="cellIs" priority="198" operator="lessThan" dxfId="1">
      <formula>$N$3</formula>
    </cfRule>
  </conditionalFormatting>
  <conditionalFormatting sqref="AW49">
    <cfRule type="cellIs" priority="203" operator="lessThan" dxfId="1">
      <formula>$N$3</formula>
    </cfRule>
  </conditionalFormatting>
  <conditionalFormatting sqref="AW52">
    <cfRule type="cellIs" priority="202" operator="lessThan" dxfId="1">
      <formula>$N$3</formula>
    </cfRule>
  </conditionalFormatting>
  <conditionalFormatting sqref="G54">
    <cfRule type="duplicateValues" priority="9" dxfId="2"/>
    <cfRule type="duplicateValues" priority="8" dxfId="2"/>
  </conditionalFormatting>
  <conditionalFormatting sqref="AW54">
    <cfRule type="cellIs" priority="10" operator="lessThan" dxfId="1">
      <formula>$N$3</formula>
    </cfRule>
  </conditionalFormatting>
  <conditionalFormatting sqref="AW55">
    <cfRule type="cellIs" priority="238" operator="lessThan" dxfId="1">
      <formula>$N$3</formula>
    </cfRule>
  </conditionalFormatting>
  <conditionalFormatting sqref="AW57">
    <cfRule type="cellIs" priority="242" operator="lessThan" dxfId="1">
      <formula>$N$3</formula>
    </cfRule>
  </conditionalFormatting>
  <conditionalFormatting sqref="AW58">
    <cfRule type="cellIs" priority="243" operator="lessThan" dxfId="1">
      <formula>$N$3</formula>
    </cfRule>
  </conditionalFormatting>
  <conditionalFormatting sqref="AW59">
    <cfRule type="cellIs" priority="165" operator="lessThan" dxfId="1">
      <formula>$N$3</formula>
    </cfRule>
  </conditionalFormatting>
  <conditionalFormatting sqref="AW60">
    <cfRule type="cellIs" priority="164" operator="lessThan" dxfId="1">
      <formula>$N$3</formula>
    </cfRule>
  </conditionalFormatting>
  <conditionalFormatting sqref="AW61">
    <cfRule type="cellIs" priority="163" operator="lessThan" dxfId="1">
      <formula>$N$3</formula>
    </cfRule>
  </conditionalFormatting>
  <conditionalFormatting sqref="AW62">
    <cfRule type="cellIs" priority="241" operator="lessThan" dxfId="1">
      <formula>$N$3</formula>
    </cfRule>
  </conditionalFormatting>
  <conditionalFormatting sqref="AW63">
    <cfRule type="cellIs" priority="239" operator="lessThan" dxfId="1">
      <formula>$N$3</formula>
    </cfRule>
  </conditionalFormatting>
  <conditionalFormatting sqref="AW64">
    <cfRule type="cellIs" priority="237" operator="lessThan" dxfId="1">
      <formula>$N$3</formula>
    </cfRule>
  </conditionalFormatting>
  <conditionalFormatting sqref="AW65">
    <cfRule type="cellIs" priority="186" operator="lessThan" dxfId="1">
      <formula>$N$3</formula>
    </cfRule>
  </conditionalFormatting>
  <conditionalFormatting sqref="AW66">
    <cfRule type="cellIs" priority="191" operator="lessThan" dxfId="1">
      <formula>$N$3</formula>
    </cfRule>
  </conditionalFormatting>
  <conditionalFormatting sqref="AW69">
    <cfRule type="cellIs" priority="55" operator="lessThan" dxfId="1">
      <formula>$N$3</formula>
    </cfRule>
  </conditionalFormatting>
  <conditionalFormatting sqref="AW70">
    <cfRule type="cellIs" priority="188" operator="lessThan" dxfId="1">
      <formula>$N$3</formula>
    </cfRule>
  </conditionalFormatting>
  <conditionalFormatting sqref="AW71">
    <cfRule type="cellIs" priority="189" operator="lessThan" dxfId="1">
      <formula>$N$3</formula>
    </cfRule>
  </conditionalFormatting>
  <conditionalFormatting sqref="AW72">
    <cfRule type="cellIs" priority="193" operator="lessThan" dxfId="1">
      <formula>$N$3</formula>
    </cfRule>
  </conditionalFormatting>
  <conditionalFormatting sqref="AW73">
    <cfRule type="cellIs" priority="192" operator="lessThan" dxfId="1">
      <formula>$N$3</formula>
    </cfRule>
  </conditionalFormatting>
  <conditionalFormatting sqref="AW74">
    <cfRule type="cellIs" priority="190" operator="lessThan" dxfId="1">
      <formula>$N$3</formula>
    </cfRule>
  </conditionalFormatting>
  <conditionalFormatting sqref="AW75">
    <cfRule type="cellIs" priority="187" operator="lessThan" dxfId="1">
      <formula>$N$3</formula>
    </cfRule>
  </conditionalFormatting>
  <conditionalFormatting sqref="AW78">
    <cfRule type="cellIs" priority="240" operator="lessThan" dxfId="1">
      <formula>$N$3</formula>
    </cfRule>
  </conditionalFormatting>
  <conditionalFormatting sqref="AW79">
    <cfRule type="cellIs" priority="348" operator="lessThan" dxfId="1">
      <formula>$N$3</formula>
    </cfRule>
  </conditionalFormatting>
  <conditionalFormatting sqref="AW80">
    <cfRule type="cellIs" priority="53" operator="lessThan" dxfId="1">
      <formula>$N$3</formula>
    </cfRule>
  </conditionalFormatting>
  <conditionalFormatting sqref="AW83">
    <cfRule type="cellIs" priority="274" operator="lessThan" dxfId="1">
      <formula>$N$3</formula>
    </cfRule>
  </conditionalFormatting>
  <conditionalFormatting sqref="AW84">
    <cfRule type="cellIs" priority="328" operator="lessThan" dxfId="1">
      <formula>$N$3</formula>
    </cfRule>
  </conditionalFormatting>
  <conditionalFormatting sqref="AW85">
    <cfRule type="cellIs" priority="162" operator="lessThan" dxfId="1">
      <formula>$N$3</formula>
    </cfRule>
  </conditionalFormatting>
  <conditionalFormatting sqref="AW86">
    <cfRule type="cellIs" priority="161" operator="lessThan" dxfId="1">
      <formula>$N$3</formula>
    </cfRule>
  </conditionalFormatting>
  <conditionalFormatting sqref="AW87">
    <cfRule type="cellIs" priority="354" operator="lessThan" dxfId="1">
      <formula>$N$3</formula>
    </cfRule>
  </conditionalFormatting>
  <conditionalFormatting sqref="AW88">
    <cfRule type="cellIs" priority="353" operator="lessThan" dxfId="1">
      <formula>$N$3</formula>
    </cfRule>
  </conditionalFormatting>
  <conditionalFormatting sqref="AW89">
    <cfRule type="cellIs" priority="329" operator="lessThan" dxfId="1">
      <formula>$N$3</formula>
    </cfRule>
  </conditionalFormatting>
  <conditionalFormatting sqref="AW90">
    <cfRule type="cellIs" priority="157" operator="lessThan" dxfId="1">
      <formula>$N$3</formula>
    </cfRule>
  </conditionalFormatting>
  <conditionalFormatting sqref="AW93">
    <cfRule type="cellIs" priority="159" operator="lessThan" dxfId="1">
      <formula>$N$3</formula>
    </cfRule>
  </conditionalFormatting>
  <conditionalFormatting sqref="AW94">
    <cfRule type="cellIs" priority="158" operator="lessThan" dxfId="1">
      <formula>$N$3</formula>
    </cfRule>
  </conditionalFormatting>
  <conditionalFormatting sqref="AW95">
    <cfRule type="cellIs" priority="273" operator="lessThan" dxfId="1">
      <formula>$N$3</formula>
    </cfRule>
  </conditionalFormatting>
  <conditionalFormatting sqref="AW98">
    <cfRule type="cellIs" priority="347" operator="lessThan" dxfId="1">
      <formula>$N$3</formula>
    </cfRule>
  </conditionalFormatting>
  <conditionalFormatting sqref="AW99">
    <cfRule type="cellIs" priority="345" operator="lessThan" dxfId="1">
      <formula>$N$3</formula>
    </cfRule>
  </conditionalFormatting>
  <conditionalFormatting sqref="AW100">
    <cfRule type="cellIs" priority="344" operator="lessThan" dxfId="1">
      <formula>$N$3</formula>
    </cfRule>
  </conditionalFormatting>
  <conditionalFormatting sqref="AW101">
    <cfRule type="cellIs" priority="343" operator="lessThan" dxfId="1">
      <formula>$N$3</formula>
    </cfRule>
  </conditionalFormatting>
  <conditionalFormatting sqref="AW102">
    <cfRule type="cellIs" priority="323" operator="lessThan" dxfId="1">
      <formula>$N$3</formula>
    </cfRule>
  </conditionalFormatting>
  <conditionalFormatting sqref="AW103">
    <cfRule type="cellIs" priority="324" operator="lessThan" dxfId="1">
      <formula>$N$3</formula>
    </cfRule>
  </conditionalFormatting>
  <conditionalFormatting sqref="AW104">
    <cfRule type="cellIs" priority="248" operator="lessThan" dxfId="1">
      <formula>$N$3</formula>
    </cfRule>
  </conditionalFormatting>
  <conditionalFormatting sqref="AW105">
    <cfRule type="cellIs" priority="249" operator="lessThan" dxfId="1">
      <formula>$N$3</formula>
    </cfRule>
  </conditionalFormatting>
  <conditionalFormatting sqref="AW107">
    <cfRule type="cellIs" priority="183" operator="lessThan" dxfId="1">
      <formula>$N$3</formula>
    </cfRule>
  </conditionalFormatting>
  <conditionalFormatting sqref="AW108">
    <cfRule type="cellIs" priority="184" operator="lessThan" dxfId="1">
      <formula>$N$3</formula>
    </cfRule>
  </conditionalFormatting>
  <conditionalFormatting sqref="AW109">
    <cfRule type="cellIs" priority="185" operator="lessThan" dxfId="1">
      <formula>$N$3</formula>
    </cfRule>
  </conditionalFormatting>
  <conditionalFormatting sqref="AW110">
    <cfRule type="cellIs" priority="311" operator="lessThan" dxfId="1">
      <formula>$N$3</formula>
    </cfRule>
  </conditionalFormatting>
  <conditionalFormatting sqref="AW111">
    <cfRule type="cellIs" priority="330" operator="lessThan" dxfId="1">
      <formula>$N$3</formula>
    </cfRule>
  </conditionalFormatting>
  <conditionalFormatting sqref="AW112">
    <cfRule type="cellIs" priority="272" operator="lessThan" dxfId="1">
      <formula>$N$3</formula>
    </cfRule>
  </conditionalFormatting>
  <conditionalFormatting sqref="AW113">
    <cfRule type="cellIs" priority="271" operator="lessThan" dxfId="1">
      <formula>$N$3</formula>
    </cfRule>
  </conditionalFormatting>
  <conditionalFormatting sqref="AW114">
    <cfRule type="cellIs" priority="317" operator="lessThan" dxfId="1">
      <formula>$N$3</formula>
    </cfRule>
  </conditionalFormatting>
  <conditionalFormatting sqref="AW115">
    <cfRule type="cellIs" priority="318" operator="lessThan" dxfId="1">
      <formula>$N$3</formula>
    </cfRule>
  </conditionalFormatting>
  <conditionalFormatting sqref="AW116">
    <cfRule type="cellIs" priority="313" operator="lessThan" dxfId="1">
      <formula>$N$3</formula>
    </cfRule>
  </conditionalFormatting>
  <conditionalFormatting sqref="AW118">
    <cfRule type="cellIs" priority="257" operator="lessThan" dxfId="1">
      <formula>$N$3</formula>
    </cfRule>
  </conditionalFormatting>
  <conditionalFormatting sqref="AW119">
    <cfRule type="cellIs" priority="211" operator="lessThan" dxfId="1">
      <formula>$N$3</formula>
    </cfRule>
  </conditionalFormatting>
  <conditionalFormatting sqref="AW120">
    <cfRule type="cellIs" priority="210" operator="lessThan" dxfId="1">
      <formula>$N$3</formula>
    </cfRule>
  </conditionalFormatting>
  <conditionalFormatting sqref="AW121">
    <cfRule type="cellIs" priority="207" operator="lessThan" dxfId="1">
      <formula>$N$3</formula>
    </cfRule>
  </conditionalFormatting>
  <conditionalFormatting sqref="AW122">
    <cfRule type="cellIs" priority="208" operator="lessThan" dxfId="1">
      <formula>$N$3</formula>
    </cfRule>
  </conditionalFormatting>
  <conditionalFormatting sqref="AW123">
    <cfRule type="cellIs" priority="209" operator="lessThan" dxfId="1">
      <formula>$N$3</formula>
    </cfRule>
  </conditionalFormatting>
  <conditionalFormatting sqref="AW124">
    <cfRule type="cellIs" priority="156" operator="lessThan" dxfId="1">
      <formula>$N$3</formula>
    </cfRule>
  </conditionalFormatting>
  <conditionalFormatting sqref="AW125">
    <cfRule type="cellIs" priority="155" operator="lessThan" dxfId="1">
      <formula>$N$3</formula>
    </cfRule>
  </conditionalFormatting>
  <conditionalFormatting sqref="AW126">
    <cfRule type="cellIs" priority="206" operator="lessThan" dxfId="1">
      <formula>$N$3</formula>
    </cfRule>
  </conditionalFormatting>
  <conditionalFormatting sqref="AW127">
    <cfRule type="cellIs" priority="175" operator="lessThan" dxfId="1">
      <formula>$N$3</formula>
    </cfRule>
  </conditionalFormatting>
  <conditionalFormatting sqref="AW128">
    <cfRule type="cellIs" priority="176" operator="lessThan" dxfId="1">
      <formula>$N$3</formula>
    </cfRule>
  </conditionalFormatting>
  <conditionalFormatting sqref="AW129">
    <cfRule type="cellIs" priority="177" operator="lessThan" dxfId="1">
      <formula>$N$3</formula>
    </cfRule>
  </conditionalFormatting>
  <conditionalFormatting sqref="AW130">
    <cfRule type="cellIs" priority="178" operator="lessThan" dxfId="1">
      <formula>$N$3</formula>
    </cfRule>
  </conditionalFormatting>
  <conditionalFormatting sqref="AW131">
    <cfRule type="cellIs" priority="179" operator="lessThan" dxfId="1">
      <formula>$N$3</formula>
    </cfRule>
  </conditionalFormatting>
  <conditionalFormatting sqref="AW132">
    <cfRule type="cellIs" priority="152" operator="lessThan" dxfId="1">
      <formula>$N$3</formula>
    </cfRule>
  </conditionalFormatting>
  <conditionalFormatting sqref="AW133">
    <cfRule type="cellIs" priority="153" operator="lessThan" dxfId="1">
      <formula>$N$3</formula>
    </cfRule>
  </conditionalFormatting>
  <conditionalFormatting sqref="AW134">
    <cfRule type="cellIs" priority="154" operator="lessThan" dxfId="1">
      <formula>$N$3</formula>
    </cfRule>
  </conditionalFormatting>
  <conditionalFormatting sqref="AW135">
    <cfRule type="cellIs" priority="180" operator="lessThan" dxfId="1">
      <formula>$N$3</formula>
    </cfRule>
  </conditionalFormatting>
  <conditionalFormatting sqref="AW136">
    <cfRule type="cellIs" priority="181" operator="lessThan" dxfId="1">
      <formula>$N$3</formula>
    </cfRule>
  </conditionalFormatting>
  <conditionalFormatting sqref="AW137">
    <cfRule type="cellIs" priority="182" operator="lessThan" dxfId="1">
      <formula>$N$3</formula>
    </cfRule>
  </conditionalFormatting>
  <conditionalFormatting sqref="AW138">
    <cfRule type="cellIs" priority="205" operator="lessThan" dxfId="1">
      <formula>$N$3</formula>
    </cfRule>
  </conditionalFormatting>
  <conditionalFormatting sqref="AW139">
    <cfRule type="cellIs" priority="340" operator="lessThan" dxfId="1">
      <formula>$N$3</formula>
    </cfRule>
  </conditionalFormatting>
  <conditionalFormatting sqref="AW140">
    <cfRule type="cellIs" priority="277" operator="lessThan" dxfId="1">
      <formula>$N$3</formula>
    </cfRule>
  </conditionalFormatting>
  <conditionalFormatting sqref="AW141">
    <cfRule type="cellIs" priority="224" operator="lessThan" dxfId="1">
      <formula>$N$3</formula>
    </cfRule>
  </conditionalFormatting>
  <conditionalFormatting sqref="AW142">
    <cfRule type="cellIs" priority="227" operator="lessThan" dxfId="1">
      <formula>$N$3</formula>
    </cfRule>
  </conditionalFormatting>
  <conditionalFormatting sqref="AW143">
    <cfRule type="cellIs" priority="228" operator="lessThan" dxfId="1">
      <formula>$N$3</formula>
    </cfRule>
  </conditionalFormatting>
  <conditionalFormatting sqref="AW144">
    <cfRule type="cellIs" priority="223" operator="lessThan" dxfId="1">
      <formula>$N$3</formula>
    </cfRule>
  </conditionalFormatting>
  <conditionalFormatting sqref="AW145">
    <cfRule type="cellIs" priority="222" operator="lessThan" dxfId="1">
      <formula>$N$3</formula>
    </cfRule>
  </conditionalFormatting>
  <conditionalFormatting sqref="AW146">
    <cfRule type="cellIs" priority="221" operator="lessThan" dxfId="1">
      <formula>$N$3</formula>
    </cfRule>
  </conditionalFormatting>
  <conditionalFormatting sqref="AW147">
    <cfRule type="cellIs" priority="220" operator="lessThan" dxfId="1">
      <formula>$N$3</formula>
    </cfRule>
  </conditionalFormatting>
  <conditionalFormatting sqref="AW148">
    <cfRule type="cellIs" priority="339" operator="lessThan" dxfId="1">
      <formula>$N$3</formula>
    </cfRule>
  </conditionalFormatting>
  <conditionalFormatting sqref="AW150">
    <cfRule type="cellIs" priority="308" operator="lessThan" dxfId="1">
      <formula>$N$3</formula>
    </cfRule>
  </conditionalFormatting>
  <conditionalFormatting sqref="AW151">
    <cfRule type="cellIs" priority="309" operator="lessThan" dxfId="1">
      <formula>$N$3</formula>
    </cfRule>
  </conditionalFormatting>
  <conditionalFormatting sqref="AW153">
    <cfRule type="cellIs" priority="346" operator="lessThan" dxfId="1">
      <formula>$N$3</formula>
    </cfRule>
  </conditionalFormatting>
  <conditionalFormatting sqref="AW155">
    <cfRule type="cellIs" priority="286" operator="lessThan" dxfId="1">
      <formula>$N$3</formula>
    </cfRule>
  </conditionalFormatting>
  <conditionalFormatting sqref="AW156">
    <cfRule type="cellIs" priority="307" operator="lessThan" dxfId="1">
      <formula>$N$3</formula>
    </cfRule>
  </conditionalFormatting>
  <conditionalFormatting sqref="AW158">
    <cfRule type="cellIs" priority="269" operator="lessThan" dxfId="1">
      <formula>$N$3</formula>
    </cfRule>
  </conditionalFormatting>
  <conditionalFormatting sqref="AW159">
    <cfRule type="cellIs" priority="306" operator="lessThan" dxfId="1">
      <formula>$N$3</formula>
    </cfRule>
  </conditionalFormatting>
  <conditionalFormatting sqref="AW162">
    <cfRule type="cellIs" priority="291" operator="lessThan" dxfId="1">
      <formula>$N$3</formula>
    </cfRule>
  </conditionalFormatting>
  <conditionalFormatting sqref="AW163">
    <cfRule type="cellIs" priority="305" operator="lessThan" dxfId="1">
      <formula>$N$3</formula>
    </cfRule>
  </conditionalFormatting>
  <conditionalFormatting sqref="AW164">
    <cfRule type="cellIs" priority="316" operator="lessThan" dxfId="1">
      <formula>$N$3</formula>
    </cfRule>
  </conditionalFormatting>
  <conditionalFormatting sqref="AW165">
    <cfRule type="cellIs" priority="304" operator="lessThan" dxfId="1">
      <formula>$N$3</formula>
    </cfRule>
  </conditionalFormatting>
  <conditionalFormatting sqref="AW168">
    <cfRule type="cellIs" priority="285" operator="lessThan" dxfId="1">
      <formula>$N$3</formula>
    </cfRule>
  </conditionalFormatting>
  <conditionalFormatting sqref="AW169">
    <cfRule type="cellIs" priority="303" operator="lessThan" dxfId="1">
      <formula>$N$3</formula>
    </cfRule>
  </conditionalFormatting>
  <conditionalFormatting sqref="AW171">
    <cfRule type="cellIs" priority="226" operator="lessThan" dxfId="1">
      <formula>$N$3</formula>
    </cfRule>
  </conditionalFormatting>
  <conditionalFormatting sqref="AW172">
    <cfRule type="cellIs" priority="283" operator="lessThan" dxfId="1">
      <formula>$N$3</formula>
    </cfRule>
  </conditionalFormatting>
  <conditionalFormatting sqref="AW174">
    <cfRule type="cellIs" priority="302" operator="lessThan" dxfId="1">
      <formula>$N$3</formula>
    </cfRule>
  </conditionalFormatting>
  <conditionalFormatting sqref="AW176">
    <cfRule type="cellIs" priority="301" operator="lessThan" dxfId="1">
      <formula>$N$3</formula>
    </cfRule>
  </conditionalFormatting>
  <conditionalFormatting sqref="AW177">
    <cfRule type="cellIs" priority="351" operator="lessThan" dxfId="1">
      <formula>$N$3</formula>
    </cfRule>
  </conditionalFormatting>
  <conditionalFormatting sqref="AW178">
    <cfRule type="cellIs" priority="326" operator="lessThan" dxfId="1">
      <formula>$N$3</formula>
    </cfRule>
  </conditionalFormatting>
  <conditionalFormatting sqref="AW180">
    <cfRule type="cellIs" priority="299" operator="lessThan" dxfId="1">
      <formula>$N$3</formula>
    </cfRule>
  </conditionalFormatting>
  <conditionalFormatting sqref="AW181">
    <cfRule type="cellIs" priority="300" operator="lessThan" dxfId="1">
      <formula>$N$3</formula>
    </cfRule>
  </conditionalFormatting>
  <conditionalFormatting sqref="AW183">
    <cfRule type="cellIs" priority="290" operator="lessThan" dxfId="1">
      <formula>$N$3</formula>
    </cfRule>
  </conditionalFormatting>
  <conditionalFormatting sqref="AW184">
    <cfRule type="cellIs" priority="325" operator="lessThan" dxfId="1">
      <formula>$N$3</formula>
    </cfRule>
  </conditionalFormatting>
  <conditionalFormatting sqref="AW185">
    <cfRule type="cellIs" priority="268" operator="lessThan" dxfId="1">
      <formula>$N$3</formula>
    </cfRule>
  </conditionalFormatting>
  <conditionalFormatting sqref="AW186">
    <cfRule type="cellIs" priority="321" operator="lessThan" dxfId="1">
      <formula>$N$3</formula>
    </cfRule>
  </conditionalFormatting>
  <conditionalFormatting sqref="AW187">
    <cfRule type="cellIs" priority="258" operator="lessThan" dxfId="1">
      <formula>$N$3</formula>
    </cfRule>
  </conditionalFormatting>
  <conditionalFormatting sqref="AW188">
    <cfRule type="cellIs" priority="259" operator="lessThan" dxfId="1">
      <formula>$N$3</formula>
    </cfRule>
  </conditionalFormatting>
  <conditionalFormatting sqref="AW189">
    <cfRule type="cellIs" priority="320" operator="lessThan" dxfId="1">
      <formula>$N$3</formula>
    </cfRule>
  </conditionalFormatting>
  <conditionalFormatting sqref="AW190">
    <cfRule type="cellIs" priority="278" operator="lessThan" dxfId="1">
      <formula>$N$3</formula>
    </cfRule>
  </conditionalFormatting>
  <conditionalFormatting sqref="AW191">
    <cfRule type="cellIs" priority="322" operator="lessThan" dxfId="1">
      <formula>$N$3</formula>
    </cfRule>
  </conditionalFormatting>
  <conditionalFormatting sqref="AW192">
    <cfRule type="cellIs" priority="270" operator="lessThan" dxfId="1">
      <formula>$N$3</formula>
    </cfRule>
  </conditionalFormatting>
  <conditionalFormatting sqref="AW194">
    <cfRule type="cellIs" priority="284" operator="lessThan" dxfId="1">
      <formula>$N$3</formula>
    </cfRule>
  </conditionalFormatting>
  <conditionalFormatting sqref="AW195">
    <cfRule type="cellIs" priority="298" operator="lessThan" dxfId="1">
      <formula>$N$3</formula>
    </cfRule>
  </conditionalFormatting>
  <conditionalFormatting sqref="AW197">
    <cfRule type="cellIs" priority="279" operator="lessThan" dxfId="1">
      <formula>$N$3</formula>
    </cfRule>
  </conditionalFormatting>
  <conditionalFormatting sqref="AW199">
    <cfRule type="cellIs" priority="327" operator="lessThan" dxfId="1">
      <formula>$N$3</formula>
    </cfRule>
  </conditionalFormatting>
  <conditionalFormatting sqref="AW200">
    <cfRule type="cellIs" priority="288" operator="lessThan" dxfId="1">
      <formula>$N$3</formula>
    </cfRule>
  </conditionalFormatting>
  <conditionalFormatting sqref="AW202">
    <cfRule type="cellIs" priority="297" operator="lessThan" dxfId="1">
      <formula>$N$3</formula>
    </cfRule>
  </conditionalFormatting>
  <conditionalFormatting sqref="AW203">
    <cfRule type="cellIs" priority="289" operator="lessThan" dxfId="1">
      <formula>$N$3</formula>
    </cfRule>
  </conditionalFormatting>
  <conditionalFormatting sqref="AW206">
    <cfRule type="cellIs" priority="282" operator="lessThan" dxfId="1">
      <formula>$N$3</formula>
    </cfRule>
  </conditionalFormatting>
  <conditionalFormatting sqref="AW207">
    <cfRule type="cellIs" priority="263" operator="lessThan" dxfId="1">
      <formula>$N$3</formula>
    </cfRule>
  </conditionalFormatting>
  <conditionalFormatting sqref="AW208">
    <cfRule type="cellIs" priority="296" operator="lessThan" dxfId="1">
      <formula>$N$3</formula>
    </cfRule>
  </conditionalFormatting>
  <conditionalFormatting sqref="AW210">
    <cfRule type="cellIs" priority="281" operator="lessThan" dxfId="1">
      <formula>$N$3</formula>
    </cfRule>
  </conditionalFormatting>
  <conditionalFormatting sqref="AW211">
    <cfRule type="cellIs" priority="295" operator="lessThan" dxfId="1">
      <formula>$N$3</formula>
    </cfRule>
  </conditionalFormatting>
  <conditionalFormatting sqref="AW212">
    <cfRule type="cellIs" priority="280" operator="lessThan" dxfId="1">
      <formula>$N$3</formula>
    </cfRule>
  </conditionalFormatting>
  <conditionalFormatting sqref="AW213">
    <cfRule type="cellIs" priority="319" operator="lessThan" dxfId="1">
      <formula>$N$3</formula>
    </cfRule>
  </conditionalFormatting>
  <conditionalFormatting sqref="AW214">
    <cfRule type="cellIs" priority="261" operator="lessThan" dxfId="1">
      <formula>$N$3</formula>
    </cfRule>
  </conditionalFormatting>
  <conditionalFormatting sqref="AW215">
    <cfRule type="cellIs" priority="294" operator="lessThan" dxfId="1">
      <formula>$N$3</formula>
    </cfRule>
  </conditionalFormatting>
  <conditionalFormatting sqref="AW216">
    <cfRule type="cellIs" priority="262" operator="lessThan" dxfId="1">
      <formula>$N$3</formula>
    </cfRule>
  </conditionalFormatting>
  <conditionalFormatting sqref="AW217">
    <cfRule type="cellIs" priority="336" operator="lessThan" dxfId="1">
      <formula>$N$3</formula>
    </cfRule>
  </conditionalFormatting>
  <conditionalFormatting sqref="AW220">
    <cfRule type="cellIs" priority="267" operator="lessThan" dxfId="1">
      <formula>$N$3</formula>
    </cfRule>
  </conditionalFormatting>
  <conditionalFormatting sqref="AW222">
    <cfRule type="cellIs" priority="333" operator="lessThan" dxfId="1">
      <formula>$N$3</formula>
    </cfRule>
  </conditionalFormatting>
  <conditionalFormatting sqref="AW223">
    <cfRule type="cellIs" priority="334" operator="lessThan" dxfId="1">
      <formula>$N$3</formula>
    </cfRule>
  </conditionalFormatting>
  <conditionalFormatting sqref="AW225">
    <cfRule type="cellIs" priority="293" operator="lessThan" dxfId="1">
      <formula>$N$3</formula>
    </cfRule>
  </conditionalFormatting>
  <conditionalFormatting sqref="AW226">
    <cfRule type="cellIs" priority="260" operator="lessThan" dxfId="1">
      <formula>$N$3</formula>
    </cfRule>
  </conditionalFormatting>
  <conditionalFormatting sqref="AW229">
    <cfRule type="cellIs" priority="355" operator="lessThan" dxfId="1">
      <formula>$N$3</formula>
    </cfRule>
  </conditionalFormatting>
  <conditionalFormatting sqref="AW238">
    <cfRule type="cellIs" priority="292" operator="lessThan" dxfId="1">
      <formula>$N$3</formula>
    </cfRule>
  </conditionalFormatting>
  <conditionalFormatting sqref="AW242">
    <cfRule type="cellIs" priority="310" operator="lessThan" dxfId="1">
      <formula>$N$3</formula>
    </cfRule>
  </conditionalFormatting>
  <conditionalFormatting sqref="AW245">
    <cfRule type="cellIs" priority="254" operator="lessThan" dxfId="1">
      <formula>$N$3</formula>
    </cfRule>
  </conditionalFormatting>
  <conditionalFormatting sqref="AW246">
    <cfRule type="cellIs" priority="255" operator="lessThan" dxfId="1">
      <formula>$N$3</formula>
    </cfRule>
  </conditionalFormatting>
  <conditionalFormatting sqref="AW250">
    <cfRule type="cellIs" priority="352" operator="lessThan" dxfId="1">
      <formula>$N$3</formula>
    </cfRule>
  </conditionalFormatting>
  <conditionalFormatting sqref="AW263">
    <cfRule type="cellIs" priority="252" operator="lessThan" dxfId="1">
      <formula>$N$3</formula>
    </cfRule>
  </conditionalFormatting>
  <conditionalFormatting sqref="AW264">
    <cfRule type="cellIs" priority="71" operator="lessThan" dxfId="1">
      <formula>$N$3</formula>
    </cfRule>
  </conditionalFormatting>
  <conditionalFormatting sqref="AW267">
    <cfRule type="cellIs" priority="77" operator="lessThan" dxfId="1">
      <formula>$N$3</formula>
    </cfRule>
  </conditionalFormatting>
  <conditionalFormatting sqref="AW268">
    <cfRule type="cellIs" priority="80" operator="lessThan" dxfId="1">
      <formula>$N$3</formula>
    </cfRule>
  </conditionalFormatting>
  <conditionalFormatting sqref="AW272">
    <cfRule type="cellIs" priority="22" operator="lessThan" dxfId="1">
      <formula>$N$3</formula>
    </cfRule>
  </conditionalFormatting>
  <conditionalFormatting sqref="AW275">
    <cfRule type="cellIs" priority="73" operator="lessThan" dxfId="1">
      <formula>$N$3</formula>
    </cfRule>
  </conditionalFormatting>
  <conditionalFormatting sqref="AW276">
    <cfRule type="cellIs" priority="74" operator="lessThan" dxfId="1">
      <formula>$N$3</formula>
    </cfRule>
  </conditionalFormatting>
  <conditionalFormatting sqref="AW277">
    <cfRule type="cellIs" priority="75" operator="lessThan" dxfId="1">
      <formula>$N$3</formula>
    </cfRule>
  </conditionalFormatting>
  <conditionalFormatting sqref="AW280">
    <cfRule type="cellIs" priority="69" operator="lessThan" dxfId="1">
      <formula>$N$3</formula>
    </cfRule>
  </conditionalFormatting>
  <conditionalFormatting sqref="AW281">
    <cfRule type="cellIs" priority="70" operator="lessThan" dxfId="1">
      <formula>$N$3</formula>
    </cfRule>
  </conditionalFormatting>
  <conditionalFormatting sqref="AW282">
    <cfRule type="cellIs" priority="76" operator="lessThan" dxfId="1">
      <formula>$N$3</formula>
    </cfRule>
  </conditionalFormatting>
  <conditionalFormatting sqref="AW285">
    <cfRule type="cellIs" priority="79" operator="lessThan" dxfId="1">
      <formula>$N$3</formula>
    </cfRule>
  </conditionalFormatting>
  <conditionalFormatting sqref="AW287">
    <cfRule type="cellIs" priority="78" operator="lessThan" dxfId="1">
      <formula>$N$3</formula>
    </cfRule>
  </conditionalFormatting>
  <conditionalFormatting sqref="AW293">
    <cfRule type="cellIs" priority="72" operator="lessThan" dxfId="1">
      <formula>$N$3</formula>
    </cfRule>
  </conditionalFormatting>
  <conditionalFormatting sqref="AW295">
    <cfRule type="cellIs" priority="81" operator="lessThan" dxfId="1">
      <formula>$N$3</formula>
    </cfRule>
  </conditionalFormatting>
  <conditionalFormatting sqref="AW296">
    <cfRule type="cellIs" priority="84" operator="lessThan" dxfId="1">
      <formula>$N$3</formula>
    </cfRule>
  </conditionalFormatting>
  <conditionalFormatting sqref="AW297">
    <cfRule type="cellIs" priority="83" operator="lessThan" dxfId="1">
      <formula>$N$3</formula>
    </cfRule>
  </conditionalFormatting>
  <conditionalFormatting sqref="AW299">
    <cfRule type="cellIs" priority="66" operator="lessThan" dxfId="1">
      <formula>$N$3</formula>
    </cfRule>
  </conditionalFormatting>
  <conditionalFormatting sqref="AW300">
    <cfRule type="cellIs" priority="67" operator="lessThan" dxfId="1">
      <formula>$N$3</formula>
    </cfRule>
  </conditionalFormatting>
  <conditionalFormatting sqref="AW302">
    <cfRule type="cellIs" priority="68" operator="lessThan" dxfId="1">
      <formula>$N$3</formula>
    </cfRule>
  </conditionalFormatting>
  <conditionalFormatting sqref="AW304">
    <cfRule type="cellIs" priority="253" operator="lessThan" dxfId="1">
      <formula>$N$3</formula>
    </cfRule>
  </conditionalFormatting>
  <conditionalFormatting sqref="AW307">
    <cfRule type="cellIs" priority="287" operator="lessThan" dxfId="1">
      <formula>$N$3</formula>
    </cfRule>
  </conditionalFormatting>
  <conditionalFormatting sqref="AW308">
    <cfRule type="cellIs" priority="31" operator="lessThan" dxfId="1">
      <formula>$N$3</formula>
    </cfRule>
  </conditionalFormatting>
  <conditionalFormatting sqref="AW309">
    <cfRule type="cellIs" priority="315" operator="lessThan" dxfId="1">
      <formula>$N$3</formula>
    </cfRule>
  </conditionalFormatting>
  <conditionalFormatting sqref="AW315">
    <cfRule type="cellIs" priority="264" operator="lessThan" dxfId="1">
      <formula>$N$3</formula>
    </cfRule>
  </conditionalFormatting>
  <conditionalFormatting sqref="AW316">
    <cfRule type="cellIs" priority="265" operator="lessThan" dxfId="1">
      <formula>$N$3</formula>
    </cfRule>
  </conditionalFormatting>
  <conditionalFormatting sqref="AW317">
    <cfRule type="cellIs" priority="266" operator="lessThan" dxfId="1">
      <formula>$N$3</formula>
    </cfRule>
  </conditionalFormatting>
  <conditionalFormatting sqref="AW319">
    <cfRule type="cellIs" priority="27" operator="lessThan" dxfId="1">
      <formula>$N$3</formula>
    </cfRule>
  </conditionalFormatting>
  <conditionalFormatting sqref="AW321">
    <cfRule type="cellIs" priority="250" operator="lessThan" dxfId="1">
      <formula>$N$3</formula>
    </cfRule>
  </conditionalFormatting>
  <conditionalFormatting sqref="AW322">
    <cfRule type="cellIs" priority="251" operator="lessThan" dxfId="1">
      <formula>$N$3</formula>
    </cfRule>
  </conditionalFormatting>
  <conditionalFormatting sqref="AW323">
    <cfRule type="cellIs" priority="276" operator="lessThan" dxfId="1">
      <formula>$N$3</formula>
    </cfRule>
  </conditionalFormatting>
  <conditionalFormatting sqref="AW326">
    <cfRule type="cellIs" priority="314" operator="lessThan" dxfId="1">
      <formula>$N$3</formula>
    </cfRule>
  </conditionalFormatting>
  <conditionalFormatting sqref="AW328">
    <cfRule type="cellIs" priority="312" operator="lessThan" dxfId="1">
      <formula>$N$3</formula>
    </cfRule>
  </conditionalFormatting>
  <conditionalFormatting sqref="AW334">
    <cfRule type="cellIs" priority="44" operator="lessThan" dxfId="1">
      <formula>$N$3</formula>
    </cfRule>
  </conditionalFormatting>
  <conditionalFormatting sqref="AW336">
    <cfRule type="cellIs" priority="45" operator="lessThan" dxfId="1">
      <formula>$N$3</formula>
    </cfRule>
  </conditionalFormatting>
  <conditionalFormatting sqref="AW337">
    <cfRule type="cellIs" priority="25" operator="lessThan" dxfId="1">
      <formula>$N$3</formula>
    </cfRule>
  </conditionalFormatting>
  <conditionalFormatting sqref="AW338">
    <cfRule type="cellIs" priority="47" operator="lessThan" dxfId="1">
      <formula>$N$3</formula>
    </cfRule>
  </conditionalFormatting>
  <conditionalFormatting sqref="AW339">
    <cfRule type="cellIs" priority="46" operator="lessThan" dxfId="1">
      <formula>$N$3</formula>
    </cfRule>
  </conditionalFormatting>
  <conditionalFormatting sqref="AW341">
    <cfRule type="cellIs" priority="41" operator="lessThan" dxfId="1">
      <formula>$N$3</formula>
    </cfRule>
  </conditionalFormatting>
  <conditionalFormatting sqref="AW342">
    <cfRule type="cellIs" priority="42" operator="lessThan" dxfId="1">
      <formula>$N$3</formula>
    </cfRule>
  </conditionalFormatting>
  <conditionalFormatting sqref="AW344">
    <cfRule type="cellIs" priority="43" operator="lessThan" dxfId="1">
      <formula>$N$3</formula>
    </cfRule>
  </conditionalFormatting>
  <conditionalFormatting sqref="AW348">
    <cfRule type="cellIs" priority="29" operator="lessThan" dxfId="1">
      <formula>$N$3</formula>
    </cfRule>
  </conditionalFormatting>
  <conditionalFormatting sqref="AW352">
    <cfRule type="cellIs" priority="35" operator="lessThan" dxfId="1">
      <formula>$N$3</formula>
    </cfRule>
  </conditionalFormatting>
  <conditionalFormatting sqref="AW354">
    <cfRule type="cellIs" priority="36" operator="lessThan" dxfId="1">
      <formula>$N$3</formula>
    </cfRule>
  </conditionalFormatting>
  <conditionalFormatting sqref="AW355">
    <cfRule type="cellIs" priority="38" operator="lessThan" dxfId="1">
      <formula>$N$3</formula>
    </cfRule>
  </conditionalFormatting>
  <conditionalFormatting sqref="AW356">
    <cfRule type="cellIs" priority="37" operator="lessThan" dxfId="1">
      <formula>$N$3</formula>
    </cfRule>
  </conditionalFormatting>
  <conditionalFormatting sqref="AW358">
    <cfRule type="cellIs" priority="33" operator="lessThan" dxfId="1">
      <formula>$N$3</formula>
    </cfRule>
  </conditionalFormatting>
  <conditionalFormatting sqref="AW359">
    <cfRule type="cellIs" priority="34" operator="lessThan" dxfId="1">
      <formula>$N$3</formula>
    </cfRule>
  </conditionalFormatting>
  <conditionalFormatting sqref="AW362">
    <cfRule type="cellIs" priority="256" operator="lessThan" dxfId="1">
      <formula>$N$3</formula>
    </cfRule>
  </conditionalFormatting>
  <conditionalFormatting sqref="AW364">
    <cfRule type="cellIs" priority="331" operator="lessThan" dxfId="1">
      <formula>$N$3</formula>
    </cfRule>
  </conditionalFormatting>
  <conditionalFormatting sqref="AW365">
    <cfRule type="cellIs" priority="350" operator="lessThan" dxfId="1">
      <formula>$N$3</formula>
    </cfRule>
  </conditionalFormatting>
  <conditionalFormatting sqref="AW366">
    <cfRule type="cellIs" priority="338" operator="lessThan" dxfId="1">
      <formula>$N$3</formula>
    </cfRule>
  </conditionalFormatting>
  <conditionalFormatting sqref="AW368">
    <cfRule type="cellIs" priority="218" operator="lessThan" dxfId="1">
      <formula>$N$3</formula>
    </cfRule>
  </conditionalFormatting>
  <conditionalFormatting sqref="AW369">
    <cfRule type="cellIs" priority="219" operator="lessThan" dxfId="1">
      <formula>$N$3</formula>
    </cfRule>
  </conditionalFormatting>
  <conditionalFormatting sqref="AW371">
    <cfRule type="cellIs" priority="225" operator="lessThan" dxfId="1">
      <formula>$N$3</formula>
    </cfRule>
  </conditionalFormatting>
  <conditionalFormatting sqref="AW375">
    <cfRule type="cellIs" priority="349" operator="lessThan" dxfId="1">
      <formula>$N$3</formula>
    </cfRule>
  </conditionalFormatting>
  <conditionalFormatting sqref="G382">
    <cfRule type="duplicateValues" priority="145" dxfId="2"/>
  </conditionalFormatting>
  <conditionalFormatting sqref="G384">
    <cfRule type="duplicateValues" priority="146" dxfId="2"/>
  </conditionalFormatting>
  <conditionalFormatting sqref="G385">
    <cfRule type="duplicateValues" priority="147" dxfId="2"/>
  </conditionalFormatting>
  <conditionalFormatting sqref="BS386">
    <cfRule type="cellIs" priority="94" operator="lessThan" dxfId="1">
      <formula>$N$3</formula>
    </cfRule>
  </conditionalFormatting>
  <conditionalFormatting sqref="BS387">
    <cfRule type="cellIs" priority="95" operator="lessThan" dxfId="1">
      <formula>$N$3</formula>
    </cfRule>
  </conditionalFormatting>
  <conditionalFormatting sqref="BS388">
    <cfRule type="cellIs" priority="96" operator="lessThan" dxfId="1">
      <formula>$N$3</formula>
    </cfRule>
  </conditionalFormatting>
  <conditionalFormatting sqref="BS391">
    <cfRule type="cellIs" priority="91" operator="lessThan" dxfId="1">
      <formula>$N$3</formula>
    </cfRule>
  </conditionalFormatting>
  <conditionalFormatting sqref="BS392">
    <cfRule type="cellIs" priority="92" operator="lessThan" dxfId="1">
      <formula>$N$3</formula>
    </cfRule>
  </conditionalFormatting>
  <conditionalFormatting sqref="G393">
    <cfRule type="duplicateValues" priority="14" dxfId="2"/>
  </conditionalFormatting>
  <conditionalFormatting sqref="BS393">
    <cfRule type="cellIs" priority="13" operator="lessThan" dxfId="1">
      <formula>$N$3</formula>
    </cfRule>
  </conditionalFormatting>
  <conditionalFormatting sqref="BS394">
    <cfRule type="cellIs" priority="97" operator="lessThan" dxfId="1">
      <formula>$N$3</formula>
    </cfRule>
  </conditionalFormatting>
  <conditionalFormatting sqref="G399">
    <cfRule type="duplicateValues" priority="20" dxfId="2"/>
  </conditionalFormatting>
  <conditionalFormatting sqref="BS400">
    <cfRule type="cellIs" priority="98" operator="lessThan" dxfId="1">
      <formula>$N$3</formula>
    </cfRule>
  </conditionalFormatting>
  <conditionalFormatting sqref="BS406">
    <cfRule type="cellIs" priority="93" operator="lessThan" dxfId="1">
      <formula>$N$3</formula>
    </cfRule>
  </conditionalFormatting>
  <conditionalFormatting sqref="BS408">
    <cfRule type="cellIs" priority="100" operator="lessThan" dxfId="1">
      <formula>$N$3</formula>
    </cfRule>
  </conditionalFormatting>
  <conditionalFormatting sqref="BS409">
    <cfRule type="cellIs" priority="103" operator="lessThan" dxfId="1">
      <formula>$N$3</formula>
    </cfRule>
  </conditionalFormatting>
  <conditionalFormatting sqref="BS410">
    <cfRule type="cellIs" priority="101" operator="lessThan" dxfId="1">
      <formula>$N$3</formula>
    </cfRule>
  </conditionalFormatting>
  <conditionalFormatting sqref="BS412">
    <cfRule type="cellIs" priority="88" operator="lessThan" dxfId="1">
      <formula>$N$3</formula>
    </cfRule>
  </conditionalFormatting>
  <conditionalFormatting sqref="BS413">
    <cfRule type="cellIs" priority="89" operator="lessThan" dxfId="1">
      <formula>$N$3</formula>
    </cfRule>
  </conditionalFormatting>
  <conditionalFormatting sqref="BS415">
    <cfRule type="cellIs" priority="90" operator="lessThan" dxfId="1">
      <formula>$N$3</formula>
    </cfRule>
  </conditionalFormatting>
  <conditionalFormatting sqref="BS419">
    <cfRule type="cellIs" priority="102" operator="lessThan" dxfId="1">
      <formula>$N$3</formula>
    </cfRule>
  </conditionalFormatting>
  <conditionalFormatting sqref="G469">
    <cfRule type="duplicateValues" priority="6" dxfId="2"/>
    <cfRule type="duplicateValues" priority="3" dxfId="2"/>
  </conditionalFormatting>
  <conditionalFormatting sqref="G481">
    <cfRule type="duplicateValues" priority="148" dxfId="2"/>
  </conditionalFormatting>
  <conditionalFormatting sqref="AW482">
    <cfRule type="cellIs" priority="118" operator="lessThan" dxfId="1">
      <formula>$N$3</formula>
    </cfRule>
  </conditionalFormatting>
  <conditionalFormatting sqref="AW483">
    <cfRule type="cellIs" priority="117" operator="lessThan" dxfId="1">
      <formula>$N$3</formula>
    </cfRule>
  </conditionalFormatting>
  <conditionalFormatting sqref="G489">
    <cfRule type="duplicateValues" priority="129" dxfId="2"/>
  </conditionalFormatting>
  <conditionalFormatting sqref="AW489">
    <cfRule type="cellIs" priority="128" operator="lessThan" dxfId="1">
      <formula>$N$3</formula>
    </cfRule>
  </conditionalFormatting>
  <conditionalFormatting sqref="AW491">
    <cfRule type="cellIs" priority="124" operator="lessThan" dxfId="1">
      <formula>$N$3</formula>
    </cfRule>
  </conditionalFormatting>
  <conditionalFormatting sqref="AX491">
    <cfRule type="cellIs" priority="122" operator="lessThan" dxfId="1">
      <formula>$N$3</formula>
    </cfRule>
  </conditionalFormatting>
  <conditionalFormatting sqref="AY491">
    <cfRule type="cellIs" priority="121" operator="lessThan" dxfId="1">
      <formula>$N$3</formula>
    </cfRule>
  </conditionalFormatting>
  <conditionalFormatting sqref="G492">
    <cfRule type="duplicateValues" priority="127" dxfId="2"/>
  </conditionalFormatting>
  <conditionalFormatting sqref="AW492">
    <cfRule type="cellIs" priority="126" operator="lessThan" dxfId="1">
      <formula>$N$3</formula>
    </cfRule>
  </conditionalFormatting>
  <conditionalFormatting sqref="G493">
    <cfRule type="duplicateValues" priority="123" dxfId="2"/>
  </conditionalFormatting>
  <conditionalFormatting sqref="G510">
    <cfRule type="duplicateValues" priority="106" dxfId="2"/>
  </conditionalFormatting>
  <conditionalFormatting sqref="G521">
    <cfRule type="duplicateValues" priority="113" dxfId="2"/>
  </conditionalFormatting>
  <conditionalFormatting sqref="AW562">
    <cfRule type="cellIs" priority="139" operator="lessThan" dxfId="1">
      <formula>$N$3</formula>
    </cfRule>
  </conditionalFormatting>
  <conditionalFormatting sqref="AW563">
    <cfRule type="cellIs" priority="138" operator="lessThan" dxfId="1">
      <formula>$N$3</formula>
    </cfRule>
  </conditionalFormatting>
  <conditionalFormatting sqref="E468:E469">
    <cfRule type="duplicateValues" priority="4" dxfId="2"/>
  </conditionalFormatting>
  <conditionalFormatting sqref="G362:G365">
    <cfRule type="duplicateValues" priority="23" dxfId="2"/>
  </conditionalFormatting>
  <conditionalFormatting sqref="G420:G428">
    <cfRule type="duplicateValues" priority="130" dxfId="2"/>
  </conditionalFormatting>
  <conditionalFormatting sqref="G431:G436">
    <cfRule type="duplicateValues" priority="111" dxfId="2"/>
  </conditionalFormatting>
  <conditionalFormatting sqref="G467:G468">
    <cfRule type="duplicateValues" priority="2" dxfId="2"/>
    <cfRule type="duplicateValues" priority="1" dxfId="2"/>
  </conditionalFormatting>
  <conditionalFormatting sqref="G482:G483">
    <cfRule type="duplicateValues" priority="116" dxfId="2"/>
  </conditionalFormatting>
  <conditionalFormatting sqref="G490:G491">
    <cfRule type="duplicateValues" priority="125" dxfId="2"/>
  </conditionalFormatting>
  <conditionalFormatting sqref="G501:G503">
    <cfRule type="duplicateValues" priority="133" dxfId="2"/>
  </conditionalFormatting>
  <conditionalFormatting sqref="G511:G515">
    <cfRule type="duplicateValues" priority="108" dxfId="2"/>
  </conditionalFormatting>
  <conditionalFormatting sqref="G522:G526">
    <cfRule type="duplicateValues" priority="16" dxfId="2"/>
  </conditionalFormatting>
  <conditionalFormatting sqref="G527:G528">
    <cfRule type="duplicateValues" priority="18" dxfId="2"/>
  </conditionalFormatting>
  <conditionalFormatting sqref="G529:G533">
    <cfRule type="duplicateValues" priority="115" dxfId="2"/>
  </conditionalFormatting>
  <conditionalFormatting sqref="AW91:AW92">
    <cfRule type="cellIs" priority="160" operator="lessThan" dxfId="1">
      <formula>$N$3</formula>
    </cfRule>
  </conditionalFormatting>
  <conditionalFormatting sqref="AW273:AW274">
    <cfRule type="cellIs" priority="82" operator="lessThan" dxfId="1">
      <formula>$N$3</formula>
    </cfRule>
  </conditionalFormatting>
  <conditionalFormatting sqref="AW313:AW314">
    <cfRule type="cellIs" priority="332" operator="lessThan" dxfId="1">
      <formula>$N$3</formula>
    </cfRule>
  </conditionalFormatting>
  <conditionalFormatting sqref="AW383:AW420">
    <cfRule type="cellIs" priority="7" operator="lessThan" dxfId="1">
      <formula>$N$3</formula>
    </cfRule>
  </conditionalFormatting>
  <conditionalFormatting sqref="AW441:AW446">
    <cfRule type="cellIs" priority="56" operator="lessThan" dxfId="1">
      <formula>$N$3</formula>
    </cfRule>
  </conditionalFormatting>
  <conditionalFormatting sqref="AW466:AW469">
    <cfRule type="cellIs" priority="5" operator="lessThan" dxfId="1">
      <formula>$N$3</formula>
    </cfRule>
  </conditionalFormatting>
  <conditionalFormatting sqref="AW501:AW503">
    <cfRule type="cellIs" priority="132" operator="lessThan" dxfId="1">
      <formula>$N$3</formula>
    </cfRule>
  </conditionalFormatting>
  <conditionalFormatting sqref="AW509:AW537">
    <cfRule type="cellIs" priority="109" operator="lessThan" dxfId="1">
      <formula>$N$3</formula>
    </cfRule>
  </conditionalFormatting>
  <conditionalFormatting sqref="AW543:AW554">
    <cfRule type="cellIs" priority="143" operator="lessThan" dxfId="1">
      <formula>$N$3</formula>
    </cfRule>
  </conditionalFormatting>
  <conditionalFormatting sqref="AW559:AW561">
    <cfRule type="cellIs" priority="142" operator="lessThan" dxfId="1">
      <formula>$N$3</formula>
    </cfRule>
  </conditionalFormatting>
  <conditionalFormatting sqref="BS397:BS399">
    <cfRule type="cellIs" priority="99" operator="lessThan" dxfId="1">
      <formula>$N$3</formula>
    </cfRule>
  </conditionalFormatting>
  <conditionalFormatting sqref="G1:G7 G374:G381 G383 G386:G392 G394:G397 G429:G430 G437:G438 G470:G480 G484:G488 G494:G500 G504:G508 G520 G534:G572 G575:G1048576">
    <cfRule type="duplicateValues" priority="150" dxfId="2"/>
  </conditionalFormatting>
  <conditionalFormatting sqref="G1:G53 G55:G438 G470:G1048576">
    <cfRule type="duplicateValues" priority="12" dxfId="2"/>
  </conditionalFormatting>
  <conditionalFormatting sqref="AW3 AW5:AW7 AW53 AW56 AW81:AW82 AW96:AW97 AW106 AW117 AW149 AW152 AW154 AW157 AW160:AW161 AW166:AW167 AW170 AW173 AW175 AW179 AW182 AW193 AW196 AW198 AW201 AW204:AW205 AW209 AW218:AW219 AW221 AW224 AW227:AW228 AW230:AW237 AW239:AW241 AW243:AW244 AW247:AW249 AW251:AW262 AW305:AW306 AW310:AW312 AW318 AW320 AW324:AW325 AW327 AW346:AW347 AW349:AW350 AW361 AW363 AW367 AW370 AW372:AW374 AW376">
    <cfRule type="cellIs" priority="358" operator="lessThan" dxfId="1">
      <formula>$N$3</formula>
    </cfRule>
  </conditionalFormatting>
  <conditionalFormatting sqref="G8:G21 G366:G373">
    <cfRule type="duplicateValues" priority="131" dxfId="2"/>
  </conditionalFormatting>
  <conditionalFormatting sqref="G22:G53 G55:G361">
    <cfRule type="duplicateValues" priority="11" dxfId="2"/>
  </conditionalFormatting>
  <conditionalFormatting sqref="AW39 AW41 AW50:AW51">
    <cfRule type="cellIs" priority="204" operator="lessThan" dxfId="1">
      <formula>$N$3</formula>
    </cfRule>
  </conditionalFormatting>
  <conditionalFormatting sqref="AW67:AW68 AW76:AW77">
    <cfRule type="cellIs" priority="194" operator="lessThan" dxfId="1">
      <formula>$N$3</formula>
    </cfRule>
  </conditionalFormatting>
  <conditionalFormatting sqref="AW265:AW266 AW269:AW271 AW278:AW279 AW283:AW284 AW286 AW288:AW292 AW294 AW298 AW301 AW303">
    <cfRule type="cellIs" priority="85" operator="lessThan" dxfId="1">
      <formula>$N$3</formula>
    </cfRule>
  </conditionalFormatting>
  <conditionalFormatting sqref="AW329:AW333 AW335 AW340 AW343 AW345">
    <cfRule type="cellIs" priority="48" operator="lessThan" dxfId="1">
      <formula>$N$3</formula>
    </cfRule>
  </conditionalFormatting>
  <conditionalFormatting sqref="AW351 AW353 AW357 AW360">
    <cfRule type="cellIs" priority="39" operator="lessThan" dxfId="1">
      <formula>$N$3</formula>
    </cfRule>
  </conditionalFormatting>
  <conditionalFormatting sqref="AW382 AW421:AW440 AW447:AW465 AW470:AW481 AW484:AW488 AW494:AW500 AW504:AW508 AW538">
    <cfRule type="cellIs" priority="144" operator="lessThan" dxfId="1">
      <formula>$N$3</formula>
    </cfRule>
  </conditionalFormatting>
  <conditionalFormatting sqref="BS389:BS390 BS395:BS396 BS401:BS405 BS407 BS411 BS414 BS416:BS418">
    <cfRule type="cellIs" priority="104" operator="lessThan" dxfId="1">
      <formula>$N$3</formula>
    </cfRule>
  </conditionalFormatting>
  <conditionalFormatting sqref="G398 G400:G419">
    <cfRule type="duplicateValues" priority="137" dxfId="2"/>
  </conditionalFormatting>
  <conditionalFormatting sqref="E472:E474 E479">
    <cfRule type="duplicateValues" priority="135" dxfId="2"/>
  </conditionalFormatting>
  <conditionalFormatting sqref="G509 G516:G519">
    <cfRule type="duplicateValues" priority="110" dxfId="2"/>
  </conditionalFormatting>
  <pageMargins left="0" right="0" top="0.786805555555556" bottom="0" header="0.5" footer="0.5"/>
  <pageSetup orientation="landscape" paperSize="9" scale="10" horizontalDpi="6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codeName="Sheet14">
    <outlinePr summaryBelow="1" summaryRight="1"/>
    <pageSetUpPr fitToPage="1"/>
  </sheetPr>
  <dimension ref="B2:AS32"/>
  <sheetViews>
    <sheetView topLeftCell="R14" zoomScale="55" zoomScaleNormal="55" workbookViewId="0">
      <selection activeCell="AQ29" sqref="AQ29"/>
    </sheetView>
  </sheetViews>
  <sheetFormatPr baseColWidth="8" defaultColWidth="8.15" defaultRowHeight="13.2"/>
  <cols>
    <col width="2.71666666666667" customWidth="1" style="69" min="1" max="1"/>
    <col width="9.85" customWidth="1" style="69" min="2" max="2"/>
    <col width="11.275" customWidth="1" style="69" min="3" max="3"/>
    <col width="11.5666666666667" customWidth="1" style="69" min="4" max="4"/>
    <col width="9.425000000000001" customWidth="1" style="69" min="5" max="6"/>
    <col width="9.141666666666669" customWidth="1" style="69" min="7" max="7"/>
    <col width="11.425" customWidth="1" style="69" min="8" max="8"/>
    <col width="11.2833333333333" customWidth="1" style="69" min="9" max="9"/>
    <col width="9.41666666666667" customWidth="1" style="69" min="10" max="10"/>
    <col width="9.991666666666671" customWidth="1" style="69" min="11" max="11"/>
    <col width="9.425000000000001" customWidth="1" style="69" min="12" max="12"/>
    <col width="12.1416666666667" customWidth="1" style="69" min="13" max="13"/>
    <col width="11.5666666666667" customWidth="1" style="69" min="14" max="14"/>
    <col width="9.133333333333329" customWidth="1" style="69" min="15" max="17"/>
    <col width="11.5666666666667" customWidth="1" style="69" min="18" max="19"/>
    <col width="9.425000000000001" customWidth="1" style="69" min="20" max="20"/>
    <col width="9.70833333333333" customWidth="1" style="69" min="21" max="22"/>
    <col width="12.7" customWidth="1" style="69" min="23" max="24"/>
    <col width="12.5583333333333" customWidth="1" style="69" min="25" max="25"/>
    <col width="12.875" customWidth="1" style="69" min="26" max="27"/>
    <col width="12.7" customWidth="1" style="69" min="28" max="29"/>
    <col width="12.5583333333333" customWidth="1" style="69" min="30" max="30"/>
    <col width="12.875" customWidth="1" style="69" min="31" max="32"/>
    <col width="12.7" customWidth="1" style="69" min="33" max="34"/>
    <col width="12.5583333333333" customWidth="1" style="69" min="35" max="35"/>
    <col width="12.875" customWidth="1" style="69" min="36" max="37"/>
    <col width="14.7" customWidth="1" style="69" min="38" max="40"/>
    <col width="8.15" customWidth="1" style="69" min="41" max="16384"/>
  </cols>
  <sheetData>
    <row r="2" ht="41" customHeight="1" s="428">
      <c r="B2" s="313" t="inlineStr">
        <is>
          <t>2026年6月销售给出的全钢计划与产能差异</t>
        </is>
      </c>
      <c r="Z2" s="313" t="n"/>
      <c r="AA2" s="313" t="n"/>
      <c r="AB2" s="313" t="n"/>
      <c r="AC2" s="313" t="n"/>
      <c r="AD2" s="313" t="n"/>
      <c r="AE2" s="313" t="n"/>
      <c r="AF2" s="313" t="n"/>
      <c r="AG2" s="313" t="n"/>
      <c r="AH2" s="313" t="n"/>
      <c r="AI2" s="313" t="n"/>
      <c r="AJ2" s="313" t="n"/>
      <c r="AK2" s="313" t="n"/>
    </row>
    <row r="3" ht="26" customHeight="1" s="428">
      <c r="B3" s="293" t="inlineStr">
        <is>
          <t>销售区域</t>
        </is>
      </c>
      <c r="C3" s="293" t="inlineStr">
        <is>
          <t>亚</t>
        </is>
      </c>
      <c r="D3" s="456" t="n"/>
      <c r="E3" s="456" t="n"/>
      <c r="F3" s="456" t="n"/>
      <c r="G3" s="457" t="n"/>
      <c r="H3" s="293" t="inlineStr">
        <is>
          <t>北美</t>
        </is>
      </c>
      <c r="I3" s="456" t="n"/>
      <c r="J3" s="456" t="n"/>
      <c r="K3" s="456" t="n"/>
      <c r="L3" s="457" t="n"/>
      <c r="M3" s="293" t="inlineStr">
        <is>
          <t>南美</t>
        </is>
      </c>
      <c r="N3" s="456" t="n"/>
      <c r="O3" s="456" t="n"/>
      <c r="P3" s="456" t="n"/>
      <c r="Q3" s="457" t="n"/>
      <c r="R3" s="293" t="inlineStr">
        <is>
          <t>非</t>
        </is>
      </c>
      <c r="S3" s="456" t="n"/>
      <c r="T3" s="456" t="n"/>
      <c r="U3" s="456" t="n"/>
      <c r="V3" s="457" t="n"/>
      <c r="W3" s="293" t="inlineStr">
        <is>
          <t>OTR</t>
        </is>
      </c>
      <c r="X3" s="456" t="n"/>
      <c r="Y3" s="456" t="n"/>
      <c r="Z3" s="456" t="n"/>
      <c r="AA3" s="457" t="n"/>
      <c r="AB3" s="293" t="inlineStr">
        <is>
          <t>天津</t>
        </is>
      </c>
      <c r="AC3" s="456" t="n"/>
      <c r="AD3" s="456" t="n"/>
      <c r="AE3" s="456" t="n"/>
      <c r="AF3" s="457" t="n"/>
      <c r="AG3" s="297" t="inlineStr">
        <is>
          <t>合计</t>
        </is>
      </c>
      <c r="AH3" s="456" t="n"/>
      <c r="AI3" s="457" t="n"/>
      <c r="AJ3" s="299" t="n"/>
      <c r="AK3" s="299" t="n"/>
    </row>
    <row r="4" ht="36" customHeight="1" s="428">
      <c r="B4" s="293" t="inlineStr">
        <is>
          <t>规格尺寸</t>
        </is>
      </c>
      <c r="C4" s="293" t="inlineStr">
        <is>
          <t>销售给出规格数(个）</t>
        </is>
      </c>
      <c r="D4" s="293" t="inlineStr">
        <is>
          <t>销售排产需求（条）</t>
        </is>
      </c>
      <c r="E4" s="293" t="inlineStr">
        <is>
          <t>生产排产（条）</t>
        </is>
      </c>
      <c r="F4" s="293" t="inlineStr">
        <is>
          <t>产销差异（条）</t>
        </is>
      </c>
      <c r="G4" s="293" t="inlineStr">
        <is>
          <t>预估箱数</t>
        </is>
      </c>
      <c r="H4" s="293" t="inlineStr">
        <is>
          <t>销售给出规格数(个）</t>
        </is>
      </c>
      <c r="I4" s="293" t="inlineStr">
        <is>
          <t>销售排产需求（条）</t>
        </is>
      </c>
      <c r="J4" s="293" t="inlineStr">
        <is>
          <t>生产排产（条）</t>
        </is>
      </c>
      <c r="K4" s="293" t="inlineStr">
        <is>
          <t>产销差异（条）</t>
        </is>
      </c>
      <c r="L4" s="293" t="inlineStr">
        <is>
          <t>预估箱数</t>
        </is>
      </c>
      <c r="M4" s="293" t="inlineStr">
        <is>
          <t>销售给出规格数(个）</t>
        </is>
      </c>
      <c r="N4" s="293" t="inlineStr">
        <is>
          <t>销售排产需求（条）</t>
        </is>
      </c>
      <c r="O4" s="293" t="inlineStr">
        <is>
          <t>生产排产（条）</t>
        </is>
      </c>
      <c r="P4" s="293" t="inlineStr">
        <is>
          <t>产销差异（条）</t>
        </is>
      </c>
      <c r="Q4" s="293" t="inlineStr">
        <is>
          <t>预估箱数</t>
        </is>
      </c>
      <c r="R4" s="293" t="inlineStr">
        <is>
          <t>销售给出规格数(个）</t>
        </is>
      </c>
      <c r="S4" s="293" t="inlineStr">
        <is>
          <t>销售排产需求（条）</t>
        </is>
      </c>
      <c r="T4" s="293" t="inlineStr">
        <is>
          <t>生产排产（条）</t>
        </is>
      </c>
      <c r="U4" s="293" t="inlineStr">
        <is>
          <t>产销差异（条）</t>
        </is>
      </c>
      <c r="V4" s="293" t="inlineStr">
        <is>
          <t>预估箱数</t>
        </is>
      </c>
      <c r="W4" s="293" t="inlineStr">
        <is>
          <t>销售给出规格数(个）</t>
        </is>
      </c>
      <c r="X4" s="293" t="inlineStr">
        <is>
          <t>销售排产需求（条）</t>
        </is>
      </c>
      <c r="Y4" s="293" t="inlineStr">
        <is>
          <t>生产排产（条）</t>
        </is>
      </c>
      <c r="Z4" s="293" t="inlineStr">
        <is>
          <t>产销差异（条）</t>
        </is>
      </c>
      <c r="AA4" s="293" t="inlineStr">
        <is>
          <t>预估箱数</t>
        </is>
      </c>
      <c r="AB4" s="293" t="inlineStr">
        <is>
          <t>销售给出规格数(个）</t>
        </is>
      </c>
      <c r="AC4" s="293" t="inlineStr">
        <is>
          <t>销售排产需求（条）</t>
        </is>
      </c>
      <c r="AD4" s="293" t="inlineStr">
        <is>
          <t>生产排产（条）</t>
        </is>
      </c>
      <c r="AE4" s="293" t="inlineStr">
        <is>
          <t>产销差异（条）</t>
        </is>
      </c>
      <c r="AF4" s="293" t="inlineStr">
        <is>
          <t>预估箱数</t>
        </is>
      </c>
      <c r="AG4" s="297" t="inlineStr">
        <is>
          <t>销售需求（条）</t>
        </is>
      </c>
      <c r="AH4" s="297" t="inlineStr">
        <is>
          <t>生产排产（条）</t>
        </is>
      </c>
      <c r="AI4" s="298" t="inlineStr">
        <is>
          <t>产销差异（条）</t>
        </is>
      </c>
      <c r="AJ4" s="299" t="n"/>
      <c r="AK4" s="299" t="n"/>
    </row>
    <row r="5" ht="36" customHeight="1" s="428">
      <c r="B5" s="300" t="inlineStr">
        <is>
          <t>16寸</t>
        </is>
      </c>
      <c r="C5" s="300">
        <f>COUNTIFS(销售需求表!F:F,$C$3&amp;B5,销售需求表!B:B,"&gt;0")</f>
        <v/>
      </c>
      <c r="D5" s="300">
        <f>SUMIFS(销售需求表!B:B,销售需求表!F:F,$C$3&amp;B5)</f>
        <v/>
      </c>
      <c r="E5" s="300">
        <f>SUMIFS('7月排产计划'!AW:AW,'7月排产计划'!D:D,$C$3&amp;B5)</f>
        <v/>
      </c>
      <c r="F5" s="300">
        <f>D5-E5</f>
        <v/>
      </c>
      <c r="G5" s="300">
        <f>ROUND(E5/集装箱CONTAINER!D14,0)</f>
        <v/>
      </c>
      <c r="H5" s="300">
        <f>COUNTIFS(销售需求表!F:F,$H$3&amp;B5,销售需求表!B:B,"&gt;0")</f>
        <v/>
      </c>
      <c r="I5" s="300">
        <f>SUMIFS(销售需求表!B:B,销售需求表!F:F,$H$3&amp;B5)</f>
        <v/>
      </c>
      <c r="J5" s="300">
        <f>SUMIFS('7月排产计划'!AW:AW,'7月排产计划'!D:D,$H$3&amp;B5)</f>
        <v/>
      </c>
      <c r="K5" s="300" t="inlineStr">
        <is>
          <t>/</t>
        </is>
      </c>
      <c r="L5" s="300" t="inlineStr">
        <is>
          <t>/</t>
        </is>
      </c>
      <c r="M5" s="300" t="inlineStr">
        <is>
          <t>/</t>
        </is>
      </c>
      <c r="N5" s="300">
        <f>SUMIFS(销售需求表!B:B,销售需求表!F:F,$M$3&amp;B5)</f>
        <v/>
      </c>
      <c r="O5" s="300" t="inlineStr">
        <is>
          <t>/</t>
        </is>
      </c>
      <c r="P5" s="300" t="inlineStr">
        <is>
          <t>/</t>
        </is>
      </c>
      <c r="Q5" s="300" t="inlineStr">
        <is>
          <t>/</t>
        </is>
      </c>
      <c r="R5" s="300" t="inlineStr">
        <is>
          <t>/</t>
        </is>
      </c>
      <c r="S5" s="300">
        <f>SUMIFS(销售需求表!B:B,销售需求表!F:F,$R$3&amp;B5)</f>
        <v/>
      </c>
      <c r="T5" s="300">
        <f>SUMIFS('7月排产计划'!AW:AW,'7月排产计划'!D:D,$R$3&amp;B5)</f>
        <v/>
      </c>
      <c r="U5" s="300">
        <f>S5-T5</f>
        <v/>
      </c>
      <c r="V5" s="300" t="inlineStr">
        <is>
          <t>/</t>
        </is>
      </c>
      <c r="W5" s="300">
        <f>COUNTIFS(销售需求表!F:F,$W$3&amp;B5,销售需求表!B:B,"&gt;0")</f>
        <v/>
      </c>
      <c r="X5" s="300">
        <f>SUMIFS(销售需求表!B:B,销售需求表!F:F,$W$3&amp;B5)</f>
        <v/>
      </c>
      <c r="Y5" s="300">
        <f>SUMIFS('7月排产计划'!AW:AW,'7月排产计划'!D:D,$W$3&amp;B5)</f>
        <v/>
      </c>
      <c r="Z5" s="300">
        <f>X5-Y5</f>
        <v/>
      </c>
      <c r="AA5" s="300" t="inlineStr">
        <is>
          <t>/</t>
        </is>
      </c>
      <c r="AB5" s="300" t="inlineStr">
        <is>
          <t>/</t>
        </is>
      </c>
      <c r="AC5" s="300">
        <f>SUMIFS(销售需求表!B:B,销售需求表!F:F,$AB$3&amp;B5)</f>
        <v/>
      </c>
      <c r="AD5" s="300">
        <f>SUMIFS('7月排产计划'!AW:AW,'7月排产计划'!D:D,$AB$3&amp;B5)</f>
        <v/>
      </c>
      <c r="AE5" s="300" t="inlineStr">
        <is>
          <t>/</t>
        </is>
      </c>
      <c r="AF5" s="300" t="inlineStr">
        <is>
          <t>/</t>
        </is>
      </c>
      <c r="AG5" s="301">
        <f>SUM(D5,I5,N5,S5,X5,AC5)</f>
        <v/>
      </c>
      <c r="AH5" s="302">
        <f>SUM(E5,J5,O5,T5,Y5,AD5)</f>
        <v/>
      </c>
      <c r="AI5" s="303">
        <f>SUM(F5,K5,P5,U5)</f>
        <v/>
      </c>
      <c r="AJ5" s="304" t="n"/>
      <c r="AK5" s="304" t="n"/>
    </row>
    <row r="6" ht="36" customHeight="1" s="428">
      <c r="B6" s="300" t="inlineStr">
        <is>
          <t>17.5寸</t>
        </is>
      </c>
      <c r="C6" s="300">
        <f>COUNTIFS(销售需求表!F:F,$C$3&amp;B6,销售需求表!B:B,"&gt;0")</f>
        <v/>
      </c>
      <c r="D6" s="300">
        <f>SUMIFS(销售需求表!B:B,销售需求表!F:F,$C$3&amp;B6)</f>
        <v/>
      </c>
      <c r="E6" s="300">
        <f>SUMIFS('7月排产计划'!AW:AW,'7月排产计划'!D:D,$C$3&amp;B6)</f>
        <v/>
      </c>
      <c r="F6" s="300">
        <f>D6-E6</f>
        <v/>
      </c>
      <c r="G6" s="300">
        <f>ROUND(E6/集装箱CONTAINER!D4,0)</f>
        <v/>
      </c>
      <c r="H6" s="300">
        <f>COUNTIFS(销售需求表!F:F,$H$3&amp;B6,销售需求表!B:B,"&gt;0")</f>
        <v/>
      </c>
      <c r="I6" s="300">
        <f>SUMIFS(销售需求表!B:B,销售需求表!F:F,$H$3&amp;B6)</f>
        <v/>
      </c>
      <c r="J6" s="300">
        <f>SUMIFS('7月排产计划'!AW:AW,'7月排产计划'!D:D,$H$3&amp;B6)</f>
        <v/>
      </c>
      <c r="K6" s="300">
        <f>I6-J6</f>
        <v/>
      </c>
      <c r="L6" s="300">
        <f>ROUND(J6/集装箱CONTAINER!D15,0)</f>
        <v/>
      </c>
      <c r="M6" s="300" t="inlineStr">
        <is>
          <t>/</t>
        </is>
      </c>
      <c r="N6" s="300">
        <f>SUMIFS(销售需求表!B:B,销售需求表!F:F,$M$3&amp;B6)</f>
        <v/>
      </c>
      <c r="O6" s="300" t="inlineStr">
        <is>
          <t>/</t>
        </is>
      </c>
      <c r="P6" s="300" t="inlineStr">
        <is>
          <t>/</t>
        </is>
      </c>
      <c r="Q6" s="300" t="inlineStr">
        <is>
          <t>/</t>
        </is>
      </c>
      <c r="R6" s="300" t="inlineStr">
        <is>
          <t>/</t>
        </is>
      </c>
      <c r="S6" s="300">
        <f>SUMIFS(销售需求表!B:B,销售需求表!F:F,$R$3&amp;B6)</f>
        <v/>
      </c>
      <c r="T6" s="300">
        <f>SUMIFS('7月排产计划'!AW:AW,'7月排产计划'!D:D,$R$3&amp;B6)</f>
        <v/>
      </c>
      <c r="U6" s="300">
        <f>S6-T6</f>
        <v/>
      </c>
      <c r="V6" s="300" t="inlineStr">
        <is>
          <t>/</t>
        </is>
      </c>
      <c r="W6" s="300">
        <f>COUNTIFS(销售需求表!F:F,$W$3&amp;B6,销售需求表!B:B,"&gt;0")</f>
        <v/>
      </c>
      <c r="X6" s="300">
        <f>SUMIFS(销售需求表!B:B,销售需求表!F:F,$W$3&amp;B6)</f>
        <v/>
      </c>
      <c r="Y6" s="300">
        <f>SUMIFS('7月排产计划'!AW:AW,'7月排产计划'!D:D,$W$3&amp;B6)</f>
        <v/>
      </c>
      <c r="Z6" s="300">
        <f>X6-Y6</f>
        <v/>
      </c>
      <c r="AA6" s="300" t="inlineStr">
        <is>
          <t>/</t>
        </is>
      </c>
      <c r="AB6" s="300" t="inlineStr">
        <is>
          <t>/</t>
        </is>
      </c>
      <c r="AC6" s="300">
        <f>SUMIFS(销售需求表!B:B,销售需求表!F:F,$AB$3&amp;B6)</f>
        <v/>
      </c>
      <c r="AD6" s="300">
        <f>SUMIFS('7月排产计划'!AW:AW,'7月排产计划'!D:D,$AB$3&amp;B6)</f>
        <v/>
      </c>
      <c r="AE6" s="300" t="inlineStr">
        <is>
          <t>/</t>
        </is>
      </c>
      <c r="AF6" s="300" t="inlineStr">
        <is>
          <t>/</t>
        </is>
      </c>
      <c r="AG6" s="301">
        <f>SUM(D6,I6,N6,S6,X6,AC6)</f>
        <v/>
      </c>
      <c r="AH6" s="302">
        <f>SUM(E6,J6,O6,T6,Y6,AD6)</f>
        <v/>
      </c>
      <c r="AI6" s="303">
        <f>SUM(F6,K6,P6,U6)</f>
        <v/>
      </c>
      <c r="AJ6" s="304" t="n"/>
      <c r="AK6" s="304" t="n"/>
    </row>
    <row r="7" ht="36" customHeight="1" s="428">
      <c r="B7" s="300" t="inlineStr">
        <is>
          <t>19.5寸</t>
        </is>
      </c>
      <c r="C7" s="300">
        <f>COUNTIFS(销售需求表!F:F,$C$3&amp;B7,销售需求表!B:B,"&gt;0")</f>
        <v/>
      </c>
      <c r="D7" s="300">
        <f>SUMIFS(销售需求表!B:B,销售需求表!F:F,$C$3&amp;B7)</f>
        <v/>
      </c>
      <c r="E7" s="300">
        <f>SUMIFS('7月排产计划'!AW:AW,'7月排产计划'!D:D,$C$3&amp;B7)</f>
        <v/>
      </c>
      <c r="F7" s="300">
        <f>D7-E7</f>
        <v/>
      </c>
      <c r="G7" s="300">
        <f>ROUND(E7/集装箱CONTAINER!D5,0)</f>
        <v/>
      </c>
      <c r="H7" s="300">
        <f>COUNTIFS(销售需求表!F:F,$H$3&amp;B7,销售需求表!B:B,"&gt;0")</f>
        <v/>
      </c>
      <c r="I7" s="300">
        <f>SUMIFS(销售需求表!B:B,销售需求表!F:F,$H$3&amp;B7)</f>
        <v/>
      </c>
      <c r="J7" s="300">
        <f>SUMIFS('7月排产计划'!AW:AW,'7月排产计划'!D:D,$H$3&amp;B7)</f>
        <v/>
      </c>
      <c r="K7" s="300">
        <f>I7-J7</f>
        <v/>
      </c>
      <c r="L7" s="300">
        <f>ROUND(J7/集装箱CONTAINER!D17,0)</f>
        <v/>
      </c>
      <c r="M7" s="300" t="inlineStr">
        <is>
          <t>/</t>
        </is>
      </c>
      <c r="N7" s="300">
        <f>SUMIFS(销售需求表!B:B,销售需求表!F:F,$M$3&amp;B7)</f>
        <v/>
      </c>
      <c r="O7" s="300" t="inlineStr">
        <is>
          <t>/</t>
        </is>
      </c>
      <c r="P7" s="300" t="inlineStr">
        <is>
          <t>/</t>
        </is>
      </c>
      <c r="Q7" s="300" t="inlineStr">
        <is>
          <t>/</t>
        </is>
      </c>
      <c r="R7" s="300" t="inlineStr">
        <is>
          <t>/</t>
        </is>
      </c>
      <c r="S7" s="300">
        <f>SUMIFS(销售需求表!B:B,销售需求表!F:F,$R$3&amp;B7)</f>
        <v/>
      </c>
      <c r="T7" s="300">
        <f>SUMIFS('7月排产计划'!AW:AW,'7月排产计划'!D:D,$R$3&amp;B7)</f>
        <v/>
      </c>
      <c r="U7" s="300">
        <f>S7-T7</f>
        <v/>
      </c>
      <c r="V7" s="300" t="inlineStr">
        <is>
          <t>/</t>
        </is>
      </c>
      <c r="W7" s="300">
        <f>COUNTIFS(销售需求表!F:F,$W$3&amp;B7,销售需求表!B:B,"&gt;0")</f>
        <v/>
      </c>
      <c r="X7" s="300">
        <f>SUMIFS(销售需求表!B:B,销售需求表!F:F,$W$3&amp;B7)</f>
        <v/>
      </c>
      <c r="Y7" s="300">
        <f>SUMIFS('7月排产计划'!AW:AW,'7月排产计划'!D:D,$W$3&amp;B7)</f>
        <v/>
      </c>
      <c r="Z7" s="300">
        <f>X7-Y7</f>
        <v/>
      </c>
      <c r="AA7" s="300" t="inlineStr">
        <is>
          <t>/</t>
        </is>
      </c>
      <c r="AB7" s="300" t="inlineStr">
        <is>
          <t>/</t>
        </is>
      </c>
      <c r="AC7" s="300">
        <f>SUMIFS(销售需求表!B:B,销售需求表!F:F,$AB$3&amp;B7)</f>
        <v/>
      </c>
      <c r="AD7" s="300">
        <f>SUMIFS('7月排产计划'!AW:AW,'7月排产计划'!D:D,$AB$3&amp;B7)</f>
        <v/>
      </c>
      <c r="AE7" s="300" t="inlineStr">
        <is>
          <t>/</t>
        </is>
      </c>
      <c r="AF7" s="300" t="inlineStr">
        <is>
          <t>/</t>
        </is>
      </c>
      <c r="AG7" s="301">
        <f>SUM(D7,I7,N7,S7,X7,AC7)</f>
        <v/>
      </c>
      <c r="AH7" s="302">
        <f>SUM(E7,J7,O7,T7,Y7,AD7)</f>
        <v/>
      </c>
      <c r="AI7" s="303">
        <f>SUM(F7,K7,P7,U7)</f>
        <v/>
      </c>
      <c r="AJ7" s="304" t="n"/>
      <c r="AK7" s="304" t="n"/>
    </row>
    <row r="8" ht="36" customHeight="1" s="428">
      <c r="B8" s="300" t="inlineStr">
        <is>
          <t>20寸</t>
        </is>
      </c>
      <c r="C8" s="300">
        <f>COUNTIFS(销售需求表!F:F,$C$3&amp;B8,销售需求表!B:B,"&gt;0")</f>
        <v/>
      </c>
      <c r="D8" s="300">
        <f>SUMIFS(销售需求表!B:B,销售需求表!F:F,$C$3&amp;B8)</f>
        <v/>
      </c>
      <c r="E8" s="300">
        <f>SUMIFS('7月排产计划'!AW:AW,'7月排产计划'!D:D,$C$3&amp;B8)</f>
        <v/>
      </c>
      <c r="F8" s="300">
        <f>D8-E8</f>
        <v/>
      </c>
      <c r="G8" s="300">
        <f>ROUND(E8/集装箱CONTAINER!D6,0)</f>
        <v/>
      </c>
      <c r="H8" s="300">
        <f>COUNTIFS(销售需求表!F:F,$H$3&amp;B8,销售需求表!B:B,"&gt;0")</f>
        <v/>
      </c>
      <c r="I8" s="300">
        <f>SUMIFS(销售需求表!B:B,销售需求表!F:F,$H$3&amp;B8)</f>
        <v/>
      </c>
      <c r="J8" s="300">
        <f>SUMIFS('7月排产计划'!AW:AW,'7月排产计划'!D:D,$H$3&amp;B8)</f>
        <v/>
      </c>
      <c r="K8" s="300">
        <f>I8-J8</f>
        <v/>
      </c>
      <c r="L8" s="300">
        <f>ROUND(J8/集装箱CONTAINER!D6,0)</f>
        <v/>
      </c>
      <c r="M8" s="300" t="inlineStr">
        <is>
          <t>/</t>
        </is>
      </c>
      <c r="N8" s="300">
        <f>SUMIFS(销售需求表!B:B,销售需求表!F:F,$M$3&amp;B8)</f>
        <v/>
      </c>
      <c r="O8" s="300" t="inlineStr">
        <is>
          <t>/</t>
        </is>
      </c>
      <c r="P8" s="300" t="inlineStr">
        <is>
          <t>/</t>
        </is>
      </c>
      <c r="Q8" s="300" t="inlineStr">
        <is>
          <t>/</t>
        </is>
      </c>
      <c r="R8" s="300" t="inlineStr">
        <is>
          <t>/</t>
        </is>
      </c>
      <c r="S8" s="300">
        <f>SUMIFS(销售需求表!B:B,销售需求表!F:F,$R$3&amp;B8)</f>
        <v/>
      </c>
      <c r="T8" s="300">
        <f>SUMIFS('7月排产计划'!AW:AW,'7月排产计划'!D:D,$R$3&amp;B8)</f>
        <v/>
      </c>
      <c r="U8" s="300">
        <f>S8-T8</f>
        <v/>
      </c>
      <c r="V8" s="300" t="inlineStr">
        <is>
          <t>/</t>
        </is>
      </c>
      <c r="W8" s="300">
        <f>COUNTIFS(销售需求表!F:F,$W$3&amp;B8,销售需求表!B:B,"&gt;0")</f>
        <v/>
      </c>
      <c r="X8" s="300">
        <f>SUMIFS(销售需求表!B:B,销售需求表!F:F,$W$3&amp;B8)</f>
        <v/>
      </c>
      <c r="Y8" s="300">
        <f>SUMIFS('7月排产计划'!AW:AW,'7月排产计划'!D:D,$W$3&amp;B8)</f>
        <v/>
      </c>
      <c r="Z8" s="300">
        <f>X8-Y8</f>
        <v/>
      </c>
      <c r="AA8" s="300" t="inlineStr">
        <is>
          <t>/</t>
        </is>
      </c>
      <c r="AB8" s="300" t="inlineStr">
        <is>
          <t>/</t>
        </is>
      </c>
      <c r="AC8" s="300">
        <f>SUMIFS(销售需求表!B:B,销售需求表!F:F,$AB$3&amp;B8)</f>
        <v/>
      </c>
      <c r="AD8" s="300">
        <f>SUMIFS('7月排产计划'!AW:AW,'7月排产计划'!D:D,$AB$3&amp;B8)</f>
        <v/>
      </c>
      <c r="AE8" s="300" t="inlineStr">
        <is>
          <t>/</t>
        </is>
      </c>
      <c r="AF8" s="300" t="inlineStr">
        <is>
          <t>/</t>
        </is>
      </c>
      <c r="AG8" s="301">
        <f>SUM(D8,I8,N8,S8,X8,AC8)</f>
        <v/>
      </c>
      <c r="AH8" s="302">
        <f>SUM(E8,J8,O8,T8,Y8,AD8)</f>
        <v/>
      </c>
      <c r="AI8" s="303">
        <f>SUM(F8,K8,P8,U8)</f>
        <v/>
      </c>
      <c r="AJ8" s="304" t="n"/>
      <c r="AK8" s="304" t="n"/>
    </row>
    <row r="9" ht="36" customHeight="1" s="428">
      <c r="B9" s="300" t="inlineStr">
        <is>
          <t>22.5寸</t>
        </is>
      </c>
      <c r="C9" s="300">
        <f>COUNTIFS(销售需求表!F:F,$C$3&amp;B9,销售需求表!B:B,"&gt;0")</f>
        <v/>
      </c>
      <c r="D9" s="300">
        <f>SUMIFS(销售需求表!B:B,销售需求表!F:F,$C$3&amp;B9)</f>
        <v/>
      </c>
      <c r="E9" s="300">
        <f>SUMIFS('7月排产计划'!AW:AW,'7月排产计划'!D:D,$C$3&amp;B9)</f>
        <v/>
      </c>
      <c r="F9" s="300">
        <f>D9-E9</f>
        <v/>
      </c>
      <c r="G9" s="300">
        <f>ROUND(E9/265,0)</f>
        <v/>
      </c>
      <c r="H9" s="300">
        <f>COUNTIFS(销售需求表!F:F,$H$3&amp;B9,销售需求表!B:B,"&gt;0")</f>
        <v/>
      </c>
      <c r="I9" s="300">
        <f>SUMIFS(销售需求表!B:B,销售需求表!F:F,$H$3&amp;B9)</f>
        <v/>
      </c>
      <c r="J9" s="300">
        <f>SUMIFS('7月排产计划'!AW:AW,'7月排产计划'!D:D,$H$3&amp;B9)</f>
        <v/>
      </c>
      <c r="K9" s="300">
        <f>I9-J9</f>
        <v/>
      </c>
      <c r="L9" s="300">
        <f>ROUND(J9/集装箱CONTAINER!D10,0)</f>
        <v/>
      </c>
      <c r="M9" s="300">
        <f>COUNTIFS(销售需求表!F:F,"巴西22.5寸",销售需求表!B:B,"&gt;0")</f>
        <v/>
      </c>
      <c r="N9" s="300">
        <f>SUMIFS(销售需求表!B:B,销售需求表!F:F,$M$3&amp;B9)</f>
        <v/>
      </c>
      <c r="O9" s="300">
        <f>SUMIFS('7月排产计划'!AW:AW,'7月排产计划'!D:D,$M$3&amp;B9)</f>
        <v/>
      </c>
      <c r="P9" s="300">
        <f>N9-O9</f>
        <v/>
      </c>
      <c r="Q9" s="300">
        <f>ROUND(O9/集装箱CONTAINER!D11,0)</f>
        <v/>
      </c>
      <c r="R9" s="300">
        <f>COUNTIFS(销售需求表!F:F,$R$3&amp;B9,销售需求表!B:B,"&gt;0")</f>
        <v/>
      </c>
      <c r="S9" s="300">
        <f>SUMIFS(销售需求表!B:B,销售需求表!F:F,$R$3&amp;B9)</f>
        <v/>
      </c>
      <c r="T9" s="300">
        <f>SUMIFS('7月排产计划'!AW:AW,'7月排产计划'!D:D,$R$3&amp;B9)</f>
        <v/>
      </c>
      <c r="U9" s="300">
        <f>S9-T9</f>
        <v/>
      </c>
      <c r="V9" s="300">
        <f>ROUND(T9/集装箱CONTAINER!D10,0)</f>
        <v/>
      </c>
      <c r="W9" s="300">
        <f>COUNTIFS(销售需求表!F:F,$W$3&amp;B9,销售需求表!B:B,"&gt;0")</f>
        <v/>
      </c>
      <c r="X9" s="300">
        <f>SUMIFS(销售需求表!B:B,销售需求表!F:F,$W$3&amp;B9)</f>
        <v/>
      </c>
      <c r="Y9" s="300">
        <f>SUMIFS('7月排产计划'!AW:AW,'7月排产计划'!D:D,$W$3&amp;B9)</f>
        <v/>
      </c>
      <c r="Z9" s="300">
        <f>X9-Y9</f>
        <v/>
      </c>
      <c r="AA9" s="300">
        <f>ROUND(Y9/集装箱CONTAINER!D10,0)</f>
        <v/>
      </c>
      <c r="AB9" s="300">
        <f>COUNTIFS(销售需求表!P:P,$R$3&amp;L9,销售需求表!L:L,"&gt;0")</f>
        <v/>
      </c>
      <c r="AC9" s="300">
        <f>SUMIFS(销售需求表!B:B,销售需求表!F:F,$AB$3&amp;B9)</f>
        <v/>
      </c>
      <c r="AD9" s="300">
        <f>SUMIFS('7月排产计划'!AW:AW,'7月排产计划'!D:D,$AB$3&amp;B9)</f>
        <v/>
      </c>
      <c r="AE9" s="300">
        <f>AC9-AD9</f>
        <v/>
      </c>
      <c r="AF9" s="300">
        <f>ROUND(AD9/集装箱CONTAINER!D10,0)</f>
        <v/>
      </c>
      <c r="AG9" s="301">
        <f>SUM(D9,I9,N9,S9,X9,AC9)</f>
        <v/>
      </c>
      <c r="AH9" s="302">
        <f>SUM(E9,J9,O9,T9,Y9,AD9)</f>
        <v/>
      </c>
      <c r="AI9" s="303">
        <f>SUM(F9,K9,P9,U9)</f>
        <v/>
      </c>
      <c r="AJ9" s="304" t="n"/>
      <c r="AK9" s="304" t="n"/>
    </row>
    <row r="10" ht="36" customHeight="1" s="428">
      <c r="B10" s="300" t="inlineStr">
        <is>
          <t>24寸</t>
        </is>
      </c>
      <c r="C10" s="300">
        <f>COUNTIFS(销售需求表!F:F,$C$3&amp;B10,销售需求表!B:B,"&gt;0")</f>
        <v/>
      </c>
      <c r="D10" s="300">
        <f>SUMIFS(销售需求表!B:B,销售需求表!F:F,$C$3&amp;B10)</f>
        <v/>
      </c>
      <c r="E10" s="300">
        <f>SUMIFS('7月排产计划'!AW:AW,'7月排产计划'!D:D,$C$3&amp;B10)</f>
        <v/>
      </c>
      <c r="F10" s="300">
        <f>D10-E10</f>
        <v/>
      </c>
      <c r="G10" s="300">
        <f>ROUND(E10/集装箱CONTAINER!D5,0)</f>
        <v/>
      </c>
      <c r="H10" s="300">
        <f>COUNTIFS(销售需求表!F:F,$H$3&amp;B10,销售需求表!B:B,"&gt;0")</f>
        <v/>
      </c>
      <c r="I10" s="300">
        <f>SUMIFS(销售需求表!B:B,销售需求表!F:F,$H$3&amp;B10)</f>
        <v/>
      </c>
      <c r="J10" s="300">
        <f>SUMIFS('7月排产计划'!AW:AW,'7月排产计划'!D:D,$H$3&amp;B10)</f>
        <v/>
      </c>
      <c r="K10" s="300">
        <f>I10-J10</f>
        <v/>
      </c>
      <c r="L10" s="300">
        <f>ROUND(J10/集装箱CONTAINER!D11,0)</f>
        <v/>
      </c>
      <c r="M10" s="300" t="inlineStr">
        <is>
          <t>/</t>
        </is>
      </c>
      <c r="N10" s="300">
        <f>SUMIFS(销售需求表!B:B,销售需求表!F:F,$M$3&amp;B10)</f>
        <v/>
      </c>
      <c r="O10" s="300" t="inlineStr">
        <is>
          <t>/</t>
        </is>
      </c>
      <c r="P10" s="300" t="inlineStr">
        <is>
          <t>/</t>
        </is>
      </c>
      <c r="Q10" s="300" t="inlineStr">
        <is>
          <t>/</t>
        </is>
      </c>
      <c r="R10" s="300">
        <f>COUNTIFS(销售需求表!F:F,$R$3&amp;B10,销售需求表!B:B,"&gt;0")</f>
        <v/>
      </c>
      <c r="S10" s="300">
        <f>SUMIFS(销售需求表!B:B,销售需求表!F:F,$R$3&amp;B10)</f>
        <v/>
      </c>
      <c r="T10" s="300">
        <f>SUMIFS('7月排产计划'!AW:AW,'7月排产计划'!D:D,$R$3&amp;B10)</f>
        <v/>
      </c>
      <c r="U10" s="300">
        <f>S10-T10</f>
        <v/>
      </c>
      <c r="V10" s="300">
        <f>ROUND(T10/集装箱CONTAINER!D4,0)</f>
        <v/>
      </c>
      <c r="W10" s="300">
        <f>COUNTIFS(销售需求表!F:F,$W$3&amp;B10,销售需求表!B:B,"&gt;0")</f>
        <v/>
      </c>
      <c r="X10" s="300">
        <f>SUMIFS(销售需求表!B:B,销售需求表!F:F,$W$3&amp;B10)</f>
        <v/>
      </c>
      <c r="Y10" s="300">
        <f>SUMIFS('7月排产计划'!AW:AW,'7月排产计划'!D:D,$W$3&amp;B10)</f>
        <v/>
      </c>
      <c r="Z10" s="300">
        <f>X10-Y10</f>
        <v/>
      </c>
      <c r="AA10" s="300">
        <f>ROUND(Y10/集装箱CONTAINER!D11,0)</f>
        <v/>
      </c>
      <c r="AB10" s="300">
        <f>COUNTIFS(销售需求表!P:P,$R$3&amp;L10,销售需求表!L:L,"&gt;0")</f>
        <v/>
      </c>
      <c r="AC10" s="300">
        <f>SUMIFS(销售需求表!B:B,销售需求表!F:F,$AB$3&amp;B10)</f>
        <v/>
      </c>
      <c r="AD10" s="300">
        <f>SUMIFS('7月排产计划'!AW:AW,'7月排产计划'!D:D,$AB$3&amp;B10)</f>
        <v/>
      </c>
      <c r="AE10" s="300">
        <f>AC10-AD10</f>
        <v/>
      </c>
      <c r="AF10" s="300">
        <f>ROUND(AD10/集装箱CONTAINER!D11,0)</f>
        <v/>
      </c>
      <c r="AG10" s="301">
        <f>SUM(D10,I10,N10,S10,X10,AC10)</f>
        <v/>
      </c>
      <c r="AH10" s="302">
        <f>SUM(E10,J10,O10,T10,Y10,AD10)</f>
        <v/>
      </c>
      <c r="AI10" s="303">
        <f>SUM(F10,K10,P10,U10)</f>
        <v/>
      </c>
      <c r="AJ10" s="304" t="n"/>
      <c r="AK10" s="304" t="n"/>
    </row>
    <row r="11" ht="36" customHeight="1" s="428">
      <c r="B11" s="305" t="inlineStr">
        <is>
          <t>24.5寸</t>
        </is>
      </c>
      <c r="C11" s="300">
        <f>COUNTIFS(销售需求表!F:F,$C$3&amp;B11,销售需求表!B:B,"&gt;0")</f>
        <v/>
      </c>
      <c r="D11" s="300">
        <f>SUMIFS(销售需求表!B:B,销售需求表!F:F,$C$3&amp;B11)</f>
        <v/>
      </c>
      <c r="E11" s="300">
        <f>SUMIFS('7月排产计划'!AW:AW,'7月排产计划'!D:D,$C$3&amp;B11)</f>
        <v/>
      </c>
      <c r="F11" s="300">
        <f>D11-E11</f>
        <v/>
      </c>
      <c r="G11" s="300">
        <f>ROUND(E11/集装箱CONTAINER!D6,0)</f>
        <v/>
      </c>
      <c r="H11" s="300">
        <f>COUNTIFS(销售需求表!F:F,$H$3&amp;B11,销售需求表!B:B,"&gt;0")</f>
        <v/>
      </c>
      <c r="I11" s="300">
        <f>SUMIFS(销售需求表!B:B,销售需求表!F:F,$H$3&amp;B11)</f>
        <v/>
      </c>
      <c r="J11" s="300">
        <f>SUMIFS('7月排产计划'!AW:AW,'7月排产计划'!D:D,$H$3&amp;B11)</f>
        <v/>
      </c>
      <c r="K11" s="300">
        <f>I11-J11</f>
        <v/>
      </c>
      <c r="L11" s="300">
        <f>ROUND(J11/集装箱CONTAINER!D12,0)</f>
        <v/>
      </c>
      <c r="M11" s="300" t="inlineStr">
        <is>
          <t>/</t>
        </is>
      </c>
      <c r="N11" s="300">
        <f>SUMIFS(销售需求表!B:B,销售需求表!F:F,$M$3&amp;B11)</f>
        <v/>
      </c>
      <c r="O11" s="300" t="inlineStr">
        <is>
          <t>/</t>
        </is>
      </c>
      <c r="P11" s="300" t="inlineStr">
        <is>
          <t>/</t>
        </is>
      </c>
      <c r="Q11" s="300" t="inlineStr">
        <is>
          <t>/</t>
        </is>
      </c>
      <c r="R11" s="300">
        <f>COUNTIFS(销售需求表!F:F,R5&amp;B11,销售需求表!B:B,"&gt;0")</f>
        <v/>
      </c>
      <c r="S11" s="300">
        <f>SUMIFS(销售需求表!B:B,销售需求表!F:F,$R$3&amp;B11)</f>
        <v/>
      </c>
      <c r="T11" s="300">
        <f>SUMIFS('7月排产计划'!AW:AW,'7月排产计划'!D:D,$R$3&amp;B11)</f>
        <v/>
      </c>
      <c r="U11" s="300">
        <f>S11-T11</f>
        <v/>
      </c>
      <c r="V11" s="300" t="inlineStr">
        <is>
          <t>/</t>
        </is>
      </c>
      <c r="W11" s="300">
        <f>COUNTIFS(销售需求表!F:F,$W$3&amp;B11,销售需求表!B:B,"&gt;0")</f>
        <v/>
      </c>
      <c r="X11" s="300">
        <f>SUMIFS(销售需求表!B:B,销售需求表!F:F,$W$3&amp;B11)</f>
        <v/>
      </c>
      <c r="Y11" s="300">
        <f>SUMIFS('7月排产计划'!AW:AW,'7月排产计划'!D:D,$W$3&amp;B11)</f>
        <v/>
      </c>
      <c r="Z11" s="300">
        <f>X11-Y11</f>
        <v/>
      </c>
      <c r="AA11" s="300" t="inlineStr">
        <is>
          <t>/</t>
        </is>
      </c>
      <c r="AB11" s="300">
        <f>COUNTIFS(销售需求表!P:P,AB5&amp;L11,销售需求表!L:L,"&gt;0")</f>
        <v/>
      </c>
      <c r="AC11" s="300">
        <f>SUMIFS(销售需求表!B:B,销售需求表!F:F,$AB$3&amp;B11)</f>
        <v/>
      </c>
      <c r="AD11" s="300">
        <f>SUMIFS('7月排产计划'!AW:AW,'7月排产计划'!D:D,$AB$3&amp;B11)</f>
        <v/>
      </c>
      <c r="AE11" s="300">
        <f>AC11-AD11</f>
        <v/>
      </c>
      <c r="AF11" s="300">
        <f>ROUND(AD11/集装箱CONTAINER!D12,0)</f>
        <v/>
      </c>
      <c r="AG11" s="301">
        <f>SUM(D11,I11,N11,S11,X11,AC11)</f>
        <v/>
      </c>
      <c r="AH11" s="302">
        <f>SUM(E11,J11,O11,T11,Y11,AD11)</f>
        <v/>
      </c>
      <c r="AI11" s="303">
        <f>SUM(F11,K11,P11,U11)</f>
        <v/>
      </c>
      <c r="AJ11" s="304" t="n"/>
      <c r="AK11" s="304" t="n"/>
    </row>
    <row r="12" ht="36" customHeight="1" s="428">
      <c r="B12" s="306" t="inlineStr">
        <is>
          <t>ST</t>
        </is>
      </c>
      <c r="C12" s="307" t="n"/>
      <c r="D12" s="307" t="n"/>
      <c r="E12" s="307" t="n"/>
      <c r="F12" s="307" t="n"/>
      <c r="G12" s="307" t="n"/>
      <c r="H12" s="307" t="n"/>
      <c r="I12" s="307" t="n"/>
      <c r="J12" s="307" t="n"/>
      <c r="K12" s="307" t="n"/>
      <c r="L12" s="307" t="n"/>
      <c r="M12" s="307" t="n"/>
      <c r="N12" s="307" t="n"/>
      <c r="O12" s="307" t="n"/>
      <c r="P12" s="307" t="n"/>
      <c r="Q12" s="307" t="n"/>
      <c r="R12" s="307" t="n"/>
      <c r="S12" s="307" t="n"/>
      <c r="T12" s="307" t="n"/>
      <c r="U12" s="307" t="n"/>
      <c r="V12" s="307" t="n"/>
      <c r="W12" s="307" t="n"/>
      <c r="X12" s="307" t="n"/>
      <c r="Y12" s="307" t="n"/>
      <c r="Z12" s="307" t="n"/>
      <c r="AA12" s="307" t="n"/>
      <c r="AB12" s="307" t="n"/>
      <c r="AC12" s="307" t="n"/>
      <c r="AD12" s="307" t="n"/>
      <c r="AE12" s="307" t="n"/>
      <c r="AF12" s="307" t="n"/>
      <c r="AG12" s="301">
        <f>SUM(D12,I12,N12,S12,X12,AC12)</f>
        <v/>
      </c>
      <c r="AH12" s="302">
        <f>E12+J12+O12+T12</f>
        <v/>
      </c>
      <c r="AI12" s="303">
        <f>F12+K12+P12+U12</f>
        <v/>
      </c>
      <c r="AJ12" s="304" t="n"/>
      <c r="AK12" s="304" t="n"/>
    </row>
    <row r="13" ht="36" customHeight="1" s="428">
      <c r="B13" s="308" t="inlineStr">
        <is>
          <t>合计</t>
        </is>
      </c>
      <c r="C13" s="305">
        <f>SUM(C5:C12)</f>
        <v/>
      </c>
      <c r="D13" s="305">
        <f>SUM(D5:D12)</f>
        <v/>
      </c>
      <c r="E13" s="305">
        <f>SUM(E5:E12)</f>
        <v/>
      </c>
      <c r="F13" s="305">
        <f>SUM(F5:F12)</f>
        <v/>
      </c>
      <c r="G13" s="305">
        <f>SUM(G5:G12)</f>
        <v/>
      </c>
      <c r="H13" s="305">
        <f>SUM(H5:H12)</f>
        <v/>
      </c>
      <c r="I13" s="305">
        <f>SUM(I5:I12)</f>
        <v/>
      </c>
      <c r="J13" s="305">
        <f>SUM(J5:J12)</f>
        <v/>
      </c>
      <c r="K13" s="305">
        <f>SUM(K5:K12)</f>
        <v/>
      </c>
      <c r="L13" s="305">
        <f>SUM(L5:L12)</f>
        <v/>
      </c>
      <c r="M13" s="305">
        <f>SUM(M5:M12)</f>
        <v/>
      </c>
      <c r="N13" s="305">
        <f>SUM(N5:N12)</f>
        <v/>
      </c>
      <c r="O13" s="305">
        <f>SUM(O5:O12)</f>
        <v/>
      </c>
      <c r="P13" s="305">
        <f>SUM(P5:P12)</f>
        <v/>
      </c>
      <c r="Q13" s="305">
        <f>SUM(Q5:Q12)</f>
        <v/>
      </c>
      <c r="R13" s="305">
        <f>SUM(R5:R12)</f>
        <v/>
      </c>
      <c r="S13" s="305">
        <f>SUM(S5:S12)</f>
        <v/>
      </c>
      <c r="T13" s="305">
        <f>SUM(T5:T12)</f>
        <v/>
      </c>
      <c r="U13" s="305">
        <f>SUM(U5:U12)</f>
        <v/>
      </c>
      <c r="V13" s="305">
        <f>SUM(V5:V12)</f>
        <v/>
      </c>
      <c r="W13" s="305">
        <f>SUM(W5:W12)</f>
        <v/>
      </c>
      <c r="X13" s="305">
        <f>SUM(X5:X12)</f>
        <v/>
      </c>
      <c r="Y13" s="305">
        <f>SUM(Y5:Y12)</f>
        <v/>
      </c>
      <c r="Z13" s="305">
        <f>SUM(Z5:Z12)</f>
        <v/>
      </c>
      <c r="AA13" s="305">
        <f>SUM(AA5:AA12)</f>
        <v/>
      </c>
      <c r="AB13" s="305">
        <f>SUM(AB5:AB12)</f>
        <v/>
      </c>
      <c r="AC13" s="305">
        <f>SUM(AC5:AC12)</f>
        <v/>
      </c>
      <c r="AD13" s="305">
        <f>SUM(AD5:AD12)</f>
        <v/>
      </c>
      <c r="AE13" s="305">
        <f>SUM(AE5:AE12)</f>
        <v/>
      </c>
      <c r="AF13" s="305">
        <f>SUM(AF5:AF12)</f>
        <v/>
      </c>
      <c r="AG13" s="301">
        <f>SUM(D13,I13,N13,S13,X13,AC13)</f>
        <v/>
      </c>
      <c r="AH13" s="301">
        <f>SUM(E13,J13,O13,T13,Y13,AD13)</f>
        <v/>
      </c>
      <c r="AI13" s="303">
        <f>F13+K13+P13+U13</f>
        <v/>
      </c>
      <c r="AJ13" s="304" t="n"/>
      <c r="AK13" s="304" t="n"/>
    </row>
    <row r="14" ht="106" customHeight="1" s="428">
      <c r="B14" s="309" t="inlineStr">
        <is>
          <t>说明：</t>
        </is>
      </c>
      <c r="C14" s="310" t="n"/>
      <c r="D14" s="310" t="n"/>
      <c r="E14" s="310" t="n"/>
      <c r="F14" s="310" t="n"/>
      <c r="G14" s="310" t="n"/>
      <c r="H14" s="310" t="n"/>
      <c r="I14" s="310" t="n"/>
      <c r="J14" s="310" t="n"/>
      <c r="K14" s="310" t="n"/>
      <c r="L14" s="310" t="n"/>
      <c r="M14" s="310" t="n"/>
      <c r="N14" s="310" t="n"/>
      <c r="O14" s="310" t="n"/>
      <c r="P14" s="310" t="n"/>
      <c r="Q14" s="310" t="n"/>
      <c r="R14" s="310" t="n"/>
      <c r="S14" s="310" t="n"/>
      <c r="T14" s="310" t="n"/>
      <c r="U14" s="310" t="n"/>
      <c r="V14" s="310" t="n"/>
      <c r="W14" s="310" t="n"/>
      <c r="X14" s="310" t="n"/>
      <c r="Y14" s="310" t="n"/>
      <c r="Z14" s="310" t="n"/>
      <c r="AA14" s="310" t="n"/>
      <c r="AB14" s="310" t="n"/>
      <c r="AC14" s="310" t="n"/>
      <c r="AD14" s="310" t="n"/>
      <c r="AE14" s="310" t="n"/>
      <c r="AF14" s="310" t="n"/>
      <c r="AG14" s="310" t="n"/>
      <c r="AH14" s="310" t="n"/>
      <c r="AI14" s="311" t="n"/>
      <c r="AJ14" s="312" t="n"/>
      <c r="AK14" s="312" t="n"/>
    </row>
    <row r="15" ht="22" customHeight="1" s="428"/>
    <row r="16" ht="41" customHeight="1" s="428">
      <c r="B16" s="313" t="inlineStr">
        <is>
          <t>2026年6月销售给出的斜交计划与产能差异</t>
        </is>
      </c>
      <c r="Z16" s="313" t="n"/>
      <c r="AA16" s="313" t="n"/>
      <c r="AB16" s="313" t="n"/>
      <c r="AC16" s="313" t="n"/>
      <c r="AD16" s="313" t="n"/>
      <c r="AE16" s="313" t="n"/>
      <c r="AF16" s="313" t="n"/>
      <c r="AG16" s="313" t="n"/>
      <c r="AH16" s="313" t="n"/>
      <c r="AI16" s="313" t="n"/>
      <c r="AJ16" s="313" t="n"/>
      <c r="AK16" s="313" t="n"/>
    </row>
    <row r="17" ht="31" customHeight="1" s="428">
      <c r="B17" s="314" t="inlineStr">
        <is>
          <t>销售区域</t>
        </is>
      </c>
      <c r="C17" s="458" t="inlineStr">
        <is>
          <t>轻卡</t>
        </is>
      </c>
      <c r="D17" s="459" t="n"/>
      <c r="E17" s="459" t="n"/>
      <c r="F17" s="459" t="n"/>
      <c r="G17" s="460" t="n"/>
      <c r="H17" s="458" t="inlineStr">
        <is>
          <t>载重</t>
        </is>
      </c>
      <c r="I17" s="459" t="n"/>
      <c r="J17" s="459" t="n"/>
      <c r="K17" s="459" t="n"/>
      <c r="L17" s="460" t="n"/>
      <c r="M17" s="458" t="inlineStr">
        <is>
          <t>工程胎</t>
        </is>
      </c>
      <c r="N17" s="459" t="n"/>
      <c r="O17" s="459" t="n"/>
      <c r="P17" s="459" t="n"/>
      <c r="Q17" s="460" t="n"/>
      <c r="R17" s="315" t="inlineStr">
        <is>
          <t>ST</t>
        </is>
      </c>
      <c r="S17" s="459" t="n"/>
      <c r="T17" s="459" t="n"/>
      <c r="U17" s="459" t="n"/>
      <c r="V17" s="459" t="n"/>
      <c r="W17" s="458" t="inlineStr">
        <is>
          <t>ATV</t>
        </is>
      </c>
      <c r="X17" s="459" t="n"/>
      <c r="Y17" s="459" t="n"/>
      <c r="Z17" s="459" t="n"/>
      <c r="AA17" s="460" t="n"/>
      <c r="AB17" s="458" t="inlineStr">
        <is>
          <t>半钢ST</t>
        </is>
      </c>
      <c r="AC17" s="459" t="n"/>
      <c r="AD17" s="459" t="n"/>
      <c r="AE17" s="459" t="n"/>
      <c r="AF17" s="460" t="n"/>
      <c r="AG17" s="458" t="inlineStr">
        <is>
          <t>ATD</t>
        </is>
      </c>
      <c r="AH17" s="459" t="n"/>
      <c r="AI17" s="459" t="n"/>
      <c r="AJ17" s="459" t="n"/>
      <c r="AK17" s="460" t="n"/>
      <c r="AL17" s="458" t="inlineStr">
        <is>
          <t>摩胎</t>
        </is>
      </c>
      <c r="AM17" s="459" t="n"/>
      <c r="AN17" s="459" t="n"/>
      <c r="AO17" s="459" t="n"/>
      <c r="AP17" s="460" t="n"/>
      <c r="AQ17" s="318" t="inlineStr">
        <is>
          <t>合计</t>
        </is>
      </c>
      <c r="AR17" s="459" t="n"/>
      <c r="AS17" s="460" t="n"/>
    </row>
    <row r="18" ht="59" customHeight="1" s="428">
      <c r="B18" s="293" t="inlineStr">
        <is>
          <t>规格尺寸</t>
        </is>
      </c>
      <c r="C18" s="293" t="inlineStr">
        <is>
          <t>销售给出规格数(个）</t>
        </is>
      </c>
      <c r="D18" s="293" t="inlineStr">
        <is>
          <t>销售排产需求（条）</t>
        </is>
      </c>
      <c r="E18" s="293" t="inlineStr">
        <is>
          <t>生产排产（条）</t>
        </is>
      </c>
      <c r="F18" s="293" t="inlineStr">
        <is>
          <t>产销差异（条）</t>
        </is>
      </c>
      <c r="G18" s="293" t="inlineStr">
        <is>
          <t>预估箱数</t>
        </is>
      </c>
      <c r="H18" s="293" t="inlineStr">
        <is>
          <t>销售给出规格数(个）</t>
        </is>
      </c>
      <c r="I18" s="293" t="inlineStr">
        <is>
          <t>销售排产需求（条）</t>
        </is>
      </c>
      <c r="J18" s="293" t="inlineStr">
        <is>
          <t>生产排产（条）</t>
        </is>
      </c>
      <c r="K18" s="293" t="inlineStr">
        <is>
          <t>产销差异（条）</t>
        </is>
      </c>
      <c r="L18" s="293" t="inlineStr">
        <is>
          <t>预估箱数</t>
        </is>
      </c>
      <c r="M18" s="293" t="inlineStr">
        <is>
          <t>销售给出规格数(个）</t>
        </is>
      </c>
      <c r="N18" s="293" t="inlineStr">
        <is>
          <t>销售排产需求（条）</t>
        </is>
      </c>
      <c r="O18" s="293" t="inlineStr">
        <is>
          <t>生产排产（条）</t>
        </is>
      </c>
      <c r="P18" s="293" t="inlineStr">
        <is>
          <t>产销差异（条）</t>
        </is>
      </c>
      <c r="Q18" s="293" t="inlineStr">
        <is>
          <t>预估箱数</t>
        </is>
      </c>
      <c r="R18" s="293" t="inlineStr">
        <is>
          <t>销售给出规格数(个）</t>
        </is>
      </c>
      <c r="S18" s="293" t="inlineStr">
        <is>
          <t>销售排产需求（条）</t>
        </is>
      </c>
      <c r="T18" s="293" t="inlineStr">
        <is>
          <t>生产排产（条）</t>
        </is>
      </c>
      <c r="U18" s="293" t="inlineStr">
        <is>
          <t>产销差异（条）</t>
        </is>
      </c>
      <c r="V18" s="293" t="inlineStr">
        <is>
          <t>预估箱数</t>
        </is>
      </c>
      <c r="W18" s="293" t="inlineStr">
        <is>
          <t>销售给出规格数(个）</t>
        </is>
      </c>
      <c r="X18" s="293" t="inlineStr">
        <is>
          <t>销售排产需求（条）</t>
        </is>
      </c>
      <c r="Y18" s="293" t="inlineStr">
        <is>
          <t>生产排产（条）</t>
        </is>
      </c>
      <c r="Z18" s="293" t="inlineStr">
        <is>
          <t>产销差异（条）</t>
        </is>
      </c>
      <c r="AA18" s="293" t="inlineStr">
        <is>
          <t>预估箱数</t>
        </is>
      </c>
      <c r="AB18" s="293" t="inlineStr">
        <is>
          <t>销售给出规格数(个）</t>
        </is>
      </c>
      <c r="AC18" s="293" t="inlineStr">
        <is>
          <t>销售排产需求（条）</t>
        </is>
      </c>
      <c r="AD18" s="293" t="inlineStr">
        <is>
          <t>生产排产（条）</t>
        </is>
      </c>
      <c r="AE18" s="293" t="inlineStr">
        <is>
          <t>产销差异（条）</t>
        </is>
      </c>
      <c r="AF18" s="293" t="inlineStr">
        <is>
          <t>预估箱数</t>
        </is>
      </c>
      <c r="AG18" s="293" t="inlineStr">
        <is>
          <t>销售给出规格数(个）</t>
        </is>
      </c>
      <c r="AH18" s="293" t="inlineStr">
        <is>
          <t>销售排产需求（条）</t>
        </is>
      </c>
      <c r="AI18" s="293" t="inlineStr">
        <is>
          <t>生产排产（条）</t>
        </is>
      </c>
      <c r="AJ18" s="293" t="inlineStr">
        <is>
          <t>产销差异（条）</t>
        </is>
      </c>
      <c r="AK18" s="293" t="inlineStr">
        <is>
          <t>预估箱数</t>
        </is>
      </c>
      <c r="AL18" s="293" t="inlineStr">
        <is>
          <t>销售给出规格数(个）</t>
        </is>
      </c>
      <c r="AM18" s="293" t="inlineStr">
        <is>
          <t>销售排产需求（条）</t>
        </is>
      </c>
      <c r="AN18" s="293" t="inlineStr">
        <is>
          <t>生产排产（条）</t>
        </is>
      </c>
      <c r="AO18" s="293" t="inlineStr">
        <is>
          <t>产销差异（条）</t>
        </is>
      </c>
      <c r="AP18" s="293" t="inlineStr">
        <is>
          <t>预估箱数</t>
        </is>
      </c>
      <c r="AQ18" s="297" t="inlineStr">
        <is>
          <t>排产需求（条）</t>
        </is>
      </c>
      <c r="AR18" s="297" t="inlineStr">
        <is>
          <t>生产排产（条）</t>
        </is>
      </c>
      <c r="AS18" s="298" t="inlineStr">
        <is>
          <t>产销差异（条）</t>
        </is>
      </c>
    </row>
    <row r="19" ht="38" customHeight="1" s="428">
      <c r="B19" s="293" t="inlineStr">
        <is>
          <t>8寸</t>
        </is>
      </c>
      <c r="C19" s="300">
        <f>COUNTIFS(销售需求表!F:F,C16&amp;B19,销售需求表!B:B,"&gt;0")</f>
        <v/>
      </c>
      <c r="D19" s="300">
        <f>SUMIFS(销售需求表!B:B,销售需求表!F:F,$C$17&amp;B19)</f>
        <v/>
      </c>
      <c r="E19" s="300" t="inlineStr">
        <is>
          <t>/</t>
        </is>
      </c>
      <c r="F19" s="300" t="inlineStr">
        <is>
          <t>/</t>
        </is>
      </c>
      <c r="G19" s="300" t="n"/>
      <c r="H19" s="300" t="inlineStr">
        <is>
          <t>/</t>
        </is>
      </c>
      <c r="I19" s="300" t="inlineStr">
        <is>
          <t>/</t>
        </is>
      </c>
      <c r="J19" s="300" t="inlineStr">
        <is>
          <t>/</t>
        </is>
      </c>
      <c r="K19" s="300" t="inlineStr">
        <is>
          <t>/</t>
        </is>
      </c>
      <c r="L19" s="300" t="n"/>
      <c r="M19" s="300" t="inlineStr">
        <is>
          <t>/</t>
        </is>
      </c>
      <c r="N19" s="300" t="inlineStr">
        <is>
          <t>/</t>
        </is>
      </c>
      <c r="O19" s="300" t="inlineStr">
        <is>
          <t>/</t>
        </is>
      </c>
      <c r="P19" s="300" t="inlineStr">
        <is>
          <t>/</t>
        </is>
      </c>
      <c r="Q19" s="300" t="n"/>
      <c r="R19" s="300">
        <f>COUNTIFS(销售需求表!F:F,$R$17&amp;B19,销售需求表!B:B,"&gt;0")</f>
        <v/>
      </c>
      <c r="S19" s="300">
        <f>SUMIFS(销售需求表!B:B,销售需求表!F:F,$R$17&amp;B19)</f>
        <v/>
      </c>
      <c r="T19" s="300">
        <f>SUMIFS('7月排产计划'!AW:AW,'7月排产计划'!D:D,$R$17&amp;B19)</f>
        <v/>
      </c>
      <c r="U19" s="300">
        <f>S19-T19</f>
        <v/>
      </c>
      <c r="V19" s="461">
        <f>T19/3800</f>
        <v/>
      </c>
      <c r="W19" s="300">
        <f>COUNTIFS(销售需求表!F:F,$W$17&amp;B19,销售需求表!B:B,"&gt;0")</f>
        <v/>
      </c>
      <c r="X19" s="300">
        <f>SUMIFS(销售需求表!B:B,销售需求表!F:F,$W$17&amp;B19)</f>
        <v/>
      </c>
      <c r="Y19" s="300">
        <f>SUMIFS('7月排产计划'!AW:AW,'7月排产计划'!D:D,$W$17&amp;B19)</f>
        <v/>
      </c>
      <c r="Z19" s="300">
        <f>X19-Y19</f>
        <v/>
      </c>
      <c r="AA19" s="461">
        <f>Y19/1000</f>
        <v/>
      </c>
      <c r="AB19" s="300">
        <f>COUNTIFS(销售需求表!F:F,$AB$17&amp;B19,销售需求表!B:B,"&gt;0")</f>
        <v/>
      </c>
      <c r="AC19" s="300">
        <f>SUMIFS(销售需求表!B:B,销售需求表!F:F,$AB$17&amp;B19)</f>
        <v/>
      </c>
      <c r="AD19" s="300">
        <f>SUMIFS('7月排产计划'!AW:AW,'7月排产计划'!D:D,$AB$17&amp;B19)</f>
        <v/>
      </c>
      <c r="AE19" s="300">
        <f>AC19-AD19</f>
        <v/>
      </c>
      <c r="AF19" s="461">
        <f>AD19/1000</f>
        <v/>
      </c>
      <c r="AG19" s="300">
        <f>COUNTIFS(销售需求表!F:F,$AG$17&amp;B19,销售需求表!B:B,"&gt;0")</f>
        <v/>
      </c>
      <c r="AH19" s="300">
        <f>SUMIFS(销售需求表!B:B,销售需求表!F:F,$AG$17&amp;B19)</f>
        <v/>
      </c>
      <c r="AI19" s="300">
        <f>SUMIFS('7月排产计划'!AW:AW,'7月排产计划'!D:D,$AG$17&amp;B19)</f>
        <v/>
      </c>
      <c r="AJ19" s="300">
        <f>AH19-AI19</f>
        <v/>
      </c>
      <c r="AK19" s="461">
        <f>AI19/1000</f>
        <v/>
      </c>
      <c r="AL19" s="300">
        <f>COUNTIFS(销售需求表!F:F,$AL$17&amp;B19,销售需求表!B:B,"&gt;0")</f>
        <v/>
      </c>
      <c r="AM19" s="300">
        <f>SUMIFS(销售需求表!B:B,销售需求表!F:F,$AL$17&amp;B19)</f>
        <v/>
      </c>
      <c r="AN19" s="300">
        <f>SUMIFS('7月排产计划'!AW:AW,'7月排产计划'!D:D,$AL$17&amp;B19)</f>
        <v/>
      </c>
      <c r="AO19" s="300">
        <f>AM19-AN19</f>
        <v/>
      </c>
      <c r="AP19" s="461">
        <f>AN19/1000</f>
        <v/>
      </c>
      <c r="AQ19" s="321">
        <f>SUM(D19,I19,N19,S19,X19,AC19,AM19,AH19)</f>
        <v/>
      </c>
      <c r="AR19" s="322">
        <f>SUM(E19,J19,O19,T19,Y19,AD19,AN19,AI19)</f>
        <v/>
      </c>
      <c r="AS19" s="322">
        <f>AQ19-AR19</f>
        <v/>
      </c>
    </row>
    <row r="20" ht="38" customHeight="1" s="428">
      <c r="B20" s="293" t="inlineStr">
        <is>
          <t>10寸</t>
        </is>
      </c>
      <c r="C20" s="300">
        <f>COUNTIFS(销售需求表!F:F,C16&amp;B20,销售需求表!B:B,"&gt;0")</f>
        <v/>
      </c>
      <c r="D20" s="300">
        <f>SUMIFS(销售需求表!B:B,销售需求表!F:F,$C$17&amp;B20)</f>
        <v/>
      </c>
      <c r="E20" s="300" t="inlineStr">
        <is>
          <t>/</t>
        </is>
      </c>
      <c r="F20" s="300" t="inlineStr">
        <is>
          <t>/</t>
        </is>
      </c>
      <c r="G20" s="300" t="n"/>
      <c r="H20" s="300" t="inlineStr">
        <is>
          <t>/</t>
        </is>
      </c>
      <c r="I20" s="300" t="inlineStr">
        <is>
          <t>/</t>
        </is>
      </c>
      <c r="J20" s="300" t="inlineStr">
        <is>
          <t>/</t>
        </is>
      </c>
      <c r="K20" s="300" t="inlineStr">
        <is>
          <t>/</t>
        </is>
      </c>
      <c r="L20" s="300" t="n"/>
      <c r="M20" s="300" t="inlineStr">
        <is>
          <t>/</t>
        </is>
      </c>
      <c r="N20" s="300" t="inlineStr">
        <is>
          <t>/</t>
        </is>
      </c>
      <c r="O20" s="300" t="inlineStr">
        <is>
          <t>/</t>
        </is>
      </c>
      <c r="P20" s="300" t="inlineStr">
        <is>
          <t>/</t>
        </is>
      </c>
      <c r="Q20" s="300" t="n"/>
      <c r="R20" s="300">
        <f>COUNTIFS(销售需求表!F:F,$R$17&amp;B20,销售需求表!B:B,"&gt;0")</f>
        <v/>
      </c>
      <c r="S20" s="300">
        <f>SUMIFS(销售需求表!B:B,销售需求表!F:F,$R$17&amp;B20)</f>
        <v/>
      </c>
      <c r="T20" s="300">
        <f>SUMIFS('7月排产计划'!AW:AW,'7月排产计划'!D:D,$R$17&amp;B20)</f>
        <v/>
      </c>
      <c r="U20" s="300">
        <f>S20-T20</f>
        <v/>
      </c>
      <c r="V20" s="461">
        <f>T20/3800</f>
        <v/>
      </c>
      <c r="W20" s="300">
        <f>COUNTIFS(销售需求表!F:F,$W$17&amp;B20,销售需求表!B:B,"&gt;0")</f>
        <v/>
      </c>
      <c r="X20" s="300">
        <f>SUMIFS(销售需求表!B:B,销售需求表!F:F,$W$17&amp;B20)</f>
        <v/>
      </c>
      <c r="Y20" s="300">
        <f>SUMIFS('7月排产计划'!AW:AW,'7月排产计划'!D:D,$W$17&amp;B20)</f>
        <v/>
      </c>
      <c r="Z20" s="300">
        <f>X20-Y20</f>
        <v/>
      </c>
      <c r="AA20" s="461">
        <f>Y20/1000</f>
        <v/>
      </c>
      <c r="AB20" s="300">
        <f>COUNTIFS(销售需求表!F:F,$AB$17&amp;B20,销售需求表!B:B,"&gt;0")</f>
        <v/>
      </c>
      <c r="AC20" s="300">
        <f>SUMIFS(销售需求表!B:B,销售需求表!F:F,$AB$17&amp;B20)</f>
        <v/>
      </c>
      <c r="AD20" s="300">
        <f>SUMIFS('7月排产计划'!AW:AW,'7月排产计划'!D:D,$AB$17&amp;B20)</f>
        <v/>
      </c>
      <c r="AE20" s="300">
        <f>AC20-AD20</f>
        <v/>
      </c>
      <c r="AF20" s="461">
        <f>AD20/1000</f>
        <v/>
      </c>
      <c r="AG20" s="300">
        <f>COUNTIFS(销售需求表!F:F,$AG$17&amp;B20,销售需求表!B:B,"&gt;0")</f>
        <v/>
      </c>
      <c r="AH20" s="300">
        <f>SUMIFS(销售需求表!B:B,销售需求表!F:F,$AG$17&amp;B20)</f>
        <v/>
      </c>
      <c r="AI20" s="300">
        <f>SUMIFS('7月排产计划'!AW:AW,'7月排产计划'!D:D,$AG$17&amp;B20)</f>
        <v/>
      </c>
      <c r="AJ20" s="300">
        <f>AH20-AI20</f>
        <v/>
      </c>
      <c r="AK20" s="461">
        <f>AI20/1000</f>
        <v/>
      </c>
      <c r="AL20" s="300">
        <f>COUNTIFS(销售需求表!F:F,$AL$17&amp;B20,销售需求表!B:B,"&gt;0")</f>
        <v/>
      </c>
      <c r="AM20" s="300">
        <f>SUMIFS(销售需求表!B:B,销售需求表!F:F,$AL$17&amp;B20)</f>
        <v/>
      </c>
      <c r="AN20" s="300">
        <f>SUMIFS('7月排产计划'!AW:AW,'7月排产计划'!D:D,$AL$17&amp;B20)</f>
        <v/>
      </c>
      <c r="AO20" s="300">
        <f>AM20-AN20</f>
        <v/>
      </c>
      <c r="AP20" s="461">
        <f>AN20/1000</f>
        <v/>
      </c>
      <c r="AQ20" s="321">
        <f>SUM(D20,I20,N20,S20,X20,AC20,AM20,AH20)</f>
        <v/>
      </c>
      <c r="AR20" s="322">
        <f>SUM(E20,J20,O20,T20,Y20,AD20,AN20,AI20)</f>
        <v/>
      </c>
      <c r="AS20" s="322">
        <f>AQ20-AR20</f>
        <v/>
      </c>
    </row>
    <row r="21" ht="38" customHeight="1" s="428">
      <c r="B21" s="293" t="inlineStr">
        <is>
          <t>12寸</t>
        </is>
      </c>
      <c r="C21" s="300">
        <f>COUNTIFS(销售需求表!F:F,C17&amp;B21,销售需求表!B:B,"&gt;0")</f>
        <v/>
      </c>
      <c r="D21" s="300">
        <f>SUMIFS(销售需求表!B:B,销售需求表!F:F,$C$17&amp;B21)</f>
        <v/>
      </c>
      <c r="E21" s="300" t="inlineStr">
        <is>
          <t>/</t>
        </is>
      </c>
      <c r="F21" s="300" t="inlineStr">
        <is>
          <t>/</t>
        </is>
      </c>
      <c r="G21" s="300" t="n"/>
      <c r="H21" s="300" t="inlineStr">
        <is>
          <t>/</t>
        </is>
      </c>
      <c r="I21" s="300" t="inlineStr">
        <is>
          <t>/</t>
        </is>
      </c>
      <c r="J21" s="300" t="inlineStr">
        <is>
          <t>/</t>
        </is>
      </c>
      <c r="K21" s="300" t="inlineStr">
        <is>
          <t>/</t>
        </is>
      </c>
      <c r="L21" s="300" t="n"/>
      <c r="M21" s="300" t="inlineStr">
        <is>
          <t>/</t>
        </is>
      </c>
      <c r="N21" s="300" t="inlineStr">
        <is>
          <t>/</t>
        </is>
      </c>
      <c r="O21" s="300" t="inlineStr">
        <is>
          <t>/</t>
        </is>
      </c>
      <c r="P21" s="300" t="inlineStr">
        <is>
          <t>/</t>
        </is>
      </c>
      <c r="Q21" s="300" t="n"/>
      <c r="R21" s="300">
        <f>COUNTIFS(销售需求表!F:F,$R$17&amp;B21,销售需求表!B:B,"&gt;0")</f>
        <v/>
      </c>
      <c r="S21" s="300">
        <f>SUMIFS(销售需求表!B:B,销售需求表!F:F,$R$17&amp;B21)</f>
        <v/>
      </c>
      <c r="T21" s="300">
        <f>SUMIFS('7月排产计划'!AW:AW,'7月排产计划'!D:D,$R$17&amp;B21)</f>
        <v/>
      </c>
      <c r="U21" s="300">
        <f>S21-T21</f>
        <v/>
      </c>
      <c r="V21" s="461">
        <f>T21/3800</f>
        <v/>
      </c>
      <c r="W21" s="300">
        <f>COUNTIFS(销售需求表!F:F,$W$17&amp;B21,销售需求表!B:B,"&gt;0")</f>
        <v/>
      </c>
      <c r="X21" s="300">
        <f>SUMIFS(销售需求表!B:B,销售需求表!F:F,$W$17&amp;B21)</f>
        <v/>
      </c>
      <c r="Y21" s="300">
        <f>SUMIFS('7月排产计划'!AW:AW,'7月排产计划'!D:D,$W$17&amp;B21)</f>
        <v/>
      </c>
      <c r="Z21" s="300">
        <f>X21-Y21</f>
        <v/>
      </c>
      <c r="AA21" s="461">
        <f>Y21/1000</f>
        <v/>
      </c>
      <c r="AB21" s="300">
        <f>COUNTIFS(销售需求表!F:F,$AB$17&amp;B21,销售需求表!B:B,"&gt;0")</f>
        <v/>
      </c>
      <c r="AC21" s="300">
        <f>SUMIFS(销售需求表!B:B,销售需求表!F:F,$AB$17&amp;B21)</f>
        <v/>
      </c>
      <c r="AD21" s="300">
        <f>SUMIFS('7月排产计划'!AW:AW,'7月排产计划'!D:D,$AB$17&amp;B21)</f>
        <v/>
      </c>
      <c r="AE21" s="300">
        <f>AC21-AD21</f>
        <v/>
      </c>
      <c r="AF21" s="461">
        <f>AD21/1000</f>
        <v/>
      </c>
      <c r="AG21" s="300">
        <f>COUNTIFS(销售需求表!F:F,$AG$17&amp;B21,销售需求表!B:B,"&gt;0")</f>
        <v/>
      </c>
      <c r="AH21" s="300">
        <f>SUMIFS(销售需求表!B:B,销售需求表!F:F,$AG$17&amp;B21)</f>
        <v/>
      </c>
      <c r="AI21" s="300">
        <f>SUMIFS('7月排产计划'!AW:AW,'7月排产计划'!D:D,$AG$17&amp;B21)</f>
        <v/>
      </c>
      <c r="AJ21" s="300">
        <f>AH21-AI21</f>
        <v/>
      </c>
      <c r="AK21" s="461">
        <f>AI21/1000</f>
        <v/>
      </c>
      <c r="AL21" s="300">
        <f>COUNTIFS(销售需求表!F:F,$AL$17&amp;B21,销售需求表!B:B,"&gt;0")</f>
        <v/>
      </c>
      <c r="AM21" s="300">
        <f>SUMIFS(销售需求表!B:B,销售需求表!F:F,$AL$17&amp;B21)</f>
        <v/>
      </c>
      <c r="AN21" s="300">
        <f>SUMIFS('7月排产计划'!AW:AW,'7月排产计划'!D:D,$AL$17&amp;B21)</f>
        <v/>
      </c>
      <c r="AO21" s="300">
        <f>AM21-AN21</f>
        <v/>
      </c>
      <c r="AP21" s="461">
        <f>AN21/1000</f>
        <v/>
      </c>
      <c r="AQ21" s="321">
        <f>SUM(D21,I21,N21,S21,X21,AC21,AM21,AH21)</f>
        <v/>
      </c>
      <c r="AR21" s="322">
        <f>SUM(E21,J21,O21,T21,Y21,AD21,AN21,AI21)</f>
        <v/>
      </c>
      <c r="AS21" s="322">
        <f>AQ21-AR21</f>
        <v/>
      </c>
    </row>
    <row r="22" ht="38" customHeight="1" s="428">
      <c r="B22" s="293" t="inlineStr">
        <is>
          <t>13寸</t>
        </is>
      </c>
      <c r="C22" s="300">
        <f>COUNTIFS(销售需求表!F:F,"轻卡13寸",销售需求表!B:B,"&gt;0")</f>
        <v/>
      </c>
      <c r="D22" s="300">
        <f>SUMIFS(销售需求表!B:B,销售需求表!F:F,$C$17&amp;B22)</f>
        <v/>
      </c>
      <c r="E22" s="300" t="inlineStr">
        <is>
          <t>/</t>
        </is>
      </c>
      <c r="F22" s="300" t="inlineStr">
        <is>
          <t>/</t>
        </is>
      </c>
      <c r="G22" s="300" t="n"/>
      <c r="H22" s="300" t="inlineStr">
        <is>
          <t>/</t>
        </is>
      </c>
      <c r="I22" s="300" t="inlineStr">
        <is>
          <t>/</t>
        </is>
      </c>
      <c r="J22" s="300" t="inlineStr">
        <is>
          <t>/</t>
        </is>
      </c>
      <c r="K22" s="300" t="inlineStr">
        <is>
          <t>/</t>
        </is>
      </c>
      <c r="L22" s="300" t="n"/>
      <c r="M22" s="300" t="inlineStr">
        <is>
          <t>/</t>
        </is>
      </c>
      <c r="N22" s="300" t="inlineStr">
        <is>
          <t>/</t>
        </is>
      </c>
      <c r="O22" s="300" t="inlineStr">
        <is>
          <t>/</t>
        </is>
      </c>
      <c r="P22" s="300" t="inlineStr">
        <is>
          <t>/</t>
        </is>
      </c>
      <c r="Q22" s="300" t="n"/>
      <c r="R22" s="300">
        <f>COUNTIFS(销售需求表!F:F,$R$17&amp;B22,销售需求表!B:B,"&gt;0")</f>
        <v/>
      </c>
      <c r="S22" s="300">
        <f>SUMIFS(销售需求表!B:B,销售需求表!F:F,$R$17&amp;B22)</f>
        <v/>
      </c>
      <c r="T22" s="300">
        <f>SUMIFS('7月排产计划'!AW:AW,'7月排产计划'!D:D,$R$17&amp;B22)</f>
        <v/>
      </c>
      <c r="U22" s="300">
        <f>S22-T22</f>
        <v/>
      </c>
      <c r="V22" s="461">
        <f>T22/1900</f>
        <v/>
      </c>
      <c r="W22" s="300">
        <f>COUNTIFS(销售需求表!F:F,$W$17&amp;B22,销售需求表!B:B,"&gt;0")</f>
        <v/>
      </c>
      <c r="X22" s="300">
        <f>SUMIFS(销售需求表!B:B,销售需求表!F:F,$W$17&amp;B22)</f>
        <v/>
      </c>
      <c r="Y22" s="300">
        <f>SUMIFS('7月排产计划'!AW:AW,'7月排产计划'!D:D,$W$17&amp;B22)</f>
        <v/>
      </c>
      <c r="Z22" s="300">
        <f>X22-Y22</f>
        <v/>
      </c>
      <c r="AA22" s="300" t="n"/>
      <c r="AB22" s="300">
        <f>COUNTIFS(销售需求表!F:F,$AB$17&amp;B22,销售需求表!B:B,"&gt;0")</f>
        <v/>
      </c>
      <c r="AC22" s="300">
        <f>SUMIFS(销售需求表!B:B,销售需求表!F:F,$AB$17&amp;B22)</f>
        <v/>
      </c>
      <c r="AD22" s="300">
        <f>SUMIFS('7月排产计划'!AW:AW,'7月排产计划'!D:D,$AB$17&amp;B22)</f>
        <v/>
      </c>
      <c r="AE22" s="300">
        <f>AC22-AD22</f>
        <v/>
      </c>
      <c r="AF22" s="300" t="n"/>
      <c r="AG22" s="300">
        <f>COUNTIFS(销售需求表!F:F,$AG$17&amp;B22,销售需求表!B:B,"&gt;0")</f>
        <v/>
      </c>
      <c r="AH22" s="300">
        <f>SUMIFS(销售需求表!B:B,销售需求表!F:F,$AG$17&amp;B22)</f>
        <v/>
      </c>
      <c r="AI22" s="300">
        <f>SUMIFS('7月排产计划'!AW:AW,'7月排产计划'!D:D,$AG$17&amp;B22)</f>
        <v/>
      </c>
      <c r="AJ22" s="300">
        <f>AH22-AI22</f>
        <v/>
      </c>
      <c r="AK22" s="461">
        <f>AI22/1000</f>
        <v/>
      </c>
      <c r="AL22" s="300">
        <f>COUNTIFS(销售需求表!F:F,$AL$17&amp;B22,销售需求表!B:B,"&gt;0")</f>
        <v/>
      </c>
      <c r="AM22" s="300">
        <f>SUMIFS(销售需求表!B:B,销售需求表!F:F,$AL$17&amp;B22)</f>
        <v/>
      </c>
      <c r="AN22" s="300">
        <f>SUMIFS('7月排产计划'!AW:AW,'7月排产计划'!D:D,$AL$17&amp;B22)</f>
        <v/>
      </c>
      <c r="AO22" s="300">
        <f>AM22-AN22</f>
        <v/>
      </c>
      <c r="AP22" s="300" t="n"/>
      <c r="AQ22" s="321">
        <f>SUM(D22,I22,N22,S22,X22,AC22,AM22,AH22)</f>
        <v/>
      </c>
      <c r="AR22" s="322">
        <f>SUM(E22,J22,O22,T22,Y22,AD22,AN22,AI22)</f>
        <v/>
      </c>
      <c r="AS22" s="322">
        <f>AQ22-AR22</f>
        <v/>
      </c>
    </row>
    <row r="23" ht="38" customHeight="1" s="428">
      <c r="B23" s="293" t="inlineStr">
        <is>
          <t>14寸</t>
        </is>
      </c>
      <c r="C23" s="300">
        <f>COUNTIFS(销售需求表!F:F,"轻卡14寸",销售需求表!B:B,"&gt;0")</f>
        <v/>
      </c>
      <c r="D23" s="300">
        <f>SUMIFS(销售需求表!B:B,销售需求表!F:F,$C$17&amp;B23)</f>
        <v/>
      </c>
      <c r="E23" s="300" t="inlineStr">
        <is>
          <t>/</t>
        </is>
      </c>
      <c r="F23" s="300" t="inlineStr">
        <is>
          <t>/</t>
        </is>
      </c>
      <c r="G23" s="300" t="n"/>
      <c r="H23" s="300" t="inlineStr">
        <is>
          <t>/</t>
        </is>
      </c>
      <c r="I23" s="300" t="inlineStr">
        <is>
          <t>/</t>
        </is>
      </c>
      <c r="J23" s="300" t="inlineStr">
        <is>
          <t>/</t>
        </is>
      </c>
      <c r="K23" s="300" t="inlineStr">
        <is>
          <t>/</t>
        </is>
      </c>
      <c r="L23" s="300" t="n"/>
      <c r="M23" s="300" t="inlineStr">
        <is>
          <t>/</t>
        </is>
      </c>
      <c r="N23" s="300" t="inlineStr">
        <is>
          <t>/</t>
        </is>
      </c>
      <c r="O23" s="300" t="inlineStr">
        <is>
          <t>/</t>
        </is>
      </c>
      <c r="P23" s="300" t="inlineStr">
        <is>
          <t>/</t>
        </is>
      </c>
      <c r="Q23" s="300" t="n"/>
      <c r="R23" s="300">
        <f>COUNTIFS(销售需求表!F:F,$R$17&amp;B23,销售需求表!B:B,"&gt;0")</f>
        <v/>
      </c>
      <c r="S23" s="300">
        <f>SUMIFS(销售需求表!B:B,销售需求表!F:F,$R$17&amp;B23)</f>
        <v/>
      </c>
      <c r="T23" s="300">
        <f>SUMIFS('7月排产计划'!AW:AW,'7月排产计划'!D:D,$R$17&amp;B23)</f>
        <v/>
      </c>
      <c r="U23" s="300">
        <f>S23-T23</f>
        <v/>
      </c>
      <c r="V23" s="461">
        <f>T23/1600</f>
        <v/>
      </c>
      <c r="W23" s="300">
        <f>COUNTIFS(销售需求表!F:F,$W$17&amp;B23,销售需求表!B:B,"&gt;0")</f>
        <v/>
      </c>
      <c r="X23" s="300">
        <f>SUMIFS(销售需求表!B:B,销售需求表!F:F,$W$17&amp;B23)</f>
        <v/>
      </c>
      <c r="Y23" s="300">
        <f>SUMIFS('7月排产计划'!AW:AW,'7月排产计划'!D:D,$W$17&amp;B23)</f>
        <v/>
      </c>
      <c r="Z23" s="300">
        <f>X23-Y23</f>
        <v/>
      </c>
      <c r="AA23" s="300" t="n"/>
      <c r="AB23" s="300">
        <f>COUNTIFS(销售需求表!F:F,$AB$17&amp;B23,销售需求表!B:B,"&gt;0")</f>
        <v/>
      </c>
      <c r="AC23" s="300">
        <f>SUMIFS(销售需求表!B:B,销售需求表!F:F,$AB$17&amp;B23)</f>
        <v/>
      </c>
      <c r="AD23" s="300">
        <f>SUMIFS('7月排产计划'!AW:AW,'7月排产计划'!D:D,$AB$17&amp;B23)</f>
        <v/>
      </c>
      <c r="AE23" s="300">
        <f>AC23-AD23</f>
        <v/>
      </c>
      <c r="AF23" s="300" t="n"/>
      <c r="AG23" s="300">
        <f>COUNTIFS(销售需求表!F:F,$AG$17&amp;B23,销售需求表!B:B,"&gt;0")</f>
        <v/>
      </c>
      <c r="AH23" s="300">
        <f>SUMIFS(销售需求表!B:B,销售需求表!F:F,$AG$17&amp;B23)</f>
        <v/>
      </c>
      <c r="AI23" s="300">
        <f>SUMIFS('7月排产计划'!AW:AW,'7月排产计划'!D:D,$AG$17&amp;B23)</f>
        <v/>
      </c>
      <c r="AJ23" s="300">
        <f>AH23-AI23</f>
        <v/>
      </c>
      <c r="AK23" s="461">
        <f>AI23/1000</f>
        <v/>
      </c>
      <c r="AL23" s="300">
        <f>COUNTIFS(销售需求表!F:F,$AL$17&amp;B23,销售需求表!B:B,"&gt;0")</f>
        <v/>
      </c>
      <c r="AM23" s="300">
        <f>SUMIFS(销售需求表!B:B,销售需求表!F:F,$AL$17&amp;B23)</f>
        <v/>
      </c>
      <c r="AN23" s="300">
        <f>SUMIFS('7月排产计划'!AW:AW,'7月排产计划'!D:D,$AL$17&amp;B23)</f>
        <v/>
      </c>
      <c r="AO23" s="300">
        <f>AM23-AN23</f>
        <v/>
      </c>
      <c r="AP23" s="300" t="n"/>
      <c r="AQ23" s="321">
        <f>SUM(D23,I23,N23,S23,X23,AC23,AM23,AH23)</f>
        <v/>
      </c>
      <c r="AR23" s="322">
        <f>SUM(E23,J23,O23,T23,Y23,AD23,AN23,AI23)</f>
        <v/>
      </c>
      <c r="AS23" s="322">
        <f>AQ23-AR23</f>
        <v/>
      </c>
    </row>
    <row r="24" ht="38" customHeight="1" s="428">
      <c r="B24" s="293" t="inlineStr">
        <is>
          <t>15寸</t>
        </is>
      </c>
      <c r="C24" s="300">
        <f>COUNTIFS(销售需求表!F:F,"轻卡15寸",销售需求表!B:B,"&gt;0")</f>
        <v/>
      </c>
      <c r="D24" s="300">
        <f>SUMIFS(销售需求表!B:B,销售需求表!F:F,$C$17&amp;B24)</f>
        <v/>
      </c>
      <c r="E24" s="300">
        <f>SUMIFS('7月排产计划'!AW:AW,'7月排产计划'!D:D,$C$17&amp;B24)</f>
        <v/>
      </c>
      <c r="F24" s="300">
        <f>D24-E24</f>
        <v/>
      </c>
      <c r="G24" s="461">
        <f>E24/750</f>
        <v/>
      </c>
      <c r="H24" s="300" t="inlineStr">
        <is>
          <t>/</t>
        </is>
      </c>
      <c r="I24" s="300" t="inlineStr">
        <is>
          <t>/</t>
        </is>
      </c>
      <c r="J24" s="300" t="inlineStr">
        <is>
          <t>/</t>
        </is>
      </c>
      <c r="K24" s="300" t="inlineStr">
        <is>
          <t>/</t>
        </is>
      </c>
      <c r="L24" s="300" t="n"/>
      <c r="M24" s="300" t="inlineStr">
        <is>
          <t>/</t>
        </is>
      </c>
      <c r="N24" s="300" t="inlineStr">
        <is>
          <t>/</t>
        </is>
      </c>
      <c r="O24" s="300" t="inlineStr">
        <is>
          <t>/</t>
        </is>
      </c>
      <c r="P24" s="300" t="inlineStr">
        <is>
          <t>/</t>
        </is>
      </c>
      <c r="Q24" s="300" t="n"/>
      <c r="R24" s="300">
        <f>COUNTIFS(销售需求表!F:F,$R$17&amp;B24,销售需求表!B:B,"&gt;0")</f>
        <v/>
      </c>
      <c r="S24" s="300">
        <f>SUMIFS(销售需求表!B:B,销售需求表!F:F,$R$17&amp;B24)</f>
        <v/>
      </c>
      <c r="T24" s="300">
        <f>SUMIFS('7月排产计划'!AW:AW,'7月排产计划'!D:D,$R$17&amp;B24)</f>
        <v/>
      </c>
      <c r="U24" s="300">
        <f>S24-T24</f>
        <v/>
      </c>
      <c r="V24" s="461">
        <f>T24/1250</f>
        <v/>
      </c>
      <c r="W24" s="300">
        <f>COUNTIFS(销售需求表!F:F,$W$17&amp;B24,销售需求表!B:B,"&gt;0")</f>
        <v/>
      </c>
      <c r="X24" s="300">
        <f>SUMIFS(销售需求表!B:B,销售需求表!F:F,$W$17&amp;B24)</f>
        <v/>
      </c>
      <c r="Y24" s="300">
        <f>SUMIFS('7月排产计划'!AW:AW,'7月排产计划'!D:D,$W$17&amp;B24)</f>
        <v/>
      </c>
      <c r="Z24" s="300">
        <f>X24-Y24</f>
        <v/>
      </c>
      <c r="AA24" s="300" t="n"/>
      <c r="AB24" s="300">
        <f>COUNTIFS(销售需求表!F:F,$AB$17&amp;B24,销售需求表!B:B,"&gt;0")</f>
        <v/>
      </c>
      <c r="AC24" s="300">
        <f>SUMIFS(销售需求表!B:B,销售需求表!F:F,$AB$17&amp;B24)</f>
        <v/>
      </c>
      <c r="AD24" s="300">
        <f>SUMIFS('7月排产计划'!AW:AW,'7月排产计划'!D:D,$AB$17&amp;B24)</f>
        <v/>
      </c>
      <c r="AE24" s="300">
        <f>AC24-AD24</f>
        <v/>
      </c>
      <c r="AF24" s="300" t="n"/>
      <c r="AG24" s="300">
        <f>COUNTIFS(销售需求表!F:F,$AG$17&amp;B24,销售需求表!B:B,"&gt;0")</f>
        <v/>
      </c>
      <c r="AH24" s="300">
        <f>SUMIFS(销售需求表!B:B,销售需求表!F:F,$AG$17&amp;B24)</f>
        <v/>
      </c>
      <c r="AI24" s="300">
        <f>SUMIFS('7月排产计划'!AW:AW,'7月排产计划'!D:D,$AG$17&amp;B24)</f>
        <v/>
      </c>
      <c r="AJ24" s="300">
        <f>AH24-AI24</f>
        <v/>
      </c>
      <c r="AK24" s="461">
        <f>AI24/1000</f>
        <v/>
      </c>
      <c r="AL24" s="300">
        <f>COUNTIFS(销售需求表!F:F,$AL$17&amp;B24,销售需求表!B:B,"&gt;0")</f>
        <v/>
      </c>
      <c r="AM24" s="300">
        <f>SUMIFS(销售需求表!B:B,销售需求表!F:F,$AL$17&amp;B24)</f>
        <v/>
      </c>
      <c r="AN24" s="300">
        <f>SUMIFS('7月排产计划'!AW:AW,'7月排产计划'!D:D,$AL$17&amp;B24)</f>
        <v/>
      </c>
      <c r="AO24" s="300">
        <f>AM24-AN24</f>
        <v/>
      </c>
      <c r="AP24" s="300" t="n"/>
      <c r="AQ24" s="321">
        <f>SUM(D24,I24,N24,S24,X24,AC24,AM24,AH24)</f>
        <v/>
      </c>
      <c r="AR24" s="322">
        <f>SUM(E24,J24,O24,T24,Y24,AD24,AN24,AI24)</f>
        <v/>
      </c>
      <c r="AS24" s="322">
        <f>AQ24-AR24</f>
        <v/>
      </c>
    </row>
    <row r="25" ht="38" customHeight="1" s="428">
      <c r="B25" s="293" t="inlineStr">
        <is>
          <t>16寸</t>
        </is>
      </c>
      <c r="C25" s="300">
        <f>COUNTIFS(销售需求表!F:F,"轻卡16寸",销售需求表!B:B,"&gt;0")</f>
        <v/>
      </c>
      <c r="D25" s="300">
        <f>SUMIFS(销售需求表!B:B,销售需求表!F:F,$C$17&amp;B25)</f>
        <v/>
      </c>
      <c r="E25" s="300">
        <f>SUMIFS('7月排产计划'!AW:AW,'7月排产计划'!D:D,$C$17&amp;B25)</f>
        <v/>
      </c>
      <c r="F25" s="300">
        <f>D25-E25</f>
        <v/>
      </c>
      <c r="G25" s="461">
        <f>E25/650</f>
        <v/>
      </c>
      <c r="H25" s="300" t="inlineStr">
        <is>
          <t>/</t>
        </is>
      </c>
      <c r="I25" s="300" t="inlineStr">
        <is>
          <t>/</t>
        </is>
      </c>
      <c r="J25" s="300" t="inlineStr">
        <is>
          <t>/</t>
        </is>
      </c>
      <c r="K25" s="300" t="inlineStr">
        <is>
          <t>/</t>
        </is>
      </c>
      <c r="L25" s="300" t="n"/>
      <c r="M25" s="300" t="inlineStr">
        <is>
          <t>/</t>
        </is>
      </c>
      <c r="N25" s="300" t="inlineStr">
        <is>
          <t>/</t>
        </is>
      </c>
      <c r="O25" s="300" t="inlineStr">
        <is>
          <t>/</t>
        </is>
      </c>
      <c r="P25" s="300" t="inlineStr">
        <is>
          <t>/</t>
        </is>
      </c>
      <c r="Q25" s="300" t="n"/>
      <c r="R25" s="300" t="inlineStr">
        <is>
          <t>/</t>
        </is>
      </c>
      <c r="S25" s="300">
        <f>SUMIFS(销售需求表!B:B,销售需求表!F:F,$R$17&amp;B25)</f>
        <v/>
      </c>
      <c r="T25" s="300" t="inlineStr">
        <is>
          <t>/</t>
        </is>
      </c>
      <c r="U25" s="300" t="inlineStr">
        <is>
          <t>/</t>
        </is>
      </c>
      <c r="V25" s="461" t="n"/>
      <c r="W25" s="300">
        <f>COUNTIFS(销售需求表!F:F,$W$17&amp;B25,销售需求表!B:B,"&gt;0")</f>
        <v/>
      </c>
      <c r="X25" s="300">
        <f>SUMIFS(销售需求表!B:B,销售需求表!F:F,$W$17&amp;B25)</f>
        <v/>
      </c>
      <c r="Y25" s="300">
        <f>SUMIFS('7月排产计划'!AW:AW,'7月排产计划'!D:D,$W$17&amp;B25)</f>
        <v/>
      </c>
      <c r="Z25" s="300">
        <f>X25-Y25</f>
        <v/>
      </c>
      <c r="AA25" s="300" t="n"/>
      <c r="AB25" s="300">
        <f>COUNTIFS(销售需求表!F:F,$AB$17&amp;B25,销售需求表!B:B,"&gt;0")</f>
        <v/>
      </c>
      <c r="AC25" s="300">
        <f>SUMIFS(销售需求表!B:B,销售需求表!F:F,$AB$17&amp;B25)</f>
        <v/>
      </c>
      <c r="AD25" s="300">
        <f>SUMIFS('7月排产计划'!AW:AW,'7月排产计划'!D:D,$AB$17&amp;B25)</f>
        <v/>
      </c>
      <c r="AE25" s="300">
        <f>AC25-AD25</f>
        <v/>
      </c>
      <c r="AF25" s="300" t="n"/>
      <c r="AG25" s="300">
        <f>COUNTIFS(销售需求表!F:F,$AG$17&amp;B25,销售需求表!B:B,"&gt;0")</f>
        <v/>
      </c>
      <c r="AH25" s="300">
        <f>SUMIFS(销售需求表!B:B,销售需求表!F:F,$AG$17&amp;B25)</f>
        <v/>
      </c>
      <c r="AI25" s="300">
        <f>SUMIFS('7月排产计划'!AW:AW,'7月排产计划'!D:D,$AG$17&amp;B25)</f>
        <v/>
      </c>
      <c r="AJ25" s="300">
        <f>AH25-AI25</f>
        <v/>
      </c>
      <c r="AK25" s="461">
        <f>AI25/1000</f>
        <v/>
      </c>
      <c r="AL25" s="300">
        <f>COUNTIFS(销售需求表!F:F,$AL$17&amp;B25,销售需求表!B:B,"&gt;0")</f>
        <v/>
      </c>
      <c r="AM25" s="300">
        <f>SUMIFS(销售需求表!B:B,销售需求表!F:F,$AL$17&amp;B25)</f>
        <v/>
      </c>
      <c r="AN25" s="300">
        <f>SUMIFS('7月排产计划'!AW:AW,'7月排产计划'!D:D,$AL$17&amp;B25)</f>
        <v/>
      </c>
      <c r="AO25" s="300">
        <f>AM25-AN25</f>
        <v/>
      </c>
      <c r="AP25" s="300" t="n"/>
      <c r="AQ25" s="321">
        <f>SUM(D25,I25,N25,S25,X25,AC25,AM25,AH25)</f>
        <v/>
      </c>
      <c r="AR25" s="322">
        <f>SUM(E25,J25,O25,T25,Y25,AD25,AN25,AI25)</f>
        <v/>
      </c>
      <c r="AS25" s="322">
        <f>AQ25-AR25</f>
        <v/>
      </c>
    </row>
    <row r="26" ht="38" customHeight="1" s="428">
      <c r="B26" s="293" t="inlineStr">
        <is>
          <t>16.1寸</t>
        </is>
      </c>
      <c r="C26" s="300">
        <f>COUNTIFS(销售需求表!F:F,"轻卡16.1寸",销售需求表!B:B,"&gt;0")</f>
        <v/>
      </c>
      <c r="D26" s="300">
        <f>SUMIFS(销售需求表!B:B,销售需求表!F:F,$C$17&amp;B26)</f>
        <v/>
      </c>
      <c r="E26" s="300">
        <f>SUMIFS('7月排产计划'!AW:AW,'7月排产计划'!D:D,$C$17&amp;B26)</f>
        <v/>
      </c>
      <c r="F26" s="300">
        <f>D26-E26</f>
        <v/>
      </c>
      <c r="G26" s="461">
        <f>E26/650</f>
        <v/>
      </c>
      <c r="H26" s="300" t="inlineStr">
        <is>
          <t>/</t>
        </is>
      </c>
      <c r="I26" s="300" t="inlineStr">
        <is>
          <t>/</t>
        </is>
      </c>
      <c r="J26" s="300" t="inlineStr">
        <is>
          <t>/</t>
        </is>
      </c>
      <c r="K26" s="300" t="inlineStr">
        <is>
          <t>/</t>
        </is>
      </c>
      <c r="L26" s="300" t="n"/>
      <c r="M26" s="300" t="inlineStr">
        <is>
          <t>/</t>
        </is>
      </c>
      <c r="N26" s="300" t="inlineStr">
        <is>
          <t>/</t>
        </is>
      </c>
      <c r="O26" s="300" t="inlineStr">
        <is>
          <t>/</t>
        </is>
      </c>
      <c r="P26" s="300" t="inlineStr">
        <is>
          <t>/</t>
        </is>
      </c>
      <c r="Q26" s="300" t="n"/>
      <c r="R26" s="300" t="inlineStr">
        <is>
          <t>/</t>
        </is>
      </c>
      <c r="S26" s="300">
        <f>SUMIFS(销售需求表!B:B,销售需求表!F:F,$R$17&amp;B26)</f>
        <v/>
      </c>
      <c r="T26" s="300" t="inlineStr">
        <is>
          <t>/</t>
        </is>
      </c>
      <c r="U26" s="300" t="inlineStr">
        <is>
          <t>/</t>
        </is>
      </c>
      <c r="V26" s="461" t="n"/>
      <c r="W26" s="300">
        <f>COUNTIFS(销售需求表!F:F,$W$17&amp;B26,销售需求表!B:B,"&gt;0")</f>
        <v/>
      </c>
      <c r="X26" s="300">
        <f>SUMIFS(销售需求表!B:B,销售需求表!F:F,$W$17&amp;B26)</f>
        <v/>
      </c>
      <c r="Y26" s="300">
        <f>SUMIFS('7月排产计划'!AW:AW,'7月排产计划'!D:D,$W$17&amp;B26)</f>
        <v/>
      </c>
      <c r="Z26" s="300">
        <f>X26-Y26</f>
        <v/>
      </c>
      <c r="AA26" s="300" t="n"/>
      <c r="AB26" s="300">
        <f>COUNTIFS(销售需求表!F:F,$AB$17&amp;B26,销售需求表!B:B,"&gt;0")</f>
        <v/>
      </c>
      <c r="AC26" s="300">
        <f>SUMIFS(销售需求表!B:B,销售需求表!F:F,$AB$17&amp;B26)</f>
        <v/>
      </c>
      <c r="AD26" s="300">
        <f>SUMIFS('7月排产计划'!AW:AW,'7月排产计划'!D:D,$AB$17&amp;B26)</f>
        <v/>
      </c>
      <c r="AE26" s="300">
        <f>AC26-AD26</f>
        <v/>
      </c>
      <c r="AF26" s="300" t="n"/>
      <c r="AG26" s="300">
        <f>COUNTIFS(销售需求表!F:F,$AG$17&amp;B26,销售需求表!B:B,"&gt;0")</f>
        <v/>
      </c>
      <c r="AH26" s="300">
        <f>SUMIFS(销售需求表!B:B,销售需求表!F:F,$AG$17&amp;B26)</f>
        <v/>
      </c>
      <c r="AI26" s="300">
        <f>SUMIFS('7月排产计划'!AW:AW,'7月排产计划'!D:D,$AG$17&amp;B26)</f>
        <v/>
      </c>
      <c r="AJ26" s="300">
        <f>AH26-AI26</f>
        <v/>
      </c>
      <c r="AK26" s="461">
        <f>AI26/1000</f>
        <v/>
      </c>
      <c r="AL26" s="300">
        <f>COUNTIFS(销售需求表!F:F,$AL$17&amp;B26,销售需求表!B:B,"&gt;0")</f>
        <v/>
      </c>
      <c r="AM26" s="300">
        <f>SUMIFS(销售需求表!B:B,销售需求表!F:F,$AL$17&amp;B26)</f>
        <v/>
      </c>
      <c r="AN26" s="300">
        <f>SUMIFS('7月排产计划'!AW:AW,'7月排产计划'!D:D,$AL$17&amp;B26)</f>
        <v/>
      </c>
      <c r="AO26" s="300">
        <f>AM26-AN26</f>
        <v/>
      </c>
      <c r="AP26" s="300" t="n"/>
      <c r="AQ26" s="321">
        <f>SUM(D26,I26,N26,S26,X26,AC26,AM26,AH26)</f>
        <v/>
      </c>
      <c r="AR26" s="322">
        <f>SUM(E26,J26,O26,T26,Y26,AD26,AN26,AI26)</f>
        <v/>
      </c>
      <c r="AS26" s="322">
        <f>AQ26-AR26</f>
        <v/>
      </c>
    </row>
    <row r="27" ht="38" customHeight="1" s="428">
      <c r="B27" s="293" t="inlineStr">
        <is>
          <t>20寸</t>
        </is>
      </c>
      <c r="C27" s="300" t="inlineStr">
        <is>
          <t>/</t>
        </is>
      </c>
      <c r="D27" s="300" t="inlineStr">
        <is>
          <t>/</t>
        </is>
      </c>
      <c r="E27" s="300" t="inlineStr">
        <is>
          <t>/</t>
        </is>
      </c>
      <c r="F27" s="300" t="inlineStr">
        <is>
          <t>/</t>
        </is>
      </c>
      <c r="G27" s="300" t="n"/>
      <c r="H27" s="300">
        <f>COUNTIFS(销售需求表!F:F,"载重20寸",销售需求表!B:B,"&gt;0")</f>
        <v/>
      </c>
      <c r="I27" s="300">
        <f>SUMIFS(销售需求表!B:B,销售需求表!F:F,$H$17&amp;B27)</f>
        <v/>
      </c>
      <c r="J27" s="300">
        <f>SUMIFS('7月排产计划'!AW:AW,'7月排产计划'!D:D,$H$17&amp;B27)</f>
        <v/>
      </c>
      <c r="K27" s="300">
        <f>I27-J27</f>
        <v/>
      </c>
      <c r="L27" s="461">
        <f>J27/286</f>
        <v/>
      </c>
      <c r="M27" s="300" t="inlineStr">
        <is>
          <t>/</t>
        </is>
      </c>
      <c r="N27" s="300" t="inlineStr">
        <is>
          <t>/</t>
        </is>
      </c>
      <c r="O27" s="300" t="inlineStr">
        <is>
          <t>/</t>
        </is>
      </c>
      <c r="P27" s="300" t="inlineStr">
        <is>
          <t>/</t>
        </is>
      </c>
      <c r="Q27" s="300" t="n"/>
      <c r="R27" s="300" t="inlineStr">
        <is>
          <t>/</t>
        </is>
      </c>
      <c r="S27" s="300">
        <f>SUMIFS(销售需求表!B:B,销售需求表!F:F,$R$17&amp;B27)</f>
        <v/>
      </c>
      <c r="T27" s="300" t="inlineStr">
        <is>
          <t>/</t>
        </is>
      </c>
      <c r="U27" s="300" t="inlineStr">
        <is>
          <t>/</t>
        </is>
      </c>
      <c r="V27" s="461" t="n"/>
      <c r="W27" s="300">
        <f>COUNTIFS(销售需求表!F:F,$W$17&amp;B27,销售需求表!B:B,"&gt;0")</f>
        <v/>
      </c>
      <c r="X27" s="300">
        <f>SUMIFS(销售需求表!B:B,销售需求表!F:F,$W$17&amp;B27)</f>
        <v/>
      </c>
      <c r="Y27" s="300">
        <f>SUMIFS('7月排产计划'!AW:AW,'7月排产计划'!D:D,$W$17&amp;B27)</f>
        <v/>
      </c>
      <c r="Z27" s="300">
        <f>X27-Y27</f>
        <v/>
      </c>
      <c r="AA27" s="300" t="n"/>
      <c r="AB27" s="300">
        <f>COUNTIFS(销售需求表!F:F,$AB$17&amp;B27,销售需求表!B:B,"&gt;0")</f>
        <v/>
      </c>
      <c r="AC27" s="300">
        <f>SUMIFS(销售需求表!B:B,销售需求表!F:F,$AB$17&amp;B27)</f>
        <v/>
      </c>
      <c r="AD27" s="300">
        <f>SUMIFS('7月排产计划'!AW:AW,'7月排产计划'!D:D,$AB$17&amp;B27)</f>
        <v/>
      </c>
      <c r="AE27" s="300">
        <f>AC27-AD27</f>
        <v/>
      </c>
      <c r="AF27" s="300" t="n"/>
      <c r="AG27" s="300">
        <f>COUNTIFS(销售需求表!F:F,$AG$17&amp;B27,销售需求表!B:B,"&gt;0")</f>
        <v/>
      </c>
      <c r="AH27" s="300">
        <f>SUMIFS(销售需求表!B:B,销售需求表!F:F,$AG$17&amp;B27)</f>
        <v/>
      </c>
      <c r="AI27" s="300">
        <f>SUMIFS('7月排产计划'!AW:AW,'7月排产计划'!D:D,$AG$17&amp;B27)</f>
        <v/>
      </c>
      <c r="AJ27" s="300">
        <f>AH27-AI27</f>
        <v/>
      </c>
      <c r="AK27" s="461">
        <f>AI27/1000</f>
        <v/>
      </c>
      <c r="AL27" s="300">
        <f>COUNTIFS(销售需求表!F:F,$AL$17&amp;B27,销售需求表!B:B,"&gt;0")</f>
        <v/>
      </c>
      <c r="AM27" s="300">
        <f>SUMIFS(销售需求表!B:B,销售需求表!F:F,$AL$17&amp;B27)</f>
        <v/>
      </c>
      <c r="AN27" s="300">
        <f>SUMIFS('7月排产计划'!AW:AW,'7月排产计划'!D:D,$AL$17&amp;B27)</f>
        <v/>
      </c>
      <c r="AO27" s="300">
        <f>AM27-AN27</f>
        <v/>
      </c>
      <c r="AP27" s="300" t="n"/>
      <c r="AQ27" s="321">
        <f>SUM(D27,I27,N27,S27,X27,AC27,AM27,AH27)</f>
        <v/>
      </c>
      <c r="AR27" s="322">
        <f>SUM(E27,J27,O27,T27,Y27,AD27,AN27,AI27)</f>
        <v/>
      </c>
      <c r="AS27" s="322">
        <f>AQ27-AR27</f>
        <v/>
      </c>
    </row>
    <row r="28" ht="38" customHeight="1" s="428">
      <c r="B28" s="300" t="inlineStr">
        <is>
          <t>25寸</t>
        </is>
      </c>
      <c r="C28" s="300" t="inlineStr">
        <is>
          <t>/</t>
        </is>
      </c>
      <c r="D28" s="300" t="inlineStr">
        <is>
          <t>/</t>
        </is>
      </c>
      <c r="E28" s="300" t="inlineStr">
        <is>
          <t>/</t>
        </is>
      </c>
      <c r="F28" s="300" t="inlineStr">
        <is>
          <t>/</t>
        </is>
      </c>
      <c r="G28" s="300" t="n"/>
      <c r="H28" s="300" t="inlineStr">
        <is>
          <t>/</t>
        </is>
      </c>
      <c r="I28" s="300" t="inlineStr">
        <is>
          <t>/</t>
        </is>
      </c>
      <c r="J28" s="300" t="inlineStr">
        <is>
          <t>/</t>
        </is>
      </c>
      <c r="K28" s="300" t="inlineStr">
        <is>
          <t>/</t>
        </is>
      </c>
      <c r="L28" s="461" t="n"/>
      <c r="M28" s="300">
        <f>COUNTIFS(销售需求表!F:F,"工程胎25寸",销售需求表!B:B,"&gt;0")</f>
        <v/>
      </c>
      <c r="N28" s="300">
        <f>SUMIFS(销售需求表!B:B,销售需求表!F:F,$M$17&amp;B28)</f>
        <v/>
      </c>
      <c r="O28" s="300">
        <f>SUMIFS('7月排产计划'!AW:AW,'7月排产计划'!D:D,$M$17&amp;B28)</f>
        <v/>
      </c>
      <c r="P28" s="300">
        <f>N28-O28</f>
        <v/>
      </c>
      <c r="Q28" s="461">
        <f>O28/48</f>
        <v/>
      </c>
      <c r="R28" s="300" t="inlineStr">
        <is>
          <t>/</t>
        </is>
      </c>
      <c r="S28" s="300">
        <f>SUMIFS(销售需求表!B:B,销售需求表!F:F,$R$17&amp;B28)</f>
        <v/>
      </c>
      <c r="T28" s="300" t="inlineStr">
        <is>
          <t>/</t>
        </is>
      </c>
      <c r="U28" s="300" t="inlineStr">
        <is>
          <t>/</t>
        </is>
      </c>
      <c r="V28" s="461" t="n"/>
      <c r="W28" s="300">
        <f>COUNTIFS(销售需求表!F:F,$W$17&amp;B28,销售需求表!B:B,"&gt;0")</f>
        <v/>
      </c>
      <c r="X28" s="300">
        <f>SUMIFS(销售需求表!B:B,销售需求表!F:F,$W$17&amp;B28)</f>
        <v/>
      </c>
      <c r="Y28" s="300">
        <f>SUMIFS('7月排产计划'!AW:AW,'7月排产计划'!D:D,$W$17&amp;B28)</f>
        <v/>
      </c>
      <c r="Z28" s="300">
        <f>X28-Y28</f>
        <v/>
      </c>
      <c r="AA28" s="300" t="n"/>
      <c r="AB28" s="300">
        <f>COUNTIFS(销售需求表!F:F,$AB$17&amp;B28,销售需求表!B:B,"&gt;0")</f>
        <v/>
      </c>
      <c r="AC28" s="300">
        <f>SUMIFS(销售需求表!B:B,销售需求表!F:F,$AB$17&amp;B28)</f>
        <v/>
      </c>
      <c r="AD28" s="300">
        <f>SUMIFS('7月排产计划'!AW:AW,'7月排产计划'!D:D,$AB$17&amp;B28)</f>
        <v/>
      </c>
      <c r="AE28" s="300">
        <f>AC28-AD28</f>
        <v/>
      </c>
      <c r="AF28" s="300" t="n"/>
      <c r="AG28" s="300">
        <f>COUNTIFS(销售需求表!F:F,$AG$17&amp;B28,销售需求表!B:B,"&gt;0")</f>
        <v/>
      </c>
      <c r="AH28" s="300">
        <f>SUMIFS(销售需求表!B:B,销售需求表!F:F,$AG$17&amp;B28)</f>
        <v/>
      </c>
      <c r="AI28" s="300">
        <f>SUMIFS('7月排产计划'!AW:AW,'7月排产计划'!D:D,$AG$17&amp;B28)</f>
        <v/>
      </c>
      <c r="AJ28" s="300">
        <f>AH28-AI28</f>
        <v/>
      </c>
      <c r="AK28" s="461">
        <f>AI28/1000</f>
        <v/>
      </c>
      <c r="AL28" s="300">
        <f>COUNTIFS(销售需求表!F:F,$AL$17&amp;B28,销售需求表!B:B,"&gt;0")</f>
        <v/>
      </c>
      <c r="AM28" s="300">
        <f>SUMIFS(销售需求表!B:B,销售需求表!F:F,$AL$17&amp;B28)</f>
        <v/>
      </c>
      <c r="AN28" s="300">
        <f>SUMIFS('7月排产计划'!AW:AW,'7月排产计划'!D:D,$AL$17&amp;B28)</f>
        <v/>
      </c>
      <c r="AO28" s="300">
        <f>AM28-AN28</f>
        <v/>
      </c>
      <c r="AP28" s="300" t="n"/>
      <c r="AQ28" s="321">
        <f>SUM(D28,I28,N28,S28,X28,AC28,AM28,AH28)</f>
        <v/>
      </c>
      <c r="AR28" s="322">
        <f>SUM(E28,J28,O28,T28,Y28,AD28,AN28,AI28)</f>
        <v/>
      </c>
      <c r="AS28" s="322">
        <f>AQ28-AR28</f>
        <v/>
      </c>
    </row>
    <row r="29" ht="38" customHeight="1" s="428">
      <c r="B29" s="293" t="inlineStr">
        <is>
          <t>合计</t>
        </is>
      </c>
      <c r="C29" s="300">
        <f>SUM(C19:C28)</f>
        <v/>
      </c>
      <c r="D29" s="300">
        <f>SUM(D19:D28)</f>
        <v/>
      </c>
      <c r="E29" s="300">
        <f>SUM(E19:E28)</f>
        <v/>
      </c>
      <c r="F29" s="300">
        <f>SUM(F19:F28)</f>
        <v/>
      </c>
      <c r="G29" s="461">
        <f>SUM(G19:G28)</f>
        <v/>
      </c>
      <c r="H29" s="300">
        <f>SUM(H19:H28)</f>
        <v/>
      </c>
      <c r="I29" s="300">
        <f>SUM(I19:I28)</f>
        <v/>
      </c>
      <c r="J29" s="300">
        <f>SUM(J19:J28)</f>
        <v/>
      </c>
      <c r="K29" s="300">
        <f>SUM(K19:K28)</f>
        <v/>
      </c>
      <c r="L29" s="461">
        <f>SUM(L19:L28)</f>
        <v/>
      </c>
      <c r="M29" s="300">
        <f>SUM(M19:M28)</f>
        <v/>
      </c>
      <c r="N29" s="300">
        <f>SUM(N19:N28)</f>
        <v/>
      </c>
      <c r="O29" s="300">
        <f>SUM(O19:O28)</f>
        <v/>
      </c>
      <c r="P29" s="300">
        <f>SUM(P19:P28)</f>
        <v/>
      </c>
      <c r="Q29" s="461">
        <f>SUM(Q19:Q28)</f>
        <v/>
      </c>
      <c r="R29" s="300">
        <f>SUM(R21:R28)</f>
        <v/>
      </c>
      <c r="S29" s="300">
        <f>SUM(S19:S28)</f>
        <v/>
      </c>
      <c r="T29" s="300">
        <f>SUM(T19:T28)</f>
        <v/>
      </c>
      <c r="U29" s="300">
        <f>SUM(U19:U28)</f>
        <v/>
      </c>
      <c r="V29" s="461">
        <f>SUM(V21:V28)</f>
        <v/>
      </c>
      <c r="W29" s="300">
        <f>SUM(W19:W28)</f>
        <v/>
      </c>
      <c r="X29" s="300">
        <f>SUM(X19:X28)</f>
        <v/>
      </c>
      <c r="Y29" s="300">
        <f>SUM(Y19:Y28)</f>
        <v/>
      </c>
      <c r="Z29" s="300">
        <f>SUM(Z19:Z28)</f>
        <v/>
      </c>
      <c r="AA29" s="461">
        <f>SUM(AA19:AA28)</f>
        <v/>
      </c>
      <c r="AB29" s="300">
        <f>SUM(AB19:AB28)</f>
        <v/>
      </c>
      <c r="AC29" s="300">
        <f>SUM(AC19:AC28)</f>
        <v/>
      </c>
      <c r="AD29" s="300">
        <f>SUM(AD19:AD28)</f>
        <v/>
      </c>
      <c r="AE29" s="300">
        <f>SUM(AE19:AE28)</f>
        <v/>
      </c>
      <c r="AF29" s="461">
        <f>SUM(AF19:AF28)</f>
        <v/>
      </c>
      <c r="AG29" s="300">
        <f>SUM(AG19:AG28)</f>
        <v/>
      </c>
      <c r="AH29" s="300">
        <f>SUM(AH19:AH28)</f>
        <v/>
      </c>
      <c r="AI29" s="300">
        <f>SUM(AI19:AI28)</f>
        <v/>
      </c>
      <c r="AJ29" s="300">
        <f>SUM(AJ19:AJ28)</f>
        <v/>
      </c>
      <c r="AK29" s="461">
        <f>SUM(AK19:AK28)</f>
        <v/>
      </c>
      <c r="AL29" s="300">
        <f>SUM(AL19:AL28)</f>
        <v/>
      </c>
      <c r="AM29" s="300">
        <f>SUM(AM19:AM28)</f>
        <v/>
      </c>
      <c r="AN29" s="300">
        <f>SUM(AN19:AN28)</f>
        <v/>
      </c>
      <c r="AO29" s="300">
        <f>SUM(AO19:AO28)</f>
        <v/>
      </c>
      <c r="AP29" s="461">
        <f>SUM(AP19:AP28)</f>
        <v/>
      </c>
      <c r="AQ29" s="301">
        <f>SUM(AQ19:AQ28)</f>
        <v/>
      </c>
      <c r="AR29" s="301">
        <f>SUM(AR19:AR28)</f>
        <v/>
      </c>
      <c r="AS29" s="301">
        <f>SUM(AS21:AS28)</f>
        <v/>
      </c>
    </row>
    <row r="30" ht="38" customHeight="1" s="428">
      <c r="B30" s="293" t="n"/>
      <c r="C30" s="300" t="n"/>
      <c r="D30" s="300" t="n"/>
      <c r="E30" s="300" t="n"/>
      <c r="F30" s="300" t="n"/>
      <c r="G30" s="300" t="n"/>
      <c r="H30" s="300" t="n"/>
      <c r="I30" s="300" t="n"/>
      <c r="J30" s="300" t="n"/>
      <c r="K30" s="300" t="n"/>
      <c r="L30" s="300" t="n"/>
      <c r="M30" s="300" t="n"/>
      <c r="N30" s="300" t="n"/>
      <c r="O30" s="300" t="n"/>
      <c r="P30" s="300" t="n"/>
      <c r="Q30" s="300" t="n"/>
      <c r="R30" s="300" t="n"/>
      <c r="S30" s="300" t="n"/>
      <c r="T30" s="300" t="n"/>
      <c r="U30" s="300" t="n"/>
      <c r="V30" s="300" t="n"/>
      <c r="W30" s="300" t="n"/>
      <c r="X30" s="300" t="n"/>
      <c r="Y30" s="300" t="n"/>
      <c r="Z30" s="300" t="n"/>
      <c r="AA30" s="300" t="n"/>
      <c r="AB30" s="300" t="n"/>
      <c r="AC30" s="300" t="n"/>
      <c r="AD30" s="300" t="n"/>
      <c r="AE30" s="300" t="n"/>
      <c r="AF30" s="300" t="n"/>
      <c r="AG30" s="300" t="n"/>
      <c r="AH30" s="300" t="n"/>
      <c r="AI30" s="300" t="n"/>
      <c r="AJ30" s="300" t="n"/>
      <c r="AK30" s="300" t="n"/>
      <c r="AL30" s="300" t="n"/>
      <c r="AM30" s="300" t="n"/>
      <c r="AN30" s="300" t="n"/>
      <c r="AO30" s="300" t="n"/>
      <c r="AP30" s="300" t="n"/>
      <c r="AQ30" s="301" t="n"/>
      <c r="AR30" s="301" t="n"/>
      <c r="AS30" s="301" t="n"/>
    </row>
    <row r="31" ht="62" customHeight="1" s="428">
      <c r="B31" s="323" t="inlineStr">
        <is>
          <t>说明：</t>
        </is>
      </c>
      <c r="C31" s="324" t="n"/>
      <c r="D31" s="324" t="n"/>
      <c r="E31" s="324" t="n"/>
      <c r="F31" s="324" t="n"/>
      <c r="G31" s="324" t="n"/>
      <c r="H31" s="324" t="n"/>
      <c r="I31" s="324" t="n"/>
      <c r="J31" s="324" t="n"/>
      <c r="K31" s="324" t="n"/>
      <c r="L31" s="324" t="n"/>
      <c r="M31" s="324" t="n"/>
      <c r="N31" s="324" t="n"/>
      <c r="O31" s="324" t="n"/>
      <c r="P31" s="324" t="n"/>
      <c r="Q31" s="324" t="n"/>
      <c r="R31" s="324" t="n"/>
      <c r="S31" s="324" t="n"/>
      <c r="T31" s="324" t="n"/>
      <c r="U31" s="324" t="n"/>
      <c r="V31" s="324" t="n"/>
      <c r="W31" s="324" t="n"/>
      <c r="X31" s="324" t="n"/>
      <c r="Y31" s="324" t="n"/>
      <c r="Z31" s="324" t="n"/>
      <c r="AA31" s="324" t="n"/>
      <c r="AB31" s="324" t="n"/>
      <c r="AC31" s="324" t="n"/>
      <c r="AD31" s="324" t="n"/>
      <c r="AE31" s="324" t="n"/>
      <c r="AF31" s="324" t="n"/>
      <c r="AG31" s="324" t="n"/>
      <c r="AH31" s="324" t="n"/>
      <c r="AI31" s="324" t="n"/>
      <c r="AJ31" s="324" t="n"/>
      <c r="AK31" s="324" t="n"/>
      <c r="AL31" s="324" t="n"/>
      <c r="AM31" s="324" t="n"/>
      <c r="AN31" s="324" t="n"/>
      <c r="AO31" s="324" t="n"/>
      <c r="AP31" s="324" t="n"/>
      <c r="AQ31" s="324" t="n"/>
      <c r="AR31" s="324" t="n"/>
      <c r="AS31" s="325" t="n"/>
    </row>
    <row r="32" ht="62" customHeight="1" s="428">
      <c r="B32" s="326" t="n"/>
      <c r="C32" s="327" t="n"/>
      <c r="D32" s="327" t="n"/>
      <c r="E32" s="327" t="n"/>
      <c r="F32" s="327" t="n"/>
      <c r="G32" s="327" t="n"/>
      <c r="H32" s="327" t="n"/>
      <c r="I32" s="327" t="n"/>
      <c r="J32" s="327" t="n"/>
      <c r="K32" s="327" t="n"/>
      <c r="L32" s="327" t="n"/>
      <c r="M32" s="327" t="n"/>
      <c r="N32" s="327" t="n"/>
      <c r="O32" s="327" t="n"/>
      <c r="P32" s="327" t="n"/>
      <c r="Q32" s="327" t="n"/>
      <c r="R32" s="327" t="n"/>
      <c r="S32" s="327" t="n"/>
      <c r="T32" s="327" t="n"/>
      <c r="U32" s="327" t="n"/>
      <c r="V32" s="327" t="n"/>
      <c r="W32" s="327" t="n"/>
      <c r="X32" s="327" t="n"/>
      <c r="Y32" s="327" t="n"/>
      <c r="Z32" s="327" t="n"/>
      <c r="AA32" s="327" t="n"/>
      <c r="AB32" s="327" t="n"/>
      <c r="AC32" s="327" t="n"/>
      <c r="AD32" s="327" t="n"/>
      <c r="AE32" s="327" t="n"/>
      <c r="AF32" s="327" t="n"/>
      <c r="AG32" s="327" t="n"/>
      <c r="AH32" s="327" t="n"/>
      <c r="AI32" s="327" t="n"/>
      <c r="AJ32" s="327" t="n"/>
      <c r="AK32" s="327" t="n"/>
      <c r="AL32" s="327" t="n"/>
      <c r="AM32" s="327" t="n"/>
      <c r="AN32" s="327" t="n"/>
      <c r="AO32" s="327" t="n"/>
      <c r="AP32" s="327" t="n"/>
      <c r="AQ32" s="327" t="n"/>
      <c r="AR32" s="327" t="n"/>
      <c r="AS32" s="328" t="n"/>
    </row>
  </sheetData>
  <mergeCells count="18">
    <mergeCell ref="AG17:AK17"/>
    <mergeCell ref="AL17:AP17"/>
    <mergeCell ref="AB3:AF3"/>
    <mergeCell ref="H3:L3"/>
    <mergeCell ref="H17:L17"/>
    <mergeCell ref="M17:Q17"/>
    <mergeCell ref="W17:AA17"/>
    <mergeCell ref="AB17:AF17"/>
    <mergeCell ref="B2:Y2"/>
    <mergeCell ref="B16:Y16"/>
    <mergeCell ref="R17:V17"/>
    <mergeCell ref="R3:V3"/>
    <mergeCell ref="AG3:AI3"/>
    <mergeCell ref="C3:G3"/>
    <mergeCell ref="W3:AA3"/>
    <mergeCell ref="M3:Q3"/>
    <mergeCell ref="AQ17:AS17"/>
    <mergeCell ref="C17:G17"/>
  </mergeCells>
  <pageMargins left="0.75" right="0.75" top="1" bottom="1" header="0.5" footer="0.5"/>
  <pageSetup orientation="landscape" paperSize="9" scale="25"/>
</worksheet>
</file>

<file path=xl/worksheets/sheet4.xml><?xml version="1.0" encoding="utf-8"?>
<worksheet xmlns="http://schemas.openxmlformats.org/spreadsheetml/2006/main">
  <sheetPr codeName="Sheet5">
    <outlinePr summaryBelow="1" summaryRight="1"/>
    <pageSetUpPr fitToPage="1"/>
  </sheetPr>
  <dimension ref="B2:AD29"/>
  <sheetViews>
    <sheetView topLeftCell="J1" zoomScale="70" zoomScaleNormal="70" workbookViewId="0">
      <selection activeCell="W8" sqref="W8"/>
    </sheetView>
  </sheetViews>
  <sheetFormatPr baseColWidth="8" defaultColWidth="8.800000000000001" defaultRowHeight="13.8"/>
  <cols>
    <col width="2.9" customWidth="1" style="362" min="1" max="1"/>
    <col width="17.9" customWidth="1" style="362" min="2" max="2"/>
    <col width="14.1" customWidth="1" style="362" min="3" max="7"/>
    <col width="2.85" customWidth="1" style="362" min="8" max="8"/>
    <col width="18" customWidth="1" style="362" min="9" max="9"/>
    <col width="14.7" customWidth="1" style="362" min="10" max="13"/>
    <col width="13.5666666666667" customWidth="1" style="362" min="14" max="14"/>
    <col width="3" customWidth="1" style="362" min="15" max="15"/>
    <col width="17.9" customWidth="1" style="362" min="16" max="16"/>
    <col width="14.1" customWidth="1" style="362" min="17" max="21"/>
    <col width="9.5" customWidth="1" style="390" min="22" max="22"/>
    <col width="13.9" customWidth="1" style="390" min="23" max="23"/>
    <col width="1.99166666666667" customWidth="1" style="390" min="24" max="24"/>
    <col width="16.8" customWidth="1" style="362" min="25" max="25"/>
    <col width="13.5" customWidth="1" style="362" min="26" max="29"/>
    <col width="13" customWidth="1" style="362" min="30" max="30"/>
    <col width="12.8" customWidth="1" style="362" min="31" max="31"/>
    <col width="8.800000000000001" customWidth="1" style="362" min="32" max="16384"/>
  </cols>
  <sheetData>
    <row r="2" ht="22.2" customHeight="1" s="428">
      <c r="B2" s="260" t="inlineStr">
        <is>
          <t>2026年7月生产吨位汇总表</t>
        </is>
      </c>
      <c r="I2" s="260" t="inlineStr">
        <is>
          <t>2026年7月生产条数汇总表</t>
        </is>
      </c>
      <c r="P2" s="260" t="inlineStr">
        <is>
          <t>2026年7月生产产值汇总表</t>
        </is>
      </c>
      <c r="X2" s="390" t="n"/>
      <c r="Y2" s="260" t="inlineStr">
        <is>
          <t>2026年7月生产条数汇总表</t>
        </is>
      </c>
    </row>
    <row r="3" ht="34" customHeight="1" s="428">
      <c r="B3" s="262" t="inlineStr">
        <is>
          <t>系列</t>
        </is>
      </c>
      <c r="C3" s="263" t="inlineStr">
        <is>
          <t>第一周(7天)</t>
        </is>
      </c>
      <c r="D3" s="263" t="inlineStr">
        <is>
          <t>第二周(7天)</t>
        </is>
      </c>
      <c r="E3" s="263" t="inlineStr">
        <is>
          <t>第三周(8天)</t>
        </is>
      </c>
      <c r="F3" s="263" t="inlineStr">
        <is>
          <t>第四周(9天)</t>
        </is>
      </c>
      <c r="G3" s="263" t="inlineStr">
        <is>
          <t>合计</t>
        </is>
      </c>
      <c r="I3" s="262" t="inlineStr">
        <is>
          <t>系列</t>
        </is>
      </c>
      <c r="J3" s="263" t="inlineStr">
        <is>
          <t>第一周(7天)</t>
        </is>
      </c>
      <c r="K3" s="263" t="inlineStr">
        <is>
          <t>第二周(7天)</t>
        </is>
      </c>
      <c r="L3" s="263" t="inlineStr">
        <is>
          <t>第三周(8天)</t>
        </is>
      </c>
      <c r="M3" s="263" t="inlineStr">
        <is>
          <t>第四周(9天)</t>
        </is>
      </c>
      <c r="N3" s="263" t="inlineStr">
        <is>
          <t>合计</t>
        </is>
      </c>
      <c r="P3" s="262" t="inlineStr">
        <is>
          <t>系列</t>
        </is>
      </c>
      <c r="Q3" s="263" t="inlineStr">
        <is>
          <t>第一周(7天)</t>
        </is>
      </c>
      <c r="R3" s="263" t="inlineStr">
        <is>
          <t>第二周(7天)</t>
        </is>
      </c>
      <c r="S3" s="263" t="inlineStr">
        <is>
          <t>第三周(8天)</t>
        </is>
      </c>
      <c r="T3" s="263" t="inlineStr">
        <is>
          <t>第四周(9天)</t>
        </is>
      </c>
      <c r="U3" s="263" t="inlineStr">
        <is>
          <t>合计</t>
        </is>
      </c>
      <c r="V3" s="249" t="inlineStr">
        <is>
          <t>年度规划</t>
        </is>
      </c>
      <c r="W3" s="249" t="inlineStr">
        <is>
          <t>差异</t>
        </is>
      </c>
      <c r="X3" s="225" t="n"/>
      <c r="Y3" s="262" t="inlineStr">
        <is>
          <t>系列</t>
        </is>
      </c>
      <c r="Z3" s="263" t="inlineStr">
        <is>
          <t>第一周(7天)</t>
        </is>
      </c>
      <c r="AA3" s="263" t="inlineStr">
        <is>
          <t>第二周(7天)</t>
        </is>
      </c>
      <c r="AB3" s="263" t="inlineStr">
        <is>
          <t>第三周(8天)</t>
        </is>
      </c>
      <c r="AC3" s="263" t="inlineStr">
        <is>
          <t>第四周(9天)</t>
        </is>
      </c>
      <c r="AD3" s="263" t="inlineStr">
        <is>
          <t>合计</t>
        </is>
      </c>
    </row>
    <row r="4" ht="27" customHeight="1" s="428">
      <c r="B4" s="262" t="inlineStr">
        <is>
          <t>全钢</t>
        </is>
      </c>
      <c r="C4" s="462">
        <f>'7月排产计划'!CE377</f>
        <v/>
      </c>
      <c r="D4" s="462">
        <f>'7月排产计划'!CF377</f>
        <v/>
      </c>
      <c r="E4" s="462">
        <f>'7月排产计划'!CG377</f>
        <v/>
      </c>
      <c r="F4" s="462">
        <f>'7月排产计划'!CH377</f>
        <v/>
      </c>
      <c r="G4" s="462">
        <f>SUM(C4:F4)</f>
        <v/>
      </c>
      <c r="I4" s="262" t="inlineStr">
        <is>
          <t>全钢</t>
        </is>
      </c>
      <c r="J4" s="463">
        <f>'7月排产计划'!BY2</f>
        <v/>
      </c>
      <c r="K4" s="463">
        <f>'7月排产计划'!BZ2</f>
        <v/>
      </c>
      <c r="L4" s="463">
        <f>'7月排产计划'!CA2</f>
        <v/>
      </c>
      <c r="M4" s="463">
        <f>'7月排产计划'!CB2</f>
        <v/>
      </c>
      <c r="N4" s="463">
        <f>SUM(J4:M4)</f>
        <v/>
      </c>
      <c r="P4" s="262" t="inlineStr">
        <is>
          <t>全钢</t>
        </is>
      </c>
      <c r="Q4" s="462">
        <f>'7月排产计划'!CK377/10000</f>
        <v/>
      </c>
      <c r="R4" s="462">
        <f>'7月排产计划'!CL377/10000</f>
        <v/>
      </c>
      <c r="S4" s="462">
        <f>'7月排产计划'!CM377/10000</f>
        <v/>
      </c>
      <c r="T4" s="462">
        <f>'7月排产计划'!CN377/10000</f>
        <v/>
      </c>
      <c r="U4" s="462">
        <f>SUM(Q4:T4)</f>
        <v/>
      </c>
      <c r="V4" s="464">
        <f>'[1]2026年产能规划R11'!$K$35</f>
        <v/>
      </c>
      <c r="W4" s="464">
        <f>U4-V4</f>
        <v/>
      </c>
      <c r="X4" s="465" t="n"/>
      <c r="Y4" s="262" t="inlineStr">
        <is>
          <t>全钢</t>
        </is>
      </c>
      <c r="Z4" s="463">
        <f>'7月排产计划'!BY2</f>
        <v/>
      </c>
      <c r="AA4" s="463">
        <f>'7月排产计划'!BZ2</f>
        <v/>
      </c>
      <c r="AB4" s="463">
        <f>'7月排产计划'!CA2</f>
        <v/>
      </c>
      <c r="AC4" s="463">
        <f>'7月排产计划'!CB2</f>
        <v/>
      </c>
      <c r="AD4" s="463">
        <f>SUM(Z4:AC4)</f>
        <v/>
      </c>
    </row>
    <row r="5" ht="27" customHeight="1" s="428">
      <c r="B5" s="262" t="inlineStr">
        <is>
          <t>垫带</t>
        </is>
      </c>
      <c r="C5" s="462">
        <f>'7月排产计划'!CE563</f>
        <v/>
      </c>
      <c r="D5" s="462">
        <f>'7月排产计划'!CF563</f>
        <v/>
      </c>
      <c r="E5" s="462">
        <f>'7月排产计划'!CG563</f>
        <v/>
      </c>
      <c r="F5" s="462">
        <f>'7月排产计划'!CH563</f>
        <v/>
      </c>
      <c r="G5" s="462">
        <f>SUM(C5:F5)</f>
        <v/>
      </c>
      <c r="I5" s="262" t="inlineStr">
        <is>
          <t>垫带</t>
        </is>
      </c>
      <c r="J5" s="462">
        <f>'7月排产计划'!BY563</f>
        <v/>
      </c>
      <c r="K5" s="462">
        <f>'7月排产计划'!BZ563</f>
        <v/>
      </c>
      <c r="L5" s="462">
        <f>'7月排产计划'!CA563</f>
        <v/>
      </c>
      <c r="M5" s="462">
        <f>'7月排产计划'!CB563</f>
        <v/>
      </c>
      <c r="N5" s="462">
        <f>SUM(J5:M5)</f>
        <v/>
      </c>
      <c r="P5" s="262" t="inlineStr">
        <is>
          <t>垫带</t>
        </is>
      </c>
      <c r="Q5" s="462">
        <f>'7月排产计划'!CK564/10000</f>
        <v/>
      </c>
      <c r="R5" s="462">
        <f>'7月排产计划'!CL564/10000</f>
        <v/>
      </c>
      <c r="S5" s="462">
        <f>'7月排产计划'!CM564/10000</f>
        <v/>
      </c>
      <c r="T5" s="462">
        <f>'7月排产计划'!CN564/10000</f>
        <v/>
      </c>
      <c r="U5" s="462">
        <f>SUM(Q5:T5)</f>
        <v/>
      </c>
      <c r="V5" s="464">
        <f>'[1]2026年产能规划R11'!$K$200</f>
        <v/>
      </c>
      <c r="W5" s="464">
        <f>U5-V5</f>
        <v/>
      </c>
      <c r="X5" s="465" t="n"/>
      <c r="Y5" s="262" t="inlineStr">
        <is>
          <t>日均条数</t>
        </is>
      </c>
      <c r="Z5" s="463">
        <f>Z4/7</f>
        <v/>
      </c>
      <c r="AA5" s="463">
        <f>AA4/7</f>
        <v/>
      </c>
      <c r="AB5" s="463">
        <f>AB4/8</f>
        <v/>
      </c>
      <c r="AC5" s="463">
        <f>AC4/9</f>
        <v/>
      </c>
      <c r="AD5" s="463">
        <f>AD4/31</f>
        <v/>
      </c>
    </row>
    <row r="6" ht="27" customHeight="1" s="428">
      <c r="B6" s="268" t="inlineStr">
        <is>
          <t>斜交汇总</t>
        </is>
      </c>
      <c r="C6" s="466">
        <f>SUM(C7:C13)</f>
        <v/>
      </c>
      <c r="D6" s="466">
        <f>SUM(D7:D13)</f>
        <v/>
      </c>
      <c r="E6" s="466">
        <f>SUM(E7:E13)</f>
        <v/>
      </c>
      <c r="F6" s="466">
        <f>SUM(F7:F13)</f>
        <v/>
      </c>
      <c r="G6" s="466">
        <f>SUM(C6:F6)</f>
        <v/>
      </c>
      <c r="I6" s="268" t="inlineStr">
        <is>
          <t>斜交</t>
        </is>
      </c>
      <c r="J6" s="467">
        <f>SUM(J7:J13)</f>
        <v/>
      </c>
      <c r="K6" s="467">
        <f>SUM(K7:K13)</f>
        <v/>
      </c>
      <c r="L6" s="467">
        <f>SUM(L7:L13)</f>
        <v/>
      </c>
      <c r="M6" s="467">
        <f>SUM(M7:M13)</f>
        <v/>
      </c>
      <c r="N6" s="467">
        <f>SUM(J6:M6)</f>
        <v/>
      </c>
      <c r="P6" s="268" t="inlineStr">
        <is>
          <t>斜交</t>
        </is>
      </c>
      <c r="Q6" s="466">
        <f>SUM(Q7:Q13)</f>
        <v/>
      </c>
      <c r="R6" s="466">
        <f>SUM(R7:R13)</f>
        <v/>
      </c>
      <c r="S6" s="466">
        <f>SUM(S7:S13)</f>
        <v/>
      </c>
      <c r="T6" s="466">
        <f>SUM(T7:T13)</f>
        <v/>
      </c>
      <c r="U6" s="466">
        <f>SUM(Q6:T6)</f>
        <v/>
      </c>
      <c r="V6" s="464" t="n"/>
      <c r="W6" s="464" t="n"/>
      <c r="X6" s="465" t="n"/>
      <c r="Y6" s="262" t="inlineStr">
        <is>
          <t>垫带</t>
        </is>
      </c>
      <c r="Z6" s="463">
        <f>'7月排产计划'!BY563</f>
        <v/>
      </c>
      <c r="AA6" s="463">
        <f>'7月排产计划'!BZ563</f>
        <v/>
      </c>
      <c r="AB6" s="463">
        <f>'7月排产计划'!CA563</f>
        <v/>
      </c>
      <c r="AC6" s="463">
        <f>'7月排产计划'!CB563</f>
        <v/>
      </c>
      <c r="AD6" s="463">
        <f>SUM(Z6:AC6)</f>
        <v/>
      </c>
    </row>
    <row r="7" ht="27" customHeight="1" s="428">
      <c r="B7" s="240" t="inlineStr">
        <is>
          <t>轻卡</t>
        </is>
      </c>
      <c r="C7" s="468">
        <f>SUMIFS('7月排产计划'!CE:CE,'7月排产计划'!$BX:$BX,$B7)</f>
        <v/>
      </c>
      <c r="D7" s="468">
        <f>SUMIFS('7月排产计划'!CF:CF,'7月排产计划'!$BX:$BX,$B7)</f>
        <v/>
      </c>
      <c r="E7" s="468">
        <f>SUMIFS('7月排产计划'!CG:CG,'7月排产计划'!$BX:$BX,$B7)</f>
        <v/>
      </c>
      <c r="F7" s="468">
        <f>SUMIFS('7月排产计划'!CH:CH,'7月排产计划'!$BX:$BX,$B7)</f>
        <v/>
      </c>
      <c r="G7" s="468">
        <f>SUM(C7:F7)</f>
        <v/>
      </c>
      <c r="I7" s="240" t="inlineStr">
        <is>
          <t>轻卡</t>
        </is>
      </c>
      <c r="J7" s="469">
        <f>SUMIFS('7月排产计划'!BY:BY,'7月排产计划'!$BX:$BX,$I7)</f>
        <v/>
      </c>
      <c r="K7" s="469">
        <f>SUMIFS('7月排产计划'!BZ:BZ,'7月排产计划'!$BX:$BX,$I7)</f>
        <v/>
      </c>
      <c r="L7" s="469">
        <f>SUMIFS('7月排产计划'!CA:CA,'7月排产计划'!$BX:$BX,$I7)</f>
        <v/>
      </c>
      <c r="M7" s="469">
        <f>SUMIFS('7月排产计划'!CB:CB,'7月排产计划'!$BX:$BX,$I7)</f>
        <v/>
      </c>
      <c r="N7" s="469">
        <f>SUM(J7:M7)</f>
        <v/>
      </c>
      <c r="P7" s="240" t="inlineStr">
        <is>
          <t>轻卡</t>
        </is>
      </c>
      <c r="Q7" s="468">
        <f>SUMIFS('7月排产计划'!CK:CK,'7月排产计划'!$BX:$BX,$P7)/10000</f>
        <v/>
      </c>
      <c r="R7" s="468">
        <f>SUMIFS('7月排产计划'!CL:CL,'7月排产计划'!$BX:$BX,$P7)/10000</f>
        <v/>
      </c>
      <c r="S7" s="468">
        <f>SUMIFS('7月排产计划'!CM:CM,'7月排产计划'!$BX:$BX,$P7)/10000</f>
        <v/>
      </c>
      <c r="T7" s="468">
        <f>SUMIFS('7月排产计划'!CN:CN,'7月排产计划'!$BX:$BX,$P7)/10000</f>
        <v/>
      </c>
      <c r="U7" s="468">
        <f>SUM(Q7:T7)</f>
        <v/>
      </c>
      <c r="V7" s="470">
        <f>'[1]2026年产能规划R11'!$K$85</f>
        <v/>
      </c>
      <c r="W7" s="470">
        <f>U8+U7-V7</f>
        <v/>
      </c>
      <c r="X7" s="471" t="n"/>
      <c r="Y7" s="262" t="inlineStr">
        <is>
          <t>日均条数</t>
        </is>
      </c>
      <c r="Z7" s="463">
        <f>Z6/7</f>
        <v/>
      </c>
      <c r="AA7" s="463">
        <f>AA6/7</f>
        <v/>
      </c>
      <c r="AB7" s="463">
        <f>AB6/8</f>
        <v/>
      </c>
      <c r="AC7" s="463">
        <f>AC6/9</f>
        <v/>
      </c>
      <c r="AD7" s="463">
        <f>AD6/31</f>
        <v/>
      </c>
    </row>
    <row r="8" ht="27" customHeight="1" s="428">
      <c r="B8" s="240" t="inlineStr">
        <is>
          <t>载重</t>
        </is>
      </c>
      <c r="C8" s="468">
        <f>SUMIFS('7月排产计划'!CE:CE,'7月排产计划'!$BX:$BX,$B8)</f>
        <v/>
      </c>
      <c r="D8" s="468">
        <f>SUMIFS('7月排产计划'!CF:CF,'7月排产计划'!$BX:$BX,$B8)</f>
        <v/>
      </c>
      <c r="E8" s="468">
        <f>SUMIFS('7月排产计划'!CG:CG,'7月排产计划'!$BX:$BX,$B8)</f>
        <v/>
      </c>
      <c r="F8" s="468">
        <f>SUMIFS('7月排产计划'!CH:CH,'7月排产计划'!$BX:$BX,$B8)</f>
        <v/>
      </c>
      <c r="G8" s="468">
        <f>SUM(C8:F8)</f>
        <v/>
      </c>
      <c r="I8" s="240" t="inlineStr">
        <is>
          <t>载重</t>
        </is>
      </c>
      <c r="J8" s="469">
        <f>SUMIFS('7月排产计划'!BY:BY,'7月排产计划'!$BX:$BX,$I8)</f>
        <v/>
      </c>
      <c r="K8" s="469">
        <f>SUMIFS('7月排产计划'!BZ:BZ,'7月排产计划'!$BX:$BX,$I8)</f>
        <v/>
      </c>
      <c r="L8" s="469">
        <f>SUMIFS('7月排产计划'!CA:CA,'7月排产计划'!$BX:$BX,$I8)</f>
        <v/>
      </c>
      <c r="M8" s="469">
        <f>SUMIFS('7月排产计划'!CB:CB,'7月排产计划'!$BX:$BX,$I8)</f>
        <v/>
      </c>
      <c r="N8" s="469">
        <f>SUM(J8:M8)</f>
        <v/>
      </c>
      <c r="P8" s="240" t="inlineStr">
        <is>
          <t>载重</t>
        </is>
      </c>
      <c r="Q8" s="468">
        <f>SUMIFS('7月排产计划'!CK:CK,'7月排产计划'!$BX:$BX,$P8)/10000</f>
        <v/>
      </c>
      <c r="R8" s="468">
        <f>SUMIFS('7月排产计划'!CL:CL,'7月排产计划'!$BX:$BX,$P8)/10000</f>
        <v/>
      </c>
      <c r="S8" s="468">
        <f>SUMIFS('7月排产计划'!CM:CM,'7月排产计划'!$BX:$BX,$P8)/10000</f>
        <v/>
      </c>
      <c r="T8" s="468">
        <f>SUMIFS('7月排产计划'!CN:CN,'7月排产计划'!$BX:$BX,$P8)/10000</f>
        <v/>
      </c>
      <c r="U8" s="468">
        <f>SUM(Q8:T8)</f>
        <v/>
      </c>
      <c r="V8" s="470">
        <f>'[1]2026年产能规划R11'!$K$101</f>
        <v/>
      </c>
      <c r="W8" s="470">
        <f>U9+U8-V8</f>
        <v/>
      </c>
      <c r="X8" s="471" t="n"/>
      <c r="Y8" s="268" t="inlineStr">
        <is>
          <t>斜交</t>
        </is>
      </c>
      <c r="Z8" s="467">
        <f>SUM(Z10,Z12,Z14,Z16,Z18,Z20,Z22)</f>
        <v/>
      </c>
      <c r="AA8" s="467">
        <f>SUM(AA10,AA12,AA14,AA16,AA18,AA20,AA22)</f>
        <v/>
      </c>
      <c r="AB8" s="467">
        <f>SUM(AB10,AB12,AB14,AB16,AB18,AB20,AB22)</f>
        <v/>
      </c>
      <c r="AC8" s="467">
        <f>SUM(AC10,AC12,AC14,AC16,AC18,AC20,AC22)</f>
        <v/>
      </c>
      <c r="AD8" s="467">
        <f>SUM(Z8:AC8)</f>
        <v/>
      </c>
    </row>
    <row r="9" ht="27" customHeight="1" s="428">
      <c r="B9" s="241" t="inlineStr">
        <is>
          <t>ST</t>
        </is>
      </c>
      <c r="C9" s="468">
        <f>SUMIFS('7月排产计划'!CE:CE,'7月排产计划'!$BX:$BX,$B9)</f>
        <v/>
      </c>
      <c r="D9" s="468">
        <f>SUMIFS('7月排产计划'!CF:CF,'7月排产计划'!$BX:$BX,$B9)</f>
        <v/>
      </c>
      <c r="E9" s="468">
        <f>SUMIFS('7月排产计划'!CG:CG,'7月排产计划'!$BX:$BX,$B9)</f>
        <v/>
      </c>
      <c r="F9" s="468">
        <f>SUMIFS('7月排产计划'!CH:CH,'7月排产计划'!$BX:$BX,$B9)</f>
        <v/>
      </c>
      <c r="G9" s="468">
        <f>SUM(C9:F9)</f>
        <v/>
      </c>
      <c r="I9" s="241" t="inlineStr">
        <is>
          <t>ST</t>
        </is>
      </c>
      <c r="J9" s="469">
        <f>SUMIFS('7月排产计划'!BY:BY,'7月排产计划'!$BX:$BX,$I9)</f>
        <v/>
      </c>
      <c r="K9" s="469">
        <f>SUMIFS('7月排产计划'!BZ:BZ,'7月排产计划'!$BX:$BX,$I9)</f>
        <v/>
      </c>
      <c r="L9" s="469">
        <f>SUMIFS('7月排产计划'!CA:CA,'7月排产计划'!$BX:$BX,$I9)</f>
        <v/>
      </c>
      <c r="M9" s="469">
        <f>SUMIFS('7月排产计划'!CB:CB,'7月排产计划'!$BX:$BX,$I9)</f>
        <v/>
      </c>
      <c r="N9" s="469">
        <f>SUM(J9:M9)</f>
        <v/>
      </c>
      <c r="P9" s="241" t="inlineStr">
        <is>
          <t>ST</t>
        </is>
      </c>
      <c r="Q9" s="468">
        <f>SUMIFS('7月排产计划'!CK:CK,'7月排产计划'!$BX:$BX,$P9)/10000</f>
        <v/>
      </c>
      <c r="R9" s="468">
        <f>SUMIFS('7月排产计划'!CL:CL,'7月排产计划'!$BX:$BX,$P9)/10000</f>
        <v/>
      </c>
      <c r="S9" s="468">
        <f>SUMIFS('7月排产计划'!CM:CM,'7月排产计划'!$BX:$BX,$P9)/10000</f>
        <v/>
      </c>
      <c r="T9" s="468">
        <f>SUMIFS('7月排产计划'!CN:CN,'7月排产计划'!$BX:$BX,$P9)/10000</f>
        <v/>
      </c>
      <c r="U9" s="468">
        <f>SUM(Q9:T9)</f>
        <v/>
      </c>
      <c r="V9" s="464">
        <f>'[1]2026年产能规划R11'!$K$77</f>
        <v/>
      </c>
      <c r="W9" s="464">
        <f>U9-V9</f>
        <v/>
      </c>
      <c r="X9" s="465" t="n"/>
      <c r="Y9" s="262" t="inlineStr">
        <is>
          <t>日均条数</t>
        </is>
      </c>
      <c r="Z9" s="463">
        <f>Z8/7</f>
        <v/>
      </c>
      <c r="AA9" s="463">
        <f>AA8/7</f>
        <v/>
      </c>
      <c r="AB9" s="463">
        <f>AB8/8</f>
        <v/>
      </c>
      <c r="AC9" s="463">
        <f>AC8/9</f>
        <v/>
      </c>
      <c r="AD9" s="463">
        <f>AD8/31</f>
        <v/>
      </c>
    </row>
    <row r="10" ht="27" customHeight="1" s="428">
      <c r="B10" s="240" t="inlineStr">
        <is>
          <t>半钢/半钢ST</t>
        </is>
      </c>
      <c r="C10" s="468">
        <f>SUMIFS('7月排产计划'!CE:CE,'7月排产计划'!$BX:$BX,$B10)</f>
        <v/>
      </c>
      <c r="D10" s="468">
        <f>SUMIFS('7月排产计划'!CF:CF,'7月排产计划'!$BX:$BX,$B10)</f>
        <v/>
      </c>
      <c r="E10" s="468">
        <f>SUMIFS('7月排产计划'!CG:CG,'7月排产计划'!$BX:$BX,$B10)</f>
        <v/>
      </c>
      <c r="F10" s="468">
        <f>SUMIFS('7月排产计划'!CH:CH,'7月排产计划'!$BX:$BX,$B10)</f>
        <v/>
      </c>
      <c r="G10" s="468">
        <f>SUM(C10:F10)</f>
        <v/>
      </c>
      <c r="I10" s="240" t="inlineStr">
        <is>
          <t>半钢/半钢ST</t>
        </is>
      </c>
      <c r="J10" s="469">
        <f>SUMIFS('7月排产计划'!BY:BY,'7月排产计划'!$BX:$BX,$I10)</f>
        <v/>
      </c>
      <c r="K10" s="469">
        <f>SUMIFS('7月排产计划'!BZ:BZ,'7月排产计划'!$BX:$BX,$I10)</f>
        <v/>
      </c>
      <c r="L10" s="469">
        <f>SUMIFS('7月排产计划'!CA:CA,'7月排产计划'!$BX:$BX,$I10)</f>
        <v/>
      </c>
      <c r="M10" s="469">
        <f>SUMIFS('7月排产计划'!CB:CB,'7月排产计划'!$BX:$BX,$I10)</f>
        <v/>
      </c>
      <c r="N10" s="469">
        <f>SUM(J10:M10)</f>
        <v/>
      </c>
      <c r="P10" s="240" t="inlineStr">
        <is>
          <t>半钢/半钢ST</t>
        </is>
      </c>
      <c r="Q10" s="468">
        <f>SUMIFS('7月排产计划'!CK:CK,'7月排产计划'!$BX:$BX,$P10)/10000</f>
        <v/>
      </c>
      <c r="R10" s="468">
        <f>SUMIFS('7月排产计划'!CL:CL,'7月排产计划'!$BX:$BX,$P10)/10000</f>
        <v/>
      </c>
      <c r="S10" s="468">
        <f>SUMIFS('7月排产计划'!CM:CM,'7月排产计划'!$BX:$BX,$P10)/10000</f>
        <v/>
      </c>
      <c r="T10" s="468">
        <f>SUMIFS('7月排产计划'!CN:CN,'7月排产计划'!$BX:$BX,$P10)/10000</f>
        <v/>
      </c>
      <c r="U10" s="468">
        <f>SUM(Q10:T10)</f>
        <v/>
      </c>
      <c r="V10" s="464">
        <f>'[1]2026年产能规划R11'!$K$65</f>
        <v/>
      </c>
      <c r="W10" s="464">
        <f>U10-V10</f>
        <v/>
      </c>
      <c r="X10" s="465" t="n"/>
      <c r="Y10" s="240" t="inlineStr">
        <is>
          <t>轻卡</t>
        </is>
      </c>
      <c r="Z10" s="469">
        <f>SUMIFS('7月排产计划'!BY:BY,'7月排产计划'!$BX:$BX,$Y10)</f>
        <v/>
      </c>
      <c r="AA10" s="469">
        <f>SUMIFS('7月排产计划'!BZ:BZ,'7月排产计划'!$BX:$BX,$Y10)</f>
        <v/>
      </c>
      <c r="AB10" s="469">
        <f>SUMIFS('7月排产计划'!CA:CA,'7月排产计划'!$BX:$BX,$Y10)</f>
        <v/>
      </c>
      <c r="AC10" s="469">
        <f>SUMIFS('7月排产计划'!CB:CB,'7月排产计划'!$BX:$BX,$Y10)</f>
        <v/>
      </c>
      <c r="AD10" s="469">
        <f>SUM(Z10:AC10)</f>
        <v/>
      </c>
    </row>
    <row r="11" ht="27" customHeight="1" s="428">
      <c r="B11" s="240" t="inlineStr">
        <is>
          <t>工程胎</t>
        </is>
      </c>
      <c r="C11" s="468">
        <f>SUMIFS('7月排产计划'!CE:CE,'7月排产计划'!$BX:$BX,$B11)</f>
        <v/>
      </c>
      <c r="D11" s="468">
        <f>SUMIFS('7月排产计划'!CF:CF,'7月排产计划'!$BX:$BX,$B11)</f>
        <v/>
      </c>
      <c r="E11" s="468">
        <f>SUMIFS('7月排产计划'!CG:CG,'7月排产计划'!$BX:$BX,$B11)</f>
        <v/>
      </c>
      <c r="F11" s="468">
        <f>SUMIFS('7月排产计划'!CH:CH,'7月排产计划'!$BX:$BX,$B11)</f>
        <v/>
      </c>
      <c r="G11" s="468">
        <f>SUM(C11:F11)</f>
        <v/>
      </c>
      <c r="I11" s="240" t="inlineStr">
        <is>
          <t>工程胎</t>
        </is>
      </c>
      <c r="J11" s="469">
        <f>SUMIFS('7月排产计划'!BY:BY,'7月排产计划'!$BX:$BX,$I11)</f>
        <v/>
      </c>
      <c r="K11" s="469">
        <f>SUMIFS('7月排产计划'!BZ:BZ,'7月排产计划'!$BX:$BX,$I11)</f>
        <v/>
      </c>
      <c r="L11" s="469">
        <f>SUMIFS('7月排产计划'!CA:CA,'7月排产计划'!$BX:$BX,$I11)</f>
        <v/>
      </c>
      <c r="M11" s="469">
        <f>SUMIFS('7月排产计划'!CB:CB,'7月排产计划'!$BX:$BX,$I11)</f>
        <v/>
      </c>
      <c r="N11" s="469">
        <f>SUM(J11:M11)</f>
        <v/>
      </c>
      <c r="P11" s="240" t="inlineStr">
        <is>
          <t>工程胎</t>
        </is>
      </c>
      <c r="Q11" s="468">
        <f>SUMIFS('7月排产计划'!CK:CK,'7月排产计划'!$BX:$BX,$P11)/10000</f>
        <v/>
      </c>
      <c r="R11" s="468">
        <f>SUMIFS('7月排产计划'!CL:CL,'7月排产计划'!$BX:$BX,$P11)/10000</f>
        <v/>
      </c>
      <c r="S11" s="468">
        <f>SUMIFS('7月排产计划'!CM:CM,'7月排产计划'!$BX:$BX,$P11)/10000</f>
        <v/>
      </c>
      <c r="T11" s="468">
        <f>SUMIFS('7月排产计划'!CN:CN,'7月排产计划'!$BX:$BX,$P11)/10000</f>
        <v/>
      </c>
      <c r="U11" s="468">
        <f>SUM(Q11:T11)</f>
        <v/>
      </c>
      <c r="V11" s="464">
        <f>'[1]2026年产能规划R11'!$K$93</f>
        <v/>
      </c>
      <c r="W11" s="464">
        <f>U11-V11</f>
        <v/>
      </c>
      <c r="X11" s="465" t="n"/>
      <c r="Y11" s="262" t="inlineStr">
        <is>
          <t>日均条数</t>
        </is>
      </c>
      <c r="Z11" s="463">
        <f>Z10/7</f>
        <v/>
      </c>
      <c r="AA11" s="463">
        <f>AA10/7</f>
        <v/>
      </c>
      <c r="AB11" s="463">
        <f>AB10/8</f>
        <v/>
      </c>
      <c r="AC11" s="463">
        <f>AC10/9</f>
        <v/>
      </c>
      <c r="AD11" s="463">
        <f>AD10/31</f>
        <v/>
      </c>
    </row>
    <row r="12" ht="27" customHeight="1" s="428">
      <c r="B12" s="240" t="inlineStr">
        <is>
          <t>ATV</t>
        </is>
      </c>
      <c r="C12" s="468">
        <f>SUMIFS('7月排产计划'!CE:CE,'7月排产计划'!$BX:$BX,$B12)</f>
        <v/>
      </c>
      <c r="D12" s="468">
        <f>SUMIFS('7月排产计划'!CF:CF,'7月排产计划'!$BX:$BX,$B12)</f>
        <v/>
      </c>
      <c r="E12" s="468">
        <f>SUMIFS('7月排产计划'!CG:CG,'7月排产计划'!$BX:$BX,$B12)</f>
        <v/>
      </c>
      <c r="F12" s="468">
        <f>SUMIFS('7月排产计划'!CH:CH,'7月排产计划'!$BX:$BX,$B12)</f>
        <v/>
      </c>
      <c r="G12" s="468">
        <f>SUM(C12:F12)</f>
        <v/>
      </c>
      <c r="I12" s="240" t="inlineStr">
        <is>
          <t>ATV</t>
        </is>
      </c>
      <c r="J12" s="469">
        <f>SUMIFS('7月排产计划'!BY:BY,'7月排产计划'!$BX:$BX,$I12)</f>
        <v/>
      </c>
      <c r="K12" s="469">
        <f>SUMIFS('7月排产计划'!BZ:BZ,'7月排产计划'!$BX:$BX,$I12)</f>
        <v/>
      </c>
      <c r="L12" s="469">
        <f>SUMIFS('7月排产计划'!CA:CA,'7月排产计划'!$BX:$BX,$I12)</f>
        <v/>
      </c>
      <c r="M12" s="469">
        <f>SUMIFS('7月排产计划'!CB:CB,'7月排产计划'!$BX:$BX,$I12)</f>
        <v/>
      </c>
      <c r="N12" s="469">
        <f>SUM(J12:M12)</f>
        <v/>
      </c>
      <c r="P12" s="240" t="inlineStr">
        <is>
          <t>ATV</t>
        </is>
      </c>
      <c r="Q12" s="468">
        <f>SUMIFS('7月排产计划'!CK:CK,'7月排产计划'!$BX:$BX,$P12)/10000</f>
        <v/>
      </c>
      <c r="R12" s="468">
        <f>SUMIFS('7月排产计划'!CL:CL,'7月排产计划'!$BX:$BX,$P12)/10000</f>
        <v/>
      </c>
      <c r="S12" s="468">
        <f>SUMIFS('7月排产计划'!CM:CM,'7月排产计划'!$BX:$BX,$P12)/10000</f>
        <v/>
      </c>
      <c r="T12" s="468">
        <f>SUMIFS('7月排产计划'!CN:CN,'7月排产计划'!$BX:$BX,$P12)/10000</f>
        <v/>
      </c>
      <c r="U12" s="468">
        <f>SUM(Q12:T12)</f>
        <v/>
      </c>
      <c r="V12" s="464">
        <f>'[1]2026年产能规划R11'!$K$132+'[1]2026年产能规划R11'!$K$140</f>
        <v/>
      </c>
      <c r="W12" s="464">
        <f>U12-V12</f>
        <v/>
      </c>
      <c r="X12" s="465" t="n"/>
      <c r="Y12" s="240" t="inlineStr">
        <is>
          <t>载重</t>
        </is>
      </c>
      <c r="Z12" s="469">
        <f>SUMIFS('7月排产计划'!BY:BY,'7月排产计划'!$BX:$BX,$Y12)</f>
        <v/>
      </c>
      <c r="AA12" s="469">
        <f>SUMIFS('7月排产计划'!BZ:BZ,'7月排产计划'!$BX:$BX,$Y12)</f>
        <v/>
      </c>
      <c r="AB12" s="469">
        <f>SUMIFS('7月排产计划'!CA:CA,'7月排产计划'!$BX:$BX,$Y12)</f>
        <v/>
      </c>
      <c r="AC12" s="469">
        <f>SUMIFS('7月排产计划'!CB:CB,'7月排产计划'!$BX:$BX,$Y12)</f>
        <v/>
      </c>
      <c r="AD12" s="469">
        <f>SUM(Z12:AC12)</f>
        <v/>
      </c>
    </row>
    <row r="13" ht="27" customHeight="1" s="428">
      <c r="B13" s="240" t="inlineStr">
        <is>
          <t>摩胎</t>
        </is>
      </c>
      <c r="C13" s="468">
        <f>SUMIFS('7月排产计划'!CE:CE,'7月排产计划'!$BX:$BX,$B13)</f>
        <v/>
      </c>
      <c r="D13" s="468">
        <f>SUMIFS('7月排产计划'!CF:CF,'7月排产计划'!$BX:$BX,$B13)</f>
        <v/>
      </c>
      <c r="E13" s="468">
        <f>SUMIFS('7月排产计划'!CG:CG,'7月排产计划'!$BX:$BX,$B13)</f>
        <v/>
      </c>
      <c r="F13" s="468">
        <f>SUMIFS('7月排产计划'!CH:CH,'7月排产计划'!$BX:$BX,$B13)</f>
        <v/>
      </c>
      <c r="G13" s="468">
        <f>SUM(C13:F13)</f>
        <v/>
      </c>
      <c r="I13" s="240" t="inlineStr">
        <is>
          <t>摩胎</t>
        </is>
      </c>
      <c r="J13" s="469">
        <f>SUMIFS('7月排产计划'!BY:BY,'7月排产计划'!$BX:$BX,$I13)</f>
        <v/>
      </c>
      <c r="K13" s="469">
        <f>SUMIFS('7月排产计划'!BZ:BZ,'7月排产计划'!$BX:$BX,$I13)</f>
        <v/>
      </c>
      <c r="L13" s="469">
        <f>SUMIFS('7月排产计划'!CA:CA,'7月排产计划'!$BX:$BX,$I13)</f>
        <v/>
      </c>
      <c r="M13" s="469">
        <f>SUMIFS('7月排产计划'!CB:CB,'7月排产计划'!$BX:$BX,$I13)</f>
        <v/>
      </c>
      <c r="N13" s="469">
        <f>SUM(J13:M13)</f>
        <v/>
      </c>
      <c r="P13" s="240" t="inlineStr">
        <is>
          <t>摩胎</t>
        </is>
      </c>
      <c r="Q13" s="468">
        <f>SUMIFS('7月排产计划'!CK:CK,'7月排产计划'!$BX:$BX,$P13)/10000</f>
        <v/>
      </c>
      <c r="R13" s="468">
        <f>SUMIFS('7月排产计划'!CL:CL,'7月排产计划'!$BX:$BX,$P13)/10000</f>
        <v/>
      </c>
      <c r="S13" s="468">
        <f>SUMIFS('7月排产计划'!CM:CM,'7月排产计划'!$BX:$BX,$P13)/10000</f>
        <v/>
      </c>
      <c r="T13" s="468">
        <f>SUMIFS('7月排产计划'!CN:CN,'7月排产计划'!$BX:$BX,$P13)/10000</f>
        <v/>
      </c>
      <c r="U13" s="468">
        <f>SUM(Q13:T13)</f>
        <v/>
      </c>
      <c r="V13" s="464">
        <f>'[1]2026年产能规划R11'!$K$124</f>
        <v/>
      </c>
      <c r="W13" s="464">
        <f>U13-V13</f>
        <v/>
      </c>
      <c r="X13" s="465" t="n"/>
      <c r="Y13" s="262" t="inlineStr">
        <is>
          <t>日均条数</t>
        </is>
      </c>
      <c r="Z13" s="463">
        <f>Z12/7</f>
        <v/>
      </c>
      <c r="AA13" s="463">
        <f>AA12/7</f>
        <v/>
      </c>
      <c r="AB13" s="463">
        <f>AB12/8</f>
        <v/>
      </c>
      <c r="AC13" s="463">
        <f>AC12/9</f>
        <v/>
      </c>
      <c r="AD13" s="463">
        <f>AD12/31</f>
        <v/>
      </c>
    </row>
    <row r="14" ht="25" customHeight="1" s="428">
      <c r="B14" s="262" t="inlineStr">
        <is>
          <t>内胎</t>
        </is>
      </c>
      <c r="C14" s="462">
        <f>'7月排产计划'!CE554</f>
        <v/>
      </c>
      <c r="D14" s="462">
        <f>'7月排产计划'!CF554</f>
        <v/>
      </c>
      <c r="E14" s="462">
        <f>'7月排产计划'!CG554</f>
        <v/>
      </c>
      <c r="F14" s="462">
        <f>'7月排产计划'!CH554</f>
        <v/>
      </c>
      <c r="G14" s="462">
        <f>SUM(C14:F14)</f>
        <v/>
      </c>
      <c r="I14" s="262" t="inlineStr">
        <is>
          <t>内胎</t>
        </is>
      </c>
      <c r="J14" s="463">
        <f>'7月排产计划'!BY554</f>
        <v/>
      </c>
      <c r="K14" s="463">
        <f>'7月排产计划'!BZ554</f>
        <v/>
      </c>
      <c r="L14" s="463">
        <f>'7月排产计划'!CA554</f>
        <v/>
      </c>
      <c r="M14" s="463">
        <f>'7月排产计划'!CB554</f>
        <v/>
      </c>
      <c r="N14" s="463">
        <f>SUM(J14:M14)</f>
        <v/>
      </c>
      <c r="P14" s="262" t="inlineStr">
        <is>
          <t>内胎</t>
        </is>
      </c>
      <c r="Q14" s="462">
        <f>'7月排产计划'!CK555/10000</f>
        <v/>
      </c>
      <c r="R14" s="462">
        <f>'7月排产计划'!CL555/10000</f>
        <v/>
      </c>
      <c r="S14" s="462">
        <f>'7月排产计划'!CM555/10000</f>
        <v/>
      </c>
      <c r="T14" s="462">
        <f>'7月排产计划'!CN555/10000</f>
        <v/>
      </c>
      <c r="U14" s="462">
        <f>SUM(Q14:T14)</f>
        <v/>
      </c>
      <c r="V14" s="464">
        <f>'[1]2026年产能规划R11'!$K$189</f>
        <v/>
      </c>
      <c r="W14" s="464">
        <f>U14-V14</f>
        <v/>
      </c>
      <c r="X14" s="465" t="n"/>
      <c r="Y14" s="241" t="inlineStr">
        <is>
          <t>ST</t>
        </is>
      </c>
      <c r="Z14" s="469">
        <f>SUMIFS('7月排产计划'!BY:BY,'7月排产计划'!$BX:$BX,$Y14)</f>
        <v/>
      </c>
      <c r="AA14" s="469">
        <f>SUMIFS('7月排产计划'!BZ:BZ,'7月排产计划'!$BX:$BX,$Y14)</f>
        <v/>
      </c>
      <c r="AB14" s="469">
        <f>SUMIFS('7月排产计划'!CA:CA,'7月排产计划'!$BX:$BX,$Y14)</f>
        <v/>
      </c>
      <c r="AC14" s="469">
        <f>SUMIFS('7月排产计划'!CB:CB,'7月排产计划'!$BX:$BX,$Y14)</f>
        <v/>
      </c>
      <c r="AD14" s="469">
        <f>SUM(Z14:AC14)</f>
        <v/>
      </c>
    </row>
    <row r="15" ht="28" customHeight="1" s="428">
      <c r="B15" s="262" t="inlineStr">
        <is>
          <t>合计</t>
        </is>
      </c>
      <c r="C15" s="462">
        <f>SUM(C4:C6,C14)</f>
        <v/>
      </c>
      <c r="D15" s="462">
        <f>SUM(D4:D6,D14)</f>
        <v/>
      </c>
      <c r="E15" s="462">
        <f>SUM(E4:E6,E14)</f>
        <v/>
      </c>
      <c r="F15" s="462">
        <f>SUM(F4:F6,F14)</f>
        <v/>
      </c>
      <c r="G15" s="472">
        <f>SUM(C15:F15)</f>
        <v/>
      </c>
      <c r="I15" s="262" t="inlineStr">
        <is>
          <t>合计</t>
        </is>
      </c>
      <c r="J15" s="463">
        <f>SUM(J4:J6,J14)</f>
        <v/>
      </c>
      <c r="K15" s="463">
        <f>SUM(K4:K6,K14)</f>
        <v/>
      </c>
      <c r="L15" s="463">
        <f>SUM(L4:L6,L14)</f>
        <v/>
      </c>
      <c r="M15" s="463">
        <f>SUM(M4:M6,M14)</f>
        <v/>
      </c>
      <c r="N15" s="473">
        <f>SUM(J15:M15)</f>
        <v/>
      </c>
      <c r="P15" s="262" t="inlineStr">
        <is>
          <t>合计</t>
        </is>
      </c>
      <c r="Q15" s="462">
        <f>SUM(Q4:Q6,Q14)</f>
        <v/>
      </c>
      <c r="R15" s="462">
        <f>SUM(R4:R6,R14)</f>
        <v/>
      </c>
      <c r="S15" s="462">
        <f>SUM(S4:S6,S14)</f>
        <v/>
      </c>
      <c r="T15" s="462">
        <f>SUM(T4:T6,T14)</f>
        <v/>
      </c>
      <c r="U15" s="472">
        <f>SUM(Q15:T15)</f>
        <v/>
      </c>
      <c r="V15" s="464">
        <f>SUM(V4:V14)</f>
        <v/>
      </c>
      <c r="W15" s="464">
        <f>U15-V15</f>
        <v/>
      </c>
      <c r="X15" s="465" t="n"/>
      <c r="Y15" s="262" t="inlineStr">
        <is>
          <t>日均条数</t>
        </is>
      </c>
      <c r="Z15" s="463">
        <f>Z14/7</f>
        <v/>
      </c>
      <c r="AA15" s="463">
        <f>AA14/7</f>
        <v/>
      </c>
      <c r="AB15" s="463">
        <f>AB14/8</f>
        <v/>
      </c>
      <c r="AC15" s="463">
        <f>AC14/9</f>
        <v/>
      </c>
      <c r="AD15" s="463">
        <f>AD14/31</f>
        <v/>
      </c>
    </row>
    <row r="16" ht="25" customHeight="1" s="428">
      <c r="B16" s="262" t="inlineStr">
        <is>
          <t>周平均</t>
        </is>
      </c>
      <c r="C16" s="462">
        <f>ROUND(C15/7,2)</f>
        <v/>
      </c>
      <c r="D16" s="462">
        <f>ROUND(D15/7,2)</f>
        <v/>
      </c>
      <c r="E16" s="462">
        <f>ROUND(E15/8,2)</f>
        <v/>
      </c>
      <c r="F16" s="462">
        <f>ROUND(F15/9,2)</f>
        <v/>
      </c>
      <c r="G16" s="472" t="n"/>
      <c r="I16" s="262" t="inlineStr">
        <is>
          <t>周平均</t>
        </is>
      </c>
      <c r="J16" s="463">
        <f>J15/7</f>
        <v/>
      </c>
      <c r="K16" s="463">
        <f>K15/7</f>
        <v/>
      </c>
      <c r="L16" s="463">
        <f>L15/8</f>
        <v/>
      </c>
      <c r="M16" s="463">
        <f>M15/9</f>
        <v/>
      </c>
      <c r="N16" s="474" t="n"/>
      <c r="P16" s="262" t="inlineStr">
        <is>
          <t>周平均</t>
        </is>
      </c>
      <c r="Q16" s="462">
        <f>ROUND(Q15/7,2)</f>
        <v/>
      </c>
      <c r="R16" s="462">
        <f>ROUND(R15/7,2)</f>
        <v/>
      </c>
      <c r="S16" s="462">
        <f>ROUND(S15/8,2)</f>
        <v/>
      </c>
      <c r="T16" s="462">
        <f>ROUND(T15/9,2)</f>
        <v/>
      </c>
      <c r="U16" s="472" t="n"/>
      <c r="V16" s="475" t="inlineStr">
        <is>
          <t>日均差异</t>
        </is>
      </c>
      <c r="W16" s="464">
        <f>W15/30</f>
        <v/>
      </c>
      <c r="X16" s="465" t="n"/>
      <c r="Y16" s="240" t="inlineStr">
        <is>
          <t>半钢/半钢ST</t>
        </is>
      </c>
      <c r="Z16" s="469">
        <f>SUMIFS('7月排产计划'!BY:BY,'7月排产计划'!$BX:$BX,$Y16)</f>
        <v/>
      </c>
      <c r="AA16" s="469">
        <f>SUMIFS('7月排产计划'!BZ:BZ,'7月排产计划'!$BX:$BX,$Y16)</f>
        <v/>
      </c>
      <c r="AB16" s="469">
        <f>SUMIFS('7月排产计划'!CA:CA,'7月排产计划'!$BX:$BX,$Y16)</f>
        <v/>
      </c>
      <c r="AC16" s="469">
        <f>SUMIFS('7月排产计划'!CB:CB,'7月排产计划'!$BX:$BX,$Y16)</f>
        <v/>
      </c>
      <c r="AD16" s="469">
        <f>SUM(Z16:AC16)</f>
        <v/>
      </c>
    </row>
    <row r="17" ht="25" customHeight="1" s="428">
      <c r="B17" s="279" t="inlineStr">
        <is>
          <t>总日平均吨位：</t>
        </is>
      </c>
      <c r="C17" s="476">
        <f>G15/31</f>
        <v/>
      </c>
      <c r="D17" s="456" t="n"/>
      <c r="E17" s="456" t="n"/>
      <c r="F17" s="456" t="n"/>
      <c r="G17" s="457" t="n"/>
      <c r="I17" s="279" t="inlineStr">
        <is>
          <t>总日平均条数：</t>
        </is>
      </c>
      <c r="J17" s="477">
        <f>N15/31</f>
        <v/>
      </c>
      <c r="K17" s="456" t="n"/>
      <c r="L17" s="456" t="n"/>
      <c r="M17" s="456" t="n"/>
      <c r="N17" s="457" t="n"/>
      <c r="P17" s="279" t="inlineStr">
        <is>
          <t>总日平均产值：</t>
        </is>
      </c>
      <c r="Q17" s="476">
        <f>U15/31</f>
        <v/>
      </c>
      <c r="R17" s="456" t="n"/>
      <c r="S17" s="456" t="n"/>
      <c r="T17" s="456" t="n"/>
      <c r="U17" s="457" t="n"/>
      <c r="V17" s="465" t="n"/>
      <c r="W17" s="465" t="n"/>
      <c r="X17" s="465" t="n"/>
      <c r="Y17" s="262" t="inlineStr">
        <is>
          <t>日均条数</t>
        </is>
      </c>
      <c r="Z17" s="463">
        <f>Z16/7</f>
        <v/>
      </c>
      <c r="AA17" s="463">
        <f>AA16/7</f>
        <v/>
      </c>
      <c r="AB17" s="463">
        <f>AB16/8</f>
        <v/>
      </c>
      <c r="AC17" s="463">
        <f>AC16/9</f>
        <v/>
      </c>
      <c r="AD17" s="463">
        <f>AD16/31</f>
        <v/>
      </c>
    </row>
    <row r="18" ht="22" customHeight="1" s="428">
      <c r="B18" s="286" t="n"/>
      <c r="C18" s="478" t="n"/>
      <c r="D18" s="478" t="n"/>
      <c r="E18" s="478" t="n"/>
      <c r="F18" s="478" t="n"/>
      <c r="G18" s="478" t="n"/>
      <c r="I18" s="286" t="n"/>
      <c r="J18" s="479" t="n"/>
      <c r="K18" s="479" t="n"/>
      <c r="L18" s="479" t="n"/>
      <c r="M18" s="479" t="n"/>
      <c r="N18" s="479" t="n"/>
      <c r="P18" s="286" t="n"/>
      <c r="Q18" s="478" t="n"/>
      <c r="R18" s="478" t="n"/>
      <c r="S18" s="478" t="n"/>
      <c r="T18" s="478" t="n"/>
      <c r="U18" s="478" t="n"/>
      <c r="V18" s="465" t="n"/>
      <c r="W18" s="465" t="n"/>
      <c r="Y18" s="240" t="inlineStr">
        <is>
          <t>工程胎</t>
        </is>
      </c>
      <c r="Z18" s="469">
        <f>SUMIFS('7月排产计划'!BY:BY,'7月排产计划'!$BX:$BX,$Y18)</f>
        <v/>
      </c>
      <c r="AA18" s="469">
        <f>SUMIFS('7月排产计划'!BZ:BZ,'7月排产计划'!$BX:$BX,$Y18)</f>
        <v/>
      </c>
      <c r="AB18" s="469">
        <f>SUMIFS('7月排产计划'!CA:CA,'7月排产计划'!$BX:$BX,$Y18)</f>
        <v/>
      </c>
      <c r="AC18" s="469">
        <f>SUMIFS('7月排产计划'!CB:CB,'7月排产计划'!$BX:$BX,$Y18)</f>
        <v/>
      </c>
      <c r="AD18" s="469">
        <f>SUM(Z18:AC18)</f>
        <v/>
      </c>
    </row>
    <row r="19" ht="22" customHeight="1" s="428">
      <c r="B19" s="225" t="n"/>
      <c r="C19" s="390" t="n"/>
      <c r="D19" s="390" t="n"/>
      <c r="E19" s="390" t="n"/>
      <c r="F19" s="465" t="n"/>
      <c r="Q19" s="390" t="n"/>
      <c r="R19" s="390" t="n"/>
      <c r="S19" s="390" t="n"/>
      <c r="T19" s="390" t="n"/>
      <c r="Y19" s="262" t="inlineStr">
        <is>
          <t>日均条数</t>
        </is>
      </c>
      <c r="Z19" s="463">
        <f>Z18/7</f>
        <v/>
      </c>
      <c r="AA19" s="463">
        <f>AA18/7</f>
        <v/>
      </c>
      <c r="AB19" s="463">
        <f>AB18/8</f>
        <v/>
      </c>
      <c r="AC19" s="463">
        <f>AC18/9</f>
        <v/>
      </c>
      <c r="AD19" s="463">
        <f>AD18/31</f>
        <v/>
      </c>
    </row>
    <row r="20" ht="22" customHeight="1" s="428">
      <c r="B20" s="390" t="inlineStr">
        <is>
          <t>全钢</t>
        </is>
      </c>
      <c r="C20" s="465">
        <f>C4/7</f>
        <v/>
      </c>
      <c r="D20" s="465">
        <f>D4/7</f>
        <v/>
      </c>
      <c r="E20" s="465">
        <f>E4/8</f>
        <v/>
      </c>
      <c r="F20" s="465">
        <f>F4/9</f>
        <v/>
      </c>
      <c r="G20" s="465">
        <f>G4/31</f>
        <v/>
      </c>
      <c r="I20" s="390" t="inlineStr">
        <is>
          <t>全钢</t>
        </is>
      </c>
      <c r="J20" s="480">
        <f>J4/7</f>
        <v/>
      </c>
      <c r="K20" s="480">
        <f>K4/7</f>
        <v/>
      </c>
      <c r="L20" s="480">
        <f>L4/8</f>
        <v/>
      </c>
      <c r="M20" s="480">
        <f>M4/9</f>
        <v/>
      </c>
      <c r="N20" s="480">
        <f>N4/31</f>
        <v/>
      </c>
      <c r="P20" s="390" t="inlineStr">
        <is>
          <t>全钢</t>
        </is>
      </c>
      <c r="Q20" s="465">
        <f>Q4/7</f>
        <v/>
      </c>
      <c r="R20" s="465">
        <f>R4/7</f>
        <v/>
      </c>
      <c r="S20" s="465">
        <f>S4/8</f>
        <v/>
      </c>
      <c r="T20" s="465">
        <f>T4/9</f>
        <v/>
      </c>
      <c r="U20" s="465">
        <f>U4/31</f>
        <v/>
      </c>
      <c r="Y20" s="240" t="inlineStr">
        <is>
          <t>ATV</t>
        </is>
      </c>
      <c r="Z20" s="469">
        <f>SUMIFS('7月排产计划'!BY:BY,'7月排产计划'!$BX:$BX,$Y20)</f>
        <v/>
      </c>
      <c r="AA20" s="469">
        <f>SUMIFS('7月排产计划'!BZ:BZ,'7月排产计划'!$BX:$BX,$Y20)</f>
        <v/>
      </c>
      <c r="AB20" s="469">
        <f>SUMIFS('7月排产计划'!CA:CA,'7月排产计划'!$BX:$BX,$Y20)</f>
        <v/>
      </c>
      <c r="AC20" s="469">
        <f>SUMIFS('7月排产计划'!CB:CB,'7月排产计划'!$BX:$BX,$Y20)</f>
        <v/>
      </c>
      <c r="AD20" s="469">
        <f>SUM(Z20:AC20)</f>
        <v/>
      </c>
    </row>
    <row r="21" ht="22" customHeight="1" s="428">
      <c r="B21" s="390" t="inlineStr">
        <is>
          <t>垫带</t>
        </is>
      </c>
      <c r="C21" s="465">
        <f>C5/7</f>
        <v/>
      </c>
      <c r="D21" s="465">
        <f>D5/7</f>
        <v/>
      </c>
      <c r="E21" s="465">
        <f>E5/8</f>
        <v/>
      </c>
      <c r="F21" s="465">
        <f>F5/9</f>
        <v/>
      </c>
      <c r="G21" s="465">
        <f>G5/31</f>
        <v/>
      </c>
      <c r="I21" s="390" t="inlineStr">
        <is>
          <t>垫带</t>
        </is>
      </c>
      <c r="J21" s="480">
        <f>J5/7</f>
        <v/>
      </c>
      <c r="K21" s="480">
        <f>K5/7</f>
        <v/>
      </c>
      <c r="L21" s="480">
        <f>L5/8</f>
        <v/>
      </c>
      <c r="M21" s="480">
        <f>M5/9</f>
        <v/>
      </c>
      <c r="N21" s="480">
        <f>N5/31</f>
        <v/>
      </c>
      <c r="P21" s="390" t="inlineStr">
        <is>
          <t>垫带</t>
        </is>
      </c>
      <c r="Q21" s="465">
        <f>Q5/7</f>
        <v/>
      </c>
      <c r="R21" s="465">
        <f>R5/7</f>
        <v/>
      </c>
      <c r="S21" s="465">
        <f>S5/8</f>
        <v/>
      </c>
      <c r="T21" s="465">
        <f>T5/9</f>
        <v/>
      </c>
      <c r="U21" s="465">
        <f>U5/31</f>
        <v/>
      </c>
      <c r="Y21" s="262" t="inlineStr">
        <is>
          <t>日均条数</t>
        </is>
      </c>
      <c r="Z21" s="463">
        <f>Z20/7</f>
        <v/>
      </c>
      <c r="AA21" s="463">
        <f>AA20/7</f>
        <v/>
      </c>
      <c r="AB21" s="463">
        <f>AB20/8</f>
        <v/>
      </c>
      <c r="AC21" s="463">
        <f>AC20/9</f>
        <v/>
      </c>
      <c r="AD21" s="463">
        <f>AD20/31</f>
        <v/>
      </c>
    </row>
    <row r="22" ht="22" customHeight="1" s="428">
      <c r="B22" s="390" t="inlineStr">
        <is>
          <t>轻卡</t>
        </is>
      </c>
      <c r="C22" s="465">
        <f>C7/7</f>
        <v/>
      </c>
      <c r="D22" s="465">
        <f>D7/7</f>
        <v/>
      </c>
      <c r="E22" s="465">
        <f>E7/8</f>
        <v/>
      </c>
      <c r="F22" s="465">
        <f>F7/9</f>
        <v/>
      </c>
      <c r="G22" s="465">
        <f>G7/31</f>
        <v/>
      </c>
      <c r="I22" s="390" t="inlineStr">
        <is>
          <t>轻卡</t>
        </is>
      </c>
      <c r="J22" s="480">
        <f>J7/7</f>
        <v/>
      </c>
      <c r="K22" s="480">
        <f>K7/7</f>
        <v/>
      </c>
      <c r="L22" s="480">
        <f>L7/8</f>
        <v/>
      </c>
      <c r="M22" s="480">
        <f>M7/8</f>
        <v/>
      </c>
      <c r="N22" s="480">
        <f>N7/31</f>
        <v/>
      </c>
      <c r="P22" s="390" t="inlineStr">
        <is>
          <t>轻卡</t>
        </is>
      </c>
      <c r="Q22" s="465">
        <f>Q7/7</f>
        <v/>
      </c>
      <c r="R22" s="465">
        <f>R7/7</f>
        <v/>
      </c>
      <c r="S22" s="465">
        <f>S7/8</f>
        <v/>
      </c>
      <c r="T22" s="465">
        <f>T7/9</f>
        <v/>
      </c>
      <c r="U22" s="465">
        <f>U7/31</f>
        <v/>
      </c>
      <c r="Y22" s="240" t="inlineStr">
        <is>
          <t>摩胎</t>
        </is>
      </c>
      <c r="Z22" s="469">
        <f>SUMIFS('7月排产计划'!BY:BY,'7月排产计划'!$BX:$BX,$Y22)</f>
        <v/>
      </c>
      <c r="AA22" s="469">
        <f>SUMIFS('7月排产计划'!BZ:BZ,'7月排产计划'!$BX:$BX,$Y22)</f>
        <v/>
      </c>
      <c r="AB22" s="469">
        <f>SUMIFS('7月排产计划'!CA:CA,'7月排产计划'!$BX:$BX,$Y22)</f>
        <v/>
      </c>
      <c r="AC22" s="469">
        <f>SUMIFS('7月排产计划'!CB:CB,'7月排产计划'!$BX:$BX,$Y22)</f>
        <v/>
      </c>
      <c r="AD22" s="469">
        <f>SUM(Z22:AC22)</f>
        <v/>
      </c>
    </row>
    <row r="23" ht="22" customHeight="1" s="428">
      <c r="B23" s="390" t="inlineStr">
        <is>
          <t>载重</t>
        </is>
      </c>
      <c r="C23" s="465">
        <f>C8/7</f>
        <v/>
      </c>
      <c r="D23" s="465">
        <f>D8/7</f>
        <v/>
      </c>
      <c r="E23" s="465">
        <f>E8/8</f>
        <v/>
      </c>
      <c r="F23" s="465">
        <f>F8/9</f>
        <v/>
      </c>
      <c r="G23" s="465">
        <f>G8/31</f>
        <v/>
      </c>
      <c r="I23" s="390" t="inlineStr">
        <is>
          <t>载重</t>
        </is>
      </c>
      <c r="J23" s="480">
        <f>J8/7</f>
        <v/>
      </c>
      <c r="K23" s="480">
        <f>K8/7</f>
        <v/>
      </c>
      <c r="L23" s="480">
        <f>L8/8</f>
        <v/>
      </c>
      <c r="M23" s="480">
        <f>M8/9</f>
        <v/>
      </c>
      <c r="N23" s="480">
        <f>N8/31</f>
        <v/>
      </c>
      <c r="P23" s="390" t="inlineStr">
        <is>
          <t>载重</t>
        </is>
      </c>
      <c r="Q23" s="465">
        <f>Q8/7</f>
        <v/>
      </c>
      <c r="R23" s="465">
        <f>R8/7</f>
        <v/>
      </c>
      <c r="S23" s="465">
        <f>S8/8</f>
        <v/>
      </c>
      <c r="T23" s="465">
        <f>T8/9</f>
        <v/>
      </c>
      <c r="U23" s="465">
        <f>U8/31</f>
        <v/>
      </c>
      <c r="Y23" s="262" t="inlineStr">
        <is>
          <t>日均条数</t>
        </is>
      </c>
      <c r="Z23" s="463">
        <f>Z22/7</f>
        <v/>
      </c>
      <c r="AA23" s="463">
        <f>AA22/7</f>
        <v/>
      </c>
      <c r="AB23" s="463">
        <f>AB22/8</f>
        <v/>
      </c>
      <c r="AC23" s="463">
        <f>AC22/9</f>
        <v/>
      </c>
      <c r="AD23" s="463">
        <f>AD22/31</f>
        <v/>
      </c>
    </row>
    <row r="24" ht="22" customHeight="1" s="428">
      <c r="B24" s="390" t="inlineStr">
        <is>
          <t>ST</t>
        </is>
      </c>
      <c r="C24" s="465">
        <f>C9/7</f>
        <v/>
      </c>
      <c r="D24" s="465">
        <f>D9/7</f>
        <v/>
      </c>
      <c r="E24" s="465">
        <f>E9/8</f>
        <v/>
      </c>
      <c r="F24" s="465">
        <f>F9/9</f>
        <v/>
      </c>
      <c r="G24" s="465">
        <f>G9/31</f>
        <v/>
      </c>
      <c r="I24" s="390" t="inlineStr">
        <is>
          <t>ST</t>
        </is>
      </c>
      <c r="J24" s="480">
        <f>J9/7</f>
        <v/>
      </c>
      <c r="K24" s="480">
        <f>K9/7</f>
        <v/>
      </c>
      <c r="L24" s="480">
        <f>L9/8</f>
        <v/>
      </c>
      <c r="M24" s="480">
        <f>M9/9</f>
        <v/>
      </c>
      <c r="N24" s="480">
        <f>N9/31</f>
        <v/>
      </c>
      <c r="P24" s="390" t="inlineStr">
        <is>
          <t>ST</t>
        </is>
      </c>
      <c r="Q24" s="465">
        <f>Q9/7</f>
        <v/>
      </c>
      <c r="R24" s="465">
        <f>R9/7</f>
        <v/>
      </c>
      <c r="S24" s="465">
        <f>S9/8</f>
        <v/>
      </c>
      <c r="T24" s="465">
        <f>T9/9</f>
        <v/>
      </c>
      <c r="U24" s="465">
        <f>U9/31</f>
        <v/>
      </c>
      <c r="Y24" s="262" t="inlineStr">
        <is>
          <t>内胎</t>
        </is>
      </c>
      <c r="Z24" s="463">
        <f>'7月排产计划'!BY554</f>
        <v/>
      </c>
      <c r="AA24" s="463">
        <f>'7月排产计划'!BZ554</f>
        <v/>
      </c>
      <c r="AB24" s="463">
        <f>'7月排产计划'!CA554</f>
        <v/>
      </c>
      <c r="AC24" s="463">
        <f>'7月排产计划'!CB554</f>
        <v/>
      </c>
      <c r="AD24" s="463">
        <f>SUM(Z24:AC24)</f>
        <v/>
      </c>
    </row>
    <row r="25" ht="22" customHeight="1" s="428">
      <c r="B25" s="390" t="inlineStr">
        <is>
          <t>半钢ST</t>
        </is>
      </c>
      <c r="C25" s="465">
        <f>C10/7</f>
        <v/>
      </c>
      <c r="D25" s="465">
        <f>D10/7</f>
        <v/>
      </c>
      <c r="E25" s="465">
        <f>E10/8</f>
        <v/>
      </c>
      <c r="F25" s="465">
        <f>F10/9</f>
        <v/>
      </c>
      <c r="G25" s="465">
        <f>G10/31</f>
        <v/>
      </c>
      <c r="I25" s="390" t="inlineStr">
        <is>
          <t>半钢ST</t>
        </is>
      </c>
      <c r="J25" s="480">
        <f>J10/7</f>
        <v/>
      </c>
      <c r="K25" s="480">
        <f>K10/7</f>
        <v/>
      </c>
      <c r="L25" s="480">
        <f>L10/8</f>
        <v/>
      </c>
      <c r="M25" s="480">
        <f>M10/9</f>
        <v/>
      </c>
      <c r="N25" s="480">
        <f>N10/31</f>
        <v/>
      </c>
      <c r="P25" s="390" t="inlineStr">
        <is>
          <t>半钢ST</t>
        </is>
      </c>
      <c r="Q25" s="465">
        <f>Q10/7</f>
        <v/>
      </c>
      <c r="R25" s="465">
        <f>R10/7</f>
        <v/>
      </c>
      <c r="S25" s="465">
        <f>S10/8</f>
        <v/>
      </c>
      <c r="T25" s="465">
        <f>T10/9</f>
        <v/>
      </c>
      <c r="U25" s="465">
        <f>U10/31</f>
        <v/>
      </c>
      <c r="Y25" s="262" t="inlineStr">
        <is>
          <t>日均条数</t>
        </is>
      </c>
      <c r="Z25" s="463">
        <f>Z24/7</f>
        <v/>
      </c>
      <c r="AA25" s="463">
        <f>AA24/7</f>
        <v/>
      </c>
      <c r="AB25" s="463">
        <f>AB24/8</f>
        <v/>
      </c>
      <c r="AC25" s="463">
        <f>AC24/9</f>
        <v/>
      </c>
      <c r="AD25" s="463">
        <f>AD24/31</f>
        <v/>
      </c>
    </row>
    <row r="26" ht="22" customHeight="1" s="428">
      <c r="B26" s="390" t="inlineStr">
        <is>
          <t>工程胎</t>
        </is>
      </c>
      <c r="C26" s="465">
        <f>C11/7</f>
        <v/>
      </c>
      <c r="D26" s="465">
        <f>D11/7</f>
        <v/>
      </c>
      <c r="E26" s="465">
        <f>E11/8</f>
        <v/>
      </c>
      <c r="F26" s="465">
        <f>F11/9</f>
        <v/>
      </c>
      <c r="G26" s="465">
        <f>G11/31</f>
        <v/>
      </c>
      <c r="I26" s="390" t="inlineStr">
        <is>
          <t>工程胎</t>
        </is>
      </c>
      <c r="J26" s="480">
        <f>J11/7</f>
        <v/>
      </c>
      <c r="K26" s="480">
        <f>K11/7</f>
        <v/>
      </c>
      <c r="L26" s="480">
        <f>L11/8</f>
        <v/>
      </c>
      <c r="M26" s="480">
        <f>M11/9</f>
        <v/>
      </c>
      <c r="N26" s="480">
        <f>N11/31</f>
        <v/>
      </c>
      <c r="P26" s="390" t="inlineStr">
        <is>
          <t>工程胎</t>
        </is>
      </c>
      <c r="Q26" s="465">
        <f>Q11/7</f>
        <v/>
      </c>
      <c r="R26" s="465">
        <f>R11/7</f>
        <v/>
      </c>
      <c r="S26" s="465">
        <f>S11/8</f>
        <v/>
      </c>
      <c r="T26" s="465">
        <f>T11/9</f>
        <v/>
      </c>
      <c r="U26" s="465">
        <f>U11/31</f>
        <v/>
      </c>
      <c r="Y26" s="262" t="inlineStr">
        <is>
          <t>合计</t>
        </is>
      </c>
      <c r="Z26" s="463">
        <f>SUM(Z4,Z6,,Z8,Z24)</f>
        <v/>
      </c>
      <c r="AA26" s="463">
        <f>SUM(AA4,AA6,,AA8,AA24)</f>
        <v/>
      </c>
      <c r="AB26" s="463">
        <f>SUM(AB4,AB6,,AB8,AB24)</f>
        <v/>
      </c>
      <c r="AC26" s="463">
        <f>SUM(AC4,AC6,,AC8,AC24)</f>
        <v/>
      </c>
      <c r="AD26" s="473">
        <f>SUM(Z26:AC26)</f>
        <v/>
      </c>
    </row>
    <row r="27" ht="22" customHeight="1" s="428">
      <c r="B27" s="390" t="inlineStr">
        <is>
          <t>ATV</t>
        </is>
      </c>
      <c r="C27" s="465">
        <f>C12/7</f>
        <v/>
      </c>
      <c r="D27" s="465">
        <f>D12/7</f>
        <v/>
      </c>
      <c r="E27" s="465">
        <f>E12/8</f>
        <v/>
      </c>
      <c r="F27" s="465">
        <f>F12/9</f>
        <v/>
      </c>
      <c r="G27" s="465">
        <f>G12/31</f>
        <v/>
      </c>
      <c r="I27" s="390" t="inlineStr">
        <is>
          <t>ATV</t>
        </is>
      </c>
      <c r="J27" s="480">
        <f>J12/7</f>
        <v/>
      </c>
      <c r="K27" s="480">
        <f>K12/7</f>
        <v/>
      </c>
      <c r="L27" s="480">
        <f>L12/8</f>
        <v/>
      </c>
      <c r="M27" s="480">
        <f>M12/9</f>
        <v/>
      </c>
      <c r="N27" s="480">
        <f>N12/31</f>
        <v/>
      </c>
      <c r="P27" s="390" t="inlineStr">
        <is>
          <t>ATV</t>
        </is>
      </c>
      <c r="Q27" s="465">
        <f>Q12/7</f>
        <v/>
      </c>
      <c r="R27" s="465">
        <f>R12/7</f>
        <v/>
      </c>
      <c r="S27" s="465">
        <f>S12/8</f>
        <v/>
      </c>
      <c r="T27" s="465">
        <f>T12/9</f>
        <v/>
      </c>
      <c r="U27" s="465">
        <f>U12/31</f>
        <v/>
      </c>
      <c r="Y27" s="262" t="inlineStr">
        <is>
          <t>周平均</t>
        </is>
      </c>
      <c r="Z27" s="463">
        <f>Z26/7</f>
        <v/>
      </c>
      <c r="AA27" s="463">
        <f>AA26/7</f>
        <v/>
      </c>
      <c r="AB27" s="463">
        <f>AB26/8</f>
        <v/>
      </c>
      <c r="AC27" s="463">
        <f>AC26/9</f>
        <v/>
      </c>
      <c r="AD27" s="474" t="n"/>
    </row>
    <row r="28" ht="22" customHeight="1" s="428">
      <c r="B28" s="390" t="inlineStr">
        <is>
          <t>摩胎</t>
        </is>
      </c>
      <c r="C28" s="465">
        <f>C13/7</f>
        <v/>
      </c>
      <c r="D28" s="465">
        <f>D13/7</f>
        <v/>
      </c>
      <c r="E28" s="465">
        <f>E13/8</f>
        <v/>
      </c>
      <c r="F28" s="465">
        <f>F13/9</f>
        <v/>
      </c>
      <c r="G28" s="465">
        <f>G13/31</f>
        <v/>
      </c>
      <c r="I28" s="390" t="inlineStr">
        <is>
          <t>摩胎</t>
        </is>
      </c>
      <c r="J28" s="480">
        <f>J13/7</f>
        <v/>
      </c>
      <c r="K28" s="480">
        <f>K13/7</f>
        <v/>
      </c>
      <c r="L28" s="480">
        <f>L13/8</f>
        <v/>
      </c>
      <c r="M28" s="480">
        <f>M13/9</f>
        <v/>
      </c>
      <c r="N28" s="480">
        <f>N13/31</f>
        <v/>
      </c>
      <c r="P28" s="390" t="inlineStr">
        <is>
          <t>摩胎</t>
        </is>
      </c>
      <c r="Q28" s="465">
        <f>Q13/7</f>
        <v/>
      </c>
      <c r="R28" s="465">
        <f>R13/7</f>
        <v/>
      </c>
      <c r="S28" s="465">
        <f>S13/8</f>
        <v/>
      </c>
      <c r="T28" s="465">
        <f>T13/9</f>
        <v/>
      </c>
      <c r="U28" s="465">
        <f>U13/31</f>
        <v/>
      </c>
      <c r="Y28" s="262" t="inlineStr">
        <is>
          <t>日均条数</t>
        </is>
      </c>
      <c r="Z28" s="481" t="n"/>
      <c r="AA28" s="482" t="n"/>
      <c r="AB28" s="482" t="n"/>
      <c r="AC28" s="482" t="n"/>
      <c r="AD28" s="474" t="n"/>
    </row>
    <row r="29" ht="22" customHeight="1" s="428">
      <c r="B29" s="390" t="inlineStr">
        <is>
          <t>内胎</t>
        </is>
      </c>
      <c r="C29" s="465">
        <f>C14/7</f>
        <v/>
      </c>
      <c r="D29" s="465">
        <f>D14/7</f>
        <v/>
      </c>
      <c r="E29" s="465">
        <f>E14/8</f>
        <v/>
      </c>
      <c r="F29" s="465">
        <f>F14/9</f>
        <v/>
      </c>
      <c r="G29" s="465">
        <f>G14/31</f>
        <v/>
      </c>
      <c r="I29" s="390" t="inlineStr">
        <is>
          <t>内胎</t>
        </is>
      </c>
      <c r="J29" s="480">
        <f>J14/7</f>
        <v/>
      </c>
      <c r="K29" s="480">
        <f>K14/7</f>
        <v/>
      </c>
      <c r="L29" s="480">
        <f>L14/8</f>
        <v/>
      </c>
      <c r="M29" s="480">
        <f>M14/9</f>
        <v/>
      </c>
      <c r="N29" s="480">
        <f>N14/31</f>
        <v/>
      </c>
      <c r="P29" s="390" t="inlineStr">
        <is>
          <t>内胎</t>
        </is>
      </c>
      <c r="Q29" s="465">
        <f>Q14/7</f>
        <v/>
      </c>
      <c r="R29" s="465">
        <f>R14/7</f>
        <v/>
      </c>
      <c r="S29" s="465">
        <f>S14/8</f>
        <v/>
      </c>
      <c r="T29" s="465">
        <f>T14/9</f>
        <v/>
      </c>
      <c r="U29" s="465">
        <f>U14/31</f>
        <v/>
      </c>
      <c r="Y29" s="279" t="inlineStr">
        <is>
          <t>总日平均条数：</t>
        </is>
      </c>
      <c r="Z29" s="477">
        <f>AD26/31</f>
        <v/>
      </c>
      <c r="AA29" s="456" t="n"/>
      <c r="AB29" s="456" t="n"/>
      <c r="AC29" s="456" t="n"/>
      <c r="AD29" s="457" t="n"/>
    </row>
    <row r="30" ht="22" customHeight="1" s="428"/>
    <row r="31" ht="22" customHeight="1" s="428"/>
    <row r="32" ht="22" customHeight="1" s="428"/>
    <row r="33" ht="22" customHeight="1" s="428"/>
    <row r="34" ht="22" customHeight="1" s="428"/>
    <row r="35" ht="22" customHeight="1" s="428"/>
    <row r="36" ht="22" customHeight="1" s="428"/>
    <row r="37" ht="22" customHeight="1" s="428"/>
    <row r="38" ht="22" customHeight="1" s="428"/>
    <row r="39" ht="22" customHeight="1" s="428"/>
    <row r="40" ht="22" customHeight="1" s="428"/>
  </sheetData>
  <mergeCells count="8">
    <mergeCell ref="B2:G2"/>
    <mergeCell ref="Y2:AD2"/>
    <mergeCell ref="J17:N17"/>
    <mergeCell ref="P2:U2"/>
    <mergeCell ref="I2:N2"/>
    <mergeCell ref="Q17:U17"/>
    <mergeCell ref="Z29:AD29"/>
    <mergeCell ref="C17:G17"/>
  </mergeCells>
  <pageMargins left="0.75" right="0.75" top="1" bottom="1" header="0.5" footer="0.5"/>
  <pageSetup orientation="landscape" paperSize="9" scale="31"/>
</worksheet>
</file>

<file path=xl/worksheets/sheet5.xml><?xml version="1.0" encoding="utf-8"?>
<worksheet xmlns="http://schemas.openxmlformats.org/spreadsheetml/2006/main">
  <sheetPr codeName="Sheet2">
    <outlinePr summaryBelow="1" summaryRight="1"/>
    <pageSetUpPr/>
  </sheetPr>
  <dimension ref="A1:L18"/>
  <sheetViews>
    <sheetView zoomScale="85" zoomScaleNormal="85" workbookViewId="0">
      <selection activeCell="G188" sqref="G188"/>
    </sheetView>
  </sheetViews>
  <sheetFormatPr baseColWidth="8" defaultColWidth="8.800000000000001" defaultRowHeight="13.8"/>
  <cols>
    <col width="9.699999999999999" customWidth="1" style="428" min="2" max="2"/>
    <col width="10.2" customWidth="1" style="428" min="5" max="5"/>
    <col width="21.4" customWidth="1" style="428" min="6" max="11"/>
    <col width="59.5" customWidth="1" style="428" min="12" max="12"/>
  </cols>
  <sheetData>
    <row r="1" ht="20.4" customHeight="1" s="428">
      <c r="A1" s="233" t="inlineStr">
        <is>
          <t>生产问题点说明</t>
        </is>
      </c>
    </row>
    <row r="2" ht="33" customHeight="1" s="428">
      <c r="A2" s="234" t="inlineStr">
        <is>
          <t>系列</t>
        </is>
      </c>
      <c r="B2" s="240" t="inlineStr">
        <is>
          <t>销售地</t>
        </is>
      </c>
      <c r="C2" s="240" t="inlineStr">
        <is>
          <t>销售计划（条）</t>
        </is>
      </c>
      <c r="D2" s="240" t="inlineStr">
        <is>
          <t>排产计划（条）</t>
        </is>
      </c>
      <c r="E2" s="240" t="inlineStr">
        <is>
          <t>产销差异（销-产）</t>
        </is>
      </c>
      <c r="F2" s="240" t="inlineStr">
        <is>
          <t>问题点说明</t>
        </is>
      </c>
      <c r="G2" s="456" t="n"/>
      <c r="H2" s="456" t="n"/>
      <c r="I2" s="456" t="n"/>
      <c r="J2" s="456" t="n"/>
      <c r="K2" s="457" t="n"/>
      <c r="L2" s="240" t="inlineStr">
        <is>
          <t>备注（其他）</t>
        </is>
      </c>
    </row>
    <row r="3" ht="45" customHeight="1" s="428">
      <c r="A3" s="483" t="n"/>
      <c r="B3" s="484" t="n"/>
      <c r="C3" s="484" t="n"/>
      <c r="D3" s="484" t="n"/>
      <c r="E3" s="484" t="n"/>
      <c r="F3" s="240" t="inlineStr">
        <is>
          <t>模具类相关</t>
        </is>
      </c>
      <c r="G3" s="240" t="inlineStr">
        <is>
          <t>成型类相关</t>
        </is>
      </c>
      <c r="H3" s="240" t="inlineStr">
        <is>
          <t>硫化类相关</t>
        </is>
      </c>
      <c r="I3" s="240" t="inlineStr">
        <is>
          <t>工装类相关</t>
        </is>
      </c>
      <c r="J3" s="240" t="inlineStr">
        <is>
          <t>其它类相关</t>
        </is>
      </c>
      <c r="K3" s="240" t="inlineStr">
        <is>
          <t>试制类相关</t>
        </is>
      </c>
      <c r="L3" s="484" t="n"/>
    </row>
    <row r="4" ht="33" customHeight="1" s="428">
      <c r="A4" s="240" t="inlineStr">
        <is>
          <t>全钢</t>
        </is>
      </c>
      <c r="B4" s="240" t="inlineStr">
        <is>
          <t>美国产品</t>
        </is>
      </c>
      <c r="C4" s="241">
        <f>排产对比表对比!I13</f>
        <v/>
      </c>
      <c r="D4" s="241">
        <f>排产对比表对比!J13</f>
        <v/>
      </c>
      <c r="E4" s="241">
        <f>C4-D4</f>
        <v/>
      </c>
      <c r="F4" s="242" t="n"/>
      <c r="G4" s="243" t="inlineStr">
        <is>
          <t>19.5寸订单数缺口预计还需要上2台成型</t>
        </is>
      </c>
      <c r="H4" s="244" t="inlineStr">
        <is>
          <t>275/70R22.5规格模具不够，需要与其他系列搭配互换规格</t>
        </is>
      </c>
      <c r="I4" s="244" t="inlineStr">
        <is>
          <t>19.5寸成型鼓坏了一个，无法修复，无备用鼓，需要新购</t>
        </is>
      </c>
      <c r="J4" s="244" t="n"/>
      <c r="K4" s="245" t="n"/>
      <c r="L4" s="246" t="inlineStr">
        <is>
          <t>我部启动19.5寸成型鼓申请新购报告</t>
        </is>
      </c>
    </row>
    <row r="5" ht="33" customHeight="1" s="428">
      <c r="A5" s="483" t="n"/>
      <c r="B5" s="240" t="inlineStr">
        <is>
          <t>巴西产品</t>
        </is>
      </c>
      <c r="C5" s="241">
        <f>排产对比表对比!N13</f>
        <v/>
      </c>
      <c r="D5" s="241">
        <f>排产对比表对比!O13</f>
        <v/>
      </c>
      <c r="E5" s="241">
        <f>C5-D5</f>
        <v/>
      </c>
      <c r="F5" s="242" t="n"/>
      <c r="G5" s="243" t="n"/>
      <c r="H5" s="244" t="n"/>
      <c r="I5" s="247" t="n"/>
      <c r="J5" s="248" t="inlineStr">
        <is>
          <t>1、整体产能不足；
2、巴西产品库存偏高</t>
        </is>
      </c>
      <c r="K5" s="245" t="n"/>
      <c r="L5" s="246" t="n"/>
    </row>
    <row r="6" ht="39" customHeight="1" s="428">
      <c r="A6" s="483" t="n"/>
      <c r="B6" s="240" t="inlineStr">
        <is>
          <t>埃及产品</t>
        </is>
      </c>
      <c r="C6" s="241">
        <f>排产对比表对比!S13</f>
        <v/>
      </c>
      <c r="D6" s="241">
        <f>排产对比表对比!T13</f>
        <v/>
      </c>
      <c r="E6" s="241">
        <f>C6-D6</f>
        <v/>
      </c>
      <c r="F6" s="244" t="n"/>
      <c r="G6" s="244" t="n"/>
      <c r="H6" s="244" t="n"/>
      <c r="I6" s="247" t="n"/>
      <c r="J6" s="248" t="n"/>
      <c r="K6" s="245" t="n"/>
      <c r="L6" s="246" t="n"/>
    </row>
    <row r="7" ht="33" customHeight="1" s="428">
      <c r="A7" s="483" t="n"/>
      <c r="B7" s="240" t="inlineStr">
        <is>
          <t>印尼产品</t>
        </is>
      </c>
      <c r="C7" s="241">
        <f>排产对比表对比!D13+排产对比表对比!X13+排产对比表对比!AC13</f>
        <v/>
      </c>
      <c r="D7" s="241">
        <f>排产对比表对比!E13+排产对比表对比!Y13+排产对比表对比!AD13</f>
        <v/>
      </c>
      <c r="E7" s="241">
        <f>C7-D7</f>
        <v/>
      </c>
      <c r="F7" s="244" t="n"/>
      <c r="G7" s="243" t="n"/>
      <c r="H7" s="244" t="n"/>
      <c r="I7" s="247" t="n"/>
      <c r="J7" s="249" t="inlineStr">
        <is>
          <t>整体产能不足</t>
        </is>
      </c>
      <c r="K7" s="250" t="n"/>
      <c r="L7" s="251" t="n"/>
    </row>
    <row r="8" ht="33" customHeight="1" s="428">
      <c r="A8" s="484" t="n"/>
      <c r="B8" s="252" t="inlineStr">
        <is>
          <t>合计</t>
        </is>
      </c>
      <c r="C8" s="241">
        <f>SUM(C4:C7)</f>
        <v/>
      </c>
      <c r="D8" s="241">
        <f>SUM(D4:D7)</f>
        <v/>
      </c>
      <c r="E8" s="241">
        <f>SUM(E4:E7)</f>
        <v/>
      </c>
      <c r="F8" s="244" t="n"/>
      <c r="G8" s="253" t="n"/>
      <c r="H8" s="244" t="n"/>
      <c r="I8" s="247" t="n"/>
      <c r="J8" s="249" t="n"/>
      <c r="K8" s="245" t="n"/>
      <c r="L8" s="246" t="n"/>
    </row>
    <row r="9" ht="33" customHeight="1" s="428">
      <c r="A9" s="240" t="inlineStr">
        <is>
          <t>斜交</t>
        </is>
      </c>
      <c r="B9" s="240" t="inlineStr">
        <is>
          <t>斜交轻卡</t>
        </is>
      </c>
      <c r="C9" s="241">
        <f>排产对比表对比!D29</f>
        <v/>
      </c>
      <c r="D9" s="241">
        <f>排产对比表对比!E29</f>
        <v/>
      </c>
      <c r="E9" s="241">
        <f>C9-D9</f>
        <v/>
      </c>
      <c r="F9" s="244" t="n"/>
      <c r="G9" s="243" t="n"/>
      <c r="H9" s="244" t="n"/>
      <c r="I9" s="248" t="n"/>
      <c r="J9" s="249" t="inlineStr">
        <is>
          <t>产能不足</t>
        </is>
      </c>
      <c r="K9" s="245" t="n"/>
      <c r="L9" s="246" t="n"/>
    </row>
    <row r="10" ht="33" customHeight="1" s="428">
      <c r="A10" s="483" t="n"/>
      <c r="B10" s="240" t="inlineStr">
        <is>
          <t>斜交载重</t>
        </is>
      </c>
      <c r="C10" s="241">
        <f>排产对比表对比!I29</f>
        <v/>
      </c>
      <c r="D10" s="241">
        <f>排产对比表对比!J29</f>
        <v/>
      </c>
      <c r="E10" s="241">
        <f>C10-D10</f>
        <v/>
      </c>
      <c r="F10" s="244" t="n"/>
      <c r="G10" s="243" t="n"/>
      <c r="H10" s="243" t="n"/>
      <c r="I10" s="247" t="n"/>
      <c r="J10" s="249" t="inlineStr">
        <is>
          <t>产能不足</t>
        </is>
      </c>
      <c r="K10" s="245" t="n"/>
      <c r="L10" s="246" t="n"/>
    </row>
    <row r="11" ht="33" customHeight="1" s="428">
      <c r="A11" s="483" t="n"/>
      <c r="B11" s="240" t="inlineStr">
        <is>
          <t>斜交工程</t>
        </is>
      </c>
      <c r="C11" s="241">
        <f>排产对比表对比!N29</f>
        <v/>
      </c>
      <c r="D11" s="241">
        <f>排产对比表对比!O29</f>
        <v/>
      </c>
      <c r="E11" s="241">
        <f>C11-D11</f>
        <v/>
      </c>
      <c r="F11" s="244" t="n"/>
      <c r="G11" s="242" t="n"/>
      <c r="H11" s="242" t="n"/>
      <c r="I11" s="247" t="n"/>
      <c r="J11" s="249" t="inlineStr">
        <is>
          <t>订单数不够</t>
        </is>
      </c>
      <c r="K11" s="245" t="n"/>
      <c r="L11" s="246" t="n"/>
    </row>
    <row r="12" ht="33" customHeight="1" s="428">
      <c r="A12" s="483" t="n"/>
      <c r="B12" s="240" t="inlineStr">
        <is>
          <t>斜交ST</t>
        </is>
      </c>
      <c r="C12" s="241">
        <f>排产对比表对比!S29</f>
        <v/>
      </c>
      <c r="D12" s="241">
        <f>排产对比表对比!T29</f>
        <v/>
      </c>
      <c r="E12" s="241">
        <f>C12-D12</f>
        <v/>
      </c>
      <c r="F12" s="243" t="n"/>
      <c r="G12" s="243" t="n"/>
      <c r="H12" s="244" t="n"/>
      <c r="I12" s="247" t="n"/>
      <c r="J12" s="249" t="inlineStr">
        <is>
          <t>订单数不够</t>
        </is>
      </c>
      <c r="K12" s="254" t="n"/>
      <c r="L12" s="255" t="inlineStr">
        <is>
          <t>斜交ST订单数严重偏少，比年度规划少1990条/日</t>
        </is>
      </c>
    </row>
    <row r="13" ht="33" customHeight="1" s="428">
      <c r="A13" s="484" t="n"/>
      <c r="B13" s="252" t="inlineStr">
        <is>
          <t>合计</t>
        </is>
      </c>
      <c r="C13" s="241">
        <f>SUM(C9:C12)</f>
        <v/>
      </c>
      <c r="D13" s="241">
        <f>SUM(D9:D12)</f>
        <v/>
      </c>
      <c r="E13" s="241">
        <f>SUM(E9:E12)</f>
        <v/>
      </c>
      <c r="F13" s="244" t="n"/>
      <c r="G13" s="244" t="n"/>
      <c r="H13" s="244" t="n"/>
      <c r="I13" s="247" t="n"/>
      <c r="J13" s="247" t="n"/>
      <c r="K13" s="250" t="n"/>
      <c r="L13" s="256" t="n"/>
    </row>
    <row r="14" ht="56" customHeight="1" s="428">
      <c r="A14" s="240" t="inlineStr">
        <is>
          <t>半钢</t>
        </is>
      </c>
      <c r="B14" s="241" t="inlineStr">
        <is>
          <t>ST</t>
        </is>
      </c>
      <c r="C14" s="241">
        <f>排产对比表对比!AC29</f>
        <v/>
      </c>
      <c r="D14" s="241" t="n">
        <v>149490</v>
      </c>
      <c r="E14" s="241">
        <f>C14-D14</f>
        <v/>
      </c>
      <c r="F14" s="242" t="inlineStr">
        <is>
          <t>12寸模具只有2付，暂无转移计划</t>
        </is>
      </c>
      <c r="G14" s="244" t="n"/>
      <c r="H14" s="249" t="inlineStr">
        <is>
          <t>活络模硫化机交付延迟</t>
        </is>
      </c>
      <c r="I14" s="248" t="inlineStr">
        <is>
          <t>工装小车不足，预计5月初到位</t>
        </is>
      </c>
      <c r="J14" s="249" t="inlineStr">
        <is>
          <t>订单数不够</t>
        </is>
      </c>
      <c r="K14" s="245" t="n"/>
      <c r="L14" s="245" t="inlineStr">
        <is>
          <t>1.日排产4983条，与年度计划5700条相差1100条/日。目前交付的48寸硫化机只有8台，无法满足订单的需要,至少需要18台。4月3日再交付5台。后续因厂家无线缆将暂缓交付。追加订单都为活络模规格，必须在48寸硫化机上生产。2.12寸的模具只有2付造成成型产能浪费400条/日。后续工装到位后将实现成型机英寸交替。</t>
        </is>
      </c>
    </row>
    <row r="15" ht="63" customHeight="1" s="428">
      <c r="A15" s="240" t="inlineStr">
        <is>
          <t>两轮</t>
        </is>
      </c>
      <c r="B15" s="241" t="inlineStr">
        <is>
          <t>ATV</t>
        </is>
      </c>
      <c r="C15" s="241" t="n">
        <v>7000</v>
      </c>
      <c r="D15" s="241">
        <f>排产对比表对比!Y29</f>
        <v/>
      </c>
      <c r="E15" s="241">
        <f>C15-D15</f>
        <v/>
      </c>
      <c r="F15" s="244" t="n"/>
      <c r="G15" s="244" t="n"/>
      <c r="H15" s="244" t="n"/>
      <c r="I15" s="244" t="n"/>
      <c r="J15" s="249" t="inlineStr">
        <is>
          <t>订单数不够</t>
        </is>
      </c>
      <c r="K15" s="250" t="n"/>
      <c r="L15" s="257" t="inlineStr">
        <is>
          <t>1、销售给出3个规格，(25*8-12A033和25*10-12A033各3000条，26*12-12-8PR AR11 1000条）计7000条，实际排产8个规格；
2、还有5个规格试制完成，待技术投产通知下达后，拟替换库存高的规格生产。</t>
        </is>
      </c>
    </row>
    <row r="16" ht="45" customHeight="1" s="428">
      <c r="A16" s="483" t="n"/>
      <c r="B16" s="240" t="inlineStr">
        <is>
          <t>摩胎</t>
        </is>
      </c>
      <c r="C16" s="241" t="n">
        <v>47000</v>
      </c>
      <c r="D16" s="241">
        <f>排产对比表对比!AN29</f>
        <v/>
      </c>
      <c r="E16" s="241">
        <f>C16-D16</f>
        <v/>
      </c>
      <c r="F16" s="248" t="inlineStr">
        <is>
          <t>销售有订单的模具加工中，预计4月底到位</t>
        </is>
      </c>
      <c r="G16" s="244" t="n"/>
      <c r="H16" s="244" t="n"/>
      <c r="I16" s="244" t="n"/>
      <c r="J16" s="243" t="n"/>
      <c r="K16" s="245" t="n"/>
      <c r="L16" s="257" t="inlineStr">
        <is>
          <t>1、销售给出3个规格，计47000条，实际排产8个规格；
2、销售有订单的3个规格只有各2付模具，新增加模具预计4月底到。</t>
        </is>
      </c>
    </row>
    <row r="17" ht="33" customHeight="1" s="428">
      <c r="A17" s="484" t="n"/>
      <c r="B17" s="252" t="inlineStr">
        <is>
          <t>合计</t>
        </is>
      </c>
      <c r="C17" s="241" t="n"/>
      <c r="D17" s="241">
        <f>SUM(D15:D16)</f>
        <v/>
      </c>
      <c r="E17" s="241">
        <f>C17-D17</f>
        <v/>
      </c>
      <c r="F17" s="244" t="n"/>
      <c r="G17" s="244" t="n"/>
      <c r="H17" s="244" t="n"/>
      <c r="I17" s="244" t="n"/>
      <c r="J17" s="244" t="n"/>
      <c r="K17" s="250" t="n"/>
      <c r="L17" s="256" t="n"/>
    </row>
    <row r="18" ht="34" customHeight="1" s="428">
      <c r="A18" s="240" t="inlineStr">
        <is>
          <t>合计</t>
        </is>
      </c>
      <c r="B18" s="457" t="n"/>
      <c r="C18" s="241">
        <f>SUM(C4:C12)</f>
        <v/>
      </c>
      <c r="D18" s="241">
        <f>D8+D13+D14+D17</f>
        <v/>
      </c>
      <c r="E18" s="241">
        <f>SUM(E4:E12)</f>
        <v/>
      </c>
      <c r="F18" s="244" t="n"/>
      <c r="G18" s="244" t="n"/>
      <c r="H18" s="244" t="n"/>
      <c r="I18" s="244" t="n"/>
      <c r="J18" s="244" t="n"/>
      <c r="K18" s="250" t="n"/>
      <c r="L18" s="256" t="n"/>
    </row>
  </sheetData>
  <mergeCells count="12">
    <mergeCell ref="A9:A13"/>
    <mergeCell ref="A1:L1"/>
    <mergeCell ref="D2:D3"/>
    <mergeCell ref="A4:A8"/>
    <mergeCell ref="A15:A17"/>
    <mergeCell ref="A2:A3"/>
    <mergeCell ref="A18:B18"/>
    <mergeCell ref="B2:B3"/>
    <mergeCell ref="C2:C3"/>
    <mergeCell ref="F2:K2"/>
    <mergeCell ref="E2:E3"/>
    <mergeCell ref="L2:L3"/>
  </mergeCells>
  <conditionalFormatting sqref="E4:K18">
    <cfRule type="cellIs" priority="1" operator="lessThan" dxfId="2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3">
    <outlinePr summaryBelow="1" summaryRight="1"/>
    <pageSetUpPr/>
  </sheetPr>
  <dimension ref="C1:K24"/>
  <sheetViews>
    <sheetView topLeftCell="A13" workbookViewId="0">
      <selection activeCell="I32" sqref="I32"/>
    </sheetView>
  </sheetViews>
  <sheetFormatPr baseColWidth="8" defaultColWidth="8.800000000000001" defaultRowHeight="13.8"/>
  <cols>
    <col width="8.800000000000001" customWidth="1" style="390" min="1" max="2"/>
    <col width="11.6" customWidth="1" style="390" min="3" max="3"/>
    <col width="9.1" customWidth="1" style="390" min="4" max="4"/>
    <col width="7.9" customWidth="1" style="390" min="5" max="5"/>
    <col width="7.7" customWidth="1" style="390" min="6" max="6"/>
    <col width="8.9" customWidth="1" style="390" min="7" max="8"/>
    <col width="44.4" customWidth="1" style="390" min="9" max="9"/>
    <col width="7.8" customWidth="1" style="390" min="10" max="10"/>
    <col width="8.800000000000001" customWidth="1" style="390" min="11" max="11"/>
    <col width="8.800000000000001" customWidth="1" style="390" min="12" max="16384"/>
  </cols>
  <sheetData>
    <row r="1" hidden="1" ht="14.4" customHeight="1" s="428">
      <c r="C1" s="225" t="inlineStr">
        <is>
          <t>工作日</t>
        </is>
      </c>
      <c r="D1" s="390" t="n">
        <v>30</v>
      </c>
    </row>
    <row r="2" hidden="1" s="428"/>
    <row r="3" hidden="1" ht="28.8" customHeight="1" s="428">
      <c r="C3" s="226" t="inlineStr">
        <is>
          <t>尺寸分类</t>
        </is>
      </c>
      <c r="D3" s="226" t="inlineStr">
        <is>
          <t>订单计划</t>
        </is>
      </c>
      <c r="E3" s="227" t="inlineStr">
        <is>
          <t>成型产出标准</t>
        </is>
      </c>
      <c r="F3" s="226" t="inlineStr">
        <is>
          <t>折合成型机台</t>
        </is>
      </c>
      <c r="G3" s="226" t="inlineStr">
        <is>
          <t>实际排产量</t>
        </is>
      </c>
      <c r="H3" s="226" t="n"/>
      <c r="I3" s="226" t="inlineStr">
        <is>
          <t>机台现状</t>
        </is>
      </c>
      <c r="J3" s="226" t="inlineStr">
        <is>
          <t>调整</t>
        </is>
      </c>
      <c r="K3" s="226" t="inlineStr">
        <is>
          <t xml:space="preserve">说明 </t>
        </is>
      </c>
    </row>
    <row r="4" hidden="1" ht="14.4" customHeight="1" s="428">
      <c r="C4" s="228" t="inlineStr">
        <is>
          <t>汇总</t>
        </is>
      </c>
      <c r="D4" s="228">
        <f>SUM(D5:D11)</f>
        <v/>
      </c>
      <c r="E4" s="229">
        <f>AVERAGE(E5:E11)</f>
        <v/>
      </c>
      <c r="F4" s="228">
        <f>SUM(F5:F11)</f>
        <v/>
      </c>
      <c r="G4" s="228">
        <f>SUM(G5:G11)</f>
        <v/>
      </c>
      <c r="H4" s="228" t="n"/>
      <c r="I4" s="228">
        <f>SUM(I5:I11)</f>
        <v/>
      </c>
      <c r="J4" s="228">
        <f>#REF!-I4</f>
        <v/>
      </c>
      <c r="K4" s="228" t="inlineStr">
        <is>
          <t>成型机现有28台</t>
        </is>
      </c>
    </row>
    <row r="5" hidden="1" ht="14.4" customHeight="1" s="428">
      <c r="C5" s="230" t="n">
        <v>16</v>
      </c>
      <c r="D5" s="230">
        <f>SUMIF(销售需求表!H:H,C5&amp;"全钢",销售需求表!B:B)</f>
        <v/>
      </c>
      <c r="E5" s="230" t="n">
        <v>360</v>
      </c>
      <c r="F5" s="230">
        <f>IFERROR(ROUNDDOWN(D5/($F$2*E5),1),"")</f>
        <v/>
      </c>
      <c r="G5" s="230">
        <f>SUMIF('7月排产计划'!N:N,C5&amp;"全钢",'7月排产计划'!AW:AW)</f>
        <v/>
      </c>
      <c r="H5" s="230" t="n"/>
      <c r="I5" s="230">
        <f>IFERROR(ROUNDDOWN(G5/($D$1*E5),1),"")</f>
        <v/>
      </c>
      <c r="J5" s="230">
        <f>#REF!-I5</f>
        <v/>
      </c>
      <c r="K5" s="230" t="n"/>
    </row>
    <row r="6" hidden="1" ht="14.4" customHeight="1" s="428">
      <c r="C6" s="228" t="n">
        <v>17.5</v>
      </c>
      <c r="D6" s="228">
        <f>SUMIF(销售需求表!H:H,C6&amp;"全钢",销售需求表!B:B)</f>
        <v/>
      </c>
      <c r="E6" s="228" t="n">
        <v>360</v>
      </c>
      <c r="F6" s="228" t="n">
        <v>2</v>
      </c>
      <c r="G6" s="228">
        <f>SUMIF('7月排产计划'!N:N,C6&amp;"全钢",'7月排产计划'!AW:AW)</f>
        <v/>
      </c>
      <c r="H6" s="228" t="n"/>
      <c r="I6" s="230">
        <f>IFERROR(ROUNDDOWN(G6/($D$1*E6),1),"")</f>
        <v/>
      </c>
      <c r="J6" s="228">
        <f>#REF!-I6</f>
        <v/>
      </c>
      <c r="K6" s="228" t="n"/>
    </row>
    <row r="7" hidden="1" ht="14.4" customHeight="1" s="428">
      <c r="C7" s="230" t="n">
        <v>19.5</v>
      </c>
      <c r="D7" s="230">
        <f>SUMIF(销售需求表!H:H,C7&amp;"全钢",销售需求表!B:B)</f>
        <v/>
      </c>
      <c r="E7" s="230" t="n">
        <v>360</v>
      </c>
      <c r="F7" s="230" t="n">
        <v>2</v>
      </c>
      <c r="G7" s="230">
        <f>SUMIF('7月排产计划'!N:N,C7&amp;"全钢",'7月排产计划'!AW:AW)</f>
        <v/>
      </c>
      <c r="H7" s="230" t="n"/>
      <c r="I7" s="230">
        <f>IFERROR(ROUNDDOWN(G7/($D$1*E7),1),"")</f>
        <v/>
      </c>
      <c r="J7" s="230">
        <f>#REF!-I7</f>
        <v/>
      </c>
      <c r="K7" s="230" t="n"/>
    </row>
    <row r="8" hidden="1" ht="14.4" customHeight="1" s="428">
      <c r="C8" s="228" t="n">
        <v>20</v>
      </c>
      <c r="D8" s="228">
        <f>SUMIF(销售需求表!H:H,C8&amp;"全钢",销售需求表!B:B)</f>
        <v/>
      </c>
      <c r="E8" s="228" t="n">
        <v>230</v>
      </c>
      <c r="F8" s="228" t="n">
        <v>3</v>
      </c>
      <c r="G8" s="228">
        <f>SUMIF('7月排产计划'!N:N,C8&amp;"全钢",'7月排产计划'!AW:AW)</f>
        <v/>
      </c>
      <c r="H8" s="228" t="n"/>
      <c r="I8" s="230">
        <f>IFERROR(ROUNDDOWN(G8/($D$1*E8),1),"")</f>
        <v/>
      </c>
      <c r="J8" s="228">
        <f>#REF!-I8</f>
        <v/>
      </c>
      <c r="K8" s="228" t="n"/>
    </row>
    <row r="9" hidden="1" ht="14.4" customHeight="1" s="428">
      <c r="C9" s="230" t="n">
        <v>22.5</v>
      </c>
      <c r="D9" s="230">
        <f>SUMIF(销售需求表!H:H,C9&amp;"全钢",销售需求表!B:B)</f>
        <v/>
      </c>
      <c r="E9" s="230" t="n">
        <v>260</v>
      </c>
      <c r="F9" s="230" t="n">
        <v>17</v>
      </c>
      <c r="G9" s="230">
        <f>SUMIF('7月排产计划'!N:N,C9&amp;"全钢",'7月排产计划'!AW:AW)</f>
        <v/>
      </c>
      <c r="H9" s="230" t="n"/>
      <c r="I9" s="230">
        <f>IFERROR(ROUNDDOWN(G9/($D$1*E9),1),"")</f>
        <v/>
      </c>
      <c r="J9" s="230">
        <f>#REF!-I9</f>
        <v/>
      </c>
      <c r="K9" s="230" t="n"/>
    </row>
    <row r="10" hidden="1" ht="14.4" customHeight="1" s="428">
      <c r="C10" s="228" t="n">
        <v>24.5</v>
      </c>
      <c r="D10" s="228">
        <f>SUMIF(销售需求表!H:H,C10&amp;"全钢",销售需求表!B:B)</f>
        <v/>
      </c>
      <c r="E10" s="228" t="n">
        <v>240</v>
      </c>
      <c r="F10" s="228" t="n">
        <v>2</v>
      </c>
      <c r="G10" s="228">
        <f>SUMIF('7月排产计划'!N:N,C10&amp;"全钢",'7月排产计划'!AW:AW)</f>
        <v/>
      </c>
      <c r="H10" s="228" t="n"/>
      <c r="I10" s="230">
        <f>IFERROR(ROUNDDOWN(G10/($D$1*E10),1),"")</f>
        <v/>
      </c>
      <c r="J10" s="228">
        <f>#REF!-I10</f>
        <v/>
      </c>
      <c r="K10" s="228" t="n"/>
    </row>
    <row r="11" hidden="1" ht="14.4" customHeight="1" s="428">
      <c r="C11" s="230" t="n">
        <v>24</v>
      </c>
      <c r="D11" s="230">
        <f>SUMIF(销售需求表!H:H,C11&amp;"全钢",销售需求表!B:B)</f>
        <v/>
      </c>
      <c r="E11" s="230" t="n">
        <v>280</v>
      </c>
      <c r="F11" s="230" t="n">
        <v>2</v>
      </c>
      <c r="G11" s="230">
        <f>SUMIF('7月排产计划'!N:N,C11&amp;"全钢",'7月排产计划'!AW:AW)</f>
        <v/>
      </c>
      <c r="H11" s="230" t="n"/>
      <c r="I11" s="230">
        <f>IFERROR(ROUNDDOWN(G11/($D$1*E11),1),"")</f>
        <v/>
      </c>
      <c r="J11" s="230">
        <f>#REF!-I11</f>
        <v/>
      </c>
      <c r="K11" s="230" t="n"/>
    </row>
    <row r="12" hidden="1" s="428">
      <c r="C12" s="226" t="n"/>
      <c r="D12" s="226" t="n"/>
      <c r="E12" s="226" t="n"/>
      <c r="F12" s="226" t="n"/>
      <c r="G12" s="226" t="n"/>
      <c r="H12" s="226" t="n"/>
      <c r="I12" s="226" t="n"/>
      <c r="J12" s="226" t="n"/>
      <c r="K12" s="226" t="n"/>
    </row>
    <row r="13" ht="14.4" customHeight="1" s="428">
      <c r="C13" s="231" t="inlineStr">
        <is>
          <t>成型机分布</t>
        </is>
      </c>
      <c r="D13" s="232" t="n"/>
      <c r="E13" s="232" t="n"/>
      <c r="F13" s="232" t="n"/>
      <c r="G13" s="232" t="n"/>
      <c r="H13" s="232" t="n"/>
      <c r="I13" s="232" t="n"/>
    </row>
    <row r="14" ht="14.4" customHeight="1" s="428">
      <c r="C14" s="226" t="inlineStr">
        <is>
          <t>尺寸分类</t>
        </is>
      </c>
      <c r="D14" s="227" t="inlineStr">
        <is>
          <t>美国</t>
        </is>
      </c>
      <c r="E14" s="227" t="inlineStr">
        <is>
          <t>印尼</t>
        </is>
      </c>
      <c r="F14" s="227" t="inlineStr">
        <is>
          <t>巴西</t>
        </is>
      </c>
      <c r="G14" s="227" t="inlineStr">
        <is>
          <t>埃及</t>
        </is>
      </c>
      <c r="H14" s="227" t="inlineStr">
        <is>
          <t>车间二</t>
        </is>
      </c>
      <c r="I14" s="227" t="inlineStr">
        <is>
          <t>备注</t>
        </is>
      </c>
    </row>
    <row r="15" ht="14.4" customHeight="1" s="428">
      <c r="C15" s="226" t="n">
        <v>16</v>
      </c>
      <c r="D15" s="227" t="n">
        <v>1</v>
      </c>
      <c r="E15" s="227" t="n"/>
      <c r="F15" s="227" t="n"/>
      <c r="G15" s="227" t="n"/>
      <c r="H15" s="227" t="n"/>
      <c r="I15" s="227" t="n"/>
    </row>
    <row r="16" ht="14.4" customHeight="1" s="428">
      <c r="C16" s="226" t="n">
        <v>17.5</v>
      </c>
      <c r="D16" s="227" t="n">
        <v>2</v>
      </c>
      <c r="E16" s="227" t="n"/>
      <c r="F16" s="227" t="n"/>
      <c r="G16" s="227" t="n"/>
      <c r="H16" s="227" t="n"/>
      <c r="I16" s="227" t="n"/>
    </row>
    <row r="17" ht="14.4" customHeight="1" s="428">
      <c r="C17" s="226" t="n">
        <v>19.5</v>
      </c>
      <c r="D17" s="227" t="n">
        <v>2</v>
      </c>
      <c r="E17" s="227" t="n"/>
      <c r="F17" s="227" t="n"/>
      <c r="G17" s="227" t="n"/>
      <c r="H17" s="227" t="n"/>
      <c r="I17" s="227" t="n"/>
    </row>
    <row r="18" ht="14.4" customHeight="1" s="428">
      <c r="C18" s="226" t="n">
        <v>20</v>
      </c>
      <c r="D18" s="227" t="n"/>
      <c r="E18" s="227" t="n">
        <v>7</v>
      </c>
      <c r="F18" s="227" t="n"/>
      <c r="G18" s="227" t="n"/>
      <c r="H18" s="227" t="n">
        <v>1</v>
      </c>
      <c r="I18" s="227" t="inlineStr">
        <is>
          <t>一台调试</t>
        </is>
      </c>
    </row>
    <row r="19" ht="14.4" customHeight="1" s="428">
      <c r="C19" s="226" t="n">
        <v>22.5</v>
      </c>
      <c r="D19" s="227" t="n">
        <v>9</v>
      </c>
      <c r="E19" s="227" t="n"/>
      <c r="F19" s="227" t="n">
        <v>5</v>
      </c>
      <c r="G19" s="227" t="n"/>
      <c r="H19" s="227" t="n">
        <v>3</v>
      </c>
      <c r="I19" s="227" t="inlineStr">
        <is>
          <t>一台调试</t>
        </is>
      </c>
    </row>
    <row r="20" ht="14.4" customHeight="1" s="428">
      <c r="C20" s="226" t="n">
        <v>24</v>
      </c>
      <c r="D20" s="227" t="n"/>
      <c r="E20" s="227" t="n">
        <v>2</v>
      </c>
      <c r="F20" s="227" t="n"/>
      <c r="G20" s="227" t="n"/>
      <c r="H20" s="227" t="n"/>
      <c r="I20" s="227" t="n"/>
    </row>
    <row r="21" ht="14.4" customHeight="1" s="428">
      <c r="C21" s="226" t="n">
        <v>24.5</v>
      </c>
      <c r="D21" s="227" t="n">
        <v>2</v>
      </c>
      <c r="E21" s="227" t="n"/>
      <c r="F21" s="227" t="n"/>
      <c r="G21" s="227" t="n"/>
      <c r="H21" s="227" t="n"/>
      <c r="I21" s="227" t="inlineStr">
        <is>
          <t>月中切换一台上11R22.5</t>
        </is>
      </c>
    </row>
    <row r="22" ht="14.4" customHeight="1" s="428">
      <c r="C22" s="226" t="n"/>
      <c r="D22" s="226" t="n"/>
      <c r="E22" s="226" t="n"/>
      <c r="F22" s="226" t="n"/>
      <c r="G22" s="226" t="n"/>
      <c r="H22" s="226" t="n"/>
      <c r="I22" s="227" t="inlineStr">
        <is>
          <t>赛象一台带料调试中，另外一台7.4号左右交付</t>
        </is>
      </c>
    </row>
    <row r="23" ht="14.4" customHeight="1" s="428">
      <c r="C23" s="227" t="inlineStr">
        <is>
          <t>合计</t>
        </is>
      </c>
      <c r="D23" s="227">
        <f>SUM(D15:D22)</f>
        <v/>
      </c>
      <c r="E23" s="227">
        <f>SUM(E15:E22)</f>
        <v/>
      </c>
      <c r="F23" s="227">
        <f>SUM(F15:F22)</f>
        <v/>
      </c>
      <c r="G23" s="227">
        <f>SUM(G15:G22)</f>
        <v/>
      </c>
      <c r="H23" s="227">
        <f>SUM(H15:H22)</f>
        <v/>
      </c>
      <c r="I23" s="226" t="n"/>
    </row>
    <row r="24" ht="14.4" customHeight="1" s="428">
      <c r="C24" s="225" t="inlineStr">
        <is>
          <t>汇总</t>
        </is>
      </c>
      <c r="D24" s="390">
        <f>SUM(D23:H23)</f>
        <v/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>
  <sheetPr codeName="Sheet8">
    <outlinePr summaryBelow="1" summaryRight="1"/>
    <pageSetUpPr/>
  </sheetPr>
  <dimension ref="B2:BB1182"/>
  <sheetViews>
    <sheetView topLeftCell="AS1" workbookViewId="0">
      <selection activeCell="AZ201" sqref="AZ201:AZ202"/>
    </sheetView>
  </sheetViews>
  <sheetFormatPr baseColWidth="8" defaultColWidth="8.800000000000001" defaultRowHeight="15.6"/>
  <cols>
    <col width="1.8" customWidth="1" style="390" min="1" max="1"/>
    <col width="12.6" customWidth="1" style="114" min="2" max="2"/>
    <col width="9.53333333333333" customWidth="1" style="114" min="3" max="3"/>
    <col width="23.5166666666667" customWidth="1" style="114" min="4" max="4"/>
    <col width="43.0833333333333" customWidth="1" style="114" min="5" max="5"/>
    <col width="14" customWidth="1" style="114" min="6" max="7"/>
    <col width="9.53333333333333" customWidth="1" style="114" min="8" max="8"/>
    <col width="10.8666666666667" customWidth="1" style="114" min="9" max="9"/>
    <col width="29.7" customWidth="1" style="115" min="10" max="10"/>
    <col width="13.7666666666667" customWidth="1" style="114" min="11" max="11"/>
    <col width="9.53333333333333" customWidth="1" style="114" min="12" max="12"/>
    <col width="20.525" customWidth="1" style="114" min="13" max="13"/>
    <col width="34.0166666666667" customWidth="1" style="114" min="14" max="14"/>
    <col width="10.375" customWidth="1" style="114" min="15" max="15"/>
    <col width="9.53333333333333" customWidth="1" style="114" min="16" max="17"/>
    <col width="10.8583333333333" customWidth="1" style="114" min="18" max="18"/>
    <col width="22.8" customWidth="1" style="114" min="19" max="19"/>
    <col width="14.575" customWidth="1" style="114" min="20" max="20"/>
    <col width="9.53333333333333" customWidth="1" style="114" min="21" max="21"/>
    <col width="20.7416666666667" customWidth="1" style="114" min="22" max="22"/>
    <col width="27.775" customWidth="1" style="114" min="23" max="23"/>
    <col width="8.800000000000001" customWidth="1" style="114" min="24" max="24"/>
    <col width="9.53333333333333" customWidth="1" style="114" min="25" max="26"/>
    <col width="10.8666666666667" customWidth="1" style="114" min="27" max="27"/>
    <col width="22.5" customWidth="1" style="390" min="28" max="28"/>
    <col width="13.7666666666667" customWidth="1" style="114" min="29" max="29"/>
    <col width="9.53333333333333" customWidth="1" style="114" min="30" max="30"/>
    <col width="20.75" customWidth="1" style="114" min="31" max="31"/>
    <col width="24.6416666666667" customWidth="1" style="114" min="32" max="32"/>
    <col width="9.53333333333333" customWidth="1" style="114" min="33" max="35"/>
    <col width="10.8583333333333" customWidth="1" style="116" min="36" max="36"/>
    <col width="36.6" customWidth="1" style="390" min="37" max="37"/>
    <col width="12.9" customWidth="1" style="116" min="38" max="38"/>
    <col width="9.71666666666667" customWidth="1" style="116" min="39" max="39"/>
    <col width="16.375" customWidth="1" style="116" min="40" max="40"/>
    <col width="34.1" customWidth="1" style="116" min="41" max="41"/>
    <col width="7.3" customWidth="1" style="116" min="42" max="42"/>
    <col width="9.71666666666667" customWidth="1" style="116" min="43" max="44"/>
    <col width="10.8666666666667" customWidth="1" style="116" min="45" max="45"/>
    <col width="32.7" customWidth="1" style="390" min="46" max="46"/>
    <col width="11.275" customWidth="1" style="116" min="47" max="47"/>
    <col width="9.71666666666667" customWidth="1" style="116" min="48" max="48"/>
    <col width="18.15" customWidth="1" style="116" min="49" max="49"/>
    <col width="26.4" customWidth="1" style="116" min="50" max="50"/>
    <col width="9.71666666666667" customWidth="1" style="116" min="51" max="52"/>
    <col width="11.9666666666667" customWidth="1" style="116" min="53" max="53"/>
    <col width="37" customWidth="1" style="390" min="54" max="54"/>
    <col width="8.800000000000001" customWidth="1" style="390" min="55" max="16384"/>
  </cols>
  <sheetData>
    <row r="2" ht="17.4" customHeight="1" s="428">
      <c r="B2" s="485" t="inlineStr">
        <is>
          <t>全钢喷码</t>
        </is>
      </c>
      <c r="C2" s="486" t="n"/>
      <c r="D2" s="486" t="n"/>
      <c r="E2" s="486" t="n"/>
      <c r="F2" s="486" t="n"/>
      <c r="G2" s="486" t="n"/>
      <c r="H2" s="486" t="n"/>
      <c r="I2" s="487" t="n"/>
      <c r="K2" s="120" t="inlineStr">
        <is>
          <t>斜交载重/斜交速通/斜交工程胎喷码</t>
        </is>
      </c>
      <c r="L2" s="486" t="n"/>
      <c r="M2" s="486" t="n"/>
      <c r="N2" s="486" t="n"/>
      <c r="O2" s="486" t="n"/>
      <c r="P2" s="486" t="n"/>
      <c r="Q2" s="486" t="n"/>
      <c r="R2" s="488" t="n"/>
      <c r="T2" s="120" t="inlineStr">
        <is>
          <t>ATV/摩胎喷码</t>
        </is>
      </c>
      <c r="U2" s="486" t="n"/>
      <c r="V2" s="486" t="n"/>
      <c r="W2" s="486" t="n"/>
      <c r="X2" s="486" t="n"/>
      <c r="Y2" s="486" t="n"/>
      <c r="Z2" s="486" t="n"/>
      <c r="AA2" s="488" t="n"/>
      <c r="AC2" s="120" t="inlineStr">
        <is>
          <t>斜交农业胎/斜交工业胎/斜交工程胎喷码 (ATD品牌)</t>
        </is>
      </c>
      <c r="AD2" s="486" t="n"/>
      <c r="AE2" s="486" t="n"/>
      <c r="AF2" s="486" t="n"/>
      <c r="AG2" s="486" t="n"/>
      <c r="AH2" s="486" t="n"/>
      <c r="AI2" s="486" t="n"/>
      <c r="AJ2" s="488" t="n"/>
      <c r="AL2" s="120" t="inlineStr">
        <is>
          <t>半钢喷码</t>
        </is>
      </c>
      <c r="AM2" s="486" t="n"/>
      <c r="AN2" s="486" t="n"/>
      <c r="AO2" s="486" t="n"/>
      <c r="AP2" s="486" t="n"/>
      <c r="AQ2" s="486" t="n"/>
      <c r="AR2" s="486" t="n"/>
      <c r="AS2" s="488" t="n"/>
      <c r="AU2" s="120" t="inlineStr">
        <is>
          <t>半钢喷码PCR</t>
        </is>
      </c>
      <c r="AV2" s="486" t="n"/>
      <c r="AW2" s="486" t="n"/>
      <c r="AX2" s="486" t="n"/>
      <c r="AY2" s="486" t="n"/>
      <c r="AZ2" s="486" t="n"/>
      <c r="BA2" s="488" t="n"/>
    </row>
    <row r="3" ht="13.8" customHeight="1" s="428">
      <c r="B3" s="123" t="inlineStr">
        <is>
          <t>规格</t>
        </is>
      </c>
      <c r="C3" s="177" t="inlineStr">
        <is>
          <t>层级</t>
        </is>
      </c>
      <c r="D3" s="177" t="inlineStr">
        <is>
          <t>花纹</t>
        </is>
      </c>
      <c r="E3" s="125" t="inlineStr">
        <is>
          <t>喷码</t>
        </is>
      </c>
      <c r="F3" s="177" t="inlineStr">
        <is>
          <t>MTI非硫化重量</t>
        </is>
      </c>
      <c r="G3" s="177" t="inlineStr">
        <is>
          <t>MTI预硫化重量</t>
        </is>
      </c>
      <c r="H3" s="126" t="inlineStr">
        <is>
          <t>总部重量</t>
        </is>
      </c>
      <c r="I3" s="127" t="inlineStr">
        <is>
          <t>相比总部重</t>
        </is>
      </c>
      <c r="K3" s="123" t="inlineStr">
        <is>
          <t>规格</t>
        </is>
      </c>
      <c r="L3" s="177" t="inlineStr">
        <is>
          <t>层级</t>
        </is>
      </c>
      <c r="M3" s="177" t="inlineStr">
        <is>
          <t>花纹</t>
        </is>
      </c>
      <c r="N3" s="177" t="inlineStr">
        <is>
          <t>喷码</t>
        </is>
      </c>
      <c r="O3" s="177" t="inlineStr">
        <is>
          <t>色标</t>
        </is>
      </c>
      <c r="P3" s="177" t="inlineStr">
        <is>
          <t>MTI重量</t>
        </is>
      </c>
      <c r="Q3" s="177" t="inlineStr">
        <is>
          <t>总部重量</t>
        </is>
      </c>
      <c r="R3" s="127" t="inlineStr">
        <is>
          <t>相比总部重</t>
        </is>
      </c>
      <c r="T3" s="123" t="inlineStr">
        <is>
          <t>规格</t>
        </is>
      </c>
      <c r="U3" s="177" t="inlineStr">
        <is>
          <t>层级</t>
        </is>
      </c>
      <c r="V3" s="177" t="inlineStr">
        <is>
          <t>花纹</t>
        </is>
      </c>
      <c r="W3" s="177" t="inlineStr">
        <is>
          <t>喷码</t>
        </is>
      </c>
      <c r="X3" s="177" t="n"/>
      <c r="Y3" s="177" t="inlineStr">
        <is>
          <t>MTI重量</t>
        </is>
      </c>
      <c r="Z3" s="177" t="inlineStr">
        <is>
          <t>总部重量</t>
        </is>
      </c>
      <c r="AA3" s="127" t="inlineStr">
        <is>
          <t>相比总部重</t>
        </is>
      </c>
      <c r="AC3" s="123" t="inlineStr">
        <is>
          <t>规格</t>
        </is>
      </c>
      <c r="AD3" s="177" t="inlineStr">
        <is>
          <t>层级</t>
        </is>
      </c>
      <c r="AE3" s="177" t="inlineStr">
        <is>
          <t>花纹</t>
        </is>
      </c>
      <c r="AF3" s="177" t="inlineStr">
        <is>
          <t>喷码</t>
        </is>
      </c>
      <c r="AG3" s="177" t="inlineStr">
        <is>
          <t>色标</t>
        </is>
      </c>
      <c r="AH3" s="177" t="inlineStr">
        <is>
          <t>MTI重量</t>
        </is>
      </c>
      <c r="AI3" s="177" t="inlineStr">
        <is>
          <t>总部重量</t>
        </is>
      </c>
      <c r="AJ3" s="127" t="inlineStr">
        <is>
          <t>相比总部重</t>
        </is>
      </c>
      <c r="AL3" s="123" t="inlineStr">
        <is>
          <t>规格</t>
        </is>
      </c>
      <c r="AM3" s="177" t="inlineStr">
        <is>
          <t>层级</t>
        </is>
      </c>
      <c r="AN3" s="177" t="inlineStr">
        <is>
          <t>花纹</t>
        </is>
      </c>
      <c r="AO3" s="177" t="inlineStr">
        <is>
          <t>喷码</t>
        </is>
      </c>
      <c r="AP3" s="177" t="n"/>
      <c r="AQ3" s="177" t="inlineStr">
        <is>
          <t>MTI重量</t>
        </is>
      </c>
      <c r="AR3" s="177" t="inlineStr">
        <is>
          <t>总部重量</t>
        </is>
      </c>
      <c r="AS3" s="127" t="inlineStr">
        <is>
          <t>相比总部重</t>
        </is>
      </c>
      <c r="AU3" s="123" t="inlineStr">
        <is>
          <t>规格</t>
        </is>
      </c>
      <c r="AV3" s="177" t="inlineStr">
        <is>
          <t>层级</t>
        </is>
      </c>
      <c r="AW3" s="177" t="inlineStr">
        <is>
          <t>花纹</t>
        </is>
      </c>
      <c r="AX3" s="177" t="inlineStr">
        <is>
          <t>喷码</t>
        </is>
      </c>
      <c r="AY3" s="177" t="inlineStr">
        <is>
          <t>MTI重量</t>
        </is>
      </c>
      <c r="AZ3" s="177" t="inlineStr">
        <is>
          <t>总部重量</t>
        </is>
      </c>
      <c r="BA3" s="127" t="inlineStr">
        <is>
          <t>相比总部重</t>
        </is>
      </c>
    </row>
    <row r="4" ht="13.8" customHeight="1" s="428">
      <c r="B4" s="123" t="inlineStr">
        <is>
          <t>6.50R16</t>
        </is>
      </c>
      <c r="C4" s="177" t="inlineStr">
        <is>
          <t>12PR</t>
        </is>
      </c>
      <c r="D4" s="126" t="inlineStr">
        <is>
          <t>AZ686</t>
        </is>
      </c>
      <c r="E4" s="177" t="inlineStr">
        <is>
          <t>ID6.50R16-12PR-A C ID</t>
        </is>
      </c>
      <c r="F4" s="128">
        <f>G4--1.519+2.031</f>
        <v/>
      </c>
      <c r="G4" s="128" t="n">
        <v>20.155</v>
      </c>
      <c r="H4" s="129" t="n">
        <v>20.1558</v>
      </c>
      <c r="I4" s="130">
        <f>G4-H4</f>
        <v/>
      </c>
      <c r="J4" s="115">
        <f>_xlfn.TEXTJOIN("-",TRUE,B4,C4,D4)</f>
        <v/>
      </c>
      <c r="K4" s="123" t="inlineStr">
        <is>
          <t>7.00-15</t>
        </is>
      </c>
      <c r="L4" s="177" t="inlineStr">
        <is>
          <t>12PR</t>
        </is>
      </c>
      <c r="M4" s="177" t="inlineStr">
        <is>
          <t>R8037</t>
        </is>
      </c>
      <c r="N4" s="177" t="inlineStr">
        <is>
          <t>7.00-15-12PR-R8037</t>
        </is>
      </c>
      <c r="O4" s="177" t="inlineStr">
        <is>
          <t>绿</t>
        </is>
      </c>
      <c r="P4" s="177" t="n">
        <v>17.91</v>
      </c>
      <c r="Q4" s="177" t="n">
        <v>17.93</v>
      </c>
      <c r="R4" s="127">
        <f>P4-Q4</f>
        <v/>
      </c>
      <c r="S4" s="390">
        <f>_xlfn.TEXTJOIN("-",TRUE,K4,L4,M4)</f>
        <v/>
      </c>
      <c r="T4" s="123" t="inlineStr">
        <is>
          <t>4.80/400-8</t>
        </is>
      </c>
      <c r="U4" s="177" t="inlineStr">
        <is>
          <t>4PR</t>
        </is>
      </c>
      <c r="V4" s="177" t="inlineStr">
        <is>
          <t>TF11</t>
        </is>
      </c>
      <c r="W4" s="177" t="inlineStr">
        <is>
          <t>4.80/400-8-4PR TF11</t>
        </is>
      </c>
      <c r="X4" s="177" t="n"/>
      <c r="Y4" s="131" t="n">
        <v>2.488</v>
      </c>
      <c r="Z4" s="131" t="n">
        <v>2.488</v>
      </c>
      <c r="AA4" s="130">
        <f>Y4-Z4</f>
        <v/>
      </c>
      <c r="AB4" s="390">
        <f>_xlfn.TEXTJOIN("-",TRUE,T4,U4,V4)</f>
        <v/>
      </c>
      <c r="AC4" s="123" t="inlineStr">
        <is>
          <t>5.00-8</t>
        </is>
      </c>
      <c r="AD4" s="177" t="inlineStr">
        <is>
          <t>10PR</t>
        </is>
      </c>
      <c r="AE4" s="177" t="inlineStr">
        <is>
          <t>STRONG GUARD LIFT</t>
        </is>
      </c>
      <c r="AF4" s="177" t="inlineStr">
        <is>
          <t>5.00-8-10PR SGL</t>
        </is>
      </c>
      <c r="AG4" s="177" t="inlineStr">
        <is>
          <t>/</t>
        </is>
      </c>
      <c r="AH4" s="177" t="n">
        <v>7.82</v>
      </c>
      <c r="AI4" s="177" t="n">
        <v>7.77</v>
      </c>
      <c r="AJ4" s="130">
        <f>AH4-AI4</f>
        <v/>
      </c>
      <c r="AK4" s="390">
        <f>_xlfn.TEXTJOIN("-",TRUE,AC4,AD4,AE4)</f>
        <v/>
      </c>
      <c r="AL4" s="123" t="inlineStr">
        <is>
          <t>135/80R13</t>
        </is>
      </c>
      <c r="AM4" s="177" t="inlineStr">
        <is>
          <t>/</t>
        </is>
      </c>
      <c r="AN4" s="177" t="inlineStr">
        <is>
          <t>TRAILER ST290</t>
        </is>
      </c>
      <c r="AO4" s="177" t="inlineStr">
        <is>
          <t>135/80R13 ST290</t>
        </is>
      </c>
      <c r="AP4" s="177" t="n"/>
      <c r="AQ4" s="131" t="n">
        <v>5.404</v>
      </c>
      <c r="AR4" s="131" t="n">
        <v>5.411</v>
      </c>
      <c r="AS4" s="130">
        <f>AQ4-AR4</f>
        <v/>
      </c>
      <c r="AT4" s="390">
        <f>_xlfn.TEXTJOIN("-",TRUE,AL4,AM4,AN4)</f>
        <v/>
      </c>
      <c r="AU4" s="123" t="inlineStr">
        <is>
          <t>165/55R14</t>
        </is>
      </c>
      <c r="AV4" s="177" t="inlineStr">
        <is>
          <t>/</t>
        </is>
      </c>
      <c r="AW4" s="177" t="inlineStr">
        <is>
          <t>C-108</t>
        </is>
      </c>
      <c r="AX4" s="177" t="inlineStr">
        <is>
          <t>S019841A-42</t>
        </is>
      </c>
      <c r="AY4" s="131" t="n">
        <v>5.829</v>
      </c>
      <c r="AZ4" s="131" t="n">
        <v>5.837</v>
      </c>
      <c r="BA4" s="130">
        <f>AY4-AZ4</f>
        <v/>
      </c>
      <c r="BB4" s="390">
        <f>_xlfn.TEXTJOIN("-",TRUE,AU4,AW4)</f>
        <v/>
      </c>
    </row>
    <row r="5" ht="13.8" customHeight="1" s="428">
      <c r="B5" s="123" t="inlineStr">
        <is>
          <t>6.50R16</t>
        </is>
      </c>
      <c r="C5" s="177" t="inlineStr">
        <is>
          <t>12PR</t>
        </is>
      </c>
      <c r="D5" s="126" t="inlineStr">
        <is>
          <t>VAZ66</t>
        </is>
      </c>
      <c r="E5" s="177" t="inlineStr">
        <is>
          <t>ID6.50R16-12PR-A C ID</t>
        </is>
      </c>
      <c r="F5" s="128">
        <f>G5-1.519+2.031</f>
        <v/>
      </c>
      <c r="G5" s="128" t="n">
        <v>20.155</v>
      </c>
      <c r="H5" s="129" t="n">
        <v>20.1558</v>
      </c>
      <c r="I5" s="130">
        <f>G5-H5</f>
        <v/>
      </c>
      <c r="J5" s="115">
        <f>_xlfn.TEXTJOIN("-",TRUE,B5,C5,D5)</f>
        <v/>
      </c>
      <c r="K5" s="132" t="n"/>
      <c r="L5" s="178" t="n"/>
      <c r="M5" s="178" t="n"/>
      <c r="N5" s="178" t="n"/>
      <c r="O5" s="178" t="n"/>
      <c r="P5" s="178" t="n"/>
      <c r="Q5" s="178" t="n"/>
      <c r="R5" s="134" t="n"/>
      <c r="S5" s="390">
        <f>_xlfn.TEXTJOIN("-",TRUE,K5,L5,M5)</f>
        <v/>
      </c>
      <c r="T5" s="132" t="n"/>
      <c r="U5" s="178" t="n"/>
      <c r="V5" s="178" t="n"/>
      <c r="W5" s="178" t="n"/>
      <c r="X5" s="178" t="n"/>
      <c r="Y5" s="178" t="n"/>
      <c r="Z5" s="178" t="n"/>
      <c r="AA5" s="134" t="n"/>
      <c r="AB5" s="390">
        <f>_xlfn.TEXTJOIN("-",TRUE,T5,U5,V5)</f>
        <v/>
      </c>
      <c r="AC5" s="132" t="n"/>
      <c r="AD5" s="178" t="n"/>
      <c r="AE5" s="178" t="n"/>
      <c r="AF5" s="178" t="n"/>
      <c r="AG5" s="178" t="n"/>
      <c r="AH5" s="178" t="n"/>
      <c r="AI5" s="178" t="n"/>
      <c r="AJ5" s="134" t="n"/>
      <c r="AK5" s="390">
        <f>_xlfn.TEXTJOIN("-",TRUE,AC5,AD5,AE5)</f>
        <v/>
      </c>
      <c r="AL5" s="132" t="n"/>
      <c r="AM5" s="178" t="n"/>
      <c r="AN5" s="178" t="n"/>
      <c r="AO5" s="178" t="n"/>
      <c r="AP5" s="178" t="n"/>
      <c r="AQ5" s="135" t="n"/>
      <c r="AR5" s="135" t="n"/>
      <c r="AS5" s="136" t="n"/>
      <c r="AT5" s="390">
        <f>_xlfn.TEXTJOIN("-",TRUE,AL5,AM5,AN5)</f>
        <v/>
      </c>
      <c r="AU5" s="123" t="inlineStr">
        <is>
          <t>165/55R14</t>
        </is>
      </c>
      <c r="AV5" s="177" t="inlineStr">
        <is>
          <t>/</t>
        </is>
      </c>
      <c r="AW5" s="177" t="inlineStr">
        <is>
          <t>G-118</t>
        </is>
      </c>
      <c r="AX5" s="177" t="inlineStr">
        <is>
          <t>S019841A-42</t>
        </is>
      </c>
      <c r="AY5" s="131" t="n">
        <v>5.829</v>
      </c>
      <c r="AZ5" s="131" t="n">
        <v>5.837</v>
      </c>
      <c r="BA5" s="130">
        <f>AY5-AZ5</f>
        <v/>
      </c>
      <c r="BB5" s="390">
        <f>_xlfn.TEXTJOIN("-",TRUE,AU5,AW5)</f>
        <v/>
      </c>
    </row>
    <row r="6">
      <c r="B6" s="132" t="n"/>
      <c r="C6" s="178" t="n"/>
      <c r="D6" s="178" t="n"/>
      <c r="E6" s="137" t="n"/>
      <c r="F6" s="135" t="n"/>
      <c r="G6" s="135" t="n"/>
      <c r="H6" s="138" t="n"/>
      <c r="I6" s="136" t="n"/>
      <c r="J6" s="115">
        <f>_xlfn.TEXTJOIN("-",TRUE,B6,C6,D6)</f>
        <v/>
      </c>
      <c r="K6" s="177" t="inlineStr">
        <is>
          <t>7.00-16LT</t>
        </is>
      </c>
      <c r="L6" s="177" t="inlineStr">
        <is>
          <t>14PR</t>
        </is>
      </c>
      <c r="M6" s="177" t="inlineStr">
        <is>
          <t>MR881</t>
        </is>
      </c>
      <c r="N6" s="177" t="inlineStr">
        <is>
          <t>7.00-16LT-14PR-MR881</t>
        </is>
      </c>
      <c r="O6" s="177" t="inlineStr">
        <is>
          <t>/</t>
        </is>
      </c>
      <c r="P6" s="177" t="n">
        <v>19.85</v>
      </c>
      <c r="Q6" s="177" t="n">
        <v>19.73</v>
      </c>
      <c r="R6" s="177">
        <f>P6-Q6</f>
        <v/>
      </c>
      <c r="S6" s="390">
        <f>_xlfn.TEXTJOIN("-",TRUE,K6,L6,M6)</f>
        <v/>
      </c>
      <c r="T6" s="123" t="inlineStr">
        <is>
          <t>5.70-8</t>
        </is>
      </c>
      <c r="U6" s="177" t="inlineStr">
        <is>
          <t>8PR</t>
        </is>
      </c>
      <c r="V6" s="177" t="inlineStr">
        <is>
          <t>TF11</t>
        </is>
      </c>
      <c r="W6" s="177" t="inlineStr">
        <is>
          <t>5.70-8-8PR SUZT</t>
        </is>
      </c>
      <c r="X6" s="177" t="n"/>
      <c r="Y6" s="131" t="n">
        <v>3.7</v>
      </c>
      <c r="Z6" s="131" t="n">
        <v>3.72</v>
      </c>
      <c r="AA6" s="130">
        <f>Y6-Z6</f>
        <v/>
      </c>
      <c r="AB6" s="390">
        <f>_xlfn.TEXTJOIN("-",TRUE,T6,U6,V6)</f>
        <v/>
      </c>
      <c r="AC6" s="123" t="inlineStr">
        <is>
          <t>5.70-12</t>
        </is>
      </c>
      <c r="AD6" s="177" t="inlineStr">
        <is>
          <t>6PR</t>
        </is>
      </c>
      <c r="AE6" s="177" t="inlineStr">
        <is>
          <t>STRONG GUARD SS</t>
        </is>
      </c>
      <c r="AF6" s="177" t="inlineStr">
        <is>
          <t>5.70-12-6PR SGSS</t>
        </is>
      </c>
      <c r="AG6" s="177" t="inlineStr">
        <is>
          <t>/</t>
        </is>
      </c>
      <c r="AH6" s="177" t="n">
        <v>8.98</v>
      </c>
      <c r="AI6" s="177" t="n">
        <v>8.85</v>
      </c>
      <c r="AJ6" s="130">
        <f>AH6-AI6</f>
        <v/>
      </c>
      <c r="AK6" s="390">
        <f>_xlfn.TEXTJOIN("-",TRUE,AC6,AD6,AE6)</f>
        <v/>
      </c>
      <c r="AL6" s="123" t="inlineStr">
        <is>
          <t>145/80R13</t>
        </is>
      </c>
      <c r="AM6" s="177" t="inlineStr">
        <is>
          <t>/</t>
        </is>
      </c>
      <c r="AN6" s="177" t="inlineStr">
        <is>
          <t>TRAILER ST290</t>
        </is>
      </c>
      <c r="AO6" s="177" t="inlineStr">
        <is>
          <t>145/80R13 ST290</t>
        </is>
      </c>
      <c r="AP6" s="177" t="n"/>
      <c r="AQ6" s="131" t="n">
        <v>5.995</v>
      </c>
      <c r="AR6" s="131" t="n">
        <v>5.997</v>
      </c>
      <c r="AS6" s="130">
        <f>AQ6-AR6</f>
        <v/>
      </c>
      <c r="AT6" s="390">
        <f>_xlfn.TEXTJOIN("-",TRUE,AL6,AM6,AN6)</f>
        <v/>
      </c>
      <c r="AU6" s="123" t="inlineStr">
        <is>
          <t>165/55R14</t>
        </is>
      </c>
      <c r="AV6" s="177" t="inlineStr">
        <is>
          <t>/</t>
        </is>
      </c>
      <c r="AW6" s="139" t="inlineStr">
        <is>
          <t>T-118</t>
        </is>
      </c>
      <c r="AX6" s="177" t="inlineStr">
        <is>
          <t>S019841A-42</t>
        </is>
      </c>
      <c r="AY6" s="131" t="n">
        <v>5.829</v>
      </c>
      <c r="AZ6" s="131" t="n">
        <v>5.837</v>
      </c>
      <c r="BA6" s="130">
        <f>AY6-AZ6</f>
        <v/>
      </c>
      <c r="BB6" s="390">
        <f>_xlfn.TEXTJOIN("-",TRUE,AU6,AW6)</f>
        <v/>
      </c>
    </row>
    <row r="7" ht="13.8" customHeight="1" s="428">
      <c r="B7" s="123" t="inlineStr">
        <is>
          <t>7.00R16</t>
        </is>
      </c>
      <c r="C7" s="177" t="inlineStr">
        <is>
          <t>14PR</t>
        </is>
      </c>
      <c r="D7" s="126" t="inlineStr">
        <is>
          <t>AZ850</t>
        </is>
      </c>
      <c r="E7" s="177" t="inlineStr">
        <is>
          <t>ID7.00R16-14PR-B C ID</t>
        </is>
      </c>
      <c r="F7" s="128">
        <f>G7-1.606+2.17</f>
        <v/>
      </c>
      <c r="G7" s="128" t="n">
        <v>20.774</v>
      </c>
      <c r="H7" s="129" t="n">
        <v>20.775</v>
      </c>
      <c r="I7" s="130">
        <f>G7-H7</f>
        <v/>
      </c>
      <c r="J7" s="115">
        <f>_xlfn.TEXTJOIN("-",TRUE,B7,C7,D7)</f>
        <v/>
      </c>
      <c r="K7" s="140" t="inlineStr">
        <is>
          <t>7.00-16LT</t>
        </is>
      </c>
      <c r="L7" s="141" t="inlineStr">
        <is>
          <t>14PR</t>
        </is>
      </c>
      <c r="M7" s="141" t="inlineStr">
        <is>
          <t>MX882</t>
        </is>
      </c>
      <c r="N7" s="141" t="inlineStr">
        <is>
          <t>7.00-16LT-14PR-MX882</t>
        </is>
      </c>
      <c r="O7" s="141" t="inlineStr">
        <is>
          <t>/</t>
        </is>
      </c>
      <c r="P7" s="141" t="n">
        <v>21.06</v>
      </c>
      <c r="Q7" s="141" t="n">
        <v>20.84</v>
      </c>
      <c r="R7" s="142">
        <f>P7-Q7</f>
        <v/>
      </c>
      <c r="S7" s="390">
        <f>_xlfn.TEXTJOIN("-",TRUE,K7,L7,M7)</f>
        <v/>
      </c>
      <c r="T7" s="123" t="inlineStr">
        <is>
          <t>5.70-8</t>
        </is>
      </c>
      <c r="U7" s="177" t="inlineStr">
        <is>
          <t>8PR</t>
        </is>
      </c>
      <c r="V7" s="114" t="inlineStr">
        <is>
          <t>SU201</t>
        </is>
      </c>
      <c r="W7" s="177" t="inlineStr">
        <is>
          <t>5.70-8-8PR SUZT</t>
        </is>
      </c>
      <c r="X7" s="177" t="n"/>
      <c r="Y7" s="131" t="n">
        <v>3.7</v>
      </c>
      <c r="Z7" s="131" t="n">
        <v>3.72</v>
      </c>
      <c r="AA7" s="130">
        <f>Y7-Z7</f>
        <v/>
      </c>
      <c r="AB7" s="390">
        <f>_xlfn.TEXTJOIN("-",TRUE,T7,U7,V7)</f>
        <v/>
      </c>
      <c r="AC7" s="123" t="inlineStr">
        <is>
          <t>6.00-9</t>
        </is>
      </c>
      <c r="AD7" s="177" t="inlineStr">
        <is>
          <t>12PR</t>
        </is>
      </c>
      <c r="AE7" s="177" t="inlineStr">
        <is>
          <t>STRONG GUARD LIFT</t>
        </is>
      </c>
      <c r="AF7" s="177" t="inlineStr">
        <is>
          <t>6.00-9-12PR SGL</t>
        </is>
      </c>
      <c r="AG7" s="177" t="inlineStr">
        <is>
          <t>/</t>
        </is>
      </c>
      <c r="AH7" s="177" t="n">
        <v>12.8</v>
      </c>
      <c r="AI7" s="177" t="n">
        <v>12.79</v>
      </c>
      <c r="AJ7" s="130">
        <f>AH7-AI7</f>
        <v/>
      </c>
      <c r="AK7" s="390">
        <f>_xlfn.TEXTJOIN("-",TRUE,AC7,AD7,AE7)</f>
        <v/>
      </c>
      <c r="AL7" s="132" t="n"/>
      <c r="AM7" s="178" t="n"/>
      <c r="AN7" s="178" t="n"/>
      <c r="AO7" s="178" t="n"/>
      <c r="AP7" s="178" t="n"/>
      <c r="AQ7" s="135" t="n"/>
      <c r="AR7" s="135" t="n"/>
      <c r="AS7" s="136" t="n"/>
      <c r="AT7" s="390">
        <f>_xlfn.TEXTJOIN("-",TRUE,AL7,AM7,AN7)</f>
        <v/>
      </c>
      <c r="AU7" s="123" t="inlineStr">
        <is>
          <t>165/55R14</t>
        </is>
      </c>
      <c r="AV7" s="177" t="inlineStr">
        <is>
          <t>/</t>
        </is>
      </c>
      <c r="AW7" s="139" t="inlineStr">
        <is>
          <t>Z-108</t>
        </is>
      </c>
      <c r="AX7" s="177" t="inlineStr">
        <is>
          <t>S019841A-42</t>
        </is>
      </c>
      <c r="AY7" s="131" t="n">
        <v>5.829</v>
      </c>
      <c r="AZ7" s="131" t="n">
        <v>5.837</v>
      </c>
      <c r="BA7" s="130">
        <f>AY7-AZ7</f>
        <v/>
      </c>
      <c r="BB7" s="390">
        <f>_xlfn.TEXTJOIN("-",TRUE,AU7,AW7)</f>
        <v/>
      </c>
    </row>
    <row r="8" ht="13.8" customHeight="1" s="428">
      <c r="B8" s="123" t="inlineStr">
        <is>
          <t>7.00R16</t>
        </is>
      </c>
      <c r="C8" s="177" t="inlineStr">
        <is>
          <t>14PR</t>
        </is>
      </c>
      <c r="D8" s="126" t="inlineStr">
        <is>
          <t>VAZ80</t>
        </is>
      </c>
      <c r="E8" s="125" t="inlineStr">
        <is>
          <t>ID7.00R16-14PR-B C ID</t>
        </is>
      </c>
      <c r="F8" s="128">
        <f>G8-1.606+2.17</f>
        <v/>
      </c>
      <c r="G8" s="128" t="n">
        <v>20.774</v>
      </c>
      <c r="H8" s="129" t="n">
        <v>20.775</v>
      </c>
      <c r="I8" s="130">
        <f>G8-H8</f>
        <v/>
      </c>
      <c r="J8" s="115">
        <f>_xlfn.TEXTJOIN("-",TRUE,B8,C8,D8)</f>
        <v/>
      </c>
      <c r="K8" s="143" t="inlineStr">
        <is>
          <t>7.00-16</t>
        </is>
      </c>
      <c r="L8" s="125" t="inlineStr">
        <is>
          <t>12PR</t>
        </is>
      </c>
      <c r="M8" s="125" t="inlineStr">
        <is>
          <t>R8037</t>
        </is>
      </c>
      <c r="N8" s="125" t="inlineStr">
        <is>
          <t>7.00-16-12PR-R8037</t>
        </is>
      </c>
      <c r="O8" s="125" t="inlineStr">
        <is>
          <t>/</t>
        </is>
      </c>
      <c r="P8" s="125" t="n">
        <v>19.15</v>
      </c>
      <c r="Q8" s="125" t="n">
        <v>19.16</v>
      </c>
      <c r="R8" s="144">
        <f>P8-Q8</f>
        <v/>
      </c>
      <c r="S8" s="390">
        <f>_xlfn.TEXTJOIN("-",TRUE,K8,L8,M8)</f>
        <v/>
      </c>
      <c r="T8" s="132" t="n"/>
      <c r="U8" s="178" t="n"/>
      <c r="V8" s="178" t="n"/>
      <c r="W8" s="178" t="n"/>
      <c r="X8" s="178" t="n"/>
      <c r="Y8" s="178" t="n"/>
      <c r="Z8" s="178" t="n"/>
      <c r="AA8" s="134" t="n"/>
      <c r="AB8" s="390">
        <f>_xlfn.TEXTJOIN("-",TRUE,T8,U8,V8)</f>
        <v/>
      </c>
      <c r="AC8" s="132" t="n"/>
      <c r="AD8" s="178" t="n"/>
      <c r="AE8" s="178" t="n"/>
      <c r="AF8" s="178" t="n"/>
      <c r="AG8" s="178" t="n"/>
      <c r="AH8" s="178" t="n"/>
      <c r="AI8" s="178" t="n"/>
      <c r="AJ8" s="134" t="n"/>
      <c r="AK8" s="390">
        <f>_xlfn.TEXTJOIN("-",TRUE,AC8,AD8,AE8)</f>
        <v/>
      </c>
      <c r="AL8" s="123" t="inlineStr">
        <is>
          <t>ST145R12</t>
        </is>
      </c>
      <c r="AM8" s="177" t="inlineStr">
        <is>
          <t>8PR</t>
        </is>
      </c>
      <c r="AN8" s="177" t="inlineStr">
        <is>
          <t>ST Radial</t>
        </is>
      </c>
      <c r="AO8" s="177" t="inlineStr">
        <is>
          <t>ST145R12-8PR ST Radial/RS</t>
        </is>
      </c>
      <c r="AP8" s="177" t="n"/>
      <c r="AQ8" s="131" t="n">
        <v>5.795</v>
      </c>
      <c r="AR8" s="131" t="n">
        <v>5.852</v>
      </c>
      <c r="AS8" s="130">
        <f>AQ8-AR8</f>
        <v/>
      </c>
      <c r="AT8" s="390">
        <f>_xlfn.TEXTJOIN("-",TRUE,AL8,AM8,AN8)</f>
        <v/>
      </c>
      <c r="AU8" s="132" t="n"/>
      <c r="AV8" s="178" t="n"/>
      <c r="AW8" s="178" t="n"/>
      <c r="AX8" s="178" t="n"/>
      <c r="AY8" s="135" t="n"/>
      <c r="AZ8" s="135" t="n"/>
      <c r="BA8" s="136" t="n"/>
      <c r="BB8" s="390">
        <f>_xlfn.TEXTJOIN("-",TRUE,AU8,AW8)</f>
        <v/>
      </c>
    </row>
    <row r="9" ht="13.8" customHeight="1" s="428">
      <c r="B9" s="123" t="inlineStr">
        <is>
          <t>7.00R16</t>
        </is>
      </c>
      <c r="C9" s="177" t="inlineStr">
        <is>
          <t>14PR</t>
        </is>
      </c>
      <c r="D9" s="126" t="inlineStr">
        <is>
          <t>AZ686</t>
        </is>
      </c>
      <c r="E9" s="177" t="inlineStr">
        <is>
          <t>ID7.00R16-14PR-A C ID</t>
        </is>
      </c>
      <c r="F9" s="128">
        <f>G9-1.818+2.382</f>
        <v/>
      </c>
      <c r="G9" s="128" t="n">
        <v>23.352</v>
      </c>
      <c r="H9" s="129" t="n">
        <v>23.2364</v>
      </c>
      <c r="I9" s="130">
        <f>G9-H9</f>
        <v/>
      </c>
      <c r="J9" s="115">
        <f>_xlfn.TEXTJOIN("-",TRUE,B9,C9,D9)</f>
        <v/>
      </c>
      <c r="K9" s="145" t="n"/>
      <c r="L9" s="178" t="n"/>
      <c r="M9" s="178" t="n"/>
      <c r="N9" s="178" t="n"/>
      <c r="O9" s="178" t="n"/>
      <c r="P9" s="178" t="n"/>
      <c r="Q9" s="178" t="n"/>
      <c r="R9" s="134" t="n"/>
      <c r="S9" s="390">
        <f>_xlfn.TEXTJOIN("-",TRUE,K9,L9,M9)</f>
        <v/>
      </c>
      <c r="T9" s="123" t="inlineStr">
        <is>
          <t>16 X 6.50-8</t>
        </is>
      </c>
      <c r="U9" s="177" t="inlineStr">
        <is>
          <t>2PR</t>
        </is>
      </c>
      <c r="V9" s="177" t="inlineStr">
        <is>
          <t>TF01</t>
        </is>
      </c>
      <c r="W9" s="177" t="inlineStr">
        <is>
          <t>16X6.50-8-2PR TF</t>
        </is>
      </c>
      <c r="X9" s="177" t="n"/>
      <c r="Y9" s="131" t="n">
        <v>2.935</v>
      </c>
      <c r="Z9" s="131" t="n">
        <v>2.935</v>
      </c>
      <c r="AA9" s="130">
        <f>Y9-Z9</f>
        <v/>
      </c>
      <c r="AB9" s="390">
        <f>_xlfn.TEXTJOIN("-",TRUE,T9,U9,V9)</f>
        <v/>
      </c>
      <c r="AC9" s="123" t="inlineStr">
        <is>
          <t>6.50-10</t>
        </is>
      </c>
      <c r="AD9" s="177" t="inlineStr">
        <is>
          <t>12PR</t>
        </is>
      </c>
      <c r="AE9" s="177" t="inlineStr">
        <is>
          <t>STRONG GUARD LIFT</t>
        </is>
      </c>
      <c r="AF9" s="177" t="inlineStr">
        <is>
          <t>6.50-10-12PR SGL</t>
        </is>
      </c>
      <c r="AG9" s="177" t="inlineStr">
        <is>
          <t>/</t>
        </is>
      </c>
      <c r="AH9" s="177" t="n">
        <v>16.79</v>
      </c>
      <c r="AI9" s="177" t="n">
        <v>16.64</v>
      </c>
      <c r="AJ9" s="130">
        <f>AH9-AI9</f>
        <v/>
      </c>
      <c r="AK9" s="390">
        <f>_xlfn.TEXTJOIN("-",TRUE,AC9,AD9,AE9)</f>
        <v/>
      </c>
      <c r="AL9" s="123" t="inlineStr">
        <is>
          <t>ST145R12</t>
        </is>
      </c>
      <c r="AM9" s="177" t="inlineStr">
        <is>
          <t>8PR</t>
        </is>
      </c>
      <c r="AN9" s="146" t="inlineStr">
        <is>
          <t>RAINIER ST</t>
        </is>
      </c>
      <c r="AO9" s="177" t="inlineStr">
        <is>
          <t>ST145R12-8PR ST Radial/RS</t>
        </is>
      </c>
      <c r="AP9" s="177" t="n"/>
      <c r="AQ9" s="131" t="n">
        <v>5.795</v>
      </c>
      <c r="AR9" s="131" t="n">
        <v>5.852</v>
      </c>
      <c r="AS9" s="130">
        <f>AQ9-AR9</f>
        <v/>
      </c>
      <c r="AT9" s="390">
        <f>_xlfn.TEXTJOIN("-",TRUE,AL9,AM9,AN9)</f>
        <v/>
      </c>
      <c r="AU9" s="123" t="inlineStr">
        <is>
          <t>165/60R14</t>
        </is>
      </c>
      <c r="AV9" s="177" t="inlineStr">
        <is>
          <t>/</t>
        </is>
      </c>
      <c r="AW9" s="177" t="inlineStr">
        <is>
          <t>C-108</t>
        </is>
      </c>
      <c r="AX9" s="177" t="inlineStr">
        <is>
          <t>S020428A-42</t>
        </is>
      </c>
      <c r="AY9" s="131" t="n">
        <v>5.683</v>
      </c>
      <c r="AZ9" s="131" t="n">
        <v>5.693</v>
      </c>
      <c r="BA9" s="130">
        <f>AY9-AZ9</f>
        <v/>
      </c>
      <c r="BB9" s="390">
        <f>_xlfn.TEXTJOIN("-",TRUE,AU9,AW9)</f>
        <v/>
      </c>
    </row>
    <row r="10" ht="13.8" customHeight="1" s="428">
      <c r="B10" s="123" t="inlineStr">
        <is>
          <t>7.00R16</t>
        </is>
      </c>
      <c r="C10" s="177" t="inlineStr">
        <is>
          <t>14PR</t>
        </is>
      </c>
      <c r="D10" s="126" t="inlineStr">
        <is>
          <t>VAZ66</t>
        </is>
      </c>
      <c r="E10" s="177" t="inlineStr">
        <is>
          <t>ID7.00R16-14PR-A C ID</t>
        </is>
      </c>
      <c r="F10" s="128">
        <f>G10-1.818+2.382</f>
        <v/>
      </c>
      <c r="G10" s="128" t="n">
        <v>23.352</v>
      </c>
      <c r="H10" s="129" t="n">
        <v>23.2364</v>
      </c>
      <c r="I10" s="130">
        <f>G10-H10</f>
        <v/>
      </c>
      <c r="J10" s="115">
        <f>_xlfn.TEXTJOIN("-",TRUE,B10,C10,D10)</f>
        <v/>
      </c>
      <c r="K10" s="123" t="inlineStr">
        <is>
          <t>7.50-15</t>
        </is>
      </c>
      <c r="L10" s="177" t="inlineStr">
        <is>
          <t>12PR</t>
        </is>
      </c>
      <c r="M10" s="177" t="inlineStr">
        <is>
          <t>R8037</t>
        </is>
      </c>
      <c r="N10" s="177" t="inlineStr">
        <is>
          <t>7.50-15-12PR-R8037</t>
        </is>
      </c>
      <c r="O10" s="177" t="inlineStr">
        <is>
          <t>绿(5)/绿(5)</t>
        </is>
      </c>
      <c r="P10" s="177" t="n">
        <v>19.45</v>
      </c>
      <c r="Q10" s="177" t="n">
        <v>19.41</v>
      </c>
      <c r="R10" s="127">
        <f>P10-Q10</f>
        <v/>
      </c>
      <c r="S10" s="390">
        <f>_xlfn.TEXTJOIN("-",TRUE,K10,L10,M10)</f>
        <v/>
      </c>
      <c r="T10" s="123" t="inlineStr">
        <is>
          <t>16 X 6.50-8</t>
        </is>
      </c>
      <c r="U10" s="177" t="inlineStr">
        <is>
          <t>2PR</t>
        </is>
      </c>
      <c r="V10" s="177" t="inlineStr">
        <is>
          <t>TF11</t>
        </is>
      </c>
      <c r="W10" s="177" t="inlineStr">
        <is>
          <t>16X6.50-8-2PR TF</t>
        </is>
      </c>
      <c r="X10" s="177" t="n"/>
      <c r="Y10" s="131" t="n">
        <v>2.935</v>
      </c>
      <c r="Z10" s="131" t="n">
        <v>2.935</v>
      </c>
      <c r="AA10" s="130">
        <f>Y10-Z10</f>
        <v/>
      </c>
      <c r="AB10" s="390">
        <f>_xlfn.TEXTJOIN("-",TRUE,T10,U10,V10)</f>
        <v/>
      </c>
      <c r="AC10" s="132" t="n"/>
      <c r="AD10" s="178" t="n"/>
      <c r="AE10" s="178" t="n"/>
      <c r="AF10" s="178" t="n"/>
      <c r="AG10" s="178" t="n"/>
      <c r="AH10" s="178" t="n"/>
      <c r="AI10" s="178" t="n"/>
      <c r="AJ10" s="134" t="n"/>
      <c r="AK10" s="390">
        <f>_xlfn.TEXTJOIN("-",TRUE,AC10,AD10,AE10)</f>
        <v/>
      </c>
      <c r="AL10" s="123" t="inlineStr">
        <is>
          <t>ST145R12</t>
        </is>
      </c>
      <c r="AM10" s="177" t="inlineStr">
        <is>
          <t>10PR</t>
        </is>
      </c>
      <c r="AN10" s="177" t="inlineStr">
        <is>
          <t>ST Radial</t>
        </is>
      </c>
      <c r="AO10" s="177" t="inlineStr">
        <is>
          <t>ST145R12-10PR ST Radial/RS</t>
        </is>
      </c>
      <c r="AP10" s="177" t="n"/>
      <c r="AQ10" s="131" t="n">
        <v>6.076</v>
      </c>
      <c r="AR10" s="131" t="n">
        <v>6.133</v>
      </c>
      <c r="AS10" s="130">
        <f>AQ10-AR10</f>
        <v/>
      </c>
      <c r="AT10" s="390">
        <f>_xlfn.TEXTJOIN("-",TRUE,AL10,AM10,AN10)</f>
        <v/>
      </c>
      <c r="AU10" s="123" t="inlineStr">
        <is>
          <t>165/60R14</t>
        </is>
      </c>
      <c r="AV10" s="177" t="inlineStr">
        <is>
          <t>/</t>
        </is>
      </c>
      <c r="AW10" s="177" t="inlineStr">
        <is>
          <t>G-118</t>
        </is>
      </c>
      <c r="AX10" s="177" t="inlineStr">
        <is>
          <t>S020428A-42</t>
        </is>
      </c>
      <c r="AY10" s="131" t="n">
        <v>5.683</v>
      </c>
      <c r="AZ10" s="131" t="n">
        <v>5.693</v>
      </c>
      <c r="BA10" s="130">
        <f>AY10-AZ10</f>
        <v/>
      </c>
      <c r="BB10" s="390">
        <f>_xlfn.TEXTJOIN("-",TRUE,AU10,AW10)</f>
        <v/>
      </c>
    </row>
    <row r="11">
      <c r="B11" s="132" t="n"/>
      <c r="C11" s="178" t="n"/>
      <c r="D11" s="178" t="n"/>
      <c r="E11" s="147" t="n"/>
      <c r="F11" s="135" t="n"/>
      <c r="G11" s="135" t="n"/>
      <c r="H11" s="138" t="n"/>
      <c r="I11" s="136" t="n"/>
      <c r="J11" s="115">
        <f>_xlfn.TEXTJOIN("-",TRUE,B11,C11,D11)</f>
        <v/>
      </c>
      <c r="K11" s="132" t="n"/>
      <c r="L11" s="178" t="n"/>
      <c r="M11" s="178" t="n"/>
      <c r="N11" s="178" t="n"/>
      <c r="O11" s="178" t="n"/>
      <c r="P11" s="178" t="n"/>
      <c r="Q11" s="178" t="n"/>
      <c r="R11" s="134" t="n"/>
      <c r="S11" s="390">
        <f>_xlfn.TEXTJOIN("-",TRUE,K11,L11,M11)</f>
        <v/>
      </c>
      <c r="T11" s="132" t="n"/>
      <c r="U11" s="178" t="n"/>
      <c r="V11" s="178" t="n"/>
      <c r="W11" s="178" t="n"/>
      <c r="X11" s="178" t="n"/>
      <c r="Y11" s="178" t="n"/>
      <c r="Z11" s="178" t="n"/>
      <c r="AA11" s="134" t="n"/>
      <c r="AB11" s="390">
        <f>_xlfn.TEXTJOIN("-",TRUE,T11,U11,V11)</f>
        <v/>
      </c>
      <c r="AC11" s="123" t="inlineStr">
        <is>
          <t>7.00-12</t>
        </is>
      </c>
      <c r="AD11" s="177" t="inlineStr">
        <is>
          <t>14PR</t>
        </is>
      </c>
      <c r="AE11" s="177" t="inlineStr">
        <is>
          <t>STRONG GUARD LIFT</t>
        </is>
      </c>
      <c r="AF11" s="177" t="inlineStr">
        <is>
          <t>7.00-12-14PR SGL</t>
        </is>
      </c>
      <c r="AG11" s="177" t="inlineStr">
        <is>
          <t>/</t>
        </is>
      </c>
      <c r="AH11" s="177" t="n">
        <v>21.62</v>
      </c>
      <c r="AI11" s="177" t="n">
        <v>22.02</v>
      </c>
      <c r="AJ11" s="130">
        <f>AH11-AI11</f>
        <v/>
      </c>
      <c r="AK11" s="390">
        <f>_xlfn.TEXTJOIN("-",TRUE,AC11,AD11,AE11)</f>
        <v/>
      </c>
      <c r="AL11" s="123" t="inlineStr">
        <is>
          <t>ST145R12</t>
        </is>
      </c>
      <c r="AM11" s="177" t="inlineStr">
        <is>
          <t>10PR</t>
        </is>
      </c>
      <c r="AN11" s="146" t="inlineStr">
        <is>
          <t>RAINIER ST</t>
        </is>
      </c>
      <c r="AO11" s="177" t="inlineStr">
        <is>
          <t>ST145R12-10PR ST Radial/RS</t>
        </is>
      </c>
      <c r="AP11" s="177" t="n"/>
      <c r="AQ11" s="131" t="n">
        <v>6.076</v>
      </c>
      <c r="AR11" s="131" t="n">
        <v>6.133</v>
      </c>
      <c r="AS11" s="130">
        <f>AQ11-AR11</f>
        <v/>
      </c>
      <c r="AT11" s="390">
        <f>_xlfn.TEXTJOIN("-",TRUE,AL11,AM11,AN11)</f>
        <v/>
      </c>
      <c r="AU11" s="123" t="inlineStr">
        <is>
          <t>165/60R14</t>
        </is>
      </c>
      <c r="AV11" s="177" t="inlineStr">
        <is>
          <t>/</t>
        </is>
      </c>
      <c r="AW11" s="139" t="inlineStr">
        <is>
          <t>T-118</t>
        </is>
      </c>
      <c r="AX11" s="177" t="inlineStr">
        <is>
          <t>S020428A-42</t>
        </is>
      </c>
      <c r="AY11" s="131" t="n">
        <v>5.683</v>
      </c>
      <c r="AZ11" s="131" t="n">
        <v>5.693</v>
      </c>
      <c r="BA11" s="130">
        <f>AY11-AZ11</f>
        <v/>
      </c>
      <c r="BB11" s="390">
        <f>_xlfn.TEXTJOIN("-",TRUE,AU11,AW11)</f>
        <v/>
      </c>
    </row>
    <row r="12">
      <c r="B12" s="123" t="inlineStr">
        <is>
          <t>7.50R16</t>
        </is>
      </c>
      <c r="C12" s="177" t="inlineStr">
        <is>
          <t>14PR</t>
        </is>
      </c>
      <c r="D12" s="177" t="inlineStr">
        <is>
          <t>AZ601</t>
        </is>
      </c>
      <c r="E12" s="177" t="inlineStr">
        <is>
          <t>ID7.50R16-14PR-AZ C ID</t>
        </is>
      </c>
      <c r="F12" s="131">
        <f>G12-1.944+2.331</f>
        <v/>
      </c>
      <c r="G12" s="131" t="n">
        <v>28.179</v>
      </c>
      <c r="H12" s="129" t="n">
        <v>27.792</v>
      </c>
      <c r="I12" s="130">
        <f>G12-H12</f>
        <v/>
      </c>
      <c r="J12" s="115">
        <f>_xlfn.TEXTJOIN("-",TRUE,B12,C12,D12)</f>
        <v/>
      </c>
      <c r="K12" s="123" t="inlineStr">
        <is>
          <t>7.50-16LT</t>
        </is>
      </c>
      <c r="L12" s="177" t="inlineStr">
        <is>
          <t>14PR</t>
        </is>
      </c>
      <c r="M12" s="177" t="inlineStr">
        <is>
          <t>CL891</t>
        </is>
      </c>
      <c r="N12" s="177" t="inlineStr">
        <is>
          <t>7.50-16-14PR-CL891</t>
        </is>
      </c>
      <c r="O12" s="177" t="inlineStr">
        <is>
          <t>绿</t>
        </is>
      </c>
      <c r="P12" s="131" t="n">
        <v>25.7</v>
      </c>
      <c r="Q12" s="131" t="n">
        <v>25.6</v>
      </c>
      <c r="R12" s="130">
        <f>P12-Q12</f>
        <v/>
      </c>
      <c r="S12" s="390">
        <f>_xlfn.TEXTJOIN("-",TRUE,K12,L12,M12)</f>
        <v/>
      </c>
      <c r="T12" s="123" t="inlineStr">
        <is>
          <t>18 X 8.50-8</t>
        </is>
      </c>
      <c r="U12" s="177" t="inlineStr">
        <is>
          <t>6PR</t>
        </is>
      </c>
      <c r="V12" s="177" t="inlineStr">
        <is>
          <t>SU202</t>
        </is>
      </c>
      <c r="W12" s="177" t="inlineStr">
        <is>
          <t>18X8.50-8-SUZT</t>
        </is>
      </c>
      <c r="X12" s="177" t="n"/>
      <c r="Y12" s="131" t="n">
        <v>5.338</v>
      </c>
      <c r="Z12" s="131" t="n">
        <v>5.36</v>
      </c>
      <c r="AA12" s="131">
        <f>Y12-Z12</f>
        <v/>
      </c>
      <c r="AB12" s="390">
        <f>_xlfn.TEXTJOIN("-",TRUE,T12,U12,V12)</f>
        <v/>
      </c>
      <c r="AC12" s="132" t="n"/>
      <c r="AD12" s="178" t="n"/>
      <c r="AE12" s="178" t="n"/>
      <c r="AF12" s="178" t="n"/>
      <c r="AG12" s="178" t="n"/>
      <c r="AH12" s="178" t="n"/>
      <c r="AI12" s="178" t="n"/>
      <c r="AJ12" s="134" t="n"/>
      <c r="AK12" s="390">
        <f>_xlfn.TEXTJOIN("-",TRUE,AC12,AD12,AE12)</f>
        <v/>
      </c>
      <c r="AL12" s="132" t="n"/>
      <c r="AM12" s="178" t="n"/>
      <c r="AN12" s="178" t="n"/>
      <c r="AO12" s="178" t="n"/>
      <c r="AP12" s="178" t="n"/>
      <c r="AQ12" s="135" t="n"/>
      <c r="AR12" s="135" t="n"/>
      <c r="AS12" s="136" t="n"/>
      <c r="AT12" s="390">
        <f>_xlfn.TEXTJOIN("-",TRUE,AL12,AM12,AN12)</f>
        <v/>
      </c>
      <c r="AU12" s="123" t="inlineStr">
        <is>
          <t>165/60R14</t>
        </is>
      </c>
      <c r="AV12" s="177" t="inlineStr">
        <is>
          <t>/</t>
        </is>
      </c>
      <c r="AW12" s="139" t="inlineStr">
        <is>
          <t>Z-108</t>
        </is>
      </c>
      <c r="AX12" s="177" t="inlineStr">
        <is>
          <t>S020428A-42</t>
        </is>
      </c>
      <c r="AY12" s="131" t="n">
        <v>5.683</v>
      </c>
      <c r="AZ12" s="131" t="n">
        <v>5.693</v>
      </c>
      <c r="BA12" s="130">
        <f>AY12-AZ12</f>
        <v/>
      </c>
      <c r="BB12" s="390">
        <f>_xlfn.TEXTJOIN("-",TRUE,AU12,AW12)</f>
        <v/>
      </c>
    </row>
    <row r="13" ht="13.8" customHeight="1" s="428">
      <c r="B13" s="123" t="inlineStr">
        <is>
          <t>7.50R16</t>
        </is>
      </c>
      <c r="C13" s="177" t="inlineStr">
        <is>
          <t>14PR</t>
        </is>
      </c>
      <c r="D13" s="177" t="inlineStr">
        <is>
          <t>AZ119</t>
        </is>
      </c>
      <c r="E13" s="177" t="inlineStr">
        <is>
          <t>ID7.50R16-14PR-AZ C ID</t>
        </is>
      </c>
      <c r="F13" s="131">
        <f>G13-1.944+2.331</f>
        <v/>
      </c>
      <c r="G13" s="131" t="n">
        <v>28.179</v>
      </c>
      <c r="H13" s="129" t="n">
        <v>27.792</v>
      </c>
      <c r="I13" s="130">
        <f>G13-H13</f>
        <v/>
      </c>
      <c r="J13" s="115">
        <f>_xlfn.TEXTJOIN("-",TRUE,B13,C13,D13)</f>
        <v/>
      </c>
      <c r="K13" s="123" t="inlineStr">
        <is>
          <t>7.50-16</t>
        </is>
      </c>
      <c r="L13" s="177" t="inlineStr">
        <is>
          <t>14PR</t>
        </is>
      </c>
      <c r="M13" s="177" t="inlineStr">
        <is>
          <t>L8056</t>
        </is>
      </c>
      <c r="N13" s="177" t="inlineStr">
        <is>
          <t>7.50-16-14PR-L8056</t>
        </is>
      </c>
      <c r="O13" s="177" t="inlineStr">
        <is>
          <t>白</t>
        </is>
      </c>
      <c r="P13" s="131" t="n">
        <v>24.81</v>
      </c>
      <c r="Q13" s="131" t="n">
        <v>24.7</v>
      </c>
      <c r="R13" s="130">
        <f>P13-Q13</f>
        <v/>
      </c>
      <c r="S13" s="390">
        <f>_xlfn.TEXTJOIN("-",TRUE,K13,L13,M13)</f>
        <v/>
      </c>
      <c r="T13" s="123" t="inlineStr">
        <is>
          <t>18 X 8.50-8</t>
        </is>
      </c>
      <c r="U13" s="177" t="inlineStr">
        <is>
          <t>6PR</t>
        </is>
      </c>
      <c r="V13" s="177" t="inlineStr">
        <is>
          <t>ZT202</t>
        </is>
      </c>
      <c r="W13" s="177" t="inlineStr">
        <is>
          <t>18X8.50-8-SUZT</t>
        </is>
      </c>
      <c r="X13" s="177" t="n"/>
      <c r="Y13" s="131" t="n">
        <v>5.338</v>
      </c>
      <c r="Z13" s="131" t="n">
        <v>5.36</v>
      </c>
      <c r="AA13" s="131">
        <f>Y13-Z13</f>
        <v/>
      </c>
      <c r="AB13" s="390">
        <f>_xlfn.TEXTJOIN("-",TRUE,T13,U13,V13)</f>
        <v/>
      </c>
      <c r="AC13" s="123" t="inlineStr">
        <is>
          <t>7.00-15</t>
        </is>
      </c>
      <c r="AD13" s="177" t="inlineStr">
        <is>
          <t>6PR</t>
        </is>
      </c>
      <c r="AE13" s="177" t="inlineStr">
        <is>
          <t>STRONG GUARD SS</t>
        </is>
      </c>
      <c r="AF13" s="177" t="inlineStr">
        <is>
          <t>7.00-15-6PR SGSS</t>
        </is>
      </c>
      <c r="AG13" s="177" t="inlineStr">
        <is>
          <t>/</t>
        </is>
      </c>
      <c r="AH13" s="177" t="n">
        <v>19.75</v>
      </c>
      <c r="AI13" s="177" t="n">
        <v>19.76</v>
      </c>
      <c r="AJ13" s="130">
        <f>AH13-AI13</f>
        <v/>
      </c>
      <c r="AK13" s="390">
        <f>_xlfn.TEXTJOIN("-",TRUE,AC13,AD13,AE13)</f>
        <v/>
      </c>
      <c r="AL13" s="123" t="inlineStr">
        <is>
          <t>155/70R13</t>
        </is>
      </c>
      <c r="AM13" s="177" t="inlineStr">
        <is>
          <t>/</t>
        </is>
      </c>
      <c r="AN13" s="177" t="inlineStr">
        <is>
          <t>TRAILER ST290</t>
        </is>
      </c>
      <c r="AO13" s="177" t="inlineStr">
        <is>
          <t>155/70R13 ST290</t>
        </is>
      </c>
      <c r="AP13" s="177" t="n"/>
      <c r="AQ13" s="131" t="n">
        <v>5.759</v>
      </c>
      <c r="AR13" s="131" t="n">
        <v>5.761</v>
      </c>
      <c r="AS13" s="148">
        <f>AQ13-AR13</f>
        <v/>
      </c>
      <c r="AT13" s="390">
        <f>_xlfn.TEXTJOIN("-",TRUE,AL13,AM13,AN13)</f>
        <v/>
      </c>
      <c r="AU13" s="132" t="n"/>
      <c r="AV13" s="178" t="n"/>
      <c r="AW13" s="178" t="n"/>
      <c r="AX13" s="178" t="n"/>
      <c r="AY13" s="135" t="n"/>
      <c r="AZ13" s="135" t="n"/>
      <c r="BA13" s="136" t="n"/>
      <c r="BB13" s="390">
        <f>_xlfn.TEXTJOIN("-",TRUE,AU13,AW13)</f>
        <v/>
      </c>
    </row>
    <row r="14" ht="13.8" customHeight="1" s="428">
      <c r="B14" s="123" t="inlineStr">
        <is>
          <t>7.50R16</t>
        </is>
      </c>
      <c r="C14" s="177" t="inlineStr">
        <is>
          <t>14PR</t>
        </is>
      </c>
      <c r="D14" s="177" t="inlineStr">
        <is>
          <t>CB981</t>
        </is>
      </c>
      <c r="E14" s="177" t="inlineStr">
        <is>
          <t>ID7.50R16-14PR-CB981 C ID</t>
        </is>
      </c>
      <c r="F14" s="131">
        <f>G14-1.944+2.331</f>
        <v/>
      </c>
      <c r="G14" s="131" t="n">
        <v>29.232</v>
      </c>
      <c r="H14" s="129" t="n">
        <v>28.9197</v>
      </c>
      <c r="I14" s="130">
        <f>G14-H14</f>
        <v/>
      </c>
      <c r="J14" s="115">
        <f>_xlfn.TEXTJOIN("-",TRUE,B14,C14,D14)</f>
        <v/>
      </c>
      <c r="K14" s="123" t="inlineStr">
        <is>
          <t>7.50-16</t>
        </is>
      </c>
      <c r="L14" s="177" t="inlineStr">
        <is>
          <t>14PR</t>
        </is>
      </c>
      <c r="M14" s="177" t="inlineStr">
        <is>
          <t>M8086</t>
        </is>
      </c>
      <c r="N14" s="125" t="inlineStr">
        <is>
          <t>7.50-16-14PR-M</t>
        </is>
      </c>
      <c r="O14" s="177" t="inlineStr">
        <is>
          <t>/</t>
        </is>
      </c>
      <c r="P14" s="131" t="n">
        <v>25.23</v>
      </c>
      <c r="Q14" s="131" t="n">
        <v>25.48</v>
      </c>
      <c r="R14" s="130">
        <f>P14-Q14</f>
        <v/>
      </c>
      <c r="S14" s="390">
        <f>_xlfn.TEXTJOIN("-",TRUE,K14,L14,M14)</f>
        <v/>
      </c>
      <c r="T14" s="123" t="inlineStr">
        <is>
          <t>18 X 8.50-8</t>
        </is>
      </c>
      <c r="U14" s="177" t="inlineStr">
        <is>
          <t>4PR</t>
        </is>
      </c>
      <c r="V14" s="177" t="inlineStr">
        <is>
          <t>TF02</t>
        </is>
      </c>
      <c r="W14" s="177" t="inlineStr">
        <is>
          <t>18X8.50-8-4PR TF02</t>
        </is>
      </c>
      <c r="X14" s="177" t="n"/>
      <c r="Y14" s="131" t="n">
        <v>4.665</v>
      </c>
      <c r="Z14" s="131" t="n">
        <v>4.49</v>
      </c>
      <c r="AA14" s="131">
        <f>Y14-Z14</f>
        <v/>
      </c>
      <c r="AB14" s="390">
        <f>_xlfn.TEXTJOIN("-",TRUE,T14,U14,V14)</f>
        <v/>
      </c>
      <c r="AC14" s="123" t="inlineStr">
        <is>
          <t>7.00-15</t>
        </is>
      </c>
      <c r="AD14" s="177" t="inlineStr">
        <is>
          <t>8PR</t>
        </is>
      </c>
      <c r="AE14" s="177" t="inlineStr">
        <is>
          <t>STRONG GUARD SS</t>
        </is>
      </c>
      <c r="AF14" s="177" t="inlineStr">
        <is>
          <t>7.00-15-8PR SGSS</t>
        </is>
      </c>
      <c r="AG14" s="177" t="inlineStr">
        <is>
          <t>/</t>
        </is>
      </c>
      <c r="AH14" s="177" t="n">
        <v>20.54</v>
      </c>
      <c r="AI14" s="131" t="n">
        <v>20.2</v>
      </c>
      <c r="AJ14" s="130">
        <f>AH14-AI14</f>
        <v/>
      </c>
      <c r="AK14" s="390">
        <f>_xlfn.TEXTJOIN("-",TRUE,AC14,AD14,AE14)</f>
        <v/>
      </c>
      <c r="AL14" s="132" t="n"/>
      <c r="AM14" s="178" t="n"/>
      <c r="AN14" s="178" t="n"/>
      <c r="AO14" s="178" t="n"/>
      <c r="AP14" s="178" t="n"/>
      <c r="AQ14" s="135" t="n"/>
      <c r="AR14" s="135" t="n"/>
      <c r="AS14" s="136" t="n"/>
      <c r="AT14" s="390">
        <f>_xlfn.TEXTJOIN("-",TRUE,AL14,AM14,AN14)</f>
        <v/>
      </c>
      <c r="AU14" s="123" t="inlineStr">
        <is>
          <t>165/65R13</t>
        </is>
      </c>
      <c r="AV14" s="177" t="inlineStr">
        <is>
          <t>/</t>
        </is>
      </c>
      <c r="AW14" s="177" t="inlineStr">
        <is>
          <t>C-108</t>
        </is>
      </c>
      <c r="AX14" s="177" t="inlineStr">
        <is>
          <t>K020420A-42</t>
        </is>
      </c>
      <c r="AY14" s="131" t="n">
        <v>5.521</v>
      </c>
      <c r="AZ14" s="131" t="n">
        <v>5.521</v>
      </c>
      <c r="BA14" s="130">
        <f>AY14-AZ14</f>
        <v/>
      </c>
      <c r="BB14" s="390">
        <f>_xlfn.TEXTJOIN("-",TRUE,AU14,AW14)</f>
        <v/>
      </c>
    </row>
    <row r="15" ht="13.8" customHeight="1" s="428">
      <c r="B15" s="123" t="inlineStr">
        <is>
          <t>7.50R16</t>
        </is>
      </c>
      <c r="C15" s="177" t="inlineStr">
        <is>
          <t>14PR</t>
        </is>
      </c>
      <c r="D15" s="177" t="inlineStr">
        <is>
          <t>CM988</t>
        </is>
      </c>
      <c r="E15" s="177" t="inlineStr">
        <is>
          <t>ID7.50R16-14PR-CM988 C ID</t>
        </is>
      </c>
      <c r="F15" s="131">
        <f>G15-1.944+2.331</f>
        <v/>
      </c>
      <c r="G15" s="131" t="n">
        <v>29.791</v>
      </c>
      <c r="H15" s="129" t="n">
        <v>29.74</v>
      </c>
      <c r="I15" s="130">
        <f>G15-H15</f>
        <v/>
      </c>
      <c r="J15" s="115">
        <f>_xlfn.TEXTJOIN("-",TRUE,B15,C15,D15)</f>
        <v/>
      </c>
      <c r="K15" s="123" t="inlineStr">
        <is>
          <t>7.50-16</t>
        </is>
      </c>
      <c r="L15" s="177" t="inlineStr">
        <is>
          <t>14PR</t>
        </is>
      </c>
      <c r="M15" s="177" t="inlineStr">
        <is>
          <t>M8087</t>
        </is>
      </c>
      <c r="N15" s="125" t="inlineStr">
        <is>
          <t>7.50-16-14PR-M</t>
        </is>
      </c>
      <c r="O15" s="177" t="inlineStr">
        <is>
          <t>/</t>
        </is>
      </c>
      <c r="P15" s="131" t="n">
        <v>25.23</v>
      </c>
      <c r="Q15" s="131" t="n">
        <v>25.48</v>
      </c>
      <c r="R15" s="130">
        <f>P15-Q15</f>
        <v/>
      </c>
      <c r="S15" s="390">
        <f>_xlfn.TEXTJOIN("-",TRUE,K15,L15,M15)</f>
        <v/>
      </c>
      <c r="T15" s="123" t="inlineStr">
        <is>
          <t>18 X 8.50-8</t>
        </is>
      </c>
      <c r="U15" s="177" t="inlineStr">
        <is>
          <t>4PR</t>
        </is>
      </c>
      <c r="V15" s="177" t="inlineStr">
        <is>
          <t>TF11</t>
        </is>
      </c>
      <c r="W15" s="177" t="inlineStr">
        <is>
          <t>18X8.50-8-4PR TF11</t>
        </is>
      </c>
      <c r="X15" s="177" t="n"/>
      <c r="Y15" s="131" t="n">
        <v>4.412</v>
      </c>
      <c r="Z15" s="131" t="n">
        <v>4.555</v>
      </c>
      <c r="AA15" s="130">
        <f>Y15-Z15</f>
        <v/>
      </c>
      <c r="AB15" s="390">
        <f>_xlfn.TEXTJOIN("-",TRUE,T15,U15,V15)</f>
        <v/>
      </c>
      <c r="AC15" s="123" t="inlineStr">
        <is>
          <t>7.00-15</t>
        </is>
      </c>
      <c r="AD15" s="177" t="inlineStr">
        <is>
          <t>14PR</t>
        </is>
      </c>
      <c r="AE15" s="177" t="inlineStr">
        <is>
          <t>STRONG GUARD LIFT</t>
        </is>
      </c>
      <c r="AF15" s="177" t="inlineStr">
        <is>
          <t>7.00-15-14PR SGL</t>
        </is>
      </c>
      <c r="AG15" s="177" t="inlineStr">
        <is>
          <t>/</t>
        </is>
      </c>
      <c r="AH15" s="177" t="n">
        <v>25.85</v>
      </c>
      <c r="AI15" s="177" t="n">
        <v>26.13</v>
      </c>
      <c r="AJ15" s="130">
        <f>AH15-AI15</f>
        <v/>
      </c>
      <c r="AK15" s="390">
        <f>_xlfn.TEXTJOIN("-",TRUE,AC15,AD15,AE15)</f>
        <v/>
      </c>
      <c r="AL15" s="149" t="inlineStr">
        <is>
          <t>155/80R13</t>
        </is>
      </c>
      <c r="AM15" s="150" t="inlineStr">
        <is>
          <t>/</t>
        </is>
      </c>
      <c r="AN15" s="150" t="inlineStr">
        <is>
          <t>TRAILER ST290</t>
        </is>
      </c>
      <c r="AO15" s="150" t="inlineStr">
        <is>
          <t>155/80R13 ST290</t>
        </is>
      </c>
      <c r="AP15" s="150" t="n"/>
      <c r="AQ15" s="151" t="n">
        <v>6.197</v>
      </c>
      <c r="AR15" s="131" t="n">
        <v>6.198</v>
      </c>
      <c r="AS15" s="148">
        <f>AQ15-AR15</f>
        <v/>
      </c>
      <c r="AT15" s="390">
        <f>_xlfn.TEXTJOIN("-",TRUE,AL15,AM15,AN15)</f>
        <v/>
      </c>
      <c r="AU15" s="123" t="inlineStr">
        <is>
          <t>165/65R13</t>
        </is>
      </c>
      <c r="AV15" s="177" t="inlineStr">
        <is>
          <t>/</t>
        </is>
      </c>
      <c r="AW15" s="177" t="inlineStr">
        <is>
          <t>G-118</t>
        </is>
      </c>
      <c r="AX15" s="177" t="inlineStr">
        <is>
          <t>K020420A-42</t>
        </is>
      </c>
      <c r="AY15" s="131" t="n">
        <v>5.521</v>
      </c>
      <c r="AZ15" s="131" t="n">
        <v>5.521</v>
      </c>
      <c r="BA15" s="130">
        <f>AY15-AZ15</f>
        <v/>
      </c>
      <c r="BB15" s="390">
        <f>_xlfn.TEXTJOIN("-",TRUE,AU15,AW15)</f>
        <v/>
      </c>
    </row>
    <row r="16" ht="13.8" customHeight="1" s="428">
      <c r="B16" s="123" t="inlineStr">
        <is>
          <t>7.50R16</t>
        </is>
      </c>
      <c r="C16" s="177" t="inlineStr">
        <is>
          <t>14PR</t>
        </is>
      </c>
      <c r="D16" s="177" t="inlineStr">
        <is>
          <t>CR926</t>
        </is>
      </c>
      <c r="E16" s="125" t="inlineStr">
        <is>
          <t>ID7.50R16-14PR-A C ID</t>
        </is>
      </c>
      <c r="F16" s="131">
        <f>G16-1.944+2.331</f>
        <v/>
      </c>
      <c r="G16" s="131" t="n">
        <v>28.436</v>
      </c>
      <c r="H16" s="129" t="n">
        <v>27.9282</v>
      </c>
      <c r="I16" s="130">
        <f>G16-H16</f>
        <v/>
      </c>
      <c r="J16" s="115">
        <f>_xlfn.TEXTJOIN("-",TRUE,B16,C16,D16)</f>
        <v/>
      </c>
      <c r="K16" s="123" t="inlineStr">
        <is>
          <t>7.50-16</t>
        </is>
      </c>
      <c r="L16" s="177" t="inlineStr">
        <is>
          <t>14PR</t>
        </is>
      </c>
      <c r="M16" s="177" t="inlineStr">
        <is>
          <t>AB313</t>
        </is>
      </c>
      <c r="N16" s="125" t="inlineStr">
        <is>
          <t>7.50-16-14PR-M</t>
        </is>
      </c>
      <c r="O16" s="177" t="inlineStr">
        <is>
          <t>/</t>
        </is>
      </c>
      <c r="P16" s="131" t="n">
        <v>25.23</v>
      </c>
      <c r="Q16" s="131" t="n">
        <v>25.48</v>
      </c>
      <c r="R16" s="130">
        <f>P16-Q16</f>
        <v/>
      </c>
      <c r="S16" s="390">
        <f>_xlfn.TEXTJOIN("-",TRUE,K16,L16,M16)</f>
        <v/>
      </c>
      <c r="T16" s="132" t="n"/>
      <c r="U16" s="178" t="n"/>
      <c r="V16" s="178" t="n"/>
      <c r="W16" s="178" t="n"/>
      <c r="X16" s="178" t="n"/>
      <c r="Y16" s="178" t="n"/>
      <c r="Z16" s="178" t="n"/>
      <c r="AA16" s="134" t="n"/>
      <c r="AB16" s="390">
        <f>_xlfn.TEXTJOIN("-",TRUE,T16,U16,V16)</f>
        <v/>
      </c>
      <c r="AC16" s="132" t="n"/>
      <c r="AD16" s="178" t="n"/>
      <c r="AE16" s="178" t="n"/>
      <c r="AF16" s="178" t="n"/>
      <c r="AG16" s="178" t="n"/>
      <c r="AH16" s="178" t="n"/>
      <c r="AI16" s="178" t="n"/>
      <c r="AJ16" s="134" t="n"/>
      <c r="AK16" s="390">
        <f>_xlfn.TEXTJOIN("-",TRUE,AC16,AD16,AE16)</f>
        <v/>
      </c>
      <c r="AL16" s="132" t="n"/>
      <c r="AM16" s="178" t="n"/>
      <c r="AN16" s="178" t="n"/>
      <c r="AO16" s="178" t="n"/>
      <c r="AP16" s="178" t="n"/>
      <c r="AQ16" s="135" t="n"/>
      <c r="AR16" s="135" t="n"/>
      <c r="AS16" s="136" t="n"/>
      <c r="AT16" s="390">
        <f>_xlfn.TEXTJOIN("-",TRUE,AL16,AM16,AN16)</f>
        <v/>
      </c>
      <c r="AU16" s="123" t="inlineStr">
        <is>
          <t>165/65R13</t>
        </is>
      </c>
      <c r="AV16" s="177" t="inlineStr">
        <is>
          <t>/</t>
        </is>
      </c>
      <c r="AW16" s="139" t="inlineStr">
        <is>
          <t>T-118</t>
        </is>
      </c>
      <c r="AX16" s="177" t="inlineStr">
        <is>
          <t>K020420A-42</t>
        </is>
      </c>
      <c r="AY16" s="131" t="n">
        <v>5.521</v>
      </c>
      <c r="AZ16" s="131" t="n">
        <v>5.521</v>
      </c>
      <c r="BA16" s="130">
        <f>AY16-AZ16</f>
        <v/>
      </c>
      <c r="BB16" s="390">
        <f>_xlfn.TEXTJOIN("-",TRUE,AU16,AW16)</f>
        <v/>
      </c>
    </row>
    <row r="17">
      <c r="B17" s="123" t="inlineStr">
        <is>
          <t>7.50R16</t>
        </is>
      </c>
      <c r="C17" s="177" t="inlineStr">
        <is>
          <t>14PR</t>
        </is>
      </c>
      <c r="D17" s="177" t="inlineStr">
        <is>
          <t>AZ676</t>
        </is>
      </c>
      <c r="E17" s="125" t="inlineStr">
        <is>
          <t>ID7.50R16-14PR-A C ID</t>
        </is>
      </c>
      <c r="F17" s="131">
        <f>G17-1.944+2.331</f>
        <v/>
      </c>
      <c r="G17" s="131" t="n">
        <v>28.436</v>
      </c>
      <c r="H17" s="129" t="n">
        <v>28.5599</v>
      </c>
      <c r="I17" s="130">
        <f>G17-H17</f>
        <v/>
      </c>
      <c r="J17" s="115">
        <f>_xlfn.TEXTJOIN("-",TRUE,B17,C17,D17)</f>
        <v/>
      </c>
      <c r="K17" s="123" t="inlineStr">
        <is>
          <t>7.50-16LT</t>
        </is>
      </c>
      <c r="L17" s="177" t="inlineStr">
        <is>
          <t>14PR</t>
        </is>
      </c>
      <c r="M17" s="177" t="inlineStr">
        <is>
          <t>MR881</t>
        </is>
      </c>
      <c r="N17" s="177" t="inlineStr">
        <is>
          <t>7.50-16LT-14PR-MR881</t>
        </is>
      </c>
      <c r="O17" s="177" t="inlineStr">
        <is>
          <t>/</t>
        </is>
      </c>
      <c r="P17" s="131" t="n">
        <v>22.4</v>
      </c>
      <c r="Q17" s="131" t="n">
        <v>22.4</v>
      </c>
      <c r="R17" s="130">
        <f>P17-Q17</f>
        <v/>
      </c>
      <c r="S17" s="390">
        <f>_xlfn.TEXTJOIN("-",TRUE,K17,L17,M17)</f>
        <v/>
      </c>
      <c r="T17" s="123" t="inlineStr">
        <is>
          <t>18 X 9.50-8</t>
        </is>
      </c>
      <c r="U17" s="177" t="inlineStr">
        <is>
          <t>4PR</t>
        </is>
      </c>
      <c r="V17" s="177" t="inlineStr">
        <is>
          <t>TF11</t>
        </is>
      </c>
      <c r="W17" s="177" t="inlineStr">
        <is>
          <t>18X9.50-8-4PR TF11</t>
        </is>
      </c>
      <c r="X17" s="177" t="n"/>
      <c r="Y17" s="131" t="n">
        <v>5.165</v>
      </c>
      <c r="Z17" s="131" t="n">
        <v>5.06</v>
      </c>
      <c r="AA17" s="130">
        <f>Y17-Z17</f>
        <v/>
      </c>
      <c r="AB17" s="390">
        <f>_xlfn.TEXTJOIN("-",TRUE,T17,U17,V17)</f>
        <v/>
      </c>
      <c r="AC17" s="123" t="inlineStr">
        <is>
          <t>7.50-15</t>
        </is>
      </c>
      <c r="AD17" s="177" t="inlineStr">
        <is>
          <t>14PR</t>
        </is>
      </c>
      <c r="AE17" s="177" t="inlineStr">
        <is>
          <t>STRONG GUARD LIFT</t>
        </is>
      </c>
      <c r="AF17" s="177" t="inlineStr">
        <is>
          <t>7.50-15-14PR SGL</t>
        </is>
      </c>
      <c r="AG17" s="177" t="inlineStr">
        <is>
          <t>/</t>
        </is>
      </c>
      <c r="AH17" s="177" t="n">
        <v>30.71</v>
      </c>
      <c r="AI17" s="177" t="n">
        <v>30.81</v>
      </c>
      <c r="AJ17" s="127">
        <f>AH17-AI17</f>
        <v/>
      </c>
      <c r="AK17" s="390">
        <f>_xlfn.TEXTJOIN("-",TRUE,AC17,AD17,AE17)</f>
        <v/>
      </c>
      <c r="AL17" s="149" t="inlineStr">
        <is>
          <t>155R13</t>
        </is>
      </c>
      <c r="AM17" s="150" t="inlineStr">
        <is>
          <t>8PR</t>
        </is>
      </c>
      <c r="AN17" s="150" t="inlineStr">
        <is>
          <t>TRAILER ST290</t>
        </is>
      </c>
      <c r="AO17" s="150" t="inlineStr">
        <is>
          <t>155R13C-8PR ST290</t>
        </is>
      </c>
      <c r="AP17" s="150" t="n"/>
      <c r="AQ17" s="151" t="n">
        <v>7.041</v>
      </c>
      <c r="AR17" s="131" t="n">
        <v>7.043</v>
      </c>
      <c r="AS17" s="148">
        <f>AQ17-AR17</f>
        <v/>
      </c>
      <c r="AT17" s="390">
        <f>_xlfn.TEXTJOIN("-",TRUE,AL17,AM17,AN17)</f>
        <v/>
      </c>
      <c r="AU17" s="123" t="inlineStr">
        <is>
          <t>165/65R13</t>
        </is>
      </c>
      <c r="AV17" s="177" t="inlineStr">
        <is>
          <t>/</t>
        </is>
      </c>
      <c r="AW17" s="139" t="inlineStr">
        <is>
          <t>Z-108</t>
        </is>
      </c>
      <c r="AX17" s="177" t="inlineStr">
        <is>
          <t>K020420A-42</t>
        </is>
      </c>
      <c r="AY17" s="131" t="n">
        <v>5.521</v>
      </c>
      <c r="AZ17" s="131" t="n">
        <v>5.521</v>
      </c>
      <c r="BA17" s="130">
        <f>AY17-AZ17</f>
        <v/>
      </c>
      <c r="BB17" s="390">
        <f>_xlfn.TEXTJOIN("-",TRUE,AU17,AW17)</f>
        <v/>
      </c>
    </row>
    <row r="18" ht="13.8" customHeight="1" s="428">
      <c r="B18" s="123" t="inlineStr">
        <is>
          <t>7.50R16</t>
        </is>
      </c>
      <c r="C18" s="177" t="inlineStr">
        <is>
          <t>14PR</t>
        </is>
      </c>
      <c r="D18" s="177" t="inlineStr">
        <is>
          <t>TZ202</t>
        </is>
      </c>
      <c r="E18" s="125" t="inlineStr">
        <is>
          <t>ID7.50R16-14PR-A C ID</t>
        </is>
      </c>
      <c r="F18" s="131">
        <f>G18-1.944+2.331</f>
        <v/>
      </c>
      <c r="G18" s="131" t="n">
        <v>28.436</v>
      </c>
      <c r="H18" s="129" t="n">
        <v>27.9282</v>
      </c>
      <c r="I18" s="130">
        <f>G18-H18</f>
        <v/>
      </c>
      <c r="J18" s="115">
        <f>_xlfn.TEXTJOIN("-",TRUE,B18,C18,D18)</f>
        <v/>
      </c>
      <c r="K18" s="123" t="inlineStr">
        <is>
          <t>7.50-16LT</t>
        </is>
      </c>
      <c r="L18" s="177" t="inlineStr">
        <is>
          <t>14PR</t>
        </is>
      </c>
      <c r="M18" s="177" t="inlineStr">
        <is>
          <t>MX882</t>
        </is>
      </c>
      <c r="N18" s="177" t="inlineStr">
        <is>
          <t>7.50-16LT-14PR-MX882</t>
        </is>
      </c>
      <c r="O18" s="177" t="inlineStr">
        <is>
          <t>/</t>
        </is>
      </c>
      <c r="P18" s="131" t="n">
        <v>24.83</v>
      </c>
      <c r="Q18" s="131" t="n">
        <v>24.82</v>
      </c>
      <c r="R18" s="130">
        <f>P18-Q18</f>
        <v/>
      </c>
      <c r="S18" s="390">
        <f>_xlfn.TEXTJOIN("-",TRUE,K18,L18,M18)</f>
        <v/>
      </c>
      <c r="T18" s="132" t="n"/>
      <c r="U18" s="178" t="n"/>
      <c r="V18" s="178" t="n"/>
      <c r="W18" s="178" t="n"/>
      <c r="X18" s="178" t="n"/>
      <c r="Y18" s="178" t="n"/>
      <c r="Z18" s="178" t="n"/>
      <c r="AA18" s="134" t="n"/>
      <c r="AB18" s="390">
        <f>_xlfn.TEXTJOIN("-",TRUE,T18,U18,V18)</f>
        <v/>
      </c>
      <c r="AC18" s="132" t="n"/>
      <c r="AD18" s="178" t="n"/>
      <c r="AE18" s="178" t="n"/>
      <c r="AF18" s="178" t="n"/>
      <c r="AG18" s="178" t="n"/>
      <c r="AH18" s="178" t="n"/>
      <c r="AI18" s="178" t="n"/>
      <c r="AJ18" s="134" t="n"/>
      <c r="AK18" s="390">
        <f>_xlfn.TEXTJOIN("-",TRUE,AC18,AD18,AE18)</f>
        <v/>
      </c>
      <c r="AL18" s="132" t="n"/>
      <c r="AM18" s="178" t="n"/>
      <c r="AN18" s="178" t="n"/>
      <c r="AO18" s="178" t="n"/>
      <c r="AP18" s="178" t="n"/>
      <c r="AQ18" s="135" t="n"/>
      <c r="AR18" s="135" t="n"/>
      <c r="AS18" s="136" t="n"/>
      <c r="AT18" s="390">
        <f>_xlfn.TEXTJOIN("-",TRUE,AL18,AM18,AN18)</f>
        <v/>
      </c>
      <c r="AU18" s="132" t="n"/>
      <c r="AV18" s="178" t="n"/>
      <c r="AW18" s="178" t="n"/>
      <c r="AX18" s="178" t="n"/>
      <c r="AY18" s="135" t="n"/>
      <c r="AZ18" s="135" t="n"/>
      <c r="BA18" s="136" t="n"/>
      <c r="BB18" s="390">
        <f>_xlfn.TEXTJOIN("-",TRUE,AU18,AW18)</f>
        <v/>
      </c>
    </row>
    <row r="19" ht="13.8" customHeight="1" s="428">
      <c r="B19" s="123" t="inlineStr">
        <is>
          <t>7.50R16</t>
        </is>
      </c>
      <c r="C19" s="177" t="inlineStr">
        <is>
          <t>14PR</t>
        </is>
      </c>
      <c r="D19" s="177" t="inlineStr">
        <is>
          <t>AZ126T</t>
        </is>
      </c>
      <c r="E19" s="125" t="inlineStr">
        <is>
          <t>ID7.50R16-14PR-A C ID</t>
        </is>
      </c>
      <c r="F19" s="131">
        <f>G19-1.944+2.331</f>
        <v/>
      </c>
      <c r="G19" s="131" t="n">
        <v>28.436</v>
      </c>
      <c r="H19" s="129" t="n">
        <v>27.9282</v>
      </c>
      <c r="I19" s="130">
        <f>G19-H19</f>
        <v/>
      </c>
      <c r="J19" s="115">
        <f>_xlfn.TEXTJOIN("-",TRUE,B19,C19,D19)</f>
        <v/>
      </c>
      <c r="K19" s="123" t="inlineStr">
        <is>
          <t>7.50-16</t>
        </is>
      </c>
      <c r="L19" s="177" t="inlineStr">
        <is>
          <t>14PR</t>
        </is>
      </c>
      <c r="M19" s="177" t="inlineStr">
        <is>
          <t>R8037</t>
        </is>
      </c>
      <c r="N19" s="177" t="inlineStr">
        <is>
          <t>7.50-16-14PR-R8037</t>
        </is>
      </c>
      <c r="O19" s="177" t="inlineStr">
        <is>
          <t>绿</t>
        </is>
      </c>
      <c r="P19" s="131" t="n">
        <v>23.4</v>
      </c>
      <c r="Q19" s="131" t="n">
        <v>23.4</v>
      </c>
      <c r="R19" s="130">
        <f>P19-Q19</f>
        <v/>
      </c>
      <c r="S19" s="390">
        <f>_xlfn.TEXTJOIN("-",TRUE,K19,L19,M19)</f>
        <v/>
      </c>
      <c r="T19" s="123" t="inlineStr">
        <is>
          <t>20 X 8.00-8</t>
        </is>
      </c>
      <c r="U19" s="177" t="inlineStr">
        <is>
          <t>2PR</t>
        </is>
      </c>
      <c r="V19" s="177" t="inlineStr">
        <is>
          <t>TF01</t>
        </is>
      </c>
      <c r="W19" s="177" t="inlineStr">
        <is>
          <t>20X8.00-8-2PR TF01</t>
        </is>
      </c>
      <c r="X19" s="177" t="n"/>
      <c r="Y19" s="131" t="n">
        <v>5.065</v>
      </c>
      <c r="Z19" s="131" t="n">
        <v>5.465</v>
      </c>
      <c r="AA19" s="130">
        <f>Y19-Z19</f>
        <v/>
      </c>
      <c r="AB19" s="390">
        <f>_xlfn.TEXTJOIN("-",TRUE,T19,U19,V19)</f>
        <v/>
      </c>
      <c r="AC19" s="123" t="inlineStr">
        <is>
          <t>8.25-15</t>
        </is>
      </c>
      <c r="AD19" s="177" t="inlineStr">
        <is>
          <t>14PR</t>
        </is>
      </c>
      <c r="AE19" s="177" t="inlineStr">
        <is>
          <t>STRONG GUARD LIFT</t>
        </is>
      </c>
      <c r="AF19" s="177" t="inlineStr">
        <is>
          <t>8.25-15-14PR SGL</t>
        </is>
      </c>
      <c r="AG19" s="177" t="inlineStr">
        <is>
          <t>/</t>
        </is>
      </c>
      <c r="AH19" s="177" t="n">
        <v>36.96</v>
      </c>
      <c r="AI19" s="177" t="n">
        <v>36.94</v>
      </c>
      <c r="AJ19" s="127">
        <f>AH19-AI19</f>
        <v/>
      </c>
      <c r="AK19" s="390">
        <f>_xlfn.TEXTJOIN("-",TRUE,AC19,AD19,AE19)</f>
        <v/>
      </c>
      <c r="AL19" s="149" t="inlineStr">
        <is>
          <t>165/70R13</t>
        </is>
      </c>
      <c r="AM19" s="150" t="inlineStr">
        <is>
          <t>/</t>
        </is>
      </c>
      <c r="AN19" s="150" t="inlineStr">
        <is>
          <t>TRAILER ST290</t>
        </is>
      </c>
      <c r="AO19" s="150" t="inlineStr">
        <is>
          <t>165/70R13 ST290</t>
        </is>
      </c>
      <c r="AP19" s="150" t="n"/>
      <c r="AQ19" s="151" t="n">
        <v>6.119</v>
      </c>
      <c r="AR19" s="131" t="n">
        <v>6.124</v>
      </c>
      <c r="AS19" s="148">
        <f>AQ19-AR19</f>
        <v/>
      </c>
      <c r="AT19" s="390">
        <f>_xlfn.TEXTJOIN("-",TRUE,AL19,AM19,AN19)</f>
        <v/>
      </c>
      <c r="AU19" s="123" t="inlineStr">
        <is>
          <t>165/70R13</t>
        </is>
      </c>
      <c r="AV19" s="177" t="inlineStr">
        <is>
          <t>/</t>
        </is>
      </c>
      <c r="AW19" s="177" t="inlineStr">
        <is>
          <t>C-108</t>
        </is>
      </c>
      <c r="AX19" s="177" t="inlineStr">
        <is>
          <t>020421B-42</t>
        </is>
      </c>
      <c r="AY19" s="131" t="n">
        <v>5.545</v>
      </c>
      <c r="AZ19" s="131" t="n">
        <v>5.546</v>
      </c>
      <c r="BA19" s="130">
        <f>AY19-AZ19</f>
        <v/>
      </c>
      <c r="BB19" s="390">
        <f>_xlfn.TEXTJOIN("-",TRUE,AU19,AW19)</f>
        <v/>
      </c>
    </row>
    <row r="20" ht="13.8" customHeight="1" s="428">
      <c r="B20" s="123" t="inlineStr">
        <is>
          <t>7.50R16</t>
        </is>
      </c>
      <c r="C20" s="177" t="inlineStr">
        <is>
          <t>14PR</t>
        </is>
      </c>
      <c r="D20" s="177" t="inlineStr">
        <is>
          <t>MT200</t>
        </is>
      </c>
      <c r="E20" s="125" t="inlineStr">
        <is>
          <t>ID7.50R16-14PR-A C ID</t>
        </is>
      </c>
      <c r="F20" s="131">
        <f>G20-1.944+2.331</f>
        <v/>
      </c>
      <c r="G20" s="131" t="n">
        <v>28.436</v>
      </c>
      <c r="H20" s="129" t="n">
        <v>27.9282</v>
      </c>
      <c r="I20" s="130">
        <f>G20-H20</f>
        <v/>
      </c>
      <c r="J20" s="115">
        <f>_xlfn.TEXTJOIN("-",TRUE,B20,C20,D20)</f>
        <v/>
      </c>
      <c r="K20" s="123" t="inlineStr">
        <is>
          <t>7.50-16</t>
        </is>
      </c>
      <c r="L20" s="177" t="inlineStr">
        <is>
          <t>14PR</t>
        </is>
      </c>
      <c r="M20" s="177" t="inlineStr">
        <is>
          <t>R8038</t>
        </is>
      </c>
      <c r="N20" s="125" t="inlineStr">
        <is>
          <t>7.50-16-14PR-RA</t>
        </is>
      </c>
      <c r="O20" s="177" t="inlineStr">
        <is>
          <t>白</t>
        </is>
      </c>
      <c r="P20" s="131" t="n">
        <v>24.45</v>
      </c>
      <c r="Q20" s="131" t="n">
        <v>24.45</v>
      </c>
      <c r="R20" s="130">
        <f>P20-Q20</f>
        <v/>
      </c>
      <c r="S20" s="390">
        <f>_xlfn.TEXTJOIN("-",TRUE,K20,L20,M20)</f>
        <v/>
      </c>
      <c r="T20" s="123" t="inlineStr">
        <is>
          <t>20 X 8.00-8</t>
        </is>
      </c>
      <c r="U20" s="177" t="inlineStr">
        <is>
          <t>4PR</t>
        </is>
      </c>
      <c r="V20" s="177" t="inlineStr">
        <is>
          <t>TF01</t>
        </is>
      </c>
      <c r="W20" s="177" t="inlineStr">
        <is>
          <t>20X8.00-8-4PR TF01</t>
        </is>
      </c>
      <c r="X20" s="177" t="n"/>
      <c r="Y20" s="131" t="n">
        <v>5.23</v>
      </c>
      <c r="Z20" s="131" t="n">
        <v>5.375</v>
      </c>
      <c r="AA20" s="130">
        <f>Y20-Z20</f>
        <v/>
      </c>
      <c r="AB20" s="390">
        <f>_xlfn.TEXTJOIN("-",TRUE,T20,U20,V20)</f>
        <v/>
      </c>
      <c r="AC20" s="132" t="n"/>
      <c r="AD20" s="178" t="n"/>
      <c r="AE20" s="178" t="n"/>
      <c r="AF20" s="178" t="n"/>
      <c r="AG20" s="178" t="n"/>
      <c r="AH20" s="178" t="n"/>
      <c r="AI20" s="178" t="n"/>
      <c r="AJ20" s="134" t="n"/>
      <c r="AK20" s="390">
        <f>_xlfn.TEXTJOIN("-",TRUE,AC20,AD20,AE20)</f>
        <v/>
      </c>
      <c r="AL20" s="132" t="n"/>
      <c r="AM20" s="178" t="n"/>
      <c r="AN20" s="178" t="n"/>
      <c r="AO20" s="178" t="n"/>
      <c r="AP20" s="178" t="n"/>
      <c r="AQ20" s="135" t="n"/>
      <c r="AR20" s="135" t="n"/>
      <c r="AS20" s="136" t="n"/>
      <c r="AT20" s="390">
        <f>_xlfn.TEXTJOIN("-",TRUE,AL20,AM20,AN20)</f>
        <v/>
      </c>
      <c r="AU20" s="123" t="inlineStr">
        <is>
          <t>165/70R13</t>
        </is>
      </c>
      <c r="AV20" s="177" t="inlineStr">
        <is>
          <t>/</t>
        </is>
      </c>
      <c r="AW20" s="177" t="inlineStr">
        <is>
          <t>G-118</t>
        </is>
      </c>
      <c r="AX20" s="177" t="inlineStr">
        <is>
          <t>020421B-42</t>
        </is>
      </c>
      <c r="AY20" s="131" t="n">
        <v>5.545</v>
      </c>
      <c r="AZ20" s="131" t="n">
        <v>5.546</v>
      </c>
      <c r="BA20" s="130">
        <f>AY20-AZ20</f>
        <v/>
      </c>
      <c r="BB20" s="390">
        <f>_xlfn.TEXTJOIN("-",TRUE,AU20,AW20)</f>
        <v/>
      </c>
    </row>
    <row r="21">
      <c r="B21" s="123" t="inlineStr">
        <is>
          <t>7.50R16</t>
        </is>
      </c>
      <c r="C21" s="177" t="inlineStr">
        <is>
          <t>14PR</t>
        </is>
      </c>
      <c r="D21" s="177" t="inlineStr">
        <is>
          <t>EZ369</t>
        </is>
      </c>
      <c r="E21" s="125" t="inlineStr">
        <is>
          <t>ID7.50R16-14PR-EZ T C ID</t>
        </is>
      </c>
      <c r="F21" s="131">
        <f>G21-1.944+2.331</f>
        <v/>
      </c>
      <c r="G21" s="131" t="n">
        <v>30.597</v>
      </c>
      <c r="H21" s="129" t="n">
        <v>30.5474</v>
      </c>
      <c r="I21" s="130">
        <f>G21-H21</f>
        <v/>
      </c>
      <c r="J21" s="115">
        <f>_xlfn.TEXTJOIN("-",TRUE,B21,C21,D21)</f>
        <v/>
      </c>
      <c r="K21" s="123" t="inlineStr">
        <is>
          <t>7.50-16</t>
        </is>
      </c>
      <c r="L21" s="177" t="inlineStr">
        <is>
          <t>14PR</t>
        </is>
      </c>
      <c r="M21" s="177" t="inlineStr">
        <is>
          <t>AB111</t>
        </is>
      </c>
      <c r="N21" s="125" t="inlineStr">
        <is>
          <t>7.50-16-14PR-RA</t>
        </is>
      </c>
      <c r="O21" s="177" t="inlineStr">
        <is>
          <t>白</t>
        </is>
      </c>
      <c r="P21" s="131" t="n">
        <v>24.45</v>
      </c>
      <c r="Q21" s="131" t="n">
        <v>24.45</v>
      </c>
      <c r="R21" s="130">
        <f>P21-Q21</f>
        <v/>
      </c>
      <c r="S21" s="390">
        <f>_xlfn.TEXTJOIN("-",TRUE,K21,L21,M21)</f>
        <v/>
      </c>
      <c r="T21" s="123" t="inlineStr">
        <is>
          <t>20 X 8.00-8</t>
        </is>
      </c>
      <c r="U21" s="177" t="inlineStr">
        <is>
          <t>2PR</t>
        </is>
      </c>
      <c r="V21" s="177" t="inlineStr">
        <is>
          <t>TF11</t>
        </is>
      </c>
      <c r="W21" s="177" t="inlineStr">
        <is>
          <t>20X8.00-8-2PR TF11</t>
        </is>
      </c>
      <c r="X21" s="177" t="n"/>
      <c r="Y21" s="131" t="n">
        <v>5.065</v>
      </c>
      <c r="Z21" s="131" t="n">
        <v>5.465</v>
      </c>
      <c r="AA21" s="130">
        <f>Y21-Z21</f>
        <v/>
      </c>
      <c r="AB21" s="390">
        <f>_xlfn.TEXTJOIN("-",TRUE,T21,U21,V21)</f>
        <v/>
      </c>
      <c r="AC21" s="123" t="inlineStr">
        <is>
          <t>10-16.5</t>
        </is>
      </c>
      <c r="AD21" s="177" t="inlineStr">
        <is>
          <t>10PR</t>
        </is>
      </c>
      <c r="AE21" s="177" t="inlineStr">
        <is>
          <t>STRONG GUARD S-MX</t>
        </is>
      </c>
      <c r="AF21" s="177" t="inlineStr">
        <is>
          <t>10-16.5-10PR-SGS MX</t>
        </is>
      </c>
      <c r="AG21" s="177" t="inlineStr">
        <is>
          <t>/</t>
        </is>
      </c>
      <c r="AH21" s="177" t="n">
        <v>32.75</v>
      </c>
      <c r="AI21" s="177" t="n">
        <v>32.47</v>
      </c>
      <c r="AJ21" s="127">
        <f>AH21-AI21</f>
        <v/>
      </c>
      <c r="AK21" s="390">
        <f>_xlfn.TEXTJOIN("-",TRUE,AC21,AD21,AE21)</f>
        <v/>
      </c>
      <c r="AL21" s="149" t="inlineStr">
        <is>
          <t>175/70R13</t>
        </is>
      </c>
      <c r="AM21" s="150" t="inlineStr">
        <is>
          <t>/</t>
        </is>
      </c>
      <c r="AN21" s="150" t="inlineStr">
        <is>
          <t>TRAILER ST290</t>
        </is>
      </c>
      <c r="AO21" s="150" t="inlineStr">
        <is>
          <t>175/70R13 ST290</t>
        </is>
      </c>
      <c r="AP21" s="150" t="n"/>
      <c r="AQ21" s="151" t="n">
        <v>7.039</v>
      </c>
      <c r="AR21" s="131" t="n">
        <v>7.043</v>
      </c>
      <c r="AS21" s="148">
        <f>AQ21-AR21</f>
        <v/>
      </c>
      <c r="AT21" s="390">
        <f>_xlfn.TEXTJOIN("-",TRUE,AL21,AM21,AN21)</f>
        <v/>
      </c>
      <c r="AU21" s="123" t="inlineStr">
        <is>
          <t>165/70R13</t>
        </is>
      </c>
      <c r="AV21" s="177" t="inlineStr">
        <is>
          <t>/</t>
        </is>
      </c>
      <c r="AW21" s="139" t="inlineStr">
        <is>
          <t>T-118</t>
        </is>
      </c>
      <c r="AX21" s="177" t="inlineStr">
        <is>
          <t>020421B-42</t>
        </is>
      </c>
      <c r="AY21" s="131" t="n">
        <v>5.545</v>
      </c>
      <c r="AZ21" s="131" t="n">
        <v>5.546</v>
      </c>
      <c r="BA21" s="130">
        <f>AY21-AZ21</f>
        <v/>
      </c>
      <c r="BB21" s="390">
        <f>_xlfn.TEXTJOIN("-",TRUE,AU21,AW21)</f>
        <v/>
      </c>
    </row>
    <row r="22">
      <c r="B22" s="123" t="inlineStr">
        <is>
          <t>7.50R16</t>
        </is>
      </c>
      <c r="C22" s="177" t="inlineStr">
        <is>
          <t>14PR</t>
        </is>
      </c>
      <c r="D22" s="177" t="inlineStr">
        <is>
          <t>TZ303</t>
        </is>
      </c>
      <c r="E22" s="125" t="inlineStr">
        <is>
          <t>ID7.50R16-14PR-EZ T C ID</t>
        </is>
      </c>
      <c r="F22" s="131">
        <f>G22-1.944+2.331</f>
        <v/>
      </c>
      <c r="G22" s="131" t="n">
        <v>30.597</v>
      </c>
      <c r="H22" s="129" t="n">
        <v>30.5474</v>
      </c>
      <c r="I22" s="130">
        <f>G22-H22</f>
        <v/>
      </c>
      <c r="J22" s="115">
        <f>_xlfn.TEXTJOIN("-",TRUE,B22,C22,D22)</f>
        <v/>
      </c>
      <c r="K22" s="145" t="n"/>
      <c r="L22" s="152" t="n"/>
      <c r="M22" s="152" t="n"/>
      <c r="N22" s="152" t="n"/>
      <c r="O22" s="152" t="n"/>
      <c r="P22" s="152" t="n"/>
      <c r="Q22" s="152" t="n"/>
      <c r="R22" s="153" t="n"/>
      <c r="S22" s="390">
        <f>_xlfn.TEXTJOIN("-",TRUE,K22,L22,M22)</f>
        <v/>
      </c>
      <c r="T22" s="123" t="inlineStr">
        <is>
          <t>20 X 8.00-8</t>
        </is>
      </c>
      <c r="U22" s="177" t="inlineStr">
        <is>
          <t>4PR</t>
        </is>
      </c>
      <c r="V22" s="177" t="inlineStr">
        <is>
          <t>TF11</t>
        </is>
      </c>
      <c r="W22" s="177" t="inlineStr">
        <is>
          <t>20X8.00-8-4PR TF11</t>
        </is>
      </c>
      <c r="X22" s="177" t="n"/>
      <c r="Y22" s="131" t="n">
        <v>5.32</v>
      </c>
      <c r="Z22" s="131" t="n">
        <v>5.465</v>
      </c>
      <c r="AA22" s="130">
        <f>Y22-Z22</f>
        <v/>
      </c>
      <c r="AB22" s="390">
        <f>_xlfn.TEXTJOIN("-",TRUE,T22,U22,V22)</f>
        <v/>
      </c>
      <c r="AC22" s="123" t="inlineStr">
        <is>
          <t>10-16.5</t>
        </is>
      </c>
      <c r="AD22" s="177" t="inlineStr">
        <is>
          <t>10PR</t>
        </is>
      </c>
      <c r="AE22" s="177" t="inlineStr">
        <is>
          <t>STRONG GUARD SS</t>
        </is>
      </c>
      <c r="AF22" s="177" t="inlineStr">
        <is>
          <t>10-16.5-10PR SGSS</t>
        </is>
      </c>
      <c r="AG22" s="177" t="inlineStr">
        <is>
          <t>/</t>
        </is>
      </c>
      <c r="AH22" s="177" t="n">
        <v>24.97</v>
      </c>
      <c r="AI22" s="177" t="n">
        <v>24.74</v>
      </c>
      <c r="AJ22" s="127">
        <f>AH22-AI22</f>
        <v/>
      </c>
      <c r="AK22" s="390">
        <f>_xlfn.TEXTJOIN("-",TRUE,AC22,AD22,AE22)</f>
        <v/>
      </c>
      <c r="AL22" s="132" t="n"/>
      <c r="AM22" s="178" t="n"/>
      <c r="AN22" s="178" t="n"/>
      <c r="AO22" s="178" t="n"/>
      <c r="AP22" s="178" t="n"/>
      <c r="AQ22" s="135" t="n"/>
      <c r="AR22" s="135" t="n"/>
      <c r="AS22" s="136" t="n"/>
      <c r="AT22" s="390">
        <f>_xlfn.TEXTJOIN("-",TRUE,AL22,AM22,AN22)</f>
        <v/>
      </c>
      <c r="AU22" s="123" t="inlineStr">
        <is>
          <t>165/70R13</t>
        </is>
      </c>
      <c r="AV22" s="177" t="inlineStr">
        <is>
          <t>/</t>
        </is>
      </c>
      <c r="AW22" s="139" t="inlineStr">
        <is>
          <t>Z-108</t>
        </is>
      </c>
      <c r="AX22" s="177" t="inlineStr">
        <is>
          <t>020421B-42</t>
        </is>
      </c>
      <c r="AY22" s="131" t="n">
        <v>5.545</v>
      </c>
      <c r="AZ22" s="131" t="n">
        <v>5.546</v>
      </c>
      <c r="BA22" s="130">
        <f>AY22-AZ22</f>
        <v/>
      </c>
      <c r="BB22" s="390">
        <f>_xlfn.TEXTJOIN("-",TRUE,AU22,AW22)</f>
        <v/>
      </c>
    </row>
    <row r="23" ht="13.8" customHeight="1" s="428">
      <c r="B23" s="123" t="inlineStr">
        <is>
          <t>7.50R16</t>
        </is>
      </c>
      <c r="C23" s="177" t="inlineStr">
        <is>
          <t>14PR</t>
        </is>
      </c>
      <c r="D23" s="177" t="inlineStr">
        <is>
          <t>AZ686</t>
        </is>
      </c>
      <c r="E23" s="177" t="inlineStr">
        <is>
          <t>ID7.50R16-14PR-D C ID</t>
        </is>
      </c>
      <c r="F23" s="131">
        <f>G23-1.944+2.331</f>
        <v/>
      </c>
      <c r="G23" s="131" t="n">
        <v>30.168</v>
      </c>
      <c r="H23" s="129" t="n">
        <v>30.17</v>
      </c>
      <c r="I23" s="130">
        <f>G23-H23</f>
        <v/>
      </c>
      <c r="J23" s="115">
        <f>_xlfn.TEXTJOIN("-",TRUE,B23,C23,D23)</f>
        <v/>
      </c>
      <c r="K23" s="123" t="inlineStr">
        <is>
          <t>10.00-20</t>
        </is>
      </c>
      <c r="L23" s="177" t="inlineStr">
        <is>
          <t>16PR</t>
        </is>
      </c>
      <c r="M23" s="154" t="inlineStr">
        <is>
          <t>CL956</t>
        </is>
      </c>
      <c r="N23" s="155" t="inlineStr">
        <is>
          <t>10.00-20-16PR-A</t>
        </is>
      </c>
      <c r="O23" s="155" t="inlineStr">
        <is>
          <t>/</t>
        </is>
      </c>
      <c r="P23" s="131" t="n">
        <v>53.39</v>
      </c>
      <c r="Q23" s="177" t="n">
        <v>54.05</v>
      </c>
      <c r="R23" s="130">
        <f>P23-Q23</f>
        <v/>
      </c>
      <c r="S23" s="390">
        <f>_xlfn.TEXTJOIN("-",TRUE,K23,L23,M23)</f>
        <v/>
      </c>
      <c r="T23" s="123" t="inlineStr">
        <is>
          <t>20 X 10.00-8</t>
        </is>
      </c>
      <c r="U23" s="177" t="inlineStr">
        <is>
          <t>2PR</t>
        </is>
      </c>
      <c r="V23" s="177" t="inlineStr">
        <is>
          <t>TF11</t>
        </is>
      </c>
      <c r="W23" s="177" t="inlineStr">
        <is>
          <t>20X10.00-8 TF11</t>
        </is>
      </c>
      <c r="X23" s="177" t="n"/>
      <c r="Y23" s="131" t="n">
        <v>6.315</v>
      </c>
      <c r="Z23" s="131" t="n">
        <v>6.83</v>
      </c>
      <c r="AA23" s="130">
        <f>Y23-Z23</f>
        <v/>
      </c>
      <c r="AB23" s="390">
        <f>_xlfn.TEXTJOIN("-",TRUE,T23,U23,V23)</f>
        <v/>
      </c>
      <c r="AC23" s="132" t="n"/>
      <c r="AD23" s="178" t="n"/>
      <c r="AE23" s="178" t="n"/>
      <c r="AF23" s="178" t="n"/>
      <c r="AG23" s="178" t="n"/>
      <c r="AH23" s="178" t="n"/>
      <c r="AI23" s="178" t="n"/>
      <c r="AJ23" s="134" t="n"/>
      <c r="AK23" s="390">
        <f>_xlfn.TEXTJOIN("-",TRUE,AC23,AD23,AE23)</f>
        <v/>
      </c>
      <c r="AL23" s="123" t="inlineStr">
        <is>
          <t>ST175/80R13</t>
        </is>
      </c>
      <c r="AM23" s="177" t="inlineStr">
        <is>
          <t>6PR</t>
        </is>
      </c>
      <c r="AN23" s="177" t="inlineStr">
        <is>
          <t>ST100</t>
        </is>
      </c>
      <c r="AO23" s="177" t="inlineStr">
        <is>
          <t>ST175/80R13-6PR ST-100/STZC</t>
        </is>
      </c>
      <c r="AP23" s="177" t="n"/>
      <c r="AQ23" s="131" t="n">
        <v>7.771</v>
      </c>
      <c r="AR23" s="131" t="n">
        <v>7.653</v>
      </c>
      <c r="AS23" s="130">
        <f>AQ23-AR23</f>
        <v/>
      </c>
      <c r="AT23" s="390">
        <f>_xlfn.TEXTJOIN("-",TRUE,AL23,AM23,AN23)</f>
        <v/>
      </c>
      <c r="AU23" s="132" t="n"/>
      <c r="AV23" s="178" t="n"/>
      <c r="AW23" s="178" t="n"/>
      <c r="AX23" s="178" t="n"/>
      <c r="AY23" s="135" t="n"/>
      <c r="AZ23" s="135" t="n"/>
      <c r="BA23" s="136" t="n"/>
      <c r="BB23" s="390">
        <f>_xlfn.TEXTJOIN("-",TRUE,AU23,AW23)</f>
        <v/>
      </c>
    </row>
    <row r="24" ht="13.8" customHeight="1" s="428">
      <c r="B24" s="123" t="inlineStr">
        <is>
          <t>7.50R16</t>
        </is>
      </c>
      <c r="C24" s="177" t="inlineStr">
        <is>
          <t>14PR</t>
        </is>
      </c>
      <c r="D24" s="177" t="inlineStr">
        <is>
          <t>AZ697</t>
        </is>
      </c>
      <c r="E24" s="177" t="inlineStr">
        <is>
          <t>ID7.50R16-14PR-D C ID</t>
        </is>
      </c>
      <c r="F24" s="131">
        <f>G24-1.944+2.331</f>
        <v/>
      </c>
      <c r="G24" s="131" t="n">
        <v>30.168</v>
      </c>
      <c r="H24" s="129" t="n">
        <v>30.17</v>
      </c>
      <c r="I24" s="130">
        <f>G24-H24</f>
        <v/>
      </c>
      <c r="J24" s="115">
        <f>_xlfn.TEXTJOIN("-",TRUE,B24,C24,D24)</f>
        <v/>
      </c>
      <c r="K24" s="123" t="inlineStr">
        <is>
          <t>10.00-20</t>
        </is>
      </c>
      <c r="L24" s="177" t="inlineStr">
        <is>
          <t>16PR</t>
        </is>
      </c>
      <c r="M24" s="154" t="inlineStr">
        <is>
          <t>CL957</t>
        </is>
      </c>
      <c r="N24" s="155" t="inlineStr">
        <is>
          <t>10.00-20-16PR-A</t>
        </is>
      </c>
      <c r="O24" s="155" t="inlineStr">
        <is>
          <t>/</t>
        </is>
      </c>
      <c r="P24" s="131" t="n">
        <v>53.39</v>
      </c>
      <c r="Q24" s="177" t="n">
        <v>54.05</v>
      </c>
      <c r="R24" s="130">
        <f>P24-Q24</f>
        <v/>
      </c>
      <c r="S24" s="390">
        <f>_xlfn.TEXTJOIN("-",TRUE,K24,L24,M24)</f>
        <v/>
      </c>
      <c r="T24" s="123" t="inlineStr">
        <is>
          <t>20 X 10.00-8</t>
        </is>
      </c>
      <c r="U24" s="177" t="inlineStr">
        <is>
          <t>4PR</t>
        </is>
      </c>
      <c r="V24" s="177" t="inlineStr">
        <is>
          <t>TF11</t>
        </is>
      </c>
      <c r="W24" s="177" t="inlineStr">
        <is>
          <t>20X10.00-8 TF11</t>
        </is>
      </c>
      <c r="X24" s="177" t="n"/>
      <c r="Y24" s="131" t="n">
        <v>6.315</v>
      </c>
      <c r="Z24" s="131" t="n">
        <v>6.83</v>
      </c>
      <c r="AA24" s="130">
        <f>Y24-Z24</f>
        <v/>
      </c>
      <c r="AB24" s="390">
        <f>_xlfn.TEXTJOIN("-",TRUE,T24,U24,V24)</f>
        <v/>
      </c>
      <c r="AC24" s="123" t="inlineStr">
        <is>
          <t>10.5/80-18</t>
        </is>
      </c>
      <c r="AD24" s="177" t="inlineStr">
        <is>
          <t>10PR</t>
        </is>
      </c>
      <c r="AE24" s="177" t="inlineStr">
        <is>
          <t>STRONG GUARD LG2</t>
        </is>
      </c>
      <c r="AF24" s="156" t="inlineStr">
        <is>
          <t>10.5/80-18-10PR SGLG2</t>
        </is>
      </c>
      <c r="AG24" s="156" t="inlineStr">
        <is>
          <t>/</t>
        </is>
      </c>
      <c r="AH24" s="131" t="n">
        <v>31.66</v>
      </c>
      <c r="AI24" s="177" t="n">
        <v>31.04</v>
      </c>
      <c r="AJ24" s="130">
        <f>AH24-AI24</f>
        <v/>
      </c>
      <c r="AK24" s="390">
        <f>_xlfn.TEXTJOIN("-",TRUE,AC24,AD24,AE24)</f>
        <v/>
      </c>
      <c r="AL24" s="123" t="inlineStr">
        <is>
          <t>ST175/80R13</t>
        </is>
      </c>
      <c r="AM24" s="177" t="inlineStr">
        <is>
          <t>6PR</t>
        </is>
      </c>
      <c r="AN24" s="177" t="inlineStr">
        <is>
          <t>STZC</t>
        </is>
      </c>
      <c r="AO24" s="177" t="inlineStr">
        <is>
          <t>ST175/80R13-6PR ST-100/STZC</t>
        </is>
      </c>
      <c r="AP24" s="177" t="n"/>
      <c r="AQ24" s="131" t="n">
        <v>7.771</v>
      </c>
      <c r="AR24" s="131" t="n">
        <v>7.653</v>
      </c>
      <c r="AS24" s="130">
        <f>AQ24-AR24</f>
        <v/>
      </c>
      <c r="AT24" s="390">
        <f>_xlfn.TEXTJOIN("-",TRUE,AL24,AM24,AN24)</f>
        <v/>
      </c>
      <c r="AU24" s="123" t="inlineStr">
        <is>
          <t>165/70R14</t>
        </is>
      </c>
      <c r="AV24" s="177" t="inlineStr">
        <is>
          <t>/</t>
        </is>
      </c>
      <c r="AW24" s="177" t="inlineStr">
        <is>
          <t>C-108</t>
        </is>
      </c>
      <c r="AX24" s="177" t="inlineStr">
        <is>
          <t>020422B-42</t>
        </is>
      </c>
      <c r="AY24" s="131" t="n">
        <v>5.886</v>
      </c>
      <c r="AZ24" s="131" t="n">
        <v>5.868</v>
      </c>
      <c r="BA24" s="130">
        <f>AY24-AZ24</f>
        <v/>
      </c>
      <c r="BB24" s="390">
        <f>_xlfn.TEXTJOIN("-",TRUE,AU24,AW24)</f>
        <v/>
      </c>
    </row>
    <row r="25" ht="13.8" customHeight="1" s="428">
      <c r="B25" s="123" t="inlineStr">
        <is>
          <t>7.50R16</t>
        </is>
      </c>
      <c r="C25" s="177" t="inlineStr">
        <is>
          <t>14PR</t>
        </is>
      </c>
      <c r="D25" s="177" t="inlineStr">
        <is>
          <t>AZ850S</t>
        </is>
      </c>
      <c r="E25" s="177" t="inlineStr">
        <is>
          <t>ID7.50R16-14PR-AZ850S ID C</t>
        </is>
      </c>
      <c r="F25" s="131">
        <f>G25-1.944+2.331</f>
        <v/>
      </c>
      <c r="G25" s="131" t="n">
        <v>29.994</v>
      </c>
      <c r="H25" s="129" t="n">
        <v>29.6386</v>
      </c>
      <c r="I25" s="130">
        <f>G25-H25</f>
        <v/>
      </c>
      <c r="J25" s="115">
        <f>_xlfn.TEXTJOIN("-",TRUE,B25,C25,D25)</f>
        <v/>
      </c>
      <c r="K25" s="123" t="inlineStr">
        <is>
          <t>10.00-20</t>
        </is>
      </c>
      <c r="L25" s="177" t="inlineStr">
        <is>
          <t>18PR</t>
        </is>
      </c>
      <c r="M25" s="154" t="inlineStr">
        <is>
          <t>CL956</t>
        </is>
      </c>
      <c r="N25" s="156" t="inlineStr">
        <is>
          <t>10.00-20-18PR-A-B</t>
        </is>
      </c>
      <c r="O25" s="156" t="inlineStr">
        <is>
          <t>蓝</t>
        </is>
      </c>
      <c r="P25" s="131" t="n">
        <v>56.45</v>
      </c>
      <c r="Q25" s="177" t="n">
        <v>56.03</v>
      </c>
      <c r="R25" s="130">
        <f>P25-Q25</f>
        <v/>
      </c>
      <c r="S25" s="390">
        <f>_xlfn.TEXTJOIN("-",TRUE,K25,L25,M25)</f>
        <v/>
      </c>
      <c r="T25" s="132" t="n"/>
      <c r="U25" s="178" t="n"/>
      <c r="V25" s="178" t="n"/>
      <c r="W25" s="178" t="n"/>
      <c r="X25" s="178" t="n"/>
      <c r="Y25" s="178" t="n"/>
      <c r="Z25" s="178" t="n"/>
      <c r="AA25" s="134" t="n"/>
      <c r="AB25" s="390">
        <f>_xlfn.TEXTJOIN("-",TRUE,T25,U25,V25)</f>
        <v/>
      </c>
      <c r="AC25" s="132" t="n"/>
      <c r="AD25" s="178" t="n"/>
      <c r="AE25" s="178" t="n"/>
      <c r="AF25" s="178" t="n"/>
      <c r="AG25" s="178" t="n"/>
      <c r="AH25" s="178" t="n"/>
      <c r="AI25" s="178" t="n"/>
      <c r="AJ25" s="134" t="n"/>
      <c r="AK25" s="390">
        <f>_xlfn.TEXTJOIN("-",TRUE,AC25,AD25,AE25)</f>
        <v/>
      </c>
      <c r="AL25" s="123" t="inlineStr">
        <is>
          <t>ST175/80R13</t>
        </is>
      </c>
      <c r="AM25" s="177" t="inlineStr">
        <is>
          <t>8PR</t>
        </is>
      </c>
      <c r="AN25" s="177" t="inlineStr">
        <is>
          <t>ST100</t>
        </is>
      </c>
      <c r="AO25" s="177" t="inlineStr">
        <is>
          <t>ST175/80R13-8PR ST-100</t>
        </is>
      </c>
      <c r="AP25" s="177" t="n"/>
      <c r="AQ25" s="131" t="n">
        <v>8.683</v>
      </c>
      <c r="AR25" s="131" t="n">
        <v>8.565</v>
      </c>
      <c r="AS25" s="130">
        <f>AQ25-AR25</f>
        <v/>
      </c>
      <c r="AT25" s="390">
        <f>_xlfn.TEXTJOIN("-",TRUE,AL25,AM25,AN25)</f>
        <v/>
      </c>
      <c r="AU25" s="123" t="inlineStr">
        <is>
          <t>165/70R14</t>
        </is>
      </c>
      <c r="AV25" s="177" t="inlineStr">
        <is>
          <t>/</t>
        </is>
      </c>
      <c r="AW25" s="177" t="inlineStr">
        <is>
          <t>G-118</t>
        </is>
      </c>
      <c r="AX25" s="177" t="inlineStr">
        <is>
          <t>020422B-42</t>
        </is>
      </c>
      <c r="AY25" s="131" t="n">
        <v>5.886</v>
      </c>
      <c r="AZ25" s="131" t="n">
        <v>5.868</v>
      </c>
      <c r="BA25" s="130">
        <f>AY25-AZ25</f>
        <v/>
      </c>
      <c r="BB25" s="390">
        <f>_xlfn.TEXTJOIN("-",TRUE,AU25,AW25)</f>
        <v/>
      </c>
    </row>
    <row r="26" ht="13.8" customHeight="1" s="428">
      <c r="B26" s="123" t="inlineStr">
        <is>
          <t>7.50R16</t>
        </is>
      </c>
      <c r="C26" s="177" t="inlineStr">
        <is>
          <t>14PR</t>
        </is>
      </c>
      <c r="D26" s="177" t="inlineStr">
        <is>
          <t>CB972</t>
        </is>
      </c>
      <c r="E26" s="177" t="inlineStr">
        <is>
          <t>ID7.50R16-14PR-CB972 ID C</t>
        </is>
      </c>
      <c r="F26" s="131">
        <f>G26-1.944+2.331</f>
        <v/>
      </c>
      <c r="G26" s="131" t="n">
        <v>28.851</v>
      </c>
      <c r="H26" s="129" t="n">
        <v>28.7953</v>
      </c>
      <c r="I26" s="130">
        <f>G26-H26</f>
        <v/>
      </c>
      <c r="J26" s="115">
        <f>_xlfn.TEXTJOIN("-",TRUE,B26,C26,D26)</f>
        <v/>
      </c>
      <c r="K26" s="123" t="inlineStr">
        <is>
          <t>10.00-20</t>
        </is>
      </c>
      <c r="L26" s="177" t="inlineStr">
        <is>
          <t>18PR</t>
        </is>
      </c>
      <c r="M26" s="154" t="inlineStr">
        <is>
          <t>CL957</t>
        </is>
      </c>
      <c r="N26" s="156" t="inlineStr">
        <is>
          <t>10.00-20-18PR-A-B</t>
        </is>
      </c>
      <c r="O26" s="156" t="inlineStr">
        <is>
          <t>蓝</t>
        </is>
      </c>
      <c r="P26" s="131" t="n">
        <v>56.45</v>
      </c>
      <c r="Q26" s="177" t="n">
        <v>56.03</v>
      </c>
      <c r="R26" s="130">
        <f>P26-Q26</f>
        <v/>
      </c>
      <c r="S26" s="390">
        <f>_xlfn.TEXTJOIN("-",TRUE,K26,L26,M26)</f>
        <v/>
      </c>
      <c r="T26" s="123" t="inlineStr">
        <is>
          <t>21X7-10</t>
        </is>
      </c>
      <c r="U26" s="177" t="inlineStr">
        <is>
          <t>6PR</t>
        </is>
      </c>
      <c r="V26" s="177" t="inlineStr">
        <is>
          <t>AR05</t>
        </is>
      </c>
      <c r="W26" s="177" t="inlineStr">
        <is>
          <t>21X7-10-6PR AR05</t>
        </is>
      </c>
      <c r="X26" s="177" t="n"/>
      <c r="Y26" s="131" t="n">
        <v>5.175</v>
      </c>
      <c r="Z26" s="131" t="n">
        <v>5.175</v>
      </c>
      <c r="AA26" s="130">
        <f>Y26-Z26</f>
        <v/>
      </c>
      <c r="AB26" s="390">
        <f>_xlfn.TEXTJOIN("-",TRUE,T26,U26,V26)</f>
        <v/>
      </c>
      <c r="AC26" s="123" t="inlineStr">
        <is>
          <t>10.00-20</t>
        </is>
      </c>
      <c r="AD26" s="177" t="inlineStr">
        <is>
          <t>20PR</t>
        </is>
      </c>
      <c r="AE26" s="177" t="inlineStr">
        <is>
          <t>STRONG GUARD LIFT+</t>
        </is>
      </c>
      <c r="AF26" s="156" t="inlineStr">
        <is>
          <t>10.00-20-20PR SGL</t>
        </is>
      </c>
      <c r="AG26" s="156" t="inlineStr">
        <is>
          <t>/</t>
        </is>
      </c>
      <c r="AH26" s="131" t="n">
        <v>65.44</v>
      </c>
      <c r="AI26" s="177" t="n">
        <v>65.27</v>
      </c>
      <c r="AJ26" s="130">
        <f>AH26-AI26</f>
        <v/>
      </c>
      <c r="AK26" s="390">
        <f>_xlfn.TEXTJOIN("-",TRUE,AC26,AD26,AE26)</f>
        <v/>
      </c>
      <c r="AL26" s="123" t="inlineStr">
        <is>
          <t>ST175/80R13</t>
        </is>
      </c>
      <c r="AM26" s="177" t="inlineStr">
        <is>
          <t>6PR</t>
        </is>
      </c>
      <c r="AN26" s="177" t="inlineStr">
        <is>
          <t>ST100A</t>
        </is>
      </c>
      <c r="AO26" s="177" t="inlineStr">
        <is>
          <t>ST175/80R13-6PR SDAT</t>
        </is>
      </c>
      <c r="AP26" s="177" t="n"/>
      <c r="AQ26" s="131" t="n">
        <v>7.041</v>
      </c>
      <c r="AR26" s="131" t="n">
        <v>6.922</v>
      </c>
      <c r="AS26" s="130">
        <f>AQ26-AR26</f>
        <v/>
      </c>
      <c r="AT26" s="390">
        <f>_xlfn.TEXTJOIN("-",TRUE,AL26,AM26,AN26)</f>
        <v/>
      </c>
      <c r="AU26" s="123" t="inlineStr">
        <is>
          <t>165/70R14</t>
        </is>
      </c>
      <c r="AV26" s="177" t="inlineStr">
        <is>
          <t>/</t>
        </is>
      </c>
      <c r="AW26" s="139" t="inlineStr">
        <is>
          <t>T-118</t>
        </is>
      </c>
      <c r="AX26" s="177" t="inlineStr">
        <is>
          <t>020422B-42</t>
        </is>
      </c>
      <c r="AY26" s="131" t="n">
        <v>5.886</v>
      </c>
      <c r="AZ26" s="131" t="n">
        <v>5.868</v>
      </c>
      <c r="BA26" s="130">
        <f>AY26-AZ26</f>
        <v/>
      </c>
      <c r="BB26" s="390">
        <f>_xlfn.TEXTJOIN("-",TRUE,AU26,AW26)</f>
        <v/>
      </c>
    </row>
    <row r="27" ht="13.8" customHeight="1" s="428">
      <c r="B27" s="123" t="inlineStr">
        <is>
          <t>7.50R16</t>
        </is>
      </c>
      <c r="C27" s="177" t="inlineStr">
        <is>
          <t>14PR</t>
        </is>
      </c>
      <c r="D27" s="177" t="inlineStr">
        <is>
          <t>CM913</t>
        </is>
      </c>
      <c r="E27" s="177" t="inlineStr">
        <is>
          <t>ID7.50R16-14PR-CM913 ID C</t>
        </is>
      </c>
      <c r="F27" s="131">
        <f>G27-1.944+2.331</f>
        <v/>
      </c>
      <c r="G27" s="131" t="n">
        <v>29.905</v>
      </c>
      <c r="H27" s="129" t="n">
        <v>29.4407</v>
      </c>
      <c r="I27" s="130">
        <f>G27-H27</f>
        <v/>
      </c>
      <c r="J27" s="115">
        <f>_xlfn.TEXTJOIN("-",TRUE,B27,C27,D27)</f>
        <v/>
      </c>
      <c r="K27" s="123" t="inlineStr">
        <is>
          <t>10.00-20</t>
        </is>
      </c>
      <c r="L27" s="177" t="inlineStr">
        <is>
          <t>16PR</t>
        </is>
      </c>
      <c r="M27" s="154" t="inlineStr">
        <is>
          <t>CL991</t>
        </is>
      </c>
      <c r="N27" s="156" t="inlineStr">
        <is>
          <t>10.00-20-16PR-CL991</t>
        </is>
      </c>
      <c r="O27" s="156" t="inlineStr">
        <is>
          <t>蓝</t>
        </is>
      </c>
      <c r="P27" s="131" t="n">
        <v>52.02</v>
      </c>
      <c r="Q27" s="177" t="n">
        <v>52.27</v>
      </c>
      <c r="R27" s="130">
        <f>P27-Q27</f>
        <v/>
      </c>
      <c r="S27" s="390">
        <f>_xlfn.TEXTJOIN("-",TRUE,K27,L27,M27)</f>
        <v/>
      </c>
      <c r="T27" s="132" t="n"/>
      <c r="U27" s="178" t="n"/>
      <c r="V27" s="178" t="n"/>
      <c r="W27" s="178" t="n"/>
      <c r="X27" s="178" t="n"/>
      <c r="Y27" s="178" t="n"/>
      <c r="Z27" s="178" t="n"/>
      <c r="AA27" s="134" t="n"/>
      <c r="AB27" s="390">
        <f>_xlfn.TEXTJOIN("-",TRUE,T27,U27,V27)</f>
        <v/>
      </c>
      <c r="AC27" s="132" t="n"/>
      <c r="AD27" s="178" t="n"/>
      <c r="AE27" s="178" t="n"/>
      <c r="AF27" s="178" t="n"/>
      <c r="AG27" s="178" t="n"/>
      <c r="AH27" s="178" t="n"/>
      <c r="AI27" s="178" t="n"/>
      <c r="AJ27" s="134" t="n"/>
      <c r="AK27" s="390">
        <f>_xlfn.TEXTJOIN("-",TRUE,AC27,AD27,AE27)</f>
        <v/>
      </c>
      <c r="AL27" s="123" t="inlineStr">
        <is>
          <t>ST175/80R13</t>
        </is>
      </c>
      <c r="AM27" s="177" t="inlineStr">
        <is>
          <t>6PR</t>
        </is>
      </c>
      <c r="AN27" s="177" t="inlineStr">
        <is>
          <t>DURAHAULER ST</t>
        </is>
      </c>
      <c r="AO27" s="177" t="inlineStr">
        <is>
          <t>ST175/80R13-6PR SDAT</t>
        </is>
      </c>
      <c r="AP27" s="177" t="n"/>
      <c r="AQ27" s="131" t="n">
        <v>7.041</v>
      </c>
      <c r="AR27" s="131" t="n">
        <v>6.922</v>
      </c>
      <c r="AS27" s="130">
        <f>AQ27-AR27</f>
        <v/>
      </c>
      <c r="AT27" s="390">
        <f>_xlfn.TEXTJOIN("-",TRUE,AL27,AM27,AN27)</f>
        <v/>
      </c>
      <c r="AU27" s="123" t="inlineStr">
        <is>
          <t>165/70R14</t>
        </is>
      </c>
      <c r="AV27" s="177" t="inlineStr">
        <is>
          <t>/</t>
        </is>
      </c>
      <c r="AW27" s="139" t="inlineStr">
        <is>
          <t>Z-108</t>
        </is>
      </c>
      <c r="AX27" s="177" t="inlineStr">
        <is>
          <t>020422B-42</t>
        </is>
      </c>
      <c r="AY27" s="131" t="n">
        <v>5.886</v>
      </c>
      <c r="AZ27" s="131" t="n">
        <v>5.868</v>
      </c>
      <c r="BA27" s="130">
        <f>AY27-AZ27</f>
        <v/>
      </c>
      <c r="BB27" s="390">
        <f>_xlfn.TEXTJOIN("-",TRUE,AU27,AW27)</f>
        <v/>
      </c>
    </row>
    <row r="28" ht="13.8" customHeight="1" s="428">
      <c r="B28" s="123" t="inlineStr">
        <is>
          <t>7.50R16</t>
        </is>
      </c>
      <c r="C28" s="177" t="inlineStr">
        <is>
          <t>14PR</t>
        </is>
      </c>
      <c r="D28" s="177" t="inlineStr">
        <is>
          <t>EZ377</t>
        </is>
      </c>
      <c r="E28" s="177" t="inlineStr">
        <is>
          <t>ID7.50R16-14PR-EZ377 ID C</t>
        </is>
      </c>
      <c r="F28" s="131">
        <f>G28-1.944+2.331</f>
        <v/>
      </c>
      <c r="G28" s="131" t="n">
        <v>30.042</v>
      </c>
      <c r="H28" s="129" t="n">
        <v>26.7897</v>
      </c>
      <c r="I28" s="130">
        <f>G28-H28</f>
        <v/>
      </c>
      <c r="J28" s="115">
        <f>_xlfn.TEXTJOIN("-",TRUE,B28,C28,D28)</f>
        <v/>
      </c>
      <c r="K28" s="123" t="inlineStr">
        <is>
          <t>10.00-20</t>
        </is>
      </c>
      <c r="L28" s="177" t="inlineStr">
        <is>
          <t>18PR</t>
        </is>
      </c>
      <c r="M28" s="154" t="inlineStr">
        <is>
          <t>CL991</t>
        </is>
      </c>
      <c r="N28" s="156" t="inlineStr">
        <is>
          <t>10.00-20-18PR-CL991-B</t>
        </is>
      </c>
      <c r="O28" s="156" t="inlineStr">
        <is>
          <t>/</t>
        </is>
      </c>
      <c r="P28" s="131" t="n">
        <v>56.8</v>
      </c>
      <c r="Q28" s="177" t="n">
        <v>57.15</v>
      </c>
      <c r="R28" s="130">
        <f>P28-Q28</f>
        <v/>
      </c>
      <c r="S28" s="390">
        <f>_xlfn.TEXTJOIN("-",TRUE,K28,L28,M28)</f>
        <v/>
      </c>
      <c r="T28" s="123" t="inlineStr">
        <is>
          <t>22X10-10</t>
        </is>
      </c>
      <c r="U28" s="177" t="inlineStr">
        <is>
          <t>6PR</t>
        </is>
      </c>
      <c r="V28" s="177" t="inlineStr">
        <is>
          <t>AR06</t>
        </is>
      </c>
      <c r="W28" s="177" t="inlineStr">
        <is>
          <t>22X10-10-6PR AR06</t>
        </is>
      </c>
      <c r="X28" s="177" t="n"/>
      <c r="Y28" s="131" t="n">
        <v>6.825</v>
      </c>
      <c r="Z28" s="131" t="n">
        <v>6.824</v>
      </c>
      <c r="AA28" s="130">
        <f>Y28-Z28</f>
        <v/>
      </c>
      <c r="AB28" s="390">
        <f>_xlfn.TEXTJOIN("-",TRUE,T28,U28,V28)</f>
        <v/>
      </c>
      <c r="AC28" s="123" t="inlineStr">
        <is>
          <t>11L-15</t>
        </is>
      </c>
      <c r="AD28" s="177" t="inlineStr">
        <is>
          <t>12PR</t>
        </is>
      </c>
      <c r="AE28" s="177" t="inlineStr">
        <is>
          <t>STRONG GUARD F-3</t>
        </is>
      </c>
      <c r="AF28" s="156" t="inlineStr">
        <is>
          <t>11L-15-12PR SGF-3</t>
        </is>
      </c>
      <c r="AG28" s="156" t="inlineStr">
        <is>
          <t>/</t>
        </is>
      </c>
      <c r="AH28" s="131" t="n">
        <v>26.82</v>
      </c>
      <c r="AI28" s="177" t="n">
        <v>26.37</v>
      </c>
      <c r="AJ28" s="130">
        <f>AH28-AI28</f>
        <v/>
      </c>
      <c r="AK28" s="390">
        <f>_xlfn.TEXTJOIN("-",TRUE,AC28,AD28,AE28)</f>
        <v/>
      </c>
      <c r="AL28" s="123" t="inlineStr">
        <is>
          <t>ST175/80R13</t>
        </is>
      </c>
      <c r="AM28" s="177" t="inlineStr">
        <is>
          <t>6PR</t>
        </is>
      </c>
      <c r="AN28" s="177" t="inlineStr">
        <is>
          <t>ASSURE ST</t>
        </is>
      </c>
      <c r="AO28" s="177" t="inlineStr">
        <is>
          <t>ST175/80R13-6PR SDAT</t>
        </is>
      </c>
      <c r="AP28" s="177" t="n"/>
      <c r="AQ28" s="131" t="n">
        <v>7.041</v>
      </c>
      <c r="AR28" s="131" t="n">
        <v>6.922</v>
      </c>
      <c r="AS28" s="130">
        <f>AQ28-AR28</f>
        <v/>
      </c>
      <c r="AT28" s="390">
        <f>_xlfn.TEXTJOIN("-",TRUE,AL28,AM28,AN28)</f>
        <v/>
      </c>
      <c r="AU28" s="132" t="n"/>
      <c r="AV28" s="178" t="n"/>
      <c r="AW28" s="178" t="n"/>
      <c r="AX28" s="178" t="n"/>
      <c r="AY28" s="135" t="n"/>
      <c r="AZ28" s="135" t="n"/>
      <c r="BA28" s="136" t="n"/>
      <c r="BB28" s="390">
        <f>_xlfn.TEXTJOIN("-",TRUE,AU28,AW28)</f>
        <v/>
      </c>
    </row>
    <row r="29" ht="13.8" customHeight="1" s="428">
      <c r="B29" s="123" t="inlineStr">
        <is>
          <t>7.50R16</t>
        </is>
      </c>
      <c r="C29" s="177" t="inlineStr">
        <is>
          <t>14PR</t>
        </is>
      </c>
      <c r="D29" s="177" t="inlineStr">
        <is>
          <t>ETOD</t>
        </is>
      </c>
      <c r="E29" s="177" t="inlineStr">
        <is>
          <t>ID7.50R16-14PR-B C ID</t>
        </is>
      </c>
      <c r="F29" s="131">
        <f>G29-1.944+2.331</f>
        <v/>
      </c>
      <c r="G29" s="131" t="n">
        <v>30.86</v>
      </c>
      <c r="H29" s="129" t="n">
        <v>30.5443</v>
      </c>
      <c r="I29" s="130">
        <f>G29-H29</f>
        <v/>
      </c>
      <c r="J29" s="115">
        <f>_xlfn.TEXTJOIN("-",TRUE,B29,C29,D29)</f>
        <v/>
      </c>
      <c r="K29" s="123" t="inlineStr">
        <is>
          <t>10.00-20</t>
        </is>
      </c>
      <c r="L29" s="177" t="inlineStr">
        <is>
          <t>14PR</t>
        </is>
      </c>
      <c r="M29" s="177" t="inlineStr">
        <is>
          <t>CR918</t>
        </is>
      </c>
      <c r="N29" s="156" t="inlineStr">
        <is>
          <t>10.00-20-14PR-CR918</t>
        </is>
      </c>
      <c r="O29" s="156" t="inlineStr">
        <is>
          <t>/</t>
        </is>
      </c>
      <c r="P29" s="131" t="n">
        <v>34.9</v>
      </c>
      <c r="Q29" s="177" t="n">
        <v>35.11</v>
      </c>
      <c r="R29" s="130">
        <f>P29-Q29</f>
        <v/>
      </c>
      <c r="S29" s="390">
        <f>_xlfn.TEXTJOIN("-",TRUE,K29,L29,M29)</f>
        <v/>
      </c>
      <c r="T29" s="132" t="n"/>
      <c r="U29" s="178" t="n"/>
      <c r="V29" s="178" t="n"/>
      <c r="W29" s="178" t="n"/>
      <c r="X29" s="178" t="n"/>
      <c r="Y29" s="178" t="n"/>
      <c r="Z29" s="178" t="n"/>
      <c r="AA29" s="134" t="n"/>
      <c r="AB29" s="390">
        <f>_xlfn.TEXTJOIN("-",TRUE,T29,U29,V29)</f>
        <v/>
      </c>
      <c r="AC29" s="132" t="n"/>
      <c r="AD29" s="178" t="n"/>
      <c r="AE29" s="178" t="n"/>
      <c r="AF29" s="178" t="n"/>
      <c r="AG29" s="178" t="n"/>
      <c r="AH29" s="178" t="n"/>
      <c r="AI29" s="178" t="n"/>
      <c r="AJ29" s="134" t="n"/>
      <c r="AK29" s="390">
        <f>_xlfn.TEXTJOIN("-",TRUE,AC29,AD29,AE29)</f>
        <v/>
      </c>
      <c r="AL29" s="123" t="inlineStr">
        <is>
          <t>ST175/80R13</t>
        </is>
      </c>
      <c r="AM29" s="177" t="inlineStr">
        <is>
          <t>6PR</t>
        </is>
      </c>
      <c r="AN29" s="177" t="inlineStr">
        <is>
          <t>Tow Pro ST</t>
        </is>
      </c>
      <c r="AO29" s="177" t="inlineStr">
        <is>
          <t>ST175/80R13-6PR SDAT</t>
        </is>
      </c>
      <c r="AP29" s="177" t="n"/>
      <c r="AQ29" s="131" t="n">
        <v>7.041</v>
      </c>
      <c r="AR29" s="131" t="n">
        <v>6.922</v>
      </c>
      <c r="AS29" s="130">
        <f>AQ29-AR29</f>
        <v/>
      </c>
      <c r="AT29" s="390">
        <f>_xlfn.TEXTJOIN("-",TRUE,AL29,AM29,AN29)</f>
        <v/>
      </c>
      <c r="AU29" s="123" t="inlineStr">
        <is>
          <t>165/80R13</t>
        </is>
      </c>
      <c r="AV29" s="177" t="inlineStr">
        <is>
          <t>/</t>
        </is>
      </c>
      <c r="AW29" s="177" t="inlineStr">
        <is>
          <t>C-108</t>
        </is>
      </c>
      <c r="AX29" s="177" t="inlineStr">
        <is>
          <t>S021583A-42</t>
        </is>
      </c>
      <c r="AY29" s="131" t="n">
        <v>6.127</v>
      </c>
      <c r="AZ29" s="131" t="n">
        <v>6.128</v>
      </c>
      <c r="BA29" s="130">
        <f>AY29-AZ29</f>
        <v/>
      </c>
      <c r="BB29" s="390">
        <f>_xlfn.TEXTJOIN("-",TRUE,AU29,AW29)</f>
        <v/>
      </c>
    </row>
    <row r="30" ht="13.8" customHeight="1" s="428">
      <c r="B30" s="123" t="inlineStr">
        <is>
          <t>7.50R16</t>
        </is>
      </c>
      <c r="C30" s="177" t="inlineStr">
        <is>
          <t>14PR</t>
        </is>
      </c>
      <c r="D30" s="177" t="inlineStr">
        <is>
          <t>AM4S.Q669</t>
        </is>
      </c>
      <c r="E30" s="177" t="inlineStr">
        <is>
          <t>ID7.50R16-14PR-B C ID</t>
        </is>
      </c>
      <c r="F30" s="131">
        <f>G30-1.944+2.331</f>
        <v/>
      </c>
      <c r="G30" s="131" t="n">
        <v>30.86</v>
      </c>
      <c r="H30" s="129" t="n">
        <v>30.5443</v>
      </c>
      <c r="I30" s="130">
        <f>G30-H30</f>
        <v/>
      </c>
      <c r="J30" s="115">
        <f>_xlfn.TEXTJOIN("-",TRUE,B30,C30,D30)</f>
        <v/>
      </c>
      <c r="K30" s="123" t="inlineStr">
        <is>
          <t>10.00-20</t>
        </is>
      </c>
      <c r="L30" s="177" t="inlineStr">
        <is>
          <t>16PR</t>
        </is>
      </c>
      <c r="M30" s="177" t="inlineStr">
        <is>
          <t>CR952</t>
        </is>
      </c>
      <c r="N30" s="156" t="inlineStr">
        <is>
          <t>10.00-20-16PR-CR952</t>
        </is>
      </c>
      <c r="O30" s="156" t="inlineStr">
        <is>
          <t>白</t>
        </is>
      </c>
      <c r="P30" s="131" t="n">
        <v>52.77</v>
      </c>
      <c r="Q30" s="177" t="n">
        <v>53.03</v>
      </c>
      <c r="R30" s="130">
        <f>P30-Q30</f>
        <v/>
      </c>
      <c r="S30" s="390">
        <f>_xlfn.TEXTJOIN("-",TRUE,K30,L30,M30)</f>
        <v/>
      </c>
      <c r="T30" s="123" t="inlineStr">
        <is>
          <t>22X11-10</t>
        </is>
      </c>
      <c r="U30" s="177" t="inlineStr">
        <is>
          <t>6PR</t>
        </is>
      </c>
      <c r="V30" s="177" t="inlineStr">
        <is>
          <t>AR06</t>
        </is>
      </c>
      <c r="W30" s="177" t="inlineStr">
        <is>
          <t>22X11-10-6PR AR06</t>
        </is>
      </c>
      <c r="X30" s="177" t="n"/>
      <c r="Y30" s="131" t="n">
        <v>8.19</v>
      </c>
      <c r="Z30" s="131" t="n">
        <v>8.191000000000001</v>
      </c>
      <c r="AA30" s="130">
        <f>Y30-Z30</f>
        <v/>
      </c>
      <c r="AB30" s="390">
        <f>_xlfn.TEXTJOIN("-",TRUE,T30,U30,V30)</f>
        <v/>
      </c>
      <c r="AC30" s="123" t="inlineStr">
        <is>
          <t>11L-16</t>
        </is>
      </c>
      <c r="AD30" s="177" t="inlineStr">
        <is>
          <t>12PR</t>
        </is>
      </c>
      <c r="AE30" s="177" t="inlineStr">
        <is>
          <t>STRONG GUARD F-3</t>
        </is>
      </c>
      <c r="AF30" s="156" t="inlineStr">
        <is>
          <t>11L-15-12PR SGF-3</t>
        </is>
      </c>
      <c r="AG30" s="156" t="inlineStr">
        <is>
          <t>/</t>
        </is>
      </c>
      <c r="AH30" s="131" t="n">
        <v>26.75</v>
      </c>
      <c r="AI30" s="177" t="n">
        <v>26.41</v>
      </c>
      <c r="AJ30" s="130">
        <f>AH30-AI30</f>
        <v/>
      </c>
      <c r="AK30" s="390">
        <f>_xlfn.TEXTJOIN("-",TRUE,AC30,AD30,AE30)</f>
        <v/>
      </c>
      <c r="AL30" s="123" t="inlineStr">
        <is>
          <t>ST175/80R13</t>
        </is>
      </c>
      <c r="AM30" s="177" t="inlineStr">
        <is>
          <t>8PR</t>
        </is>
      </c>
      <c r="AN30" s="177" t="inlineStr">
        <is>
          <t>ST100A</t>
        </is>
      </c>
      <c r="AO30" s="177" t="inlineStr">
        <is>
          <t>ST175/80R13-8PR SDAT</t>
        </is>
      </c>
      <c r="AP30" s="177" t="n"/>
      <c r="AQ30" s="131" t="n">
        <v>7.858</v>
      </c>
      <c r="AR30" s="131" t="n">
        <v>7.738</v>
      </c>
      <c r="AS30" s="130">
        <f>AQ30-AR30</f>
        <v/>
      </c>
      <c r="AT30" s="390">
        <f>_xlfn.TEXTJOIN("-",TRUE,AL30,AM30,AN30)</f>
        <v/>
      </c>
      <c r="AU30" s="123" t="inlineStr">
        <is>
          <t>165/80R13</t>
        </is>
      </c>
      <c r="AV30" s="177" t="inlineStr">
        <is>
          <t>/</t>
        </is>
      </c>
      <c r="AW30" s="177" t="inlineStr">
        <is>
          <t>G-118</t>
        </is>
      </c>
      <c r="AX30" s="177" t="inlineStr">
        <is>
          <t>S021583A-42</t>
        </is>
      </c>
      <c r="AY30" s="131" t="n">
        <v>6.127</v>
      </c>
      <c r="AZ30" s="131" t="n">
        <v>6.128</v>
      </c>
      <c r="BA30" s="130">
        <f>AY30-AZ30</f>
        <v/>
      </c>
      <c r="BB30" s="390">
        <f>_xlfn.TEXTJOIN("-",TRUE,AU30,AW30)</f>
        <v/>
      </c>
    </row>
    <row r="31">
      <c r="B31" s="123" t="inlineStr">
        <is>
          <t>7.50R16</t>
        </is>
      </c>
      <c r="C31" s="177" t="inlineStr">
        <is>
          <t>14PR</t>
        </is>
      </c>
      <c r="D31" s="126" t="inlineStr">
        <is>
          <t>SUPER AM S</t>
        </is>
      </c>
      <c r="E31" s="177" t="inlineStr">
        <is>
          <t>ID7.50R16-14PR-C C ID</t>
        </is>
      </c>
      <c r="F31" s="128">
        <f>G31-1.944+2.331</f>
        <v/>
      </c>
      <c r="G31" s="131" t="n">
        <v>29.618</v>
      </c>
      <c r="H31" s="129" t="n">
        <v>28.2831</v>
      </c>
      <c r="I31" s="130">
        <f>G31-H31</f>
        <v/>
      </c>
      <c r="J31" s="115">
        <f>_xlfn.TEXTJOIN("-",TRUE,B31,C31,D31)</f>
        <v/>
      </c>
      <c r="K31" s="123" t="inlineStr">
        <is>
          <t>10.00-20</t>
        </is>
      </c>
      <c r="L31" s="177" t="inlineStr">
        <is>
          <t>18PR</t>
        </is>
      </c>
      <c r="M31" s="177" t="inlineStr">
        <is>
          <t>CR952</t>
        </is>
      </c>
      <c r="N31" s="156" t="inlineStr">
        <is>
          <t>10.00-20-18PR-CR952-B</t>
        </is>
      </c>
      <c r="O31" s="156" t="inlineStr">
        <is>
          <t>/</t>
        </is>
      </c>
      <c r="P31" s="131" t="n">
        <v>55.43</v>
      </c>
      <c r="Q31" s="177" t="n">
        <v>55.74</v>
      </c>
      <c r="R31" s="130">
        <f>P31-Q31</f>
        <v/>
      </c>
      <c r="S31" s="390">
        <f>_xlfn.TEXTJOIN("-",TRUE,K31,L31,M31)</f>
        <v/>
      </c>
      <c r="T31" s="132" t="n"/>
      <c r="U31" s="178" t="n"/>
      <c r="V31" s="178" t="n"/>
      <c r="W31" s="178" t="n"/>
      <c r="X31" s="178" t="n"/>
      <c r="Y31" s="178" t="n"/>
      <c r="Z31" s="178" t="n"/>
      <c r="AA31" s="134" t="n"/>
      <c r="AB31" s="390">
        <f>_xlfn.TEXTJOIN("-",TRUE,T31,U31,V31)</f>
        <v/>
      </c>
      <c r="AC31" s="132" t="n"/>
      <c r="AD31" s="178" t="n"/>
      <c r="AE31" s="178" t="n"/>
      <c r="AF31" s="178" t="n"/>
      <c r="AG31" s="178" t="n"/>
      <c r="AH31" s="178" t="n"/>
      <c r="AI31" s="178" t="n"/>
      <c r="AJ31" s="134" t="n"/>
      <c r="AK31" s="390">
        <f>_xlfn.TEXTJOIN("-",TRUE,AC31,AD31,AE31)</f>
        <v/>
      </c>
      <c r="AL31" s="123" t="inlineStr">
        <is>
          <t>ST175/80R13</t>
        </is>
      </c>
      <c r="AM31" s="177" t="inlineStr">
        <is>
          <t>8PR</t>
        </is>
      </c>
      <c r="AN31" s="177" t="inlineStr">
        <is>
          <t>DURAHAULER ST</t>
        </is>
      </c>
      <c r="AO31" s="177" t="inlineStr">
        <is>
          <t>ST175/80R13-8PR SDAT</t>
        </is>
      </c>
      <c r="AP31" s="177" t="n"/>
      <c r="AQ31" s="131" t="n">
        <v>7.858</v>
      </c>
      <c r="AR31" s="131" t="n">
        <v>7.738</v>
      </c>
      <c r="AS31" s="130">
        <f>AQ31-AR31</f>
        <v/>
      </c>
      <c r="AT31" s="390">
        <f>_xlfn.TEXTJOIN("-",TRUE,AL31,AM31,AN31)</f>
        <v/>
      </c>
      <c r="AU31" s="123" t="inlineStr">
        <is>
          <t>165/80R13</t>
        </is>
      </c>
      <c r="AV31" s="177" t="inlineStr">
        <is>
          <t>/</t>
        </is>
      </c>
      <c r="AW31" s="139" t="inlineStr">
        <is>
          <t>T-118</t>
        </is>
      </c>
      <c r="AX31" s="177" t="inlineStr">
        <is>
          <t>S021583A-42</t>
        </is>
      </c>
      <c r="AY31" s="131" t="n">
        <v>6.127</v>
      </c>
      <c r="AZ31" s="131" t="n">
        <v>6.128</v>
      </c>
      <c r="BA31" s="130">
        <f>AY31-AZ31</f>
        <v/>
      </c>
      <c r="BB31" s="390">
        <f>_xlfn.TEXTJOIN("-",TRUE,AU31,AW31)</f>
        <v/>
      </c>
    </row>
    <row r="32" ht="13.8" customHeight="1" s="428">
      <c r="B32" s="123" t="inlineStr">
        <is>
          <t>7.50R16</t>
        </is>
      </c>
      <c r="C32" s="177" t="inlineStr">
        <is>
          <t>14PR</t>
        </is>
      </c>
      <c r="D32" s="126" t="inlineStr">
        <is>
          <t>MOBY.R856X</t>
        </is>
      </c>
      <c r="E32" s="177" t="inlineStr">
        <is>
          <t>ID7.50R16-14PR-C C ID</t>
        </is>
      </c>
      <c r="F32" s="128">
        <f>G32-1.944+2.331</f>
        <v/>
      </c>
      <c r="G32" s="131" t="n">
        <v>29.618</v>
      </c>
      <c r="H32" s="157" t="n">
        <v>28.2831</v>
      </c>
      <c r="I32" s="130">
        <f>G32-H32</f>
        <v/>
      </c>
      <c r="J32" s="115">
        <f>_xlfn.TEXTJOIN("-",TRUE,B32,C32,D32)</f>
        <v/>
      </c>
      <c r="K32" s="123" t="inlineStr">
        <is>
          <t>10.00-20</t>
        </is>
      </c>
      <c r="L32" s="177" t="inlineStr">
        <is>
          <t>16PR</t>
        </is>
      </c>
      <c r="M32" s="177" t="inlineStr">
        <is>
          <t>L9057</t>
        </is>
      </c>
      <c r="N32" s="158" t="inlineStr">
        <is>
          <t>10.00-20-16PR-L9057</t>
        </is>
      </c>
      <c r="O32" s="156" t="inlineStr">
        <is>
          <t>蓝</t>
        </is>
      </c>
      <c r="P32" s="131" t="n">
        <v>54.45</v>
      </c>
      <c r="Q32" s="177" t="n">
        <v>54.71</v>
      </c>
      <c r="R32" s="130">
        <f>P32-Q32</f>
        <v/>
      </c>
      <c r="S32" s="390">
        <f>_xlfn.TEXTJOIN("-",TRUE,K32,L32,M32)</f>
        <v/>
      </c>
      <c r="T32" s="123" t="inlineStr">
        <is>
          <t>23X8.00-10</t>
        </is>
      </c>
      <c r="U32" s="177" t="inlineStr">
        <is>
          <t>6PR</t>
        </is>
      </c>
      <c r="V32" s="177" t="inlineStr">
        <is>
          <t>P193</t>
        </is>
      </c>
      <c r="W32" s="177" t="inlineStr">
        <is>
          <t>23X8.00-10 6PR P193</t>
        </is>
      </c>
      <c r="X32" s="177" t="n"/>
      <c r="Y32" s="131" t="n">
        <v>8.315</v>
      </c>
      <c r="Z32" s="131" t="n">
        <v>8.313000000000001</v>
      </c>
      <c r="AA32" s="130">
        <f>Y32-Z32</f>
        <v/>
      </c>
      <c r="AB32" s="390">
        <f>_xlfn.TEXTJOIN("-",TRUE,T32,U32,V32)</f>
        <v/>
      </c>
      <c r="AC32" s="123" t="inlineStr">
        <is>
          <t>12-16.5</t>
        </is>
      </c>
      <c r="AD32" s="177" t="inlineStr">
        <is>
          <t>12PR</t>
        </is>
      </c>
      <c r="AE32" s="177" t="inlineStr">
        <is>
          <t>STRONG GUARD SS</t>
        </is>
      </c>
      <c r="AF32" s="177" t="inlineStr">
        <is>
          <t>12-16.5-12PR SGSS</t>
        </is>
      </c>
      <c r="AG32" s="156" t="inlineStr">
        <is>
          <t>/</t>
        </is>
      </c>
      <c r="AH32" s="131" t="n">
        <v>32.92</v>
      </c>
      <c r="AI32" s="177" t="n">
        <v>35.94</v>
      </c>
      <c r="AJ32" s="130">
        <f>AH32-AI32</f>
        <v/>
      </c>
      <c r="AK32" s="390">
        <f>_xlfn.TEXTJOIN("-",TRUE,AC32,AD32,AE32)</f>
        <v/>
      </c>
      <c r="AL32" s="123" t="inlineStr">
        <is>
          <t>ST175/80R13</t>
        </is>
      </c>
      <c r="AM32" s="177" t="inlineStr">
        <is>
          <t>8PR</t>
        </is>
      </c>
      <c r="AN32" s="177" t="inlineStr">
        <is>
          <t>ASSURE ST</t>
        </is>
      </c>
      <c r="AO32" s="177" t="inlineStr">
        <is>
          <t>ST175/80R13-8PR SDAT</t>
        </is>
      </c>
      <c r="AP32" s="177" t="n"/>
      <c r="AQ32" s="131" t="n">
        <v>7.858</v>
      </c>
      <c r="AR32" s="131" t="n">
        <v>7.738</v>
      </c>
      <c r="AS32" s="130">
        <f>AQ32-AR32</f>
        <v/>
      </c>
      <c r="AT32" s="390">
        <f>_xlfn.TEXTJOIN("-",TRUE,AL32,AM32,AN32)</f>
        <v/>
      </c>
      <c r="AU32" s="123" t="inlineStr">
        <is>
          <t>165/80R13</t>
        </is>
      </c>
      <c r="AV32" s="177" t="inlineStr">
        <is>
          <t>/</t>
        </is>
      </c>
      <c r="AW32" s="139" t="inlineStr">
        <is>
          <t>Z-108</t>
        </is>
      </c>
      <c r="AX32" s="177" t="inlineStr">
        <is>
          <t>S021583A-42</t>
        </is>
      </c>
      <c r="AY32" s="131" t="n">
        <v>6.127</v>
      </c>
      <c r="AZ32" s="131" t="n">
        <v>6.128</v>
      </c>
      <c r="BA32" s="130">
        <f>AY32-AZ32</f>
        <v/>
      </c>
      <c r="BB32" s="390">
        <f>_xlfn.TEXTJOIN("-",TRUE,AU32,AW32)</f>
        <v/>
      </c>
    </row>
    <row r="33" ht="13.8" customHeight="1" s="428">
      <c r="B33" s="123" t="inlineStr">
        <is>
          <t>7.50R16</t>
        </is>
      </c>
      <c r="C33" s="177" t="inlineStr">
        <is>
          <t>14PR</t>
        </is>
      </c>
      <c r="D33" s="177" t="inlineStr">
        <is>
          <t>TKAL III</t>
        </is>
      </c>
      <c r="E33" s="159" t="inlineStr">
        <is>
          <t>ID7.50R16-14PR-TKAL III C ID</t>
        </is>
      </c>
      <c r="F33" s="131">
        <f>G33-1.944+2.331</f>
        <v/>
      </c>
      <c r="G33" s="131" t="n">
        <v>29.947</v>
      </c>
      <c r="H33" s="128" t="n">
        <v>30.0501</v>
      </c>
      <c r="I33" s="130">
        <f>G33-H33</f>
        <v/>
      </c>
      <c r="J33" s="115">
        <f>_xlfn.TEXTJOIN("-",TRUE,B33,C33,D33)</f>
        <v/>
      </c>
      <c r="K33" s="123" t="inlineStr">
        <is>
          <t>10.00-20</t>
        </is>
      </c>
      <c r="L33" s="177" t="inlineStr">
        <is>
          <t>18PR</t>
        </is>
      </c>
      <c r="M33" s="126" t="inlineStr">
        <is>
          <t>L9057</t>
        </is>
      </c>
      <c r="N33" s="160" t="inlineStr">
        <is>
          <t>10.00-20-18PR-LA-B</t>
        </is>
      </c>
      <c r="O33" s="161" t="inlineStr">
        <is>
          <t>/</t>
        </is>
      </c>
      <c r="P33" s="131" t="n">
        <v>56.74</v>
      </c>
      <c r="Q33" s="162" t="n">
        <v>57.02</v>
      </c>
      <c r="R33" s="130">
        <f>P33-Q33</f>
        <v/>
      </c>
      <c r="S33" s="390">
        <f>_xlfn.TEXTJOIN("-",TRUE,K33,L33,M33)</f>
        <v/>
      </c>
      <c r="T33" s="132" t="n"/>
      <c r="U33" s="178" t="n"/>
      <c r="V33" s="178" t="n"/>
      <c r="W33" s="178" t="n"/>
      <c r="X33" s="178" t="n"/>
      <c r="Y33" s="178" t="n"/>
      <c r="Z33" s="178" t="n"/>
      <c r="AA33" s="134" t="n"/>
      <c r="AB33" s="390">
        <f>_xlfn.TEXTJOIN("-",TRUE,T33,U33,V33)</f>
        <v/>
      </c>
      <c r="AC33" s="123" t="inlineStr">
        <is>
          <t>12-16.5</t>
        </is>
      </c>
      <c r="AD33" s="177" t="inlineStr">
        <is>
          <t>12PR</t>
        </is>
      </c>
      <c r="AE33" s="177" t="inlineStr">
        <is>
          <t>STRONG GUARD S-MX</t>
        </is>
      </c>
      <c r="AF33" s="177" t="inlineStr">
        <is>
          <t>12-16.5-12PR SGS-MX</t>
        </is>
      </c>
      <c r="AG33" s="156" t="inlineStr">
        <is>
          <t>/</t>
        </is>
      </c>
      <c r="AH33" s="131" t="n">
        <v>47.51</v>
      </c>
      <c r="AI33" s="177" t="n">
        <v>47.16</v>
      </c>
      <c r="AJ33" s="130">
        <f>AH33-AI33</f>
        <v/>
      </c>
      <c r="AK33" s="390">
        <f>_xlfn.TEXTJOIN("-",TRUE,AC33,AD33,AE33)</f>
        <v/>
      </c>
      <c r="AL33" s="123" t="inlineStr">
        <is>
          <t>ST175/80R13</t>
        </is>
      </c>
      <c r="AM33" s="177" t="inlineStr">
        <is>
          <t>8PR</t>
        </is>
      </c>
      <c r="AN33" s="177" t="inlineStr">
        <is>
          <t>Tow Pro ST</t>
        </is>
      </c>
      <c r="AO33" s="177" t="inlineStr">
        <is>
          <t>ST175/80R13-8PR SDAT</t>
        </is>
      </c>
      <c r="AP33" s="177" t="n"/>
      <c r="AQ33" s="131" t="n">
        <v>7.858</v>
      </c>
      <c r="AR33" s="131" t="n">
        <v>7.738</v>
      </c>
      <c r="AS33" s="130">
        <f>AQ33-AR33</f>
        <v/>
      </c>
      <c r="AT33" s="390">
        <f>_xlfn.TEXTJOIN("-",TRUE,AL33,AM33,AN33)</f>
        <v/>
      </c>
      <c r="AU33" s="132" t="n"/>
      <c r="AV33" s="178" t="n"/>
      <c r="AW33" s="178" t="n"/>
      <c r="AX33" s="178" t="n"/>
      <c r="AY33" s="135" t="n"/>
      <c r="AZ33" s="135" t="n"/>
      <c r="BA33" s="136" t="n"/>
      <c r="BB33" s="390">
        <f>_xlfn.TEXTJOIN("-",TRUE,AU33,AW33)</f>
        <v/>
      </c>
    </row>
    <row r="34" ht="13.8" customHeight="1" s="428">
      <c r="B34" s="123" t="inlineStr">
        <is>
          <t>7.50R16</t>
        </is>
      </c>
      <c r="C34" s="177" t="inlineStr">
        <is>
          <t>14PR</t>
        </is>
      </c>
      <c r="D34" s="177" t="inlineStr">
        <is>
          <t>CB972pro</t>
        </is>
      </c>
      <c r="E34" s="177" t="inlineStr">
        <is>
          <t>ID7.50R16-14PR-CB972pro C ID</t>
        </is>
      </c>
      <c r="F34" s="131">
        <f>G34-1.94+2.33</f>
        <v/>
      </c>
      <c r="G34" s="131" t="n">
        <v>30.06</v>
      </c>
      <c r="H34" s="128" t="n">
        <v>30.4</v>
      </c>
      <c r="I34" s="130">
        <f>G34-H34</f>
        <v/>
      </c>
      <c r="J34" s="115">
        <f>_xlfn.TEXTJOIN("-",TRUE,B34,C34,D34)</f>
        <v/>
      </c>
      <c r="K34" s="123" t="inlineStr">
        <is>
          <t>10.00-20</t>
        </is>
      </c>
      <c r="L34" s="177" t="inlineStr">
        <is>
          <t>18PR</t>
        </is>
      </c>
      <c r="M34" s="126" t="inlineStr">
        <is>
          <t>AB316</t>
        </is>
      </c>
      <c r="N34" s="155" t="inlineStr">
        <is>
          <t>10.00-20-18PR-LA-B</t>
        </is>
      </c>
      <c r="O34" s="161" t="inlineStr">
        <is>
          <t>/</t>
        </is>
      </c>
      <c r="P34" s="131" t="n">
        <v>56.74</v>
      </c>
      <c r="Q34" s="162" t="n">
        <v>57.02</v>
      </c>
      <c r="R34" s="130">
        <f>P34-Q34</f>
        <v/>
      </c>
      <c r="S34" s="390">
        <f>_xlfn.TEXTJOIN("-",TRUE,K34,L34,M34)</f>
        <v/>
      </c>
      <c r="T34" s="123" t="inlineStr">
        <is>
          <t>24 X 8-12</t>
        </is>
      </c>
      <c r="U34" s="177" t="inlineStr">
        <is>
          <t>6PR</t>
        </is>
      </c>
      <c r="V34" s="177" t="inlineStr">
        <is>
          <t>AR10</t>
        </is>
      </c>
      <c r="W34" s="177" t="inlineStr">
        <is>
          <t>24X8-12-6PR AR10</t>
        </is>
      </c>
      <c r="X34" s="177" t="n"/>
      <c r="Y34" s="131" t="n">
        <v>7.21</v>
      </c>
      <c r="Z34" s="131" t="n">
        <v>7.13</v>
      </c>
      <c r="AA34" s="130">
        <f>Y34-Z34</f>
        <v/>
      </c>
      <c r="AB34" s="390">
        <f>_xlfn.TEXTJOIN("-",TRUE,T34,U34,V34)</f>
        <v/>
      </c>
      <c r="AC34" s="123" t="inlineStr">
        <is>
          <t>12-16.5</t>
        </is>
      </c>
      <c r="AD34" s="177" t="inlineStr">
        <is>
          <t>14PR</t>
        </is>
      </c>
      <c r="AE34" s="177" t="inlineStr">
        <is>
          <t>STRONG GUARD S-XD</t>
        </is>
      </c>
      <c r="AF34" s="177" t="inlineStr">
        <is>
          <t>12-16.5-14PR SGS-XD</t>
        </is>
      </c>
      <c r="AG34" s="156" t="inlineStr">
        <is>
          <t>/</t>
        </is>
      </c>
      <c r="AH34" s="131" t="n">
        <v>54.32</v>
      </c>
      <c r="AI34" s="177" t="n">
        <v>53.96</v>
      </c>
      <c r="AJ34" s="130">
        <f>AH34-AI34</f>
        <v/>
      </c>
      <c r="AK34" s="390">
        <f>_xlfn.TEXTJOIN("-",TRUE,AC34,AD34,AE34)</f>
        <v/>
      </c>
      <c r="AL34" s="123" t="inlineStr">
        <is>
          <t>ST175/80R13</t>
        </is>
      </c>
      <c r="AM34" s="177" t="inlineStr">
        <is>
          <t>6PR</t>
        </is>
      </c>
      <c r="AN34" s="177" t="inlineStr">
        <is>
          <t>ST Radial</t>
        </is>
      </c>
      <c r="AO34" s="177" t="inlineStr">
        <is>
          <t>ST175/80R13-6PR ST 200/RA/RS</t>
        </is>
      </c>
      <c r="AP34" s="177" t="n"/>
      <c r="AQ34" s="131" t="n">
        <v>7.268</v>
      </c>
      <c r="AR34" s="131" t="n">
        <v>7.115</v>
      </c>
      <c r="AS34" s="130">
        <f>AQ34-AR34</f>
        <v/>
      </c>
      <c r="AT34" s="390">
        <f>_xlfn.TEXTJOIN("-",TRUE,AL34,AM34,AN34)</f>
        <v/>
      </c>
      <c r="AU34" s="123" t="inlineStr">
        <is>
          <t>175/65R14</t>
        </is>
      </c>
      <c r="AV34" s="177" t="inlineStr">
        <is>
          <t>/</t>
        </is>
      </c>
      <c r="AW34" s="177" t="inlineStr">
        <is>
          <t>C-108</t>
        </is>
      </c>
      <c r="AX34" s="177" t="inlineStr">
        <is>
          <t>020423B-42</t>
        </is>
      </c>
      <c r="AY34" s="131" t="n">
        <v>6.423</v>
      </c>
      <c r="AZ34" s="131" t="n">
        <v>6.423</v>
      </c>
      <c r="BA34" s="130">
        <f>AY34-AZ34</f>
        <v/>
      </c>
      <c r="BB34" s="390">
        <f>_xlfn.TEXTJOIN("-",TRUE,AU34,AW34)</f>
        <v/>
      </c>
    </row>
    <row r="35" ht="13.8" customHeight="1" s="428">
      <c r="B35" s="123" t="inlineStr">
        <is>
          <t>7.50R16</t>
        </is>
      </c>
      <c r="C35" s="177" t="inlineStr">
        <is>
          <t>14PR</t>
        </is>
      </c>
      <c r="D35" s="177" t="inlineStr">
        <is>
          <t>AZ691S</t>
        </is>
      </c>
      <c r="E35" s="177" t="inlineStr">
        <is>
          <t>ID7.50R16-14PR-AZ691S C ID</t>
        </is>
      </c>
      <c r="F35" s="131">
        <f>G35-1.94+2.33</f>
        <v/>
      </c>
      <c r="G35" s="131" t="n">
        <v>29.987</v>
      </c>
      <c r="H35" s="128" t="n">
        <v>29.94</v>
      </c>
      <c r="I35" s="130">
        <f>G35-H35</f>
        <v/>
      </c>
      <c r="J35" s="115">
        <f>_xlfn.TEXTJOIN("-",TRUE,B35,C35,D35)</f>
        <v/>
      </c>
      <c r="K35" s="123" t="inlineStr">
        <is>
          <t>10.00-20</t>
        </is>
      </c>
      <c r="L35" s="177" t="inlineStr">
        <is>
          <t>16PR</t>
        </is>
      </c>
      <c r="M35" s="177" t="inlineStr">
        <is>
          <t>M9096</t>
        </is>
      </c>
      <c r="N35" s="156" t="inlineStr">
        <is>
          <t>10.00-20-16PR-M</t>
        </is>
      </c>
      <c r="O35" s="156" t="inlineStr">
        <is>
          <t>/</t>
        </is>
      </c>
      <c r="P35" s="131" t="n">
        <v>63.06</v>
      </c>
      <c r="Q35" s="162" t="n">
        <v>63.21</v>
      </c>
      <c r="R35" s="130">
        <f>P35-Q35</f>
        <v/>
      </c>
      <c r="S35" s="390">
        <f>_xlfn.TEXTJOIN("-",TRUE,K35,L35,M35)</f>
        <v/>
      </c>
      <c r="T35" s="123" t="inlineStr">
        <is>
          <t>24 X 8-12</t>
        </is>
      </c>
      <c r="U35" s="177" t="inlineStr">
        <is>
          <t>6PR</t>
        </is>
      </c>
      <c r="V35" s="177" t="inlineStr">
        <is>
          <t>AR12</t>
        </is>
      </c>
      <c r="W35" s="177" t="inlineStr">
        <is>
          <t>24X8-12-6PR AR12</t>
        </is>
      </c>
      <c r="X35" s="177" t="n"/>
      <c r="Y35" s="131" t="n">
        <v>7.595</v>
      </c>
      <c r="Z35" s="131" t="n">
        <v>7.597</v>
      </c>
      <c r="AA35" s="130">
        <f>Y35-Z35</f>
        <v/>
      </c>
      <c r="AB35" s="390">
        <f>_xlfn.TEXTJOIN("-",TRUE,T35,U35,V35)</f>
        <v/>
      </c>
      <c r="AC35" s="132" t="n"/>
      <c r="AD35" s="178" t="n"/>
      <c r="AE35" s="178" t="n"/>
      <c r="AF35" s="178" t="n"/>
      <c r="AG35" s="178" t="n"/>
      <c r="AH35" s="178" t="n"/>
      <c r="AI35" s="178" t="n"/>
      <c r="AJ35" s="134" t="n"/>
      <c r="AK35" s="390">
        <f>_xlfn.TEXTJOIN("-",TRUE,AC35,AD35,AE35)</f>
        <v/>
      </c>
      <c r="AL35" s="123" t="inlineStr">
        <is>
          <t>ST175/80R13</t>
        </is>
      </c>
      <c r="AM35" s="177" t="inlineStr">
        <is>
          <t>6PR</t>
        </is>
      </c>
      <c r="AN35" s="177" t="inlineStr">
        <is>
          <t>ST200</t>
        </is>
      </c>
      <c r="AO35" s="177" t="inlineStr">
        <is>
          <t>ST175/80R13-6PR ST 200/RA/RS</t>
        </is>
      </c>
      <c r="AP35" s="177" t="n"/>
      <c r="AQ35" s="131" t="n">
        <v>7.268</v>
      </c>
      <c r="AR35" s="131" t="n">
        <v>7.15</v>
      </c>
      <c r="AS35" s="130">
        <f>AQ35-AR35</f>
        <v/>
      </c>
      <c r="AT35" s="390">
        <f>_xlfn.TEXTJOIN("-",TRUE,AL35,AM35,AN35)</f>
        <v/>
      </c>
      <c r="AU35" s="123" t="inlineStr">
        <is>
          <t>175/65R14</t>
        </is>
      </c>
      <c r="AV35" s="177" t="inlineStr">
        <is>
          <t>/</t>
        </is>
      </c>
      <c r="AW35" s="177" t="inlineStr">
        <is>
          <t>G-118</t>
        </is>
      </c>
      <c r="AX35" s="177" t="inlineStr">
        <is>
          <t>020423B-42</t>
        </is>
      </c>
      <c r="AY35" s="131" t="n">
        <v>6.423</v>
      </c>
      <c r="AZ35" s="131" t="n">
        <v>6.423</v>
      </c>
      <c r="BA35" s="130">
        <f>AY35-AZ35</f>
        <v/>
      </c>
      <c r="BB35" s="390">
        <f>_xlfn.TEXTJOIN("-",TRUE,AU35,AW35)</f>
        <v/>
      </c>
    </row>
    <row r="36">
      <c r="B36" s="123" t="inlineStr">
        <is>
          <t>7.50R16</t>
        </is>
      </c>
      <c r="C36" s="177" t="inlineStr">
        <is>
          <t>14PR</t>
        </is>
      </c>
      <c r="D36" s="177" t="inlineStr">
        <is>
          <t>AZ601+</t>
        </is>
      </c>
      <c r="E36" s="177" t="inlineStr">
        <is>
          <t>ID7.50R16-14PR-AZ601+ C ID</t>
        </is>
      </c>
      <c r="F36" s="131">
        <f>G36-1.94+2.33</f>
        <v/>
      </c>
      <c r="G36" s="131" t="n">
        <v>30.268</v>
      </c>
      <c r="H36" s="128" t="n">
        <v>30.61</v>
      </c>
      <c r="I36" s="130">
        <f>G36-H36</f>
        <v/>
      </c>
      <c r="J36" s="115">
        <f>_xlfn.TEXTJOIN("-",TRUE,B36,C36,D36)</f>
        <v/>
      </c>
      <c r="K36" s="123" t="inlineStr">
        <is>
          <t>10.00-20</t>
        </is>
      </c>
      <c r="L36" s="177" t="inlineStr">
        <is>
          <t>16PR</t>
        </is>
      </c>
      <c r="M36" s="177" t="inlineStr">
        <is>
          <t>M9097</t>
        </is>
      </c>
      <c r="N36" s="156" t="inlineStr">
        <is>
          <t>10.00-20-16PR-M</t>
        </is>
      </c>
      <c r="O36" s="156" t="inlineStr">
        <is>
          <t>/</t>
        </is>
      </c>
      <c r="P36" s="131" t="n">
        <v>63.06</v>
      </c>
      <c r="Q36" s="162" t="n">
        <v>63.21</v>
      </c>
      <c r="R36" s="130">
        <f>P36-Q36</f>
        <v/>
      </c>
      <c r="S36" s="390">
        <f>_xlfn.TEXTJOIN("-",TRUE,K36,L36,M36)</f>
        <v/>
      </c>
      <c r="T36" s="123" t="inlineStr">
        <is>
          <t>24 X 10-12</t>
        </is>
      </c>
      <c r="U36" s="177" t="inlineStr">
        <is>
          <t>6PR</t>
        </is>
      </c>
      <c r="V36" s="177" t="inlineStr">
        <is>
          <t>AR10</t>
        </is>
      </c>
      <c r="W36" s="177" t="inlineStr">
        <is>
          <t>24X10-12-6PR AR10</t>
        </is>
      </c>
      <c r="X36" s="177" t="n"/>
      <c r="Y36" s="131" t="n">
        <v>8.789999999999999</v>
      </c>
      <c r="Z36" s="131" t="n">
        <v>8.789999999999999</v>
      </c>
      <c r="AA36" s="130">
        <f>Y36-Z36</f>
        <v/>
      </c>
      <c r="AB36" s="390">
        <f>_xlfn.TEXTJOIN("-",TRUE,T36,U36,V36)</f>
        <v/>
      </c>
      <c r="AC36" s="123" t="inlineStr">
        <is>
          <t>12.5/80-18</t>
        </is>
      </c>
      <c r="AD36" s="177" t="inlineStr">
        <is>
          <t>12PR</t>
        </is>
      </c>
      <c r="AE36" s="177" t="inlineStr">
        <is>
          <t>BHL-100</t>
        </is>
      </c>
      <c r="AF36" s="156" t="inlineStr">
        <is>
          <t>12.5/80-18-12PR  BHL-100</t>
        </is>
      </c>
      <c r="AG36" s="156" t="inlineStr">
        <is>
          <t>/</t>
        </is>
      </c>
      <c r="AH36" s="131" t="n">
        <v>43.4</v>
      </c>
      <c r="AI36" s="177" t="n">
        <v>42.97</v>
      </c>
      <c r="AJ36" s="130">
        <f>AH36-AI36</f>
        <v/>
      </c>
      <c r="AK36" s="390">
        <f>_xlfn.TEXTJOIN("-",TRUE,AC36,AD36,AE36)</f>
        <v/>
      </c>
      <c r="AL36" s="123" t="inlineStr">
        <is>
          <t>ST175/80R13</t>
        </is>
      </c>
      <c r="AM36" s="177" t="inlineStr">
        <is>
          <t>6PR</t>
        </is>
      </c>
      <c r="AN36" s="177" t="inlineStr">
        <is>
          <t>RAINIER ST</t>
        </is>
      </c>
      <c r="AO36" s="177" t="inlineStr">
        <is>
          <t>ST175/80R13-6PR ST 200/RA/RS</t>
        </is>
      </c>
      <c r="AP36" s="177" t="n"/>
      <c r="AQ36" s="131" t="n">
        <v>7.268</v>
      </c>
      <c r="AR36" s="131" t="n">
        <v>7.15</v>
      </c>
      <c r="AS36" s="130">
        <f>AQ36-AR36</f>
        <v/>
      </c>
      <c r="AT36" s="390">
        <f>_xlfn.TEXTJOIN("-",TRUE,AL36,AM36,AN36)</f>
        <v/>
      </c>
      <c r="AU36" s="123" t="inlineStr">
        <is>
          <t>175/65R14</t>
        </is>
      </c>
      <c r="AV36" s="177" t="inlineStr">
        <is>
          <t>/</t>
        </is>
      </c>
      <c r="AW36" s="139" t="inlineStr">
        <is>
          <t>T-118</t>
        </is>
      </c>
      <c r="AX36" s="177" t="inlineStr">
        <is>
          <t>020423B-42</t>
        </is>
      </c>
      <c r="AY36" s="131" t="n">
        <v>6.423</v>
      </c>
      <c r="AZ36" s="131" t="n">
        <v>6.423</v>
      </c>
      <c r="BA36" s="130">
        <f>AY36-AZ36</f>
        <v/>
      </c>
      <c r="BB36" s="390">
        <f>_xlfn.TEXTJOIN("-",TRUE,AU36,AW36)</f>
        <v/>
      </c>
    </row>
    <row r="37" ht="13.8" customHeight="1" s="428">
      <c r="B37" s="123" t="inlineStr">
        <is>
          <t>7.50R16</t>
        </is>
      </c>
      <c r="C37" s="177" t="inlineStr">
        <is>
          <t>14PR</t>
        </is>
      </c>
      <c r="D37" s="177" t="inlineStr">
        <is>
          <t>EZ865</t>
        </is>
      </c>
      <c r="E37" s="177" t="inlineStr">
        <is>
          <t>ID7.50R16-14PR-2EZ C ID</t>
        </is>
      </c>
      <c r="F37" s="131">
        <f>G37-1.94+2.33</f>
        <v/>
      </c>
      <c r="G37" s="131" t="n">
        <v>30.907</v>
      </c>
      <c r="H37" s="128" t="n">
        <v>31.25</v>
      </c>
      <c r="I37" s="130">
        <f>G37-H37</f>
        <v/>
      </c>
      <c r="J37" s="115">
        <f>_xlfn.TEXTJOIN("-",TRUE,B37,C37,D37)</f>
        <v/>
      </c>
      <c r="K37" s="123" t="inlineStr">
        <is>
          <t>10.00-20</t>
        </is>
      </c>
      <c r="L37" s="177" t="inlineStr">
        <is>
          <t>18PR</t>
        </is>
      </c>
      <c r="M37" s="177" t="inlineStr">
        <is>
          <t>M9096</t>
        </is>
      </c>
      <c r="N37" s="156" t="inlineStr">
        <is>
          <t>10.00-20-18PR-M-B</t>
        </is>
      </c>
      <c r="O37" s="156" t="inlineStr">
        <is>
          <t>蓝</t>
        </is>
      </c>
      <c r="P37" s="131" t="n">
        <v>63.79</v>
      </c>
      <c r="Q37" s="177" t="n">
        <v>64.26000000000001</v>
      </c>
      <c r="R37" s="130">
        <f>P37-Q37</f>
        <v/>
      </c>
      <c r="S37" s="390">
        <f>_xlfn.TEXTJOIN("-",TRUE,K37,L37,M37)</f>
        <v/>
      </c>
      <c r="T37" s="132" t="n"/>
      <c r="U37" s="178" t="n"/>
      <c r="V37" s="178" t="n"/>
      <c r="W37" s="178" t="n"/>
      <c r="X37" s="178" t="n"/>
      <c r="Y37" s="178" t="n"/>
      <c r="Z37" s="178" t="n"/>
      <c r="AA37" s="134" t="n"/>
      <c r="AB37" s="390">
        <f>_xlfn.TEXTJOIN("-",TRUE,T37,U37,V37)</f>
        <v/>
      </c>
      <c r="AC37" s="123" t="inlineStr">
        <is>
          <t>12.5/80-18</t>
        </is>
      </c>
      <c r="AD37" s="177" t="inlineStr">
        <is>
          <t>12PR</t>
        </is>
      </c>
      <c r="AE37" s="177" t="inlineStr">
        <is>
          <t>STRONG GUARD LG2</t>
        </is>
      </c>
      <c r="AF37" s="156" t="inlineStr">
        <is>
          <t>12.5/80-18-12PR  SGLG2</t>
        </is>
      </c>
      <c r="AG37" s="156" t="inlineStr">
        <is>
          <t>/</t>
        </is>
      </c>
      <c r="AH37" s="131" t="n">
        <v>43.4</v>
      </c>
      <c r="AI37" s="177" t="n">
        <v>42.97</v>
      </c>
      <c r="AJ37" s="130">
        <f>AH37-AI37</f>
        <v/>
      </c>
      <c r="AK37" s="390">
        <f>_xlfn.TEXTJOIN("-",TRUE,AC37,AD37,AE37)</f>
        <v/>
      </c>
      <c r="AL37" s="123" t="inlineStr">
        <is>
          <t>ST175/80R13</t>
        </is>
      </c>
      <c r="AM37" s="177" t="inlineStr">
        <is>
          <t>8PR</t>
        </is>
      </c>
      <c r="AN37" s="177" t="inlineStr">
        <is>
          <t>ST200</t>
        </is>
      </c>
      <c r="AO37" s="177" t="inlineStr">
        <is>
          <t>ST175/80R13-8PR ST200/RS</t>
        </is>
      </c>
      <c r="AP37" s="177" t="n"/>
      <c r="AQ37" s="131" t="n">
        <v>8.137</v>
      </c>
      <c r="AR37" s="131" t="n">
        <v>8.128</v>
      </c>
      <c r="AS37" s="130">
        <f>AQ37-AR37</f>
        <v/>
      </c>
      <c r="AT37" s="390">
        <f>_xlfn.TEXTJOIN("-",TRUE,AL37,AM37,AN37)</f>
        <v/>
      </c>
      <c r="AU37" s="123" t="inlineStr">
        <is>
          <t>175/65R14</t>
        </is>
      </c>
      <c r="AV37" s="177" t="inlineStr">
        <is>
          <t>/</t>
        </is>
      </c>
      <c r="AW37" s="139" t="inlineStr">
        <is>
          <t>Z-108</t>
        </is>
      </c>
      <c r="AX37" s="177" t="inlineStr">
        <is>
          <t>020423B-42</t>
        </is>
      </c>
      <c r="AY37" s="131" t="n">
        <v>6.423</v>
      </c>
      <c r="AZ37" s="131" t="n">
        <v>6.423</v>
      </c>
      <c r="BA37" s="130">
        <f>AY37-AZ37</f>
        <v/>
      </c>
      <c r="BB37" s="390">
        <f>_xlfn.TEXTJOIN("-",TRUE,AU37,AW37)</f>
        <v/>
      </c>
    </row>
    <row r="38" ht="13.8" customHeight="1" s="428">
      <c r="B38" s="123" t="inlineStr">
        <is>
          <t>7.50R16</t>
        </is>
      </c>
      <c r="C38" s="177" t="inlineStr">
        <is>
          <t>14PR</t>
        </is>
      </c>
      <c r="D38" s="177" t="inlineStr">
        <is>
          <t>EZ861</t>
        </is>
      </c>
      <c r="E38" s="177" t="inlineStr">
        <is>
          <t>ID7.50R16-14PR-2EZ C ID</t>
        </is>
      </c>
      <c r="F38" s="131">
        <f>G38-1.94+2.33</f>
        <v/>
      </c>
      <c r="G38" s="131" t="n">
        <v>30.907</v>
      </c>
      <c r="H38" s="128" t="n">
        <v>31.25</v>
      </c>
      <c r="I38" s="130">
        <f>G38-H38</f>
        <v/>
      </c>
      <c r="J38" s="115">
        <f>_xlfn.TEXTJOIN("-",TRUE,B38,C38,D38)</f>
        <v/>
      </c>
      <c r="K38" s="123" t="inlineStr">
        <is>
          <t>10.00-20</t>
        </is>
      </c>
      <c r="L38" s="177" t="inlineStr">
        <is>
          <t>18PR</t>
        </is>
      </c>
      <c r="M38" s="177" t="inlineStr">
        <is>
          <t>M9097</t>
        </is>
      </c>
      <c r="N38" s="155" t="inlineStr">
        <is>
          <t>10.00-20-18PR-M-B</t>
        </is>
      </c>
      <c r="O38" s="156" t="inlineStr">
        <is>
          <t>蓝</t>
        </is>
      </c>
      <c r="P38" s="131" t="n">
        <v>63.79</v>
      </c>
      <c r="Q38" s="177" t="n">
        <v>64.26000000000001</v>
      </c>
      <c r="R38" s="130">
        <f>P38-Q38</f>
        <v/>
      </c>
      <c r="S38" s="390">
        <f>_xlfn.TEXTJOIN("-",TRUE,K38,L38,M38)</f>
        <v/>
      </c>
      <c r="T38" s="123" t="inlineStr">
        <is>
          <t>24 X 9.00-12</t>
        </is>
      </c>
      <c r="U38" s="177" t="inlineStr">
        <is>
          <t>4PR</t>
        </is>
      </c>
      <c r="V38" s="177" t="inlineStr">
        <is>
          <t>OTR07</t>
        </is>
      </c>
      <c r="W38" s="177" t="inlineStr">
        <is>
          <t>24X9-12-4PR OTR07</t>
        </is>
      </c>
      <c r="X38" s="177" t="n"/>
      <c r="Y38" s="131" t="n">
        <v>11.128</v>
      </c>
      <c r="Z38" s="131" t="n">
        <v>11.01</v>
      </c>
      <c r="AA38" s="130">
        <f>Y38-Z38</f>
        <v/>
      </c>
      <c r="AB38" s="390">
        <f>_xlfn.TEXTJOIN("-",TRUE,T38,U38,V38)</f>
        <v/>
      </c>
      <c r="AC38" s="132" t="n"/>
      <c r="AD38" s="178" t="n"/>
      <c r="AE38" s="178" t="n"/>
      <c r="AF38" s="178" t="n"/>
      <c r="AG38" s="178" t="n"/>
      <c r="AH38" s="178" t="n"/>
      <c r="AI38" s="178" t="n"/>
      <c r="AJ38" s="134" t="n"/>
      <c r="AK38" s="390">
        <f>_xlfn.TEXTJOIN("-",TRUE,AC38,AD38,AE38)</f>
        <v/>
      </c>
      <c r="AL38" s="123" t="inlineStr">
        <is>
          <t>ST175/80R13</t>
        </is>
      </c>
      <c r="AM38" s="177" t="inlineStr">
        <is>
          <t>8PR</t>
        </is>
      </c>
      <c r="AN38" s="177" t="inlineStr">
        <is>
          <t>RAINIER ST</t>
        </is>
      </c>
      <c r="AO38" s="177" t="inlineStr">
        <is>
          <t>ST175/80R13-8PR ST200/RS</t>
        </is>
      </c>
      <c r="AP38" s="177" t="n"/>
      <c r="AQ38" s="131" t="n">
        <v>8.137</v>
      </c>
      <c r="AR38" s="131" t="n">
        <v>8.128</v>
      </c>
      <c r="AS38" s="130">
        <f>AQ38-AR38</f>
        <v/>
      </c>
      <c r="AT38" s="390">
        <f>_xlfn.TEXTJOIN("-",TRUE,AL38,AM38,AN38)</f>
        <v/>
      </c>
      <c r="AU38" s="132" t="n"/>
      <c r="AV38" s="178" t="n"/>
      <c r="AW38" s="178" t="n"/>
      <c r="AX38" s="178" t="n"/>
      <c r="AY38" s="135" t="n"/>
      <c r="AZ38" s="135" t="n"/>
      <c r="BA38" s="136" t="n"/>
      <c r="BB38" s="390">
        <f>_xlfn.TEXTJOIN("-",TRUE,AU38,AW38)</f>
        <v/>
      </c>
    </row>
    <row r="39" ht="13.8" customHeight="1" s="428">
      <c r="B39" s="123" t="inlineStr">
        <is>
          <t>7.50R16</t>
        </is>
      </c>
      <c r="C39" s="177" t="inlineStr">
        <is>
          <t>14PR</t>
        </is>
      </c>
      <c r="D39" s="177" t="inlineStr">
        <is>
          <t>X-Explorer ZA70LT Pro</t>
        </is>
      </c>
      <c r="E39" s="177" t="inlineStr">
        <is>
          <t>ID7.50R16-2XLT Pro C ID</t>
        </is>
      </c>
      <c r="F39" s="131">
        <f>G39-1.94+2.33</f>
        <v/>
      </c>
      <c r="G39" s="131" t="n">
        <v>29.438</v>
      </c>
      <c r="H39" s="128" t="n">
        <v>29.79</v>
      </c>
      <c r="I39" s="130">
        <f>G39-H39</f>
        <v/>
      </c>
      <c r="J39" s="115">
        <f>_xlfn.TEXTJOIN("-",TRUE,B39,C39,D39)</f>
        <v/>
      </c>
      <c r="K39" s="123" t="inlineStr">
        <is>
          <t>10.00-20</t>
        </is>
      </c>
      <c r="L39" s="177" t="inlineStr">
        <is>
          <t>18PR</t>
        </is>
      </c>
      <c r="M39" s="177" t="inlineStr">
        <is>
          <t>AB313</t>
        </is>
      </c>
      <c r="N39" s="155" t="inlineStr">
        <is>
          <t>10.00-20-18PR-M-B</t>
        </is>
      </c>
      <c r="O39" s="156" t="inlineStr">
        <is>
          <t>蓝</t>
        </is>
      </c>
      <c r="P39" s="131" t="n">
        <v>63.79</v>
      </c>
      <c r="Q39" s="177" t="n">
        <v>64.26000000000001</v>
      </c>
      <c r="R39" s="130">
        <f>P39-Q39</f>
        <v/>
      </c>
      <c r="S39" s="390">
        <f>_xlfn.TEXTJOIN("-",TRUE,K39,L39,M39)</f>
        <v/>
      </c>
      <c r="T39" s="132" t="n"/>
      <c r="U39" s="178" t="n"/>
      <c r="V39" s="178" t="n"/>
      <c r="W39" s="178" t="n"/>
      <c r="X39" s="178" t="n"/>
      <c r="Y39" s="178" t="n"/>
      <c r="Z39" s="178" t="n"/>
      <c r="AA39" s="134" t="n"/>
      <c r="AB39" s="390">
        <f>_xlfn.TEXTJOIN("-",TRUE,T39,U39,V39)</f>
        <v/>
      </c>
      <c r="AC39" s="123" t="inlineStr">
        <is>
          <t>12.00-20</t>
        </is>
      </c>
      <c r="AD39" s="177" t="inlineStr">
        <is>
          <t>20PR</t>
        </is>
      </c>
      <c r="AE39" s="177" t="inlineStr">
        <is>
          <t>STRONG GUARD LIFT+</t>
        </is>
      </c>
      <c r="AF39" s="156" t="inlineStr">
        <is>
          <t>/</t>
        </is>
      </c>
      <c r="AG39" s="156" t="inlineStr">
        <is>
          <t>/</t>
        </is>
      </c>
      <c r="AH39" s="131" t="n">
        <v>82.2</v>
      </c>
      <c r="AI39" s="177" t="n">
        <v>82.40000000000001</v>
      </c>
      <c r="AJ39" s="130">
        <f>AH39-AI39</f>
        <v/>
      </c>
      <c r="AK39" s="390">
        <f>_xlfn.TEXTJOIN("-",TRUE,AC39,AD39,AE39)</f>
        <v/>
      </c>
      <c r="AL39" s="123" t="inlineStr">
        <is>
          <t>ST175/80R13</t>
        </is>
      </c>
      <c r="AM39" s="177" t="inlineStr">
        <is>
          <t>6PR</t>
        </is>
      </c>
      <c r="AN39" s="177" t="inlineStr">
        <is>
          <t>ST226</t>
        </is>
      </c>
      <c r="AO39" s="177" t="inlineStr">
        <is>
          <t>ST175/80R13-6PR ST226</t>
        </is>
      </c>
      <c r="AP39" s="177" t="n"/>
      <c r="AQ39" s="131" t="n">
        <v>7.756</v>
      </c>
      <c r="AR39" s="131" t="n">
        <v>7.739</v>
      </c>
      <c r="AS39" s="130">
        <f>AQ39-AR39</f>
        <v/>
      </c>
      <c r="AT39" s="390">
        <f>_xlfn.TEXTJOIN("-",TRUE,AL39,AM39,AN39)</f>
        <v/>
      </c>
      <c r="AU39" s="123" t="inlineStr">
        <is>
          <t>175/65R15</t>
        </is>
      </c>
      <c r="AV39" s="177" t="inlineStr">
        <is>
          <t>/</t>
        </is>
      </c>
      <c r="AW39" s="177" t="inlineStr">
        <is>
          <t>C-108</t>
        </is>
      </c>
      <c r="AX39" s="177" t="inlineStr">
        <is>
          <t>S021364A-42</t>
        </is>
      </c>
      <c r="AY39" s="131" t="n">
        <v>6.454</v>
      </c>
      <c r="AZ39" s="131" t="n">
        <v>6.467</v>
      </c>
      <c r="BA39" s="130">
        <f>AY39-AZ39</f>
        <v/>
      </c>
      <c r="BB39" s="390">
        <f>_xlfn.TEXTJOIN("-",TRUE,AU39,AW39)</f>
        <v/>
      </c>
    </row>
    <row r="40" ht="13.8" customHeight="1" s="428">
      <c r="B40" s="123" t="inlineStr">
        <is>
          <t>7.50R16</t>
        </is>
      </c>
      <c r="C40" s="177" t="inlineStr">
        <is>
          <t>14PR</t>
        </is>
      </c>
      <c r="D40" s="177" t="inlineStr">
        <is>
          <t>X-Traveler SL90LT Pro</t>
        </is>
      </c>
      <c r="E40" s="177" t="inlineStr">
        <is>
          <t>ID7.50R16-2XLT Pro C ID</t>
        </is>
      </c>
      <c r="F40" s="131">
        <f>G40-1.94+2.33</f>
        <v/>
      </c>
      <c r="G40" s="131" t="n">
        <v>29.438</v>
      </c>
      <c r="H40" s="128" t="n">
        <v>29.79</v>
      </c>
      <c r="I40" s="130">
        <f>G40-H40</f>
        <v/>
      </c>
      <c r="J40" s="115">
        <f>_xlfn.TEXTJOIN("-",TRUE,B40,C40,D40)</f>
        <v/>
      </c>
      <c r="K40" s="123" t="inlineStr">
        <is>
          <t>10.00-20</t>
        </is>
      </c>
      <c r="L40" s="177" t="inlineStr">
        <is>
          <t>16PR</t>
        </is>
      </c>
      <c r="M40" s="154" t="inlineStr">
        <is>
          <t>R9037</t>
        </is>
      </c>
      <c r="N40" s="156" t="inlineStr">
        <is>
          <t>10.00-20-16PR-R9037-A</t>
        </is>
      </c>
      <c r="O40" s="156" t="inlineStr">
        <is>
          <t>白</t>
        </is>
      </c>
      <c r="P40" s="131" t="n">
        <v>57.71</v>
      </c>
      <c r="Q40" s="177" t="n">
        <v>57.43</v>
      </c>
      <c r="R40" s="130">
        <f>P40-Q40</f>
        <v/>
      </c>
      <c r="S40" s="390">
        <f>_xlfn.TEXTJOIN("-",TRUE,K40,L40,M40)</f>
        <v/>
      </c>
      <c r="T40" s="123" t="inlineStr">
        <is>
          <t>25 X 8-12</t>
        </is>
      </c>
      <c r="U40" s="177" t="inlineStr">
        <is>
          <t>6PR</t>
        </is>
      </c>
      <c r="V40" s="177" t="inlineStr">
        <is>
          <t>A033</t>
        </is>
      </c>
      <c r="W40" s="177" t="inlineStr">
        <is>
          <t>25X8-12-6PR A033</t>
        </is>
      </c>
      <c r="X40" s="177" t="n"/>
      <c r="Y40" s="131" t="n">
        <v>9.380000000000001</v>
      </c>
      <c r="Z40" s="131" t="n">
        <v>9.375</v>
      </c>
      <c r="AA40" s="130">
        <f>Y40-Z40</f>
        <v/>
      </c>
      <c r="AB40" s="390">
        <f>_xlfn.TEXTJOIN("-",TRUE,T40,U40,V40)</f>
        <v/>
      </c>
      <c r="AC40" s="123" t="inlineStr">
        <is>
          <t>12.00-20</t>
        </is>
      </c>
      <c r="AD40" s="177" t="inlineStr">
        <is>
          <t>28PR</t>
        </is>
      </c>
      <c r="AE40" s="177" t="inlineStr">
        <is>
          <t>STRONG GUARD LIFT+</t>
        </is>
      </c>
      <c r="AF40" s="156" t="inlineStr">
        <is>
          <t>/</t>
        </is>
      </c>
      <c r="AG40" s="156" t="inlineStr">
        <is>
          <t>/</t>
        </is>
      </c>
      <c r="AH40" s="131" t="n">
        <v>96.09999999999999</v>
      </c>
      <c r="AI40" s="177" t="n">
        <v>96.40000000000001</v>
      </c>
      <c r="AJ40" s="130">
        <f>AH40-AI40</f>
        <v/>
      </c>
      <c r="AK40" s="390">
        <f>_xlfn.TEXTJOIN("-",TRUE,AC40,AD40,AE40)</f>
        <v/>
      </c>
      <c r="AL40" s="132" t="n"/>
      <c r="AM40" s="178" t="n"/>
      <c r="AN40" s="178" t="n"/>
      <c r="AO40" s="178" t="n"/>
      <c r="AP40" s="178" t="n"/>
      <c r="AQ40" s="178" t="n"/>
      <c r="AR40" s="178" t="n"/>
      <c r="AS40" s="136" t="n"/>
      <c r="AT40" s="390">
        <f>_xlfn.TEXTJOIN("-",TRUE,AL40,AM40,AN40)</f>
        <v/>
      </c>
      <c r="AU40" s="123" t="inlineStr">
        <is>
          <t>175/65R15</t>
        </is>
      </c>
      <c r="AV40" s="177" t="inlineStr">
        <is>
          <t>/</t>
        </is>
      </c>
      <c r="AW40" s="177" t="inlineStr">
        <is>
          <t>G-118</t>
        </is>
      </c>
      <c r="AX40" s="177" t="inlineStr">
        <is>
          <t>S021364A-42</t>
        </is>
      </c>
      <c r="AY40" s="131" t="n">
        <v>6.454</v>
      </c>
      <c r="AZ40" s="131" t="n">
        <v>6.467</v>
      </c>
      <c r="BA40" s="130">
        <f>AY40-AZ40</f>
        <v/>
      </c>
      <c r="BB40" s="390">
        <f>_xlfn.TEXTJOIN("-",TRUE,AU40,AW40)</f>
        <v/>
      </c>
    </row>
    <row r="41" ht="13.8" customHeight="1" s="428">
      <c r="B41" s="123" t="inlineStr">
        <is>
          <t>7.50R16</t>
        </is>
      </c>
      <c r="C41" s="177" t="inlineStr">
        <is>
          <t>16PR</t>
        </is>
      </c>
      <c r="D41" s="177" t="inlineStr">
        <is>
          <t>X-Traveler SL90LT Pro</t>
        </is>
      </c>
      <c r="E41" s="177" t="inlineStr">
        <is>
          <t>ID7.50R16-2XLT Pro C ID</t>
        </is>
      </c>
      <c r="F41" s="131">
        <f>G41-1.94+2.33</f>
        <v/>
      </c>
      <c r="G41" s="131" t="n">
        <v>29.438</v>
      </c>
      <c r="H41" s="128" t="n">
        <v>29.79</v>
      </c>
      <c r="I41" s="130">
        <f>G41-H41</f>
        <v/>
      </c>
      <c r="J41" s="115">
        <f>_xlfn.TEXTJOIN("-",TRUE,B41,C41,D41)</f>
        <v/>
      </c>
      <c r="K41" s="123" t="inlineStr">
        <is>
          <t>10.00-20</t>
        </is>
      </c>
      <c r="L41" s="177" t="inlineStr">
        <is>
          <t>18PR</t>
        </is>
      </c>
      <c r="M41" s="154" t="inlineStr">
        <is>
          <t>R9037</t>
        </is>
      </c>
      <c r="N41" s="156" t="inlineStr">
        <is>
          <t>10.00-20-18PR-R9037</t>
        </is>
      </c>
      <c r="O41" s="156" t="inlineStr">
        <is>
          <t>/</t>
        </is>
      </c>
      <c r="P41" s="131" t="n">
        <v>61.58</v>
      </c>
      <c r="Q41" s="177" t="n">
        <v>61.85</v>
      </c>
      <c r="R41" s="130">
        <f>P41-Q41</f>
        <v/>
      </c>
      <c r="S41" s="390">
        <f>_xlfn.TEXTJOIN("-",TRUE,K41,L41,M41)</f>
        <v/>
      </c>
      <c r="T41" s="123" t="inlineStr">
        <is>
          <t>25 X 8-12</t>
        </is>
      </c>
      <c r="U41" s="177" t="inlineStr">
        <is>
          <t>6PR</t>
        </is>
      </c>
      <c r="V41" s="177" t="inlineStr">
        <is>
          <t>AR10</t>
        </is>
      </c>
      <c r="W41" s="177" t="inlineStr">
        <is>
          <t>25X8-12-6PR AR10</t>
        </is>
      </c>
      <c r="X41" s="177" t="n"/>
      <c r="Y41" s="131" t="n">
        <v>8.785</v>
      </c>
      <c r="Z41" s="131" t="n">
        <v>8.800000000000001</v>
      </c>
      <c r="AA41" s="130">
        <f>Y41-Z41</f>
        <v/>
      </c>
      <c r="AB41" s="390">
        <f>_xlfn.TEXTJOIN("-",TRUE,T41,U41,V41)</f>
        <v/>
      </c>
      <c r="AC41" s="132" t="n"/>
      <c r="AD41" s="178" t="n"/>
      <c r="AE41" s="178" t="n"/>
      <c r="AF41" s="178" t="n"/>
      <c r="AG41" s="178" t="n"/>
      <c r="AH41" s="178" t="n"/>
      <c r="AI41" s="178" t="n"/>
      <c r="AJ41" s="134" t="n"/>
      <c r="AK41" s="390">
        <f>_xlfn.TEXTJOIN("-",TRUE,AC41,AD41,AE41)</f>
        <v/>
      </c>
      <c r="AL41" s="149" t="inlineStr">
        <is>
          <t>185/70R13</t>
        </is>
      </c>
      <c r="AM41" s="150" t="inlineStr">
        <is>
          <t>/</t>
        </is>
      </c>
      <c r="AN41" s="150" t="inlineStr">
        <is>
          <t>TRAILER ST290</t>
        </is>
      </c>
      <c r="AO41" s="150" t="inlineStr">
        <is>
          <t>185/70R13 ST290</t>
        </is>
      </c>
      <c r="AP41" s="150" t="n"/>
      <c r="AQ41" s="151" t="n">
        <v>7.254</v>
      </c>
      <c r="AR41" s="131" t="n">
        <v>7.254</v>
      </c>
      <c r="AS41" s="148">
        <f>AQ41-AR41</f>
        <v/>
      </c>
      <c r="AT41" s="390">
        <f>_xlfn.TEXTJOIN("-",TRUE,AL41,AM41,AN41)</f>
        <v/>
      </c>
      <c r="AU41" s="123" t="inlineStr">
        <is>
          <t>175/65R15</t>
        </is>
      </c>
      <c r="AV41" s="177" t="inlineStr">
        <is>
          <t>/</t>
        </is>
      </c>
      <c r="AW41" s="139" t="inlineStr">
        <is>
          <t>T-118</t>
        </is>
      </c>
      <c r="AX41" s="177" t="inlineStr">
        <is>
          <t>S021364A-42</t>
        </is>
      </c>
      <c r="AY41" s="131" t="n">
        <v>6.454</v>
      </c>
      <c r="AZ41" s="131" t="n">
        <v>6.467</v>
      </c>
      <c r="BA41" s="130">
        <f>AY41-AZ41</f>
        <v/>
      </c>
      <c r="BB41" s="390">
        <f>_xlfn.TEXTJOIN("-",TRUE,AU41,AW41)</f>
        <v/>
      </c>
    </row>
    <row r="42" ht="13.8" customHeight="1" s="428">
      <c r="B42" s="123" t="inlineStr">
        <is>
          <t>7.50R16</t>
        </is>
      </c>
      <c r="C42" s="177" t="inlineStr">
        <is>
          <t>14PR</t>
        </is>
      </c>
      <c r="D42" s="177" t="inlineStr">
        <is>
          <t>AZ802S</t>
        </is>
      </c>
      <c r="E42" s="177" t="inlineStr">
        <is>
          <t>ID7.50R16-14PR-AZ802S C ID</t>
        </is>
      </c>
      <c r="F42" s="131">
        <f>G42-1.94+2.33</f>
        <v/>
      </c>
      <c r="G42" s="131" t="n">
        <v>29.93</v>
      </c>
      <c r="H42" s="128" t="n">
        <v>29.94</v>
      </c>
      <c r="I42" s="130">
        <f>G42-H42</f>
        <v/>
      </c>
      <c r="J42" s="115">
        <f>_xlfn.TEXTJOIN("-",TRUE,B42,C42,D42)</f>
        <v/>
      </c>
      <c r="K42" s="123" t="inlineStr">
        <is>
          <t>10.00-20</t>
        </is>
      </c>
      <c r="L42" s="177" t="inlineStr">
        <is>
          <t>16PR</t>
        </is>
      </c>
      <c r="M42" s="163" t="inlineStr">
        <is>
          <t>R9038</t>
        </is>
      </c>
      <c r="N42" s="160" t="inlineStr">
        <is>
          <t>10.00-20-RA</t>
        </is>
      </c>
      <c r="O42" s="164" t="inlineStr">
        <is>
          <t>/</t>
        </is>
      </c>
      <c r="P42" s="131" t="n">
        <v>59.44</v>
      </c>
      <c r="Q42" s="131" t="n">
        <v>59.9</v>
      </c>
      <c r="R42" s="130">
        <f>P42-Q42</f>
        <v/>
      </c>
      <c r="S42" s="390">
        <f>_xlfn.TEXTJOIN("-",TRUE,K42,L42,M42)</f>
        <v/>
      </c>
      <c r="T42" s="123" t="inlineStr">
        <is>
          <t>25 X 8R12</t>
        </is>
      </c>
      <c r="U42" s="177" t="inlineStr">
        <is>
          <t>8PR</t>
        </is>
      </c>
      <c r="V42" s="177" t="inlineStr">
        <is>
          <t>AR11</t>
        </is>
      </c>
      <c r="W42" s="177" t="inlineStr">
        <is>
          <t>25X8R12-8PR AR11</t>
        </is>
      </c>
      <c r="X42" s="177" t="n"/>
      <c r="Y42" s="131" t="n">
        <v>9.965</v>
      </c>
      <c r="Z42" s="131" t="n">
        <v>10.135</v>
      </c>
      <c r="AA42" s="130">
        <f>Y42-Z42</f>
        <v/>
      </c>
      <c r="AB42" s="390">
        <f>_xlfn.TEXTJOIN("-",TRUE,T42,U42,V42)</f>
        <v/>
      </c>
      <c r="AC42" s="123" t="inlineStr">
        <is>
          <t>13.00-24</t>
        </is>
      </c>
      <c r="AD42" s="177" t="inlineStr">
        <is>
          <t>12PR</t>
        </is>
      </c>
      <c r="AE42" s="177" t="inlineStr">
        <is>
          <t>GK-243</t>
        </is>
      </c>
      <c r="AF42" s="156" t="inlineStr">
        <is>
          <t>/</t>
        </is>
      </c>
      <c r="AG42" s="156" t="inlineStr">
        <is>
          <t>/</t>
        </is>
      </c>
      <c r="AH42" s="131" t="n">
        <v>65.40000000000001</v>
      </c>
      <c r="AI42" s="131" t="n">
        <v>65.3</v>
      </c>
      <c r="AJ42" s="130">
        <f>AH42-AI42</f>
        <v/>
      </c>
      <c r="AK42" s="390">
        <f>_xlfn.TEXTJOIN("-",TRUE,AC42,AD42,AE42)</f>
        <v/>
      </c>
      <c r="AL42" s="132" t="n"/>
      <c r="AM42" s="178" t="n"/>
      <c r="AN42" s="178" t="n"/>
      <c r="AO42" s="178" t="n"/>
      <c r="AP42" s="178" t="n"/>
      <c r="AQ42" s="135" t="n"/>
      <c r="AR42" s="135" t="n"/>
      <c r="AS42" s="136" t="n"/>
      <c r="AT42" s="390">
        <f>_xlfn.TEXTJOIN("-",TRUE,AL42,AM42,AN42)</f>
        <v/>
      </c>
      <c r="AU42" s="123" t="inlineStr">
        <is>
          <t>175/65R15</t>
        </is>
      </c>
      <c r="AV42" s="177" t="inlineStr">
        <is>
          <t>/</t>
        </is>
      </c>
      <c r="AW42" s="139" t="inlineStr">
        <is>
          <t>Z-108</t>
        </is>
      </c>
      <c r="AX42" s="177" t="inlineStr">
        <is>
          <t>S021364A-42</t>
        </is>
      </c>
      <c r="AY42" s="131" t="n">
        <v>6.454</v>
      </c>
      <c r="AZ42" s="131" t="n">
        <v>6.467</v>
      </c>
      <c r="BA42" s="130">
        <f>AY42-AZ42</f>
        <v/>
      </c>
      <c r="BB42" s="390">
        <f>_xlfn.TEXTJOIN("-",TRUE,AU42,AW42)</f>
        <v/>
      </c>
    </row>
    <row r="43" ht="13.8" customHeight="1" s="428">
      <c r="B43" s="123" t="inlineStr">
        <is>
          <t>7.50R16</t>
        </is>
      </c>
      <c r="C43" s="177" t="inlineStr">
        <is>
          <t>14PR</t>
        </is>
      </c>
      <c r="D43" s="177" t="inlineStr">
        <is>
          <t>CR926+</t>
        </is>
      </c>
      <c r="E43" s="177" t="inlineStr">
        <is>
          <t>ID7.50R16-14PR-CR926+ C ID</t>
        </is>
      </c>
      <c r="F43" s="131">
        <f>G43-1.94+2.33</f>
        <v/>
      </c>
      <c r="G43" s="131" t="n">
        <v>30.108</v>
      </c>
      <c r="H43" s="128" t="n">
        <v>30.06</v>
      </c>
      <c r="I43" s="130">
        <f>G43-H43</f>
        <v/>
      </c>
      <c r="J43" s="115">
        <f>_xlfn.TEXTJOIN("-",TRUE,B43,C43,D43)</f>
        <v/>
      </c>
      <c r="K43" s="143" t="inlineStr">
        <is>
          <t>10.00-20</t>
        </is>
      </c>
      <c r="L43" s="125" t="inlineStr">
        <is>
          <t>18PR</t>
        </is>
      </c>
      <c r="M43" s="163" t="inlineStr">
        <is>
          <t>R9038</t>
        </is>
      </c>
      <c r="N43" s="160" t="inlineStr">
        <is>
          <t>10.00-20-RA</t>
        </is>
      </c>
      <c r="O43" s="164" t="inlineStr">
        <is>
          <t>/</t>
        </is>
      </c>
      <c r="P43" s="165" t="n">
        <v>59.44</v>
      </c>
      <c r="Q43" s="165" t="n">
        <v>59.9</v>
      </c>
      <c r="R43" s="166">
        <f>P43-Q43</f>
        <v/>
      </c>
      <c r="S43" s="390">
        <f>_xlfn.TEXTJOIN("-",TRUE,K43,L43,M43)</f>
        <v/>
      </c>
      <c r="T43" s="123" t="inlineStr">
        <is>
          <t>25 X 8-12</t>
        </is>
      </c>
      <c r="U43" s="177" t="inlineStr">
        <is>
          <t>6PR</t>
        </is>
      </c>
      <c r="V43" s="177" t="inlineStr">
        <is>
          <t>AR12</t>
        </is>
      </c>
      <c r="W43" s="177" t="inlineStr">
        <is>
          <t>25X8-12-6PR AR12</t>
        </is>
      </c>
      <c r="X43" s="177" t="n"/>
      <c r="Y43" s="131" t="n">
        <v>8.025</v>
      </c>
      <c r="Z43" s="131" t="n">
        <v>8.045</v>
      </c>
      <c r="AA43" s="130">
        <f>Y43-Z43</f>
        <v/>
      </c>
      <c r="AB43" s="390">
        <f>_xlfn.TEXTJOIN("-",TRUE,T43,U43,V43)</f>
        <v/>
      </c>
      <c r="AC43" s="123" t="inlineStr">
        <is>
          <t>13.00-24</t>
        </is>
      </c>
      <c r="AD43" s="177" t="inlineStr">
        <is>
          <t>12PR</t>
        </is>
      </c>
      <c r="AE43" s="177" t="inlineStr">
        <is>
          <t>TL-100</t>
        </is>
      </c>
      <c r="AF43" s="156" t="inlineStr">
        <is>
          <t>/</t>
        </is>
      </c>
      <c r="AG43" s="156" t="inlineStr">
        <is>
          <t>/</t>
        </is>
      </c>
      <c r="AH43" s="131" t="n">
        <v>77.40000000000001</v>
      </c>
      <c r="AI43" s="131" t="n">
        <v>77</v>
      </c>
      <c r="AJ43" s="130">
        <f>AH43-AI43</f>
        <v/>
      </c>
      <c r="AK43" s="390">
        <f>_xlfn.TEXTJOIN("-",TRUE,AC43,AD43,AE43)</f>
        <v/>
      </c>
      <c r="AL43" s="149" t="inlineStr">
        <is>
          <t>185R14C</t>
        </is>
      </c>
      <c r="AM43" s="150" t="inlineStr">
        <is>
          <t>/</t>
        </is>
      </c>
      <c r="AN43" s="150" t="inlineStr">
        <is>
          <t>TRAILER ST290</t>
        </is>
      </c>
      <c r="AO43" s="150" t="inlineStr">
        <is>
          <t>185R14C ST290</t>
        </is>
      </c>
      <c r="AP43" s="150" t="n"/>
      <c r="AQ43" s="151" t="n">
        <v>9.563000000000001</v>
      </c>
      <c r="AR43" s="131" t="n">
        <v>9.568</v>
      </c>
      <c r="AS43" s="148">
        <f>AQ43-AR43</f>
        <v/>
      </c>
      <c r="AT43" s="390">
        <f>_xlfn.TEXTJOIN("-",TRUE,AL43,AM43,AN43)</f>
        <v/>
      </c>
      <c r="AU43" s="123" t="inlineStr">
        <is>
          <t>175/65R15</t>
        </is>
      </c>
      <c r="AV43" s="177" t="inlineStr">
        <is>
          <t>/</t>
        </is>
      </c>
      <c r="AW43" s="139" t="inlineStr">
        <is>
          <t>RP218</t>
        </is>
      </c>
      <c r="AX43" s="177" t="inlineStr">
        <is>
          <t>S021498A-60</t>
        </is>
      </c>
      <c r="AY43" s="131" t="n">
        <v>7.262</v>
      </c>
      <c r="AZ43" s="131" t="n">
        <v>7.264</v>
      </c>
      <c r="BA43" s="130">
        <f>AY43-AZ43</f>
        <v/>
      </c>
      <c r="BB43" s="390">
        <f>_xlfn.TEXTJOIN("-",TRUE,AU43,AW43)</f>
        <v/>
      </c>
    </row>
    <row r="44" ht="13.8" customHeight="1" s="428">
      <c r="B44" s="132" t="n"/>
      <c r="C44" s="178" t="n"/>
      <c r="D44" s="178" t="n"/>
      <c r="E44" s="178" t="n"/>
      <c r="F44" s="167" t="n"/>
      <c r="G44" s="167" t="n"/>
      <c r="H44" s="168" t="n"/>
      <c r="I44" s="134" t="n"/>
      <c r="J44" s="115">
        <f>_xlfn.TEXTJOIN("-",TRUE,B44,C44,D44)</f>
        <v/>
      </c>
      <c r="K44" s="143" t="inlineStr">
        <is>
          <t>10.00-20</t>
        </is>
      </c>
      <c r="L44" s="125" t="inlineStr">
        <is>
          <t>18PR</t>
        </is>
      </c>
      <c r="M44" s="163" t="inlineStr">
        <is>
          <t>AB111</t>
        </is>
      </c>
      <c r="N44" s="160" t="inlineStr">
        <is>
          <t>10.00-20-RA</t>
        </is>
      </c>
      <c r="O44" s="164" t="inlineStr">
        <is>
          <t>/</t>
        </is>
      </c>
      <c r="P44" s="165" t="n">
        <v>59.44</v>
      </c>
      <c r="Q44" s="165" t="n">
        <v>59.9</v>
      </c>
      <c r="R44" s="166">
        <f>P44-Q44</f>
        <v/>
      </c>
      <c r="S44" s="390">
        <f>_xlfn.TEXTJOIN("-",TRUE,K44,L44,M44)</f>
        <v/>
      </c>
      <c r="T44" s="123" t="inlineStr">
        <is>
          <t>25 X 8-12</t>
        </is>
      </c>
      <c r="U44" s="177" t="inlineStr">
        <is>
          <t>6PR</t>
        </is>
      </c>
      <c r="V44" s="177" t="inlineStr">
        <is>
          <t>AR67</t>
        </is>
      </c>
      <c r="W44" s="177" t="inlineStr">
        <is>
          <t>25X8-12-6PR AR67</t>
        </is>
      </c>
      <c r="X44" s="177" t="n"/>
      <c r="Y44" s="131" t="n">
        <v>8.522</v>
      </c>
      <c r="Z44" s="131" t="n">
        <v>8.522</v>
      </c>
      <c r="AA44" s="130">
        <f>Y44-Z44</f>
        <v/>
      </c>
      <c r="AB44" s="390">
        <f>_xlfn.TEXTJOIN("-",TRUE,T44,U44,V44)</f>
        <v/>
      </c>
      <c r="AC44" s="123" t="inlineStr">
        <is>
          <t>13.00-24</t>
        </is>
      </c>
      <c r="AD44" s="177" t="inlineStr">
        <is>
          <t>16PR</t>
        </is>
      </c>
      <c r="AE44" s="177" t="inlineStr">
        <is>
          <t>STRONG GUARD LG2</t>
        </is>
      </c>
      <c r="AF44" s="156" t="inlineStr">
        <is>
          <t>/</t>
        </is>
      </c>
      <c r="AG44" s="156" t="inlineStr">
        <is>
          <t>/</t>
        </is>
      </c>
      <c r="AH44" s="131" t="n">
        <v>86.2</v>
      </c>
      <c r="AI44" s="131" t="n">
        <v>85.7</v>
      </c>
      <c r="AJ44" s="130">
        <f>AH44-AI44</f>
        <v/>
      </c>
      <c r="AK44" s="390">
        <f>_xlfn.TEXTJOIN("-",TRUE,AC44,AD44,AE44)</f>
        <v/>
      </c>
      <c r="AL44" s="132" t="n"/>
      <c r="AM44" s="178" t="n"/>
      <c r="AN44" s="178" t="n"/>
      <c r="AO44" s="178" t="n"/>
      <c r="AP44" s="178" t="n"/>
      <c r="AQ44" s="135" t="n"/>
      <c r="AR44" s="135" t="n"/>
      <c r="AS44" s="136" t="n"/>
      <c r="AT44" s="390">
        <f>_xlfn.TEXTJOIN("-",TRUE,AL44,AM44,AN44)</f>
        <v/>
      </c>
      <c r="AU44" s="132" t="n"/>
      <c r="AV44" s="178" t="n"/>
      <c r="AW44" s="178" t="n"/>
      <c r="AX44" s="178" t="n"/>
      <c r="AY44" s="135" t="n"/>
      <c r="AZ44" s="135" t="n"/>
      <c r="BA44" s="136" t="n"/>
      <c r="BB44" s="390">
        <f>_xlfn.TEXTJOIN("-",TRUE,AU44,AW44)</f>
        <v/>
      </c>
    </row>
    <row r="45" ht="13.8" customHeight="1" s="428">
      <c r="B45" s="123" t="inlineStr">
        <is>
          <t>8.25R16</t>
        </is>
      </c>
      <c r="C45" s="169" t="inlineStr">
        <is>
          <t>14PR</t>
        </is>
      </c>
      <c r="D45" s="177" t="inlineStr">
        <is>
          <t>CR926</t>
        </is>
      </c>
      <c r="E45" s="177" t="inlineStr">
        <is>
          <t>ID8.25R16-CR926 C ID</t>
        </is>
      </c>
      <c r="F45" s="131">
        <f>G45-2.059+2.739</f>
        <v/>
      </c>
      <c r="G45" s="131" t="n">
        <v>32.174</v>
      </c>
      <c r="H45" s="129" t="n">
        <v>32.4954</v>
      </c>
      <c r="I45" s="130">
        <f>G45-H45</f>
        <v/>
      </c>
      <c r="J45" s="115">
        <f>_xlfn.TEXTJOIN("-",TRUE,B45,C45,D45)</f>
        <v/>
      </c>
      <c r="K45" s="145" t="n"/>
      <c r="L45" s="152" t="n"/>
      <c r="M45" s="152" t="n"/>
      <c r="N45" s="170" t="n"/>
      <c r="O45" s="152" t="n"/>
      <c r="P45" s="152" t="n"/>
      <c r="Q45" s="152" t="n"/>
      <c r="R45" s="153" t="n"/>
      <c r="S45" s="390">
        <f>_xlfn.TEXTJOIN("-",TRUE,K45,L45,M45)</f>
        <v/>
      </c>
      <c r="T45" s="123" t="inlineStr">
        <is>
          <t>25 X 8-12</t>
        </is>
      </c>
      <c r="U45" s="177" t="inlineStr">
        <is>
          <t>6PR</t>
        </is>
      </c>
      <c r="V45" s="177" t="inlineStr">
        <is>
          <t>AT12</t>
        </is>
      </c>
      <c r="W45" s="177" t="inlineStr">
        <is>
          <t>/</t>
        </is>
      </c>
      <c r="X45" s="177" t="n"/>
      <c r="Y45" s="131" t="n">
        <v>9.15</v>
      </c>
      <c r="Z45" s="131" t="n">
        <v>8.630000000000001</v>
      </c>
      <c r="AA45" s="130">
        <f>Y45-Z45</f>
        <v/>
      </c>
      <c r="AB45" s="390">
        <f>_xlfn.TEXTJOIN("-",TRUE,T45,U45,V45)</f>
        <v/>
      </c>
      <c r="AC45" s="132" t="n"/>
      <c r="AD45" s="178" t="n"/>
      <c r="AE45" s="178" t="n"/>
      <c r="AF45" s="178" t="n"/>
      <c r="AG45" s="178" t="n"/>
      <c r="AH45" s="178" t="n"/>
      <c r="AI45" s="178" t="n"/>
      <c r="AJ45" s="134" t="n"/>
      <c r="AK45" s="390">
        <f>_xlfn.TEXTJOIN("-",TRUE,AC45,AD45,AE45)</f>
        <v/>
      </c>
      <c r="AL45" s="123" t="inlineStr">
        <is>
          <t>ST185/80R13</t>
        </is>
      </c>
      <c r="AM45" s="177" t="inlineStr">
        <is>
          <t>6PR</t>
        </is>
      </c>
      <c r="AN45" s="177" t="inlineStr">
        <is>
          <t>RAINIER ST</t>
        </is>
      </c>
      <c r="AO45" s="177" t="inlineStr">
        <is>
          <t>ST185/80R13-6PR RAINIER ST</t>
        </is>
      </c>
      <c r="AP45" s="177" t="n"/>
      <c r="AQ45" s="131" t="n">
        <v>8.19</v>
      </c>
      <c r="AR45" s="131" t="n">
        <v>8.195</v>
      </c>
      <c r="AS45" s="130">
        <f>AQ45-AR45</f>
        <v/>
      </c>
      <c r="AT45" s="390">
        <f>_xlfn.TEXTJOIN("-",TRUE,AL45,AM45,AN45)</f>
        <v/>
      </c>
      <c r="AU45" s="123" t="inlineStr">
        <is>
          <t>175/70R13</t>
        </is>
      </c>
      <c r="AV45" s="177" t="inlineStr">
        <is>
          <t>/</t>
        </is>
      </c>
      <c r="AW45" s="177" t="inlineStr">
        <is>
          <t>C-108</t>
        </is>
      </c>
      <c r="AX45" s="177" t="inlineStr">
        <is>
          <t>020424A-42</t>
        </is>
      </c>
      <c r="AY45" s="131" t="n">
        <v>5.996</v>
      </c>
      <c r="AZ45" s="131" t="n">
        <v>5.995</v>
      </c>
      <c r="BA45" s="130">
        <f>AY45-AZ45</f>
        <v/>
      </c>
      <c r="BB45" s="390">
        <f>_xlfn.TEXTJOIN("-",TRUE,AU45,AW45)</f>
        <v/>
      </c>
    </row>
    <row r="46" ht="13.8" customHeight="1" s="428">
      <c r="B46" s="123" t="inlineStr">
        <is>
          <t>8.25R16</t>
        </is>
      </c>
      <c r="C46" s="169" t="inlineStr">
        <is>
          <t>16PR</t>
        </is>
      </c>
      <c r="D46" s="177" t="inlineStr">
        <is>
          <t>CR926</t>
        </is>
      </c>
      <c r="E46" s="177" t="inlineStr">
        <is>
          <t>ID8.25R16-CR926 C ID</t>
        </is>
      </c>
      <c r="F46" s="131">
        <f>G46-2.059+2.739</f>
        <v/>
      </c>
      <c r="G46" s="131" t="n">
        <v>32.174</v>
      </c>
      <c r="H46" s="129" t="n">
        <v>32.4954</v>
      </c>
      <c r="I46" s="130">
        <f>G46-H46</f>
        <v/>
      </c>
      <c r="J46" s="115">
        <f>_xlfn.TEXTJOIN("-",TRUE,B46,C46,D46)</f>
        <v/>
      </c>
      <c r="K46" s="123" t="inlineStr">
        <is>
          <t>11.00-20</t>
        </is>
      </c>
      <c r="L46" s="177" t="inlineStr">
        <is>
          <t>18PR</t>
        </is>
      </c>
      <c r="M46" s="154" t="inlineStr">
        <is>
          <t>CL969</t>
        </is>
      </c>
      <c r="N46" s="125" t="inlineStr">
        <is>
          <t>11.00-20-18PR-CLA</t>
        </is>
      </c>
      <c r="O46" s="177" t="inlineStr">
        <is>
          <t>蓝(5)蓝(15)</t>
        </is>
      </c>
      <c r="P46" s="131" t="n">
        <v>58.96</v>
      </c>
      <c r="Q46" s="177" t="n">
        <v>59.07</v>
      </c>
      <c r="R46" s="130">
        <f>P46-Q46</f>
        <v/>
      </c>
      <c r="S46" s="390">
        <f>_xlfn.TEXTJOIN("-",TRUE,K46,L46,M46)</f>
        <v/>
      </c>
      <c r="T46" s="123" t="inlineStr">
        <is>
          <t>25 X 8-12</t>
        </is>
      </c>
      <c r="U46" s="177" t="inlineStr">
        <is>
          <t>6PR</t>
        </is>
      </c>
      <c r="V46" s="177" t="inlineStr">
        <is>
          <t>WL6A</t>
        </is>
      </c>
      <c r="W46" s="177" t="inlineStr">
        <is>
          <t>25X8R12-6PR WL6A</t>
        </is>
      </c>
      <c r="X46" s="177" t="n"/>
      <c r="Y46" s="131" t="n">
        <v>9.986000000000001</v>
      </c>
      <c r="Z46" s="131" t="n">
        <v>9.99</v>
      </c>
      <c r="AA46" s="130">
        <f>Y46-Z46</f>
        <v/>
      </c>
      <c r="AB46" s="390">
        <f>_xlfn.TEXTJOIN("-",TRUE,T46,U46,V46)</f>
        <v/>
      </c>
      <c r="AC46" s="123" t="inlineStr">
        <is>
          <t>14-17.5</t>
        </is>
      </c>
      <c r="AD46" s="177" t="inlineStr">
        <is>
          <t>14PR</t>
        </is>
      </c>
      <c r="AE46" s="177" t="inlineStr">
        <is>
          <t>STRONG GUARD SS</t>
        </is>
      </c>
      <c r="AF46" s="177" t="inlineStr">
        <is>
          <t>14-17.5-14PR SGSS</t>
        </is>
      </c>
      <c r="AG46" s="156" t="inlineStr">
        <is>
          <t>/</t>
        </is>
      </c>
      <c r="AH46" s="131" t="n">
        <v>46.18</v>
      </c>
      <c r="AI46" s="177" t="n">
        <v>45.68</v>
      </c>
      <c r="AJ46" s="130">
        <f>AH46-AI46</f>
        <v/>
      </c>
      <c r="AK46" s="390">
        <f>_xlfn.TEXTJOIN("-",TRUE,AC46,AD46,AE46)</f>
        <v/>
      </c>
      <c r="AL46" s="123" t="inlineStr">
        <is>
          <t>ST185/80R13</t>
        </is>
      </c>
      <c r="AM46" s="177" t="inlineStr">
        <is>
          <t>8PR</t>
        </is>
      </c>
      <c r="AN46" s="177" t="inlineStr">
        <is>
          <t>STZC</t>
        </is>
      </c>
      <c r="AO46" s="177" t="inlineStr">
        <is>
          <t>ST185/80R13-8PR STZC</t>
        </is>
      </c>
      <c r="AP46" s="177" t="n"/>
      <c r="AQ46" s="131" t="n">
        <v>9.099</v>
      </c>
      <c r="AR46" s="131" t="n">
        <v>8.896000000000001</v>
      </c>
      <c r="AS46" s="130">
        <f>AQ46-AR46</f>
        <v/>
      </c>
      <c r="AT46" s="390">
        <f>_xlfn.TEXTJOIN("-",TRUE,AL46,AM46,AN46)</f>
        <v/>
      </c>
      <c r="AU46" s="123" t="inlineStr">
        <is>
          <t>175/70R13</t>
        </is>
      </c>
      <c r="AV46" s="177" t="inlineStr">
        <is>
          <t>/</t>
        </is>
      </c>
      <c r="AW46" s="177" t="inlineStr">
        <is>
          <t>G-118</t>
        </is>
      </c>
      <c r="AX46" s="177" t="inlineStr">
        <is>
          <t>020424A-42</t>
        </is>
      </c>
      <c r="AY46" s="131" t="n">
        <v>5.996</v>
      </c>
      <c r="AZ46" s="131" t="n">
        <v>5.995</v>
      </c>
      <c r="BA46" s="130">
        <f>AY46-AZ46</f>
        <v/>
      </c>
      <c r="BB46" s="390">
        <f>_xlfn.TEXTJOIN("-",TRUE,AU46,AW46)</f>
        <v/>
      </c>
    </row>
    <row r="47" ht="13.8" customHeight="1" s="428">
      <c r="B47" s="123" t="inlineStr">
        <is>
          <t>8.25R16</t>
        </is>
      </c>
      <c r="C47" s="169" t="inlineStr">
        <is>
          <t>18PR</t>
        </is>
      </c>
      <c r="D47" s="177" t="inlineStr">
        <is>
          <t>AZ850</t>
        </is>
      </c>
      <c r="E47" s="125" t="inlineStr">
        <is>
          <t>ID8.25R16-18PR-B C ID</t>
        </is>
      </c>
      <c r="F47" s="131">
        <f>G47-2.063+2.753</f>
        <v/>
      </c>
      <c r="G47" s="131" t="n">
        <v>37.673</v>
      </c>
      <c r="H47" s="129" t="n">
        <v>37.5828</v>
      </c>
      <c r="I47" s="130">
        <f>G47-H47</f>
        <v/>
      </c>
      <c r="J47" s="115">
        <f>_xlfn.TEXTJOIN("-",TRUE,B47,C47,D47)</f>
        <v/>
      </c>
      <c r="K47" s="123" t="inlineStr">
        <is>
          <t>11.00-20</t>
        </is>
      </c>
      <c r="L47" s="177" t="inlineStr">
        <is>
          <t>18PR</t>
        </is>
      </c>
      <c r="M47" s="154" t="inlineStr">
        <is>
          <t>AB535</t>
        </is>
      </c>
      <c r="N47" s="125" t="inlineStr">
        <is>
          <t>11.00-20-18PR-CLA</t>
        </is>
      </c>
      <c r="O47" s="177" t="inlineStr">
        <is>
          <t>蓝(5)蓝(15)</t>
        </is>
      </c>
      <c r="P47" s="131" t="n">
        <v>58.96</v>
      </c>
      <c r="Q47" s="177" t="n">
        <v>59.07</v>
      </c>
      <c r="R47" s="130">
        <f>P47-Q47</f>
        <v/>
      </c>
      <c r="S47" s="390">
        <f>_xlfn.TEXTJOIN("-",TRUE,K47,L47,M47)</f>
        <v/>
      </c>
      <c r="T47" s="132" t="n"/>
      <c r="U47" s="178" t="n"/>
      <c r="V47" s="178" t="n"/>
      <c r="W47" s="178" t="n"/>
      <c r="X47" s="178" t="n"/>
      <c r="Y47" s="178" t="n"/>
      <c r="Z47" s="178" t="n"/>
      <c r="AA47" s="134" t="n"/>
      <c r="AB47" s="390">
        <f>_xlfn.TEXTJOIN("-",TRUE,T47,U47,V47)</f>
        <v/>
      </c>
      <c r="AC47" s="132" t="n"/>
      <c r="AD47" s="178" t="n"/>
      <c r="AE47" s="178" t="n"/>
      <c r="AF47" s="178" t="n"/>
      <c r="AG47" s="178" t="n"/>
      <c r="AH47" s="178" t="n"/>
      <c r="AI47" s="178" t="n"/>
      <c r="AJ47" s="134" t="n"/>
      <c r="AK47" s="390">
        <f>_xlfn.TEXTJOIN("-",TRUE,AC47,AD47,AE47)</f>
        <v/>
      </c>
      <c r="AL47" s="123" t="inlineStr">
        <is>
          <t>ST185/80R13</t>
        </is>
      </c>
      <c r="AM47" s="177" t="inlineStr">
        <is>
          <t>8PR</t>
        </is>
      </c>
      <c r="AN47" s="177" t="inlineStr">
        <is>
          <t>ST Radial</t>
        </is>
      </c>
      <c r="AO47" s="177" t="inlineStr">
        <is>
          <t>ST185/80R13-8PR ST200/RA/RS</t>
        </is>
      </c>
      <c r="AP47" s="177" t="n"/>
      <c r="AQ47" s="131" t="n">
        <v>8.779</v>
      </c>
      <c r="AR47" s="131" t="n">
        <v>8.609</v>
      </c>
      <c r="AS47" s="130">
        <f>AQ47-AR47</f>
        <v/>
      </c>
      <c r="AT47" s="390">
        <f>_xlfn.TEXTJOIN("-",TRUE,AL47,AM47,AN47)</f>
        <v/>
      </c>
      <c r="AU47" s="123" t="inlineStr">
        <is>
          <t>175/70R13</t>
        </is>
      </c>
      <c r="AV47" s="177" t="inlineStr">
        <is>
          <t>/</t>
        </is>
      </c>
      <c r="AW47" s="139" t="inlineStr">
        <is>
          <t>T-118</t>
        </is>
      </c>
      <c r="AX47" s="177" t="inlineStr">
        <is>
          <t>020424A-42</t>
        </is>
      </c>
      <c r="AY47" s="131" t="n">
        <v>5.996</v>
      </c>
      <c r="AZ47" s="131" t="n">
        <v>5.995</v>
      </c>
      <c r="BA47" s="130">
        <f>AY47-AZ47</f>
        <v/>
      </c>
      <c r="BB47" s="390">
        <f>_xlfn.TEXTJOIN("-",TRUE,AU47,AW47)</f>
        <v/>
      </c>
    </row>
    <row r="48">
      <c r="B48" s="123" t="inlineStr">
        <is>
          <t>8.25R16</t>
        </is>
      </c>
      <c r="C48" s="169" t="inlineStr">
        <is>
          <t>18PR</t>
        </is>
      </c>
      <c r="D48" s="177" t="inlineStr">
        <is>
          <t>VAZ80</t>
        </is>
      </c>
      <c r="E48" s="125" t="inlineStr">
        <is>
          <t>ID8.25R16-18PR-B C ID</t>
        </is>
      </c>
      <c r="F48" s="131">
        <f>G48-2.063+2.753</f>
        <v/>
      </c>
      <c r="G48" s="131" t="n">
        <v>37.673</v>
      </c>
      <c r="H48" s="129" t="n">
        <v>37.5828</v>
      </c>
      <c r="I48" s="130">
        <f>G48-H48</f>
        <v/>
      </c>
      <c r="J48" s="115">
        <f>_xlfn.TEXTJOIN("-",TRUE,B48,C48,D48)</f>
        <v/>
      </c>
      <c r="K48" s="123" t="inlineStr">
        <is>
          <t>11.00-20</t>
        </is>
      </c>
      <c r="L48" s="177" t="inlineStr">
        <is>
          <t>20PR</t>
        </is>
      </c>
      <c r="M48" s="154" t="inlineStr">
        <is>
          <t>CL969</t>
        </is>
      </c>
      <c r="N48" s="177" t="inlineStr">
        <is>
          <t>11.00-20-20PR-CL969</t>
        </is>
      </c>
      <c r="O48" s="177" t="inlineStr">
        <is>
          <t>/</t>
        </is>
      </c>
      <c r="P48" s="177" t="n">
        <v>63.32</v>
      </c>
      <c r="Q48" s="177" t="n">
        <v>62.96</v>
      </c>
      <c r="R48" s="130">
        <f>P48-Q48</f>
        <v/>
      </c>
      <c r="S48" s="390">
        <f>_xlfn.TEXTJOIN("-",TRUE,K48,L48,M48)</f>
        <v/>
      </c>
      <c r="T48" s="123" t="inlineStr">
        <is>
          <t>25 X 10-12</t>
        </is>
      </c>
      <c r="U48" s="177" t="inlineStr">
        <is>
          <t>6PR</t>
        </is>
      </c>
      <c r="V48" s="177" t="inlineStr">
        <is>
          <t>A033</t>
        </is>
      </c>
      <c r="W48" s="177" t="inlineStr">
        <is>
          <t>25X10-12-6PR A033</t>
        </is>
      </c>
      <c r="X48" s="177" t="n"/>
      <c r="Y48" s="131" t="n">
        <v>10.705</v>
      </c>
      <c r="Z48" s="131" t="n">
        <v>10.865</v>
      </c>
      <c r="AA48" s="130">
        <f>Y48-Z48</f>
        <v/>
      </c>
      <c r="AB48" s="390">
        <f>_xlfn.TEXTJOIN("-",TRUE,T48,U48,V48)</f>
        <v/>
      </c>
      <c r="AC48" s="123" t="inlineStr">
        <is>
          <t>14.5/75-16.1SL</t>
        </is>
      </c>
      <c r="AD48" s="177" t="inlineStr">
        <is>
          <t>10PR</t>
        </is>
      </c>
      <c r="AE48" s="177" t="inlineStr">
        <is>
          <t>STRONG GUARD F-3</t>
        </is>
      </c>
      <c r="AF48" s="156" t="inlineStr">
        <is>
          <t>14.5/75-16.1SL-10PR SGF-3</t>
        </is>
      </c>
      <c r="AG48" s="156" t="inlineStr">
        <is>
          <t>/</t>
        </is>
      </c>
      <c r="AH48" s="131" t="n">
        <v>54.27</v>
      </c>
      <c r="AI48" s="177" t="n">
        <v>53.89</v>
      </c>
      <c r="AJ48" s="130">
        <f>AH48-AI48</f>
        <v/>
      </c>
      <c r="AK48" s="390">
        <f>_xlfn.TEXTJOIN("-",TRUE,AC48,AD48,AE48)</f>
        <v/>
      </c>
      <c r="AL48" s="123" t="inlineStr">
        <is>
          <t>ST185/80R13</t>
        </is>
      </c>
      <c r="AM48" s="177" t="inlineStr">
        <is>
          <t>8PR</t>
        </is>
      </c>
      <c r="AN48" s="177" t="inlineStr">
        <is>
          <t>ST200</t>
        </is>
      </c>
      <c r="AO48" s="177" t="inlineStr">
        <is>
          <t>ST185/80R13-8PR ST200/RA/RS</t>
        </is>
      </c>
      <c r="AP48" s="177" t="n"/>
      <c r="AQ48" s="131" t="n">
        <v>8.779</v>
      </c>
      <c r="AR48" s="131" t="n">
        <v>8.720000000000001</v>
      </c>
      <c r="AS48" s="130">
        <f>AQ48-AR48</f>
        <v/>
      </c>
      <c r="AT48" s="390">
        <f>_xlfn.TEXTJOIN("-",TRUE,AL48,AM48,AN48)</f>
        <v/>
      </c>
      <c r="AU48" s="123" t="inlineStr">
        <is>
          <t>175/70R13</t>
        </is>
      </c>
      <c r="AV48" s="177" t="inlineStr">
        <is>
          <t>/</t>
        </is>
      </c>
      <c r="AW48" s="139" t="inlineStr">
        <is>
          <t>Z-108</t>
        </is>
      </c>
      <c r="AX48" s="177" t="inlineStr">
        <is>
          <t>020424A-42</t>
        </is>
      </c>
      <c r="AY48" s="131" t="n">
        <v>5.996</v>
      </c>
      <c r="AZ48" s="131" t="n">
        <v>5.995</v>
      </c>
      <c r="BA48" s="130">
        <f>AY48-AZ48</f>
        <v/>
      </c>
      <c r="BB48" s="390">
        <f>_xlfn.TEXTJOIN("-",TRUE,AU48,AW48)</f>
        <v/>
      </c>
    </row>
    <row r="49" ht="13.8" customHeight="1" s="428">
      <c r="B49" s="123" t="inlineStr">
        <is>
          <t>8.25R16</t>
        </is>
      </c>
      <c r="C49" s="169" t="inlineStr">
        <is>
          <t>16PR</t>
        </is>
      </c>
      <c r="D49" s="177" t="inlineStr">
        <is>
          <t>EZ867</t>
        </is>
      </c>
      <c r="E49" s="125" t="inlineStr">
        <is>
          <t>ID8.25R16-16PR-C C ID</t>
        </is>
      </c>
      <c r="F49" s="131">
        <f>G49-2.033+2.705</f>
        <v/>
      </c>
      <c r="G49" s="131" t="n">
        <v>35.929</v>
      </c>
      <c r="H49" s="129" t="n">
        <v>35.8399</v>
      </c>
      <c r="I49" s="130">
        <f>G49-H49</f>
        <v/>
      </c>
      <c r="J49" s="115">
        <f>_xlfn.TEXTJOIN("-",TRUE,B49,C49,D49)</f>
        <v/>
      </c>
      <c r="K49" s="140" t="inlineStr">
        <is>
          <t>11.00-20</t>
        </is>
      </c>
      <c r="L49" s="141" t="inlineStr">
        <is>
          <t>16PR</t>
        </is>
      </c>
      <c r="M49" s="141" t="inlineStr">
        <is>
          <t>CR952</t>
        </is>
      </c>
      <c r="N49" s="171" t="inlineStr">
        <is>
          <t>11.00-20-16PR-CR952</t>
        </is>
      </c>
      <c r="O49" s="177" t="inlineStr">
        <is>
          <t>绿(10)绿(5)</t>
        </is>
      </c>
      <c r="P49" s="172" t="n">
        <v>56.26</v>
      </c>
      <c r="Q49" s="141" t="n">
        <v>55.66</v>
      </c>
      <c r="R49" s="173">
        <f>P49-Q49</f>
        <v/>
      </c>
      <c r="S49" s="390">
        <f>_xlfn.TEXTJOIN("-",TRUE,K49,L49,M49)</f>
        <v/>
      </c>
      <c r="T49" s="123" t="inlineStr">
        <is>
          <t>25 X 10-12</t>
        </is>
      </c>
      <c r="U49" s="177" t="inlineStr">
        <is>
          <t>6PR</t>
        </is>
      </c>
      <c r="V49" s="177" t="inlineStr">
        <is>
          <t>AR10</t>
        </is>
      </c>
      <c r="W49" s="177" t="inlineStr">
        <is>
          <t>25X10-12-6PR AR10</t>
        </is>
      </c>
      <c r="X49" s="177" t="n"/>
      <c r="Y49" s="131" t="n">
        <v>10.37</v>
      </c>
      <c r="Z49" s="131" t="n">
        <v>10.645</v>
      </c>
      <c r="AA49" s="130">
        <f>Y49-Z49</f>
        <v/>
      </c>
      <c r="AB49" s="390">
        <f>_xlfn.TEXTJOIN("-",TRUE,T49,U49,V49)</f>
        <v/>
      </c>
      <c r="AC49" s="132" t="n"/>
      <c r="AD49" s="178" t="n"/>
      <c r="AE49" s="178" t="n"/>
      <c r="AF49" s="178" t="n"/>
      <c r="AG49" s="178" t="n"/>
      <c r="AH49" s="178" t="n"/>
      <c r="AI49" s="178" t="n"/>
      <c r="AJ49" s="134" t="n"/>
      <c r="AK49" s="390">
        <f>_xlfn.TEXTJOIN("-",TRUE,AC49,AD49,AE49)</f>
        <v/>
      </c>
      <c r="AL49" s="123" t="inlineStr">
        <is>
          <t>ST185/80R13</t>
        </is>
      </c>
      <c r="AM49" s="177" t="inlineStr">
        <is>
          <t>8PR</t>
        </is>
      </c>
      <c r="AN49" s="177" t="inlineStr">
        <is>
          <t>RAINIER ST</t>
        </is>
      </c>
      <c r="AO49" s="177" t="inlineStr">
        <is>
          <t>ST185/80R13-8PR ST200/RA/RS</t>
        </is>
      </c>
      <c r="AP49" s="177" t="n"/>
      <c r="AQ49" s="131" t="n">
        <v>8.779</v>
      </c>
      <c r="AR49" s="131" t="n">
        <v>8.720000000000001</v>
      </c>
      <c r="AS49" s="130">
        <f>AQ49-AR49</f>
        <v/>
      </c>
      <c r="AT49" s="390">
        <f>_xlfn.TEXTJOIN("-",TRUE,AL49,AM49,AN49)</f>
        <v/>
      </c>
      <c r="AU49" s="132" t="n"/>
      <c r="AV49" s="178" t="n"/>
      <c r="AW49" s="178" t="n"/>
      <c r="AX49" s="178" t="n"/>
      <c r="AY49" s="135" t="n"/>
      <c r="AZ49" s="135" t="n"/>
      <c r="BA49" s="136" t="n"/>
      <c r="BB49" s="390">
        <f>_xlfn.TEXTJOIN("-",TRUE,AU49,AW49)</f>
        <v/>
      </c>
    </row>
    <row r="50" ht="13.8" customHeight="1" s="428">
      <c r="B50" s="123" t="inlineStr">
        <is>
          <t>8.25R16</t>
        </is>
      </c>
      <c r="C50" s="169" t="inlineStr">
        <is>
          <t>16PR</t>
        </is>
      </c>
      <c r="D50" s="177" t="inlineStr">
        <is>
          <t>VEZ87</t>
        </is>
      </c>
      <c r="E50" s="125" t="inlineStr">
        <is>
          <t>ID8.25R16-16PR-C C ID</t>
        </is>
      </c>
      <c r="F50" s="131">
        <f>G50-2.033+2.705</f>
        <v/>
      </c>
      <c r="G50" s="131" t="n">
        <v>35.929</v>
      </c>
      <c r="H50" s="129" t="n">
        <v>35.8399</v>
      </c>
      <c r="I50" s="130">
        <f>G50-H50</f>
        <v/>
      </c>
      <c r="J50" s="115">
        <f>_xlfn.TEXTJOIN("-",TRUE,B50,C50,D50)</f>
        <v/>
      </c>
      <c r="K50" s="123" t="inlineStr">
        <is>
          <t>11.00-20</t>
        </is>
      </c>
      <c r="L50" s="177" t="inlineStr">
        <is>
          <t>18PR</t>
        </is>
      </c>
      <c r="M50" s="126" t="inlineStr">
        <is>
          <t>CR952</t>
        </is>
      </c>
      <c r="N50" s="177" t="inlineStr">
        <is>
          <t>11.00-20-18PR-CRA</t>
        </is>
      </c>
      <c r="O50" s="169" t="inlineStr">
        <is>
          <t>绿</t>
        </is>
      </c>
      <c r="P50" s="177" t="n">
        <v>57.22</v>
      </c>
      <c r="Q50" s="177" t="n">
        <v>56.67</v>
      </c>
      <c r="R50" s="130">
        <f>P50-Q50</f>
        <v/>
      </c>
      <c r="S50" s="390">
        <f>_xlfn.TEXTJOIN("-",TRUE,K50,L50,M50)</f>
        <v/>
      </c>
      <c r="T50" s="123" t="inlineStr">
        <is>
          <t>25 X 10R12</t>
        </is>
      </c>
      <c r="U50" s="177" t="inlineStr">
        <is>
          <t>8PR</t>
        </is>
      </c>
      <c r="V50" s="177" t="inlineStr">
        <is>
          <t>AR11</t>
        </is>
      </c>
      <c r="W50" s="177" t="inlineStr">
        <is>
          <t>25X10R12-8PR AR11</t>
        </is>
      </c>
      <c r="X50" s="177" t="n"/>
      <c r="Y50" s="131" t="n">
        <v>11.705</v>
      </c>
      <c r="Z50" s="131" t="n">
        <v>11.648</v>
      </c>
      <c r="AA50" s="130">
        <f>Y50-Z50</f>
        <v/>
      </c>
      <c r="AB50" s="390">
        <f>_xlfn.TEXTJOIN("-",TRUE,T50,U50,V50)</f>
        <v/>
      </c>
      <c r="AC50" s="123" t="inlineStr">
        <is>
          <t>14.9-24</t>
        </is>
      </c>
      <c r="AD50" s="177" t="inlineStr">
        <is>
          <t>12PR</t>
        </is>
      </c>
      <c r="AE50" s="177" t="inlineStr">
        <is>
          <t>STRONG GUARD XR4</t>
        </is>
      </c>
      <c r="AF50" s="156" t="inlineStr">
        <is>
          <t>14.9-24-12PR SGXR4</t>
        </is>
      </c>
      <c r="AG50" s="156" t="inlineStr">
        <is>
          <t>/</t>
        </is>
      </c>
      <c r="AH50" s="131" t="n">
        <v>68.68000000000001</v>
      </c>
      <c r="AI50" s="177" t="n">
        <v>69.29000000000001</v>
      </c>
      <c r="AJ50" s="130">
        <f>AH50-AI50</f>
        <v/>
      </c>
      <c r="AK50" s="390">
        <f>_xlfn.TEXTJOIN("-",TRUE,AC50,AD50,AE50)</f>
        <v/>
      </c>
      <c r="AL50" s="123" t="inlineStr">
        <is>
          <t>ST185/80R13</t>
        </is>
      </c>
      <c r="AM50" s="177" t="inlineStr">
        <is>
          <t>8PR</t>
        </is>
      </c>
      <c r="AN50" s="177" t="inlineStr">
        <is>
          <t>ST226</t>
        </is>
      </c>
      <c r="AO50" s="177" t="inlineStr">
        <is>
          <t>ST185/80R13-8PR ST226</t>
        </is>
      </c>
      <c r="AP50" s="177" t="n"/>
      <c r="AQ50" s="131" t="n">
        <v>9.092000000000001</v>
      </c>
      <c r="AR50" s="131" t="n">
        <v>8.967000000000001</v>
      </c>
      <c r="AS50" s="130">
        <f>AQ50-AR50</f>
        <v/>
      </c>
      <c r="AT50" s="390">
        <f>_xlfn.TEXTJOIN("-",TRUE,AL50,AM50,AN50)</f>
        <v/>
      </c>
      <c r="AU50" s="123" t="inlineStr">
        <is>
          <t>175/70R14</t>
        </is>
      </c>
      <c r="AV50" s="177" t="inlineStr">
        <is>
          <t>/</t>
        </is>
      </c>
      <c r="AW50" s="177" t="inlineStr">
        <is>
          <t>C-108</t>
        </is>
      </c>
      <c r="AX50" s="177" t="inlineStr">
        <is>
          <t>020425B-42</t>
        </is>
      </c>
      <c r="AY50" s="131" t="n">
        <v>6.461</v>
      </c>
      <c r="AZ50" s="131" t="n">
        <v>6.461</v>
      </c>
      <c r="BA50" s="130">
        <f>AY50-AZ50</f>
        <v/>
      </c>
      <c r="BB50" s="390">
        <f>_xlfn.TEXTJOIN("-",TRUE,AU50,AW50)</f>
        <v/>
      </c>
    </row>
    <row r="51" ht="13.8" customHeight="1" s="428">
      <c r="B51" s="123" t="inlineStr">
        <is>
          <t>8.25R16</t>
        </is>
      </c>
      <c r="C51" s="169" t="inlineStr">
        <is>
          <t>18PR</t>
        </is>
      </c>
      <c r="D51" s="177" t="inlineStr">
        <is>
          <t>AZ686</t>
        </is>
      </c>
      <c r="E51" s="125" t="inlineStr">
        <is>
          <t>ID8.25R16-18PR-A C ID</t>
        </is>
      </c>
      <c r="F51" s="131">
        <f>G51-2.063+2.753</f>
        <v/>
      </c>
      <c r="G51" s="131" t="n">
        <v>37.368</v>
      </c>
      <c r="H51" s="129" t="n">
        <v>37.2773</v>
      </c>
      <c r="I51" s="130">
        <f>G51-H51</f>
        <v/>
      </c>
      <c r="J51" s="115">
        <f>_xlfn.TEXTJOIN("-",TRUE,B51,C51,D51)</f>
        <v/>
      </c>
      <c r="K51" s="123" t="inlineStr">
        <is>
          <t>11.00-20</t>
        </is>
      </c>
      <c r="L51" s="177" t="inlineStr">
        <is>
          <t>18PR</t>
        </is>
      </c>
      <c r="M51" s="126" t="inlineStr">
        <is>
          <t>AB112</t>
        </is>
      </c>
      <c r="N51" s="177" t="inlineStr">
        <is>
          <t>11.00-20-18PR-CRA</t>
        </is>
      </c>
      <c r="O51" s="169" t="inlineStr">
        <is>
          <t>绿</t>
        </is>
      </c>
      <c r="P51" s="177" t="n">
        <v>57.22</v>
      </c>
      <c r="Q51" s="177" t="n">
        <v>56.67</v>
      </c>
      <c r="R51" s="130">
        <f>P51-Q51</f>
        <v/>
      </c>
      <c r="S51" s="390">
        <f>_xlfn.TEXTJOIN("-",TRUE,K51,L51,M51)</f>
        <v/>
      </c>
      <c r="T51" s="123" t="inlineStr">
        <is>
          <t>25 X 10-12</t>
        </is>
      </c>
      <c r="U51" s="177" t="inlineStr">
        <is>
          <t>6PR</t>
        </is>
      </c>
      <c r="V51" s="177" t="inlineStr">
        <is>
          <t>AR12</t>
        </is>
      </c>
      <c r="W51" s="177" t="inlineStr">
        <is>
          <t>25X10-12-6PR AR12</t>
        </is>
      </c>
      <c r="X51" s="177" t="n"/>
      <c r="Y51" s="131" t="n">
        <v>9.795</v>
      </c>
      <c r="Z51" s="131" t="n">
        <v>9.789999999999999</v>
      </c>
      <c r="AA51" s="130">
        <f>Y51-Z51</f>
        <v/>
      </c>
      <c r="AB51" s="390">
        <f>_xlfn.TEXTJOIN("-",TRUE,T51,U51,V51)</f>
        <v/>
      </c>
      <c r="AC51" s="132" t="n"/>
      <c r="AD51" s="178" t="n"/>
      <c r="AE51" s="178" t="n"/>
      <c r="AF51" s="178" t="n"/>
      <c r="AG51" s="178" t="n"/>
      <c r="AH51" s="178" t="n"/>
      <c r="AI51" s="178" t="n"/>
      <c r="AJ51" s="134" t="n"/>
      <c r="AK51" s="390">
        <f>_xlfn.TEXTJOIN("-",TRUE,AC51,AD51,AE51)</f>
        <v/>
      </c>
      <c r="AL51" s="132" t="n"/>
      <c r="AM51" s="178" t="n"/>
      <c r="AN51" s="178" t="n"/>
      <c r="AO51" s="178" t="n"/>
      <c r="AP51" s="178" t="n"/>
      <c r="AQ51" s="178" t="n"/>
      <c r="AR51" s="178" t="n"/>
      <c r="AS51" s="134" t="n"/>
      <c r="AT51" s="390">
        <f>_xlfn.TEXTJOIN("-",TRUE,AL51,AM51,AN51)</f>
        <v/>
      </c>
      <c r="AU51" s="123" t="inlineStr">
        <is>
          <t>175/70R14</t>
        </is>
      </c>
      <c r="AV51" s="177" t="inlineStr">
        <is>
          <t>/</t>
        </is>
      </c>
      <c r="AW51" s="177" t="inlineStr">
        <is>
          <t>G-118</t>
        </is>
      </c>
      <c r="AX51" s="177" t="inlineStr">
        <is>
          <t>020425B-42</t>
        </is>
      </c>
      <c r="AY51" s="131" t="n">
        <v>6.461</v>
      </c>
      <c r="AZ51" s="131" t="n">
        <v>6.461</v>
      </c>
      <c r="BA51" s="130">
        <f>AY51-AZ51</f>
        <v/>
      </c>
      <c r="BB51" s="390">
        <f>_xlfn.TEXTJOIN("-",TRUE,AU51,AW51)</f>
        <v/>
      </c>
    </row>
    <row r="52" ht="27.6" customHeight="1" s="428">
      <c r="B52" s="123" t="inlineStr">
        <is>
          <t>8.25R16</t>
        </is>
      </c>
      <c r="C52" s="169" t="inlineStr">
        <is>
          <t>18PR</t>
        </is>
      </c>
      <c r="D52" s="177" t="inlineStr">
        <is>
          <t>VAZ66</t>
        </is>
      </c>
      <c r="E52" s="125" t="inlineStr">
        <is>
          <t>ID8.25R16-18PR-A C ID</t>
        </is>
      </c>
      <c r="F52" s="131">
        <f>G52-2.063+2.753</f>
        <v/>
      </c>
      <c r="G52" s="131" t="n">
        <v>37.368</v>
      </c>
      <c r="H52" s="129" t="n">
        <v>37.2773</v>
      </c>
      <c r="I52" s="130">
        <f>G52-H52</f>
        <v/>
      </c>
      <c r="J52" s="115">
        <f>_xlfn.TEXTJOIN("-",TRUE,B52,C52,D52)</f>
        <v/>
      </c>
      <c r="K52" s="123" t="inlineStr">
        <is>
          <t>11.00-20</t>
        </is>
      </c>
      <c r="L52" s="177" t="inlineStr">
        <is>
          <t>18PR</t>
        </is>
      </c>
      <c r="M52" s="126" t="inlineStr">
        <is>
          <t>CR952 PRO</t>
        </is>
      </c>
      <c r="N52" s="177" t="inlineStr">
        <is>
          <t>11.00-20-18PR-CR952 PRO</t>
        </is>
      </c>
      <c r="O52" s="156" t="inlineStr">
        <is>
          <t>白</t>
        </is>
      </c>
      <c r="P52" s="177" t="n">
        <v>61.86</v>
      </c>
      <c r="Q52" s="177" t="n">
        <v>61.79</v>
      </c>
      <c r="R52" s="130">
        <f>P52-Q52</f>
        <v/>
      </c>
      <c r="S52" s="390">
        <f>_xlfn.TEXTJOIN("-",TRUE,K52,L52,M52)</f>
        <v/>
      </c>
      <c r="T52" s="123" t="inlineStr">
        <is>
          <t>25 X 10-12</t>
        </is>
      </c>
      <c r="U52" s="177" t="inlineStr">
        <is>
          <t>6PR</t>
        </is>
      </c>
      <c r="V52" s="177" t="inlineStr">
        <is>
          <t>AR67</t>
        </is>
      </c>
      <c r="W52" s="177" t="inlineStr">
        <is>
          <t>25X10-12-6PR AR67</t>
        </is>
      </c>
      <c r="X52" s="177" t="n"/>
      <c r="Y52" s="131" t="n">
        <v>10.47</v>
      </c>
      <c r="Z52" s="131" t="n">
        <v>10.47</v>
      </c>
      <c r="AA52" s="130">
        <f>Y52-Z52</f>
        <v/>
      </c>
      <c r="AB52" s="390">
        <f>_xlfn.TEXTJOIN("-",TRUE,T52,U52,V52)</f>
        <v/>
      </c>
      <c r="AC52" s="123" t="inlineStr">
        <is>
          <t>14.00-24</t>
        </is>
      </c>
      <c r="AD52" s="177" t="inlineStr">
        <is>
          <t>16PR</t>
        </is>
      </c>
      <c r="AE52" s="177" t="inlineStr">
        <is>
          <t>GK-243</t>
        </is>
      </c>
      <c r="AF52" s="156" t="inlineStr">
        <is>
          <t>/</t>
        </is>
      </c>
      <c r="AG52" s="156" t="inlineStr">
        <is>
          <t>/</t>
        </is>
      </c>
      <c r="AH52" s="131" t="n">
        <v>85.90000000000001</v>
      </c>
      <c r="AI52" s="131" t="n">
        <v>85.90000000000001</v>
      </c>
      <c r="AJ52" s="130">
        <f>AH52-AI52</f>
        <v/>
      </c>
      <c r="AK52" s="390">
        <f>_xlfn.TEXTJOIN("-",TRUE,AC52,AD52,AE52)</f>
        <v/>
      </c>
      <c r="AL52" s="149" t="inlineStr">
        <is>
          <t>195/50R13C</t>
        </is>
      </c>
      <c r="AM52" s="150" t="inlineStr">
        <is>
          <t>/</t>
        </is>
      </c>
      <c r="AN52" s="150" t="inlineStr">
        <is>
          <t>TRAILER ST290</t>
        </is>
      </c>
      <c r="AO52" s="150" t="inlineStr">
        <is>
          <t>195/50R13C ST290</t>
        </is>
      </c>
      <c r="AP52" s="150" t="n"/>
      <c r="AQ52" s="151" t="n">
        <v>8.347</v>
      </c>
      <c r="AR52" s="131" t="n">
        <v>8.353</v>
      </c>
      <c r="AS52" s="148">
        <f>AQ52-AR52</f>
        <v/>
      </c>
      <c r="AT52" s="390">
        <f>_xlfn.TEXTJOIN("-",TRUE,AL52,AM52,AN52)</f>
        <v/>
      </c>
      <c r="AU52" s="123" t="inlineStr">
        <is>
          <t>175/70R14</t>
        </is>
      </c>
      <c r="AV52" s="177" t="inlineStr">
        <is>
          <t>/</t>
        </is>
      </c>
      <c r="AW52" s="139" t="inlineStr">
        <is>
          <t>T-118</t>
        </is>
      </c>
      <c r="AX52" s="177" t="inlineStr">
        <is>
          <t>020425B-42</t>
        </is>
      </c>
      <c r="AY52" s="131" t="n">
        <v>6.461</v>
      </c>
      <c r="AZ52" s="131" t="n">
        <v>6.461</v>
      </c>
      <c r="BA52" s="130">
        <f>AY52-AZ52</f>
        <v/>
      </c>
      <c r="BB52" s="390">
        <f>_xlfn.TEXTJOIN("-",TRUE,AU52,AW52)</f>
        <v/>
      </c>
    </row>
    <row r="53" ht="13.8" customHeight="1" s="428">
      <c r="B53" s="123" t="inlineStr">
        <is>
          <t>8.25R16</t>
        </is>
      </c>
      <c r="C53" s="169" t="inlineStr">
        <is>
          <t>16PR</t>
        </is>
      </c>
      <c r="D53" s="177" t="inlineStr">
        <is>
          <t>CM988</t>
        </is>
      </c>
      <c r="E53" s="177" t="inlineStr">
        <is>
          <t>ID8.25R16-16PR-CM988 C ID</t>
        </is>
      </c>
      <c r="F53" s="131">
        <f>G53-2.033+2.705</f>
        <v/>
      </c>
      <c r="G53" s="131" t="n">
        <v>35.434</v>
      </c>
      <c r="H53" s="129" t="n">
        <v>35.345</v>
      </c>
      <c r="I53" s="130">
        <f>G53-H53</f>
        <v/>
      </c>
      <c r="J53" s="115">
        <f>_xlfn.TEXTJOIN("-",TRUE,B53,C53,D53)</f>
        <v/>
      </c>
      <c r="K53" s="132" t="n"/>
      <c r="L53" s="178" t="n"/>
      <c r="M53" s="178" t="n"/>
      <c r="N53" s="178" t="n"/>
      <c r="O53" s="178" t="n"/>
      <c r="P53" s="178" t="n"/>
      <c r="Q53" s="178" t="n"/>
      <c r="R53" s="134" t="n"/>
      <c r="S53" s="390">
        <f>_xlfn.TEXTJOIN("-",TRUE,K53,L53,M53)</f>
        <v/>
      </c>
      <c r="T53" s="123" t="inlineStr">
        <is>
          <t>25 X 10-12</t>
        </is>
      </c>
      <c r="U53" s="177" t="inlineStr">
        <is>
          <t>6PR</t>
        </is>
      </c>
      <c r="V53" s="177" t="inlineStr">
        <is>
          <t>AT12</t>
        </is>
      </c>
      <c r="W53" s="177" t="inlineStr">
        <is>
          <t>25X10-12-6PR AT12</t>
        </is>
      </c>
      <c r="X53" s="177" t="n"/>
      <c r="Y53" s="131" t="n">
        <v>10.849</v>
      </c>
      <c r="Z53" s="131" t="n">
        <v>10.835</v>
      </c>
      <c r="AA53" s="130">
        <f>Y53-Z53</f>
        <v/>
      </c>
      <c r="AB53" s="390">
        <f>_xlfn.TEXTJOIN("-",TRUE,T53,U53,V53)</f>
        <v/>
      </c>
      <c r="AC53" s="123" t="inlineStr">
        <is>
          <t>14.00-24</t>
        </is>
      </c>
      <c r="AD53" s="177" t="inlineStr">
        <is>
          <t>16PR</t>
        </is>
      </c>
      <c r="AE53" s="177" t="inlineStr">
        <is>
          <t>STRONG GUARD LG2</t>
        </is>
      </c>
      <c r="AF53" s="156" t="inlineStr">
        <is>
          <t>/</t>
        </is>
      </c>
      <c r="AG53" s="156" t="inlineStr">
        <is>
          <t>/</t>
        </is>
      </c>
      <c r="AH53" s="131" t="n">
        <v>106</v>
      </c>
      <c r="AI53" s="131" t="n">
        <v>105.6</v>
      </c>
      <c r="AJ53" s="130">
        <f>AH53-AI53</f>
        <v/>
      </c>
      <c r="AK53" s="390">
        <f>_xlfn.TEXTJOIN("-",TRUE,AC53,AD53,AE53)</f>
        <v/>
      </c>
      <c r="AL53" s="132" t="n"/>
      <c r="AM53" s="178" t="n"/>
      <c r="AN53" s="178" t="n"/>
      <c r="AO53" s="178" t="n"/>
      <c r="AP53" s="178" t="n"/>
      <c r="AQ53" s="135" t="n"/>
      <c r="AR53" s="135" t="n"/>
      <c r="AS53" s="136" t="n"/>
      <c r="AT53" s="390">
        <f>_xlfn.TEXTJOIN("-",TRUE,AL53,AM53,AN53)</f>
        <v/>
      </c>
      <c r="AU53" s="123" t="inlineStr">
        <is>
          <t>175/70R14</t>
        </is>
      </c>
      <c r="AV53" s="177" t="inlineStr">
        <is>
          <t>/</t>
        </is>
      </c>
      <c r="AW53" s="139" t="inlineStr">
        <is>
          <t>Z-108</t>
        </is>
      </c>
      <c r="AX53" s="177" t="inlineStr">
        <is>
          <t>020425B-42</t>
        </is>
      </c>
      <c r="AY53" s="131" t="n">
        <v>6.461</v>
      </c>
      <c r="AZ53" s="131" t="n">
        <v>6.461</v>
      </c>
      <c r="BA53" s="130">
        <f>AY53-AZ53</f>
        <v/>
      </c>
      <c r="BB53" s="390">
        <f>_xlfn.TEXTJOIN("-",TRUE,AU53,AW53)</f>
        <v/>
      </c>
    </row>
    <row r="54" ht="13.8" customHeight="1" s="428">
      <c r="B54" s="123" t="inlineStr">
        <is>
          <t>8.25R16</t>
        </is>
      </c>
      <c r="C54" s="169" t="inlineStr">
        <is>
          <t>18PR</t>
        </is>
      </c>
      <c r="D54" s="177" t="inlineStr">
        <is>
          <t>X-Traveler SL90LT</t>
        </is>
      </c>
      <c r="E54" s="125" t="inlineStr">
        <is>
          <t>ID8.25R16-18PR-X-Traveler SL90LT N C</t>
        </is>
      </c>
      <c r="F54" s="131">
        <f>G54-2.06+2.75</f>
        <v/>
      </c>
      <c r="G54" s="131" t="n">
        <v>37.15</v>
      </c>
      <c r="H54" s="129" t="n">
        <v>37.03</v>
      </c>
      <c r="I54" s="130">
        <f>G54-H54</f>
        <v/>
      </c>
      <c r="J54" s="115">
        <f>_xlfn.TEXTJOIN("-",TRUE,B54,C54,D54)</f>
        <v/>
      </c>
      <c r="K54" s="123" t="inlineStr">
        <is>
          <t>4.80-8</t>
        </is>
      </c>
      <c r="L54" s="177" t="inlineStr">
        <is>
          <t>4PR</t>
        </is>
      </c>
      <c r="M54" s="177" t="inlineStr">
        <is>
          <t>SU201</t>
        </is>
      </c>
      <c r="N54" s="125" t="inlineStr">
        <is>
          <t>4.80-8-4PR SUZT</t>
        </is>
      </c>
      <c r="O54" s="177" t="inlineStr">
        <is>
          <t>/</t>
        </is>
      </c>
      <c r="P54" s="177" t="n">
        <v>3.21</v>
      </c>
      <c r="Q54" s="177" t="n">
        <v>2.66</v>
      </c>
      <c r="R54" s="130">
        <f>P54-Q54</f>
        <v/>
      </c>
      <c r="S54" s="390">
        <f>_xlfn.TEXTJOIN("-",TRUE,K54,L54,M54)</f>
        <v/>
      </c>
      <c r="T54" s="123" t="inlineStr">
        <is>
          <t>25 X 10.00-12</t>
        </is>
      </c>
      <c r="U54" s="177" t="inlineStr">
        <is>
          <t>6PR</t>
        </is>
      </c>
      <c r="V54" s="177" t="inlineStr">
        <is>
          <t>OTR07</t>
        </is>
      </c>
      <c r="W54" s="177" t="inlineStr">
        <is>
          <t>25X10-12-6PR OTR07</t>
        </is>
      </c>
      <c r="X54" s="177" t="n"/>
      <c r="Y54" s="131" t="n">
        <v>11.81</v>
      </c>
      <c r="Z54" s="131" t="n">
        <v>11.965</v>
      </c>
      <c r="AA54" s="130">
        <f>Y54-Z54</f>
        <v/>
      </c>
      <c r="AB54" s="390">
        <f>_xlfn.TEXTJOIN("-",TRUE,T54,U54,V54)</f>
        <v/>
      </c>
      <c r="AC54" s="123" t="inlineStr">
        <is>
          <t>14.00-24</t>
        </is>
      </c>
      <c r="AD54" s="177" t="inlineStr">
        <is>
          <t>16PR</t>
        </is>
      </c>
      <c r="AE54" s="177" t="inlineStr">
        <is>
          <t>TL-100</t>
        </is>
      </c>
      <c r="AF54" s="156" t="inlineStr">
        <is>
          <t>/</t>
        </is>
      </c>
      <c r="AG54" s="156" t="inlineStr">
        <is>
          <t>/</t>
        </is>
      </c>
      <c r="AH54" s="131" t="n">
        <v>85.90000000000001</v>
      </c>
      <c r="AI54" s="177" t="n">
        <v>85.8</v>
      </c>
      <c r="AJ54" s="130">
        <f>AH54-AI54</f>
        <v/>
      </c>
      <c r="AK54" s="390">
        <f>_xlfn.TEXTJOIN("-",TRUE,AC54,AD54,AE54)</f>
        <v/>
      </c>
      <c r="AL54" s="149" t="inlineStr">
        <is>
          <t>195/70R14</t>
        </is>
      </c>
      <c r="AM54" s="150" t="inlineStr">
        <is>
          <t>/</t>
        </is>
      </c>
      <c r="AN54" s="150" t="inlineStr">
        <is>
          <t>TRAILER ST290</t>
        </is>
      </c>
      <c r="AO54" s="150" t="inlineStr">
        <is>
          <t>195/70R14 ST290</t>
        </is>
      </c>
      <c r="AP54" s="150" t="n"/>
      <c r="AQ54" s="151" t="n">
        <v>8.363</v>
      </c>
      <c r="AR54" s="131" t="n">
        <v>8.366</v>
      </c>
      <c r="AS54" s="148">
        <f>AQ54-AR54</f>
        <v/>
      </c>
      <c r="AT54" s="390">
        <f>_xlfn.TEXTJOIN("-",TRUE,AL54,AM54,AN54)</f>
        <v/>
      </c>
      <c r="AU54" s="132" t="n"/>
      <c r="AV54" s="178" t="n"/>
      <c r="AW54" s="178" t="n"/>
      <c r="AX54" s="178" t="n"/>
      <c r="AY54" s="135" t="n"/>
      <c r="AZ54" s="135" t="n"/>
      <c r="BA54" s="136" t="n"/>
      <c r="BB54" s="390">
        <f>_xlfn.TEXTJOIN("-",TRUE,AU54,AW54)</f>
        <v/>
      </c>
    </row>
    <row r="55" ht="13.8" customHeight="1" s="428">
      <c r="B55" s="132" t="n"/>
      <c r="C55" s="178" t="n"/>
      <c r="D55" s="178" t="n"/>
      <c r="E55" s="178" t="n"/>
      <c r="F55" s="167" t="n"/>
      <c r="G55" s="167" t="n"/>
      <c r="H55" s="168" t="n"/>
      <c r="I55" s="134" t="n"/>
      <c r="J55" s="115">
        <f>_xlfn.TEXTJOIN("-",TRUE,B55,C55,D55)</f>
        <v/>
      </c>
      <c r="K55" s="123" t="inlineStr">
        <is>
          <t>4.80-8</t>
        </is>
      </c>
      <c r="L55" s="177" t="inlineStr">
        <is>
          <t>4PR</t>
        </is>
      </c>
      <c r="M55" s="177" t="inlineStr">
        <is>
          <t>ZT201</t>
        </is>
      </c>
      <c r="N55" s="125" t="inlineStr">
        <is>
          <t>4.80-8-4PR SUZT</t>
        </is>
      </c>
      <c r="O55" s="177" t="inlineStr">
        <is>
          <t>/</t>
        </is>
      </c>
      <c r="P55" s="177" t="n">
        <v>3.21</v>
      </c>
      <c r="Q55" s="177" t="n">
        <v>2.66</v>
      </c>
      <c r="R55" s="130">
        <f>P55-Q55</f>
        <v/>
      </c>
      <c r="S55" s="390">
        <f>_xlfn.TEXTJOIN("-",TRUE,K55,L55,M55)</f>
        <v/>
      </c>
      <c r="T55" s="123" t="inlineStr">
        <is>
          <t>25 X 10.00-12</t>
        </is>
      </c>
      <c r="U55" s="177" t="inlineStr">
        <is>
          <t>6PR</t>
        </is>
      </c>
      <c r="V55" s="177" t="inlineStr">
        <is>
          <t>OTR09</t>
        </is>
      </c>
      <c r="W55" s="177" t="inlineStr">
        <is>
          <t>25X10.00-12-6PR OTR09</t>
        </is>
      </c>
      <c r="X55" s="177" t="n"/>
      <c r="Y55" s="131" t="n">
        <v>9.678000000000001</v>
      </c>
      <c r="Z55" s="131" t="n">
        <v>9.68</v>
      </c>
      <c r="AA55" s="130">
        <f>Y55-Z55</f>
        <v/>
      </c>
      <c r="AB55" s="390">
        <f>_xlfn.TEXTJOIN("-",TRUE,T55,U55,V55)</f>
        <v/>
      </c>
      <c r="AC55" s="123" t="inlineStr">
        <is>
          <t>14.00-24</t>
        </is>
      </c>
      <c r="AD55" s="177" t="inlineStr">
        <is>
          <t>20PR</t>
        </is>
      </c>
      <c r="AE55" s="177" t="inlineStr">
        <is>
          <t>STRONG GUARD G3/L3</t>
        </is>
      </c>
      <c r="AF55" s="156" t="inlineStr">
        <is>
          <t>/</t>
        </is>
      </c>
      <c r="AG55" s="156" t="inlineStr">
        <is>
          <t>/</t>
        </is>
      </c>
      <c r="AH55" s="131" t="n">
        <v>126.3</v>
      </c>
      <c r="AI55" s="177" t="n">
        <v>125.8</v>
      </c>
      <c r="AJ55" s="130">
        <f>AH55-AI55</f>
        <v/>
      </c>
      <c r="AK55" s="390">
        <f>_xlfn.TEXTJOIN("-",TRUE,AC55,AD55,AE55)</f>
        <v/>
      </c>
      <c r="AL55" s="132" t="n"/>
      <c r="AM55" s="178" t="n"/>
      <c r="AN55" s="178" t="n"/>
      <c r="AO55" s="178" t="n"/>
      <c r="AP55" s="178" t="n"/>
      <c r="AQ55" s="135" t="n"/>
      <c r="AR55" s="135" t="n"/>
      <c r="AS55" s="136" t="n"/>
      <c r="AT55" s="390">
        <f>_xlfn.TEXTJOIN("-",TRUE,AL55,AM55,AN55)</f>
        <v/>
      </c>
      <c r="AU55" s="123" t="inlineStr">
        <is>
          <t>185/55R15</t>
        </is>
      </c>
      <c r="AV55" s="177" t="inlineStr">
        <is>
          <t>/</t>
        </is>
      </c>
      <c r="AW55" s="177" t="inlineStr">
        <is>
          <t>C-108</t>
        </is>
      </c>
      <c r="AX55" s="177" t="inlineStr">
        <is>
          <t>S021366A-72</t>
        </is>
      </c>
      <c r="AY55" s="131" t="n">
        <v>6.964</v>
      </c>
      <c r="AZ55" s="131" t="n">
        <v>6.963</v>
      </c>
      <c r="BA55" s="130">
        <f>AY55-AZ55</f>
        <v/>
      </c>
      <c r="BB55" s="390">
        <f>_xlfn.TEXTJOIN("-",TRUE,AU55,AW55)</f>
        <v/>
      </c>
    </row>
    <row r="56" ht="13.8" customHeight="1" s="428">
      <c r="B56" s="123" t="inlineStr">
        <is>
          <t>8.25R20</t>
        </is>
      </c>
      <c r="C56" s="169" t="inlineStr">
        <is>
          <t>16PR</t>
        </is>
      </c>
      <c r="D56" s="177" t="inlineStr">
        <is>
          <t>AZ850</t>
        </is>
      </c>
      <c r="E56" s="125" t="inlineStr">
        <is>
          <t>ID8.25R20-16PR-A C ID</t>
        </is>
      </c>
      <c r="F56" s="131">
        <f>G56-2.441+2.951</f>
        <v/>
      </c>
      <c r="G56" s="131" t="n">
        <v>42.03</v>
      </c>
      <c r="H56" s="129" t="n">
        <v>42.03</v>
      </c>
      <c r="I56" s="130">
        <f>G56-H56</f>
        <v/>
      </c>
      <c r="J56" s="115">
        <f>_xlfn.TEXTJOIN("-",TRUE,B56,C56,D56)</f>
        <v/>
      </c>
      <c r="K56" s="123" t="inlineStr">
        <is>
          <t>4.80-8</t>
        </is>
      </c>
      <c r="L56" s="177" t="inlineStr">
        <is>
          <t>6PR</t>
        </is>
      </c>
      <c r="M56" s="126" t="inlineStr">
        <is>
          <t>SU201</t>
        </is>
      </c>
      <c r="N56" s="177" t="inlineStr">
        <is>
          <t>4.80-8-6PR-SUZT</t>
        </is>
      </c>
      <c r="O56" s="169" t="inlineStr">
        <is>
          <t>/</t>
        </is>
      </c>
      <c r="P56" s="177" t="n">
        <v>3.23</v>
      </c>
      <c r="Q56" s="177" t="n">
        <v>2.75</v>
      </c>
      <c r="R56" s="130">
        <f>P56-Q56</f>
        <v/>
      </c>
      <c r="S56" s="390">
        <f>_xlfn.TEXTJOIN("-",TRUE,K56,L56,M56)</f>
        <v/>
      </c>
      <c r="T56" s="123" t="inlineStr">
        <is>
          <t>25 X 10.00-12</t>
        </is>
      </c>
      <c r="U56" s="177" t="inlineStr">
        <is>
          <t>6PR</t>
        </is>
      </c>
      <c r="V56" s="177" t="inlineStr">
        <is>
          <t>OTR30</t>
        </is>
      </c>
      <c r="W56" s="177" t="inlineStr">
        <is>
          <t>/</t>
        </is>
      </c>
      <c r="X56" s="177" t="n"/>
      <c r="Y56" s="131" t="n">
        <v>11.435</v>
      </c>
      <c r="Z56" s="131" t="n">
        <v>11.57</v>
      </c>
      <c r="AA56" s="130">
        <f>Y56-Z56</f>
        <v/>
      </c>
      <c r="AB56" s="390">
        <f>_xlfn.TEXTJOIN("-",TRUE,T56,U56,V56)</f>
        <v/>
      </c>
      <c r="AC56" s="132" t="n"/>
      <c r="AD56" s="178" t="n"/>
      <c r="AE56" s="178" t="n"/>
      <c r="AF56" s="178" t="n"/>
      <c r="AG56" s="178" t="n"/>
      <c r="AH56" s="178" t="n"/>
      <c r="AI56" s="178" t="n"/>
      <c r="AJ56" s="134" t="n"/>
      <c r="AK56" s="390">
        <f>_xlfn.TEXTJOIN("-",TRUE,AC56,AD56,AE56)</f>
        <v/>
      </c>
      <c r="AL56" s="149" t="inlineStr">
        <is>
          <t>195R14C</t>
        </is>
      </c>
      <c r="AM56" s="150" t="inlineStr">
        <is>
          <t>/</t>
        </is>
      </c>
      <c r="AN56" s="150" t="inlineStr">
        <is>
          <t>TRAILER ST290</t>
        </is>
      </c>
      <c r="AO56" s="150" t="inlineStr">
        <is>
          <t>195R14C ST290</t>
        </is>
      </c>
      <c r="AP56" s="150" t="n"/>
      <c r="AQ56" s="151" t="n">
        <v>9.622</v>
      </c>
      <c r="AR56" s="131" t="n">
        <v>9.631</v>
      </c>
      <c r="AS56" s="148">
        <f>AQ56-AR56</f>
        <v/>
      </c>
      <c r="AT56" s="390">
        <f>_xlfn.TEXTJOIN("-",TRUE,AL56,AM56,AN56)</f>
        <v/>
      </c>
      <c r="AU56" s="123" t="inlineStr">
        <is>
          <t>185/55R15</t>
        </is>
      </c>
      <c r="AV56" s="177" t="inlineStr">
        <is>
          <t>/</t>
        </is>
      </c>
      <c r="AW56" s="177" t="inlineStr">
        <is>
          <t>G-118</t>
        </is>
      </c>
      <c r="AX56" s="177" t="inlineStr">
        <is>
          <t>S021366A-72</t>
        </is>
      </c>
      <c r="AY56" s="131" t="n">
        <v>6.964</v>
      </c>
      <c r="AZ56" s="131" t="n">
        <v>6.963</v>
      </c>
      <c r="BA56" s="130">
        <f>AY56-AZ56</f>
        <v/>
      </c>
      <c r="BB56" s="390">
        <f>_xlfn.TEXTJOIN("-",TRUE,AU56,AW56)</f>
        <v/>
      </c>
    </row>
    <row r="57">
      <c r="B57" s="123" t="inlineStr">
        <is>
          <t>8.25R20</t>
        </is>
      </c>
      <c r="C57" s="169" t="inlineStr">
        <is>
          <t>16PR</t>
        </is>
      </c>
      <c r="D57" s="126" t="inlineStr">
        <is>
          <t>VAZ80</t>
        </is>
      </c>
      <c r="E57" s="177" t="inlineStr">
        <is>
          <t>ID8.25R20-16PR-A C ID</t>
        </is>
      </c>
      <c r="F57" s="131">
        <f>G57-2.441+2.951</f>
        <v/>
      </c>
      <c r="G57" s="128" t="n">
        <v>42.03</v>
      </c>
      <c r="H57" s="129" t="n">
        <v>42.03</v>
      </c>
      <c r="I57" s="130">
        <f>G57-H57</f>
        <v/>
      </c>
      <c r="J57" s="115">
        <f>_xlfn.TEXTJOIN("-",TRUE,B57,C57,D57)</f>
        <v/>
      </c>
      <c r="K57" s="123" t="inlineStr">
        <is>
          <t>4.80-8</t>
        </is>
      </c>
      <c r="L57" s="177" t="inlineStr">
        <is>
          <t>6PR</t>
        </is>
      </c>
      <c r="M57" s="126" t="inlineStr">
        <is>
          <t>ZT201</t>
        </is>
      </c>
      <c r="N57" s="177" t="inlineStr">
        <is>
          <t>4.80-8-6PR-SUZT</t>
        </is>
      </c>
      <c r="O57" s="169" t="inlineStr">
        <is>
          <t>/</t>
        </is>
      </c>
      <c r="P57" s="177" t="n">
        <v>3.23</v>
      </c>
      <c r="Q57" s="177" t="n">
        <v>2.75</v>
      </c>
      <c r="R57" s="130">
        <f>P57-Q57</f>
        <v/>
      </c>
      <c r="S57" s="390">
        <f>_xlfn.TEXTJOIN("-",TRUE,K57,L57,M57)</f>
        <v/>
      </c>
      <c r="T57" s="123" t="inlineStr">
        <is>
          <t>25 X 10-12</t>
        </is>
      </c>
      <c r="U57" s="177" t="inlineStr">
        <is>
          <t>6PR</t>
        </is>
      </c>
      <c r="V57" s="177" t="inlineStr">
        <is>
          <t>WL6A</t>
        </is>
      </c>
      <c r="W57" s="177" t="inlineStr">
        <is>
          <t>25X10-12-6PR WL6A</t>
        </is>
      </c>
      <c r="X57" s="177" t="n"/>
      <c r="Y57" s="131" t="n">
        <v>11.078</v>
      </c>
      <c r="Z57" s="131" t="n">
        <v>11.041</v>
      </c>
      <c r="AA57" s="130">
        <f>Y57-Z57</f>
        <v/>
      </c>
      <c r="AB57" s="390">
        <f>_xlfn.TEXTJOIN("-",TRUE,T57,U57,V57)</f>
        <v/>
      </c>
      <c r="AC57" s="123" t="inlineStr">
        <is>
          <t>15-19.5</t>
        </is>
      </c>
      <c r="AD57" s="177" t="inlineStr">
        <is>
          <t>14PR</t>
        </is>
      </c>
      <c r="AE57" s="177" t="inlineStr">
        <is>
          <t>STRONG GUARD SS</t>
        </is>
      </c>
      <c r="AF57" s="177" t="inlineStr">
        <is>
          <t>15-19.5-12PR SGSS</t>
        </is>
      </c>
      <c r="AG57" s="156" t="inlineStr">
        <is>
          <t>/</t>
        </is>
      </c>
      <c r="AH57" s="131" t="n">
        <v>58.71</v>
      </c>
      <c r="AI57" s="177" t="n">
        <v>58.13</v>
      </c>
      <c r="AJ57" s="130">
        <f>AH57-AI57</f>
        <v/>
      </c>
      <c r="AK57" s="390">
        <f>_xlfn.TEXTJOIN("-",TRUE,AC57,AD57,AE57)</f>
        <v/>
      </c>
      <c r="AL57" s="132" t="n"/>
      <c r="AM57" s="178" t="n"/>
      <c r="AN57" s="178" t="n"/>
      <c r="AO57" s="178" t="n"/>
      <c r="AP57" s="178" t="n"/>
      <c r="AQ57" s="135" t="n"/>
      <c r="AR57" s="135" t="n"/>
      <c r="AS57" s="136" t="n"/>
      <c r="AT57" s="390">
        <f>_xlfn.TEXTJOIN("-",TRUE,AL57,AM57,AN57)</f>
        <v/>
      </c>
      <c r="AU57" s="123" t="inlineStr">
        <is>
          <t>185/55R15</t>
        </is>
      </c>
      <c r="AV57" s="177" t="inlineStr">
        <is>
          <t>/</t>
        </is>
      </c>
      <c r="AW57" s="139" t="inlineStr">
        <is>
          <t>T-118</t>
        </is>
      </c>
      <c r="AX57" s="177" t="inlineStr">
        <is>
          <t>S021366A-72</t>
        </is>
      </c>
      <c r="AY57" s="131" t="n">
        <v>6.964</v>
      </c>
      <c r="AZ57" s="131" t="n">
        <v>6.963</v>
      </c>
      <c r="BA57" s="130">
        <f>AY57-AZ57</f>
        <v/>
      </c>
      <c r="BB57" s="390">
        <f>_xlfn.TEXTJOIN("-",TRUE,AU57,AW57)</f>
        <v/>
      </c>
    </row>
    <row r="58">
      <c r="B58" s="123" t="inlineStr">
        <is>
          <t>8.25R20</t>
        </is>
      </c>
      <c r="C58" s="169" t="inlineStr">
        <is>
          <t>16PR</t>
        </is>
      </c>
      <c r="D58" s="177" t="inlineStr">
        <is>
          <t>EZ867</t>
        </is>
      </c>
      <c r="E58" s="171" t="inlineStr">
        <is>
          <t>ID8.25R20-16PR-B C ID</t>
        </is>
      </c>
      <c r="F58" s="131">
        <f>G58-2.441+2.951</f>
        <v/>
      </c>
      <c r="G58" s="131" t="n">
        <v>43.941</v>
      </c>
      <c r="H58" s="129" t="n">
        <v>43.95</v>
      </c>
      <c r="I58" s="130">
        <f>G58-H58</f>
        <v/>
      </c>
      <c r="J58" s="115">
        <f>_xlfn.TEXTJOIN("-",TRUE,B58,C58,D58)</f>
        <v/>
      </c>
      <c r="K58" s="132" t="n"/>
      <c r="L58" s="178" t="n"/>
      <c r="M58" s="178" t="n"/>
      <c r="N58" s="178" t="n"/>
      <c r="O58" s="178" t="n"/>
      <c r="P58" s="178" t="n"/>
      <c r="Q58" s="178" t="n"/>
      <c r="R58" s="134" t="n"/>
      <c r="S58" s="390">
        <f>_xlfn.TEXTJOIN("-",TRUE,K58,L58,M58)</f>
        <v/>
      </c>
      <c r="T58" s="132" t="n"/>
      <c r="U58" s="178" t="n"/>
      <c r="V58" s="178" t="n"/>
      <c r="W58" s="178" t="n"/>
      <c r="X58" s="178" t="n"/>
      <c r="Y58" s="178" t="n"/>
      <c r="Z58" s="178" t="n"/>
      <c r="AA58" s="134" t="n"/>
      <c r="AB58" s="390">
        <f>_xlfn.TEXTJOIN("-",TRUE,T58,U58,V58)</f>
        <v/>
      </c>
      <c r="AC58" s="132" t="n"/>
      <c r="AD58" s="178" t="n"/>
      <c r="AE58" s="178" t="n"/>
      <c r="AF58" s="178" t="n"/>
      <c r="AG58" s="178" t="n"/>
      <c r="AH58" s="178" t="n"/>
      <c r="AI58" s="178" t="n"/>
      <c r="AJ58" s="134" t="n"/>
      <c r="AK58" s="390">
        <f>_xlfn.TEXTJOIN("-",TRUE,AC58,AD58,AE58)</f>
        <v/>
      </c>
      <c r="AL58" s="123" t="inlineStr">
        <is>
          <t>ST205/75R14</t>
        </is>
      </c>
      <c r="AM58" s="177" t="inlineStr">
        <is>
          <t>6PR</t>
        </is>
      </c>
      <c r="AN58" s="177" t="inlineStr">
        <is>
          <t>ST100</t>
        </is>
      </c>
      <c r="AO58" s="177" t="inlineStr">
        <is>
          <t>ST205/75R14-6PR ST-100/STZC</t>
        </is>
      </c>
      <c r="AP58" s="177" t="n"/>
      <c r="AQ58" s="131" t="n">
        <v>9.534000000000001</v>
      </c>
      <c r="AR58" s="131" t="n">
        <v>9.41</v>
      </c>
      <c r="AS58" s="130">
        <f>AQ58-AR58</f>
        <v/>
      </c>
      <c r="AT58" s="390">
        <f>_xlfn.TEXTJOIN("-",TRUE,AL58,AM58,AN58)</f>
        <v/>
      </c>
      <c r="AU58" s="123" t="inlineStr">
        <is>
          <t>185/55R15</t>
        </is>
      </c>
      <c r="AV58" s="177" t="inlineStr">
        <is>
          <t>/</t>
        </is>
      </c>
      <c r="AW58" s="139" t="inlineStr">
        <is>
          <t>Z-108</t>
        </is>
      </c>
      <c r="AX58" s="177" t="inlineStr">
        <is>
          <t>S021366A-72</t>
        </is>
      </c>
      <c r="AY58" s="131" t="n">
        <v>6.964</v>
      </c>
      <c r="AZ58" s="131" t="n">
        <v>6.963</v>
      </c>
      <c r="BA58" s="130">
        <f>AY58-AZ58</f>
        <v/>
      </c>
      <c r="BB58" s="390">
        <f>_xlfn.TEXTJOIN("-",TRUE,AU58,AW58)</f>
        <v/>
      </c>
    </row>
    <row r="59" ht="13.8" customHeight="1" s="428">
      <c r="B59" s="123" t="inlineStr">
        <is>
          <t>8.25R20</t>
        </is>
      </c>
      <c r="C59" s="169" t="inlineStr">
        <is>
          <t>16PR</t>
        </is>
      </c>
      <c r="D59" s="177" t="inlineStr">
        <is>
          <t>VEZ87</t>
        </is>
      </c>
      <c r="E59" s="125" t="inlineStr">
        <is>
          <t>ID8.25R20-16PR-B C ID</t>
        </is>
      </c>
      <c r="F59" s="131">
        <f>G59-2.441+2.951</f>
        <v/>
      </c>
      <c r="G59" s="131" t="n">
        <v>43.941</v>
      </c>
      <c r="H59" s="129" t="n">
        <v>43.95</v>
      </c>
      <c r="I59" s="130">
        <f>G59-H59</f>
        <v/>
      </c>
      <c r="J59" s="115">
        <f>_xlfn.TEXTJOIN("-",TRUE,B59,C59,D59)</f>
        <v/>
      </c>
      <c r="K59" s="123" t="inlineStr">
        <is>
          <t>4.80-12</t>
        </is>
      </c>
      <c r="L59" s="177" t="inlineStr">
        <is>
          <t>4PR</t>
        </is>
      </c>
      <c r="M59" s="177" t="inlineStr">
        <is>
          <t>SU201</t>
        </is>
      </c>
      <c r="N59" s="125" t="inlineStr">
        <is>
          <t>4.80-12-4PR SUZT</t>
        </is>
      </c>
      <c r="O59" s="177" t="inlineStr">
        <is>
          <t>/</t>
        </is>
      </c>
      <c r="P59" s="177" t="n">
        <v>4.09</v>
      </c>
      <c r="Q59" s="177" t="n">
        <v>4.05</v>
      </c>
      <c r="R59" s="127">
        <f>P59-Q59</f>
        <v/>
      </c>
      <c r="S59" s="390">
        <f>_xlfn.TEXTJOIN("-",TRUE,K59,L59,M59)</f>
        <v/>
      </c>
      <c r="T59" s="123" t="inlineStr">
        <is>
          <t>25 X 11.00-12</t>
        </is>
      </c>
      <c r="U59" s="177" t="inlineStr">
        <is>
          <t>6PR</t>
        </is>
      </c>
      <c r="V59" s="177" t="inlineStr">
        <is>
          <t>OTR09</t>
        </is>
      </c>
      <c r="W59" s="177" t="inlineStr">
        <is>
          <t>/</t>
        </is>
      </c>
      <c r="X59" s="177" t="n"/>
      <c r="Y59" s="131" t="n">
        <v>10.387</v>
      </c>
      <c r="Z59" s="131" t="n">
        <v>11.04</v>
      </c>
      <c r="AA59" s="130">
        <f>Y59-Z59</f>
        <v/>
      </c>
      <c r="AB59" s="390">
        <f>_xlfn.TEXTJOIN("-",TRUE,T59,U59,V59)</f>
        <v/>
      </c>
      <c r="AC59" s="123" t="inlineStr">
        <is>
          <t>15.5-25</t>
        </is>
      </c>
      <c r="AD59" s="177" t="inlineStr">
        <is>
          <t>12PR</t>
        </is>
      </c>
      <c r="AE59" s="177" t="inlineStr">
        <is>
          <t>STRONG GUARD LG2</t>
        </is>
      </c>
      <c r="AF59" s="156" t="inlineStr">
        <is>
          <t>/</t>
        </is>
      </c>
      <c r="AG59" s="156" t="inlineStr">
        <is>
          <t>/</t>
        </is>
      </c>
      <c r="AH59" s="131" t="n">
        <v>76.59999999999999</v>
      </c>
      <c r="AI59" s="177" t="n">
        <v>76.2</v>
      </c>
      <c r="AJ59" s="130">
        <f>AH59-AI59</f>
        <v/>
      </c>
      <c r="AK59" s="390">
        <f>_xlfn.TEXTJOIN("-",TRUE,AC59,AD59,AE59)</f>
        <v/>
      </c>
      <c r="AL59" s="123" t="inlineStr">
        <is>
          <t>ST205/75R14</t>
        </is>
      </c>
      <c r="AM59" s="177" t="inlineStr">
        <is>
          <t>6PR</t>
        </is>
      </c>
      <c r="AN59" s="177" t="inlineStr">
        <is>
          <t>STZC</t>
        </is>
      </c>
      <c r="AO59" s="177" t="inlineStr">
        <is>
          <t>ST205/75R14-6PR ST-100/STZC</t>
        </is>
      </c>
      <c r="AP59" s="177" t="n"/>
      <c r="AQ59" s="131" t="n">
        <v>9.534000000000001</v>
      </c>
      <c r="AR59" s="131" t="n">
        <v>9.41</v>
      </c>
      <c r="AS59" s="130">
        <f>AQ59-AR59</f>
        <v/>
      </c>
      <c r="AT59" s="390">
        <f>_xlfn.TEXTJOIN("-",TRUE,AL59,AM59,AN59)</f>
        <v/>
      </c>
      <c r="AU59" s="132" t="n"/>
      <c r="AV59" s="178" t="n"/>
      <c r="AW59" s="178" t="n"/>
      <c r="AX59" s="178" t="n"/>
      <c r="AY59" s="135" t="n"/>
      <c r="AZ59" s="135" t="n"/>
      <c r="BA59" s="136" t="n"/>
      <c r="BB59" s="390">
        <f>_xlfn.TEXTJOIN("-",TRUE,AU59,AW59)</f>
        <v/>
      </c>
    </row>
    <row r="60" ht="13.8" customHeight="1" s="428">
      <c r="B60" s="132" t="n"/>
      <c r="C60" s="178" t="n"/>
      <c r="D60" s="178" t="n"/>
      <c r="E60" s="178" t="n"/>
      <c r="F60" s="135" t="n"/>
      <c r="G60" s="135" t="n"/>
      <c r="H60" s="174" t="n"/>
      <c r="I60" s="134" t="n"/>
      <c r="J60" s="115">
        <f>_xlfn.TEXTJOIN("-",TRUE,B60,C60,D60)</f>
        <v/>
      </c>
      <c r="K60" s="123" t="inlineStr">
        <is>
          <t>4.80-12</t>
        </is>
      </c>
      <c r="L60" s="177" t="inlineStr">
        <is>
          <t>4PR</t>
        </is>
      </c>
      <c r="M60" s="177" t="inlineStr">
        <is>
          <t>ZT201</t>
        </is>
      </c>
      <c r="N60" s="125" t="inlineStr">
        <is>
          <t>4.80-12-4PR SUZT</t>
        </is>
      </c>
      <c r="O60" s="177" t="inlineStr">
        <is>
          <t>/</t>
        </is>
      </c>
      <c r="P60" s="177" t="n">
        <v>4.09</v>
      </c>
      <c r="Q60" s="177" t="n">
        <v>4.05</v>
      </c>
      <c r="R60" s="127">
        <f>P60-Q60</f>
        <v/>
      </c>
      <c r="S60" s="390">
        <f>_xlfn.TEXTJOIN("-",TRUE,K60,L60,M60)</f>
        <v/>
      </c>
      <c r="T60" s="132" t="n"/>
      <c r="U60" s="178" t="n"/>
      <c r="V60" s="178" t="n"/>
      <c r="W60" s="178" t="n"/>
      <c r="X60" s="178" t="n"/>
      <c r="Y60" s="178" t="n"/>
      <c r="Z60" s="178" t="n"/>
      <c r="AA60" s="134" t="n"/>
      <c r="AB60" s="390">
        <f>_xlfn.TEXTJOIN("-",TRUE,T60,U60,V60)</f>
        <v/>
      </c>
      <c r="AC60" s="132" t="n"/>
      <c r="AD60" s="178" t="n"/>
      <c r="AE60" s="178" t="n"/>
      <c r="AF60" s="178" t="n"/>
      <c r="AG60" s="178" t="n"/>
      <c r="AH60" s="178" t="n"/>
      <c r="AI60" s="178" t="n"/>
      <c r="AJ60" s="134" t="n"/>
      <c r="AK60" s="390">
        <f>_xlfn.TEXTJOIN("-",TRUE,AC60,AD60,AE60)</f>
        <v/>
      </c>
      <c r="AL60" s="123" t="inlineStr">
        <is>
          <t>ST205/75R14</t>
        </is>
      </c>
      <c r="AM60" s="177" t="inlineStr">
        <is>
          <t>8PR</t>
        </is>
      </c>
      <c r="AN60" s="177" t="inlineStr">
        <is>
          <t>ST100</t>
        </is>
      </c>
      <c r="AO60" s="177" t="inlineStr">
        <is>
          <t>ST205/75R14-8PR ST-100/STZC</t>
        </is>
      </c>
      <c r="AP60" s="177" t="n"/>
      <c r="AQ60" s="131" t="n">
        <v>10.767</v>
      </c>
      <c r="AR60" s="131" t="n">
        <v>10.622</v>
      </c>
      <c r="AS60" s="130">
        <f>AQ60-AR60</f>
        <v/>
      </c>
      <c r="AT60" s="390">
        <f>_xlfn.TEXTJOIN("-",TRUE,AL60,AM60,AN60)</f>
        <v/>
      </c>
      <c r="AU60" s="123" t="inlineStr">
        <is>
          <t>185/60R14</t>
        </is>
      </c>
      <c r="AV60" s="177" t="inlineStr">
        <is>
          <t>/</t>
        </is>
      </c>
      <c r="AW60" s="177" t="inlineStr">
        <is>
          <t>C-108</t>
        </is>
      </c>
      <c r="AX60" s="177" t="inlineStr">
        <is>
          <t>S020983A-42</t>
        </is>
      </c>
      <c r="AY60" s="131" t="n">
        <v>6.375</v>
      </c>
      <c r="AZ60" s="131" t="n">
        <v>6.387</v>
      </c>
      <c r="BA60" s="130">
        <f>AY60-AZ60</f>
        <v/>
      </c>
      <c r="BB60" s="390">
        <f>_xlfn.TEXTJOIN("-",TRUE,AU60,AW60)</f>
        <v/>
      </c>
    </row>
    <row r="61" ht="13.8" customHeight="1" s="428">
      <c r="B61" s="123" t="inlineStr">
        <is>
          <t>10.00R20</t>
        </is>
      </c>
      <c r="C61" s="177" t="inlineStr">
        <is>
          <t>18PR</t>
        </is>
      </c>
      <c r="D61" s="125" t="inlineStr">
        <is>
          <t>AZ676</t>
        </is>
      </c>
      <c r="E61" s="125" t="inlineStr">
        <is>
          <t>10.00R20-18PR-AH ST C ID</t>
        </is>
      </c>
      <c r="F61" s="131">
        <f>G61-3.476+4.189</f>
        <v/>
      </c>
      <c r="G61" s="131" t="n">
        <v>60.74</v>
      </c>
      <c r="H61" s="129" t="n">
        <v>60.98</v>
      </c>
      <c r="I61" s="130">
        <f>G61-H61</f>
        <v/>
      </c>
      <c r="J61" s="115">
        <f>_xlfn.TEXTJOIN("-",TRUE,B61,C61,D61)</f>
        <v/>
      </c>
      <c r="K61" s="123" t="inlineStr">
        <is>
          <t>4.80-12</t>
        </is>
      </c>
      <c r="L61" s="177" t="inlineStr">
        <is>
          <t>6PR</t>
        </is>
      </c>
      <c r="M61" s="126" t="inlineStr">
        <is>
          <t>SU201</t>
        </is>
      </c>
      <c r="N61" s="177" t="inlineStr">
        <is>
          <t>4.80-12-6PR SUZT</t>
        </is>
      </c>
      <c r="O61" s="169" t="inlineStr">
        <is>
          <t>/</t>
        </is>
      </c>
      <c r="P61" s="131" t="n">
        <v>4.13</v>
      </c>
      <c r="Q61" s="177" t="n">
        <v>4.09</v>
      </c>
      <c r="R61" s="127">
        <f>P61-Q61</f>
        <v/>
      </c>
      <c r="S61" s="390">
        <f>_xlfn.TEXTJOIN("-",TRUE,K61,L61,M61)</f>
        <v/>
      </c>
      <c r="T61" s="123" t="inlineStr">
        <is>
          <t>26 X9.00-12</t>
        </is>
      </c>
      <c r="U61" s="177" t="inlineStr">
        <is>
          <t>6PR</t>
        </is>
      </c>
      <c r="V61" s="177" t="inlineStr">
        <is>
          <t>A033</t>
        </is>
      </c>
      <c r="W61" s="177" t="inlineStr">
        <is>
          <t>26X9.00-12-6PR A033</t>
        </is>
      </c>
      <c r="X61" s="177" t="n"/>
      <c r="Y61" s="131" t="n">
        <v>9.67</v>
      </c>
      <c r="Z61" s="131" t="n">
        <v>9.669</v>
      </c>
      <c r="AA61" s="130">
        <f>Y61-Z61</f>
        <v/>
      </c>
      <c r="AB61" s="390">
        <f>_xlfn.TEXTJOIN("-",TRUE,T61,U61,V61)</f>
        <v/>
      </c>
      <c r="AC61" s="123" t="inlineStr">
        <is>
          <t>16.0/70-20</t>
        </is>
      </c>
      <c r="AD61" s="177" t="inlineStr">
        <is>
          <t>12PR</t>
        </is>
      </c>
      <c r="AE61" s="177" t="inlineStr">
        <is>
          <t>STRONG GUARD MPT</t>
        </is>
      </c>
      <c r="AF61" s="156" t="inlineStr">
        <is>
          <t>16.0/70-20-12PR  SGMPT</t>
        </is>
      </c>
      <c r="AG61" s="156" t="inlineStr">
        <is>
          <t>/</t>
        </is>
      </c>
      <c r="AH61" s="131" t="n">
        <v>54.8</v>
      </c>
      <c r="AI61" s="177" t="n">
        <v>55.17</v>
      </c>
      <c r="AJ61" s="130">
        <f>AH61-AI61</f>
        <v/>
      </c>
      <c r="AK61" s="390">
        <f>_xlfn.TEXTJOIN("-",TRUE,AC61,AD61,AE61)</f>
        <v/>
      </c>
      <c r="AL61" s="123" t="inlineStr">
        <is>
          <t>ST205/75R14</t>
        </is>
      </c>
      <c r="AM61" s="177" t="inlineStr">
        <is>
          <t>8PR</t>
        </is>
      </c>
      <c r="AN61" s="177" t="inlineStr">
        <is>
          <t>STZC</t>
        </is>
      </c>
      <c r="AO61" s="177" t="inlineStr">
        <is>
          <t>ST205/75R14-8PR ST-100/STZC</t>
        </is>
      </c>
      <c r="AP61" s="177" t="n"/>
      <c r="AQ61" s="131" t="n">
        <v>10.767</v>
      </c>
      <c r="AR61" s="131" t="n">
        <v>10.622</v>
      </c>
      <c r="AS61" s="130">
        <f>AQ61-AR61</f>
        <v/>
      </c>
      <c r="AT61" s="390">
        <f>_xlfn.TEXTJOIN("-",TRUE,AL61,AM61,AN61)</f>
        <v/>
      </c>
      <c r="AU61" s="123" t="inlineStr">
        <is>
          <t>185/60R14</t>
        </is>
      </c>
      <c r="AV61" s="177" t="inlineStr">
        <is>
          <t>/</t>
        </is>
      </c>
      <c r="AW61" s="177" t="inlineStr">
        <is>
          <t>G-118</t>
        </is>
      </c>
      <c r="AX61" s="177" t="inlineStr">
        <is>
          <t>S020983A-42</t>
        </is>
      </c>
      <c r="AY61" s="131" t="n">
        <v>6.375</v>
      </c>
      <c r="AZ61" s="131" t="n">
        <v>6.387</v>
      </c>
      <c r="BA61" s="130">
        <f>AY61-AZ61</f>
        <v/>
      </c>
      <c r="BB61" s="390">
        <f>_xlfn.TEXTJOIN("-",TRUE,AU61,AW61)</f>
        <v/>
      </c>
    </row>
    <row r="62">
      <c r="B62" s="123" t="inlineStr">
        <is>
          <t>10.00R20</t>
        </is>
      </c>
      <c r="C62" s="177" t="inlineStr">
        <is>
          <t>18PR</t>
        </is>
      </c>
      <c r="D62" s="125" t="inlineStr">
        <is>
          <t>BMA08</t>
        </is>
      </c>
      <c r="E62" s="125" t="inlineStr">
        <is>
          <t>10.00R20-18PR-AH ST C ID</t>
        </is>
      </c>
      <c r="F62" s="131">
        <f>G62-3.476+4.189</f>
        <v/>
      </c>
      <c r="G62" s="131" t="n">
        <v>60.74</v>
      </c>
      <c r="H62" s="129" t="n">
        <v>60.98</v>
      </c>
      <c r="I62" s="130">
        <f>G62-H62</f>
        <v/>
      </c>
      <c r="J62" s="115">
        <f>_xlfn.TEXTJOIN("-",TRUE,B62,C62,D62)</f>
        <v/>
      </c>
      <c r="K62" s="123" t="inlineStr">
        <is>
          <t>4.80-12</t>
        </is>
      </c>
      <c r="L62" s="177" t="inlineStr">
        <is>
          <t>6PR</t>
        </is>
      </c>
      <c r="M62" s="126" t="inlineStr">
        <is>
          <t>ZT201</t>
        </is>
      </c>
      <c r="N62" s="177" t="inlineStr">
        <is>
          <t>4.80-12-6PR SUZT</t>
        </is>
      </c>
      <c r="O62" s="169" t="inlineStr">
        <is>
          <t>/</t>
        </is>
      </c>
      <c r="P62" s="131" t="n">
        <v>4.13</v>
      </c>
      <c r="Q62" s="177" t="n">
        <v>4.09</v>
      </c>
      <c r="R62" s="127">
        <f>P62-Q62</f>
        <v/>
      </c>
      <c r="S62" s="390">
        <f>_xlfn.TEXTJOIN("-",TRUE,K62,L62,M62)</f>
        <v/>
      </c>
      <c r="T62" s="123" t="inlineStr">
        <is>
          <t>26 X 9R12</t>
        </is>
      </c>
      <c r="U62" s="177" t="inlineStr">
        <is>
          <t>8PR</t>
        </is>
      </c>
      <c r="V62" s="177" t="inlineStr">
        <is>
          <t>AR11</t>
        </is>
      </c>
      <c r="W62" s="177" t="inlineStr">
        <is>
          <t>26X9R12-8PR AR11</t>
        </is>
      </c>
      <c r="X62" s="177" t="n"/>
      <c r="Y62" s="131" t="n">
        <v>12.725</v>
      </c>
      <c r="Z62" s="131" t="n">
        <v>12.63</v>
      </c>
      <c r="AA62" s="130">
        <f>Y62-Z62</f>
        <v/>
      </c>
      <c r="AB62" s="390">
        <f>_xlfn.TEXTJOIN("-",TRUE,T62,U62,V62)</f>
        <v/>
      </c>
      <c r="AC62" s="123" t="inlineStr">
        <is>
          <t>16.0/70-20</t>
        </is>
      </c>
      <c r="AD62" s="177" t="inlineStr">
        <is>
          <t>14PR</t>
        </is>
      </c>
      <c r="AE62" s="177" t="inlineStr">
        <is>
          <t>STRONG GUARD MPT</t>
        </is>
      </c>
      <c r="AF62" s="156" t="inlineStr">
        <is>
          <t>16.0/70-20-14PR  SGMPT</t>
        </is>
      </c>
      <c r="AG62" s="156" t="inlineStr">
        <is>
          <t>/</t>
        </is>
      </c>
      <c r="AH62" s="131" t="n">
        <v>57.03</v>
      </c>
      <c r="AI62" s="177" t="n">
        <v>56.51</v>
      </c>
      <c r="AJ62" s="130">
        <f>AH62-AI62</f>
        <v/>
      </c>
      <c r="AK62" s="390">
        <f>_xlfn.TEXTJOIN("-",TRUE,AC62,AD62,AE62)</f>
        <v/>
      </c>
      <c r="AL62" s="123" t="inlineStr">
        <is>
          <t>ST205/75R14</t>
        </is>
      </c>
      <c r="AM62" s="177" t="inlineStr">
        <is>
          <t>6PR</t>
        </is>
      </c>
      <c r="AN62" s="177" t="inlineStr">
        <is>
          <t>ST100A</t>
        </is>
      </c>
      <c r="AO62" s="177" t="inlineStr">
        <is>
          <t>ST205/75R14-6PR SDAT</t>
        </is>
      </c>
      <c r="AP62" s="177" t="n"/>
      <c r="AQ62" s="131" t="n">
        <v>8.821</v>
      </c>
      <c r="AR62" s="131" t="n">
        <v>8.695</v>
      </c>
      <c r="AS62" s="130">
        <f>AQ62-AR62</f>
        <v/>
      </c>
      <c r="AT62" s="390">
        <f>_xlfn.TEXTJOIN("-",TRUE,AL62,AM62,AN62)</f>
        <v/>
      </c>
      <c r="AU62" s="123" t="inlineStr">
        <is>
          <t>185/60R14</t>
        </is>
      </c>
      <c r="AV62" s="177" t="inlineStr">
        <is>
          <t>/</t>
        </is>
      </c>
      <c r="AW62" s="139" t="inlineStr">
        <is>
          <t>T-118</t>
        </is>
      </c>
      <c r="AX62" s="177" t="inlineStr">
        <is>
          <t>S020983A-42</t>
        </is>
      </c>
      <c r="AY62" s="131" t="n">
        <v>6.375</v>
      </c>
      <c r="AZ62" s="131" t="n">
        <v>6.387</v>
      </c>
      <c r="BA62" s="130">
        <f>AY62-AZ62</f>
        <v/>
      </c>
      <c r="BB62" s="390">
        <f>_xlfn.TEXTJOIN("-",TRUE,AU62,AW62)</f>
        <v/>
      </c>
    </row>
    <row r="63">
      <c r="B63" s="123" t="inlineStr">
        <is>
          <t>10.00R20</t>
        </is>
      </c>
      <c r="C63" s="126" t="inlineStr">
        <is>
          <t>18PR</t>
        </is>
      </c>
      <c r="D63" s="175" t="inlineStr">
        <is>
          <t>AZ850</t>
        </is>
      </c>
      <c r="E63" s="177" t="inlineStr">
        <is>
          <t>10.00R20-18PR-AF ST C ID</t>
        </is>
      </c>
      <c r="F63" s="128">
        <f>G63-3.476+4.189</f>
        <v/>
      </c>
      <c r="G63" s="131" t="n">
        <v>62.472</v>
      </c>
      <c r="H63" s="129" t="n">
        <v>62.16</v>
      </c>
      <c r="I63" s="130">
        <f>G63-H63</f>
        <v/>
      </c>
      <c r="J63" s="115">
        <f>_xlfn.TEXTJOIN("-",TRUE,B63,C63,D63)</f>
        <v/>
      </c>
      <c r="K63" s="123" t="inlineStr">
        <is>
          <t>4.80-12</t>
        </is>
      </c>
      <c r="L63" s="177" t="inlineStr">
        <is>
          <t>6PR</t>
        </is>
      </c>
      <c r="M63" s="126" t="inlineStr">
        <is>
          <t>ST600</t>
        </is>
      </c>
      <c r="N63" s="125" t="inlineStr">
        <is>
          <t>4.80-12-6PR STR</t>
        </is>
      </c>
      <c r="O63" s="169" t="inlineStr">
        <is>
          <t>/</t>
        </is>
      </c>
      <c r="P63" s="177" t="n">
        <v>4.73</v>
      </c>
      <c r="Q63" s="131" t="n">
        <v>4.38</v>
      </c>
      <c r="R63" s="127">
        <f>P63-Q63</f>
        <v/>
      </c>
      <c r="S63" s="390">
        <f>_xlfn.TEXTJOIN("-",TRUE,K63,L63,M63)</f>
        <v/>
      </c>
      <c r="T63" s="123" t="inlineStr">
        <is>
          <t>26 X 9-12</t>
        </is>
      </c>
      <c r="U63" s="177" t="inlineStr">
        <is>
          <t>6PR</t>
        </is>
      </c>
      <c r="V63" s="177" t="inlineStr">
        <is>
          <t>AR12</t>
        </is>
      </c>
      <c r="W63" s="177" t="inlineStr">
        <is>
          <t>26X9-12-6PR AR12</t>
        </is>
      </c>
      <c r="X63" s="177" t="n"/>
      <c r="Y63" s="131" t="n">
        <v>9.337899999999999</v>
      </c>
      <c r="Z63" s="131" t="n">
        <v>9.282</v>
      </c>
      <c r="AA63" s="130">
        <f>Y63-Z63</f>
        <v/>
      </c>
      <c r="AB63" s="390">
        <f>_xlfn.TEXTJOIN("-",TRUE,T63,U63,V63)</f>
        <v/>
      </c>
      <c r="AC63" s="132" t="n"/>
      <c r="AD63" s="178" t="n"/>
      <c r="AE63" s="178" t="n"/>
      <c r="AF63" s="178" t="n"/>
      <c r="AG63" s="178" t="n"/>
      <c r="AH63" s="178" t="n"/>
      <c r="AI63" s="178" t="n"/>
      <c r="AJ63" s="134" t="n"/>
      <c r="AK63" s="390">
        <f>_xlfn.TEXTJOIN("-",TRUE,AC63,AD63,AE63)</f>
        <v/>
      </c>
      <c r="AL63" s="123" t="inlineStr">
        <is>
          <t>ST205/75R14</t>
        </is>
      </c>
      <c r="AM63" s="177" t="inlineStr">
        <is>
          <t>6PR</t>
        </is>
      </c>
      <c r="AN63" s="177" t="inlineStr">
        <is>
          <t>DURAHAULER ST</t>
        </is>
      </c>
      <c r="AO63" s="177" t="inlineStr">
        <is>
          <t>ST205/75R14-6PR SDAT</t>
        </is>
      </c>
      <c r="AP63" s="177" t="n"/>
      <c r="AQ63" s="131" t="n">
        <v>8.821</v>
      </c>
      <c r="AR63" s="131" t="n">
        <v>8.695</v>
      </c>
      <c r="AS63" s="130">
        <f>AQ63-AR63</f>
        <v/>
      </c>
      <c r="AT63" s="390">
        <f>_xlfn.TEXTJOIN("-",TRUE,AL63,AM63,AN63)</f>
        <v/>
      </c>
      <c r="AU63" s="123" t="inlineStr">
        <is>
          <t>185/60R14</t>
        </is>
      </c>
      <c r="AV63" s="177" t="inlineStr">
        <is>
          <t>/</t>
        </is>
      </c>
      <c r="AW63" s="139" t="inlineStr">
        <is>
          <t>Z-108</t>
        </is>
      </c>
      <c r="AX63" s="177" t="inlineStr">
        <is>
          <t>S020983A-42</t>
        </is>
      </c>
      <c r="AY63" s="131" t="n">
        <v>6.375</v>
      </c>
      <c r="AZ63" s="131" t="n">
        <v>6.387</v>
      </c>
      <c r="BA63" s="130">
        <f>AY63-AZ63</f>
        <v/>
      </c>
      <c r="BB63" s="390">
        <f>_xlfn.TEXTJOIN("-",TRUE,AU63,AW63)</f>
        <v/>
      </c>
    </row>
    <row r="64" ht="13.8" customHeight="1" s="428">
      <c r="B64" s="123" t="inlineStr">
        <is>
          <t>10.00R20</t>
        </is>
      </c>
      <c r="C64" s="126" t="inlineStr">
        <is>
          <t>18PR</t>
        </is>
      </c>
      <c r="D64" s="177" t="inlineStr">
        <is>
          <t>AZ691S</t>
        </is>
      </c>
      <c r="E64" s="177" t="inlineStr">
        <is>
          <t>10.00R20-18PR-AF ST C ID</t>
        </is>
      </c>
      <c r="F64" s="128">
        <f>G64-3.476+4.189</f>
        <v/>
      </c>
      <c r="G64" s="131" t="n">
        <v>62.472</v>
      </c>
      <c r="H64" s="129" t="n">
        <v>62.16</v>
      </c>
      <c r="I64" s="130">
        <f>G64-H64</f>
        <v/>
      </c>
      <c r="J64" s="115">
        <f>_xlfn.TEXTJOIN("-",TRUE,B64,C64,D64)</f>
        <v/>
      </c>
      <c r="K64" s="123" t="inlineStr">
        <is>
          <t>4.80-12</t>
        </is>
      </c>
      <c r="L64" s="177" t="inlineStr">
        <is>
          <t>6PR</t>
        </is>
      </c>
      <c r="M64" s="126" t="inlineStr">
        <is>
          <t>TE898</t>
        </is>
      </c>
      <c r="N64" s="125" t="inlineStr">
        <is>
          <t>4.80-12-6PR STR</t>
        </is>
      </c>
      <c r="O64" s="169" t="inlineStr">
        <is>
          <t>/</t>
        </is>
      </c>
      <c r="P64" s="177" t="n">
        <v>4.73</v>
      </c>
      <c r="Q64" s="131" t="n">
        <v>4.38</v>
      </c>
      <c r="R64" s="127">
        <f>P64-Q64</f>
        <v/>
      </c>
      <c r="S64" s="390">
        <f>_xlfn.TEXTJOIN("-",TRUE,K64,L64,M64)</f>
        <v/>
      </c>
      <c r="T64" s="132" t="n"/>
      <c r="U64" s="178" t="n"/>
      <c r="V64" s="178" t="n"/>
      <c r="W64" s="178" t="n"/>
      <c r="X64" s="178" t="n"/>
      <c r="Y64" s="178" t="n"/>
      <c r="Z64" s="178" t="n"/>
      <c r="AA64" s="134" t="n"/>
      <c r="AB64" s="390">
        <f>_xlfn.TEXTJOIN("-",TRUE,T64,U64,V64)</f>
        <v/>
      </c>
      <c r="AC64" s="123" t="inlineStr">
        <is>
          <t>16.9-24</t>
        </is>
      </c>
      <c r="AD64" s="177" t="inlineStr">
        <is>
          <t>12PR</t>
        </is>
      </c>
      <c r="AE64" s="177" t="inlineStr">
        <is>
          <t>STRONG GUARD XR4</t>
        </is>
      </c>
      <c r="AF64" s="156" t="inlineStr">
        <is>
          <t>/</t>
        </is>
      </c>
      <c r="AG64" s="156" t="inlineStr">
        <is>
          <t>/</t>
        </is>
      </c>
      <c r="AH64" s="131" t="n">
        <v>81.7</v>
      </c>
      <c r="AI64" s="177" t="n">
        <v>81.3</v>
      </c>
      <c r="AJ64" s="130">
        <f>AH64-AI64</f>
        <v/>
      </c>
      <c r="AK64" s="390">
        <f>_xlfn.TEXTJOIN("-",TRUE,AC64,AD64,AE64)</f>
        <v/>
      </c>
      <c r="AL64" s="123" t="inlineStr">
        <is>
          <t>ST205/75R14</t>
        </is>
      </c>
      <c r="AM64" s="177" t="inlineStr">
        <is>
          <t>6PR</t>
        </is>
      </c>
      <c r="AN64" s="177" t="inlineStr">
        <is>
          <t>ASSURE ST</t>
        </is>
      </c>
      <c r="AO64" s="177" t="inlineStr">
        <is>
          <t>ST205/75R14-6PR SDAT</t>
        </is>
      </c>
      <c r="AP64" s="177" t="n"/>
      <c r="AQ64" s="131" t="n">
        <v>8.821</v>
      </c>
      <c r="AR64" s="131" t="n">
        <v>8.695</v>
      </c>
      <c r="AS64" s="130">
        <f>AQ64-AR64</f>
        <v/>
      </c>
      <c r="AT64" s="390">
        <f>_xlfn.TEXTJOIN("-",TRUE,AL64,AM64,AN64)</f>
        <v/>
      </c>
      <c r="AU64" s="132" t="n"/>
      <c r="AV64" s="178" t="n"/>
      <c r="AW64" s="178" t="n"/>
      <c r="AX64" s="178" t="n"/>
      <c r="AY64" s="135" t="n"/>
      <c r="AZ64" s="135" t="n"/>
      <c r="BA64" s="136" t="n"/>
      <c r="BB64" s="390">
        <f>_xlfn.TEXTJOIN("-",TRUE,AU64,AW64)</f>
        <v/>
      </c>
    </row>
    <row r="65" ht="14.4" customHeight="1" s="428">
      <c r="B65" s="123" t="inlineStr">
        <is>
          <t>10.00R20</t>
        </is>
      </c>
      <c r="C65" s="177" t="inlineStr">
        <is>
          <t>18PR</t>
        </is>
      </c>
      <c r="D65" s="176" t="inlineStr">
        <is>
          <t>AZ802S</t>
        </is>
      </c>
      <c r="E65" s="177" t="inlineStr">
        <is>
          <t>10.00R20-18PR-AF ST C ID</t>
        </is>
      </c>
      <c r="F65" s="131">
        <f>G65-3.476+4.189</f>
        <v/>
      </c>
      <c r="G65" s="131" t="n">
        <v>62.472</v>
      </c>
      <c r="H65" s="129" t="n">
        <v>62.16</v>
      </c>
      <c r="I65" s="130">
        <f>G65-H65</f>
        <v/>
      </c>
      <c r="J65" s="115">
        <f>_xlfn.TEXTJOIN("-",TRUE,B65,C65,D65)</f>
        <v/>
      </c>
      <c r="K65" s="123" t="inlineStr">
        <is>
          <t>4.80-12</t>
        </is>
      </c>
      <c r="L65" s="177" t="inlineStr">
        <is>
          <t>6PR</t>
        </is>
      </c>
      <c r="M65" s="126" t="inlineStr">
        <is>
          <t>RC-101</t>
        </is>
      </c>
      <c r="N65" s="125" t="inlineStr">
        <is>
          <t>4.80-12-6PR STR</t>
        </is>
      </c>
      <c r="O65" s="169" t="inlineStr">
        <is>
          <t>/</t>
        </is>
      </c>
      <c r="P65" s="177" t="n">
        <v>4.73</v>
      </c>
      <c r="Q65" s="131" t="n">
        <v>4.38</v>
      </c>
      <c r="R65" s="127">
        <f>P65-Q65</f>
        <v/>
      </c>
      <c r="S65" s="390">
        <f>_xlfn.TEXTJOIN("-",TRUE,K65,L65,M65)</f>
        <v/>
      </c>
      <c r="T65" s="123" t="inlineStr">
        <is>
          <t>26 X 10R12</t>
        </is>
      </c>
      <c r="U65" s="177" t="inlineStr">
        <is>
          <t>8PR</t>
        </is>
      </c>
      <c r="V65" s="177" t="inlineStr">
        <is>
          <t>AR11</t>
        </is>
      </c>
      <c r="W65" s="177" t="inlineStr">
        <is>
          <t>26X10R12-8PR AR11</t>
        </is>
      </c>
      <c r="X65" s="177" t="n"/>
      <c r="Y65" s="131" t="n">
        <v>13.67</v>
      </c>
      <c r="Z65" s="131" t="n">
        <v>13.61</v>
      </c>
      <c r="AA65" s="130">
        <f>Y65-Z65</f>
        <v/>
      </c>
      <c r="AB65" s="390">
        <f>_xlfn.TEXTJOIN("-",TRUE,T65,U65,V65)</f>
        <v/>
      </c>
      <c r="AC65" s="132" t="n"/>
      <c r="AD65" s="178" t="n"/>
      <c r="AE65" s="178" t="n"/>
      <c r="AF65" s="178" t="n"/>
      <c r="AG65" s="178" t="n"/>
      <c r="AH65" s="178" t="n"/>
      <c r="AI65" s="178" t="n"/>
      <c r="AJ65" s="134" t="n"/>
      <c r="AK65" s="390">
        <f>_xlfn.TEXTJOIN("-",TRUE,AC65,AD65,AE65)</f>
        <v/>
      </c>
      <c r="AL65" s="123" t="inlineStr">
        <is>
          <t>ST205/75R14</t>
        </is>
      </c>
      <c r="AM65" s="177" t="inlineStr">
        <is>
          <t>6PR</t>
        </is>
      </c>
      <c r="AN65" s="177" t="inlineStr">
        <is>
          <t>Tow Pro ST</t>
        </is>
      </c>
      <c r="AO65" s="177" t="inlineStr">
        <is>
          <t>ST205/75R14-6PR SDAT</t>
        </is>
      </c>
      <c r="AP65" s="177" t="n"/>
      <c r="AQ65" s="131" t="n">
        <v>8.821</v>
      </c>
      <c r="AR65" s="131" t="n">
        <v>8.695</v>
      </c>
      <c r="AS65" s="130">
        <f>AQ65-AR65</f>
        <v/>
      </c>
      <c r="AT65" s="390">
        <f>_xlfn.TEXTJOIN("-",TRUE,AL65,AM65,AN65)</f>
        <v/>
      </c>
      <c r="AU65" s="123" t="inlineStr">
        <is>
          <t>185/60R15</t>
        </is>
      </c>
      <c r="AV65" s="177" t="inlineStr">
        <is>
          <t>/</t>
        </is>
      </c>
      <c r="AW65" s="177" t="inlineStr">
        <is>
          <t>C-108</t>
        </is>
      </c>
      <c r="AX65" s="177" t="inlineStr">
        <is>
          <t>S021367A-42</t>
        </is>
      </c>
      <c r="AY65" s="131" t="n">
        <v>6.661</v>
      </c>
      <c r="AZ65" s="131" t="n">
        <v>6.674</v>
      </c>
      <c r="BA65" s="130">
        <f>AY65-AZ65</f>
        <v/>
      </c>
      <c r="BB65" s="390">
        <f>_xlfn.TEXTJOIN("-",TRUE,AU65,AW65)</f>
        <v/>
      </c>
    </row>
    <row r="66" ht="13.8" customHeight="1" s="428">
      <c r="B66" s="123" t="inlineStr">
        <is>
          <t>10.00R20</t>
        </is>
      </c>
      <c r="C66" s="177" t="inlineStr">
        <is>
          <t>18PR</t>
        </is>
      </c>
      <c r="D66" s="177" t="inlineStr">
        <is>
          <t>CM958</t>
        </is>
      </c>
      <c r="E66" s="177" t="inlineStr">
        <is>
          <t>10.00R20-18PR-CM958 C ID</t>
        </is>
      </c>
      <c r="F66" s="131">
        <f>G66-3.476+4.189</f>
        <v/>
      </c>
      <c r="G66" s="131" t="n">
        <v>61.726</v>
      </c>
      <c r="H66" s="129" t="n">
        <v>61.1627</v>
      </c>
      <c r="I66" s="130">
        <f>G66-H66</f>
        <v/>
      </c>
      <c r="J66" s="115">
        <f>_xlfn.TEXTJOIN("-",TRUE,B66,C66,D66)</f>
        <v/>
      </c>
      <c r="K66" s="132" t="n"/>
      <c r="L66" s="178" t="n"/>
      <c r="M66" s="178" t="n"/>
      <c r="N66" s="178" t="n"/>
      <c r="O66" s="178" t="n"/>
      <c r="P66" s="178" t="n"/>
      <c r="Q66" s="178" t="n"/>
      <c r="R66" s="134" t="n"/>
      <c r="S66" s="390">
        <f>_xlfn.TEXTJOIN("-",TRUE,K66,L66,M66)</f>
        <v/>
      </c>
      <c r="T66" s="123" t="inlineStr">
        <is>
          <t>26 X 10-12</t>
        </is>
      </c>
      <c r="U66" s="177" t="inlineStr">
        <is>
          <t>6PR</t>
        </is>
      </c>
      <c r="V66" s="177" t="inlineStr">
        <is>
          <t>AR12</t>
        </is>
      </c>
      <c r="W66" s="177" t="inlineStr">
        <is>
          <t>26X10-12-6PR AR12</t>
        </is>
      </c>
      <c r="X66" s="177" t="n"/>
      <c r="Y66" s="131" t="n">
        <v>10.64</v>
      </c>
      <c r="Z66" s="131" t="n">
        <v>10.27</v>
      </c>
      <c r="AA66" s="130">
        <f>Y66-Z66</f>
        <v/>
      </c>
      <c r="AB66" s="390">
        <f>_xlfn.TEXTJOIN("-",TRUE,T66,U66,V66)</f>
        <v/>
      </c>
      <c r="AC66" s="123" t="inlineStr">
        <is>
          <t>16.9-28</t>
        </is>
      </c>
      <c r="AD66" s="177" t="inlineStr">
        <is>
          <t>12PR</t>
        </is>
      </c>
      <c r="AE66" s="177" t="inlineStr">
        <is>
          <t>STRONG GUARD XR4</t>
        </is>
      </c>
      <c r="AF66" s="156" t="inlineStr">
        <is>
          <t>/</t>
        </is>
      </c>
      <c r="AG66" s="156" t="inlineStr">
        <is>
          <t>/</t>
        </is>
      </c>
      <c r="AH66" s="131" t="n">
        <v>89.40000000000001</v>
      </c>
      <c r="AI66" s="177" t="n">
        <v>91.59999999999999</v>
      </c>
      <c r="AJ66" s="130">
        <f>AH66-AI66</f>
        <v/>
      </c>
      <c r="AK66" s="390">
        <f>_xlfn.TEXTJOIN("-",TRUE,AC66,AD66,AE66)</f>
        <v/>
      </c>
      <c r="AL66" s="123" t="inlineStr">
        <is>
          <t>ST205/75R14</t>
        </is>
      </c>
      <c r="AM66" s="177" t="inlineStr">
        <is>
          <t>8PR</t>
        </is>
      </c>
      <c r="AN66" s="177" t="inlineStr">
        <is>
          <t>ST100A</t>
        </is>
      </c>
      <c r="AO66" s="177" t="inlineStr">
        <is>
          <t>ST205/75R14-8PR SDAT</t>
        </is>
      </c>
      <c r="AP66" s="177" t="n"/>
      <c r="AQ66" s="131" t="n">
        <v>9.785</v>
      </c>
      <c r="AR66" s="131" t="n">
        <v>9.640000000000001</v>
      </c>
      <c r="AS66" s="130">
        <f>AQ66-AR66</f>
        <v/>
      </c>
      <c r="AT66" s="390">
        <f>_xlfn.TEXTJOIN("-",TRUE,AL66,AM66,AN66)</f>
        <v/>
      </c>
      <c r="AU66" s="123" t="inlineStr">
        <is>
          <t>185/60R15</t>
        </is>
      </c>
      <c r="AV66" s="177" t="inlineStr">
        <is>
          <t>/</t>
        </is>
      </c>
      <c r="AW66" s="177" t="inlineStr">
        <is>
          <t>G-118</t>
        </is>
      </c>
      <c r="AX66" s="177" t="inlineStr">
        <is>
          <t>S021367A-42</t>
        </is>
      </c>
      <c r="AY66" s="131" t="n">
        <v>6.661</v>
      </c>
      <c r="AZ66" s="131" t="n">
        <v>6.674</v>
      </c>
      <c r="BA66" s="130">
        <f>AY66-AZ66</f>
        <v/>
      </c>
      <c r="BB66" s="390">
        <f>_xlfn.TEXTJOIN("-",TRUE,AU66,AW66)</f>
        <v/>
      </c>
    </row>
    <row r="67" ht="13.8" customHeight="1" s="428">
      <c r="B67" s="123" t="inlineStr">
        <is>
          <t>10.00R20</t>
        </is>
      </c>
      <c r="C67" s="177" t="inlineStr">
        <is>
          <t>18PR</t>
        </is>
      </c>
      <c r="D67" s="177" t="inlineStr">
        <is>
          <t>CR926</t>
        </is>
      </c>
      <c r="E67" s="125" t="inlineStr">
        <is>
          <t>10.00R20-18PR-TC ST C ID</t>
        </is>
      </c>
      <c r="F67" s="131">
        <f>G67-3.476+4.189</f>
        <v/>
      </c>
      <c r="G67" s="131" t="n">
        <v>60.575</v>
      </c>
      <c r="H67" s="129" t="n">
        <v>60.0123</v>
      </c>
      <c r="I67" s="130">
        <f>G67-H67</f>
        <v/>
      </c>
      <c r="J67" s="115">
        <f>_xlfn.TEXTJOIN("-",TRUE,B67,C67,D67)</f>
        <v/>
      </c>
      <c r="K67" s="123" t="inlineStr">
        <is>
          <t>5.30-12</t>
        </is>
      </c>
      <c r="L67" s="177" t="inlineStr">
        <is>
          <t>6PR</t>
        </is>
      </c>
      <c r="M67" s="177" t="inlineStr">
        <is>
          <t>ST5000</t>
        </is>
      </c>
      <c r="N67" s="177" t="inlineStr">
        <is>
          <t>5.30-12-6PR ST5000</t>
        </is>
      </c>
      <c r="O67" s="177" t="inlineStr">
        <is>
          <t>/</t>
        </is>
      </c>
      <c r="P67" s="177" t="n">
        <v>5.44</v>
      </c>
      <c r="Q67" s="131" t="n">
        <v>5.41</v>
      </c>
      <c r="R67" s="127">
        <f>P67-Q67</f>
        <v/>
      </c>
      <c r="S67" s="390">
        <f>_xlfn.TEXTJOIN("-",TRUE,K67,L67,M67)</f>
        <v/>
      </c>
      <c r="T67" s="132" t="n"/>
      <c r="U67" s="178" t="n"/>
      <c r="V67" s="178" t="n"/>
      <c r="W67" s="178" t="n"/>
      <c r="X67" s="178" t="n"/>
      <c r="Y67" s="178" t="n"/>
      <c r="Z67" s="178" t="n"/>
      <c r="AA67" s="134" t="n"/>
      <c r="AB67" s="390">
        <f>_xlfn.TEXTJOIN("-",TRUE,T67,U67,V67)</f>
        <v/>
      </c>
      <c r="AC67" s="132" t="n"/>
      <c r="AD67" s="178" t="n"/>
      <c r="AE67" s="178" t="n"/>
      <c r="AF67" s="178" t="n"/>
      <c r="AG67" s="178" t="n"/>
      <c r="AH67" s="178" t="n"/>
      <c r="AI67" s="178" t="n"/>
      <c r="AJ67" s="134" t="n"/>
      <c r="AK67" s="390">
        <f>_xlfn.TEXTJOIN("-",TRUE,AC67,AD67,AE67)</f>
        <v/>
      </c>
      <c r="AL67" s="123" t="inlineStr">
        <is>
          <t>ST205/75R14</t>
        </is>
      </c>
      <c r="AM67" s="177" t="inlineStr">
        <is>
          <t>8PR</t>
        </is>
      </c>
      <c r="AN67" s="177" t="inlineStr">
        <is>
          <t>DURAHAULER ST</t>
        </is>
      </c>
      <c r="AO67" s="177" t="inlineStr">
        <is>
          <t>ST205/75R14-8PR SDAT</t>
        </is>
      </c>
      <c r="AP67" s="177" t="n"/>
      <c r="AQ67" s="131" t="n">
        <v>9.785</v>
      </c>
      <c r="AR67" s="131" t="n">
        <v>9.640000000000001</v>
      </c>
      <c r="AS67" s="130">
        <f>AQ67-AR67</f>
        <v/>
      </c>
      <c r="AT67" s="390">
        <f>_xlfn.TEXTJOIN("-",TRUE,AL67,AM67,AN67)</f>
        <v/>
      </c>
      <c r="AU67" s="123" t="inlineStr">
        <is>
          <t>185/60R15</t>
        </is>
      </c>
      <c r="AV67" s="177" t="inlineStr">
        <is>
          <t>/</t>
        </is>
      </c>
      <c r="AW67" s="139" t="inlineStr">
        <is>
          <t>T-118</t>
        </is>
      </c>
      <c r="AX67" s="177" t="inlineStr">
        <is>
          <t>S021367A-42</t>
        </is>
      </c>
      <c r="AY67" s="131" t="n">
        <v>6.661</v>
      </c>
      <c r="AZ67" s="131" t="n">
        <v>6.674</v>
      </c>
      <c r="BA67" s="130">
        <f>AY67-AZ67</f>
        <v/>
      </c>
      <c r="BB67" s="390">
        <f>_xlfn.TEXTJOIN("-",TRUE,AU67,AW67)</f>
        <v/>
      </c>
    </row>
    <row r="68">
      <c r="B68" s="123" t="inlineStr">
        <is>
          <t>10.00R20</t>
        </is>
      </c>
      <c r="C68" s="177" t="inlineStr">
        <is>
          <t>18PR</t>
        </is>
      </c>
      <c r="D68" s="177" t="inlineStr">
        <is>
          <t>TZ202</t>
        </is>
      </c>
      <c r="E68" s="125" t="inlineStr">
        <is>
          <t>10.00R20-18PR-TC ST C ID</t>
        </is>
      </c>
      <c r="F68" s="131">
        <f>G68-3.476+4.189</f>
        <v/>
      </c>
      <c r="G68" s="131" t="n">
        <v>60.575</v>
      </c>
      <c r="H68" s="129" t="n">
        <v>60.0123</v>
      </c>
      <c r="I68" s="130">
        <f>G68-H68</f>
        <v/>
      </c>
      <c r="J68" s="115">
        <f>_xlfn.TEXTJOIN("-",TRUE,B68,C68,D68)</f>
        <v/>
      </c>
      <c r="K68" s="123" t="inlineStr">
        <is>
          <t>5.30-12</t>
        </is>
      </c>
      <c r="L68" s="177" t="inlineStr">
        <is>
          <t>4PR</t>
        </is>
      </c>
      <c r="M68" s="177" t="inlineStr">
        <is>
          <t>SU201</t>
        </is>
      </c>
      <c r="N68" s="125" t="inlineStr">
        <is>
          <t>5.30-12-4PR SUZT</t>
        </is>
      </c>
      <c r="O68" s="177" t="inlineStr">
        <is>
          <t>/</t>
        </is>
      </c>
      <c r="P68" s="131" t="n">
        <v>5</v>
      </c>
      <c r="Q68" s="131" t="n">
        <v>4.97</v>
      </c>
      <c r="R68" s="127">
        <f>P68-Q68</f>
        <v/>
      </c>
      <c r="S68" s="390">
        <f>_xlfn.TEXTJOIN("-",TRUE,K68,L68,M68)</f>
        <v/>
      </c>
      <c r="T68" s="123" t="inlineStr">
        <is>
          <t>26 X11.00-12</t>
        </is>
      </c>
      <c r="U68" s="177" t="inlineStr">
        <is>
          <t>6PR</t>
        </is>
      </c>
      <c r="V68" s="177" t="inlineStr">
        <is>
          <t>A033</t>
        </is>
      </c>
      <c r="W68" s="177" t="inlineStr">
        <is>
          <t>26X11.00-12-6PR A033</t>
        </is>
      </c>
      <c r="X68" s="177" t="n"/>
      <c r="Y68" s="131" t="n">
        <v>11.255</v>
      </c>
      <c r="Z68" s="131" t="n">
        <v>11.256</v>
      </c>
      <c r="AA68" s="130">
        <f>Y68-Z68</f>
        <v/>
      </c>
      <c r="AB68" s="390">
        <f>_xlfn.TEXTJOIN("-",TRUE,T68,U68,V68)</f>
        <v/>
      </c>
      <c r="AC68" s="123" t="inlineStr">
        <is>
          <t>17.5-25</t>
        </is>
      </c>
      <c r="AD68" s="177" t="inlineStr">
        <is>
          <t>12PR</t>
        </is>
      </c>
      <c r="AE68" s="177" t="inlineStr">
        <is>
          <t>STRONG GUARD LG2</t>
        </is>
      </c>
      <c r="AF68" s="156" t="inlineStr">
        <is>
          <t>/</t>
        </is>
      </c>
      <c r="AG68" s="156" t="inlineStr">
        <is>
          <t>/</t>
        </is>
      </c>
      <c r="AH68" s="131" t="n">
        <v>97.3</v>
      </c>
      <c r="AI68" s="177" t="n">
        <v>96.8</v>
      </c>
      <c r="AJ68" s="130">
        <f>AH68-AI68</f>
        <v/>
      </c>
      <c r="AK68" s="390">
        <f>_xlfn.TEXTJOIN("-",TRUE,AC68,AD68,AE68)</f>
        <v/>
      </c>
      <c r="AL68" s="123" t="inlineStr">
        <is>
          <t>ST205/75R14</t>
        </is>
      </c>
      <c r="AM68" s="177" t="inlineStr">
        <is>
          <t>8PR</t>
        </is>
      </c>
      <c r="AN68" s="177" t="inlineStr">
        <is>
          <t>ASSURE ST</t>
        </is>
      </c>
      <c r="AO68" s="177" t="inlineStr">
        <is>
          <t>ST205/75R14-8PR SDAT</t>
        </is>
      </c>
      <c r="AP68" s="177" t="n"/>
      <c r="AQ68" s="131" t="n">
        <v>9.785</v>
      </c>
      <c r="AR68" s="131" t="n">
        <v>9.640000000000001</v>
      </c>
      <c r="AS68" s="130">
        <f>AQ68-AR68</f>
        <v/>
      </c>
      <c r="AT68" s="390">
        <f>_xlfn.TEXTJOIN("-",TRUE,AL68,AM68,AN68)</f>
        <v/>
      </c>
      <c r="AU68" s="123" t="inlineStr">
        <is>
          <t>185/60R15</t>
        </is>
      </c>
      <c r="AV68" s="177" t="inlineStr">
        <is>
          <t>/</t>
        </is>
      </c>
      <c r="AW68" s="139" t="inlineStr">
        <is>
          <t>Z-108</t>
        </is>
      </c>
      <c r="AX68" s="177" t="inlineStr">
        <is>
          <t>S021367A-42</t>
        </is>
      </c>
      <c r="AY68" s="131" t="n">
        <v>6.661</v>
      </c>
      <c r="AZ68" s="131" t="n">
        <v>6.674</v>
      </c>
      <c r="BA68" s="130">
        <f>AY68-AZ68</f>
        <v/>
      </c>
      <c r="BB68" s="390">
        <f>_xlfn.TEXTJOIN("-",TRUE,AU68,AW68)</f>
        <v/>
      </c>
    </row>
    <row r="69" ht="13.8" customHeight="1" s="428">
      <c r="B69" s="123" t="inlineStr">
        <is>
          <t>10.00R20</t>
        </is>
      </c>
      <c r="C69" s="177" t="inlineStr">
        <is>
          <t>18PR</t>
        </is>
      </c>
      <c r="D69" s="177" t="inlineStr">
        <is>
          <t>AZ686</t>
        </is>
      </c>
      <c r="E69" s="125" t="inlineStr">
        <is>
          <t>10.00R20-18PR-AA C ID</t>
        </is>
      </c>
      <c r="F69" s="131">
        <f>G69-3.544+4.189</f>
        <v/>
      </c>
      <c r="G69" s="131" t="n">
        <v>58.525</v>
      </c>
      <c r="H69" s="157" t="n">
        <v>58.5004</v>
      </c>
      <c r="I69" s="130">
        <f>G69-H69</f>
        <v/>
      </c>
      <c r="J69" s="115">
        <f>_xlfn.TEXTJOIN("-",TRUE,B69,C69,D69)</f>
        <v/>
      </c>
      <c r="K69" s="123" t="inlineStr">
        <is>
          <t>5.30-12</t>
        </is>
      </c>
      <c r="L69" s="177" t="inlineStr">
        <is>
          <t>4PR</t>
        </is>
      </c>
      <c r="M69" s="177" t="inlineStr">
        <is>
          <t>ZT201</t>
        </is>
      </c>
      <c r="N69" s="125" t="inlineStr">
        <is>
          <t>5.30-12-4PR SUZT</t>
        </is>
      </c>
      <c r="O69" s="177" t="inlineStr">
        <is>
          <t>/</t>
        </is>
      </c>
      <c r="P69" s="131" t="n">
        <v>5</v>
      </c>
      <c r="Q69" s="131" t="n">
        <v>4.97</v>
      </c>
      <c r="R69" s="127">
        <f>P69-Q69</f>
        <v/>
      </c>
      <c r="S69" s="390">
        <f>_xlfn.TEXTJOIN("-",TRUE,K69,L69,M69)</f>
        <v/>
      </c>
      <c r="T69" s="132" t="n"/>
      <c r="U69" s="178" t="n"/>
      <c r="V69" s="178" t="n"/>
      <c r="W69" s="178" t="n"/>
      <c r="X69" s="178" t="n"/>
      <c r="Y69" s="178" t="n"/>
      <c r="Z69" s="178" t="n"/>
      <c r="AA69" s="134" t="n"/>
      <c r="AB69" s="390">
        <f>_xlfn.TEXTJOIN("-",TRUE,T69,U69,V69)</f>
        <v/>
      </c>
      <c r="AC69" s="123" t="inlineStr">
        <is>
          <t>17.5-25</t>
        </is>
      </c>
      <c r="AD69" s="177" t="inlineStr">
        <is>
          <t>12PR</t>
        </is>
      </c>
      <c r="AE69" s="177" t="inlineStr">
        <is>
          <t>STRONG GUARD L-3</t>
        </is>
      </c>
      <c r="AF69" s="156" t="inlineStr">
        <is>
          <t>/</t>
        </is>
      </c>
      <c r="AG69" s="156" t="inlineStr">
        <is>
          <t>/</t>
        </is>
      </c>
      <c r="AH69" s="131" t="n">
        <v>114</v>
      </c>
      <c r="AI69" s="177" t="n">
        <v>113.9</v>
      </c>
      <c r="AJ69" s="130">
        <f>AH69-AI69</f>
        <v/>
      </c>
      <c r="AK69" s="390">
        <f>_xlfn.TEXTJOIN("-",TRUE,AC69,AD69,AE69)</f>
        <v/>
      </c>
      <c r="AL69" s="123" t="inlineStr">
        <is>
          <t>ST205/75R14</t>
        </is>
      </c>
      <c r="AM69" s="177" t="inlineStr">
        <is>
          <t>8PR</t>
        </is>
      </c>
      <c r="AN69" s="177" t="inlineStr">
        <is>
          <t>Tow Pro ST</t>
        </is>
      </c>
      <c r="AO69" s="177" t="inlineStr">
        <is>
          <t>ST205/75R14-8PR SDAT</t>
        </is>
      </c>
      <c r="AP69" s="177" t="n"/>
      <c r="AQ69" s="131" t="n">
        <v>9.785</v>
      </c>
      <c r="AR69" s="131" t="n">
        <v>9.640000000000001</v>
      </c>
      <c r="AS69" s="130">
        <f>AQ69-AR69</f>
        <v/>
      </c>
      <c r="AT69" s="390">
        <f>_xlfn.TEXTJOIN("-",TRUE,AL69,AM69,AN69)</f>
        <v/>
      </c>
      <c r="AU69" s="123" t="inlineStr">
        <is>
          <t>185/60R15</t>
        </is>
      </c>
      <c r="AV69" s="177" t="inlineStr">
        <is>
          <t>/</t>
        </is>
      </c>
      <c r="AW69" s="139" t="inlineStr">
        <is>
          <t>RP218</t>
        </is>
      </c>
      <c r="AX69" s="177" t="inlineStr">
        <is>
          <t>S021497A-60</t>
        </is>
      </c>
      <c r="AY69" s="131" t="n">
        <v>7.211</v>
      </c>
      <c r="AZ69" s="131" t="n">
        <v>7.211</v>
      </c>
      <c r="BA69" s="130">
        <f>AY69-AZ69</f>
        <v/>
      </c>
      <c r="BB69" s="390">
        <f>_xlfn.TEXTJOIN("-",TRUE,AU69,AW69)</f>
        <v/>
      </c>
    </row>
    <row r="70" ht="13.8" customHeight="1" s="428">
      <c r="B70" s="123" t="inlineStr">
        <is>
          <t>10.00R20</t>
        </is>
      </c>
      <c r="C70" s="177" t="inlineStr">
        <is>
          <t>18PR</t>
        </is>
      </c>
      <c r="D70" s="177" t="inlineStr">
        <is>
          <t>AZ601</t>
        </is>
      </c>
      <c r="E70" s="125" t="inlineStr">
        <is>
          <t>10.00R20-18PR-AA C ID</t>
        </is>
      </c>
      <c r="F70" s="131">
        <f>G70-3.544+4.189</f>
        <v/>
      </c>
      <c r="G70" s="131" t="n">
        <v>58.525</v>
      </c>
      <c r="H70" s="157" t="n">
        <v>58.5004</v>
      </c>
      <c r="I70" s="130">
        <f>G70-H70</f>
        <v/>
      </c>
      <c r="J70" s="115">
        <f>_xlfn.TEXTJOIN("-",TRUE,B70,C70,D70)</f>
        <v/>
      </c>
      <c r="K70" s="123" t="inlineStr">
        <is>
          <t>5.30-12</t>
        </is>
      </c>
      <c r="L70" s="177" t="inlineStr">
        <is>
          <t>6PR</t>
        </is>
      </c>
      <c r="M70" s="177" t="inlineStr">
        <is>
          <t>SU201</t>
        </is>
      </c>
      <c r="N70" s="125" t="inlineStr">
        <is>
          <t>5.30-12-6PR-SUZT</t>
        </is>
      </c>
      <c r="O70" s="177" t="inlineStr">
        <is>
          <t>/</t>
        </is>
      </c>
      <c r="P70" s="177" t="n">
        <v>5.04</v>
      </c>
      <c r="Q70" s="177" t="n">
        <v>5.02</v>
      </c>
      <c r="R70" s="127">
        <f>P70-Q70</f>
        <v/>
      </c>
      <c r="S70" s="390">
        <f>_xlfn.TEXTJOIN("-",TRUE,K70,L70,M70)</f>
        <v/>
      </c>
      <c r="T70" s="123" t="inlineStr">
        <is>
          <t>26 X 12R12</t>
        </is>
      </c>
      <c r="U70" s="177" t="inlineStr">
        <is>
          <t>8PR</t>
        </is>
      </c>
      <c r="V70" s="177" t="inlineStr">
        <is>
          <t>AR11</t>
        </is>
      </c>
      <c r="W70" s="177" t="inlineStr">
        <is>
          <t>26X12R12-8PR AR11</t>
        </is>
      </c>
      <c r="X70" s="177" t="n"/>
      <c r="Y70" s="131" t="n">
        <v>15.238</v>
      </c>
      <c r="Z70" s="131" t="n">
        <v>15.183</v>
      </c>
      <c r="AA70" s="130">
        <f>Y70-Z70</f>
        <v/>
      </c>
      <c r="AB70" s="390">
        <f>_xlfn.TEXTJOIN("-",TRUE,T70,U70,V70)</f>
        <v/>
      </c>
      <c r="AC70" s="132" t="n"/>
      <c r="AD70" s="178" t="n"/>
      <c r="AE70" s="178" t="n"/>
      <c r="AF70" s="178" t="n"/>
      <c r="AG70" s="178" t="n"/>
      <c r="AH70" s="178" t="n"/>
      <c r="AI70" s="178" t="n"/>
      <c r="AJ70" s="134" t="n"/>
      <c r="AK70" s="390">
        <f>_xlfn.TEXTJOIN("-",TRUE,AC70,AD70,AE70)</f>
        <v/>
      </c>
      <c r="AL70" s="123" t="inlineStr">
        <is>
          <t>ST205/75R14</t>
        </is>
      </c>
      <c r="AM70" s="177" t="inlineStr">
        <is>
          <t>6PR</t>
        </is>
      </c>
      <c r="AN70" s="177" t="inlineStr">
        <is>
          <t>ST Radial</t>
        </is>
      </c>
      <c r="AO70" s="177" t="inlineStr">
        <is>
          <t>ST205/75R14-6PR ST200/RA</t>
        </is>
      </c>
      <c r="AP70" s="177" t="n"/>
      <c r="AQ70" s="131" t="n">
        <v>8.743</v>
      </c>
      <c r="AR70" s="131" t="n">
        <v>8.678000000000001</v>
      </c>
      <c r="AS70" s="130">
        <f>AQ70-AR70</f>
        <v/>
      </c>
      <c r="AT70" s="390">
        <f>_xlfn.TEXTJOIN("-",TRUE,AL70,AM70,AN70)</f>
        <v/>
      </c>
      <c r="AU70" s="132" t="n"/>
      <c r="AV70" s="178" t="n"/>
      <c r="AW70" s="178" t="n"/>
      <c r="AX70" s="178" t="n"/>
      <c r="AY70" s="135" t="n"/>
      <c r="AZ70" s="135" t="n"/>
      <c r="BA70" s="136" t="n"/>
      <c r="BB70" s="390">
        <f>_xlfn.TEXTJOIN("-",TRUE,AU70,AW70)</f>
        <v/>
      </c>
    </row>
    <row r="71" ht="13.8" customHeight="1" s="428">
      <c r="B71" s="123" t="inlineStr">
        <is>
          <t>10.00R20</t>
        </is>
      </c>
      <c r="C71" s="177" t="inlineStr">
        <is>
          <t>18PR</t>
        </is>
      </c>
      <c r="D71" s="177" t="inlineStr">
        <is>
          <t>AZ697</t>
        </is>
      </c>
      <c r="E71" s="125" t="inlineStr">
        <is>
          <t>10.00R20-18PR-AA C ID</t>
        </is>
      </c>
      <c r="F71" s="131">
        <f>G71-3.544+4.189</f>
        <v/>
      </c>
      <c r="G71" s="131" t="n">
        <v>58.525</v>
      </c>
      <c r="H71" s="157" t="n">
        <v>58.5004</v>
      </c>
      <c r="I71" s="130">
        <f>G71-H71</f>
        <v/>
      </c>
      <c r="J71" s="115">
        <f>_xlfn.TEXTJOIN("-",TRUE,B71,C71,D71)</f>
        <v/>
      </c>
      <c r="K71" s="123" t="inlineStr">
        <is>
          <t>5.30-12</t>
        </is>
      </c>
      <c r="L71" s="177" t="inlineStr">
        <is>
          <t>6PR</t>
        </is>
      </c>
      <c r="M71" s="177" t="inlineStr">
        <is>
          <t>ZT201</t>
        </is>
      </c>
      <c r="N71" s="125" t="inlineStr">
        <is>
          <t>5.30-12-6PR-SUZT</t>
        </is>
      </c>
      <c r="O71" s="177" t="inlineStr">
        <is>
          <t>/</t>
        </is>
      </c>
      <c r="P71" s="177" t="n">
        <v>5.04</v>
      </c>
      <c r="Q71" s="177" t="n">
        <v>5.02</v>
      </c>
      <c r="R71" s="127">
        <f>P71-Q71</f>
        <v/>
      </c>
      <c r="S71" s="390">
        <f>_xlfn.TEXTJOIN("-",TRUE,K71,L71,M71)</f>
        <v/>
      </c>
      <c r="T71" s="123" t="inlineStr">
        <is>
          <t>26 X 12-12</t>
        </is>
      </c>
      <c r="U71" s="177" t="inlineStr">
        <is>
          <t>6PR</t>
        </is>
      </c>
      <c r="V71" s="177" t="inlineStr">
        <is>
          <t>AR12</t>
        </is>
      </c>
      <c r="W71" s="177" t="inlineStr">
        <is>
          <t>26X12-12-6PR AR12</t>
        </is>
      </c>
      <c r="X71" s="177" t="n"/>
      <c r="Y71" s="131" t="n">
        <v>12.204</v>
      </c>
      <c r="Z71" s="131" t="n">
        <v>12.204</v>
      </c>
      <c r="AA71" s="130">
        <f>Y71-Z71</f>
        <v/>
      </c>
      <c r="AB71" s="390">
        <f>_xlfn.TEXTJOIN("-",TRUE,T71,U71,V71)</f>
        <v/>
      </c>
      <c r="AC71" s="123" t="inlineStr">
        <is>
          <t>17.5L-24</t>
        </is>
      </c>
      <c r="AD71" s="177" t="inlineStr">
        <is>
          <t>10PR</t>
        </is>
      </c>
      <c r="AE71" s="177" t="inlineStr">
        <is>
          <t>BHL-100</t>
        </is>
      </c>
      <c r="AF71" s="156" t="inlineStr">
        <is>
          <t>/</t>
        </is>
      </c>
      <c r="AG71" s="156" t="inlineStr">
        <is>
          <t>/</t>
        </is>
      </c>
      <c r="AH71" s="131" t="n">
        <v>78</v>
      </c>
      <c r="AI71" s="177" t="n">
        <v>77.7</v>
      </c>
      <c r="AJ71" s="130">
        <f>AH71-AI71</f>
        <v/>
      </c>
      <c r="AK71" s="390">
        <f>_xlfn.TEXTJOIN("-",TRUE,AC71,AD71,AE71)</f>
        <v/>
      </c>
      <c r="AL71" s="123" t="inlineStr">
        <is>
          <t>ST205/75R14</t>
        </is>
      </c>
      <c r="AM71" s="177" t="inlineStr">
        <is>
          <t>6PR</t>
        </is>
      </c>
      <c r="AN71" s="177" t="inlineStr">
        <is>
          <t>ST200</t>
        </is>
      </c>
      <c r="AO71" s="177" t="inlineStr">
        <is>
          <t>ST205/75R14-6PR ST200/RA</t>
        </is>
      </c>
      <c r="AP71" s="177" t="n"/>
      <c r="AQ71" s="131" t="n">
        <v>8.743</v>
      </c>
      <c r="AR71" s="131" t="n">
        <v>8.678000000000001</v>
      </c>
      <c r="AS71" s="130">
        <f>AQ71-AR71</f>
        <v/>
      </c>
      <c r="AT71" s="390">
        <f>_xlfn.TEXTJOIN("-",TRUE,AL71,AM71,AN71)</f>
        <v/>
      </c>
      <c r="AU71" s="123" t="inlineStr">
        <is>
          <t>185/65R14</t>
        </is>
      </c>
      <c r="AV71" s="177" t="inlineStr">
        <is>
          <t>/</t>
        </is>
      </c>
      <c r="AW71" s="177" t="inlineStr">
        <is>
          <t>C-108</t>
        </is>
      </c>
      <c r="AX71" s="177" t="inlineStr">
        <is>
          <t>020426B-42</t>
        </is>
      </c>
      <c r="AY71" s="131" t="n">
        <v>6.757</v>
      </c>
      <c r="AZ71" s="131" t="n">
        <v>6.757</v>
      </c>
      <c r="BA71" s="130">
        <f>AY71-AZ71</f>
        <v/>
      </c>
      <c r="BB71" s="390">
        <f>_xlfn.TEXTJOIN("-",TRUE,AU71,AW71)</f>
        <v/>
      </c>
    </row>
    <row r="72" ht="13.8" customHeight="1" s="428">
      <c r="B72" s="123" t="inlineStr">
        <is>
          <t>10.00R20</t>
        </is>
      </c>
      <c r="C72" s="177" t="inlineStr">
        <is>
          <t>18PR</t>
        </is>
      </c>
      <c r="D72" s="177" t="inlineStr">
        <is>
          <t>MD758</t>
        </is>
      </c>
      <c r="E72" s="177" t="inlineStr">
        <is>
          <t>10.00R20-18PR-E ST C ID</t>
        </is>
      </c>
      <c r="F72" s="131">
        <f>G72-3.476+4.189</f>
        <v/>
      </c>
      <c r="G72" s="131" t="n">
        <v>62.812</v>
      </c>
      <c r="H72" s="157" t="n">
        <v>62.6602</v>
      </c>
      <c r="I72" s="130">
        <f>G72-H72</f>
        <v/>
      </c>
      <c r="J72" s="115">
        <f>_xlfn.TEXTJOIN("-",TRUE,B72,C72,D72)</f>
        <v/>
      </c>
      <c r="K72" s="132" t="n"/>
      <c r="L72" s="178" t="n"/>
      <c r="M72" s="178" t="n"/>
      <c r="N72" s="178" t="n"/>
      <c r="O72" s="178" t="n"/>
      <c r="P72" s="178" t="n"/>
      <c r="Q72" s="178" t="n"/>
      <c r="R72" s="134" t="n"/>
      <c r="S72" s="390">
        <f>_xlfn.TEXTJOIN("-",TRUE,K72,L72,M72)</f>
        <v/>
      </c>
      <c r="T72" s="132" t="n"/>
      <c r="U72" s="178" t="n"/>
      <c r="V72" s="178" t="n"/>
      <c r="W72" s="178" t="n"/>
      <c r="X72" s="178" t="n"/>
      <c r="Y72" s="178" t="n"/>
      <c r="Z72" s="178" t="n"/>
      <c r="AA72" s="134" t="n"/>
      <c r="AB72" s="390">
        <f>_xlfn.TEXTJOIN("-",TRUE,T72,U72,V72)</f>
        <v/>
      </c>
      <c r="AC72" s="123" t="inlineStr">
        <is>
          <t>17.5L-24</t>
        </is>
      </c>
      <c r="AD72" s="177" t="inlineStr">
        <is>
          <t>10PR</t>
        </is>
      </c>
      <c r="AE72" s="177" t="inlineStr">
        <is>
          <t>STRONG GUARD XR4</t>
        </is>
      </c>
      <c r="AF72" s="156" t="inlineStr">
        <is>
          <t>/</t>
        </is>
      </c>
      <c r="AG72" s="156" t="inlineStr">
        <is>
          <t>/</t>
        </is>
      </c>
      <c r="AH72" s="131" t="n">
        <v>83</v>
      </c>
      <c r="AI72" s="177" t="n">
        <v>82.7</v>
      </c>
      <c r="AJ72" s="130">
        <f>AH72-AI72</f>
        <v/>
      </c>
      <c r="AK72" s="390">
        <f>_xlfn.TEXTJOIN("-",TRUE,AC72,AD72,AE72)</f>
        <v/>
      </c>
      <c r="AL72" s="123" t="inlineStr">
        <is>
          <t>ST205/75R14</t>
        </is>
      </c>
      <c r="AM72" s="177" t="inlineStr">
        <is>
          <t>8PR</t>
        </is>
      </c>
      <c r="AN72" s="177" t="inlineStr">
        <is>
          <t>ST Radial</t>
        </is>
      </c>
      <c r="AO72" s="177" t="inlineStr">
        <is>
          <t>ST205/75R14-8PR ST200/RA/RS</t>
        </is>
      </c>
      <c r="AP72" s="177" t="n"/>
      <c r="AQ72" s="131" t="n">
        <v>9.791</v>
      </c>
      <c r="AR72" s="131" t="n">
        <v>9.574</v>
      </c>
      <c r="AS72" s="130">
        <f>AQ72-AR72</f>
        <v/>
      </c>
      <c r="AT72" s="390">
        <f>_xlfn.TEXTJOIN("-",TRUE,AL72,AM72,AN72)</f>
        <v/>
      </c>
      <c r="AU72" s="123" t="inlineStr">
        <is>
          <t>185/65R14</t>
        </is>
      </c>
      <c r="AV72" s="177" t="inlineStr">
        <is>
          <t>/</t>
        </is>
      </c>
      <c r="AW72" s="177" t="inlineStr">
        <is>
          <t>G-118</t>
        </is>
      </c>
      <c r="AX72" s="177" t="inlineStr">
        <is>
          <t>020426B-42</t>
        </is>
      </c>
      <c r="AY72" s="131" t="n">
        <v>6.757</v>
      </c>
      <c r="AZ72" s="131" t="n">
        <v>6.757</v>
      </c>
      <c r="BA72" s="130">
        <f>AY72-AZ72</f>
        <v/>
      </c>
      <c r="BB72" s="390">
        <f>_xlfn.TEXTJOIN("-",TRUE,AU72,AW72)</f>
        <v/>
      </c>
    </row>
    <row r="73">
      <c r="B73" s="123" t="inlineStr">
        <is>
          <t>10.00R20</t>
        </is>
      </c>
      <c r="C73" s="177" t="inlineStr">
        <is>
          <t>18PR</t>
        </is>
      </c>
      <c r="D73" s="177" t="inlineStr">
        <is>
          <t>EZ369</t>
        </is>
      </c>
      <c r="E73" s="177" t="inlineStr">
        <is>
          <t>10.00R20-18PR-E ST C ID</t>
        </is>
      </c>
      <c r="F73" s="131">
        <f>G73-3.476+4.189</f>
        <v/>
      </c>
      <c r="G73" s="131" t="n">
        <v>62.812</v>
      </c>
      <c r="H73" s="157" t="n">
        <v>62.6602</v>
      </c>
      <c r="I73" s="130">
        <f>G73-H73</f>
        <v/>
      </c>
      <c r="J73" s="115">
        <f>_xlfn.TEXTJOIN("-",TRUE,B73,C73,D73)</f>
        <v/>
      </c>
      <c r="K73" s="123" t="inlineStr">
        <is>
          <t>5.70-8</t>
        </is>
      </c>
      <c r="L73" s="177" t="inlineStr">
        <is>
          <t>4PR</t>
        </is>
      </c>
      <c r="M73" s="177" t="inlineStr">
        <is>
          <t>SU201</t>
        </is>
      </c>
      <c r="N73" s="125" t="inlineStr">
        <is>
          <t>5.70-8-4PR SUZT</t>
        </is>
      </c>
      <c r="O73" s="177" t="inlineStr">
        <is>
          <t>/</t>
        </is>
      </c>
      <c r="P73" s="177" t="n">
        <v>4.12</v>
      </c>
      <c r="Q73" s="177" t="n">
        <v>4.1</v>
      </c>
      <c r="R73" s="127">
        <f>P73-Q73</f>
        <v/>
      </c>
      <c r="S73" s="390">
        <f>_xlfn.TEXTJOIN("-",TRUE,K73,L73,M73)</f>
        <v/>
      </c>
      <c r="T73" s="123" t="inlineStr">
        <is>
          <t>27 X 9.00-12</t>
        </is>
      </c>
      <c r="U73" s="177" t="inlineStr">
        <is>
          <t>6PR</t>
        </is>
      </c>
      <c r="V73" s="177" t="inlineStr">
        <is>
          <t>A033</t>
        </is>
      </c>
      <c r="W73" s="177" t="inlineStr">
        <is>
          <t>27X9.00-12-6PR A033</t>
        </is>
      </c>
      <c r="X73" s="177" t="n"/>
      <c r="Y73" s="131" t="n">
        <v>10.64</v>
      </c>
      <c r="Z73" s="131" t="n">
        <v>10.641</v>
      </c>
      <c r="AA73" s="130">
        <f>Y73-Z73</f>
        <v/>
      </c>
      <c r="AB73" s="390">
        <f>_xlfn.TEXTJOIN("-",TRUE,T73,U73,V73)</f>
        <v/>
      </c>
      <c r="AC73" s="132" t="n"/>
      <c r="AD73" s="178" t="n"/>
      <c r="AE73" s="178" t="n"/>
      <c r="AF73" s="178" t="n"/>
      <c r="AG73" s="178" t="n"/>
      <c r="AH73" s="178" t="n"/>
      <c r="AI73" s="178" t="n"/>
      <c r="AJ73" s="134" t="n"/>
      <c r="AK73" s="390">
        <f>_xlfn.TEXTJOIN("-",TRUE,AC73,AD73,AE73)</f>
        <v/>
      </c>
      <c r="AL73" s="123" t="inlineStr">
        <is>
          <t>ST205/75R14</t>
        </is>
      </c>
      <c r="AM73" s="177" t="inlineStr">
        <is>
          <t>8PR</t>
        </is>
      </c>
      <c r="AN73" s="177" t="inlineStr">
        <is>
          <t>ST200</t>
        </is>
      </c>
      <c r="AO73" s="177" t="inlineStr">
        <is>
          <t>ST205/75R14-8PR ST200/RA/RS</t>
        </is>
      </c>
      <c r="AP73" s="177" t="n"/>
      <c r="AQ73" s="131" t="n">
        <v>9.791</v>
      </c>
      <c r="AR73" s="131" t="n">
        <v>9.574</v>
      </c>
      <c r="AS73" s="130">
        <f>AQ73-AR73</f>
        <v/>
      </c>
      <c r="AT73" s="390">
        <f>_xlfn.TEXTJOIN("-",TRUE,AL73,AM73,AN73)</f>
        <v/>
      </c>
      <c r="AU73" s="123" t="inlineStr">
        <is>
          <t>185/65R14</t>
        </is>
      </c>
      <c r="AV73" s="177" t="inlineStr">
        <is>
          <t>/</t>
        </is>
      </c>
      <c r="AW73" s="139" t="inlineStr">
        <is>
          <t>T-118</t>
        </is>
      </c>
      <c r="AX73" s="177" t="inlineStr">
        <is>
          <t>020426B-42</t>
        </is>
      </c>
      <c r="AY73" s="131" t="n">
        <v>6.757</v>
      </c>
      <c r="AZ73" s="131" t="n">
        <v>6.757</v>
      </c>
      <c r="BA73" s="130">
        <f>AY73-AZ73</f>
        <v/>
      </c>
      <c r="BB73" s="390">
        <f>_xlfn.TEXTJOIN("-",TRUE,AU73,AW73)</f>
        <v/>
      </c>
    </row>
    <row r="74">
      <c r="B74" s="123" t="inlineStr">
        <is>
          <t>10.00R20</t>
        </is>
      </c>
      <c r="C74" s="177" t="inlineStr">
        <is>
          <t>18PR</t>
        </is>
      </c>
      <c r="D74" s="177" t="inlineStr">
        <is>
          <t>TZ303</t>
        </is>
      </c>
      <c r="E74" s="177" t="inlineStr">
        <is>
          <t>10.00R20-18PR-E ST C ID</t>
        </is>
      </c>
      <c r="F74" s="131">
        <f>G74-3.476+4.189</f>
        <v/>
      </c>
      <c r="G74" s="131" t="n">
        <v>62.812</v>
      </c>
      <c r="H74" s="157" t="n">
        <v>62.6602</v>
      </c>
      <c r="I74" s="130">
        <f>G74-H74</f>
        <v/>
      </c>
      <c r="J74" s="115">
        <f>_xlfn.TEXTJOIN("-",TRUE,B74,C74,D74)</f>
        <v/>
      </c>
      <c r="K74" s="123" t="inlineStr">
        <is>
          <t>5.70-8</t>
        </is>
      </c>
      <c r="L74" s="177" t="inlineStr">
        <is>
          <t>4PR</t>
        </is>
      </c>
      <c r="M74" s="177" t="inlineStr">
        <is>
          <t>ZT201</t>
        </is>
      </c>
      <c r="N74" s="125" t="inlineStr">
        <is>
          <t>5.70-8-4PR SUZT</t>
        </is>
      </c>
      <c r="O74" s="177" t="inlineStr">
        <is>
          <t>/</t>
        </is>
      </c>
      <c r="P74" s="177" t="n">
        <v>4.12</v>
      </c>
      <c r="Q74" s="177" t="n">
        <v>4.1</v>
      </c>
      <c r="R74" s="127">
        <f>P74-Q74</f>
        <v/>
      </c>
      <c r="S74" s="390">
        <f>_xlfn.TEXTJOIN("-",TRUE,K74,L74,M74)</f>
        <v/>
      </c>
      <c r="T74" s="123" t="inlineStr">
        <is>
          <t>27 X 9-12</t>
        </is>
      </c>
      <c r="U74" s="177" t="inlineStr">
        <is>
          <t>6PR</t>
        </is>
      </c>
      <c r="V74" s="177" t="inlineStr">
        <is>
          <t>WL6A</t>
        </is>
      </c>
      <c r="W74" s="177" t="inlineStr">
        <is>
          <t>27X9-12-6PR WL6A</t>
        </is>
      </c>
      <c r="X74" s="177" t="n"/>
      <c r="Y74" s="131" t="n">
        <v>12.293</v>
      </c>
      <c r="Z74" s="131" t="n">
        <v>12.445</v>
      </c>
      <c r="AA74" s="130">
        <f>Y74-Z74</f>
        <v/>
      </c>
      <c r="AB74" s="390">
        <f>_xlfn.TEXTJOIN("-",TRUE,T74,U74,V74)</f>
        <v/>
      </c>
      <c r="AC74" s="123" t="inlineStr">
        <is>
          <t>19.5L-24</t>
        </is>
      </c>
      <c r="AD74" s="177" t="inlineStr">
        <is>
          <t>12PR</t>
        </is>
      </c>
      <c r="AE74" s="177" t="inlineStr">
        <is>
          <t>BHL-100</t>
        </is>
      </c>
      <c r="AF74" s="156" t="inlineStr">
        <is>
          <t>/</t>
        </is>
      </c>
      <c r="AG74" s="156" t="inlineStr">
        <is>
          <t>/</t>
        </is>
      </c>
      <c r="AH74" s="131" t="n">
        <v>93.8</v>
      </c>
      <c r="AI74" s="177" t="n">
        <v>92.90000000000001</v>
      </c>
      <c r="AJ74" s="130">
        <f>AH74-AI74</f>
        <v/>
      </c>
      <c r="AK74" s="390">
        <f>_xlfn.TEXTJOIN("-",TRUE,AC74,AD74,AE74)</f>
        <v/>
      </c>
      <c r="AL74" s="123" t="inlineStr">
        <is>
          <t>ST205/75R14</t>
        </is>
      </c>
      <c r="AM74" s="177" t="inlineStr">
        <is>
          <t>8PR</t>
        </is>
      </c>
      <c r="AN74" s="177" t="inlineStr">
        <is>
          <t>RAINIER ST</t>
        </is>
      </c>
      <c r="AO74" s="177" t="inlineStr">
        <is>
          <t>ST205/75R14-8PR ST200/RA/RS</t>
        </is>
      </c>
      <c r="AP74" s="177" t="n"/>
      <c r="AQ74" s="131" t="n">
        <v>9.791</v>
      </c>
      <c r="AR74" s="131" t="n">
        <v>9.574</v>
      </c>
      <c r="AS74" s="130">
        <f>AQ74-AR74</f>
        <v/>
      </c>
      <c r="AT74" s="390">
        <f>_xlfn.TEXTJOIN("-",TRUE,AL74,AM74,AN74)</f>
        <v/>
      </c>
      <c r="AU74" s="123" t="inlineStr">
        <is>
          <t>185/65R14</t>
        </is>
      </c>
      <c r="AV74" s="177" t="inlineStr">
        <is>
          <t>/</t>
        </is>
      </c>
      <c r="AW74" s="139" t="inlineStr">
        <is>
          <t>Z-108</t>
        </is>
      </c>
      <c r="AX74" s="177" t="inlineStr">
        <is>
          <t>020426B-42</t>
        </is>
      </c>
      <c r="AY74" s="131" t="n">
        <v>6.757</v>
      </c>
      <c r="AZ74" s="131" t="n">
        <v>6.757</v>
      </c>
      <c r="BA74" s="130">
        <f>AY74-AZ74</f>
        <v/>
      </c>
      <c r="BB74" s="390">
        <f>_xlfn.TEXTJOIN("-",TRUE,AU74,AW74)</f>
        <v/>
      </c>
    </row>
    <row r="75">
      <c r="B75" s="123" t="inlineStr">
        <is>
          <t>10.00R20</t>
        </is>
      </c>
      <c r="C75" s="177" t="inlineStr">
        <is>
          <t>18PR</t>
        </is>
      </c>
      <c r="D75" s="177" t="inlineStr">
        <is>
          <t>CM988</t>
        </is>
      </c>
      <c r="E75" s="177" t="inlineStr">
        <is>
          <t>10.00R20-18PR-CM988 ST C ID</t>
        </is>
      </c>
      <c r="F75" s="131">
        <f>G75-3.476+4.189</f>
        <v/>
      </c>
      <c r="G75" s="131" t="n">
        <v>63.277</v>
      </c>
      <c r="H75" s="129" t="n">
        <v>62.7827</v>
      </c>
      <c r="I75" s="130">
        <f>G75-H75</f>
        <v/>
      </c>
      <c r="J75" s="115">
        <f>_xlfn.TEXTJOIN("-",TRUE,B75,C75,D75)</f>
        <v/>
      </c>
      <c r="K75" s="123" t="inlineStr">
        <is>
          <t>5.70-8</t>
        </is>
      </c>
      <c r="L75" s="177" t="inlineStr">
        <is>
          <t>6PR</t>
        </is>
      </c>
      <c r="M75" s="177" t="inlineStr">
        <is>
          <t>SU201</t>
        </is>
      </c>
      <c r="N75" s="125" t="inlineStr">
        <is>
          <t>5.70-8-6PR-SUZT</t>
        </is>
      </c>
      <c r="O75" s="177" t="inlineStr">
        <is>
          <t>/</t>
        </is>
      </c>
      <c r="P75" s="177" t="n">
        <v>4.2</v>
      </c>
      <c r="Q75" s="177" t="n">
        <v>4.2</v>
      </c>
      <c r="R75" s="127">
        <f>P75-Q75</f>
        <v/>
      </c>
      <c r="S75" s="390">
        <f>_xlfn.TEXTJOIN("-",TRUE,K75,L75,M75)</f>
        <v/>
      </c>
      <c r="T75" s="132" t="n"/>
      <c r="U75" s="178" t="n"/>
      <c r="V75" s="178" t="n"/>
      <c r="W75" s="178" t="n"/>
      <c r="X75" s="178" t="n"/>
      <c r="Y75" s="178" t="n"/>
      <c r="Z75" s="178" t="n"/>
      <c r="AA75" s="134" t="n"/>
      <c r="AB75" s="390">
        <f>_xlfn.TEXTJOIN("-",TRUE,T75,U75,V75)</f>
        <v/>
      </c>
      <c r="AC75" s="123" t="inlineStr">
        <is>
          <t>19.5L-24</t>
        </is>
      </c>
      <c r="AD75" s="177" t="inlineStr">
        <is>
          <t>12PR</t>
        </is>
      </c>
      <c r="AE75" s="177" t="inlineStr">
        <is>
          <t>STRONG GUARD XR4</t>
        </is>
      </c>
      <c r="AF75" s="156" t="inlineStr">
        <is>
          <t>/</t>
        </is>
      </c>
      <c r="AG75" s="156" t="inlineStr">
        <is>
          <t>/</t>
        </is>
      </c>
      <c r="AH75" s="131" t="n">
        <v>97</v>
      </c>
      <c r="AI75" s="177" t="n">
        <v>96.5</v>
      </c>
      <c r="AJ75" s="130">
        <f>AH75-AI75</f>
        <v/>
      </c>
      <c r="AK75" s="390">
        <f>_xlfn.TEXTJOIN("-",TRUE,AC75,AD75,AE75)</f>
        <v/>
      </c>
      <c r="AL75" s="123" t="inlineStr">
        <is>
          <t>ST205/75R14</t>
        </is>
      </c>
      <c r="AM75" s="177" t="inlineStr">
        <is>
          <t>6PR</t>
        </is>
      </c>
      <c r="AN75" s="177" t="inlineStr">
        <is>
          <t>ST226</t>
        </is>
      </c>
      <c r="AO75" s="177" t="inlineStr">
        <is>
          <t>ST205/75R14-6PR ST226</t>
        </is>
      </c>
      <c r="AP75" s="177" t="n"/>
      <c r="AQ75" s="131" t="n">
        <v>9.446999999999999</v>
      </c>
      <c r="AR75" s="131" t="n">
        <v>9.305</v>
      </c>
      <c r="AS75" s="130">
        <f>AQ75-AR75</f>
        <v/>
      </c>
      <c r="AT75" s="390">
        <f>_xlfn.TEXTJOIN("-",TRUE,AL75,AM75,AN75)</f>
        <v/>
      </c>
      <c r="AU75" s="123" t="inlineStr">
        <is>
          <t>185/65R14</t>
        </is>
      </c>
      <c r="AV75" s="177" t="inlineStr">
        <is>
          <t>/</t>
        </is>
      </c>
      <c r="AW75" s="139" t="inlineStr">
        <is>
          <t>RP218</t>
        </is>
      </c>
      <c r="AX75" s="177" t="inlineStr">
        <is>
          <t>S021496A-60</t>
        </is>
      </c>
      <c r="AY75" s="131" t="n">
        <v>7.268</v>
      </c>
      <c r="AZ75" s="131" t="n">
        <v>7.268</v>
      </c>
      <c r="BA75" s="130">
        <f>AY75-AZ75</f>
        <v/>
      </c>
      <c r="BB75" s="390">
        <f>_xlfn.TEXTJOIN("-",TRUE,AU75,AW75)</f>
        <v/>
      </c>
    </row>
    <row r="76" ht="13.8" customHeight="1" s="428">
      <c r="B76" s="123" t="inlineStr">
        <is>
          <t>10.00R20</t>
        </is>
      </c>
      <c r="C76" s="177" t="inlineStr">
        <is>
          <t>18PR</t>
        </is>
      </c>
      <c r="D76" s="177" t="inlineStr">
        <is>
          <t>CB972</t>
        </is>
      </c>
      <c r="E76" s="177" t="inlineStr">
        <is>
          <t>10.00R20-18PR-AC C ID</t>
        </is>
      </c>
      <c r="F76" s="131">
        <f>G76-3.476+4.189</f>
        <v/>
      </c>
      <c r="G76" s="131" t="n">
        <v>66.40900000000001</v>
      </c>
      <c r="H76" s="129" t="n">
        <v>66.09</v>
      </c>
      <c r="I76" s="130">
        <f>G76-H76</f>
        <v/>
      </c>
      <c r="J76" s="115">
        <f>_xlfn.TEXTJOIN("-",TRUE,B76,C76,D76)</f>
        <v/>
      </c>
      <c r="K76" s="123" t="inlineStr">
        <is>
          <t>5.70-8</t>
        </is>
      </c>
      <c r="L76" s="177" t="inlineStr">
        <is>
          <t>6PR</t>
        </is>
      </c>
      <c r="M76" s="177" t="inlineStr">
        <is>
          <t>ZT201</t>
        </is>
      </c>
      <c r="N76" s="125" t="inlineStr">
        <is>
          <t>5.70-8-6PR-SUZT</t>
        </is>
      </c>
      <c r="O76" s="177" t="inlineStr">
        <is>
          <t>/</t>
        </is>
      </c>
      <c r="P76" s="177" t="n">
        <v>4.2</v>
      </c>
      <c r="Q76" s="177" t="n">
        <v>4.2</v>
      </c>
      <c r="R76" s="127">
        <f>P76-Q76</f>
        <v/>
      </c>
      <c r="S76" s="390">
        <f>_xlfn.TEXTJOIN("-",TRUE,K76,L76,M76)</f>
        <v/>
      </c>
      <c r="T76" s="123" t="inlineStr">
        <is>
          <t>27 X 9-14</t>
        </is>
      </c>
      <c r="U76" s="177" t="inlineStr">
        <is>
          <t>6PR</t>
        </is>
      </c>
      <c r="V76" s="177" t="inlineStr">
        <is>
          <t>A033</t>
        </is>
      </c>
      <c r="W76" s="177" t="inlineStr">
        <is>
          <t>27X9-14-6PR A033</t>
        </is>
      </c>
      <c r="X76" s="177" t="n"/>
      <c r="Y76" s="151" t="n">
        <v>11.46</v>
      </c>
      <c r="Z76" s="151" t="n">
        <v>11.46</v>
      </c>
      <c r="AA76" s="130">
        <f>Y76-Z76</f>
        <v/>
      </c>
      <c r="AB76" s="390">
        <f>_xlfn.TEXTJOIN("-",TRUE,T76,U76,V76)</f>
        <v/>
      </c>
      <c r="AC76" s="132" t="n"/>
      <c r="AD76" s="178" t="n"/>
      <c r="AE76" s="178" t="n"/>
      <c r="AF76" s="178" t="n"/>
      <c r="AG76" s="178" t="n"/>
      <c r="AH76" s="178" t="n"/>
      <c r="AI76" s="178" t="n"/>
      <c r="AJ76" s="134" t="n"/>
      <c r="AK76" s="390">
        <f>_xlfn.TEXTJOIN("-",TRUE,AC76,AD76,AE76)</f>
        <v/>
      </c>
      <c r="AL76" s="123" t="inlineStr">
        <is>
          <t>ST205/75R14</t>
        </is>
      </c>
      <c r="AM76" s="177" t="inlineStr">
        <is>
          <t>8PR</t>
        </is>
      </c>
      <c r="AN76" s="177" t="inlineStr">
        <is>
          <t>ST226</t>
        </is>
      </c>
      <c r="AO76" s="177" t="inlineStr">
        <is>
          <t>ST205/75R14-8PR ST226</t>
        </is>
      </c>
      <c r="AP76" s="177" t="n"/>
      <c r="AQ76" s="131" t="n">
        <v>9.992000000000001</v>
      </c>
      <c r="AR76" s="131" t="n">
        <v>9.82</v>
      </c>
      <c r="AS76" s="130">
        <f>AQ76-AR76</f>
        <v/>
      </c>
      <c r="AT76" s="390">
        <f>_xlfn.TEXTJOIN("-",TRUE,AL76,AM76,AN76)</f>
        <v/>
      </c>
      <c r="AU76" s="132" t="n"/>
      <c r="AV76" s="178" t="n"/>
      <c r="AW76" s="178" t="n"/>
      <c r="AX76" s="178" t="n"/>
      <c r="AY76" s="135" t="n"/>
      <c r="AZ76" s="135" t="n"/>
      <c r="BA76" s="136" t="n"/>
      <c r="BB76" s="390">
        <f>_xlfn.TEXTJOIN("-",TRUE,AU76,AW76)</f>
        <v/>
      </c>
    </row>
    <row r="77" ht="13.8" customHeight="1" s="428">
      <c r="B77" s="123" t="inlineStr">
        <is>
          <t>10.00R20</t>
        </is>
      </c>
      <c r="C77" s="177" t="inlineStr">
        <is>
          <t>18PR</t>
        </is>
      </c>
      <c r="D77" s="177" t="inlineStr">
        <is>
          <t>TZ101</t>
        </is>
      </c>
      <c r="E77" s="177" t="inlineStr">
        <is>
          <t>10.00R20-18PR-AC C ID</t>
        </is>
      </c>
      <c r="F77" s="131">
        <f>G77-3.476+4.189</f>
        <v/>
      </c>
      <c r="G77" s="131" t="n">
        <v>66.40900000000001</v>
      </c>
      <c r="H77" s="129" t="n">
        <v>66.09</v>
      </c>
      <c r="I77" s="130">
        <f>G77-H77</f>
        <v/>
      </c>
      <c r="J77" s="115">
        <f>_xlfn.TEXTJOIN("-",TRUE,B77,C77,D77)</f>
        <v/>
      </c>
      <c r="K77" s="123" t="inlineStr">
        <is>
          <t>5.70-8</t>
        </is>
      </c>
      <c r="L77" s="177" t="inlineStr">
        <is>
          <t>8PR</t>
        </is>
      </c>
      <c r="M77" s="177" t="inlineStr">
        <is>
          <t>SU201</t>
        </is>
      </c>
      <c r="N77" s="125" t="inlineStr">
        <is>
          <t>5.70-8-8PR-SUZT</t>
        </is>
      </c>
      <c r="O77" s="177" t="inlineStr">
        <is>
          <t>/</t>
        </is>
      </c>
      <c r="P77" s="177" t="n">
        <v>4.21</v>
      </c>
      <c r="Q77" s="177" t="n">
        <v>4.22</v>
      </c>
      <c r="R77" s="127">
        <f>P77-Q77</f>
        <v/>
      </c>
      <c r="S77" s="390">
        <f>_xlfn.TEXTJOIN("-",TRUE,K77,L77,M77)</f>
        <v/>
      </c>
      <c r="T77" s="178" t="n"/>
      <c r="U77" s="178" t="n"/>
      <c r="V77" s="178" t="n"/>
      <c r="W77" s="178" t="n"/>
      <c r="X77" s="178" t="n"/>
      <c r="Y77" s="178" t="n"/>
      <c r="Z77" s="178" t="n"/>
      <c r="AA77" s="178" t="n"/>
      <c r="AB77" s="390">
        <f>_xlfn.TEXTJOIN("-",TRUE,T77,U77,V77)</f>
        <v/>
      </c>
      <c r="AC77" s="123" t="inlineStr">
        <is>
          <t>20.5-25</t>
        </is>
      </c>
      <c r="AD77" s="177" t="inlineStr">
        <is>
          <t>16PR</t>
        </is>
      </c>
      <c r="AE77" s="177" t="inlineStr">
        <is>
          <t>STRONG GUARD LG2</t>
        </is>
      </c>
      <c r="AF77" s="156" t="inlineStr">
        <is>
          <t>/</t>
        </is>
      </c>
      <c r="AG77" s="156" t="inlineStr">
        <is>
          <t>/</t>
        </is>
      </c>
      <c r="AH77" s="131" t="n">
        <v>144</v>
      </c>
      <c r="AI77" s="177" t="n">
        <v>143.5</v>
      </c>
      <c r="AJ77" s="130">
        <f>AH77-AI77</f>
        <v/>
      </c>
      <c r="AK77" s="390">
        <f>_xlfn.TEXTJOIN("-",TRUE,AC77,AD77,AE77)</f>
        <v/>
      </c>
      <c r="AL77" s="132" t="n"/>
      <c r="AM77" s="178" t="n"/>
      <c r="AN77" s="178" t="n"/>
      <c r="AO77" s="178" t="n"/>
      <c r="AP77" s="178" t="n"/>
      <c r="AQ77" s="178" t="n"/>
      <c r="AR77" s="178" t="n"/>
      <c r="AS77" s="134" t="n"/>
      <c r="AT77" s="390">
        <f>_xlfn.TEXTJOIN("-",TRUE,AL77,AM77,AN77)</f>
        <v/>
      </c>
      <c r="AU77" s="123" t="inlineStr">
        <is>
          <t>185/65R15</t>
        </is>
      </c>
      <c r="AV77" s="177" t="inlineStr">
        <is>
          <t>/</t>
        </is>
      </c>
      <c r="AW77" s="177" t="inlineStr">
        <is>
          <t>C-108</t>
        </is>
      </c>
      <c r="AX77" s="177" t="inlineStr">
        <is>
          <t>S021368A-42</t>
        </is>
      </c>
      <c r="AY77" s="131" t="n">
        <v>7.22</v>
      </c>
      <c r="AZ77" s="131" t="n">
        <v>7.231</v>
      </c>
      <c r="BA77" s="130">
        <f>AY77-AZ77</f>
        <v/>
      </c>
      <c r="BB77" s="390">
        <f>_xlfn.TEXTJOIN("-",TRUE,AU77,AW77)</f>
        <v/>
      </c>
    </row>
    <row r="78" ht="13.8" customHeight="1" s="428">
      <c r="B78" s="123" t="inlineStr">
        <is>
          <t>10.00R20</t>
        </is>
      </c>
      <c r="C78" s="177" t="inlineStr">
        <is>
          <t>18PR</t>
        </is>
      </c>
      <c r="D78" s="177" t="inlineStr">
        <is>
          <t>CB919</t>
        </is>
      </c>
      <c r="E78" s="177" t="inlineStr">
        <is>
          <t>10.00R20-18PR-AC C ID</t>
        </is>
      </c>
      <c r="F78" s="131">
        <f>G78-3.476+4.189</f>
        <v/>
      </c>
      <c r="G78" s="131" t="n">
        <v>66.40900000000001</v>
      </c>
      <c r="H78" s="129" t="n">
        <v>66.09</v>
      </c>
      <c r="I78" s="130">
        <f>G78-H78</f>
        <v/>
      </c>
      <c r="J78" s="115">
        <f>_xlfn.TEXTJOIN("-",TRUE,B78,C78,D78)</f>
        <v/>
      </c>
      <c r="K78" s="123" t="inlineStr">
        <is>
          <t>5.70-8</t>
        </is>
      </c>
      <c r="L78" s="177" t="inlineStr">
        <is>
          <t>8PR</t>
        </is>
      </c>
      <c r="M78" s="177" t="inlineStr">
        <is>
          <t>ZT201</t>
        </is>
      </c>
      <c r="N78" s="125" t="inlineStr">
        <is>
          <t>5.70-8-8PR-SUZT</t>
        </is>
      </c>
      <c r="O78" s="177" t="inlineStr">
        <is>
          <t>/</t>
        </is>
      </c>
      <c r="P78" s="177" t="n">
        <v>4.21</v>
      </c>
      <c r="Q78" s="177" t="n">
        <v>4.22</v>
      </c>
      <c r="R78" s="127">
        <f>P78-Q78</f>
        <v/>
      </c>
      <c r="S78" s="390">
        <f>_xlfn.TEXTJOIN("-",TRUE,K78,L78,M78)</f>
        <v/>
      </c>
      <c r="T78" s="179" t="inlineStr">
        <is>
          <t>27X10.00-14</t>
        </is>
      </c>
      <c r="U78" s="179" t="inlineStr">
        <is>
          <t>6PR</t>
        </is>
      </c>
      <c r="V78" s="179" t="inlineStr">
        <is>
          <t>P193</t>
        </is>
      </c>
      <c r="W78" s="179" t="inlineStr">
        <is>
          <t>27X10.00-14 6PR P193</t>
        </is>
      </c>
      <c r="X78" s="179" t="n"/>
      <c r="Y78" s="179" t="n">
        <v>13.015</v>
      </c>
      <c r="Z78" s="179" t="n"/>
      <c r="AA78" s="179" t="n"/>
      <c r="AB78" s="390">
        <f>_xlfn.TEXTJOIN("-",TRUE,T78,U78,V78)</f>
        <v/>
      </c>
      <c r="AC78" s="123" t="inlineStr">
        <is>
          <t>20.5-25</t>
        </is>
      </c>
      <c r="AD78" s="177" t="inlineStr">
        <is>
          <t>16PR</t>
        </is>
      </c>
      <c r="AE78" s="177" t="inlineStr">
        <is>
          <t>STRONG GUARD L-3</t>
        </is>
      </c>
      <c r="AF78" s="156" t="inlineStr">
        <is>
          <t>/</t>
        </is>
      </c>
      <c r="AG78" s="156" t="inlineStr">
        <is>
          <t>/</t>
        </is>
      </c>
      <c r="AH78" s="131" t="n">
        <v>171.15</v>
      </c>
      <c r="AI78" s="177" t="n">
        <v>170.5</v>
      </c>
      <c r="AJ78" s="130">
        <f>AH78-AI78</f>
        <v/>
      </c>
      <c r="AK78" s="390">
        <f>_xlfn.TEXTJOIN("-",TRUE,AC78,AD78,AE78)</f>
        <v/>
      </c>
      <c r="AL78" s="123" t="inlineStr">
        <is>
          <t>ST205/75R15</t>
        </is>
      </c>
      <c r="AM78" s="177" t="inlineStr">
        <is>
          <t>6PR</t>
        </is>
      </c>
      <c r="AN78" s="177" t="inlineStr">
        <is>
          <t>ST100</t>
        </is>
      </c>
      <c r="AO78" s="177" t="inlineStr">
        <is>
          <t>ST205/75R15-6PR ST-100/STZC</t>
        </is>
      </c>
      <c r="AP78" s="177" t="n"/>
      <c r="AQ78" s="131" t="n">
        <v>9.91</v>
      </c>
      <c r="AR78" s="131" t="n">
        <v>9.773999999999999</v>
      </c>
      <c r="AS78" s="130">
        <f>AQ78-AR78</f>
        <v/>
      </c>
      <c r="AT78" s="390">
        <f>_xlfn.TEXTJOIN("-",TRUE,AL78,AM78,AN78)</f>
        <v/>
      </c>
      <c r="AU78" s="123" t="inlineStr">
        <is>
          <t>185/65R15</t>
        </is>
      </c>
      <c r="AV78" s="177" t="inlineStr">
        <is>
          <t>/</t>
        </is>
      </c>
      <c r="AW78" s="177" t="inlineStr">
        <is>
          <t>G-118</t>
        </is>
      </c>
      <c r="AX78" s="177" t="inlineStr">
        <is>
          <t>S021368A-42</t>
        </is>
      </c>
      <c r="AY78" s="131" t="n">
        <v>7.22</v>
      </c>
      <c r="AZ78" s="131" t="n">
        <v>7.231</v>
      </c>
      <c r="BA78" s="130">
        <f>AY78-AZ78</f>
        <v/>
      </c>
      <c r="BB78" s="390">
        <f>_xlfn.TEXTJOIN("-",TRUE,AU78,AW78)</f>
        <v/>
      </c>
    </row>
    <row r="79">
      <c r="B79" s="123" t="inlineStr">
        <is>
          <t>10.00R20</t>
        </is>
      </c>
      <c r="C79" s="177" t="inlineStr">
        <is>
          <t>18PR</t>
        </is>
      </c>
      <c r="D79" s="177" t="inlineStr">
        <is>
          <t>MT100</t>
        </is>
      </c>
      <c r="E79" s="177" t="inlineStr">
        <is>
          <t>10.00R20-18PR-AC C ID</t>
        </is>
      </c>
      <c r="F79" s="131">
        <f>G79-3.476+4.189</f>
        <v/>
      </c>
      <c r="G79" s="131" t="n">
        <v>66.40900000000001</v>
      </c>
      <c r="H79" s="129" t="n">
        <v>66.09</v>
      </c>
      <c r="I79" s="130">
        <f>G79-H79</f>
        <v/>
      </c>
      <c r="J79" s="115">
        <f>_xlfn.TEXTJOIN("-",TRUE,B79,C79,D79)</f>
        <v/>
      </c>
      <c r="K79" s="145" t="n"/>
      <c r="L79" s="178" t="n"/>
      <c r="M79" s="178" t="n"/>
      <c r="N79" s="178" t="n"/>
      <c r="O79" s="178" t="n"/>
      <c r="P79" s="178" t="n"/>
      <c r="Q79" s="178" t="n"/>
      <c r="R79" s="134" t="n"/>
      <c r="S79" s="390">
        <f>_xlfn.TEXTJOIN("-",TRUE,K79,L79,M79)</f>
        <v/>
      </c>
      <c r="T79" s="132" t="n"/>
      <c r="U79" s="178" t="n"/>
      <c r="V79" s="178" t="n"/>
      <c r="W79" s="178" t="n"/>
      <c r="X79" s="178" t="n"/>
      <c r="Y79" s="178" t="n"/>
      <c r="Z79" s="178" t="n"/>
      <c r="AA79" s="134" t="n"/>
      <c r="AB79" s="390">
        <f>_xlfn.TEXTJOIN("-",TRUE,T79,U79,V79)</f>
        <v/>
      </c>
      <c r="AC79" s="132" t="n"/>
      <c r="AD79" s="178" t="n"/>
      <c r="AE79" s="178" t="n"/>
      <c r="AF79" s="178" t="n"/>
      <c r="AG79" s="178" t="n"/>
      <c r="AH79" s="178" t="n"/>
      <c r="AI79" s="178" t="n"/>
      <c r="AJ79" s="134" t="n"/>
      <c r="AK79" s="390">
        <f>_xlfn.TEXTJOIN("-",TRUE,AC79,AD79,AE79)</f>
        <v/>
      </c>
      <c r="AL79" s="123" t="inlineStr">
        <is>
          <t>ST205/75R15</t>
        </is>
      </c>
      <c r="AM79" s="177" t="inlineStr">
        <is>
          <t>6PR</t>
        </is>
      </c>
      <c r="AN79" s="177" t="inlineStr">
        <is>
          <t>STZC</t>
        </is>
      </c>
      <c r="AO79" s="177" t="inlineStr">
        <is>
          <t>ST205/75R15-6PR ST-100/STZC</t>
        </is>
      </c>
      <c r="AP79" s="177" t="n"/>
      <c r="AQ79" s="131" t="n">
        <v>9.91</v>
      </c>
      <c r="AR79" s="131" t="n">
        <v>9.773999999999999</v>
      </c>
      <c r="AS79" s="130">
        <f>AQ79-AR79</f>
        <v/>
      </c>
      <c r="AT79" s="390">
        <f>_xlfn.TEXTJOIN("-",TRUE,AL79,AM79,AN79)</f>
        <v/>
      </c>
      <c r="AU79" s="123" t="inlineStr">
        <is>
          <t>185/65R15</t>
        </is>
      </c>
      <c r="AV79" s="177" t="inlineStr">
        <is>
          <t>/</t>
        </is>
      </c>
      <c r="AW79" s="139" t="inlineStr">
        <is>
          <t>T-118</t>
        </is>
      </c>
      <c r="AX79" s="177" t="inlineStr">
        <is>
          <t>S021368A-42</t>
        </is>
      </c>
      <c r="AY79" s="131" t="n">
        <v>7.22</v>
      </c>
      <c r="AZ79" s="131" t="n">
        <v>7.231</v>
      </c>
      <c r="BA79" s="130">
        <f>AY79-AZ79</f>
        <v/>
      </c>
      <c r="BB79" s="390">
        <f>_xlfn.TEXTJOIN("-",TRUE,AU79,AW79)</f>
        <v/>
      </c>
    </row>
    <row r="80" ht="13.8" customHeight="1" s="428">
      <c r="B80" s="123" t="inlineStr">
        <is>
          <t>10.00R20</t>
        </is>
      </c>
      <c r="C80" s="177" t="inlineStr">
        <is>
          <t>18PR</t>
        </is>
      </c>
      <c r="D80" s="177" t="inlineStr">
        <is>
          <t>CM913</t>
        </is>
      </c>
      <c r="E80" s="177" t="inlineStr">
        <is>
          <t>10.00R20-18PR-R ST C ID</t>
        </is>
      </c>
      <c r="F80" s="131">
        <f>G80-3.476+4.189</f>
        <v/>
      </c>
      <c r="G80" s="131" t="n">
        <v>64.175</v>
      </c>
      <c r="H80" s="129" t="n">
        <v>63.6016</v>
      </c>
      <c r="I80" s="130">
        <f>G80-H80</f>
        <v/>
      </c>
      <c r="J80" s="115">
        <f>_xlfn.TEXTJOIN("-",TRUE,B80,C80,D80)</f>
        <v/>
      </c>
      <c r="K80" s="123" t="inlineStr">
        <is>
          <t>16.5X6.5-8</t>
        </is>
      </c>
      <c r="L80" s="177" t="inlineStr">
        <is>
          <t>6PR</t>
        </is>
      </c>
      <c r="M80" s="177" t="inlineStr">
        <is>
          <t>SU202</t>
        </is>
      </c>
      <c r="N80" s="125" t="inlineStr">
        <is>
          <t>16.5X6.5-8-6PR-SZ</t>
        </is>
      </c>
      <c r="O80" s="177" t="inlineStr">
        <is>
          <t>/</t>
        </is>
      </c>
      <c r="P80" s="177" t="n">
        <v>4.42</v>
      </c>
      <c r="Q80" s="177" t="n">
        <v>4.16</v>
      </c>
      <c r="R80" s="127">
        <f>P80-Q80</f>
        <v/>
      </c>
      <c r="S80" s="390">
        <f>_xlfn.TEXTJOIN("-",TRUE,K80,L80,M80)</f>
        <v/>
      </c>
      <c r="T80" s="123" t="inlineStr">
        <is>
          <t>27 X 11-12</t>
        </is>
      </c>
      <c r="U80" s="177" t="inlineStr">
        <is>
          <t>6PR</t>
        </is>
      </c>
      <c r="V80" s="177" t="inlineStr">
        <is>
          <t>WL6A</t>
        </is>
      </c>
      <c r="W80" s="177" t="inlineStr">
        <is>
          <t>27x11-12-6PR WL6A</t>
        </is>
      </c>
      <c r="X80" s="177" t="n"/>
      <c r="Y80" s="131" t="n">
        <v>13.798</v>
      </c>
      <c r="Z80" s="131" t="n">
        <v>13.65</v>
      </c>
      <c r="AA80" s="130">
        <f>Y80-Z80</f>
        <v/>
      </c>
      <c r="AB80" s="390">
        <f>_xlfn.TEXTJOIN("-",TRUE,T80,U80,V80)</f>
        <v/>
      </c>
      <c r="AC80" s="123" t="inlineStr">
        <is>
          <t>21L-24</t>
        </is>
      </c>
      <c r="AD80" s="177" t="inlineStr">
        <is>
          <t>12PR</t>
        </is>
      </c>
      <c r="AE80" s="177" t="inlineStr">
        <is>
          <t>BHL-100</t>
        </is>
      </c>
      <c r="AF80" s="156" t="inlineStr">
        <is>
          <t>/</t>
        </is>
      </c>
      <c r="AG80" s="156" t="inlineStr">
        <is>
          <t>/</t>
        </is>
      </c>
      <c r="AH80" s="131" t="n">
        <v>106.1</v>
      </c>
      <c r="AI80" s="177" t="n">
        <v>105.5</v>
      </c>
      <c r="AJ80" s="130">
        <f>AH80-AI80</f>
        <v/>
      </c>
      <c r="AK80" s="390">
        <f>_xlfn.TEXTJOIN("-",TRUE,AC80,AD80,AE80)</f>
        <v/>
      </c>
      <c r="AL80" s="123" t="inlineStr">
        <is>
          <t>ST205/75R15</t>
        </is>
      </c>
      <c r="AM80" s="177" t="inlineStr">
        <is>
          <t>8PR</t>
        </is>
      </c>
      <c r="AN80" s="177" t="inlineStr">
        <is>
          <t>ST100</t>
        </is>
      </c>
      <c r="AO80" s="177" t="inlineStr">
        <is>
          <t>ST205/75R15-8PR ST-100/STZC</t>
        </is>
      </c>
      <c r="AP80" s="177" t="n"/>
      <c r="AQ80" s="131" t="n">
        <v>11.06</v>
      </c>
      <c r="AR80" s="131" t="n">
        <v>10.908</v>
      </c>
      <c r="AS80" s="130">
        <f>AQ80-AR80</f>
        <v/>
      </c>
      <c r="AT80" s="390">
        <f>_xlfn.TEXTJOIN("-",TRUE,AL80,AM80,AN80)</f>
        <v/>
      </c>
      <c r="AU80" s="123" t="inlineStr">
        <is>
          <t>185/65R15</t>
        </is>
      </c>
      <c r="AV80" s="177" t="inlineStr">
        <is>
          <t>/</t>
        </is>
      </c>
      <c r="AW80" s="139" t="inlineStr">
        <is>
          <t>Z-108</t>
        </is>
      </c>
      <c r="AX80" s="177" t="inlineStr">
        <is>
          <t>S021368A-42</t>
        </is>
      </c>
      <c r="AY80" s="131" t="n">
        <v>7.22</v>
      </c>
      <c r="AZ80" s="131" t="n">
        <v>7.231</v>
      </c>
      <c r="BA80" s="130">
        <f>AY80-AZ80</f>
        <v/>
      </c>
      <c r="BB80" s="390">
        <f>_xlfn.TEXTJOIN("-",TRUE,AU80,AW80)</f>
        <v/>
      </c>
    </row>
    <row r="81">
      <c r="B81" s="123" t="inlineStr">
        <is>
          <t>10.00R20</t>
        </is>
      </c>
      <c r="C81" s="177" t="inlineStr">
        <is>
          <t>18PR</t>
        </is>
      </c>
      <c r="D81" s="177" t="inlineStr">
        <is>
          <t>CB981</t>
        </is>
      </c>
      <c r="E81" s="177" t="inlineStr">
        <is>
          <t>10.00R20-18PR-CB981 ST C ID</t>
        </is>
      </c>
      <c r="F81" s="131">
        <f>G81-3.476+4.189</f>
        <v/>
      </c>
      <c r="G81" s="131" t="n">
        <v>63.195</v>
      </c>
      <c r="H81" s="129" t="n">
        <v>62.7263</v>
      </c>
      <c r="I81" s="130">
        <f>G81-H81</f>
        <v/>
      </c>
      <c r="J81" s="115">
        <f>_xlfn.TEXTJOIN("-",TRUE,B81,C81,D81)</f>
        <v/>
      </c>
      <c r="K81" s="123" t="inlineStr">
        <is>
          <t>16.5X6.5-8</t>
        </is>
      </c>
      <c r="L81" s="177" t="inlineStr">
        <is>
          <t>6PR</t>
        </is>
      </c>
      <c r="M81" s="177" t="inlineStr">
        <is>
          <t>ZT202</t>
        </is>
      </c>
      <c r="N81" s="125" t="inlineStr">
        <is>
          <t>16.5X6.5-8-6PR-SZ</t>
        </is>
      </c>
      <c r="O81" s="177" t="inlineStr">
        <is>
          <t>/</t>
        </is>
      </c>
      <c r="P81" s="177" t="n">
        <v>4.42</v>
      </c>
      <c r="Q81" s="177" t="n">
        <v>4.16</v>
      </c>
      <c r="R81" s="127">
        <f>P81-Q81</f>
        <v/>
      </c>
      <c r="S81" s="390">
        <f>_xlfn.TEXTJOIN("-",TRUE,K81,L81,M81)</f>
        <v/>
      </c>
      <c r="T81" s="132" t="n"/>
      <c r="U81" s="178" t="n"/>
      <c r="V81" s="178" t="n"/>
      <c r="W81" s="178" t="n"/>
      <c r="X81" s="178" t="n"/>
      <c r="Y81" s="178" t="n"/>
      <c r="Z81" s="178" t="n"/>
      <c r="AA81" s="134" t="n"/>
      <c r="AB81" s="390">
        <f>_xlfn.TEXTJOIN("-",TRUE,T81,U81,V81)</f>
        <v/>
      </c>
      <c r="AC81" s="123" t="inlineStr">
        <is>
          <t>21L-24</t>
        </is>
      </c>
      <c r="AD81" s="177" t="inlineStr">
        <is>
          <t>12PR</t>
        </is>
      </c>
      <c r="AE81" s="177" t="inlineStr">
        <is>
          <t>STRONG GUARD XR4</t>
        </is>
      </c>
      <c r="AF81" s="156" t="inlineStr">
        <is>
          <t>21L-24-12PR-SGXR4</t>
        </is>
      </c>
      <c r="AG81" s="156" t="inlineStr">
        <is>
          <t>/</t>
        </is>
      </c>
      <c r="AH81" s="131" t="n">
        <v>107.85</v>
      </c>
      <c r="AI81" s="177" t="n">
        <v>107.2</v>
      </c>
      <c r="AJ81" s="130">
        <f>AH81-AI81</f>
        <v/>
      </c>
      <c r="AK81" s="390">
        <f>_xlfn.TEXTJOIN("-",TRUE,AC81,AD81,AE81)</f>
        <v/>
      </c>
      <c r="AL81" s="123" t="inlineStr">
        <is>
          <t>ST205/75R15</t>
        </is>
      </c>
      <c r="AM81" s="177" t="inlineStr">
        <is>
          <t>8PR</t>
        </is>
      </c>
      <c r="AN81" s="177" t="inlineStr">
        <is>
          <t>STZC</t>
        </is>
      </c>
      <c r="AO81" s="177" t="inlineStr">
        <is>
          <t>ST205/75R15-8PR ST-100/STZC</t>
        </is>
      </c>
      <c r="AP81" s="177" t="n"/>
      <c r="AQ81" s="131" t="n">
        <v>11.06</v>
      </c>
      <c r="AR81" s="131" t="n">
        <v>10.908</v>
      </c>
      <c r="AS81" s="130">
        <f>AQ81-AR81</f>
        <v/>
      </c>
      <c r="AT81" s="390">
        <f>_xlfn.TEXTJOIN("-",TRUE,AL81,AM81,AN81)</f>
        <v/>
      </c>
      <c r="AU81" s="123" t="inlineStr">
        <is>
          <t>185/65R15</t>
        </is>
      </c>
      <c r="AV81" s="177" t="inlineStr">
        <is>
          <t>/</t>
        </is>
      </c>
      <c r="AW81" s="139" t="inlineStr">
        <is>
          <t>RP218</t>
        </is>
      </c>
      <c r="AX81" s="177" t="inlineStr">
        <is>
          <t>S021495A-60</t>
        </is>
      </c>
      <c r="AY81" s="131" t="n">
        <v>7.959</v>
      </c>
      <c r="AZ81" s="131" t="n">
        <v>7.959</v>
      </c>
      <c r="BA81" s="130">
        <f>AY81-AZ81</f>
        <v/>
      </c>
      <c r="BB81" s="390">
        <f>_xlfn.TEXTJOIN("-",TRUE,AU81,AW81)</f>
        <v/>
      </c>
    </row>
    <row r="82" ht="13.8" customHeight="1" s="428">
      <c r="B82" s="123" t="inlineStr">
        <is>
          <t>10.00R20</t>
        </is>
      </c>
      <c r="C82" s="177" t="inlineStr">
        <is>
          <t>18PR</t>
        </is>
      </c>
      <c r="D82" s="177" t="inlineStr">
        <is>
          <t>CB905</t>
        </is>
      </c>
      <c r="E82" s="177" t="inlineStr">
        <is>
          <t>10.00R20-18PR-CB905 ST C ID</t>
        </is>
      </c>
      <c r="F82" s="131">
        <f>G82-3.476+4.189</f>
        <v/>
      </c>
      <c r="G82" s="131" t="n">
        <v>67.682</v>
      </c>
      <c r="H82" s="129" t="n">
        <v>67.1125</v>
      </c>
      <c r="I82" s="130">
        <f>G82-H82</f>
        <v/>
      </c>
      <c r="J82" s="115">
        <f>_xlfn.TEXTJOIN("-",TRUE,B82,C82,D82)</f>
        <v/>
      </c>
      <c r="K82" s="132" t="n"/>
      <c r="L82" s="178" t="n"/>
      <c r="M82" s="178" t="n"/>
      <c r="N82" s="178" t="n"/>
      <c r="O82" s="178" t="n"/>
      <c r="P82" s="178" t="n"/>
      <c r="Q82" s="178" t="n"/>
      <c r="R82" s="134" t="n"/>
      <c r="S82" s="390">
        <f>_xlfn.TEXTJOIN("-",TRUE,K82,L82,M82)</f>
        <v/>
      </c>
      <c r="T82" s="123" t="inlineStr">
        <is>
          <t>27 X 11-14</t>
        </is>
      </c>
      <c r="U82" s="177" t="inlineStr">
        <is>
          <t>6PR</t>
        </is>
      </c>
      <c r="V82" s="177" t="inlineStr">
        <is>
          <t>A033</t>
        </is>
      </c>
      <c r="W82" s="177" t="inlineStr">
        <is>
          <t>27x11-14-6PR A033</t>
        </is>
      </c>
      <c r="X82" s="177" t="n"/>
      <c r="Y82" s="131" t="n">
        <v>12.225</v>
      </c>
      <c r="Z82" s="131" t="n">
        <v>12.225</v>
      </c>
      <c r="AA82" s="130">
        <f>Y82-Z82</f>
        <v/>
      </c>
      <c r="AB82" s="390">
        <f>_xlfn.TEXTJOIN("-",TRUE,T82,U82,V82)</f>
        <v/>
      </c>
      <c r="AC82" s="132" t="n"/>
      <c r="AD82" s="178" t="n"/>
      <c r="AE82" s="178" t="n"/>
      <c r="AF82" s="178" t="n"/>
      <c r="AG82" s="178" t="n"/>
      <c r="AH82" s="178" t="n"/>
      <c r="AI82" s="178" t="n"/>
      <c r="AJ82" s="134" t="n"/>
      <c r="AK82" s="390">
        <f>_xlfn.TEXTJOIN("-",TRUE,AC82,AD82,AE82)</f>
        <v/>
      </c>
      <c r="AL82" s="123" t="inlineStr">
        <is>
          <t>ST205/75R15</t>
        </is>
      </c>
      <c r="AM82" s="177" t="inlineStr">
        <is>
          <t>10PR</t>
        </is>
      </c>
      <c r="AN82" s="177" t="inlineStr">
        <is>
          <t>ST100</t>
        </is>
      </c>
      <c r="AO82" s="177" t="inlineStr">
        <is>
          <t>ST205/75R15-10PR ST-100</t>
        </is>
      </c>
      <c r="AP82" s="177" t="n"/>
      <c r="AQ82" s="131" t="n">
        <v>11.723</v>
      </c>
      <c r="AR82" s="131" t="n">
        <v>11.677</v>
      </c>
      <c r="AS82" s="130">
        <f>AQ82-AR82</f>
        <v/>
      </c>
      <c r="AT82" s="390">
        <f>_xlfn.TEXTJOIN("-",TRUE,AL82,AM82,AN82)</f>
        <v/>
      </c>
      <c r="AU82" s="132" t="n"/>
      <c r="AV82" s="178" t="n"/>
      <c r="AW82" s="178" t="n"/>
      <c r="AX82" s="178" t="n"/>
      <c r="AY82" s="135" t="n"/>
      <c r="AZ82" s="135" t="n"/>
      <c r="BA82" s="136" t="n"/>
      <c r="BB82" s="390">
        <f>_xlfn.TEXTJOIN("-",TRUE,AU82,AW82)</f>
        <v/>
      </c>
    </row>
    <row r="83" ht="13.8" customHeight="1" s="428">
      <c r="B83" s="123" t="inlineStr">
        <is>
          <t>10.00R20</t>
        </is>
      </c>
      <c r="C83" s="177" t="inlineStr">
        <is>
          <t>18PR</t>
        </is>
      </c>
      <c r="D83" s="177" t="inlineStr">
        <is>
          <t>EZ330</t>
        </is>
      </c>
      <c r="E83" s="125" t="inlineStr">
        <is>
          <t>10.00R20-18PR-AB ST C ID</t>
        </is>
      </c>
      <c r="F83" s="131">
        <f>G83-3.476+4.189</f>
        <v/>
      </c>
      <c r="G83" s="131" t="n">
        <v>67.895</v>
      </c>
      <c r="H83" s="129" t="n">
        <v>67.59999999999999</v>
      </c>
      <c r="I83" s="130">
        <f>G83-H83</f>
        <v/>
      </c>
      <c r="J83" s="115">
        <f>_xlfn.TEXTJOIN("-",TRUE,B83,C83,D83)</f>
        <v/>
      </c>
      <c r="K83" s="123" t="inlineStr">
        <is>
          <t>18.5X8.5-8</t>
        </is>
      </c>
      <c r="L83" s="177" t="inlineStr">
        <is>
          <t>6PR</t>
        </is>
      </c>
      <c r="M83" s="177" t="inlineStr">
        <is>
          <t>SU202</t>
        </is>
      </c>
      <c r="N83" s="125" t="inlineStr">
        <is>
          <t>18.5X6.5-8-6PR-SZ</t>
        </is>
      </c>
      <c r="O83" s="177" t="inlineStr">
        <is>
          <t>/</t>
        </is>
      </c>
      <c r="P83" s="177" t="n">
        <v>5.59</v>
      </c>
      <c r="Q83" s="177" t="n">
        <v>5.47</v>
      </c>
      <c r="R83" s="127">
        <f>P83-Q83</f>
        <v/>
      </c>
      <c r="S83" s="390">
        <f>_xlfn.TEXTJOIN("-",TRUE,K83,L83,M83)</f>
        <v/>
      </c>
      <c r="T83" s="132" t="n"/>
      <c r="U83" s="178" t="n"/>
      <c r="V83" s="178" t="n"/>
      <c r="W83" s="178" t="n"/>
      <c r="X83" s="178" t="n"/>
      <c r="Y83" s="178" t="n"/>
      <c r="Z83" s="178" t="n"/>
      <c r="AA83" s="134" t="n"/>
      <c r="AB83" s="390">
        <f>_xlfn.TEXTJOIN("-",TRUE,T83,U83,V83)</f>
        <v/>
      </c>
      <c r="AC83" s="123" t="inlineStr">
        <is>
          <t>23X8.50-12</t>
        </is>
      </c>
      <c r="AD83" s="177" t="inlineStr">
        <is>
          <t>6PR</t>
        </is>
      </c>
      <c r="AE83" s="177" t="inlineStr">
        <is>
          <t>STRONG GUARD SS</t>
        </is>
      </c>
      <c r="AF83" s="156" t="inlineStr">
        <is>
          <t>23X8.50-12-6PR-SGSS</t>
        </is>
      </c>
      <c r="AG83" s="156" t="inlineStr">
        <is>
          <t>/</t>
        </is>
      </c>
      <c r="AH83" s="131" t="n">
        <v>11.99</v>
      </c>
      <c r="AI83" s="177" t="n">
        <v>11.98</v>
      </c>
      <c r="AJ83" s="130">
        <f>AH83-AI83</f>
        <v/>
      </c>
      <c r="AK83" s="390">
        <f>_xlfn.TEXTJOIN("-",TRUE,AC83,AD83,AE83)</f>
        <v/>
      </c>
      <c r="AL83" s="123" t="inlineStr">
        <is>
          <t>ST205/75R15</t>
        </is>
      </c>
      <c r="AM83" s="177" t="inlineStr">
        <is>
          <t>6PR</t>
        </is>
      </c>
      <c r="AN83" s="177" t="inlineStr">
        <is>
          <t>ST100A</t>
        </is>
      </c>
      <c r="AO83" s="177" t="inlineStr">
        <is>
          <t>ST205/75R15-6PR SDAT</t>
        </is>
      </c>
      <c r="AP83" s="177" t="n"/>
      <c r="AQ83" s="131" t="n">
        <v>9.313000000000001</v>
      </c>
      <c r="AR83" s="131" t="n">
        <v>9.177</v>
      </c>
      <c r="AS83" s="130">
        <f>AQ83-AR83</f>
        <v/>
      </c>
      <c r="AT83" s="390">
        <f>_xlfn.TEXTJOIN("-",TRUE,AL83,AM83,AN83)</f>
        <v/>
      </c>
      <c r="AU83" s="123" t="inlineStr">
        <is>
          <t>185/70R14</t>
        </is>
      </c>
      <c r="AV83" s="177" t="inlineStr">
        <is>
          <t>/</t>
        </is>
      </c>
      <c r="AW83" s="177" t="inlineStr">
        <is>
          <t>C-108</t>
        </is>
      </c>
      <c r="AX83" s="177" t="inlineStr">
        <is>
          <t>021218A-42</t>
        </is>
      </c>
      <c r="AY83" s="131" t="n">
        <v>6.916</v>
      </c>
      <c r="AZ83" s="131" t="n">
        <v>6.897</v>
      </c>
      <c r="BA83" s="130">
        <f>AY83-AZ83</f>
        <v/>
      </c>
      <c r="BB83" s="390">
        <f>_xlfn.TEXTJOIN("-",TRUE,AU83,AW83)</f>
        <v/>
      </c>
    </row>
    <row r="84" ht="13.8" customHeight="1" s="428">
      <c r="B84" s="123" t="inlineStr">
        <is>
          <t>10.00R20</t>
        </is>
      </c>
      <c r="C84" s="177" t="inlineStr">
        <is>
          <t>18PR</t>
        </is>
      </c>
      <c r="D84" s="177" t="inlineStr">
        <is>
          <t>CB332</t>
        </is>
      </c>
      <c r="E84" s="125" t="inlineStr">
        <is>
          <t>10.00R20-18PR-AB ST C ID</t>
        </is>
      </c>
      <c r="F84" s="131">
        <f>G84-3.476+4.189</f>
        <v/>
      </c>
      <c r="G84" s="131" t="n">
        <v>67.895</v>
      </c>
      <c r="H84" s="129" t="n">
        <v>67.59999999999999</v>
      </c>
      <c r="I84" s="130">
        <f>G84-H84</f>
        <v/>
      </c>
      <c r="J84" s="115">
        <f>_xlfn.TEXTJOIN("-",TRUE,B84,C84,D84)</f>
        <v/>
      </c>
      <c r="K84" s="123" t="inlineStr">
        <is>
          <t>18.5X8.5-8</t>
        </is>
      </c>
      <c r="L84" s="177" t="inlineStr">
        <is>
          <t>6PR</t>
        </is>
      </c>
      <c r="M84" s="177" t="inlineStr">
        <is>
          <t>ZT202</t>
        </is>
      </c>
      <c r="N84" s="125" t="inlineStr">
        <is>
          <t>18.5X6.5-8-6PR-SZ</t>
        </is>
      </c>
      <c r="O84" s="177" t="inlineStr">
        <is>
          <t>/</t>
        </is>
      </c>
      <c r="P84" s="177" t="n">
        <v>5.59</v>
      </c>
      <c r="Q84" s="177" t="n">
        <v>5.47</v>
      </c>
      <c r="R84" s="127">
        <f>P84-Q84</f>
        <v/>
      </c>
      <c r="S84" s="390">
        <f>_xlfn.TEXTJOIN("-",TRUE,K84,L84,M84)</f>
        <v/>
      </c>
      <c r="T84" s="123" t="inlineStr">
        <is>
          <t>28 X 10R14</t>
        </is>
      </c>
      <c r="U84" s="177" t="inlineStr">
        <is>
          <t>8PR</t>
        </is>
      </c>
      <c r="V84" s="177" t="inlineStr">
        <is>
          <t>WL6A</t>
        </is>
      </c>
      <c r="W84" s="177" t="inlineStr">
        <is>
          <t>28X10R14-8PR WL6A</t>
        </is>
      </c>
      <c r="X84" s="177" t="n"/>
      <c r="Y84" s="131" t="n">
        <v>14.98</v>
      </c>
      <c r="Z84" s="131" t="n">
        <v>14.98</v>
      </c>
      <c r="AA84" s="130">
        <f>Y84-Z84</f>
        <v/>
      </c>
      <c r="AB84" s="390">
        <f>_xlfn.TEXTJOIN("-",TRUE,T84,U84,V84)</f>
        <v/>
      </c>
      <c r="AC84" s="132" t="n"/>
      <c r="AD84" s="178" t="n"/>
      <c r="AE84" s="178" t="n"/>
      <c r="AF84" s="178" t="n"/>
      <c r="AG84" s="178" t="n"/>
      <c r="AH84" s="178" t="n"/>
      <c r="AI84" s="178" t="n"/>
      <c r="AJ84" s="134" t="n"/>
      <c r="AK84" s="390">
        <f>_xlfn.TEXTJOIN("-",TRUE,AC84,AD84,AE84)</f>
        <v/>
      </c>
      <c r="AL84" s="123" t="inlineStr">
        <is>
          <t>ST205/75R15</t>
        </is>
      </c>
      <c r="AM84" s="177" t="inlineStr">
        <is>
          <t>6PR</t>
        </is>
      </c>
      <c r="AN84" s="177" t="inlineStr">
        <is>
          <t>DURAHAULER ST</t>
        </is>
      </c>
      <c r="AO84" s="177" t="inlineStr">
        <is>
          <t>ST205/75R15-6PR SDAT</t>
        </is>
      </c>
      <c r="AP84" s="177" t="n"/>
      <c r="AQ84" s="131" t="n">
        <v>9.313000000000001</v>
      </c>
      <c r="AR84" s="131" t="n">
        <v>9.177</v>
      </c>
      <c r="AS84" s="130">
        <f>AQ84-AR84</f>
        <v/>
      </c>
      <c r="AT84" s="390">
        <f>_xlfn.TEXTJOIN("-",TRUE,AL84,AM84,AN84)</f>
        <v/>
      </c>
      <c r="AU84" s="123" t="inlineStr">
        <is>
          <t>185/70R14</t>
        </is>
      </c>
      <c r="AV84" s="177" t="inlineStr">
        <is>
          <t>/</t>
        </is>
      </c>
      <c r="AW84" s="177" t="inlineStr">
        <is>
          <t>G-118</t>
        </is>
      </c>
      <c r="AX84" s="177" t="inlineStr">
        <is>
          <t>021218A-42</t>
        </is>
      </c>
      <c r="AY84" s="131" t="n">
        <v>6.916</v>
      </c>
      <c r="AZ84" s="131" t="n">
        <v>6.897</v>
      </c>
      <c r="BA84" s="130">
        <f>AY84-AZ84</f>
        <v/>
      </c>
      <c r="BB84" s="390">
        <f>_xlfn.TEXTJOIN("-",TRUE,AU84,AW84)</f>
        <v/>
      </c>
    </row>
    <row r="85">
      <c r="B85" s="123" t="inlineStr">
        <is>
          <t>10.00R20</t>
        </is>
      </c>
      <c r="C85" s="177" t="inlineStr">
        <is>
          <t>18PR</t>
        </is>
      </c>
      <c r="D85" s="126" t="inlineStr">
        <is>
          <t>EZ835</t>
        </is>
      </c>
      <c r="E85" s="125" t="inlineStr">
        <is>
          <t>10.00R20-18PR-EZ835 ST C ID</t>
        </is>
      </c>
      <c r="F85" s="128">
        <f>G85-3.476+4.189</f>
        <v/>
      </c>
      <c r="G85" s="131" t="n">
        <v>66.646</v>
      </c>
      <c r="H85" s="129" t="n">
        <v>66.083</v>
      </c>
      <c r="I85" s="130">
        <f>G85-H85</f>
        <v/>
      </c>
      <c r="J85" s="115">
        <f>_xlfn.TEXTJOIN("-",TRUE,B85,C85,D85)</f>
        <v/>
      </c>
      <c r="K85" s="123" t="inlineStr">
        <is>
          <t>18.5X8.5-8</t>
        </is>
      </c>
      <c r="L85" s="177" t="inlineStr">
        <is>
          <t>8PR</t>
        </is>
      </c>
      <c r="M85" s="177" t="inlineStr">
        <is>
          <t>SU202</t>
        </is>
      </c>
      <c r="N85" s="125" t="inlineStr">
        <is>
          <t>18.5X6.5-8-8PR-SZ</t>
        </is>
      </c>
      <c r="O85" s="177" t="inlineStr">
        <is>
          <t>/</t>
        </is>
      </c>
      <c r="P85" s="177" t="n">
        <v>5.51</v>
      </c>
      <c r="Q85" s="177" t="n">
        <v>5.52</v>
      </c>
      <c r="R85" s="127">
        <f>P85-Q85</f>
        <v/>
      </c>
      <c r="S85" s="390">
        <f>_xlfn.TEXTJOIN("-",TRUE,K85,L85,M85)</f>
        <v/>
      </c>
      <c r="T85" s="178" t="n"/>
      <c r="U85" s="178" t="n"/>
      <c r="V85" s="178" t="n"/>
      <c r="W85" s="178" t="n"/>
      <c r="X85" s="178" t="n"/>
      <c r="Y85" s="178" t="n"/>
      <c r="Z85" s="178" t="n"/>
      <c r="AA85" s="178" t="n"/>
      <c r="AB85" s="390">
        <f>_xlfn.TEXTJOIN("-",TRUE,T85,U85,V85)</f>
        <v/>
      </c>
      <c r="AC85" s="123" t="inlineStr">
        <is>
          <t>26X12-12</t>
        </is>
      </c>
      <c r="AD85" s="177" t="inlineStr">
        <is>
          <t>8PR</t>
        </is>
      </c>
      <c r="AE85" s="177" t="inlineStr">
        <is>
          <t>STRONG GUARD R1</t>
        </is>
      </c>
      <c r="AF85" s="156" t="inlineStr">
        <is>
          <t>26X12-12-8PR-SGR1</t>
        </is>
      </c>
      <c r="AG85" s="156" t="inlineStr">
        <is>
          <t>/</t>
        </is>
      </c>
      <c r="AH85" s="131" t="n">
        <v>21.41</v>
      </c>
      <c r="AI85" s="177" t="n">
        <v>21.46</v>
      </c>
      <c r="AJ85" s="130">
        <f>AH85-AI85</f>
        <v/>
      </c>
      <c r="AK85" s="390">
        <f>_xlfn.TEXTJOIN("-",TRUE,AC85,AD85,AE85)</f>
        <v/>
      </c>
      <c r="AL85" s="123" t="inlineStr">
        <is>
          <t>ST205/75R15</t>
        </is>
      </c>
      <c r="AM85" s="177" t="inlineStr">
        <is>
          <t>6PR</t>
        </is>
      </c>
      <c r="AN85" s="177" t="inlineStr">
        <is>
          <t>ASSURE ST</t>
        </is>
      </c>
      <c r="AO85" s="177" t="inlineStr">
        <is>
          <t>ST205/75R15-6PR SDAT</t>
        </is>
      </c>
      <c r="AP85" s="177" t="n"/>
      <c r="AQ85" s="131" t="n">
        <v>9.313000000000001</v>
      </c>
      <c r="AR85" s="131" t="n">
        <v>9.177</v>
      </c>
      <c r="AS85" s="130">
        <f>AQ85-AR85</f>
        <v/>
      </c>
      <c r="AT85" s="390">
        <f>_xlfn.TEXTJOIN("-",TRUE,AL85,AM85,AN85)</f>
        <v/>
      </c>
      <c r="AU85" s="123" t="inlineStr">
        <is>
          <t>185/70R14</t>
        </is>
      </c>
      <c r="AV85" s="177" t="inlineStr">
        <is>
          <t>/</t>
        </is>
      </c>
      <c r="AW85" s="139" t="inlineStr">
        <is>
          <t>T-118</t>
        </is>
      </c>
      <c r="AX85" s="177" t="inlineStr">
        <is>
          <t>021218A-42</t>
        </is>
      </c>
      <c r="AY85" s="131" t="n">
        <v>6.916</v>
      </c>
      <c r="AZ85" s="131" t="n">
        <v>6.897</v>
      </c>
      <c r="BA85" s="130">
        <f>AY85-AZ85</f>
        <v/>
      </c>
      <c r="BB85" s="390">
        <f>_xlfn.TEXTJOIN("-",TRUE,AU85,AW85)</f>
        <v/>
      </c>
    </row>
    <row r="86">
      <c r="B86" s="123" t="inlineStr">
        <is>
          <t>10.00R20</t>
        </is>
      </c>
      <c r="C86" s="177" t="inlineStr">
        <is>
          <t>16PR</t>
        </is>
      </c>
      <c r="D86" s="126" t="inlineStr">
        <is>
          <t>TKAL III</t>
        </is>
      </c>
      <c r="E86" s="125" t="inlineStr">
        <is>
          <t>10.00R20-TF ST C ID</t>
        </is>
      </c>
      <c r="F86" s="128">
        <f>G86-3.476+4.189</f>
        <v/>
      </c>
      <c r="G86" s="128" t="n">
        <v>61.689</v>
      </c>
      <c r="H86" s="129" t="n">
        <v>61.9</v>
      </c>
      <c r="I86" s="130">
        <f>G86-H86</f>
        <v/>
      </c>
      <c r="J86" s="115">
        <f>_xlfn.TEXTJOIN("-",TRUE,B86,C86,D86)</f>
        <v/>
      </c>
      <c r="K86" s="123" t="inlineStr">
        <is>
          <t>18.5X8.5-8</t>
        </is>
      </c>
      <c r="L86" s="177" t="inlineStr">
        <is>
          <t>8PR</t>
        </is>
      </c>
      <c r="M86" s="177" t="inlineStr">
        <is>
          <t>ZT202</t>
        </is>
      </c>
      <c r="N86" s="125" t="inlineStr">
        <is>
          <t>18.5X6.5-8-8PR-SZ</t>
        </is>
      </c>
      <c r="O86" s="177" t="inlineStr">
        <is>
          <t>/</t>
        </is>
      </c>
      <c r="P86" s="177" t="n">
        <v>5.51</v>
      </c>
      <c r="Q86" s="177" t="n">
        <v>5.52</v>
      </c>
      <c r="R86" s="127">
        <f>P86-Q86</f>
        <v/>
      </c>
      <c r="S86" s="390">
        <f>_xlfn.TEXTJOIN("-",TRUE,K86,L86,M86)</f>
        <v/>
      </c>
      <c r="T86" s="179" t="inlineStr">
        <is>
          <t>32X10.00R15</t>
        </is>
      </c>
      <c r="U86" s="179" t="inlineStr">
        <is>
          <t>8PR</t>
        </is>
      </c>
      <c r="V86" s="179" t="inlineStr">
        <is>
          <t>P193</t>
        </is>
      </c>
      <c r="W86" s="179" t="inlineStr">
        <is>
          <t>32X10.00R15-8PR P193</t>
        </is>
      </c>
      <c r="X86" s="179" t="n"/>
      <c r="Y86" s="179" t="n">
        <v>18.215</v>
      </c>
      <c r="Z86" s="179" t="n"/>
      <c r="AA86" s="179" t="n"/>
      <c r="AB86" s="390">
        <f>_xlfn.TEXTJOIN("-",TRUE,T86,U86,V86)</f>
        <v/>
      </c>
      <c r="AC86" s="132" t="n"/>
      <c r="AD86" s="178" t="n"/>
      <c r="AE86" s="178" t="n"/>
      <c r="AF86" s="178" t="n"/>
      <c r="AG86" s="178" t="n"/>
      <c r="AH86" s="178" t="n"/>
      <c r="AI86" s="178" t="n"/>
      <c r="AJ86" s="134" t="n"/>
      <c r="AK86" s="390">
        <f>_xlfn.TEXTJOIN("-",TRUE,AC86,AD86,AE86)</f>
        <v/>
      </c>
      <c r="AL86" s="123" t="inlineStr">
        <is>
          <t>ST205/75R15</t>
        </is>
      </c>
      <c r="AM86" s="177" t="inlineStr">
        <is>
          <t>6PR</t>
        </is>
      </c>
      <c r="AN86" s="177" t="inlineStr">
        <is>
          <t>Tow Pro ST</t>
        </is>
      </c>
      <c r="AO86" s="177" t="inlineStr">
        <is>
          <t>ST205/75R15-6PR SDAT</t>
        </is>
      </c>
      <c r="AP86" s="177" t="n"/>
      <c r="AQ86" s="131" t="n">
        <v>9.313000000000001</v>
      </c>
      <c r="AR86" s="131" t="n">
        <v>9.177</v>
      </c>
      <c r="AS86" s="130">
        <f>AQ86-AR86</f>
        <v/>
      </c>
      <c r="AT86" s="390">
        <f>_xlfn.TEXTJOIN("-",TRUE,AL86,AM86,AN86)</f>
        <v/>
      </c>
      <c r="AU86" s="123" t="inlineStr">
        <is>
          <t>185/70R14</t>
        </is>
      </c>
      <c r="AV86" s="177" t="inlineStr">
        <is>
          <t>/</t>
        </is>
      </c>
      <c r="AW86" s="139" t="inlineStr">
        <is>
          <t>Z-108</t>
        </is>
      </c>
      <c r="AX86" s="177" t="inlineStr">
        <is>
          <t>021218A-42</t>
        </is>
      </c>
      <c r="AY86" s="131" t="n">
        <v>6.916</v>
      </c>
      <c r="AZ86" s="131" t="n">
        <v>6.897</v>
      </c>
      <c r="BA86" s="130">
        <f>AY86-AZ86</f>
        <v/>
      </c>
      <c r="BB86" s="390">
        <f>_xlfn.TEXTJOIN("-",TRUE,AU86,AW86)</f>
        <v/>
      </c>
    </row>
    <row r="87" ht="13.8" customHeight="1" s="428">
      <c r="B87" s="123" t="inlineStr">
        <is>
          <t>10.00R20</t>
        </is>
      </c>
      <c r="C87" s="177" t="inlineStr">
        <is>
          <t>16PR</t>
        </is>
      </c>
      <c r="D87" s="126" t="inlineStr">
        <is>
          <t>FOLO.R109</t>
        </is>
      </c>
      <c r="E87" s="177" t="inlineStr">
        <is>
          <t>10.00R20-TF ST C ID</t>
        </is>
      </c>
      <c r="F87" s="128">
        <f>G87-3.476+4.189</f>
        <v/>
      </c>
      <c r="G87" s="128" t="n">
        <v>61.689</v>
      </c>
      <c r="H87" s="129" t="n">
        <v>61.9</v>
      </c>
      <c r="I87" s="130">
        <f>G87-H87</f>
        <v/>
      </c>
      <c r="J87" s="115">
        <f>_xlfn.TEXTJOIN("-",TRUE,B87,C87,D87)</f>
        <v/>
      </c>
      <c r="K87" s="132" t="n"/>
      <c r="L87" s="178" t="n"/>
      <c r="M87" s="178" t="n"/>
      <c r="N87" s="178" t="n"/>
      <c r="O87" s="178" t="n"/>
      <c r="P87" s="178" t="n"/>
      <c r="Q87" s="178" t="n"/>
      <c r="R87" s="134" t="n"/>
      <c r="S87" s="390">
        <f>_xlfn.TEXTJOIN("-",TRUE,K87,L87,M87)</f>
        <v/>
      </c>
      <c r="T87" s="132" t="n"/>
      <c r="U87" s="178" t="n"/>
      <c r="V87" s="178" t="n"/>
      <c r="W87" s="178" t="n"/>
      <c r="X87" s="178" t="n"/>
      <c r="Y87" s="178" t="n"/>
      <c r="Z87" s="178" t="n"/>
      <c r="AA87" s="134" t="n"/>
      <c r="AB87" s="390">
        <f>_xlfn.TEXTJOIN("-",TRUE,T87,U87,V87)</f>
        <v/>
      </c>
      <c r="AC87" s="123" t="inlineStr">
        <is>
          <t>27X8.50-15</t>
        </is>
      </c>
      <c r="AD87" s="177" t="inlineStr">
        <is>
          <t>8PR</t>
        </is>
      </c>
      <c r="AE87" s="177" t="inlineStr">
        <is>
          <t>STRONG GUARD SS</t>
        </is>
      </c>
      <c r="AF87" s="156" t="inlineStr">
        <is>
          <t>27X8.50-15-8PR-SGSS</t>
        </is>
      </c>
      <c r="AG87" s="156" t="inlineStr">
        <is>
          <t>/</t>
        </is>
      </c>
      <c r="AH87" s="131" t="n">
        <v>15.58</v>
      </c>
      <c r="AI87" s="177" t="n">
        <v>15.69</v>
      </c>
      <c r="AJ87" s="130">
        <f>AH87-AI87</f>
        <v/>
      </c>
      <c r="AK87" s="390">
        <f>_xlfn.TEXTJOIN("-",TRUE,AC87,AD87,AE87)</f>
        <v/>
      </c>
      <c r="AL87" s="123" t="inlineStr">
        <is>
          <t>ST205/75R15</t>
        </is>
      </c>
      <c r="AM87" s="177" t="inlineStr">
        <is>
          <t>8PR</t>
        </is>
      </c>
      <c r="AN87" s="177" t="inlineStr">
        <is>
          <t>ST100A</t>
        </is>
      </c>
      <c r="AO87" s="177" t="inlineStr">
        <is>
          <t>ST205/75R15-8PR SDAT</t>
        </is>
      </c>
      <c r="AP87" s="177" t="n"/>
      <c r="AQ87" s="131" t="n">
        <v>10.466</v>
      </c>
      <c r="AR87" s="131" t="n">
        <v>10.314</v>
      </c>
      <c r="AS87" s="130">
        <f>AQ87-AR87</f>
        <v/>
      </c>
      <c r="AT87" s="390">
        <f>_xlfn.TEXTJOIN("-",TRUE,AL87,AM87,AN87)</f>
        <v/>
      </c>
      <c r="AU87" s="132" t="n"/>
      <c r="AV87" s="178" t="n"/>
      <c r="AW87" s="178" t="n"/>
      <c r="AX87" s="178" t="n"/>
      <c r="AY87" s="135" t="n"/>
      <c r="AZ87" s="135" t="n"/>
      <c r="BA87" s="136" t="n"/>
      <c r="BB87" s="390">
        <f>_xlfn.TEXTJOIN("-",TRUE,AU87,AW87)</f>
        <v/>
      </c>
    </row>
    <row r="88" ht="13.8" customHeight="1" s="428">
      <c r="B88" s="123" t="inlineStr">
        <is>
          <t>10.00R20</t>
        </is>
      </c>
      <c r="C88" s="177" t="inlineStr">
        <is>
          <t>18PR</t>
        </is>
      </c>
      <c r="D88" s="126" t="inlineStr">
        <is>
          <t>TKAL III</t>
        </is>
      </c>
      <c r="E88" s="141" t="inlineStr">
        <is>
          <t>10.00R20-TF ST C ID</t>
        </is>
      </c>
      <c r="F88" s="128">
        <f>G88-3.476+4.189</f>
        <v/>
      </c>
      <c r="G88" s="128" t="n">
        <v>61.689</v>
      </c>
      <c r="H88" s="129" t="n">
        <v>61.9</v>
      </c>
      <c r="I88" s="130">
        <f>G88-H88</f>
        <v/>
      </c>
      <c r="J88" s="115">
        <f>_xlfn.TEXTJOIN("-",TRUE,B88,C88,D88)</f>
        <v/>
      </c>
      <c r="K88" s="123" t="inlineStr">
        <is>
          <t>20.5X8.0-10</t>
        </is>
      </c>
      <c r="L88" s="177" t="inlineStr">
        <is>
          <t>6PR</t>
        </is>
      </c>
      <c r="M88" s="177" t="inlineStr">
        <is>
          <t>SU202</t>
        </is>
      </c>
      <c r="N88" s="125" t="inlineStr">
        <is>
          <t>20.5X8.0-10-6PR-SZ</t>
        </is>
      </c>
      <c r="O88" s="177" t="inlineStr">
        <is>
          <t>/</t>
        </is>
      </c>
      <c r="P88" s="177" t="n">
        <v>7.18</v>
      </c>
      <c r="Q88" s="177" t="n">
        <v>7.41</v>
      </c>
      <c r="R88" s="127">
        <f>P88-Q88</f>
        <v/>
      </c>
      <c r="S88" s="390">
        <f>_xlfn.TEXTJOIN("-",TRUE,K88,L88,M88)</f>
        <v/>
      </c>
      <c r="T88" s="123" t="inlineStr">
        <is>
          <t>135/90D17</t>
        </is>
      </c>
      <c r="U88" s="177" t="inlineStr">
        <is>
          <t>/</t>
        </is>
      </c>
      <c r="V88" s="177" t="inlineStr">
        <is>
          <t>DP07</t>
        </is>
      </c>
      <c r="W88" s="177" t="inlineStr">
        <is>
          <t>XD</t>
        </is>
      </c>
      <c r="X88" s="177" t="n"/>
      <c r="Y88" s="131" t="n">
        <v>5.515</v>
      </c>
      <c r="Z88" s="131" t="n">
        <v>5.57</v>
      </c>
      <c r="AA88" s="130">
        <f>Y88-Z88</f>
        <v/>
      </c>
      <c r="AB88" s="390">
        <f>_xlfn.TEXTJOIN("-",TRUE,T88,U88,V88)</f>
        <v/>
      </c>
      <c r="AC88" s="132" t="n"/>
      <c r="AD88" s="178" t="n"/>
      <c r="AE88" s="178" t="n"/>
      <c r="AF88" s="178" t="n"/>
      <c r="AG88" s="178" t="n"/>
      <c r="AH88" s="178" t="n"/>
      <c r="AI88" s="178" t="n"/>
      <c r="AJ88" s="134" t="n"/>
      <c r="AK88" s="390">
        <f>_xlfn.TEXTJOIN("-",TRUE,AC88,AD88,AE88)</f>
        <v/>
      </c>
      <c r="AL88" s="123" t="inlineStr">
        <is>
          <t>ST205/75R15</t>
        </is>
      </c>
      <c r="AM88" s="177" t="inlineStr">
        <is>
          <t>8PR</t>
        </is>
      </c>
      <c r="AN88" s="177" t="inlineStr">
        <is>
          <t>DURAHAULER ST</t>
        </is>
      </c>
      <c r="AO88" s="177" t="inlineStr">
        <is>
          <t>ST205/75R15-8PR SDAT</t>
        </is>
      </c>
      <c r="AP88" s="177" t="n"/>
      <c r="AQ88" s="131" t="n">
        <v>10.466</v>
      </c>
      <c r="AR88" s="131" t="n">
        <v>10.314</v>
      </c>
      <c r="AS88" s="130">
        <f>AQ88-AR88</f>
        <v/>
      </c>
      <c r="AT88" s="390">
        <f>_xlfn.TEXTJOIN("-",TRUE,AL88,AM88,AN88)</f>
        <v/>
      </c>
      <c r="AU88" s="123" t="inlineStr">
        <is>
          <t>195/50R15</t>
        </is>
      </c>
      <c r="AV88" s="177" t="inlineStr">
        <is>
          <t>/</t>
        </is>
      </c>
      <c r="AW88" s="177" t="inlineStr">
        <is>
          <t>C-108</t>
        </is>
      </c>
      <c r="AX88" s="177" t="inlineStr">
        <is>
          <t>S020984D-72</t>
        </is>
      </c>
      <c r="AY88" s="131" t="n">
        <v>6.751</v>
      </c>
      <c r="AZ88" s="131" t="n">
        <v>6.752</v>
      </c>
      <c r="BA88" s="130">
        <f>AY88-AZ88</f>
        <v/>
      </c>
      <c r="BB88" s="390">
        <f>_xlfn.TEXTJOIN("-",TRUE,AU88,AW88)</f>
        <v/>
      </c>
    </row>
    <row r="89" ht="13.8" customHeight="1" s="428">
      <c r="B89" s="123" t="inlineStr">
        <is>
          <t>10.00R20</t>
        </is>
      </c>
      <c r="C89" s="177" t="inlineStr">
        <is>
          <t>18PR</t>
        </is>
      </c>
      <c r="D89" s="126" t="inlineStr">
        <is>
          <t>FOLO.R109</t>
        </is>
      </c>
      <c r="E89" s="141" t="inlineStr">
        <is>
          <t>10.00R20-TF ST C ID</t>
        </is>
      </c>
      <c r="F89" s="128">
        <f>G89-3.476+4.189</f>
        <v/>
      </c>
      <c r="G89" s="128" t="n">
        <v>61.689</v>
      </c>
      <c r="H89" s="129" t="n">
        <v>61.9</v>
      </c>
      <c r="I89" s="130">
        <f>G89-H89</f>
        <v/>
      </c>
      <c r="J89" s="115">
        <f>_xlfn.TEXTJOIN("-",TRUE,B89,C89,D89)</f>
        <v/>
      </c>
      <c r="K89" s="123" t="inlineStr">
        <is>
          <t>20.5X8.0-10</t>
        </is>
      </c>
      <c r="L89" s="177" t="inlineStr">
        <is>
          <t>6PR</t>
        </is>
      </c>
      <c r="M89" s="177" t="inlineStr">
        <is>
          <t>ZT202</t>
        </is>
      </c>
      <c r="N89" s="125" t="inlineStr">
        <is>
          <t>20.5X8.0-10-6PR-SZ</t>
        </is>
      </c>
      <c r="O89" s="177" t="inlineStr">
        <is>
          <t>/</t>
        </is>
      </c>
      <c r="P89" s="177" t="n">
        <v>7.18</v>
      </c>
      <c r="Q89" s="177" t="n">
        <v>7.41</v>
      </c>
      <c r="R89" s="127">
        <f>P89-Q89</f>
        <v/>
      </c>
      <c r="S89" s="390">
        <f>_xlfn.TEXTJOIN("-",TRUE,K89,L89,M89)</f>
        <v/>
      </c>
      <c r="T89" s="132" t="n"/>
      <c r="U89" s="178" t="n"/>
      <c r="V89" s="178" t="n"/>
      <c r="W89" s="178" t="n"/>
      <c r="X89" s="178" t="n"/>
      <c r="Y89" s="178" t="n"/>
      <c r="Z89" s="178" t="n"/>
      <c r="AA89" s="134" t="n"/>
      <c r="AB89" s="390">
        <f>_xlfn.TEXTJOIN("-",TRUE,T89,U89,V89)</f>
        <v/>
      </c>
      <c r="AC89" s="123" t="inlineStr">
        <is>
          <t>28X9-15</t>
        </is>
      </c>
      <c r="AD89" s="177" t="inlineStr">
        <is>
          <t>14PR</t>
        </is>
      </c>
      <c r="AE89" s="177" t="inlineStr">
        <is>
          <t>STRONG GUARD LIFT</t>
        </is>
      </c>
      <c r="AF89" s="156" t="inlineStr">
        <is>
          <t>28X9-15-14PR-SGL</t>
        </is>
      </c>
      <c r="AG89" s="156" t="inlineStr">
        <is>
          <t>/</t>
        </is>
      </c>
      <c r="AH89" s="131" t="n">
        <v>26.69</v>
      </c>
      <c r="AI89" s="177" t="n">
        <v>26.52</v>
      </c>
      <c r="AJ89" s="130">
        <f>AH89-AI89</f>
        <v/>
      </c>
      <c r="AK89" s="390">
        <f>_xlfn.TEXTJOIN("-",TRUE,AC89,AD89,AE89)</f>
        <v/>
      </c>
      <c r="AL89" s="123" t="inlineStr">
        <is>
          <t>ST205/75R15</t>
        </is>
      </c>
      <c r="AM89" s="177" t="inlineStr">
        <is>
          <t>8PR</t>
        </is>
      </c>
      <c r="AN89" s="177" t="inlineStr">
        <is>
          <t>ASSURE ST</t>
        </is>
      </c>
      <c r="AO89" s="177" t="inlineStr">
        <is>
          <t>ST205/75R15-8PR SDAT</t>
        </is>
      </c>
      <c r="AP89" s="177" t="n"/>
      <c r="AQ89" s="131" t="n">
        <v>10.466</v>
      </c>
      <c r="AR89" s="131" t="n">
        <v>10.314</v>
      </c>
      <c r="AS89" s="130">
        <f>AQ89-AR89</f>
        <v/>
      </c>
      <c r="AT89" s="390">
        <f>_xlfn.TEXTJOIN("-",TRUE,AL89,AM89,AN89)</f>
        <v/>
      </c>
      <c r="AU89" s="123" t="inlineStr">
        <is>
          <t>195/50R15</t>
        </is>
      </c>
      <c r="AV89" s="177" t="inlineStr">
        <is>
          <t>/</t>
        </is>
      </c>
      <c r="AW89" s="177" t="inlineStr">
        <is>
          <t>G-118</t>
        </is>
      </c>
      <c r="AX89" s="177" t="inlineStr">
        <is>
          <t>S020984D-72</t>
        </is>
      </c>
      <c r="AY89" s="131" t="n">
        <v>6.751</v>
      </c>
      <c r="AZ89" s="131" t="n">
        <v>6.752</v>
      </c>
      <c r="BA89" s="130">
        <f>AY89-AZ89</f>
        <v/>
      </c>
      <c r="BB89" s="390">
        <f>_xlfn.TEXTJOIN("-",TRUE,AU89,AW89)</f>
        <v/>
      </c>
    </row>
    <row r="90" ht="13.8" customHeight="1" s="428">
      <c r="B90" s="123" t="inlineStr">
        <is>
          <t>10.00R20</t>
        </is>
      </c>
      <c r="C90" s="177" t="inlineStr">
        <is>
          <t>18PR</t>
        </is>
      </c>
      <c r="D90" s="177" t="inlineStr">
        <is>
          <t>CM998</t>
        </is>
      </c>
      <c r="E90" s="171" t="inlineStr">
        <is>
          <t>10.00R20-18PR-CM998 ST C ID</t>
        </is>
      </c>
      <c r="F90" s="131">
        <f>G90-3.476+4.189</f>
        <v/>
      </c>
      <c r="G90" s="131" t="n">
        <v>65.139</v>
      </c>
      <c r="H90" s="129" t="n">
        <v>64.5759</v>
      </c>
      <c r="I90" s="130">
        <f>G90-H90</f>
        <v/>
      </c>
      <c r="J90" s="115">
        <f>_xlfn.TEXTJOIN("-",TRUE,B90,C90,D90)</f>
        <v/>
      </c>
      <c r="K90" s="123" t="inlineStr">
        <is>
          <t>20.5X8.0-10</t>
        </is>
      </c>
      <c r="L90" s="177" t="inlineStr">
        <is>
          <t>10PR</t>
        </is>
      </c>
      <c r="M90" s="126" t="inlineStr">
        <is>
          <t>SU202</t>
        </is>
      </c>
      <c r="N90" s="125" t="inlineStr">
        <is>
          <t>20.5X8-10 SZ</t>
        </is>
      </c>
      <c r="O90" s="169" t="inlineStr">
        <is>
          <t>/</t>
        </is>
      </c>
      <c r="P90" s="177" t="n">
        <v>8.359999999999999</v>
      </c>
      <c r="Q90" s="177" t="n">
        <v>8.52</v>
      </c>
      <c r="R90" s="127">
        <f>P90-Q90</f>
        <v/>
      </c>
      <c r="S90" s="390">
        <f>_xlfn.TEXTJOIN("-",TRUE,K90,L90,M90)</f>
        <v/>
      </c>
      <c r="T90" s="123" t="inlineStr">
        <is>
          <t>145/90D16</t>
        </is>
      </c>
      <c r="U90" s="177" t="inlineStr">
        <is>
          <t>/</t>
        </is>
      </c>
      <c r="V90" s="177" t="inlineStr">
        <is>
          <t>DP07</t>
        </is>
      </c>
      <c r="W90" s="177" t="inlineStr">
        <is>
          <t>A</t>
        </is>
      </c>
      <c r="X90" s="177" t="n"/>
      <c r="Y90" s="131" t="n">
        <v>5.165</v>
      </c>
      <c r="Z90" s="131" t="n">
        <v>5.2</v>
      </c>
      <c r="AA90" s="130">
        <f>Y90-Z90</f>
        <v/>
      </c>
      <c r="AB90" s="390">
        <f>_xlfn.TEXTJOIN("-",TRUE,T90,U90,V90)</f>
        <v/>
      </c>
      <c r="AC90" s="132" t="n"/>
      <c r="AD90" s="178" t="n"/>
      <c r="AE90" s="178" t="n"/>
      <c r="AF90" s="178" t="n"/>
      <c r="AG90" s="178" t="n"/>
      <c r="AH90" s="178" t="n"/>
      <c r="AI90" s="178" t="n"/>
      <c r="AJ90" s="134" t="n"/>
      <c r="AK90" s="390">
        <f>_xlfn.TEXTJOIN("-",TRUE,AC90,AD90,AE90)</f>
        <v/>
      </c>
      <c r="AL90" s="123" t="inlineStr">
        <is>
          <t>ST205/75R15</t>
        </is>
      </c>
      <c r="AM90" s="177" t="inlineStr">
        <is>
          <t>8PR</t>
        </is>
      </c>
      <c r="AN90" s="177" t="inlineStr">
        <is>
          <t>Tow Pro ST</t>
        </is>
      </c>
      <c r="AO90" s="177" t="inlineStr">
        <is>
          <t>ST205/75R15-8PR SDAT</t>
        </is>
      </c>
      <c r="AP90" s="177" t="n"/>
      <c r="AQ90" s="131" t="n">
        <v>10.466</v>
      </c>
      <c r="AR90" s="131" t="n">
        <v>10.314</v>
      </c>
      <c r="AS90" s="130">
        <f>AQ90-AR90</f>
        <v/>
      </c>
      <c r="AT90" s="390">
        <f>_xlfn.TEXTJOIN("-",TRUE,AL90,AM90,AN90)</f>
        <v/>
      </c>
      <c r="AU90" s="123" t="inlineStr">
        <is>
          <t>195/50R15</t>
        </is>
      </c>
      <c r="AV90" s="177" t="inlineStr">
        <is>
          <t>/</t>
        </is>
      </c>
      <c r="AW90" s="139" t="inlineStr">
        <is>
          <t>T-118</t>
        </is>
      </c>
      <c r="AX90" s="177" t="inlineStr">
        <is>
          <t>S020984D-72</t>
        </is>
      </c>
      <c r="AY90" s="131" t="n">
        <v>6.751</v>
      </c>
      <c r="AZ90" s="131" t="n">
        <v>6.752</v>
      </c>
      <c r="BA90" s="130">
        <f>AY90-AZ90</f>
        <v/>
      </c>
      <c r="BB90" s="390">
        <f>_xlfn.TEXTJOIN("-",TRUE,AU90,AW90)</f>
        <v/>
      </c>
    </row>
    <row r="91">
      <c r="B91" s="123" t="inlineStr">
        <is>
          <t>10.00R20</t>
        </is>
      </c>
      <c r="C91" s="177" t="inlineStr">
        <is>
          <t>16PR</t>
        </is>
      </c>
      <c r="D91" s="177" t="inlineStr">
        <is>
          <t>SUPER AM S</t>
        </is>
      </c>
      <c r="E91" s="125" t="inlineStr">
        <is>
          <t>10.00R20-AE C ID</t>
        </is>
      </c>
      <c r="F91" s="131">
        <f>G91-3.476+4.189</f>
        <v/>
      </c>
      <c r="G91" s="131" t="n">
        <v>64.40000000000001</v>
      </c>
      <c r="H91" s="129" t="n">
        <v>63.8474</v>
      </c>
      <c r="I91" s="130">
        <f>G91-H91</f>
        <v/>
      </c>
      <c r="J91" s="115">
        <f>_xlfn.TEXTJOIN("-",TRUE,B91,C91,D91)</f>
        <v/>
      </c>
      <c r="K91" s="123" t="inlineStr">
        <is>
          <t>20.5X8.0-10</t>
        </is>
      </c>
      <c r="L91" s="177" t="inlineStr">
        <is>
          <t>10PR</t>
        </is>
      </c>
      <c r="M91" s="126" t="inlineStr">
        <is>
          <t>ZT202</t>
        </is>
      </c>
      <c r="N91" s="125" t="inlineStr">
        <is>
          <t>20.5X8-10 SZ</t>
        </is>
      </c>
      <c r="O91" s="169" t="inlineStr">
        <is>
          <t>/</t>
        </is>
      </c>
      <c r="P91" s="177" t="n">
        <v>8.359999999999999</v>
      </c>
      <c r="Q91" s="177" t="n">
        <v>8.52</v>
      </c>
      <c r="R91" s="127">
        <f>P91-Q91</f>
        <v/>
      </c>
      <c r="S91" s="390">
        <f>_xlfn.TEXTJOIN("-",TRUE,K91,L91,M91)</f>
        <v/>
      </c>
      <c r="T91" s="132" t="n"/>
      <c r="U91" s="178" t="n"/>
      <c r="V91" s="178" t="n"/>
      <c r="W91" s="178" t="n"/>
      <c r="X91" s="178" t="n"/>
      <c r="Y91" s="178" t="n"/>
      <c r="Z91" s="178" t="n"/>
      <c r="AA91" s="134" t="n"/>
      <c r="AB91" s="390">
        <f>_xlfn.TEXTJOIN("-",TRUE,T91,U91,V91)</f>
        <v/>
      </c>
      <c r="AC91" s="123" t="inlineStr">
        <is>
          <t>29X12-15</t>
        </is>
      </c>
      <c r="AD91" s="177" t="inlineStr">
        <is>
          <t>8PR</t>
        </is>
      </c>
      <c r="AE91" s="177" t="inlineStr">
        <is>
          <t>STRONG GUARD R1</t>
        </is>
      </c>
      <c r="AF91" s="156" t="inlineStr">
        <is>
          <t>29X12.5-15-8PR-SGR1</t>
        </is>
      </c>
      <c r="AG91" s="156" t="inlineStr">
        <is>
          <t>/</t>
        </is>
      </c>
      <c r="AH91" s="131" t="n">
        <v>24.96</v>
      </c>
      <c r="AI91" s="177" t="n">
        <v>25.73</v>
      </c>
      <c r="AJ91" s="130">
        <f>AH91-AI91</f>
        <v/>
      </c>
      <c r="AK91" s="390">
        <f>_xlfn.TEXTJOIN("-",TRUE,AC91,AD91,AE91)</f>
        <v/>
      </c>
      <c r="AL91" s="123" t="inlineStr">
        <is>
          <t>ST205/75R15</t>
        </is>
      </c>
      <c r="AM91" s="177" t="inlineStr">
        <is>
          <t>10PR</t>
        </is>
      </c>
      <c r="AN91" s="177" t="inlineStr">
        <is>
          <t>ST100A</t>
        </is>
      </c>
      <c r="AO91" s="177" t="inlineStr">
        <is>
          <t>ST205/75R15-10PR SDAT</t>
        </is>
      </c>
      <c r="AP91" s="177" t="n"/>
      <c r="AQ91" s="131" t="n">
        <v>11.028</v>
      </c>
      <c r="AR91" s="131" t="n">
        <v>10.982</v>
      </c>
      <c r="AS91" s="130">
        <f>AQ91-AR91</f>
        <v/>
      </c>
      <c r="AT91" s="390">
        <f>_xlfn.TEXTJOIN("-",TRUE,AL91,AM91,AN91)</f>
        <v/>
      </c>
      <c r="AU91" s="123" t="inlineStr">
        <is>
          <t>195/50R15</t>
        </is>
      </c>
      <c r="AV91" s="177" t="inlineStr">
        <is>
          <t>/</t>
        </is>
      </c>
      <c r="AW91" s="139" t="inlineStr">
        <is>
          <t>Z-108</t>
        </is>
      </c>
      <c r="AX91" s="177" t="inlineStr">
        <is>
          <t>S020984D-72</t>
        </is>
      </c>
      <c r="AY91" s="131" t="n">
        <v>6.751</v>
      </c>
      <c r="AZ91" s="131" t="n">
        <v>6.752</v>
      </c>
      <c r="BA91" s="130">
        <f>AY91-AZ91</f>
        <v/>
      </c>
      <c r="BB91" s="390">
        <f>_xlfn.TEXTJOIN("-",TRUE,AU91,AW91)</f>
        <v/>
      </c>
    </row>
    <row r="92" ht="13.8" customHeight="1" s="428">
      <c r="B92" s="123" t="inlineStr">
        <is>
          <t>10.00R20</t>
        </is>
      </c>
      <c r="C92" s="177" t="inlineStr">
        <is>
          <t>16PR</t>
        </is>
      </c>
      <c r="D92" s="177" t="inlineStr">
        <is>
          <t>MOBY.R856X</t>
        </is>
      </c>
      <c r="E92" s="125" t="inlineStr">
        <is>
          <t>10.00R20-AE C ID</t>
        </is>
      </c>
      <c r="F92" s="131">
        <f>G92-3.476+4.189</f>
        <v/>
      </c>
      <c r="G92" s="131" t="n">
        <v>64.40000000000001</v>
      </c>
      <c r="H92" s="129" t="n">
        <v>63.8474</v>
      </c>
      <c r="I92" s="130">
        <f>G92-H92</f>
        <v/>
      </c>
      <c r="J92" s="115">
        <f>_xlfn.TEXTJOIN("-",TRUE,B92,C92,D92)</f>
        <v/>
      </c>
      <c r="K92" s="123" t="inlineStr">
        <is>
          <t>20.5X8.0-10</t>
        </is>
      </c>
      <c r="L92" s="177" t="inlineStr">
        <is>
          <t>12PR</t>
        </is>
      </c>
      <c r="M92" s="126" t="inlineStr">
        <is>
          <t>SU202</t>
        </is>
      </c>
      <c r="N92" s="125" t="inlineStr">
        <is>
          <t>20.5X8-10 SZ</t>
        </is>
      </c>
      <c r="O92" s="169" t="inlineStr">
        <is>
          <t>/</t>
        </is>
      </c>
      <c r="P92" s="177" t="n">
        <v>8.359999999999999</v>
      </c>
      <c r="Q92" s="177" t="n">
        <v>8.52</v>
      </c>
      <c r="R92" s="127">
        <f>P92-Q92</f>
        <v/>
      </c>
      <c r="S92" s="390">
        <f>_xlfn.TEXTJOIN("-",TRUE,K92,L92,M92)</f>
        <v/>
      </c>
      <c r="T92" s="123" t="inlineStr">
        <is>
          <t>2.75-10</t>
        </is>
      </c>
      <c r="U92" s="177" t="inlineStr">
        <is>
          <t>4PR</t>
        </is>
      </c>
      <c r="V92" s="177" t="inlineStr">
        <is>
          <t>H-972-2</t>
        </is>
      </c>
      <c r="W92" s="177" t="inlineStr">
        <is>
          <t>/</t>
        </is>
      </c>
      <c r="X92" s="177" t="n"/>
      <c r="Y92" s="131" t="n">
        <v>1.486</v>
      </c>
      <c r="Z92" s="131" t="n">
        <v>1.49</v>
      </c>
      <c r="AA92" s="130">
        <f>Y92-Z92</f>
        <v/>
      </c>
      <c r="AB92" s="390">
        <f>_xlfn.TEXTJOIN("-",TRUE,T92,U92,V92)</f>
        <v/>
      </c>
      <c r="AC92" s="132" t="n"/>
      <c r="AD92" s="178" t="n"/>
      <c r="AE92" s="178" t="n"/>
      <c r="AF92" s="178" t="n"/>
      <c r="AG92" s="178" t="n"/>
      <c r="AH92" s="178" t="n"/>
      <c r="AI92" s="178" t="n"/>
      <c r="AJ92" s="134" t="n"/>
      <c r="AK92" s="390">
        <f>_xlfn.TEXTJOIN("-",TRUE,AC92,AD92,AE92)</f>
        <v/>
      </c>
      <c r="AL92" s="123" t="inlineStr">
        <is>
          <t>ST205/75R15</t>
        </is>
      </c>
      <c r="AM92" s="177" t="inlineStr">
        <is>
          <t>10PR</t>
        </is>
      </c>
      <c r="AN92" s="177" t="inlineStr">
        <is>
          <t>DURAHAULER ST</t>
        </is>
      </c>
      <c r="AO92" s="177" t="inlineStr">
        <is>
          <t>ST205/75R15-10PR SDAT</t>
        </is>
      </c>
      <c r="AP92" s="177" t="n"/>
      <c r="AQ92" s="131" t="n">
        <v>11.028</v>
      </c>
      <c r="AR92" s="131" t="n">
        <v>10.982</v>
      </c>
      <c r="AS92" s="130">
        <f>AQ92-AR92</f>
        <v/>
      </c>
      <c r="AT92" s="390">
        <f>_xlfn.TEXTJOIN("-",TRUE,AL92,AM92,AN92)</f>
        <v/>
      </c>
      <c r="AU92" s="132" t="n"/>
      <c r="AV92" s="178" t="n"/>
      <c r="AW92" s="178" t="n"/>
      <c r="AX92" s="178" t="n"/>
      <c r="AY92" s="135" t="n"/>
      <c r="AZ92" s="135" t="n"/>
      <c r="BA92" s="136" t="n"/>
      <c r="BB92" s="390">
        <f>_xlfn.TEXTJOIN("-",TRUE,AU92,AW92)</f>
        <v/>
      </c>
    </row>
    <row r="93" ht="13.8" customHeight="1" s="428">
      <c r="B93" s="123" t="inlineStr">
        <is>
          <t>10.00R20</t>
        </is>
      </c>
      <c r="C93" s="177" t="inlineStr">
        <is>
          <t>18PR</t>
        </is>
      </c>
      <c r="D93" s="126" t="inlineStr">
        <is>
          <t>SUPER AM S</t>
        </is>
      </c>
      <c r="E93" s="177" t="inlineStr">
        <is>
          <t>10.00R20-AE C ID</t>
        </is>
      </c>
      <c r="F93" s="128">
        <f>G93-3.476+4.189</f>
        <v/>
      </c>
      <c r="G93" s="131" t="n">
        <v>64.40000000000001</v>
      </c>
      <c r="H93" s="129" t="n">
        <v>63.8474</v>
      </c>
      <c r="I93" s="130">
        <f>G93-H93</f>
        <v/>
      </c>
      <c r="J93" s="115">
        <f>_xlfn.TEXTJOIN("-",TRUE,B93,C93,D93)</f>
        <v/>
      </c>
      <c r="K93" s="123" t="inlineStr">
        <is>
          <t>20.5X8.0-10</t>
        </is>
      </c>
      <c r="L93" s="177" t="inlineStr">
        <is>
          <t>12PR</t>
        </is>
      </c>
      <c r="M93" s="126" t="inlineStr">
        <is>
          <t>ZT202</t>
        </is>
      </c>
      <c r="N93" s="125" t="inlineStr">
        <is>
          <t>20.5X8-10 SZ</t>
        </is>
      </c>
      <c r="O93" s="169" t="inlineStr">
        <is>
          <t>/</t>
        </is>
      </c>
      <c r="P93" s="177" t="n">
        <v>8.359999999999999</v>
      </c>
      <c r="Q93" s="177" t="n">
        <v>8.52</v>
      </c>
      <c r="R93" s="127">
        <f>P93-Q93</f>
        <v/>
      </c>
      <c r="S93" s="390">
        <f>_xlfn.TEXTJOIN("-",TRUE,K93,L93,M93)</f>
        <v/>
      </c>
      <c r="T93" s="132" t="n"/>
      <c r="U93" s="178" t="n"/>
      <c r="V93" s="178" t="n"/>
      <c r="W93" s="178" t="n"/>
      <c r="X93" s="178" t="n"/>
      <c r="Y93" s="178" t="n"/>
      <c r="Z93" s="178" t="n"/>
      <c r="AA93" s="134" t="n"/>
      <c r="AB93" s="390">
        <f>_xlfn.TEXTJOIN("-",TRUE,T93,U93,V93)</f>
        <v/>
      </c>
      <c r="AC93" s="123" t="inlineStr">
        <is>
          <t>31X15.5-15</t>
        </is>
      </c>
      <c r="AD93" s="177" t="inlineStr">
        <is>
          <t>10PR</t>
        </is>
      </c>
      <c r="AE93" s="177" t="inlineStr">
        <is>
          <t>STRONG GUARD R1</t>
        </is>
      </c>
      <c r="AF93" s="156" t="inlineStr">
        <is>
          <t>31X15.5-15-10PR-SGR1</t>
        </is>
      </c>
      <c r="AG93" s="156" t="inlineStr">
        <is>
          <t>/</t>
        </is>
      </c>
      <c r="AH93" s="131" t="n">
        <v>40.61</v>
      </c>
      <c r="AI93" s="177" t="n">
        <v>40.48</v>
      </c>
      <c r="AJ93" s="130">
        <f>AH93-AI93</f>
        <v/>
      </c>
      <c r="AK93" s="390">
        <f>_xlfn.TEXTJOIN("-",TRUE,AC93,AD93,AE93)</f>
        <v/>
      </c>
      <c r="AL93" s="123" t="inlineStr">
        <is>
          <t>ST205/75R15</t>
        </is>
      </c>
      <c r="AM93" s="177" t="inlineStr">
        <is>
          <t>10PR</t>
        </is>
      </c>
      <c r="AN93" s="177" t="inlineStr">
        <is>
          <t>ASSURE ST</t>
        </is>
      </c>
      <c r="AO93" s="177" t="inlineStr">
        <is>
          <t>ST205/75R15-10PR SDAT</t>
        </is>
      </c>
      <c r="AP93" s="177" t="n"/>
      <c r="AQ93" s="131" t="n">
        <v>11.028</v>
      </c>
      <c r="AR93" s="131" t="n">
        <v>10.982</v>
      </c>
      <c r="AS93" s="130">
        <f>AQ93-AR93</f>
        <v/>
      </c>
      <c r="AT93" s="390">
        <f>_xlfn.TEXTJOIN("-",TRUE,AL93,AM93,AN93)</f>
        <v/>
      </c>
      <c r="AU93" s="123" t="inlineStr">
        <is>
          <t>195/55R15</t>
        </is>
      </c>
      <c r="AV93" s="177" t="inlineStr">
        <is>
          <t>/</t>
        </is>
      </c>
      <c r="AW93" s="177" t="inlineStr">
        <is>
          <t>C-108</t>
        </is>
      </c>
      <c r="AX93" s="177" t="inlineStr">
        <is>
          <t>S021370A-72</t>
        </is>
      </c>
      <c r="AY93" s="131" t="n">
        <v>7.1</v>
      </c>
      <c r="AZ93" s="131" t="n">
        <v>7.099</v>
      </c>
      <c r="BA93" s="130">
        <f>AY93-AZ93</f>
        <v/>
      </c>
      <c r="BB93" s="390">
        <f>_xlfn.TEXTJOIN("-",TRUE,AU93,AW93)</f>
        <v/>
      </c>
    </row>
    <row r="94" ht="13.8" customHeight="1" s="428">
      <c r="B94" s="123" t="inlineStr">
        <is>
          <t>10.00R20</t>
        </is>
      </c>
      <c r="C94" s="177" t="inlineStr">
        <is>
          <t>18PR</t>
        </is>
      </c>
      <c r="D94" s="126" t="inlineStr">
        <is>
          <t>MOBY.R856X</t>
        </is>
      </c>
      <c r="E94" s="171" t="inlineStr">
        <is>
          <t>10.00R20-AE C ID</t>
        </is>
      </c>
      <c r="F94" s="131">
        <f>G94-3.476+4.189</f>
        <v/>
      </c>
      <c r="G94" s="131" t="n">
        <v>64.40000000000001</v>
      </c>
      <c r="H94" s="129" t="n">
        <v>63.8474</v>
      </c>
      <c r="I94" s="130">
        <f>G94-H94</f>
        <v/>
      </c>
      <c r="J94" s="115">
        <f>_xlfn.TEXTJOIN("-",TRUE,B94,C94,D94)</f>
        <v/>
      </c>
      <c r="K94" s="132" t="n"/>
      <c r="L94" s="178" t="n"/>
      <c r="M94" s="178" t="n"/>
      <c r="N94" s="178" t="n"/>
      <c r="O94" s="178" t="n"/>
      <c r="P94" s="178" t="n"/>
      <c r="Q94" s="178" t="n"/>
      <c r="R94" s="134" t="n"/>
      <c r="S94" s="390">
        <f>_xlfn.TEXTJOIN("-",TRUE,K94,L94,M94)</f>
        <v/>
      </c>
      <c r="T94" s="123" t="inlineStr">
        <is>
          <t>3.00-10</t>
        </is>
      </c>
      <c r="U94" s="177" t="inlineStr">
        <is>
          <t>4PR</t>
        </is>
      </c>
      <c r="V94" s="177" t="inlineStr">
        <is>
          <t>H788</t>
        </is>
      </c>
      <c r="W94" s="177" t="inlineStr">
        <is>
          <t>3.00-10 4PR H788/H788-2</t>
        </is>
      </c>
      <c r="X94" s="177" t="n"/>
      <c r="Y94" s="131" t="n">
        <v>1.722</v>
      </c>
      <c r="Z94" s="131" t="n">
        <v>1.75</v>
      </c>
      <c r="AA94" s="130">
        <f>Y94-Z94</f>
        <v/>
      </c>
      <c r="AB94" s="390">
        <f>_xlfn.TEXTJOIN("-",TRUE,T94,U94,V94)</f>
        <v/>
      </c>
      <c r="AC94" s="123" t="inlineStr">
        <is>
          <t>31X15.5-15</t>
        </is>
      </c>
      <c r="AD94" s="177" t="inlineStr">
        <is>
          <t>10PR</t>
        </is>
      </c>
      <c r="AE94" s="177" t="inlineStr">
        <is>
          <t>STRONG GUARD SS4</t>
        </is>
      </c>
      <c r="AF94" s="156" t="inlineStr">
        <is>
          <t>31X15.5-15-10PR-SGSS4</t>
        </is>
      </c>
      <c r="AG94" s="156" t="inlineStr">
        <is>
          <t>/</t>
        </is>
      </c>
      <c r="AH94" s="131" t="n">
        <v>46.43</v>
      </c>
      <c r="AI94" s="177" t="n">
        <v>46.18</v>
      </c>
      <c r="AJ94" s="130">
        <f>AH94-AI94</f>
        <v/>
      </c>
      <c r="AK94" s="390">
        <f>_xlfn.TEXTJOIN("-",TRUE,AC94,AD94,AE94)</f>
        <v/>
      </c>
      <c r="AL94" s="123" t="inlineStr">
        <is>
          <t>ST205/75R15</t>
        </is>
      </c>
      <c r="AM94" s="177" t="inlineStr">
        <is>
          <t>10PR</t>
        </is>
      </c>
      <c r="AN94" s="177" t="inlineStr">
        <is>
          <t>Tow Pro ST</t>
        </is>
      </c>
      <c r="AO94" s="177" t="inlineStr">
        <is>
          <t>ST205/75R15-10PR SDAT</t>
        </is>
      </c>
      <c r="AP94" s="177" t="n"/>
      <c r="AQ94" s="131" t="n">
        <v>11.028</v>
      </c>
      <c r="AR94" s="131" t="n">
        <v>10.982</v>
      </c>
      <c r="AS94" s="130">
        <f>AQ94-AR94</f>
        <v/>
      </c>
      <c r="AT94" s="390">
        <f>_xlfn.TEXTJOIN("-",TRUE,AL94,AM94,AN94)</f>
        <v/>
      </c>
      <c r="AU94" s="123" t="inlineStr">
        <is>
          <t>195/55R15</t>
        </is>
      </c>
      <c r="AV94" s="177" t="inlineStr">
        <is>
          <t>/</t>
        </is>
      </c>
      <c r="AW94" s="177" t="inlineStr">
        <is>
          <t>G-118</t>
        </is>
      </c>
      <c r="AX94" s="177" t="inlineStr">
        <is>
          <t>S021370A-72</t>
        </is>
      </c>
      <c r="AY94" s="131" t="n">
        <v>7.1</v>
      </c>
      <c r="AZ94" s="131" t="n">
        <v>7.099</v>
      </c>
      <c r="BA94" s="130">
        <f>AY94-AZ94</f>
        <v/>
      </c>
      <c r="BB94" s="390">
        <f>_xlfn.TEXTJOIN("-",TRUE,AU94,AW94)</f>
        <v/>
      </c>
    </row>
    <row r="95">
      <c r="B95" s="123" t="inlineStr">
        <is>
          <t>10.00R20</t>
        </is>
      </c>
      <c r="C95" s="177" t="inlineStr">
        <is>
          <t>18PR</t>
        </is>
      </c>
      <c r="D95" s="126" t="inlineStr">
        <is>
          <t>AT196</t>
        </is>
      </c>
      <c r="E95" s="177" t="inlineStr">
        <is>
          <t>10.00R20-18PR-AT196 J ID</t>
        </is>
      </c>
      <c r="F95" s="128">
        <f>G95-3.476+4.189</f>
        <v/>
      </c>
      <c r="G95" s="128" t="n">
        <v>55.371</v>
      </c>
      <c r="H95" s="180" t="n">
        <v>54.36</v>
      </c>
      <c r="I95" s="130">
        <f>G95-H95</f>
        <v/>
      </c>
      <c r="J95" s="115">
        <f>_xlfn.TEXTJOIN("-",TRUE,B95,C95,D95)</f>
        <v/>
      </c>
      <c r="K95" s="123" t="inlineStr">
        <is>
          <t>ST175/80D13</t>
        </is>
      </c>
      <c r="L95" s="177" t="inlineStr">
        <is>
          <t>6PR</t>
        </is>
      </c>
      <c r="M95" s="177" t="inlineStr">
        <is>
          <t>H180</t>
        </is>
      </c>
      <c r="N95" s="177" t="inlineStr">
        <is>
          <t>ST175/80D13-6PR H180</t>
        </is>
      </c>
      <c r="O95" s="177" t="inlineStr">
        <is>
          <t>/</t>
        </is>
      </c>
      <c r="P95" s="177" t="n">
        <v>7.51</v>
      </c>
      <c r="Q95" s="131" t="n">
        <v>7.09</v>
      </c>
      <c r="R95" s="127">
        <f>P95-Q95</f>
        <v/>
      </c>
      <c r="S95" s="390">
        <f>_xlfn.TEXTJOIN("-",TRUE,K95,L95,M95)</f>
        <v/>
      </c>
      <c r="T95" s="123" t="inlineStr">
        <is>
          <t>3.00-10</t>
        </is>
      </c>
      <c r="U95" s="177" t="inlineStr">
        <is>
          <t>4PR</t>
        </is>
      </c>
      <c r="V95" s="177" t="inlineStr">
        <is>
          <t>H788-2</t>
        </is>
      </c>
      <c r="W95" s="177" t="inlineStr">
        <is>
          <t>3.00-10 4PR H788/H788-2</t>
        </is>
      </c>
      <c r="X95" s="177" t="n"/>
      <c r="Y95" s="131" t="n">
        <v>1.722</v>
      </c>
      <c r="Z95" s="131" t="n">
        <v>1.75</v>
      </c>
      <c r="AA95" s="130">
        <f>Y95-Z95</f>
        <v/>
      </c>
      <c r="AB95" s="390">
        <f>_xlfn.TEXTJOIN("-",TRUE,T95,U95,V95)</f>
        <v/>
      </c>
      <c r="AC95" s="181" t="n"/>
      <c r="AD95" s="178" t="n"/>
      <c r="AE95" s="178" t="n"/>
      <c r="AF95" s="178" t="n"/>
      <c r="AG95" s="135" t="n"/>
      <c r="AH95" s="135" t="n"/>
      <c r="AI95" s="178" t="n"/>
      <c r="AJ95" s="134" t="n"/>
      <c r="AK95" s="390">
        <f>_xlfn.TEXTJOIN("-",TRUE,AC95,AD95,AE95)</f>
        <v/>
      </c>
      <c r="AL95" s="123" t="inlineStr">
        <is>
          <t>ST205/75R15</t>
        </is>
      </c>
      <c r="AM95" s="177" t="inlineStr">
        <is>
          <t>6PR</t>
        </is>
      </c>
      <c r="AN95" s="177" t="inlineStr">
        <is>
          <t>ST Radial</t>
        </is>
      </c>
      <c r="AO95" s="177" t="inlineStr">
        <is>
          <t>ST205/75R15-6PR ST 200/RA/RS</t>
        </is>
      </c>
      <c r="AP95" s="177" t="n"/>
      <c r="AQ95" s="131" t="n">
        <v>9.285</v>
      </c>
      <c r="AR95" s="131" t="n">
        <v>9.228</v>
      </c>
      <c r="AS95" s="130">
        <f>AQ95-AR95</f>
        <v/>
      </c>
      <c r="AT95" s="390">
        <f>_xlfn.TEXTJOIN("-",TRUE,AL95,AM95,AN95)</f>
        <v/>
      </c>
      <c r="AU95" s="123" t="inlineStr">
        <is>
          <t>195/55R15</t>
        </is>
      </c>
      <c r="AV95" s="177" t="inlineStr">
        <is>
          <t>/</t>
        </is>
      </c>
      <c r="AW95" s="139" t="inlineStr">
        <is>
          <t>T-118</t>
        </is>
      </c>
      <c r="AX95" s="177" t="inlineStr">
        <is>
          <t>S021370A-72</t>
        </is>
      </c>
      <c r="AY95" s="131" t="n">
        <v>7.1</v>
      </c>
      <c r="AZ95" s="131" t="n">
        <v>7.099</v>
      </c>
      <c r="BA95" s="130">
        <f>AY95-AZ95</f>
        <v/>
      </c>
      <c r="BB95" s="390">
        <f>_xlfn.TEXTJOIN("-",TRUE,AU95,AW95)</f>
        <v/>
      </c>
    </row>
    <row r="96">
      <c r="B96" s="123" t="inlineStr">
        <is>
          <t>10.00R20</t>
        </is>
      </c>
      <c r="C96" s="177" t="inlineStr">
        <is>
          <t>16PR</t>
        </is>
      </c>
      <c r="D96" s="177" t="inlineStr">
        <is>
          <t>I-181</t>
        </is>
      </c>
      <c r="E96" s="177" t="inlineStr">
        <is>
          <t>10.00R20-16PR-CRI US ID</t>
        </is>
      </c>
      <c r="F96" s="131">
        <f>G96-3.55+4.192</f>
        <v/>
      </c>
      <c r="G96" s="131" t="n">
        <v>54.783</v>
      </c>
      <c r="H96" s="129" t="n">
        <v>54.49</v>
      </c>
      <c r="I96" s="130">
        <f>G96-H96</f>
        <v/>
      </c>
      <c r="J96" s="115">
        <f>_xlfn.TEXTJOIN("-",TRUE,B96,C96,D96)</f>
        <v/>
      </c>
      <c r="K96" s="123" t="inlineStr">
        <is>
          <t>ST175/80D13</t>
        </is>
      </c>
      <c r="L96" s="177" t="inlineStr">
        <is>
          <t>6PR</t>
        </is>
      </c>
      <c r="M96" s="177" t="inlineStr">
        <is>
          <t>ST600</t>
        </is>
      </c>
      <c r="N96" s="125" t="inlineStr">
        <is>
          <t>ST175/80D13-6PR-STR</t>
        </is>
      </c>
      <c r="O96" s="177" t="inlineStr">
        <is>
          <t>/</t>
        </is>
      </c>
      <c r="P96" s="177" t="n">
        <v>6.87</v>
      </c>
      <c r="Q96" s="177" t="n">
        <v>6.84</v>
      </c>
      <c r="R96" s="127">
        <f>P96-Q96</f>
        <v/>
      </c>
      <c r="S96" s="390">
        <f>_xlfn.TEXTJOIN("-",TRUE,K96,L96,M96)</f>
        <v/>
      </c>
      <c r="T96" s="123" t="inlineStr">
        <is>
          <t>3.00-10</t>
        </is>
      </c>
      <c r="U96" s="177" t="inlineStr">
        <is>
          <t>6PR</t>
        </is>
      </c>
      <c r="V96" s="177" t="inlineStr">
        <is>
          <t>H788-2</t>
        </is>
      </c>
      <c r="W96" s="177" t="inlineStr">
        <is>
          <t>3.00-10 6PR H788-2</t>
        </is>
      </c>
      <c r="X96" s="177" t="n"/>
      <c r="Y96" s="131" t="n">
        <v>1.818</v>
      </c>
      <c r="Z96" s="131" t="n">
        <v>1.87</v>
      </c>
      <c r="AA96" s="130">
        <f>Y96-Z96</f>
        <v/>
      </c>
      <c r="AB96" s="390">
        <f>_xlfn.TEXTJOIN("-",TRUE,T96,U96,V96)</f>
        <v/>
      </c>
      <c r="AF96" s="182" t="n"/>
      <c r="AG96" s="182" t="n"/>
      <c r="AH96" s="183" t="n"/>
      <c r="AJ96" s="183" t="n"/>
      <c r="AK96" s="390">
        <f>_xlfn.TEXTJOIN("-",TRUE,AC96,AD96,AE96)</f>
        <v/>
      </c>
      <c r="AL96" s="123" t="inlineStr">
        <is>
          <t>ST205/75R15</t>
        </is>
      </c>
      <c r="AM96" s="177" t="inlineStr">
        <is>
          <t>6PR</t>
        </is>
      </c>
      <c r="AN96" s="177" t="inlineStr">
        <is>
          <t>ST200</t>
        </is>
      </c>
      <c r="AO96" s="177" t="inlineStr">
        <is>
          <t>ST205/75R15-6PR ST 200/RA/RS</t>
        </is>
      </c>
      <c r="AP96" s="177" t="n"/>
      <c r="AQ96" s="131" t="n">
        <v>9.285</v>
      </c>
      <c r="AR96" s="131" t="n">
        <v>9.228</v>
      </c>
      <c r="AS96" s="130">
        <f>AQ96-AR96</f>
        <v/>
      </c>
      <c r="AT96" s="390">
        <f>_xlfn.TEXTJOIN("-",TRUE,AL96,AM96,AN96)</f>
        <v/>
      </c>
      <c r="AU96" s="123" t="inlineStr">
        <is>
          <t>195/55R15</t>
        </is>
      </c>
      <c r="AV96" s="177" t="inlineStr">
        <is>
          <t>/</t>
        </is>
      </c>
      <c r="AW96" s="139" t="inlineStr">
        <is>
          <t>Z-108</t>
        </is>
      </c>
      <c r="AX96" s="177" t="inlineStr">
        <is>
          <t>S021370A-72</t>
        </is>
      </c>
      <c r="AY96" s="131" t="n">
        <v>7.1</v>
      </c>
      <c r="AZ96" s="131" t="n">
        <v>7.099</v>
      </c>
      <c r="BA96" s="130">
        <f>AY96-AZ96</f>
        <v/>
      </c>
      <c r="BB96" s="390">
        <f>_xlfn.TEXTJOIN("-",TRUE,AU96,AW96)</f>
        <v/>
      </c>
    </row>
    <row r="97" ht="13.8" customHeight="1" s="428">
      <c r="B97" s="123" t="inlineStr">
        <is>
          <t>10.00R20</t>
        </is>
      </c>
      <c r="C97" s="177" t="inlineStr">
        <is>
          <t>16PR</t>
        </is>
      </c>
      <c r="D97" s="177" t="inlineStr">
        <is>
          <t>CR976A</t>
        </is>
      </c>
      <c r="E97" s="177" t="inlineStr">
        <is>
          <t>10.00R20-16PR-CRI US ID</t>
        </is>
      </c>
      <c r="F97" s="131">
        <f>G97-3.55+4.192</f>
        <v/>
      </c>
      <c r="G97" s="131" t="n">
        <v>54.783</v>
      </c>
      <c r="H97" s="129" t="n">
        <v>54.49</v>
      </c>
      <c r="I97" s="130">
        <f>G97-H97</f>
        <v/>
      </c>
      <c r="J97" s="115">
        <f>_xlfn.TEXTJOIN("-",TRUE,B97,C97,D97)</f>
        <v/>
      </c>
      <c r="K97" s="123" t="inlineStr">
        <is>
          <t>ST175/80D13</t>
        </is>
      </c>
      <c r="L97" s="177" t="inlineStr">
        <is>
          <t>6PR</t>
        </is>
      </c>
      <c r="M97" s="177" t="inlineStr">
        <is>
          <t>TE898</t>
        </is>
      </c>
      <c r="N97" s="125" t="inlineStr">
        <is>
          <t>ST175/80D13-6PR-STR</t>
        </is>
      </c>
      <c r="O97" s="177" t="inlineStr">
        <is>
          <t>/</t>
        </is>
      </c>
      <c r="P97" s="177" t="n">
        <v>6.87</v>
      </c>
      <c r="Q97" s="177" t="n">
        <v>6.84</v>
      </c>
      <c r="R97" s="127">
        <f>P97-Q97</f>
        <v/>
      </c>
      <c r="S97" s="390">
        <f>_xlfn.TEXTJOIN("-",TRUE,K97,L97,M97)</f>
        <v/>
      </c>
      <c r="T97" s="132" t="n"/>
      <c r="U97" s="178" t="n"/>
      <c r="V97" s="178" t="n"/>
      <c r="W97" s="178" t="n"/>
      <c r="X97" s="178" t="n"/>
      <c r="Y97" s="178" t="n"/>
      <c r="Z97" s="178" t="n"/>
      <c r="AA97" s="134" t="n"/>
      <c r="AB97" s="390">
        <f>_xlfn.TEXTJOIN("-",TRUE,T97,U97,V97)</f>
        <v/>
      </c>
      <c r="AF97" s="182" t="n"/>
      <c r="AG97" s="182" t="n"/>
      <c r="AH97" s="183" t="n"/>
      <c r="AJ97" s="183" t="n"/>
      <c r="AK97" s="390">
        <f>_xlfn.TEXTJOIN("-",TRUE,AC97,AD97,AE97)</f>
        <v/>
      </c>
      <c r="AL97" s="123" t="inlineStr">
        <is>
          <t>ST205/75R15</t>
        </is>
      </c>
      <c r="AM97" s="177" t="inlineStr">
        <is>
          <t>6PR</t>
        </is>
      </c>
      <c r="AN97" s="146" t="inlineStr">
        <is>
          <t>RAINIER ST</t>
        </is>
      </c>
      <c r="AO97" s="177" t="inlineStr">
        <is>
          <t>ST205/75R15-6PR ST 200/RA/RS</t>
        </is>
      </c>
      <c r="AP97" s="177" t="n"/>
      <c r="AQ97" s="131" t="n">
        <v>9.285</v>
      </c>
      <c r="AR97" s="131" t="n">
        <v>9.228</v>
      </c>
      <c r="AS97" s="130">
        <f>AQ97-AR97</f>
        <v/>
      </c>
      <c r="AT97" s="390">
        <f>_xlfn.TEXTJOIN("-",TRUE,AL97,AM97,AN97)</f>
        <v/>
      </c>
      <c r="AU97" s="132" t="n"/>
      <c r="AV97" s="178" t="n"/>
      <c r="AW97" s="178" t="n"/>
      <c r="AX97" s="178" t="n"/>
      <c r="AY97" s="135" t="n"/>
      <c r="AZ97" s="135" t="n"/>
      <c r="BA97" s="136" t="n"/>
      <c r="BB97" s="390">
        <f>_xlfn.TEXTJOIN("-",TRUE,AU97,AW97)</f>
        <v/>
      </c>
    </row>
    <row r="98" ht="13.8" customHeight="1" s="428">
      <c r="B98" s="123" t="inlineStr">
        <is>
          <t>10.00R20</t>
        </is>
      </c>
      <c r="C98" s="177" t="inlineStr">
        <is>
          <t>18PR</t>
        </is>
      </c>
      <c r="D98" s="177" t="inlineStr">
        <is>
          <t>EZ175</t>
        </is>
      </c>
      <c r="E98" s="177" t="inlineStr">
        <is>
          <t>10.00R20-18PR-EZ175 J ID</t>
        </is>
      </c>
      <c r="F98" s="131">
        <f>G98-3.6+4.26</f>
        <v/>
      </c>
      <c r="G98" s="131" t="n">
        <v>61.65</v>
      </c>
      <c r="H98" s="129" t="n">
        <v>61.65</v>
      </c>
      <c r="I98" s="130">
        <f>G98-H98</f>
        <v/>
      </c>
      <c r="J98" s="115">
        <f>_xlfn.TEXTJOIN("-",TRUE,B98,C98,D98)</f>
        <v/>
      </c>
      <c r="K98" s="123" t="inlineStr">
        <is>
          <t>ST175/80D13</t>
        </is>
      </c>
      <c r="L98" s="177" t="inlineStr">
        <is>
          <t>6PR</t>
        </is>
      </c>
      <c r="M98" s="177" t="inlineStr">
        <is>
          <t>RC-101</t>
        </is>
      </c>
      <c r="N98" s="125" t="inlineStr">
        <is>
          <t>ST175/80D13-6PR-STR</t>
        </is>
      </c>
      <c r="O98" s="177" t="inlineStr">
        <is>
          <t>/</t>
        </is>
      </c>
      <c r="P98" s="177" t="n">
        <v>6.87</v>
      </c>
      <c r="Q98" s="177" t="n">
        <v>6.84</v>
      </c>
      <c r="R98" s="127">
        <f>P98-Q98</f>
        <v/>
      </c>
      <c r="S98" s="390">
        <f>_xlfn.TEXTJOIN("-",TRUE,K98,L98,M98)</f>
        <v/>
      </c>
      <c r="T98" s="123" t="inlineStr">
        <is>
          <t>60/100-10</t>
        </is>
      </c>
      <c r="U98" s="177" t="inlineStr">
        <is>
          <t>4PR</t>
        </is>
      </c>
      <c r="V98" s="177" t="inlineStr">
        <is>
          <t>H-972</t>
        </is>
      </c>
      <c r="W98" s="177" t="inlineStr">
        <is>
          <t>/</t>
        </is>
      </c>
      <c r="X98" s="177" t="n"/>
      <c r="Y98" s="131" t="n">
        <v>1.169</v>
      </c>
      <c r="Z98" s="131" t="n">
        <v>1.17</v>
      </c>
      <c r="AA98" s="130">
        <f>Y98-Z98</f>
        <v/>
      </c>
      <c r="AB98" s="390">
        <f>_xlfn.TEXTJOIN("-",TRUE,T98,U98,V98)</f>
        <v/>
      </c>
      <c r="AC98" s="184" t="n"/>
      <c r="AD98" s="184" t="n"/>
      <c r="AE98" s="184" t="n"/>
      <c r="AF98" s="184" t="n"/>
      <c r="AG98" s="184" t="n"/>
      <c r="AH98" s="184" t="n">
        <v>24.96</v>
      </c>
      <c r="AI98" s="184" t="n"/>
      <c r="AK98" s="390" t="inlineStr">
        <is>
          <t>29×12.5-15-8PR-STRONG GUARD R1</t>
        </is>
      </c>
      <c r="AL98" s="123" t="inlineStr">
        <is>
          <t>ST205/75R15</t>
        </is>
      </c>
      <c r="AM98" s="177" t="inlineStr">
        <is>
          <t>8PR</t>
        </is>
      </c>
      <c r="AN98" s="177" t="inlineStr">
        <is>
          <t>ST Radial</t>
        </is>
      </c>
      <c r="AO98" s="177" t="inlineStr">
        <is>
          <t>ST205/75R15-8PR ST 200/RA/RS</t>
        </is>
      </c>
      <c r="AP98" s="177" t="n"/>
      <c r="AQ98" s="131" t="n">
        <v>10.236</v>
      </c>
      <c r="AR98" s="131" t="n">
        <v>10.045</v>
      </c>
      <c r="AS98" s="130">
        <f>AQ98-AR98</f>
        <v/>
      </c>
      <c r="AT98" s="390">
        <f>_xlfn.TEXTJOIN("-",TRUE,AL98,AM98,AN98)</f>
        <v/>
      </c>
      <c r="AU98" s="123" t="inlineStr">
        <is>
          <t>195/55R16</t>
        </is>
      </c>
      <c r="AV98" s="177" t="inlineStr">
        <is>
          <t>/</t>
        </is>
      </c>
      <c r="AW98" s="177" t="inlineStr">
        <is>
          <t>C-108</t>
        </is>
      </c>
      <c r="AX98" s="177" t="inlineStr">
        <is>
          <t>S021371A-72</t>
        </is>
      </c>
      <c r="AY98" s="131" t="n">
        <v>7.6</v>
      </c>
      <c r="AZ98" s="131" t="n">
        <v>7.6</v>
      </c>
      <c r="BA98" s="130">
        <f>AY98-AZ98</f>
        <v/>
      </c>
      <c r="BB98" s="390">
        <f>_xlfn.TEXTJOIN("-",TRUE,AU98,AW98)</f>
        <v/>
      </c>
    </row>
    <row r="99">
      <c r="B99" s="123" t="inlineStr">
        <is>
          <t>10.00R20</t>
        </is>
      </c>
      <c r="C99" s="177" t="inlineStr">
        <is>
          <t>18PR</t>
        </is>
      </c>
      <c r="D99" s="177" t="inlineStr">
        <is>
          <t>EZ865</t>
        </is>
      </c>
      <c r="E99" s="177" t="inlineStr">
        <is>
          <t>10.00R20-18PR-AG ST C ID</t>
        </is>
      </c>
      <c r="F99" s="131">
        <f>G99-3.48+4.19</f>
        <v/>
      </c>
      <c r="G99" s="131" t="n">
        <v>63.771</v>
      </c>
      <c r="H99" s="129" t="n">
        <v>63.73</v>
      </c>
      <c r="I99" s="130">
        <f>G99-H99</f>
        <v/>
      </c>
      <c r="J99" s="115">
        <f>_xlfn.TEXTJOIN("-",TRUE,B99,C99,D99)</f>
        <v/>
      </c>
      <c r="K99" s="132" t="n"/>
      <c r="L99" s="178" t="n"/>
      <c r="M99" s="178" t="n"/>
      <c r="N99" s="178" t="n"/>
      <c r="O99" s="178" t="n"/>
      <c r="P99" s="178" t="n"/>
      <c r="Q99" s="178" t="n"/>
      <c r="R99" s="134" t="n"/>
      <c r="S99" s="390">
        <f>_xlfn.TEXTJOIN("-",TRUE,K99,L99,M99)</f>
        <v/>
      </c>
      <c r="T99" s="132" t="n"/>
      <c r="U99" s="178" t="n"/>
      <c r="V99" s="178" t="n"/>
      <c r="W99" s="178" t="n"/>
      <c r="X99" s="178" t="n"/>
      <c r="Y99" s="178" t="n"/>
      <c r="Z99" s="178" t="n"/>
      <c r="AA99" s="134" t="n"/>
      <c r="AB99" s="390">
        <f>_xlfn.TEXTJOIN("-",TRUE,T99,U99,V99)</f>
        <v/>
      </c>
      <c r="AC99" s="184" t="n"/>
      <c r="AD99" s="184" t="n"/>
      <c r="AE99" s="184" t="n"/>
      <c r="AF99" s="184" t="n"/>
      <c r="AG99" s="184" t="n"/>
      <c r="AH99" s="184" t="n">
        <v>11.99</v>
      </c>
      <c r="AI99" s="184" t="n"/>
      <c r="AK99" s="390" t="inlineStr">
        <is>
          <t>23×8.50-12-6PR-STRONG GUARD SS</t>
        </is>
      </c>
      <c r="AL99" s="123" t="inlineStr">
        <is>
          <t>ST205/75R15</t>
        </is>
      </c>
      <c r="AM99" s="177" t="inlineStr">
        <is>
          <t>8PR</t>
        </is>
      </c>
      <c r="AN99" s="177" t="inlineStr">
        <is>
          <t>ST200</t>
        </is>
      </c>
      <c r="AO99" s="177" t="inlineStr">
        <is>
          <t>ST205/75R15-8PR ST 200/RA/RS</t>
        </is>
      </c>
      <c r="AP99" s="177" t="n"/>
      <c r="AQ99" s="131" t="n">
        <v>10.236</v>
      </c>
      <c r="AR99" s="131" t="n">
        <v>10.045</v>
      </c>
      <c r="AS99" s="130">
        <f>AQ99-AR99</f>
        <v/>
      </c>
      <c r="AT99" s="390">
        <f>_xlfn.TEXTJOIN("-",TRUE,AL99,AM99,AN99)</f>
        <v/>
      </c>
      <c r="AU99" s="123" t="inlineStr">
        <is>
          <t>195/55R16</t>
        </is>
      </c>
      <c r="AV99" s="177" t="inlineStr">
        <is>
          <t>/</t>
        </is>
      </c>
      <c r="AW99" s="177" t="inlineStr">
        <is>
          <t>G-118</t>
        </is>
      </c>
      <c r="AX99" s="177" t="inlineStr">
        <is>
          <t>S021371A-72</t>
        </is>
      </c>
      <c r="AY99" s="131" t="n">
        <v>7.6</v>
      </c>
      <c r="AZ99" s="131" t="n">
        <v>7.6</v>
      </c>
      <c r="BA99" s="130">
        <f>AY99-AZ99</f>
        <v/>
      </c>
      <c r="BB99" s="390">
        <f>_xlfn.TEXTJOIN("-",TRUE,AU99,AW99)</f>
        <v/>
      </c>
    </row>
    <row r="100">
      <c r="B100" s="123" t="inlineStr">
        <is>
          <t>10.00R20</t>
        </is>
      </c>
      <c r="C100" s="177" t="inlineStr">
        <is>
          <t>18PR</t>
        </is>
      </c>
      <c r="D100" s="177" t="inlineStr">
        <is>
          <t>EZ861</t>
        </is>
      </c>
      <c r="E100" s="177" t="inlineStr">
        <is>
          <t>10.00R20-18PR-AG ST C ID</t>
        </is>
      </c>
      <c r="F100" s="131">
        <f>G100-3.48+4.19</f>
        <v/>
      </c>
      <c r="G100" s="131" t="n">
        <v>63.771</v>
      </c>
      <c r="H100" s="129" t="n">
        <v>63.73</v>
      </c>
      <c r="I100" s="130">
        <f>G100-H100</f>
        <v/>
      </c>
      <c r="J100" s="115">
        <f>_xlfn.TEXTJOIN("-",TRUE,B100,C100,D100)</f>
        <v/>
      </c>
      <c r="K100" s="123" t="inlineStr">
        <is>
          <t>ST205/75D14</t>
        </is>
      </c>
      <c r="L100" s="177" t="inlineStr">
        <is>
          <t>6PR</t>
        </is>
      </c>
      <c r="M100" s="177" t="inlineStr">
        <is>
          <t>H180</t>
        </is>
      </c>
      <c r="N100" s="177" t="inlineStr">
        <is>
          <t>ST205/75D14-6PR H180</t>
        </is>
      </c>
      <c r="O100" s="177" t="inlineStr">
        <is>
          <t>/</t>
        </is>
      </c>
      <c r="P100" s="177" t="n">
        <v>9.289999999999999</v>
      </c>
      <c r="Q100" s="131" t="n">
        <v>8.779999999999999</v>
      </c>
      <c r="R100" s="127">
        <f>P100-Q100</f>
        <v/>
      </c>
      <c r="S100" s="390">
        <f>_xlfn.TEXTJOIN("-",TRUE,K100,L100,M100)</f>
        <v/>
      </c>
      <c r="T100" s="123" t="inlineStr">
        <is>
          <t>70/90-14</t>
        </is>
      </c>
      <c r="U100" s="177" t="inlineStr">
        <is>
          <t>4PR</t>
        </is>
      </c>
      <c r="V100" s="177" t="inlineStr">
        <is>
          <t>H577</t>
        </is>
      </c>
      <c r="W100" s="177" t="inlineStr">
        <is>
          <t>70/90-14-4PR/34P H577</t>
        </is>
      </c>
      <c r="X100" s="177" t="n"/>
      <c r="Y100" s="131" t="n">
        <v>1.93</v>
      </c>
      <c r="Z100" s="131" t="n">
        <v>1.94</v>
      </c>
      <c r="AA100" s="130">
        <f>Y100-Z100</f>
        <v/>
      </c>
      <c r="AB100" s="390">
        <f>_xlfn.TEXTJOIN("-",TRUE,T100,U100,V100)</f>
        <v/>
      </c>
      <c r="AC100" s="184" t="n"/>
      <c r="AD100" s="184" t="n"/>
      <c r="AE100" s="184" t="n"/>
      <c r="AF100" s="184" t="n"/>
      <c r="AG100" s="184" t="n"/>
      <c r="AH100" s="184" t="n">
        <v>15.58</v>
      </c>
      <c r="AI100" s="184" t="n"/>
      <c r="AK100" s="390" t="inlineStr">
        <is>
          <t>27×8.5-15-8PR-STRONG GUARD SS</t>
        </is>
      </c>
      <c r="AL100" s="123" t="inlineStr">
        <is>
          <t>ST205/75R15</t>
        </is>
      </c>
      <c r="AM100" s="177" t="inlineStr">
        <is>
          <t>8PR</t>
        </is>
      </c>
      <c r="AN100" s="146" t="inlineStr">
        <is>
          <t>RAINIER ST</t>
        </is>
      </c>
      <c r="AO100" s="177" t="inlineStr">
        <is>
          <t>ST205/75R15-8PR ST 200/RA/RS</t>
        </is>
      </c>
      <c r="AP100" s="177" t="n"/>
      <c r="AQ100" s="131" t="n">
        <v>10.236</v>
      </c>
      <c r="AR100" s="131" t="n">
        <v>10.045</v>
      </c>
      <c r="AS100" s="130">
        <f>AQ100-AR100</f>
        <v/>
      </c>
      <c r="AT100" s="390">
        <f>_xlfn.TEXTJOIN("-",TRUE,AL100,AM100,AN100)</f>
        <v/>
      </c>
      <c r="AU100" s="123" t="inlineStr">
        <is>
          <t>195/55R16</t>
        </is>
      </c>
      <c r="AV100" s="177" t="inlineStr">
        <is>
          <t>/</t>
        </is>
      </c>
      <c r="AW100" s="139" t="inlineStr">
        <is>
          <t>T-118</t>
        </is>
      </c>
      <c r="AX100" s="177" t="inlineStr">
        <is>
          <t>S021371A-72</t>
        </is>
      </c>
      <c r="AY100" s="131" t="n">
        <v>7.6</v>
      </c>
      <c r="AZ100" s="131" t="n">
        <v>7.6</v>
      </c>
      <c r="BA100" s="130">
        <f>AY100-AZ100</f>
        <v/>
      </c>
      <c r="BB100" s="390">
        <f>_xlfn.TEXTJOIN("-",TRUE,AU100,AW100)</f>
        <v/>
      </c>
    </row>
    <row r="101" ht="13.8" customHeight="1" s="428">
      <c r="B101" s="123" t="inlineStr">
        <is>
          <t>10.00R20</t>
        </is>
      </c>
      <c r="C101" s="177" t="inlineStr">
        <is>
          <t>18PR</t>
        </is>
      </c>
      <c r="D101" s="177" t="inlineStr">
        <is>
          <t>EZ093</t>
        </is>
      </c>
      <c r="E101" s="177" t="inlineStr">
        <is>
          <t>10.00R20-18PR-EZ093 O ID</t>
        </is>
      </c>
      <c r="F101" s="131">
        <f>G101-3.6+4.26</f>
        <v/>
      </c>
      <c r="G101" s="131" t="n">
        <v>61.82</v>
      </c>
      <c r="H101" s="129" t="n">
        <v>61.8</v>
      </c>
      <c r="I101" s="130">
        <f>G101-H101</f>
        <v/>
      </c>
      <c r="J101" s="115">
        <f>_xlfn.TEXTJOIN("-",TRUE,B101,C101,D101)</f>
        <v/>
      </c>
      <c r="K101" s="123" t="inlineStr">
        <is>
          <t>ST205/75D14</t>
        </is>
      </c>
      <c r="L101" s="177" t="inlineStr">
        <is>
          <t>6PR</t>
        </is>
      </c>
      <c r="M101" s="177" t="inlineStr">
        <is>
          <t>ST600</t>
        </is>
      </c>
      <c r="N101" s="125" t="inlineStr">
        <is>
          <t>ST205/75D14-6PR-STR</t>
        </is>
      </c>
      <c r="O101" s="177" t="inlineStr">
        <is>
          <t>/</t>
        </is>
      </c>
      <c r="P101" s="177" t="n">
        <v>8.93</v>
      </c>
      <c r="Q101" s="131" t="n">
        <v>8.9</v>
      </c>
      <c r="R101" s="127">
        <f>P101-Q101</f>
        <v/>
      </c>
      <c r="S101" s="390">
        <f>_xlfn.TEXTJOIN("-",TRUE,K101,L101,M101)</f>
        <v/>
      </c>
      <c r="T101" s="123" t="inlineStr">
        <is>
          <t>70/90-14</t>
        </is>
      </c>
      <c r="U101" s="177" t="inlineStr">
        <is>
          <t>4PR</t>
        </is>
      </c>
      <c r="V101" s="177" t="inlineStr">
        <is>
          <t>H597</t>
        </is>
      </c>
      <c r="W101" s="177" t="inlineStr">
        <is>
          <t>70/90-14-4PR/34S H597</t>
        </is>
      </c>
      <c r="X101" s="177" t="n"/>
      <c r="Y101" s="131" t="n">
        <v>1.94</v>
      </c>
      <c r="Z101" s="131" t="n">
        <v>1.94</v>
      </c>
      <c r="AA101" s="130">
        <f>Y101-Z101</f>
        <v/>
      </c>
      <c r="AB101" s="390">
        <f>_xlfn.TEXTJOIN("-",TRUE,T101,U101,V101)</f>
        <v/>
      </c>
      <c r="AC101" s="184" t="n"/>
      <c r="AD101" s="184" t="n"/>
      <c r="AE101" s="184" t="n"/>
      <c r="AF101" s="184" t="n"/>
      <c r="AG101" s="184" t="n"/>
      <c r="AH101" s="184" t="n">
        <v>21.41</v>
      </c>
      <c r="AI101" s="184" t="n"/>
      <c r="AK101" s="390" t="inlineStr">
        <is>
          <t>26×12-12-8PR-STRONG GUARD R1</t>
        </is>
      </c>
      <c r="AL101" s="123" t="inlineStr">
        <is>
          <t>ST205/75R15</t>
        </is>
      </c>
      <c r="AM101" s="177" t="inlineStr">
        <is>
          <t>6PR</t>
        </is>
      </c>
      <c r="AN101" s="177" t="inlineStr">
        <is>
          <t>ST226</t>
        </is>
      </c>
      <c r="AO101" s="177" t="inlineStr">
        <is>
          <t>ST205/75R15-6PR ST226</t>
        </is>
      </c>
      <c r="AP101" s="177" t="n"/>
      <c r="AQ101" s="131" t="n">
        <v>9.956</v>
      </c>
      <c r="AR101" s="131" t="n">
        <v>9.875</v>
      </c>
      <c r="AS101" s="130">
        <f>AQ102-AR101</f>
        <v/>
      </c>
      <c r="AT101" s="390">
        <f>_xlfn.TEXTJOIN("-",TRUE,AL101,AM101,AN101)</f>
        <v/>
      </c>
      <c r="AU101" s="123" t="inlineStr">
        <is>
          <t>195/55R16</t>
        </is>
      </c>
      <c r="AV101" s="177" t="inlineStr">
        <is>
          <t>/</t>
        </is>
      </c>
      <c r="AW101" s="139" t="inlineStr">
        <is>
          <t>Z-108</t>
        </is>
      </c>
      <c r="AX101" s="177" t="inlineStr">
        <is>
          <t>S021371A-72</t>
        </is>
      </c>
      <c r="AY101" s="131" t="n">
        <v>7.6</v>
      </c>
      <c r="AZ101" s="131" t="n">
        <v>7.6</v>
      </c>
      <c r="BA101" s="130">
        <f>AY101-AZ101</f>
        <v/>
      </c>
      <c r="BB101" s="390">
        <f>_xlfn.TEXTJOIN("-",TRUE,AU101,AW101)</f>
        <v/>
      </c>
    </row>
    <row r="102">
      <c r="B102" s="123" t="inlineStr">
        <is>
          <t>10.00R20</t>
        </is>
      </c>
      <c r="C102" s="177" t="inlineStr">
        <is>
          <t>18PR</t>
        </is>
      </c>
      <c r="D102" s="177" t="inlineStr">
        <is>
          <t>EZ033</t>
        </is>
      </c>
      <c r="E102" s="177" t="inlineStr">
        <is>
          <t>10.00R20-18PR-EZ033 O ID</t>
        </is>
      </c>
      <c r="F102" s="131">
        <f>G102-3.6+4.26</f>
        <v/>
      </c>
      <c r="G102" s="131" t="n">
        <v>55.683</v>
      </c>
      <c r="H102" s="129" t="n">
        <v>55.67</v>
      </c>
      <c r="I102" s="130">
        <f>G102-H102</f>
        <v/>
      </c>
      <c r="J102" s="115">
        <f>_xlfn.TEXTJOIN("-",TRUE,B102,C102,D102)</f>
        <v/>
      </c>
      <c r="K102" s="123" t="inlineStr">
        <is>
          <t>ST205/75D14</t>
        </is>
      </c>
      <c r="L102" s="177" t="inlineStr">
        <is>
          <t>6PR</t>
        </is>
      </c>
      <c r="M102" s="177" t="inlineStr">
        <is>
          <t>TE898</t>
        </is>
      </c>
      <c r="N102" s="125" t="inlineStr">
        <is>
          <t>ST205/75D14-6PR-STR</t>
        </is>
      </c>
      <c r="O102" s="177" t="inlineStr">
        <is>
          <t>/</t>
        </is>
      </c>
      <c r="P102" s="177" t="n">
        <v>8.93</v>
      </c>
      <c r="Q102" s="131" t="n">
        <v>8.9</v>
      </c>
      <c r="R102" s="127">
        <f>P102-Q102</f>
        <v/>
      </c>
      <c r="S102" s="390">
        <f>_xlfn.TEXTJOIN("-",TRUE,K102,L102,M102)</f>
        <v/>
      </c>
      <c r="T102" s="123" t="inlineStr">
        <is>
          <t>70/90-14</t>
        </is>
      </c>
      <c r="U102" s="177" t="inlineStr">
        <is>
          <t>4PR</t>
        </is>
      </c>
      <c r="V102" s="177" t="inlineStr">
        <is>
          <t>H999A</t>
        </is>
      </c>
      <c r="W102" s="177" t="inlineStr">
        <is>
          <t>70/90-14-34P H999A</t>
        </is>
      </c>
      <c r="X102" s="177" t="n"/>
      <c r="Y102" s="131" t="n">
        <v>1.965</v>
      </c>
      <c r="Z102" s="131" t="n">
        <v>1.96</v>
      </c>
      <c r="AA102" s="130">
        <f>Y102-Z102</f>
        <v/>
      </c>
      <c r="AB102" s="390">
        <f>_xlfn.TEXTJOIN("-",TRUE,T102,U102,V102)</f>
        <v/>
      </c>
      <c r="AC102" s="184" t="n"/>
      <c r="AD102" s="184" t="n"/>
      <c r="AE102" s="184" t="n"/>
      <c r="AF102" s="184" t="n"/>
      <c r="AG102" s="184" t="n"/>
      <c r="AH102" s="184" t="n"/>
      <c r="AI102" s="184" t="n"/>
      <c r="AK102" s="390">
        <f>_xlfn.TEXTJOIN("-",TRUE,AC102,AD102,AE102)</f>
        <v/>
      </c>
      <c r="AL102" s="123" t="inlineStr">
        <is>
          <t>ST205/75R15</t>
        </is>
      </c>
      <c r="AM102" s="177" t="inlineStr">
        <is>
          <t>8PR</t>
        </is>
      </c>
      <c r="AN102" s="177" t="inlineStr">
        <is>
          <t>ST226</t>
        </is>
      </c>
      <c r="AO102" s="177" t="inlineStr">
        <is>
          <t>ST205/75R15-8PR ST226</t>
        </is>
      </c>
      <c r="AP102" s="177" t="n"/>
      <c r="AQ102" s="131" t="n">
        <v>10.573</v>
      </c>
      <c r="AR102" s="131" t="n">
        <v>10.416</v>
      </c>
      <c r="AS102" s="130">
        <f>AQ101-AQ102</f>
        <v/>
      </c>
      <c r="AT102" s="390">
        <f>_xlfn.TEXTJOIN("-",TRUE,AL102,AM102,AN102)</f>
        <v/>
      </c>
      <c r="AU102" s="132" t="n"/>
      <c r="AV102" s="178" t="n"/>
      <c r="AW102" s="178" t="n"/>
      <c r="AX102" s="178" t="n"/>
      <c r="AY102" s="135" t="n"/>
      <c r="AZ102" s="135" t="n"/>
      <c r="BA102" s="136" t="n"/>
      <c r="BB102" s="390">
        <f>_xlfn.TEXTJOIN("-",TRUE,AU102,AW102)</f>
        <v/>
      </c>
    </row>
    <row r="103">
      <c r="B103" s="123" t="inlineStr">
        <is>
          <t>10.00R20</t>
        </is>
      </c>
      <c r="C103" s="177" t="inlineStr">
        <is>
          <t>18PR</t>
        </is>
      </c>
      <c r="D103" s="177" t="inlineStr">
        <is>
          <t>AZ183</t>
        </is>
      </c>
      <c r="E103" s="177" t="inlineStr">
        <is>
          <t>10.00R20-18PR-AZ183 J ID</t>
        </is>
      </c>
      <c r="F103" s="131">
        <f>G103-3.6+4.26</f>
        <v/>
      </c>
      <c r="G103" s="131" t="n">
        <v>54.542</v>
      </c>
      <c r="H103" s="129" t="n">
        <v>54.73</v>
      </c>
      <c r="I103" s="130">
        <f>G103-H103</f>
        <v/>
      </c>
      <c r="J103" s="115">
        <f>_xlfn.TEXTJOIN("-",TRUE,B103,C103,D103)</f>
        <v/>
      </c>
      <c r="K103" s="123" t="inlineStr">
        <is>
          <t>ST205/75D14</t>
        </is>
      </c>
      <c r="L103" s="177" t="inlineStr">
        <is>
          <t>6PR</t>
        </is>
      </c>
      <c r="M103" s="177" t="inlineStr">
        <is>
          <t>RC-101</t>
        </is>
      </c>
      <c r="N103" s="125" t="inlineStr">
        <is>
          <t>ST205/75D14-6PR-STR</t>
        </is>
      </c>
      <c r="O103" s="177" t="inlineStr">
        <is>
          <t>/</t>
        </is>
      </c>
      <c r="P103" s="177" t="n">
        <v>8.93</v>
      </c>
      <c r="Q103" s="131" t="n">
        <v>8.9</v>
      </c>
      <c r="R103" s="127">
        <f>P103-Q103</f>
        <v/>
      </c>
      <c r="S103" s="390">
        <f>_xlfn.TEXTJOIN("-",TRUE,K103,L103,M103)</f>
        <v/>
      </c>
      <c r="T103" s="132" t="n"/>
      <c r="U103" s="178" t="n"/>
      <c r="V103" s="178" t="n"/>
      <c r="W103" s="178" t="n"/>
      <c r="X103" s="178" t="n"/>
      <c r="Y103" s="178" t="n"/>
      <c r="Z103" s="178" t="n"/>
      <c r="AA103" s="134" t="n"/>
      <c r="AB103" s="390">
        <f>_xlfn.TEXTJOIN("-",TRUE,T103,U103,V103)</f>
        <v/>
      </c>
      <c r="AC103" s="184" t="n"/>
      <c r="AD103" s="184" t="n"/>
      <c r="AE103" s="184" t="n"/>
      <c r="AF103" s="184" t="n"/>
      <c r="AG103" s="184" t="n"/>
      <c r="AH103" s="184" t="n"/>
      <c r="AI103" s="184" t="n"/>
      <c r="AK103" s="390">
        <f>_xlfn.TEXTJOIN("-",TRUE,AC103,AD103,AE103)</f>
        <v/>
      </c>
      <c r="AL103" s="132" t="n"/>
      <c r="AM103" s="178" t="n"/>
      <c r="AN103" s="178" t="n"/>
      <c r="AO103" s="178" t="n"/>
      <c r="AP103" s="178" t="n"/>
      <c r="AQ103" s="178" t="n"/>
      <c r="AR103" s="178" t="n"/>
      <c r="AS103" s="134" t="n"/>
      <c r="AT103" s="390">
        <f>_xlfn.TEXTJOIN("-",TRUE,AL103,AM103,AN103)</f>
        <v/>
      </c>
      <c r="AU103" s="123" t="inlineStr">
        <is>
          <t>195/60R15</t>
        </is>
      </c>
      <c r="AV103" s="177" t="inlineStr">
        <is>
          <t>/</t>
        </is>
      </c>
      <c r="AW103" s="177" t="inlineStr">
        <is>
          <t>C-108</t>
        </is>
      </c>
      <c r="AX103" s="177" t="inlineStr">
        <is>
          <t>S021372A-42</t>
        </is>
      </c>
      <c r="AY103" s="131" t="n">
        <v>8.077</v>
      </c>
      <c r="AZ103" s="131" t="n">
        <v>7.078</v>
      </c>
      <c r="BA103" s="130">
        <f>AY103-AZ103</f>
        <v/>
      </c>
      <c r="BB103" s="390">
        <f>_xlfn.TEXTJOIN("-",TRUE,AU103,AW103)</f>
        <v/>
      </c>
    </row>
    <row r="104" ht="13.8" customHeight="1" s="428">
      <c r="B104" s="123" t="inlineStr">
        <is>
          <t>10.00R20</t>
        </is>
      </c>
      <c r="C104" s="177" t="inlineStr">
        <is>
          <t>18PR</t>
        </is>
      </c>
      <c r="D104" s="177" t="inlineStr">
        <is>
          <t>CR926Max</t>
        </is>
      </c>
      <c r="E104" s="177" t="inlineStr">
        <is>
          <t>10.00R20-18PR-CR926MAX ST C ID</t>
        </is>
      </c>
      <c r="F104" s="131">
        <f>G104-3.48+4.19</f>
        <v/>
      </c>
      <c r="G104" s="131" t="n">
        <v>62.57</v>
      </c>
      <c r="H104" s="129" t="n">
        <v>62.46</v>
      </c>
      <c r="I104" s="130">
        <f>G104-H104</f>
        <v/>
      </c>
      <c r="J104" s="115">
        <f>_xlfn.TEXTJOIN("-",TRUE,B104,C104,D104)</f>
        <v/>
      </c>
      <c r="K104" s="132" t="n"/>
      <c r="L104" s="178" t="n"/>
      <c r="M104" s="178" t="n"/>
      <c r="N104" s="185" t="n"/>
      <c r="O104" s="178" t="n"/>
      <c r="P104" s="178" t="n"/>
      <c r="Q104" s="178" t="n"/>
      <c r="R104" s="134" t="n"/>
      <c r="S104" s="390">
        <f>_xlfn.TEXTJOIN("-",TRUE,K104,L104,M104)</f>
        <v/>
      </c>
      <c r="T104" s="123" t="inlineStr">
        <is>
          <t>80/80-14</t>
        </is>
      </c>
      <c r="U104" s="177" t="inlineStr">
        <is>
          <t>4PR</t>
        </is>
      </c>
      <c r="V104" s="177" t="inlineStr">
        <is>
          <t>H577</t>
        </is>
      </c>
      <c r="W104" s="177" t="inlineStr">
        <is>
          <t>80/80-14-4PR/37P H577</t>
        </is>
      </c>
      <c r="X104" s="177" t="n"/>
      <c r="Y104" s="131" t="n">
        <v>2.18</v>
      </c>
      <c r="Z104" s="131" t="n">
        <v>2.165</v>
      </c>
      <c r="AA104" s="130">
        <f>Y104-Z104</f>
        <v/>
      </c>
      <c r="AB104" s="390">
        <f>_xlfn.TEXTJOIN("-",TRUE,T104,U104,V104)</f>
        <v/>
      </c>
      <c r="AF104" s="182" t="n"/>
      <c r="AG104" s="182" t="n"/>
      <c r="AH104" s="183" t="n"/>
      <c r="AJ104" s="183" t="n"/>
      <c r="AK104" s="390">
        <f>_xlfn.TEXTJOIN("-",TRUE,AC104,AD104,AE104)</f>
        <v/>
      </c>
      <c r="AL104" s="123" t="inlineStr">
        <is>
          <t>ST215/75R14</t>
        </is>
      </c>
      <c r="AM104" s="177" t="inlineStr">
        <is>
          <t>8PR</t>
        </is>
      </c>
      <c r="AN104" s="177" t="inlineStr">
        <is>
          <t>ST Radial</t>
        </is>
      </c>
      <c r="AO104" s="177" t="inlineStr">
        <is>
          <t>ST215/75R14-8PR ST Radial</t>
        </is>
      </c>
      <c r="AP104" s="177" t="n"/>
      <c r="AQ104" s="131" t="n">
        <v>10.277</v>
      </c>
      <c r="AR104" s="131" t="n">
        <v>10.236</v>
      </c>
      <c r="AS104" s="130">
        <f>AQ104-AR104</f>
        <v/>
      </c>
      <c r="AT104" s="390">
        <f>_xlfn.TEXTJOIN("-",TRUE,AL104,AM104,AN104)</f>
        <v/>
      </c>
      <c r="AU104" s="123" t="inlineStr">
        <is>
          <t>195/60R15</t>
        </is>
      </c>
      <c r="AV104" s="177" t="inlineStr">
        <is>
          <t>/</t>
        </is>
      </c>
      <c r="AW104" s="177" t="inlineStr">
        <is>
          <t>G-118</t>
        </is>
      </c>
      <c r="AX104" s="177" t="inlineStr">
        <is>
          <t>S021372A-42</t>
        </is>
      </c>
      <c r="AY104" s="131" t="n">
        <v>8.077</v>
      </c>
      <c r="AZ104" s="131" t="n">
        <v>7.078</v>
      </c>
      <c r="BA104" s="130">
        <f>AY104-AZ104</f>
        <v/>
      </c>
      <c r="BB104" s="390">
        <f>_xlfn.TEXTJOIN("-",TRUE,AU104,AW104)</f>
        <v/>
      </c>
    </row>
    <row r="105" ht="13.8" customHeight="1" s="428">
      <c r="B105" s="132" t="n"/>
      <c r="C105" s="178" t="n"/>
      <c r="D105" s="178" t="n"/>
      <c r="E105" s="178" t="n"/>
      <c r="F105" s="135" t="n"/>
      <c r="G105" s="135" t="n"/>
      <c r="H105" s="174" t="n"/>
      <c r="I105" s="134" t="n"/>
      <c r="J105" s="115">
        <f>_xlfn.TEXTJOIN("-",TRUE,B105,C105,D105)</f>
        <v/>
      </c>
      <c r="K105" s="123" t="inlineStr">
        <is>
          <t>ST205/75D15</t>
        </is>
      </c>
      <c r="L105" s="177" t="inlineStr">
        <is>
          <t>6PR</t>
        </is>
      </c>
      <c r="M105" s="177" t="inlineStr">
        <is>
          <t>H180</t>
        </is>
      </c>
      <c r="N105" s="177" t="inlineStr">
        <is>
          <t>ST205/75D15-6PR H180</t>
        </is>
      </c>
      <c r="O105" s="177" t="inlineStr">
        <is>
          <t>/</t>
        </is>
      </c>
      <c r="P105" s="177" t="n">
        <v>9.81</v>
      </c>
      <c r="Q105" s="131" t="n">
        <v>9</v>
      </c>
      <c r="R105" s="127">
        <f>P105-Q105</f>
        <v/>
      </c>
      <c r="S105" s="390">
        <f>_xlfn.TEXTJOIN("-",TRUE,K105,L105,M105)</f>
        <v/>
      </c>
      <c r="T105" s="123" t="inlineStr">
        <is>
          <t>80/80-14</t>
        </is>
      </c>
      <c r="U105" s="177" t="inlineStr">
        <is>
          <t>/</t>
        </is>
      </c>
      <c r="V105" s="177" t="inlineStr">
        <is>
          <t>H597</t>
        </is>
      </c>
      <c r="W105" s="177" t="inlineStr">
        <is>
          <t>80/80-14-4PR/37P H597</t>
        </is>
      </c>
      <c r="X105" s="177" t="n"/>
      <c r="Y105" s="131" t="n">
        <v>2.21</v>
      </c>
      <c r="Z105" s="131" t="n">
        <v>2.21</v>
      </c>
      <c r="AA105" s="130">
        <f>Y105-Z105</f>
        <v/>
      </c>
      <c r="AB105" s="390">
        <f>_xlfn.TEXTJOIN("-",TRUE,T105,U105,V105)</f>
        <v/>
      </c>
      <c r="AC105" s="184" t="n"/>
      <c r="AD105" s="184" t="n"/>
      <c r="AE105" s="184" t="n"/>
      <c r="AF105" s="184" t="n"/>
      <c r="AG105" s="184" t="n"/>
      <c r="AH105" s="184" t="n"/>
      <c r="AI105" s="184" t="n"/>
      <c r="AK105" s="390">
        <f>_xlfn.TEXTJOIN("-",TRUE,AC105,AD105,AE105)</f>
        <v/>
      </c>
      <c r="AL105" s="123" t="inlineStr">
        <is>
          <t>ST215/75R14</t>
        </is>
      </c>
      <c r="AM105" s="177" t="inlineStr">
        <is>
          <t>6PR</t>
        </is>
      </c>
      <c r="AN105" s="177" t="inlineStr">
        <is>
          <t>ST100</t>
        </is>
      </c>
      <c r="AO105" s="177" t="inlineStr">
        <is>
          <t>ST215/75R14-6PR ST-100/STZC</t>
        </is>
      </c>
      <c r="AP105" s="177" t="n"/>
      <c r="AQ105" s="131" t="n">
        <v>10.144</v>
      </c>
      <c r="AR105" s="131" t="n">
        <v>9.927</v>
      </c>
      <c r="AS105" s="130">
        <f>AQ105-AR105</f>
        <v/>
      </c>
      <c r="AT105" s="390">
        <f>_xlfn.TEXTJOIN("-",TRUE,AL105,AM105,AN105)</f>
        <v/>
      </c>
      <c r="AU105" s="123" t="inlineStr">
        <is>
          <t>195/60R15</t>
        </is>
      </c>
      <c r="AV105" s="177" t="inlineStr">
        <is>
          <t>/</t>
        </is>
      </c>
      <c r="AW105" s="139" t="inlineStr">
        <is>
          <t>T-118</t>
        </is>
      </c>
      <c r="AX105" s="177" t="inlineStr">
        <is>
          <t>S021372A-42</t>
        </is>
      </c>
      <c r="AY105" s="131" t="n">
        <v>8.077</v>
      </c>
      <c r="AZ105" s="131" t="n">
        <v>7.078</v>
      </c>
      <c r="BA105" s="130">
        <f>AY105-AZ105</f>
        <v/>
      </c>
      <c r="BB105" s="390">
        <f>_xlfn.TEXTJOIN("-",TRUE,AU105,AW105)</f>
        <v/>
      </c>
    </row>
    <row r="106">
      <c r="B106" s="123" t="inlineStr">
        <is>
          <t>11.00R20</t>
        </is>
      </c>
      <c r="C106" s="177" t="inlineStr">
        <is>
          <t>18PR</t>
        </is>
      </c>
      <c r="D106" s="177" t="inlineStr">
        <is>
          <t>CB972</t>
        </is>
      </c>
      <c r="E106" s="125" t="inlineStr">
        <is>
          <t>ID11.00R20-18PR-CBT C ID A017-Y</t>
        </is>
      </c>
      <c r="F106" s="131">
        <f>G106-4.743+5.799</f>
        <v/>
      </c>
      <c r="G106" s="131" t="n">
        <v>76.169</v>
      </c>
      <c r="H106" s="129" t="n">
        <v>75.28</v>
      </c>
      <c r="I106" s="130">
        <f>G106-H106</f>
        <v/>
      </c>
      <c r="J106" s="115">
        <f>_xlfn.TEXTJOIN("-",TRUE,B106,C106,D106)</f>
        <v/>
      </c>
      <c r="K106" s="123" t="inlineStr">
        <is>
          <t>ST205/75D15</t>
        </is>
      </c>
      <c r="L106" s="177" t="inlineStr">
        <is>
          <t>6PR</t>
        </is>
      </c>
      <c r="M106" s="177" t="inlineStr">
        <is>
          <t>ST600</t>
        </is>
      </c>
      <c r="N106" s="125" t="inlineStr">
        <is>
          <t>ST205/75D15-6PR-STR</t>
        </is>
      </c>
      <c r="O106" s="177" t="inlineStr">
        <is>
          <t>/</t>
        </is>
      </c>
      <c r="P106" s="177" t="n">
        <v>9.220000000000001</v>
      </c>
      <c r="Q106" s="177" t="n">
        <v>9.19</v>
      </c>
      <c r="R106" s="127">
        <f>P106-Q106</f>
        <v/>
      </c>
      <c r="S106" s="390">
        <f>_xlfn.TEXTJOIN("-",TRUE,K106,L106,M106)</f>
        <v/>
      </c>
      <c r="T106" s="123" t="inlineStr">
        <is>
          <t>80/80-14</t>
        </is>
      </c>
      <c r="U106" s="177" t="inlineStr">
        <is>
          <t>/</t>
        </is>
      </c>
      <c r="V106" s="177" t="inlineStr">
        <is>
          <t>H999A</t>
        </is>
      </c>
      <c r="W106" s="177" t="inlineStr">
        <is>
          <t>80/80-14-4PR/37P H999A</t>
        </is>
      </c>
      <c r="X106" s="177" t="n"/>
      <c r="Y106" s="131" t="n">
        <v>2.28</v>
      </c>
      <c r="Z106" s="131" t="n">
        <v>2.24</v>
      </c>
      <c r="AA106" s="130">
        <f>Y106-Z106</f>
        <v/>
      </c>
      <c r="AB106" s="390">
        <f>_xlfn.TEXTJOIN("-",TRUE,T106,U106,V106)</f>
        <v/>
      </c>
      <c r="AC106" s="184" t="n"/>
      <c r="AD106" s="184" t="n"/>
      <c r="AE106" s="184" t="n"/>
      <c r="AF106" s="184" t="n"/>
      <c r="AG106" s="184" t="n"/>
      <c r="AH106" s="184" t="n"/>
      <c r="AI106" s="184" t="n"/>
      <c r="AK106" s="390">
        <f>_xlfn.TEXTJOIN("-",TRUE,AC106,AD106,AE106)</f>
        <v/>
      </c>
      <c r="AL106" s="123" t="inlineStr">
        <is>
          <t>ST215/75R14</t>
        </is>
      </c>
      <c r="AM106" s="177" t="inlineStr">
        <is>
          <t>6PR</t>
        </is>
      </c>
      <c r="AN106" s="177" t="inlineStr">
        <is>
          <t>STZC</t>
        </is>
      </c>
      <c r="AO106" s="177" t="inlineStr">
        <is>
          <t>ST215/75R14-6PR ST-100/STZC</t>
        </is>
      </c>
      <c r="AP106" s="177" t="n"/>
      <c r="AQ106" s="131" t="n">
        <v>10.144</v>
      </c>
      <c r="AR106" s="131" t="n">
        <v>9.927</v>
      </c>
      <c r="AS106" s="130">
        <f>AQ106-AR106</f>
        <v/>
      </c>
      <c r="AT106" s="390">
        <f>_xlfn.TEXTJOIN("-",TRUE,AL106,AM106,AN106)</f>
        <v/>
      </c>
      <c r="AU106" s="123" t="inlineStr">
        <is>
          <t>195/60R15</t>
        </is>
      </c>
      <c r="AV106" s="177" t="inlineStr">
        <is>
          <t>/</t>
        </is>
      </c>
      <c r="AW106" s="139" t="inlineStr">
        <is>
          <t>Z-108</t>
        </is>
      </c>
      <c r="AX106" s="177" t="inlineStr">
        <is>
          <t>S021372A-42</t>
        </is>
      </c>
      <c r="AY106" s="131" t="n">
        <v>8.077</v>
      </c>
      <c r="AZ106" s="131" t="n">
        <v>7.078</v>
      </c>
      <c r="BA106" s="130">
        <f>AY106-AZ106</f>
        <v/>
      </c>
      <c r="BB106" s="390">
        <f>_xlfn.TEXTJOIN("-",TRUE,AU106,AW106)</f>
        <v/>
      </c>
    </row>
    <row r="107">
      <c r="B107" s="123" t="inlineStr">
        <is>
          <t>11.00R20</t>
        </is>
      </c>
      <c r="C107" s="177" t="inlineStr">
        <is>
          <t>18PR</t>
        </is>
      </c>
      <c r="D107" s="126" t="inlineStr">
        <is>
          <t>TZ101</t>
        </is>
      </c>
      <c r="E107" s="125" t="inlineStr">
        <is>
          <t>ID11.00R20-18PR-CBT C ID A017-Y</t>
        </is>
      </c>
      <c r="F107" s="128">
        <f>G107-4.743+5.799</f>
        <v/>
      </c>
      <c r="G107" s="131" t="n">
        <v>76.169</v>
      </c>
      <c r="H107" s="129" t="n">
        <v>75.28</v>
      </c>
      <c r="I107" s="130">
        <f>G107-H107</f>
        <v/>
      </c>
      <c r="J107" s="115">
        <f>_xlfn.TEXTJOIN("-",TRUE,B107,C107,D107)</f>
        <v/>
      </c>
      <c r="K107" s="123" t="inlineStr">
        <is>
          <t>ST205/75D15</t>
        </is>
      </c>
      <c r="L107" s="177" t="inlineStr">
        <is>
          <t>6PR</t>
        </is>
      </c>
      <c r="M107" s="177" t="inlineStr">
        <is>
          <t>TE898</t>
        </is>
      </c>
      <c r="N107" s="125" t="inlineStr">
        <is>
          <t>ST205/75D15-6PR-STR</t>
        </is>
      </c>
      <c r="O107" s="177" t="inlineStr">
        <is>
          <t>/</t>
        </is>
      </c>
      <c r="P107" s="177" t="n">
        <v>9.220000000000001</v>
      </c>
      <c r="Q107" s="177" t="n">
        <v>9.19</v>
      </c>
      <c r="R107" s="127">
        <f>P107-Q107</f>
        <v/>
      </c>
      <c r="S107" s="390">
        <f>_xlfn.TEXTJOIN("-",TRUE,K107,L107,M107)</f>
        <v/>
      </c>
      <c r="T107" s="132" t="n"/>
      <c r="U107" s="178" t="n"/>
      <c r="V107" s="178" t="n"/>
      <c r="W107" s="178" t="n"/>
      <c r="X107" s="178" t="n"/>
      <c r="Y107" s="178" t="n"/>
      <c r="Z107" s="178" t="n"/>
      <c r="AA107" s="134" t="n"/>
      <c r="AB107" s="390">
        <f>_xlfn.TEXTJOIN("-",TRUE,T107,U107,V107)</f>
        <v/>
      </c>
      <c r="AC107" s="184" t="n"/>
      <c r="AD107" s="184" t="n"/>
      <c r="AE107" s="184" t="n"/>
      <c r="AF107" s="184" t="n"/>
      <c r="AG107" s="184" t="n"/>
      <c r="AH107" s="184" t="n"/>
      <c r="AI107" s="184" t="n"/>
      <c r="AK107" s="390">
        <f>_xlfn.TEXTJOIN("-",TRUE,AC107,AD107,AE107)</f>
        <v/>
      </c>
      <c r="AL107" s="123" t="inlineStr">
        <is>
          <t>ST215/75R14</t>
        </is>
      </c>
      <c r="AM107" s="177" t="inlineStr">
        <is>
          <t>8PR</t>
        </is>
      </c>
      <c r="AN107" s="177" t="inlineStr">
        <is>
          <t>ST100</t>
        </is>
      </c>
      <c r="AO107" s="177" t="inlineStr">
        <is>
          <t>ST215/75R14-8PR ST-100</t>
        </is>
      </c>
      <c r="AP107" s="177" t="n"/>
      <c r="AQ107" s="131" t="n">
        <v>11.279</v>
      </c>
      <c r="AR107" s="131" t="n">
        <v>11.146</v>
      </c>
      <c r="AS107" s="130">
        <f>AQ107-AR107</f>
        <v/>
      </c>
      <c r="AT107" s="390">
        <f>_xlfn.TEXTJOIN("-",TRUE,AL107,AM107,AN107)</f>
        <v/>
      </c>
      <c r="AU107" s="123" t="inlineStr">
        <is>
          <t>195/60R15</t>
        </is>
      </c>
      <c r="AV107" s="177" t="inlineStr">
        <is>
          <t>/</t>
        </is>
      </c>
      <c r="AW107" s="139" t="inlineStr">
        <is>
          <t>RP218</t>
        </is>
      </c>
      <c r="AX107" s="177" t="inlineStr">
        <is>
          <t>S021499A-60</t>
        </is>
      </c>
      <c r="AY107" s="131" t="n">
        <v>8.029999999999999</v>
      </c>
      <c r="AZ107" s="131" t="n">
        <v>8.028</v>
      </c>
      <c r="BA107" s="130">
        <f>AY107-AZ107</f>
        <v/>
      </c>
      <c r="BB107" s="390">
        <f>_xlfn.TEXTJOIN("-",TRUE,AU107,AW107)</f>
        <v/>
      </c>
    </row>
    <row r="108" ht="13.8" customHeight="1" s="428">
      <c r="B108" s="123" t="inlineStr">
        <is>
          <t>11.00R20</t>
        </is>
      </c>
      <c r="C108" s="177" t="inlineStr">
        <is>
          <t>18PR</t>
        </is>
      </c>
      <c r="D108" s="126" t="inlineStr">
        <is>
          <t>MT100</t>
        </is>
      </c>
      <c r="E108" s="125" t="inlineStr">
        <is>
          <t>ID11.00R20-18PR-CBT C ID A017-Y</t>
        </is>
      </c>
      <c r="F108" s="128">
        <f>G108-4.743+5.799</f>
        <v/>
      </c>
      <c r="G108" s="131" t="n">
        <v>76.169</v>
      </c>
      <c r="H108" s="129" t="n">
        <v>75.28</v>
      </c>
      <c r="I108" s="130">
        <f>G108-H108</f>
        <v/>
      </c>
      <c r="J108" s="115">
        <f>_xlfn.TEXTJOIN("-",TRUE,B108,C108,D108)</f>
        <v/>
      </c>
      <c r="K108" s="123" t="inlineStr">
        <is>
          <t>ST205/75D15</t>
        </is>
      </c>
      <c r="L108" s="177" t="inlineStr">
        <is>
          <t>6PR</t>
        </is>
      </c>
      <c r="M108" s="177" t="inlineStr">
        <is>
          <t>RC-101</t>
        </is>
      </c>
      <c r="N108" s="125" t="inlineStr">
        <is>
          <t>ST205/75D15-6PR-STR</t>
        </is>
      </c>
      <c r="O108" s="177" t="inlineStr">
        <is>
          <t>/</t>
        </is>
      </c>
      <c r="P108" s="177" t="n">
        <v>9.220000000000001</v>
      </c>
      <c r="Q108" s="177" t="n">
        <v>9.19</v>
      </c>
      <c r="R108" s="127">
        <f>P108-Q108</f>
        <v/>
      </c>
      <c r="S108" s="390">
        <f>_xlfn.TEXTJOIN("-",TRUE,K108,L108,M108)</f>
        <v/>
      </c>
      <c r="T108" s="123" t="inlineStr">
        <is>
          <t>80/90-12</t>
        </is>
      </c>
      <c r="U108" s="177" t="inlineStr">
        <is>
          <t>4PR</t>
        </is>
      </c>
      <c r="V108" s="177" t="inlineStr">
        <is>
          <t>H565-2</t>
        </is>
      </c>
      <c r="W108" s="177" t="inlineStr">
        <is>
          <t>80/90-12-4PR H565-2</t>
        </is>
      </c>
      <c r="X108" s="177" t="n"/>
      <c r="Y108" s="131" t="n">
        <v>1.882</v>
      </c>
      <c r="Z108" s="131" t="n">
        <v>1.87</v>
      </c>
      <c r="AA108" s="130">
        <f>Y108-Z108</f>
        <v/>
      </c>
      <c r="AB108" s="390">
        <f>_xlfn.TEXTJOIN("-",TRUE,T108,U108,V108)</f>
        <v/>
      </c>
      <c r="AC108" s="184" t="n"/>
      <c r="AD108" s="184" t="n"/>
      <c r="AE108" s="184" t="n"/>
      <c r="AF108" s="184" t="n"/>
      <c r="AG108" s="184" t="n"/>
      <c r="AH108" s="184" t="n"/>
      <c r="AI108" s="184" t="n"/>
      <c r="AK108" s="390">
        <f>_xlfn.TEXTJOIN("-",TRUE,AC108,AD108,AE108)</f>
        <v/>
      </c>
      <c r="AL108" s="123" t="inlineStr">
        <is>
          <t>ST215/75R14</t>
        </is>
      </c>
      <c r="AM108" s="177" t="inlineStr">
        <is>
          <t>6PR</t>
        </is>
      </c>
      <c r="AN108" s="177" t="inlineStr">
        <is>
          <t>ST100A</t>
        </is>
      </c>
      <c r="AO108" s="177" t="inlineStr">
        <is>
          <t>ST215/75R14-6PR SDAT</t>
        </is>
      </c>
      <c r="AP108" s="177" t="n"/>
      <c r="AQ108" s="131" t="n">
        <v>9.278</v>
      </c>
      <c r="AR108" s="131" t="n">
        <v>9.141999999999999</v>
      </c>
      <c r="AS108" s="130">
        <f>AQ108-AR108</f>
        <v/>
      </c>
      <c r="AT108" s="390">
        <f>_xlfn.TEXTJOIN("-",TRUE,AL108,AM108,AN108)</f>
        <v/>
      </c>
      <c r="AU108" s="132" t="n"/>
      <c r="AV108" s="178" t="n"/>
      <c r="AW108" s="178" t="n"/>
      <c r="AX108" s="178" t="n"/>
      <c r="AY108" s="135" t="n"/>
      <c r="AZ108" s="135" t="n"/>
      <c r="BA108" s="136" t="n"/>
      <c r="BB108" s="390">
        <f>_xlfn.TEXTJOIN("-",TRUE,AU108,AW108)</f>
        <v/>
      </c>
    </row>
    <row r="109">
      <c r="B109" s="123" t="inlineStr">
        <is>
          <t>11.00R20</t>
        </is>
      </c>
      <c r="C109" s="177" t="inlineStr">
        <is>
          <t>18PR</t>
        </is>
      </c>
      <c r="D109" s="126" t="inlineStr">
        <is>
          <t>CB919A</t>
        </is>
      </c>
      <c r="E109" s="125" t="inlineStr">
        <is>
          <t>ID11.00R20-18PR-CBT C ID A017-Y</t>
        </is>
      </c>
      <c r="F109" s="128">
        <f>G109-4.743+5.799</f>
        <v/>
      </c>
      <c r="G109" s="131" t="n">
        <v>76.169</v>
      </c>
      <c r="H109" s="129" t="n">
        <v>75.28</v>
      </c>
      <c r="I109" s="130">
        <f>G109-H109</f>
        <v/>
      </c>
      <c r="J109" s="115">
        <f>_xlfn.TEXTJOIN("-",TRUE,B109,C109,D109)</f>
        <v/>
      </c>
      <c r="K109" s="132" t="n"/>
      <c r="L109" s="178" t="n"/>
      <c r="M109" s="178" t="n"/>
      <c r="N109" s="178" t="n"/>
      <c r="O109" s="178" t="n"/>
      <c r="P109" s="178" t="n"/>
      <c r="Q109" s="178" t="n"/>
      <c r="R109" s="134" t="n"/>
      <c r="S109" s="390">
        <f>_xlfn.TEXTJOIN("-",TRUE,K109,L109,M109)</f>
        <v/>
      </c>
      <c r="T109" s="123" t="inlineStr">
        <is>
          <t>80/90-12</t>
        </is>
      </c>
      <c r="U109" s="177" t="inlineStr">
        <is>
          <t>6PR</t>
        </is>
      </c>
      <c r="V109" s="177" t="inlineStr">
        <is>
          <t>H565-2</t>
        </is>
      </c>
      <c r="W109" s="177" t="inlineStr">
        <is>
          <t>80/90-12-6PR H565-2</t>
        </is>
      </c>
      <c r="X109" s="177" t="n"/>
      <c r="Y109" s="131" t="n">
        <v>1.947</v>
      </c>
      <c r="Z109" s="131" t="n">
        <v>1.94</v>
      </c>
      <c r="AA109" s="130">
        <f>Y109-Z109</f>
        <v/>
      </c>
      <c r="AB109" s="390">
        <f>_xlfn.TEXTJOIN("-",TRUE,T109,U109,V109)</f>
        <v/>
      </c>
      <c r="AC109" s="184" t="n"/>
      <c r="AD109" s="184" t="n"/>
      <c r="AE109" s="184" t="n"/>
      <c r="AF109" s="184" t="n"/>
      <c r="AG109" s="184" t="n"/>
      <c r="AH109" s="184" t="n"/>
      <c r="AI109" s="184" t="n"/>
      <c r="AK109" s="390">
        <f>_xlfn.TEXTJOIN("-",TRUE,AC109,AD109,AE109)</f>
        <v/>
      </c>
      <c r="AL109" s="123" t="inlineStr">
        <is>
          <t>ST215/75R14</t>
        </is>
      </c>
      <c r="AM109" s="177" t="inlineStr">
        <is>
          <t>6PR</t>
        </is>
      </c>
      <c r="AN109" s="177" t="inlineStr">
        <is>
          <t>DURAHAULER ST</t>
        </is>
      </c>
      <c r="AO109" s="177" t="inlineStr">
        <is>
          <t>ST215/75R14-6PR SDAT</t>
        </is>
      </c>
      <c r="AP109" s="177" t="n"/>
      <c r="AQ109" s="131" t="n">
        <v>9.278</v>
      </c>
      <c r="AR109" s="131" t="n">
        <v>9.141999999999999</v>
      </c>
      <c r="AS109" s="130">
        <f>AQ109-AR109</f>
        <v/>
      </c>
      <c r="AT109" s="390">
        <f>_xlfn.TEXTJOIN("-",TRUE,AL109,AM109,AN109)</f>
        <v/>
      </c>
      <c r="AU109" s="123" t="inlineStr">
        <is>
          <t>195/60R16</t>
        </is>
      </c>
      <c r="AV109" s="177" t="inlineStr">
        <is>
          <t>/</t>
        </is>
      </c>
      <c r="AW109" s="177" t="inlineStr">
        <is>
          <t>C-108</t>
        </is>
      </c>
      <c r="AX109" s="177" t="inlineStr">
        <is>
          <t>S021373A-42</t>
        </is>
      </c>
      <c r="AY109" s="131" t="n">
        <v>7.077</v>
      </c>
      <c r="AZ109" s="131" t="n">
        <v>7.413</v>
      </c>
      <c r="BA109" s="130">
        <f>AY109-AZ109</f>
        <v/>
      </c>
      <c r="BB109" s="390">
        <f>_xlfn.TEXTJOIN("-",TRUE,AU109,AW109)</f>
        <v/>
      </c>
    </row>
    <row r="110">
      <c r="B110" s="123" t="inlineStr">
        <is>
          <t>11.00R20</t>
        </is>
      </c>
      <c r="C110" s="177" t="inlineStr">
        <is>
          <t>18PR</t>
        </is>
      </c>
      <c r="D110" s="126" t="inlineStr">
        <is>
          <t>CB332A</t>
        </is>
      </c>
      <c r="E110" s="177" t="inlineStr">
        <is>
          <t>ID11.00R20-B C ID A017</t>
        </is>
      </c>
      <c r="F110" s="128">
        <f>G110-4.743+5.799</f>
        <v/>
      </c>
      <c r="G110" s="128" t="n">
        <v>72.05800000000001</v>
      </c>
      <c r="H110" s="129" t="n">
        <v>70.6554</v>
      </c>
      <c r="I110" s="130">
        <f>G110-H110</f>
        <v/>
      </c>
      <c r="J110" s="115">
        <f>_xlfn.TEXTJOIN("-",TRUE,B110,C110,D110)</f>
        <v/>
      </c>
      <c r="K110" s="123" t="inlineStr">
        <is>
          <t>ST215/75D14</t>
        </is>
      </c>
      <c r="L110" s="177" t="inlineStr">
        <is>
          <t>6PR</t>
        </is>
      </c>
      <c r="M110" s="177" t="inlineStr">
        <is>
          <t>H180</t>
        </is>
      </c>
      <c r="N110" s="177" t="inlineStr">
        <is>
          <t>ST215/75D14-6PR H180</t>
        </is>
      </c>
      <c r="O110" s="177" t="inlineStr">
        <is>
          <t>/</t>
        </is>
      </c>
      <c r="P110" s="177" t="n">
        <v>10.17</v>
      </c>
      <c r="Q110" s="177" t="n">
        <v>10.13</v>
      </c>
      <c r="R110" s="127">
        <f>P110-Q110</f>
        <v/>
      </c>
      <c r="S110" s="390">
        <f>_xlfn.TEXTJOIN("-",TRUE,K110,L110,M110)</f>
        <v/>
      </c>
      <c r="T110" s="132" t="n"/>
      <c r="U110" s="178" t="n"/>
      <c r="V110" s="178" t="n"/>
      <c r="W110" s="178" t="n"/>
      <c r="X110" s="178" t="n"/>
      <c r="Y110" s="178" t="n"/>
      <c r="Z110" s="178" t="n"/>
      <c r="AA110" s="134" t="n"/>
      <c r="AB110" s="390">
        <f>_xlfn.TEXTJOIN("-",TRUE,T110,U110,V110)</f>
        <v/>
      </c>
      <c r="AC110" s="184" t="n"/>
      <c r="AD110" s="184" t="n"/>
      <c r="AE110" s="184" t="n"/>
      <c r="AF110" s="184" t="n"/>
      <c r="AG110" s="184" t="n"/>
      <c r="AH110" s="184" t="n"/>
      <c r="AI110" s="184" t="n"/>
      <c r="AK110" s="390">
        <f>_xlfn.TEXTJOIN("-",TRUE,AC110,AD110,AE110)</f>
        <v/>
      </c>
      <c r="AL110" s="123" t="inlineStr">
        <is>
          <t>ST215/75R14</t>
        </is>
      </c>
      <c r="AM110" s="177" t="inlineStr">
        <is>
          <t>6PR</t>
        </is>
      </c>
      <c r="AN110" s="177" t="inlineStr">
        <is>
          <t>ASSURE ST</t>
        </is>
      </c>
      <c r="AO110" s="177" t="inlineStr">
        <is>
          <t>ST215/75R14-6PR SDAT</t>
        </is>
      </c>
      <c r="AP110" s="177" t="n"/>
      <c r="AQ110" s="131" t="n">
        <v>9.278</v>
      </c>
      <c r="AR110" s="131" t="n">
        <v>9.141999999999999</v>
      </c>
      <c r="AS110" s="130">
        <f>AQ110-AR110</f>
        <v/>
      </c>
      <c r="AT110" s="390">
        <f>_xlfn.TEXTJOIN("-",TRUE,AL110,AM110,AN110)</f>
        <v/>
      </c>
      <c r="AU110" s="123" t="inlineStr">
        <is>
          <t>195/60R16</t>
        </is>
      </c>
      <c r="AV110" s="177" t="inlineStr">
        <is>
          <t>/</t>
        </is>
      </c>
      <c r="AW110" s="177" t="inlineStr">
        <is>
          <t>G-118</t>
        </is>
      </c>
      <c r="AX110" s="177" t="inlineStr">
        <is>
          <t>S021373A-42</t>
        </is>
      </c>
      <c r="AY110" s="131" t="n">
        <v>7.077</v>
      </c>
      <c r="AZ110" s="131" t="n">
        <v>7.413</v>
      </c>
      <c r="BA110" s="130">
        <f>AY110-AZ110</f>
        <v/>
      </c>
      <c r="BB110" s="390">
        <f>_xlfn.TEXTJOIN("-",TRUE,AU110,AW110)</f>
        <v/>
      </c>
    </row>
    <row r="111" ht="13.8" customHeight="1" s="428">
      <c r="B111" s="143" t="inlineStr">
        <is>
          <t>11.00R20</t>
        </is>
      </c>
      <c r="C111" s="125" t="inlineStr">
        <is>
          <t>18PR</t>
        </is>
      </c>
      <c r="D111" s="186" t="inlineStr">
        <is>
          <t>CB905A</t>
        </is>
      </c>
      <c r="E111" s="177" t="inlineStr">
        <is>
          <t>ID11.00R20-B C ID A017</t>
        </is>
      </c>
      <c r="F111" s="128">
        <f>G111-4.743+5.799</f>
        <v/>
      </c>
      <c r="G111" s="128" t="n">
        <v>72.05800000000001</v>
      </c>
      <c r="H111" s="129" t="n">
        <v>70.6554</v>
      </c>
      <c r="I111" s="130">
        <f>G111-H111</f>
        <v/>
      </c>
      <c r="J111" s="115">
        <f>_xlfn.TEXTJOIN("-",TRUE,B111,C111,D111)</f>
        <v/>
      </c>
      <c r="K111" s="132" t="n"/>
      <c r="L111" s="178" t="n"/>
      <c r="M111" s="178" t="n"/>
      <c r="N111" s="178" t="n"/>
      <c r="O111" s="178" t="n"/>
      <c r="P111" s="178" t="n"/>
      <c r="Q111" s="178" t="n"/>
      <c r="R111" s="134" t="n"/>
      <c r="S111" s="390">
        <f>_xlfn.TEXTJOIN("-",TRUE,K111,L111,M111)</f>
        <v/>
      </c>
      <c r="T111" s="123" t="inlineStr">
        <is>
          <t>80/90-14</t>
        </is>
      </c>
      <c r="U111" s="177" t="inlineStr">
        <is>
          <t>4PR</t>
        </is>
      </c>
      <c r="V111" s="177" t="inlineStr">
        <is>
          <t>ASP01</t>
        </is>
      </c>
      <c r="W111" s="177" t="inlineStr">
        <is>
          <t>80/90-14TL-4PR ASP01</t>
        </is>
      </c>
      <c r="X111" s="177" t="n"/>
      <c r="Y111" s="131" t="n">
        <v>2.395</v>
      </c>
      <c r="Z111" s="131" t="n">
        <v>2.29</v>
      </c>
      <c r="AA111" s="130">
        <f>Y111-Z111</f>
        <v/>
      </c>
      <c r="AB111" s="390">
        <f>_xlfn.TEXTJOIN("-",TRUE,T111,U111,V111)</f>
        <v/>
      </c>
      <c r="AC111" s="184" t="n"/>
      <c r="AD111" s="184" t="n"/>
      <c r="AE111" s="184" t="n"/>
      <c r="AF111" s="184" t="n"/>
      <c r="AG111" s="184" t="n"/>
      <c r="AH111" s="184" t="n"/>
      <c r="AI111" s="184" t="n"/>
      <c r="AK111" s="390">
        <f>_xlfn.TEXTJOIN("-",TRUE,AC111,AD111,AE111)</f>
        <v/>
      </c>
      <c r="AL111" s="123" t="inlineStr">
        <is>
          <t>ST215/75R14</t>
        </is>
      </c>
      <c r="AM111" s="177" t="inlineStr">
        <is>
          <t>6PR</t>
        </is>
      </c>
      <c r="AN111" s="177" t="inlineStr">
        <is>
          <t>Tow Pro ST</t>
        </is>
      </c>
      <c r="AO111" s="177" t="inlineStr">
        <is>
          <t>ST215/75R14-6PR SDAT</t>
        </is>
      </c>
      <c r="AP111" s="177" t="n"/>
      <c r="AQ111" s="131" t="n">
        <v>9.278</v>
      </c>
      <c r="AR111" s="131" t="n">
        <v>9.141999999999999</v>
      </c>
      <c r="AS111" s="130">
        <f>AQ111-AR111</f>
        <v/>
      </c>
      <c r="AT111" s="390">
        <f>_xlfn.TEXTJOIN("-",TRUE,AL111,AM111,AN111)</f>
        <v/>
      </c>
      <c r="AU111" s="123" t="inlineStr">
        <is>
          <t>195/60R16</t>
        </is>
      </c>
      <c r="AV111" s="177" t="inlineStr">
        <is>
          <t>/</t>
        </is>
      </c>
      <c r="AW111" s="139" t="inlineStr">
        <is>
          <t>T-118</t>
        </is>
      </c>
      <c r="AX111" s="177" t="inlineStr">
        <is>
          <t>S021373A-42</t>
        </is>
      </c>
      <c r="AY111" s="131" t="n">
        <v>7.077</v>
      </c>
      <c r="AZ111" s="131" t="n">
        <v>7.413</v>
      </c>
      <c r="BA111" s="130">
        <f>AY111-AZ111</f>
        <v/>
      </c>
      <c r="BB111" s="390">
        <f>_xlfn.TEXTJOIN("-",TRUE,AU111,AW111)</f>
        <v/>
      </c>
    </row>
    <row r="112">
      <c r="B112" s="143" t="inlineStr">
        <is>
          <t>11.00R20</t>
        </is>
      </c>
      <c r="C112" s="125" t="inlineStr">
        <is>
          <t>18PR</t>
        </is>
      </c>
      <c r="D112" s="186" t="inlineStr">
        <is>
          <t>EZ330A</t>
        </is>
      </c>
      <c r="E112" s="177" t="inlineStr">
        <is>
          <t>ID11.00R20-B C ID A017</t>
        </is>
      </c>
      <c r="F112" s="128">
        <f>G112-4.743+5.799</f>
        <v/>
      </c>
      <c r="G112" s="128" t="n">
        <v>72.05800000000001</v>
      </c>
      <c r="H112" s="129" t="n">
        <v>70.6554</v>
      </c>
      <c r="I112" s="130">
        <f>G112-H112</f>
        <v/>
      </c>
      <c r="J112" s="115">
        <f>_xlfn.TEXTJOIN("-",TRUE,B112,C112,D112)</f>
        <v/>
      </c>
      <c r="K112" s="123" t="inlineStr">
        <is>
          <t>ST225/75D15</t>
        </is>
      </c>
      <c r="L112" s="177" t="inlineStr">
        <is>
          <t>8PR</t>
        </is>
      </c>
      <c r="M112" s="177" t="inlineStr">
        <is>
          <t>H180</t>
        </is>
      </c>
      <c r="N112" s="177" t="inlineStr">
        <is>
          <t>ST225/75D15-8PR H180</t>
        </is>
      </c>
      <c r="O112" s="177" t="inlineStr">
        <is>
          <t>/</t>
        </is>
      </c>
      <c r="P112" s="177" t="n">
        <v>11.61</v>
      </c>
      <c r="Q112" s="177" t="n">
        <v>11.55</v>
      </c>
      <c r="R112" s="127">
        <f>P112-Q112</f>
        <v/>
      </c>
      <c r="S112" s="390">
        <f>_xlfn.TEXTJOIN("-",TRUE,K112,L112,M112)</f>
        <v/>
      </c>
      <c r="T112" s="123" t="inlineStr">
        <is>
          <t>80/90-14</t>
        </is>
      </c>
      <c r="U112" s="177" t="inlineStr">
        <is>
          <t>4PR</t>
        </is>
      </c>
      <c r="V112" s="177" t="inlineStr">
        <is>
          <t>H577</t>
        </is>
      </c>
      <c r="W112" s="177" t="inlineStr">
        <is>
          <t>80/90-14-4PR/40P H577</t>
        </is>
      </c>
      <c r="X112" s="177" t="n"/>
      <c r="Y112" s="131" t="n">
        <v>2.29</v>
      </c>
      <c r="Z112" s="131" t="n">
        <v>2.29</v>
      </c>
      <c r="AA112" s="130">
        <f>Y112-Z112</f>
        <v/>
      </c>
      <c r="AB112" s="390">
        <f>_xlfn.TEXTJOIN("-",TRUE,T112,U112,V112)</f>
        <v/>
      </c>
      <c r="AC112" s="184" t="n"/>
      <c r="AD112" s="184" t="n"/>
      <c r="AE112" s="184" t="n"/>
      <c r="AF112" s="184" t="n"/>
      <c r="AG112" s="184" t="n"/>
      <c r="AH112" s="184" t="n"/>
      <c r="AI112" s="184" t="n"/>
      <c r="AK112" s="390">
        <f>_xlfn.TEXTJOIN("-",TRUE,AC112,AD112,AE112)</f>
        <v/>
      </c>
      <c r="AL112" s="123" t="inlineStr">
        <is>
          <t>ST215/75R14</t>
        </is>
      </c>
      <c r="AM112" s="177" t="inlineStr">
        <is>
          <t>8PR</t>
        </is>
      </c>
      <c r="AN112" s="177" t="inlineStr">
        <is>
          <t>ST100A</t>
        </is>
      </c>
      <c r="AO112" s="177" t="inlineStr">
        <is>
          <t>ST215/75R14-8PR SDAT</t>
        </is>
      </c>
      <c r="AP112" s="177" t="n"/>
      <c r="AQ112" s="131" t="n">
        <v>10.304</v>
      </c>
      <c r="AR112" s="131" t="n">
        <v>10.511</v>
      </c>
      <c r="AS112" s="130">
        <f>AQ112-AR112</f>
        <v/>
      </c>
      <c r="AT112" s="390">
        <f>_xlfn.TEXTJOIN("-",TRUE,AL112,AM112,AN112)</f>
        <v/>
      </c>
      <c r="AU112" s="123" t="inlineStr">
        <is>
          <t>195/60R16</t>
        </is>
      </c>
      <c r="AV112" s="177" t="inlineStr">
        <is>
          <t>/</t>
        </is>
      </c>
      <c r="AW112" s="139" t="inlineStr">
        <is>
          <t>Z-108</t>
        </is>
      </c>
      <c r="AX112" s="177" t="inlineStr">
        <is>
          <t>S021373A-42</t>
        </is>
      </c>
      <c r="AY112" s="131" t="n">
        <v>7.077</v>
      </c>
      <c r="AZ112" s="131" t="n">
        <v>7.413</v>
      </c>
      <c r="BA112" s="130">
        <f>AY112-AZ112</f>
        <v/>
      </c>
      <c r="BB112" s="390">
        <f>_xlfn.TEXTJOIN("-",TRUE,AU112,AW112)</f>
        <v/>
      </c>
    </row>
    <row r="113">
      <c r="B113" s="123" t="inlineStr">
        <is>
          <t>11.00R20</t>
        </is>
      </c>
      <c r="C113" s="125" t="inlineStr">
        <is>
          <t>20PR</t>
        </is>
      </c>
      <c r="D113" s="126" t="inlineStr">
        <is>
          <t>CB332A</t>
        </is>
      </c>
      <c r="E113" s="177" t="inlineStr">
        <is>
          <t>ID11.00R20-B C ID A017</t>
        </is>
      </c>
      <c r="F113" s="128">
        <f>G113-4.743+5.799</f>
        <v/>
      </c>
      <c r="G113" s="128" t="n">
        <v>72.05800000000001</v>
      </c>
      <c r="H113" s="129" t="n">
        <v>70.6554</v>
      </c>
      <c r="I113" s="130">
        <f>G113-H113</f>
        <v/>
      </c>
      <c r="J113" s="115">
        <f>_xlfn.TEXTJOIN("-",TRUE,B113,C113,D113)</f>
        <v/>
      </c>
      <c r="K113" s="123" t="inlineStr">
        <is>
          <t>ST225/75D15</t>
        </is>
      </c>
      <c r="L113" s="177" t="inlineStr">
        <is>
          <t>8PR</t>
        </is>
      </c>
      <c r="M113" s="177" t="inlineStr">
        <is>
          <t>ST600</t>
        </is>
      </c>
      <c r="N113" s="125" t="inlineStr">
        <is>
          <t>ST225/75D15-8PR-STR</t>
        </is>
      </c>
      <c r="O113" s="177" t="inlineStr">
        <is>
          <t>白</t>
        </is>
      </c>
      <c r="P113" s="177" t="n">
        <v>10.91</v>
      </c>
      <c r="Q113" s="177" t="n">
        <v>11.35</v>
      </c>
      <c r="R113" s="127">
        <f>P113-Q113</f>
        <v/>
      </c>
      <c r="S113" s="390">
        <f>_xlfn.TEXTJOIN("-",TRUE,K113,L113,M113)</f>
        <v/>
      </c>
      <c r="T113" s="123" t="inlineStr">
        <is>
          <t>80/90-14</t>
        </is>
      </c>
      <c r="U113" s="177" t="inlineStr">
        <is>
          <t>6PR</t>
        </is>
      </c>
      <c r="V113" s="177" t="inlineStr">
        <is>
          <t>H577</t>
        </is>
      </c>
      <c r="W113" s="177" t="inlineStr">
        <is>
          <t>80/90-14-6PR H577</t>
        </is>
      </c>
      <c r="X113" s="177" t="n"/>
      <c r="Y113" s="131" t="n">
        <v>2.345</v>
      </c>
      <c r="Z113" s="131" t="n">
        <v>2.4</v>
      </c>
      <c r="AA113" s="130">
        <f>Y113-Z113</f>
        <v/>
      </c>
      <c r="AB113" s="390">
        <f>_xlfn.TEXTJOIN("-",TRUE,T113,U113,V113)</f>
        <v/>
      </c>
      <c r="AC113" s="184" t="n"/>
      <c r="AD113" s="184" t="n"/>
      <c r="AE113" s="184" t="n"/>
      <c r="AF113" s="184" t="n"/>
      <c r="AG113" s="184" t="n"/>
      <c r="AH113" s="184" t="n"/>
      <c r="AI113" s="184" t="n"/>
      <c r="AK113" s="390">
        <f>_xlfn.TEXTJOIN("-",TRUE,AC113,AD113,AE113)</f>
        <v/>
      </c>
      <c r="AL113" s="123" t="inlineStr">
        <is>
          <t>ST215/75R14</t>
        </is>
      </c>
      <c r="AM113" s="177" t="inlineStr">
        <is>
          <t>8PR</t>
        </is>
      </c>
      <c r="AN113" s="177" t="inlineStr">
        <is>
          <t>DURAHAULER ST</t>
        </is>
      </c>
      <c r="AO113" s="177" t="inlineStr">
        <is>
          <t>ST215/75R14-8PR SDAT</t>
        </is>
      </c>
      <c r="AP113" s="177" t="n"/>
      <c r="AQ113" s="131" t="n">
        <v>10.304</v>
      </c>
      <c r="AR113" s="131" t="n">
        <v>10.511</v>
      </c>
      <c r="AS113" s="130">
        <f>AQ113-AR113</f>
        <v/>
      </c>
      <c r="AT113" s="390">
        <f>_xlfn.TEXTJOIN("-",TRUE,AL113,AM113,AN113)</f>
        <v/>
      </c>
      <c r="AU113" s="132" t="n"/>
      <c r="AV113" s="178" t="n"/>
      <c r="AW113" s="178" t="n"/>
      <c r="AX113" s="178" t="n"/>
      <c r="AY113" s="135" t="n"/>
      <c r="AZ113" s="135" t="n"/>
      <c r="BA113" s="136" t="n"/>
      <c r="BB113" s="390">
        <f>_xlfn.TEXTJOIN("-",TRUE,AU113,AW113)</f>
        <v/>
      </c>
    </row>
    <row r="114">
      <c r="B114" s="143" t="inlineStr">
        <is>
          <t>11.00R20</t>
        </is>
      </c>
      <c r="C114" s="125" t="inlineStr">
        <is>
          <t>20PR</t>
        </is>
      </c>
      <c r="D114" s="186" t="inlineStr">
        <is>
          <t>CB905A</t>
        </is>
      </c>
      <c r="E114" s="177" t="inlineStr">
        <is>
          <t>ID11.00R20-B C ID A017</t>
        </is>
      </c>
      <c r="F114" s="128">
        <f>G114-4.743+5.799</f>
        <v/>
      </c>
      <c r="G114" s="128" t="n">
        <v>72.05800000000001</v>
      </c>
      <c r="H114" s="129" t="n">
        <v>70.6554</v>
      </c>
      <c r="I114" s="130">
        <f>G114-H114</f>
        <v/>
      </c>
      <c r="J114" s="115">
        <f>_xlfn.TEXTJOIN("-",TRUE,B114,C114,D114)</f>
        <v/>
      </c>
      <c r="K114" s="123" t="inlineStr">
        <is>
          <t>ST225/75D15</t>
        </is>
      </c>
      <c r="L114" s="177" t="inlineStr">
        <is>
          <t>8PR</t>
        </is>
      </c>
      <c r="M114" s="177" t="inlineStr">
        <is>
          <t>TE898</t>
        </is>
      </c>
      <c r="N114" s="125" t="inlineStr">
        <is>
          <t>ST225/75D15-8PR-STR</t>
        </is>
      </c>
      <c r="O114" s="177" t="inlineStr">
        <is>
          <t>白</t>
        </is>
      </c>
      <c r="P114" s="177" t="n">
        <v>10.91</v>
      </c>
      <c r="Q114" s="177" t="n">
        <v>11.35</v>
      </c>
      <c r="R114" s="127">
        <f>P114-Q114</f>
        <v/>
      </c>
      <c r="S114" s="390">
        <f>_xlfn.TEXTJOIN("-",TRUE,K114,L114,M114)</f>
        <v/>
      </c>
      <c r="T114" s="123" t="inlineStr">
        <is>
          <t>80/90-14</t>
        </is>
      </c>
      <c r="U114" s="177" t="inlineStr">
        <is>
          <t>6PR</t>
        </is>
      </c>
      <c r="V114" s="177" t="inlineStr">
        <is>
          <t>H597</t>
        </is>
      </c>
      <c r="W114" s="177" t="inlineStr">
        <is>
          <t>80/90-14-6PR/46S H597</t>
        </is>
      </c>
      <c r="X114" s="177" t="n"/>
      <c r="Y114" s="131" t="n">
        <v>2.395</v>
      </c>
      <c r="Z114" s="131" t="n">
        <v>2.395</v>
      </c>
      <c r="AA114" s="130">
        <f>Y114-Z114</f>
        <v/>
      </c>
      <c r="AB114" s="390">
        <f>_xlfn.TEXTJOIN("-",TRUE,T114,U114,V114)</f>
        <v/>
      </c>
      <c r="AC114" s="184" t="n"/>
      <c r="AD114" s="184" t="n"/>
      <c r="AE114" s="184" t="n"/>
      <c r="AF114" s="184" t="n"/>
      <c r="AG114" s="184" t="n"/>
      <c r="AH114" s="184" t="n"/>
      <c r="AI114" s="184" t="n"/>
      <c r="AK114" s="390">
        <f>_xlfn.TEXTJOIN("-",TRUE,AC114,AD114,AE114)</f>
        <v/>
      </c>
      <c r="AL114" s="123" t="inlineStr">
        <is>
          <t>ST215/75R14</t>
        </is>
      </c>
      <c r="AM114" s="177" t="inlineStr">
        <is>
          <t>8PR</t>
        </is>
      </c>
      <c r="AN114" s="177" t="inlineStr">
        <is>
          <t>ASSURE ST</t>
        </is>
      </c>
      <c r="AO114" s="177" t="inlineStr">
        <is>
          <t>ST215/75R14-8PR SDAT</t>
        </is>
      </c>
      <c r="AP114" s="177" t="n"/>
      <c r="AQ114" s="131" t="n">
        <v>10.304</v>
      </c>
      <c r="AR114" s="131" t="n">
        <v>10.511</v>
      </c>
      <c r="AS114" s="130">
        <f>AQ114-AR114</f>
        <v/>
      </c>
      <c r="AT114" s="390">
        <f>_xlfn.TEXTJOIN("-",TRUE,AL114,AM114,AN114)</f>
        <v/>
      </c>
      <c r="AU114" s="123" t="inlineStr">
        <is>
          <t>195/65R15</t>
        </is>
      </c>
      <c r="AV114" s="177" t="inlineStr">
        <is>
          <t>/</t>
        </is>
      </c>
      <c r="AW114" s="177" t="inlineStr">
        <is>
          <t>C-108</t>
        </is>
      </c>
      <c r="AX114" s="177" t="inlineStr">
        <is>
          <t>S021667A-72</t>
        </is>
      </c>
      <c r="AY114" s="131" t="n">
        <v>7.65</v>
      </c>
      <c r="AZ114" s="131" t="n">
        <v>7.648</v>
      </c>
      <c r="BA114" s="130">
        <f>AY114-AZ114</f>
        <v/>
      </c>
      <c r="BB114" s="390">
        <f>_xlfn.TEXTJOIN("-",TRUE,AU114,AW114)</f>
        <v/>
      </c>
    </row>
    <row r="115" ht="13.8" customHeight="1" s="428">
      <c r="B115" s="143" t="inlineStr">
        <is>
          <t>11.00R20</t>
        </is>
      </c>
      <c r="C115" s="125" t="inlineStr">
        <is>
          <t>20PR</t>
        </is>
      </c>
      <c r="D115" s="186" t="inlineStr">
        <is>
          <t>EZ330A</t>
        </is>
      </c>
      <c r="E115" s="177" t="inlineStr">
        <is>
          <t>ID11.00R20-B C ID A017</t>
        </is>
      </c>
      <c r="F115" s="128">
        <f>G115-4.743+5.799</f>
        <v/>
      </c>
      <c r="G115" s="128" t="n">
        <v>72.05800000000001</v>
      </c>
      <c r="H115" s="129" t="n">
        <v>70.6554</v>
      </c>
      <c r="I115" s="130">
        <f>G115-H115</f>
        <v/>
      </c>
      <c r="J115" s="115">
        <f>_xlfn.TEXTJOIN("-",TRUE,B115,C115,D115)</f>
        <v/>
      </c>
      <c r="K115" s="123" t="inlineStr">
        <is>
          <t>ST225/75D15</t>
        </is>
      </c>
      <c r="L115" s="177" t="inlineStr">
        <is>
          <t>8PR</t>
        </is>
      </c>
      <c r="M115" s="177" t="inlineStr">
        <is>
          <t>RC-101</t>
        </is>
      </c>
      <c r="N115" s="125" t="inlineStr">
        <is>
          <t>ST225/75D15-8PR-STR</t>
        </is>
      </c>
      <c r="O115" s="177" t="inlineStr">
        <is>
          <t>白</t>
        </is>
      </c>
      <c r="P115" s="177" t="n">
        <v>10.91</v>
      </c>
      <c r="Q115" s="177" t="n">
        <v>11.35</v>
      </c>
      <c r="R115" s="127">
        <f>P115-Q115</f>
        <v/>
      </c>
      <c r="S115" s="390">
        <f>_xlfn.TEXTJOIN("-",TRUE,K115,L115,M115)</f>
        <v/>
      </c>
      <c r="T115" s="123" t="inlineStr">
        <is>
          <t>80/90-14</t>
        </is>
      </c>
      <c r="U115" s="177" t="inlineStr">
        <is>
          <t>4PR</t>
        </is>
      </c>
      <c r="V115" s="177" t="inlineStr">
        <is>
          <t>H999-A</t>
        </is>
      </c>
      <c r="W115" s="177" t="inlineStr">
        <is>
          <t>80/90-14-4PR/40P H999-A</t>
        </is>
      </c>
      <c r="X115" s="177" t="n"/>
      <c r="Y115" s="131" t="n">
        <v>2.485</v>
      </c>
      <c r="Z115" s="131" t="n">
        <v>2.475</v>
      </c>
      <c r="AA115" s="130">
        <f>Y115-Z115</f>
        <v/>
      </c>
      <c r="AB115" s="390">
        <f>_xlfn.TEXTJOIN("-",TRUE,T115,U115,V115)</f>
        <v/>
      </c>
      <c r="AC115" s="184" t="n"/>
      <c r="AD115" s="184" t="n"/>
      <c r="AE115" s="184" t="n"/>
      <c r="AF115" s="184" t="n"/>
      <c r="AG115" s="184" t="n"/>
      <c r="AH115" s="184" t="n"/>
      <c r="AI115" s="184" t="n"/>
      <c r="AK115" s="390">
        <f>_xlfn.TEXTJOIN("-",TRUE,AC115,AD115,AE115)</f>
        <v/>
      </c>
      <c r="AL115" s="123" t="inlineStr">
        <is>
          <t>ST215/75R14</t>
        </is>
      </c>
      <c r="AM115" s="177" t="inlineStr">
        <is>
          <t>8PR</t>
        </is>
      </c>
      <c r="AN115" s="177" t="inlineStr">
        <is>
          <t>Tow Pro ST</t>
        </is>
      </c>
      <c r="AO115" s="177" t="inlineStr">
        <is>
          <t>ST215/75R14-8PR SDAT</t>
        </is>
      </c>
      <c r="AP115" s="177" t="n"/>
      <c r="AQ115" s="131" t="n">
        <v>10.304</v>
      </c>
      <c r="AR115" s="131" t="n">
        <v>10.511</v>
      </c>
      <c r="AS115" s="130">
        <f>AQ115-AR115</f>
        <v/>
      </c>
      <c r="AT115" s="390">
        <f>_xlfn.TEXTJOIN("-",TRUE,AL115,AM115,AN115)</f>
        <v/>
      </c>
      <c r="AU115" s="123" t="inlineStr">
        <is>
          <t>195/65R15</t>
        </is>
      </c>
      <c r="AV115" s="177" t="inlineStr">
        <is>
          <t>/</t>
        </is>
      </c>
      <c r="AW115" s="177" t="inlineStr">
        <is>
          <t>G-118</t>
        </is>
      </c>
      <c r="AX115" s="177" t="inlineStr">
        <is>
          <t>S021667A-72</t>
        </is>
      </c>
      <c r="AY115" s="131" t="n">
        <v>7.65</v>
      </c>
      <c r="AZ115" s="131" t="n">
        <v>7.648</v>
      </c>
      <c r="BA115" s="130">
        <f>AY115-AZ115</f>
        <v/>
      </c>
      <c r="BB115" s="390">
        <f>_xlfn.TEXTJOIN("-",TRUE,AU115,AW115)</f>
        <v/>
      </c>
    </row>
    <row r="116">
      <c r="B116" s="143" t="inlineStr">
        <is>
          <t>11.00R20</t>
        </is>
      </c>
      <c r="C116" s="125" t="inlineStr">
        <is>
          <t>18PR</t>
        </is>
      </c>
      <c r="D116" s="177" t="inlineStr">
        <is>
          <t>AZ850</t>
        </is>
      </c>
      <c r="E116" s="141" t="inlineStr">
        <is>
          <t>ID11.00R20-AZ850 C ID EA019</t>
        </is>
      </c>
      <c r="F116" s="187">
        <f>G116-4.743+5.779</f>
        <v/>
      </c>
      <c r="G116" s="128" t="n">
        <v>68.197</v>
      </c>
      <c r="H116" s="129" t="n">
        <v>67.6708</v>
      </c>
      <c r="I116" s="130">
        <f>G116-H116</f>
        <v/>
      </c>
      <c r="J116" s="115">
        <f>_xlfn.TEXTJOIN("-",TRUE,B116,C116,D116)</f>
        <v/>
      </c>
      <c r="K116" s="132" t="n"/>
      <c r="L116" s="178" t="n"/>
      <c r="M116" s="178" t="n"/>
      <c r="N116" s="178" t="n"/>
      <c r="O116" s="178" t="n"/>
      <c r="P116" s="178" t="n"/>
      <c r="Q116" s="178" t="n"/>
      <c r="R116" s="134" t="n"/>
      <c r="S116" s="390">
        <f>_xlfn.TEXTJOIN("-",TRUE,K116,L116,M116)</f>
        <v/>
      </c>
      <c r="T116" s="132" t="n"/>
      <c r="U116" s="178" t="n"/>
      <c r="V116" s="178" t="n"/>
      <c r="W116" s="178" t="n"/>
      <c r="X116" s="178" t="n"/>
      <c r="Y116" s="178" t="n"/>
      <c r="Z116" s="178" t="n"/>
      <c r="AA116" s="134" t="n"/>
      <c r="AB116" s="390">
        <f>_xlfn.TEXTJOIN("-",TRUE,T116,U116,V116)</f>
        <v/>
      </c>
      <c r="AC116" s="184" t="n"/>
      <c r="AD116" s="184" t="n"/>
      <c r="AE116" s="184" t="n"/>
      <c r="AF116" s="184" t="n"/>
      <c r="AG116" s="184" t="n"/>
      <c r="AH116" s="184" t="n"/>
      <c r="AI116" s="184" t="n"/>
      <c r="AK116" s="390">
        <f>_xlfn.TEXTJOIN("-",TRUE,AC116,AD116,AE116)</f>
        <v/>
      </c>
      <c r="AL116" s="132" t="n"/>
      <c r="AM116" s="178" t="n"/>
      <c r="AN116" s="178" t="n"/>
      <c r="AO116" s="178" t="n"/>
      <c r="AP116" s="178" t="n"/>
      <c r="AQ116" s="178" t="n"/>
      <c r="AR116" s="178" t="n"/>
      <c r="AS116" s="134" t="n"/>
      <c r="AT116" s="390">
        <f>_xlfn.TEXTJOIN("-",TRUE,AL116,AM116,AN116)</f>
        <v/>
      </c>
      <c r="AU116" s="123" t="inlineStr">
        <is>
          <t>195/65R15</t>
        </is>
      </c>
      <c r="AV116" s="177" t="inlineStr">
        <is>
          <t>/</t>
        </is>
      </c>
      <c r="AW116" s="139" t="inlineStr">
        <is>
          <t>T-118</t>
        </is>
      </c>
      <c r="AX116" s="177" t="inlineStr">
        <is>
          <t>S021667A-72</t>
        </is>
      </c>
      <c r="AY116" s="131" t="n">
        <v>7.65</v>
      </c>
      <c r="AZ116" s="131" t="n">
        <v>7.648</v>
      </c>
      <c r="BA116" s="130">
        <f>AY116-AZ116</f>
        <v/>
      </c>
      <c r="BB116" s="390">
        <f>_xlfn.TEXTJOIN("-",TRUE,AU116,AW116)</f>
        <v/>
      </c>
    </row>
    <row r="117">
      <c r="B117" s="188" t="inlineStr">
        <is>
          <t>11.00R20</t>
        </is>
      </c>
      <c r="C117" s="177" t="inlineStr">
        <is>
          <t>20PR</t>
        </is>
      </c>
      <c r="D117" s="169" t="inlineStr">
        <is>
          <t>AZ850</t>
        </is>
      </c>
      <c r="E117" s="141" t="inlineStr">
        <is>
          <t>ID11.00R20-AZ850 C ID EA019</t>
        </is>
      </c>
      <c r="F117" s="187">
        <f>G117-4.743+5.779</f>
        <v/>
      </c>
      <c r="G117" s="128" t="n">
        <v>68.197</v>
      </c>
      <c r="H117" s="129" t="n">
        <v>67.6708</v>
      </c>
      <c r="I117" s="130">
        <f>G117-H117</f>
        <v/>
      </c>
      <c r="J117" s="115">
        <f>_xlfn.TEXTJOIN("-",TRUE,B117,C117,D117)</f>
        <v/>
      </c>
      <c r="K117" s="123" t="inlineStr">
        <is>
          <t>17.5-25</t>
        </is>
      </c>
      <c r="L117" s="177" t="inlineStr">
        <is>
          <t>12PR</t>
        </is>
      </c>
      <c r="M117" s="177" t="inlineStr">
        <is>
          <t>CL729(TL)</t>
        </is>
      </c>
      <c r="N117" s="177" t="inlineStr">
        <is>
          <t>/</t>
        </is>
      </c>
      <c r="O117" s="177" t="inlineStr">
        <is>
          <t>/</t>
        </is>
      </c>
      <c r="P117" s="131" t="n">
        <v>113.8</v>
      </c>
      <c r="Q117" s="131" t="n">
        <v>113</v>
      </c>
      <c r="R117" s="130">
        <f>P117-Q117</f>
        <v/>
      </c>
      <c r="S117" s="390">
        <f>_xlfn.TEXTJOIN("-",TRUE,K117,L117,M117)</f>
        <v/>
      </c>
      <c r="T117" s="123" t="inlineStr">
        <is>
          <t>90/80-12</t>
        </is>
      </c>
      <c r="U117" s="177" t="inlineStr">
        <is>
          <t>4PR</t>
        </is>
      </c>
      <c r="V117" s="177" t="inlineStr">
        <is>
          <t>H-602</t>
        </is>
      </c>
      <c r="W117" s="177" t="inlineStr">
        <is>
          <t>90/80-12-4PR H-602</t>
        </is>
      </c>
      <c r="X117" s="177" t="n"/>
      <c r="Y117" s="151" t="n">
        <v>2.11</v>
      </c>
      <c r="Z117" s="131" t="n">
        <v>2.115</v>
      </c>
      <c r="AA117" s="130">
        <f>Y117-Z117</f>
        <v/>
      </c>
      <c r="AB117" s="390">
        <f>_xlfn.TEXTJOIN("-",TRUE,T117,U117,V117)</f>
        <v/>
      </c>
      <c r="AC117" s="184" t="n"/>
      <c r="AD117" s="184" t="n"/>
      <c r="AE117" s="184" t="n"/>
      <c r="AF117" s="184" t="n"/>
      <c r="AG117" s="184" t="n"/>
      <c r="AH117" s="184" t="n"/>
      <c r="AI117" s="184" t="n"/>
      <c r="AK117" s="390">
        <f>_xlfn.TEXTJOIN("-",TRUE,AC117,AD117,AE117)</f>
        <v/>
      </c>
      <c r="AL117" s="123" t="inlineStr">
        <is>
          <t>ST225/75R15</t>
        </is>
      </c>
      <c r="AM117" s="177" t="inlineStr">
        <is>
          <t>8PR</t>
        </is>
      </c>
      <c r="AN117" s="177" t="inlineStr">
        <is>
          <t>ST100</t>
        </is>
      </c>
      <c r="AO117" s="177" t="inlineStr">
        <is>
          <t>ST225/75R15-8PR ST-100/STZC</t>
        </is>
      </c>
      <c r="AP117" s="177" t="n"/>
      <c r="AQ117" s="131" t="n">
        <v>12.651</v>
      </c>
      <c r="AR117" s="131" t="n">
        <v>12.499</v>
      </c>
      <c r="AS117" s="130">
        <f>AQ117-AR117</f>
        <v/>
      </c>
      <c r="AT117" s="390">
        <f>_xlfn.TEXTJOIN("-",TRUE,AL117,AM117,AN117)</f>
        <v/>
      </c>
      <c r="AU117" s="123" t="inlineStr">
        <is>
          <t>195/65R15</t>
        </is>
      </c>
      <c r="AV117" s="177" t="inlineStr">
        <is>
          <t>/</t>
        </is>
      </c>
      <c r="AW117" s="139" t="inlineStr">
        <is>
          <t>Z-108</t>
        </is>
      </c>
      <c r="AX117" s="177" t="inlineStr">
        <is>
          <t>S021667A-72</t>
        </is>
      </c>
      <c r="AY117" s="131" t="n">
        <v>7.65</v>
      </c>
      <c r="AZ117" s="131" t="n">
        <v>7.648</v>
      </c>
      <c r="BA117" s="130">
        <f>AY117-AZ117</f>
        <v/>
      </c>
      <c r="BB117" s="390">
        <f>_xlfn.TEXTJOIN("-",TRUE,AU117,AW117)</f>
        <v/>
      </c>
    </row>
    <row r="118">
      <c r="B118" s="143" t="inlineStr">
        <is>
          <t>11.00R20</t>
        </is>
      </c>
      <c r="C118" s="189" t="inlineStr">
        <is>
          <t>18PR</t>
        </is>
      </c>
      <c r="D118" s="141" t="inlineStr">
        <is>
          <t>CR926+</t>
        </is>
      </c>
      <c r="E118" s="141" t="inlineStr">
        <is>
          <t>ID11.00R20-18PR-CRT C ID A827</t>
        </is>
      </c>
      <c r="F118" s="190">
        <f>G118-4.743+5.779</f>
        <v/>
      </c>
      <c r="G118" s="190" t="n">
        <v>64.622</v>
      </c>
      <c r="H118" s="191" t="n">
        <v>64.5155</v>
      </c>
      <c r="I118" s="130">
        <f>G118-H118</f>
        <v/>
      </c>
      <c r="J118" s="115">
        <f>_xlfn.TEXTJOIN("-",TRUE,B118,C118,D118)</f>
        <v/>
      </c>
      <c r="K118" s="123" t="inlineStr">
        <is>
          <t>17.5-25</t>
        </is>
      </c>
      <c r="L118" s="177" t="inlineStr">
        <is>
          <t>12PR</t>
        </is>
      </c>
      <c r="M118" s="177" t="inlineStr">
        <is>
          <t>CL729(TT)</t>
        </is>
      </c>
      <c r="N118" s="177" t="inlineStr">
        <is>
          <t>/</t>
        </is>
      </c>
      <c r="O118" s="177" t="inlineStr">
        <is>
          <t>/</t>
        </is>
      </c>
      <c r="P118" s="131" t="n">
        <v>106.9</v>
      </c>
      <c r="Q118" s="131" t="n">
        <v>106.9</v>
      </c>
      <c r="R118" s="130">
        <f>P118-Q118</f>
        <v/>
      </c>
      <c r="S118" s="390">
        <f>_xlfn.TEXTJOIN("-",TRUE,K118,L118,M118)</f>
        <v/>
      </c>
      <c r="T118" s="123" t="inlineStr">
        <is>
          <t>90/80-12</t>
        </is>
      </c>
      <c r="U118" s="177" t="inlineStr">
        <is>
          <t>6PR</t>
        </is>
      </c>
      <c r="V118" s="177" t="inlineStr">
        <is>
          <t>H-602</t>
        </is>
      </c>
      <c r="W118" s="177" t="inlineStr">
        <is>
          <t>90/80-12-6PR H-602</t>
        </is>
      </c>
      <c r="X118" s="177" t="n"/>
      <c r="Y118" s="151" t="n">
        <v>2.12</v>
      </c>
      <c r="Z118" s="131" t="n">
        <v>2.2</v>
      </c>
      <c r="AA118" s="130">
        <f>Y118-Z118</f>
        <v/>
      </c>
      <c r="AB118" s="390">
        <f>_xlfn.TEXTJOIN("-",TRUE,T118,U118,V118)</f>
        <v/>
      </c>
      <c r="AC118" s="184" t="n"/>
      <c r="AD118" s="184" t="n"/>
      <c r="AE118" s="184" t="n"/>
      <c r="AF118" s="184" t="n"/>
      <c r="AG118" s="184" t="n"/>
      <c r="AH118" s="184" t="n"/>
      <c r="AI118" s="184" t="n"/>
      <c r="AK118" s="390">
        <f>_xlfn.TEXTJOIN("-",TRUE,AC118,AD118,AE118)</f>
        <v/>
      </c>
      <c r="AL118" s="123" t="inlineStr">
        <is>
          <t>ST225/75R15</t>
        </is>
      </c>
      <c r="AM118" s="177" t="inlineStr">
        <is>
          <t>8PR</t>
        </is>
      </c>
      <c r="AN118" s="177" t="inlineStr">
        <is>
          <t>STZC</t>
        </is>
      </c>
      <c r="AO118" s="177" t="inlineStr">
        <is>
          <t>ST225/75R15-8PR ST-100/STZC</t>
        </is>
      </c>
      <c r="AP118" s="177" t="n"/>
      <c r="AQ118" s="131" t="n">
        <v>12.651</v>
      </c>
      <c r="AR118" s="131" t="n">
        <v>12.499</v>
      </c>
      <c r="AS118" s="130">
        <f>AQ118-AR118</f>
        <v/>
      </c>
      <c r="AT118" s="390">
        <f>_xlfn.TEXTJOIN("-",TRUE,AL118,AM118,AN118)</f>
        <v/>
      </c>
      <c r="AU118" s="123" t="inlineStr">
        <is>
          <t>195/65R15</t>
        </is>
      </c>
      <c r="AV118" s="177" t="inlineStr">
        <is>
          <t>/</t>
        </is>
      </c>
      <c r="AW118" s="139" t="inlineStr">
        <is>
          <t>RP218</t>
        </is>
      </c>
      <c r="AX118" s="177" t="inlineStr">
        <is>
          <t>S021491A-60</t>
        </is>
      </c>
      <c r="AY118" s="131" t="n">
        <v>8.51</v>
      </c>
      <c r="AZ118" s="131" t="n">
        <v>8.509</v>
      </c>
      <c r="BA118" s="130">
        <f>AY118-AZ118</f>
        <v/>
      </c>
      <c r="BB118" s="390">
        <f>_xlfn.TEXTJOIN("-",TRUE,AU118,AW118)</f>
        <v/>
      </c>
    </row>
    <row r="119" ht="13.8" customHeight="1" s="428">
      <c r="B119" s="123" t="inlineStr">
        <is>
          <t>11.00R20</t>
        </is>
      </c>
      <c r="C119" s="169" t="inlineStr">
        <is>
          <t>18PR</t>
        </is>
      </c>
      <c r="D119" s="177" t="inlineStr">
        <is>
          <t>TZ202</t>
        </is>
      </c>
      <c r="E119" s="177" t="inlineStr">
        <is>
          <t>ID11.00R20-18PR-CRT C ID A827</t>
        </is>
      </c>
      <c r="F119" s="190">
        <f>G119-4.743+5.779</f>
        <v/>
      </c>
      <c r="G119" s="190" t="n">
        <v>64.622</v>
      </c>
      <c r="H119" s="191" t="n">
        <v>64.5155</v>
      </c>
      <c r="I119" s="130">
        <f>G119-H119</f>
        <v/>
      </c>
      <c r="J119" s="115">
        <f>_xlfn.TEXTJOIN("-",TRUE,B119,C119,D119)</f>
        <v/>
      </c>
      <c r="K119" s="123" t="inlineStr">
        <is>
          <t>17.5-25</t>
        </is>
      </c>
      <c r="L119" s="177" t="inlineStr">
        <is>
          <t>16PR</t>
        </is>
      </c>
      <c r="M119" s="177" t="inlineStr">
        <is>
          <t>CL729(TL)</t>
        </is>
      </c>
      <c r="N119" s="177" t="inlineStr">
        <is>
          <t>/</t>
        </is>
      </c>
      <c r="O119" s="177" t="inlineStr">
        <is>
          <t>/</t>
        </is>
      </c>
      <c r="P119" s="131" t="n">
        <v>122</v>
      </c>
      <c r="Q119" s="131" t="n">
        <v>121.5</v>
      </c>
      <c r="R119" s="130">
        <f>P119-Q119</f>
        <v/>
      </c>
      <c r="S119" s="390">
        <f>_xlfn.TEXTJOIN("-",TRUE,K119,L119,M119)</f>
        <v/>
      </c>
      <c r="T119" s="132" t="n"/>
      <c r="U119" s="178" t="n"/>
      <c r="V119" s="178" t="n"/>
      <c r="W119" s="178" t="n"/>
      <c r="X119" s="178" t="n"/>
      <c r="Y119" s="178" t="n"/>
      <c r="Z119" s="178" t="n"/>
      <c r="AA119" s="134" t="n"/>
      <c r="AB119" s="390">
        <f>_xlfn.TEXTJOIN("-",TRUE,T119,U119,V119)</f>
        <v/>
      </c>
      <c r="AC119" s="184" t="n"/>
      <c r="AD119" s="184" t="n"/>
      <c r="AE119" s="184" t="n"/>
      <c r="AF119" s="184" t="n"/>
      <c r="AG119" s="184" t="n"/>
      <c r="AH119" s="184" t="n"/>
      <c r="AI119" s="184" t="n"/>
      <c r="AK119" s="390">
        <f>_xlfn.TEXTJOIN("-",TRUE,AC119,AD119,AE119)</f>
        <v/>
      </c>
      <c r="AL119" s="123" t="inlineStr">
        <is>
          <t>ST225/75R15</t>
        </is>
      </c>
      <c r="AM119" s="177" t="inlineStr">
        <is>
          <t>10PR</t>
        </is>
      </c>
      <c r="AN119" s="177" t="inlineStr">
        <is>
          <t>ST100</t>
        </is>
      </c>
      <c r="AO119" s="177" t="inlineStr">
        <is>
          <t>ST225/75R15-10PR ST-100/STZC</t>
        </is>
      </c>
      <c r="AP119" s="177" t="n"/>
      <c r="AQ119" s="131" t="n">
        <v>13.481</v>
      </c>
      <c r="AR119" s="131" t="n">
        <v>13.435</v>
      </c>
      <c r="AS119" s="130">
        <f>AQ119-AR119</f>
        <v/>
      </c>
      <c r="AT119" s="390">
        <f>_xlfn.TEXTJOIN("-",TRUE,AL119,AM119,AN119)</f>
        <v/>
      </c>
      <c r="AU119" s="132" t="n"/>
      <c r="AV119" s="178" t="n"/>
      <c r="AW119" s="178" t="n"/>
      <c r="AX119" s="178" t="n"/>
      <c r="AY119" s="135" t="n"/>
      <c r="AZ119" s="135" t="n"/>
      <c r="BA119" s="136" t="n"/>
      <c r="BB119" s="390">
        <f>_xlfn.TEXTJOIN("-",TRUE,AU119,AW119)</f>
        <v/>
      </c>
    </row>
    <row r="120">
      <c r="B120" s="123" t="inlineStr">
        <is>
          <t>11.00R20</t>
        </is>
      </c>
      <c r="C120" s="169" t="inlineStr">
        <is>
          <t>18PR</t>
        </is>
      </c>
      <c r="D120" s="177" t="inlineStr">
        <is>
          <t>EZ369</t>
        </is>
      </c>
      <c r="E120" s="177" t="inlineStr">
        <is>
          <t>ID11.00R20-18PR-EZ369 C ID A827</t>
        </is>
      </c>
      <c r="F120" s="165">
        <f>G120-4.738+5.801</f>
        <v/>
      </c>
      <c r="G120" s="165" t="n">
        <v>74.29000000000001</v>
      </c>
      <c r="H120" s="191" t="n">
        <v>74.5093</v>
      </c>
      <c r="I120" s="130">
        <f>G120-H120</f>
        <v/>
      </c>
      <c r="J120" s="115">
        <f>_xlfn.TEXTJOIN("-",TRUE,B120,C120,D120)</f>
        <v/>
      </c>
      <c r="K120" s="123" t="inlineStr">
        <is>
          <t>17.5-25</t>
        </is>
      </c>
      <c r="L120" s="177" t="inlineStr">
        <is>
          <t>16PR</t>
        </is>
      </c>
      <c r="M120" s="177" t="inlineStr">
        <is>
          <t>CL729(TT)</t>
        </is>
      </c>
      <c r="N120" s="177" t="inlineStr">
        <is>
          <t>/</t>
        </is>
      </c>
      <c r="O120" s="177" t="inlineStr">
        <is>
          <t>/</t>
        </is>
      </c>
      <c r="P120" s="131" t="n">
        <v>118.9</v>
      </c>
      <c r="Q120" s="131" t="n">
        <v>118.6</v>
      </c>
      <c r="R120" s="130">
        <f>P120-Q120</f>
        <v/>
      </c>
      <c r="S120" s="390">
        <f>_xlfn.TEXTJOIN("-",TRUE,K120,L120,M120)</f>
        <v/>
      </c>
      <c r="T120" s="123" t="inlineStr">
        <is>
          <t>90/80-14</t>
        </is>
      </c>
      <c r="U120" s="177" t="inlineStr">
        <is>
          <t>4PR</t>
        </is>
      </c>
      <c r="V120" s="177" t="inlineStr">
        <is>
          <t>H522S</t>
        </is>
      </c>
      <c r="W120" s="177" t="inlineStr">
        <is>
          <t>90/80-14TL-4PR H522S</t>
        </is>
      </c>
      <c r="X120" s="177" t="n"/>
      <c r="Y120" s="131" t="n">
        <v>2.855</v>
      </c>
      <c r="Z120" s="131" t="n">
        <v>2.855</v>
      </c>
      <c r="AA120" s="130">
        <f>Y120-Z120</f>
        <v/>
      </c>
      <c r="AB120" s="390">
        <f>_xlfn.TEXTJOIN("-",TRUE,T120,U120,V120)</f>
        <v/>
      </c>
      <c r="AC120" s="184" t="n"/>
      <c r="AD120" s="184" t="n"/>
      <c r="AE120" s="184" t="n"/>
      <c r="AF120" s="184" t="n"/>
      <c r="AG120" s="184" t="n"/>
      <c r="AH120" s="184" t="n"/>
      <c r="AI120" s="184" t="n"/>
      <c r="AK120" s="390">
        <f>_xlfn.TEXTJOIN("-",TRUE,AC120,AD120,AE120)</f>
        <v/>
      </c>
      <c r="AL120" s="123" t="inlineStr">
        <is>
          <t>ST225/75R15</t>
        </is>
      </c>
      <c r="AM120" s="177" t="inlineStr">
        <is>
          <t>10PR</t>
        </is>
      </c>
      <c r="AN120" s="177" t="inlineStr">
        <is>
          <t>STZC</t>
        </is>
      </c>
      <c r="AO120" s="177" t="inlineStr">
        <is>
          <t>ST225/75R15-10PR ST-100/STZC</t>
        </is>
      </c>
      <c r="AP120" s="177" t="n"/>
      <c r="AQ120" s="131" t="n">
        <v>13.481</v>
      </c>
      <c r="AR120" s="131" t="n">
        <v>13.435</v>
      </c>
      <c r="AS120" s="130">
        <f>AQ120-AR120</f>
        <v/>
      </c>
      <c r="AT120" s="390">
        <f>_xlfn.TEXTJOIN("-",TRUE,AL120,AM120,AN120)</f>
        <v/>
      </c>
      <c r="AU120" s="123" t="inlineStr">
        <is>
          <t>195/70R14</t>
        </is>
      </c>
      <c r="AV120" s="177" t="inlineStr">
        <is>
          <t>/</t>
        </is>
      </c>
      <c r="AW120" s="177" t="inlineStr">
        <is>
          <t>C-108</t>
        </is>
      </c>
      <c r="AX120" s="177" t="inlineStr">
        <is>
          <t>S020968A-42</t>
        </is>
      </c>
      <c r="AY120" s="131" t="n">
        <v>7.309</v>
      </c>
      <c r="AZ120" s="131" t="n">
        <v>7.32</v>
      </c>
      <c r="BA120" s="130">
        <f>AY120-AZ120</f>
        <v/>
      </c>
      <c r="BB120" s="390">
        <f>_xlfn.TEXTJOIN("-",TRUE,AU120,AW120)</f>
        <v/>
      </c>
    </row>
    <row r="121">
      <c r="B121" s="192" t="inlineStr">
        <is>
          <t>11.00R20</t>
        </is>
      </c>
      <c r="C121" s="171" t="inlineStr">
        <is>
          <t>18PR</t>
        </is>
      </c>
      <c r="D121" s="193" t="inlineStr">
        <is>
          <t>AS578</t>
        </is>
      </c>
      <c r="E121" s="177" t="inlineStr">
        <is>
          <t>ID11.00R20-18PR-A C ID EA823</t>
        </is>
      </c>
      <c r="F121" s="128">
        <f>G121-4.738+5.801</f>
        <v/>
      </c>
      <c r="G121" s="128" t="n">
        <v>67.387</v>
      </c>
      <c r="H121" s="191" t="n">
        <v>66.42789999999999</v>
      </c>
      <c r="I121" s="130">
        <f>G121-H121</f>
        <v/>
      </c>
      <c r="J121" s="115">
        <f>_xlfn.TEXTJOIN("-",TRUE,B121,C121,D121)</f>
        <v/>
      </c>
      <c r="K121" s="123" t="inlineStr">
        <is>
          <t>17.5-25</t>
        </is>
      </c>
      <c r="L121" s="177" t="inlineStr">
        <is>
          <t>12PR</t>
        </is>
      </c>
      <c r="M121" s="177" t="inlineStr">
        <is>
          <t>EL36(TL)</t>
        </is>
      </c>
      <c r="N121" s="177" t="inlineStr">
        <is>
          <t>/</t>
        </is>
      </c>
      <c r="O121" s="177" t="inlineStr">
        <is>
          <t>/</t>
        </is>
      </c>
      <c r="P121" s="131" t="n">
        <v>105</v>
      </c>
      <c r="Q121" s="131" t="n">
        <v>104.7</v>
      </c>
      <c r="R121" s="130">
        <f>P121-Q121</f>
        <v/>
      </c>
      <c r="S121" s="390">
        <f>_xlfn.TEXTJOIN("-",TRUE,K121,L121,M121)</f>
        <v/>
      </c>
      <c r="T121" s="123" t="inlineStr">
        <is>
          <t>90/80-14</t>
        </is>
      </c>
      <c r="U121" s="177" t="inlineStr">
        <is>
          <t>4PR</t>
        </is>
      </c>
      <c r="V121" s="177" t="inlineStr">
        <is>
          <t>H577</t>
        </is>
      </c>
      <c r="W121" s="177" t="inlineStr">
        <is>
          <t>90/80-14-4PR/43P H577</t>
        </is>
      </c>
      <c r="X121" s="177" t="n"/>
      <c r="Y121" s="131" t="n">
        <v>2.47</v>
      </c>
      <c r="Z121" s="131" t="n">
        <v>2.47</v>
      </c>
      <c r="AA121" s="130">
        <f>Y121-Z121</f>
        <v/>
      </c>
      <c r="AB121" s="390">
        <f>_xlfn.TEXTJOIN("-",TRUE,T121,U121,V121)</f>
        <v/>
      </c>
      <c r="AC121" s="184" t="n"/>
      <c r="AD121" s="184" t="n"/>
      <c r="AE121" s="184" t="n"/>
      <c r="AF121" s="184" t="n"/>
      <c r="AG121" s="184" t="n"/>
      <c r="AH121" s="184" t="n"/>
      <c r="AI121" s="184" t="n"/>
      <c r="AK121" s="390">
        <f>_xlfn.TEXTJOIN("-",TRUE,AC121,AD121,AE121)</f>
        <v/>
      </c>
      <c r="AL121" s="123" t="inlineStr">
        <is>
          <t>ST225/75R15</t>
        </is>
      </c>
      <c r="AM121" s="177" t="inlineStr">
        <is>
          <t>8PR</t>
        </is>
      </c>
      <c r="AN121" s="177" t="inlineStr">
        <is>
          <t>ST100A</t>
        </is>
      </c>
      <c r="AO121" s="177" t="inlineStr">
        <is>
          <t>ST225/75R15-8PR SDAT</t>
        </is>
      </c>
      <c r="AP121" s="177" t="n"/>
      <c r="AQ121" s="131" t="n">
        <v>11.668</v>
      </c>
      <c r="AR121" s="131" t="n">
        <v>11.444</v>
      </c>
      <c r="AS121" s="130">
        <f>AQ121-AR121</f>
        <v/>
      </c>
      <c r="AT121" s="390">
        <f>_xlfn.TEXTJOIN("-",TRUE,AL121,AM121,AN121)</f>
        <v/>
      </c>
      <c r="AU121" s="123" t="inlineStr">
        <is>
          <t>195/70R14</t>
        </is>
      </c>
      <c r="AV121" s="177" t="inlineStr">
        <is>
          <t>/</t>
        </is>
      </c>
      <c r="AW121" s="177" t="inlineStr">
        <is>
          <t>G-118</t>
        </is>
      </c>
      <c r="AX121" s="177" t="inlineStr">
        <is>
          <t>S020968A-42</t>
        </is>
      </c>
      <c r="AY121" s="131" t="n">
        <v>7.309</v>
      </c>
      <c r="AZ121" s="131" t="n">
        <v>7.32</v>
      </c>
      <c r="BA121" s="130">
        <f>AY121-AZ121</f>
        <v/>
      </c>
      <c r="BB121" s="390">
        <f>_xlfn.TEXTJOIN("-",TRUE,AU121,AW121)</f>
        <v/>
      </c>
    </row>
    <row r="122">
      <c r="B122" s="143" t="inlineStr">
        <is>
          <t>11.00R20</t>
        </is>
      </c>
      <c r="C122" s="125" t="inlineStr">
        <is>
          <t>18PR</t>
        </is>
      </c>
      <c r="D122" s="186" t="inlineStr">
        <is>
          <t>AS678</t>
        </is>
      </c>
      <c r="E122" s="177" t="inlineStr">
        <is>
          <t>ID11.00R20-18PR-A C ID EA823</t>
        </is>
      </c>
      <c r="F122" s="128">
        <f>G122-4.738+5.801</f>
        <v/>
      </c>
      <c r="G122" s="128" t="n">
        <v>67.387</v>
      </c>
      <c r="H122" s="191" t="n">
        <v>66.42789999999999</v>
      </c>
      <c r="I122" s="130">
        <f>G122-H122</f>
        <v/>
      </c>
      <c r="J122" s="115">
        <f>_xlfn.TEXTJOIN("-",TRUE,B122,C122,D122)</f>
        <v/>
      </c>
      <c r="K122" s="123" t="inlineStr">
        <is>
          <t>17.5-25</t>
        </is>
      </c>
      <c r="L122" s="177" t="inlineStr">
        <is>
          <t>12PR</t>
        </is>
      </c>
      <c r="M122" s="177" t="inlineStr">
        <is>
          <t>EL36(TT)</t>
        </is>
      </c>
      <c r="N122" s="177" t="inlineStr">
        <is>
          <t>/</t>
        </is>
      </c>
      <c r="O122" s="177" t="inlineStr">
        <is>
          <t>/</t>
        </is>
      </c>
      <c r="P122" s="131" t="n">
        <v>102</v>
      </c>
      <c r="Q122" s="131" t="n">
        <v>101.8</v>
      </c>
      <c r="R122" s="130">
        <f>P122-Q122</f>
        <v/>
      </c>
      <c r="S122" s="390">
        <f>_xlfn.TEXTJOIN("-",TRUE,K122,L122,M122)</f>
        <v/>
      </c>
      <c r="T122" s="123" t="inlineStr">
        <is>
          <t>90/80-14</t>
        </is>
      </c>
      <c r="U122" s="177" t="inlineStr">
        <is>
          <t>6PR</t>
        </is>
      </c>
      <c r="V122" s="177" t="inlineStr">
        <is>
          <t>H597</t>
        </is>
      </c>
      <c r="W122" s="177" t="inlineStr">
        <is>
          <t>90/80-14-6PR/49P H597</t>
        </is>
      </c>
      <c r="X122" s="177" t="n"/>
      <c r="Y122" s="131" t="n">
        <v>2.635</v>
      </c>
      <c r="Z122" s="131" t="n">
        <v>2.635</v>
      </c>
      <c r="AA122" s="130">
        <f>Y122-Z122</f>
        <v/>
      </c>
      <c r="AB122" s="390">
        <f>_xlfn.TEXTJOIN("-",TRUE,T122,U122,V122)</f>
        <v/>
      </c>
      <c r="AC122" s="184" t="n"/>
      <c r="AD122" s="184" t="n"/>
      <c r="AE122" s="184" t="n"/>
      <c r="AF122" s="184" t="n"/>
      <c r="AG122" s="184" t="n"/>
      <c r="AH122" s="184" t="n"/>
      <c r="AI122" s="184" t="n"/>
      <c r="AK122" s="390">
        <f>_xlfn.TEXTJOIN("-",TRUE,AC122,AD122,AE122)</f>
        <v/>
      </c>
      <c r="AL122" s="123" t="inlineStr">
        <is>
          <t>ST225/75R15</t>
        </is>
      </c>
      <c r="AM122" s="177" t="inlineStr">
        <is>
          <t>8PR</t>
        </is>
      </c>
      <c r="AN122" s="177" t="inlineStr">
        <is>
          <t>DURAHAULER ST</t>
        </is>
      </c>
      <c r="AO122" s="177" t="inlineStr">
        <is>
          <t>ST225/75R15-8PR SDAT</t>
        </is>
      </c>
      <c r="AP122" s="177" t="n"/>
      <c r="AQ122" s="131" t="n">
        <v>11.668</v>
      </c>
      <c r="AR122" s="131" t="n">
        <v>11.444</v>
      </c>
      <c r="AS122" s="130">
        <f>AQ122-AR122</f>
        <v/>
      </c>
      <c r="AT122" s="390">
        <f>_xlfn.TEXTJOIN("-",TRUE,AL122,AM122,AN122)</f>
        <v/>
      </c>
      <c r="AU122" s="123" t="inlineStr">
        <is>
          <t>195/70R14</t>
        </is>
      </c>
      <c r="AV122" s="177" t="inlineStr">
        <is>
          <t>/</t>
        </is>
      </c>
      <c r="AW122" s="139" t="inlineStr">
        <is>
          <t>T-118</t>
        </is>
      </c>
      <c r="AX122" s="177" t="inlineStr">
        <is>
          <t>S020968A-42</t>
        </is>
      </c>
      <c r="AY122" s="131" t="n">
        <v>7.309</v>
      </c>
      <c r="AZ122" s="131" t="n">
        <v>7.32</v>
      </c>
      <c r="BA122" s="130">
        <f>AY122-AZ122</f>
        <v/>
      </c>
      <c r="BB122" s="390">
        <f>_xlfn.TEXTJOIN("-",TRUE,AU122,AW122)</f>
        <v/>
      </c>
    </row>
    <row r="123">
      <c r="B123" s="143" t="inlineStr">
        <is>
          <t>11.00R20</t>
        </is>
      </c>
      <c r="C123" s="125" t="inlineStr">
        <is>
          <t>18PR</t>
        </is>
      </c>
      <c r="D123" s="186" t="inlineStr">
        <is>
          <t>AT196</t>
        </is>
      </c>
      <c r="E123" s="177" t="inlineStr">
        <is>
          <t>ID11.00R20-18PR-A C ID EA823</t>
        </is>
      </c>
      <c r="F123" s="128">
        <f>G123-4.738+5.801</f>
        <v/>
      </c>
      <c r="G123" s="128" t="n">
        <v>67.387</v>
      </c>
      <c r="H123" s="191" t="n">
        <v>66.42789999999999</v>
      </c>
      <c r="I123" s="130">
        <f>G123-H123</f>
        <v/>
      </c>
      <c r="J123" s="115">
        <f>_xlfn.TEXTJOIN("-",TRUE,B123,C123,D123)</f>
        <v/>
      </c>
      <c r="K123" s="123" t="inlineStr">
        <is>
          <t>17.5-25</t>
        </is>
      </c>
      <c r="L123" s="177" t="inlineStr">
        <is>
          <t>16PR</t>
        </is>
      </c>
      <c r="M123" s="177" t="inlineStr">
        <is>
          <t>EL36(TL)</t>
        </is>
      </c>
      <c r="N123" s="177" t="inlineStr">
        <is>
          <t>/</t>
        </is>
      </c>
      <c r="O123" s="177" t="inlineStr">
        <is>
          <t>/</t>
        </is>
      </c>
      <c r="P123" s="131" t="n">
        <v>113.4</v>
      </c>
      <c r="Q123" s="131" t="n">
        <v>112.5</v>
      </c>
      <c r="R123" s="130">
        <f>P123-Q123</f>
        <v/>
      </c>
      <c r="S123" s="390">
        <f>_xlfn.TEXTJOIN("-",TRUE,K123,L123,M123)</f>
        <v/>
      </c>
      <c r="T123" s="123" t="inlineStr">
        <is>
          <t>90/80-14</t>
        </is>
      </c>
      <c r="U123" s="177" t="inlineStr">
        <is>
          <t>4PR</t>
        </is>
      </c>
      <c r="V123" s="177" t="inlineStr">
        <is>
          <t>H999-A</t>
        </is>
      </c>
      <c r="W123" s="177" t="inlineStr">
        <is>
          <t>90/80-14-4PR H999-A</t>
        </is>
      </c>
      <c r="X123" s="177" t="n"/>
      <c r="Y123" s="131" t="n">
        <v>2.495</v>
      </c>
      <c r="Z123" s="131" t="n">
        <v>2.485</v>
      </c>
      <c r="AA123" s="130">
        <f>Y123-Z123</f>
        <v/>
      </c>
      <c r="AB123" s="390">
        <f>_xlfn.TEXTJOIN("-",TRUE,T123,U123,V123)</f>
        <v/>
      </c>
      <c r="AC123" s="184" t="n"/>
      <c r="AD123" s="184" t="n"/>
      <c r="AE123" s="184" t="n"/>
      <c r="AF123" s="184" t="n"/>
      <c r="AG123" s="184" t="n"/>
      <c r="AH123" s="184" t="n"/>
      <c r="AI123" s="184" t="n"/>
      <c r="AK123" s="390">
        <f>_xlfn.TEXTJOIN("-",TRUE,AC123,AD123,AE123)</f>
        <v/>
      </c>
      <c r="AL123" s="123" t="inlineStr">
        <is>
          <t>ST225/75R15</t>
        </is>
      </c>
      <c r="AM123" s="177" t="inlineStr">
        <is>
          <t>8PR</t>
        </is>
      </c>
      <c r="AN123" s="177" t="inlineStr">
        <is>
          <t>ASSURE ST</t>
        </is>
      </c>
      <c r="AO123" s="177" t="inlineStr">
        <is>
          <t>ST225/75R15-8PR SDAT</t>
        </is>
      </c>
      <c r="AP123" s="177" t="n"/>
      <c r="AQ123" s="131" t="n">
        <v>11.668</v>
      </c>
      <c r="AR123" s="131" t="n">
        <v>11.444</v>
      </c>
      <c r="AS123" s="130">
        <f>AQ123-AR123</f>
        <v/>
      </c>
      <c r="AT123" s="390">
        <f>_xlfn.TEXTJOIN("-",TRUE,AL123,AM123,AN123)</f>
        <v/>
      </c>
      <c r="AU123" s="123" t="inlineStr">
        <is>
          <t>195/70R14</t>
        </is>
      </c>
      <c r="AV123" s="177" t="inlineStr">
        <is>
          <t>/</t>
        </is>
      </c>
      <c r="AW123" s="139" t="inlineStr">
        <is>
          <t>Z-108</t>
        </is>
      </c>
      <c r="AX123" s="177" t="inlineStr">
        <is>
          <t>S020968A-42</t>
        </is>
      </c>
      <c r="AY123" s="131" t="n">
        <v>7.309</v>
      </c>
      <c r="AZ123" s="131" t="n">
        <v>7.32</v>
      </c>
      <c r="BA123" s="130">
        <f>AY123-AZ123</f>
        <v/>
      </c>
      <c r="BB123" s="390">
        <f>_xlfn.TEXTJOIN("-",TRUE,AU123,AW123)</f>
        <v/>
      </c>
    </row>
    <row r="124">
      <c r="B124" s="143" t="inlineStr">
        <is>
          <t>11.00R20</t>
        </is>
      </c>
      <c r="C124" s="125" t="inlineStr">
        <is>
          <t>18PR</t>
        </is>
      </c>
      <c r="D124" s="186" t="inlineStr">
        <is>
          <t>TKAL III</t>
        </is>
      </c>
      <c r="E124" s="177" t="inlineStr">
        <is>
          <t>ID11.00R20-18PR-A C ID EA823</t>
        </is>
      </c>
      <c r="F124" s="128">
        <f>G124-4.738+5.801</f>
        <v/>
      </c>
      <c r="G124" s="128" t="n">
        <v>67.387</v>
      </c>
      <c r="H124" s="191" t="n">
        <v>66.42789999999999</v>
      </c>
      <c r="I124" s="130">
        <f>G124-H124</f>
        <v/>
      </c>
      <c r="J124" s="115">
        <f>_xlfn.TEXTJOIN("-",TRUE,B124,C124,D124)</f>
        <v/>
      </c>
      <c r="K124" s="123" t="inlineStr">
        <is>
          <t>17.5-25</t>
        </is>
      </c>
      <c r="L124" s="177" t="inlineStr">
        <is>
          <t>16PR</t>
        </is>
      </c>
      <c r="M124" s="177" t="inlineStr">
        <is>
          <t>EL36(TT)</t>
        </is>
      </c>
      <c r="N124" s="177" t="inlineStr">
        <is>
          <t>/</t>
        </is>
      </c>
      <c r="O124" s="177" t="inlineStr">
        <is>
          <t>/</t>
        </is>
      </c>
      <c r="P124" s="131" t="n">
        <v>110.4</v>
      </c>
      <c r="Q124" s="131" t="n">
        <v>110</v>
      </c>
      <c r="R124" s="130">
        <f>P124-Q124</f>
        <v/>
      </c>
      <c r="S124" s="390">
        <f>_xlfn.TEXTJOIN("-",TRUE,K124,L124,M124)</f>
        <v/>
      </c>
      <c r="T124" s="132" t="n"/>
      <c r="U124" s="178" t="n"/>
      <c r="V124" s="178" t="n"/>
      <c r="W124" s="178" t="n"/>
      <c r="X124" s="178" t="n"/>
      <c r="Y124" s="178" t="n"/>
      <c r="Z124" s="178" t="n"/>
      <c r="AA124" s="134" t="n"/>
      <c r="AB124" s="390">
        <f>_xlfn.TEXTJOIN("-",TRUE,T124,U124,V124)</f>
        <v/>
      </c>
      <c r="AC124" s="184" t="n"/>
      <c r="AD124" s="184" t="n"/>
      <c r="AE124" s="184" t="n"/>
      <c r="AF124" s="184" t="n"/>
      <c r="AG124" s="184" t="n"/>
      <c r="AH124" s="184" t="n"/>
      <c r="AI124" s="184" t="n"/>
      <c r="AK124" s="390">
        <f>_xlfn.TEXTJOIN("-",TRUE,AC124,AD124,AE124)</f>
        <v/>
      </c>
      <c r="AL124" s="123" t="inlineStr">
        <is>
          <t>ST225/75R15</t>
        </is>
      </c>
      <c r="AM124" s="177" t="inlineStr">
        <is>
          <t>8PR</t>
        </is>
      </c>
      <c r="AN124" s="177" t="inlineStr">
        <is>
          <t>Tow Pro ST</t>
        </is>
      </c>
      <c r="AO124" s="177" t="inlineStr">
        <is>
          <t>ST225/75R15-8PR SDAT</t>
        </is>
      </c>
      <c r="AP124" s="177" t="n"/>
      <c r="AQ124" s="131" t="n">
        <v>11.668</v>
      </c>
      <c r="AR124" s="131" t="n">
        <v>11.444</v>
      </c>
      <c r="AS124" s="130">
        <f>AQ124-AR124</f>
        <v/>
      </c>
      <c r="AT124" s="390">
        <f>_xlfn.TEXTJOIN("-",TRUE,AL124,AM124,AN124)</f>
        <v/>
      </c>
      <c r="AU124" s="132" t="n"/>
      <c r="AV124" s="178" t="n"/>
      <c r="AW124" s="178" t="n"/>
      <c r="AX124" s="178" t="n"/>
      <c r="AY124" s="135" t="n"/>
      <c r="AZ124" s="135" t="n"/>
      <c r="BA124" s="136" t="n"/>
      <c r="BB124" s="390">
        <f>_xlfn.TEXTJOIN("-",TRUE,AU124,AW124)</f>
        <v/>
      </c>
    </row>
    <row r="125" ht="13.8" customHeight="1" s="428">
      <c r="B125" s="143" t="inlineStr">
        <is>
          <t>11.00R20</t>
        </is>
      </c>
      <c r="C125" s="125" t="inlineStr">
        <is>
          <t>18PR</t>
        </is>
      </c>
      <c r="D125" s="186" t="inlineStr">
        <is>
          <t>FOLO.R109</t>
        </is>
      </c>
      <c r="E125" s="177" t="inlineStr">
        <is>
          <t>ID11.00R20-18PR-A C ID EA823</t>
        </is>
      </c>
      <c r="F125" s="128">
        <f>G125-4.738+5.801</f>
        <v/>
      </c>
      <c r="G125" s="128" t="n">
        <v>67.387</v>
      </c>
      <c r="H125" s="191" t="n">
        <v>66.42789999999999</v>
      </c>
      <c r="I125" s="130">
        <f>G125-H125</f>
        <v/>
      </c>
      <c r="J125" s="115">
        <f>_xlfn.TEXTJOIN("-",TRUE,B125,C125,D125)</f>
        <v/>
      </c>
      <c r="K125" s="132" t="n"/>
      <c r="L125" s="178" t="n"/>
      <c r="M125" s="178" t="n"/>
      <c r="N125" s="178" t="n"/>
      <c r="O125" s="178" t="n"/>
      <c r="P125" s="178" t="n"/>
      <c r="Q125" s="178" t="n"/>
      <c r="R125" s="134" t="n"/>
      <c r="S125" s="390">
        <f>_xlfn.TEXTJOIN("-",TRUE,K125,L125,M125)</f>
        <v/>
      </c>
      <c r="T125" s="123" t="inlineStr">
        <is>
          <t>90/90-12</t>
        </is>
      </c>
      <c r="U125" s="177" t="inlineStr">
        <is>
          <t>4PR</t>
        </is>
      </c>
      <c r="V125" s="177" t="inlineStr">
        <is>
          <t>H565-2</t>
        </is>
      </c>
      <c r="W125" s="177" t="inlineStr">
        <is>
          <t>90/90-12-4PR H565-2</t>
        </is>
      </c>
      <c r="X125" s="177" t="n"/>
      <c r="Y125" s="131" t="n">
        <v>2.66</v>
      </c>
      <c r="Z125" s="131" t="n">
        <v>2.665</v>
      </c>
      <c r="AA125" s="130">
        <f>Y125-Z125</f>
        <v/>
      </c>
      <c r="AB125" s="390">
        <f>_xlfn.TEXTJOIN("-",TRUE,T125,U125,V125)</f>
        <v/>
      </c>
      <c r="AC125" s="184" t="n"/>
      <c r="AD125" s="184" t="n"/>
      <c r="AE125" s="184" t="n"/>
      <c r="AF125" s="184" t="n"/>
      <c r="AG125" s="184" t="n"/>
      <c r="AH125" s="184" t="n"/>
      <c r="AI125" s="184" t="n"/>
      <c r="AK125" s="390">
        <f>_xlfn.TEXTJOIN("-",TRUE,AC125,AD125,AE125)</f>
        <v/>
      </c>
      <c r="AL125" s="123" t="inlineStr">
        <is>
          <t>ST225/75R15</t>
        </is>
      </c>
      <c r="AM125" s="177" t="inlineStr">
        <is>
          <t>10PR</t>
        </is>
      </c>
      <c r="AN125" s="177" t="inlineStr">
        <is>
          <t>ST100A</t>
        </is>
      </c>
      <c r="AO125" s="177" t="inlineStr">
        <is>
          <t>ST225/75R15-10PR SDAT</t>
        </is>
      </c>
      <c r="AP125" s="177" t="n"/>
      <c r="AQ125" s="131" t="n">
        <v>12.456</v>
      </c>
      <c r="AR125" s="131" t="n">
        <v>12.238</v>
      </c>
      <c r="AS125" s="130">
        <f>AQ125-AR125</f>
        <v/>
      </c>
      <c r="AT125" s="390">
        <f>_xlfn.TEXTJOIN("-",TRUE,AL125,AM125,AN125)</f>
        <v/>
      </c>
      <c r="AU125" s="123" t="inlineStr">
        <is>
          <t>205/55R16</t>
        </is>
      </c>
      <c r="AV125" s="177" t="inlineStr">
        <is>
          <t>/</t>
        </is>
      </c>
      <c r="AW125" s="177" t="inlineStr">
        <is>
          <t>C-108</t>
        </is>
      </c>
      <c r="AX125" s="177" t="inlineStr">
        <is>
          <t>S020987A-72</t>
        </is>
      </c>
      <c r="AY125" s="131" t="n">
        <v>8.004</v>
      </c>
      <c r="AZ125" s="131" t="n">
        <v>8.002000000000001</v>
      </c>
      <c r="BA125" s="130">
        <f>AY125-AZ125</f>
        <v/>
      </c>
      <c r="BB125" s="390">
        <f>_xlfn.TEXTJOIN("-",TRUE,AU125,AW125)</f>
        <v/>
      </c>
    </row>
    <row r="126">
      <c r="B126" s="143" t="inlineStr">
        <is>
          <t>11.00R20</t>
        </is>
      </c>
      <c r="C126" s="125" t="inlineStr">
        <is>
          <t>18PR</t>
        </is>
      </c>
      <c r="D126" s="125" t="inlineStr">
        <is>
          <t>EZ336</t>
        </is>
      </c>
      <c r="E126" s="193" t="inlineStr">
        <is>
          <t>ID11.00R20-18PR-EZ336 C ID A017</t>
        </is>
      </c>
      <c r="F126" s="131">
        <f>G126-4.743+5.799</f>
        <v/>
      </c>
      <c r="G126" s="131" t="n">
        <v>75.503</v>
      </c>
      <c r="H126" s="191" t="n">
        <v>75.0523</v>
      </c>
      <c r="I126" s="130">
        <f>G126-H126</f>
        <v/>
      </c>
      <c r="J126" s="115">
        <f>_xlfn.TEXTJOIN("-",TRUE,B126,C126,D126)</f>
        <v/>
      </c>
      <c r="K126" s="123" t="inlineStr">
        <is>
          <t>23.5-25</t>
        </is>
      </c>
      <c r="L126" s="162" t="inlineStr">
        <is>
          <t>16PR</t>
        </is>
      </c>
      <c r="M126" s="162" t="inlineStr">
        <is>
          <t>CL728</t>
        </is>
      </c>
      <c r="N126" s="177" t="inlineStr">
        <is>
          <t>/</t>
        </is>
      </c>
      <c r="O126" s="177" t="inlineStr">
        <is>
          <t>/</t>
        </is>
      </c>
      <c r="P126" s="194" t="n">
        <v>206.4</v>
      </c>
      <c r="Q126" s="194" t="n">
        <v>206.1</v>
      </c>
      <c r="R126" s="130">
        <f>P126-Q126</f>
        <v/>
      </c>
      <c r="S126" s="390">
        <f>_xlfn.TEXTJOIN("-",TRUE,K126,L126,M126)</f>
        <v/>
      </c>
      <c r="T126" s="132" t="n"/>
      <c r="U126" s="178" t="n"/>
      <c r="V126" s="178" t="n"/>
      <c r="W126" s="178" t="n"/>
      <c r="X126" s="178" t="n"/>
      <c r="Y126" s="178" t="n"/>
      <c r="Z126" s="178" t="n"/>
      <c r="AA126" s="134" t="n"/>
      <c r="AB126" s="390">
        <f>_xlfn.TEXTJOIN("-",TRUE,T126,U126,V126)</f>
        <v/>
      </c>
      <c r="AC126" s="184" t="n"/>
      <c r="AD126" s="184" t="n"/>
      <c r="AE126" s="184" t="n"/>
      <c r="AF126" s="184" t="n"/>
      <c r="AG126" s="184" t="n"/>
      <c r="AH126" s="184" t="n"/>
      <c r="AI126" s="184" t="n"/>
      <c r="AK126" s="390">
        <f>_xlfn.TEXTJOIN("-",TRUE,AC126,AD126,AE126)</f>
        <v/>
      </c>
      <c r="AL126" s="123" t="inlineStr">
        <is>
          <t>ST225/75R15</t>
        </is>
      </c>
      <c r="AM126" s="177" t="inlineStr">
        <is>
          <t>10PR</t>
        </is>
      </c>
      <c r="AN126" s="177" t="inlineStr">
        <is>
          <t>DURAHAULER ST</t>
        </is>
      </c>
      <c r="AO126" s="177" t="inlineStr">
        <is>
          <t>ST225/75R15-10PR SDAT</t>
        </is>
      </c>
      <c r="AP126" s="177" t="n"/>
      <c r="AQ126" s="131" t="n">
        <v>12.456</v>
      </c>
      <c r="AR126" s="131" t="n">
        <v>12.238</v>
      </c>
      <c r="AS126" s="130">
        <f>AQ126-AR126</f>
        <v/>
      </c>
      <c r="AT126" s="390">
        <f>_xlfn.TEXTJOIN("-",TRUE,AL126,AM126,AN126)</f>
        <v/>
      </c>
      <c r="AU126" s="123" t="inlineStr">
        <is>
          <t>205/55R16</t>
        </is>
      </c>
      <c r="AV126" s="177" t="inlineStr">
        <is>
          <t>/</t>
        </is>
      </c>
      <c r="AW126" s="177" t="inlineStr">
        <is>
          <t>G-118</t>
        </is>
      </c>
      <c r="AX126" s="177" t="inlineStr">
        <is>
          <t>S020987A-72</t>
        </is>
      </c>
      <c r="AY126" s="131" t="n">
        <v>8.004</v>
      </c>
      <c r="AZ126" s="131" t="n">
        <v>8.002000000000001</v>
      </c>
      <c r="BA126" s="130">
        <f>AY126-AZ126</f>
        <v/>
      </c>
      <c r="BB126" s="390">
        <f>_xlfn.TEXTJOIN("-",TRUE,AU126,AW126)</f>
        <v/>
      </c>
    </row>
    <row r="127" ht="13.8" customHeight="1" s="428">
      <c r="B127" s="143" t="inlineStr">
        <is>
          <t>11.00R20</t>
        </is>
      </c>
      <c r="C127" s="125" t="inlineStr">
        <is>
          <t>18PR</t>
        </is>
      </c>
      <c r="D127" s="125" t="inlineStr">
        <is>
          <t>AZ676</t>
        </is>
      </c>
      <c r="E127" s="186" t="inlineStr">
        <is>
          <t>ID11.00R20-18PR-AZ676 C ID A827</t>
        </is>
      </c>
      <c r="F127" s="131">
        <f>G127-4.743+5.779</f>
        <v/>
      </c>
      <c r="G127" s="131" t="n">
        <v>66.09999999999999</v>
      </c>
      <c r="H127" s="191" t="n">
        <v>65.90000000000001</v>
      </c>
      <c r="I127" s="130">
        <f>G127-H127</f>
        <v/>
      </c>
      <c r="J127" s="115">
        <f>_xlfn.TEXTJOIN("-",TRUE,B127,C127,D127)</f>
        <v/>
      </c>
      <c r="K127" s="123" t="inlineStr">
        <is>
          <t>23.5-25</t>
        </is>
      </c>
      <c r="L127" s="162" t="inlineStr">
        <is>
          <t>16PR</t>
        </is>
      </c>
      <c r="M127" s="162" t="inlineStr">
        <is>
          <t>T318</t>
        </is>
      </c>
      <c r="N127" s="489" t="n"/>
      <c r="O127" s="177" t="inlineStr">
        <is>
          <t>/</t>
        </is>
      </c>
      <c r="P127" s="194" t="n">
        <v>206.4</v>
      </c>
      <c r="Q127" s="194" t="n">
        <v>206.1</v>
      </c>
      <c r="R127" s="130">
        <f>P127-Q127</f>
        <v/>
      </c>
      <c r="S127" s="390">
        <f>_xlfn.TEXTJOIN("-",TRUE,K127,L127,M127)</f>
        <v/>
      </c>
      <c r="T127" s="123" t="inlineStr">
        <is>
          <t>90/90-14</t>
        </is>
      </c>
      <c r="U127" s="177" t="inlineStr">
        <is>
          <t>4PR</t>
        </is>
      </c>
      <c r="V127" s="177" t="inlineStr">
        <is>
          <t>ASP01</t>
        </is>
      </c>
      <c r="W127" s="177" t="inlineStr">
        <is>
          <t>90/90-14-4PR/46P ASP01</t>
        </is>
      </c>
      <c r="X127" s="177" t="n"/>
      <c r="Y127" s="131" t="n">
        <v>2.735</v>
      </c>
      <c r="Z127" s="131" t="n">
        <v>2.735</v>
      </c>
      <c r="AA127" s="130">
        <f>Y127-Z127</f>
        <v/>
      </c>
      <c r="AB127" s="390">
        <f>_xlfn.TEXTJOIN("-",TRUE,T127,U127,V127)</f>
        <v/>
      </c>
      <c r="AC127" s="184" t="n"/>
      <c r="AD127" s="184" t="n"/>
      <c r="AE127" s="184" t="n"/>
      <c r="AF127" s="184" t="n"/>
      <c r="AG127" s="184" t="n"/>
      <c r="AH127" s="184" t="n"/>
      <c r="AI127" s="184" t="n"/>
      <c r="AK127" s="390">
        <f>_xlfn.TEXTJOIN("-",TRUE,AC127,AD127,AE127)</f>
        <v/>
      </c>
      <c r="AL127" s="123" t="inlineStr">
        <is>
          <t>ST225/75R15</t>
        </is>
      </c>
      <c r="AM127" s="177" t="inlineStr">
        <is>
          <t>10PR</t>
        </is>
      </c>
      <c r="AN127" s="177" t="inlineStr">
        <is>
          <t>ASSURE ST</t>
        </is>
      </c>
      <c r="AO127" s="177" t="inlineStr">
        <is>
          <t>ST225/75R15-10PR SDAT</t>
        </is>
      </c>
      <c r="AP127" s="177" t="n"/>
      <c r="AQ127" s="131" t="n">
        <v>12.456</v>
      </c>
      <c r="AR127" s="131" t="n">
        <v>12.238</v>
      </c>
      <c r="AS127" s="130">
        <f>AQ127-AR127</f>
        <v/>
      </c>
      <c r="AT127" s="390">
        <f>_xlfn.TEXTJOIN("-",TRUE,AL127,AM127,AN127)</f>
        <v/>
      </c>
      <c r="AU127" s="123" t="inlineStr">
        <is>
          <t>205/55R16</t>
        </is>
      </c>
      <c r="AV127" s="177" t="inlineStr">
        <is>
          <t>/</t>
        </is>
      </c>
      <c r="AW127" s="139" t="inlineStr">
        <is>
          <t>T-118</t>
        </is>
      </c>
      <c r="AX127" s="177" t="inlineStr">
        <is>
          <t>S020987A-72</t>
        </is>
      </c>
      <c r="AY127" s="131" t="n">
        <v>8.004</v>
      </c>
      <c r="AZ127" s="131" t="n">
        <v>8.002000000000001</v>
      </c>
      <c r="BA127" s="130">
        <f>AY127-AZ127</f>
        <v/>
      </c>
      <c r="BB127" s="390">
        <f>_xlfn.TEXTJOIN("-",TRUE,AU127,AW127)</f>
        <v/>
      </c>
    </row>
    <row r="128">
      <c r="B128" s="143" t="inlineStr">
        <is>
          <t>11.00R20</t>
        </is>
      </c>
      <c r="C128" s="125" t="inlineStr">
        <is>
          <t>18PR</t>
        </is>
      </c>
      <c r="D128" s="125" t="inlineStr">
        <is>
          <t>CM998</t>
        </is>
      </c>
      <c r="E128" s="186" t="inlineStr">
        <is>
          <t>ID11.00R20-18PR-CM998 C ID A827</t>
        </is>
      </c>
      <c r="F128" s="131">
        <f>G128-4.738+5.801</f>
        <v/>
      </c>
      <c r="G128" s="131" t="n">
        <v>76.67100000000001</v>
      </c>
      <c r="H128" s="191" t="n">
        <v>76.7079</v>
      </c>
      <c r="I128" s="130">
        <f>G128-H128</f>
        <v/>
      </c>
      <c r="J128" s="115">
        <f>_xlfn.TEXTJOIN("-",TRUE,B128,C128,D128)</f>
        <v/>
      </c>
      <c r="K128" s="123" t="inlineStr">
        <is>
          <t>23.5-25</t>
        </is>
      </c>
      <c r="L128" s="162" t="inlineStr">
        <is>
          <t>20PR</t>
        </is>
      </c>
      <c r="M128" s="162" t="inlineStr">
        <is>
          <t>CL728</t>
        </is>
      </c>
      <c r="N128" s="177" t="inlineStr">
        <is>
          <t>/</t>
        </is>
      </c>
      <c r="O128" s="177" t="inlineStr">
        <is>
          <t>/</t>
        </is>
      </c>
      <c r="P128" s="194" t="n">
        <v>216.7</v>
      </c>
      <c r="Q128" s="194" t="n">
        <v>216.3</v>
      </c>
      <c r="R128" s="130">
        <f>P128-Q128</f>
        <v/>
      </c>
      <c r="S128" s="390">
        <f>_xlfn.TEXTJOIN("-",TRUE,K128,L128,M128)</f>
        <v/>
      </c>
      <c r="T128" s="123" t="inlineStr">
        <is>
          <t>90/90-14</t>
        </is>
      </c>
      <c r="U128" s="177" t="inlineStr">
        <is>
          <t>4PR</t>
        </is>
      </c>
      <c r="V128" s="177" t="inlineStr">
        <is>
          <t>H577</t>
        </is>
      </c>
      <c r="W128" s="177" t="inlineStr">
        <is>
          <t>90/90-14-4PR H577</t>
        </is>
      </c>
      <c r="X128" s="177" t="n"/>
      <c r="Y128" s="131" t="n">
        <v>2.735</v>
      </c>
      <c r="Z128" s="131" t="n">
        <v>2.735</v>
      </c>
      <c r="AA128" s="130">
        <f>Y128-Z128</f>
        <v/>
      </c>
      <c r="AB128" s="390">
        <f>_xlfn.TEXTJOIN("-",TRUE,T128,U128,V128)</f>
        <v/>
      </c>
      <c r="AC128" s="184" t="n"/>
      <c r="AD128" s="184" t="n"/>
      <c r="AE128" s="184" t="n"/>
      <c r="AF128" s="184" t="n"/>
      <c r="AG128" s="184" t="n"/>
      <c r="AH128" s="184" t="n"/>
      <c r="AI128" s="184" t="n"/>
      <c r="AK128" s="390">
        <f>_xlfn.TEXTJOIN("-",TRUE,AC128,AD128,AE128)</f>
        <v/>
      </c>
      <c r="AL128" s="123" t="inlineStr">
        <is>
          <t>ST225/75R15</t>
        </is>
      </c>
      <c r="AM128" s="177" t="inlineStr">
        <is>
          <t>10PR</t>
        </is>
      </c>
      <c r="AN128" s="177" t="inlineStr">
        <is>
          <t>Tow Pro ST</t>
        </is>
      </c>
      <c r="AO128" s="177" t="inlineStr">
        <is>
          <t>ST225/75R15-10PR SDAT</t>
        </is>
      </c>
      <c r="AP128" s="177" t="n"/>
      <c r="AQ128" s="131" t="n">
        <v>12.456</v>
      </c>
      <c r="AR128" s="131" t="n">
        <v>12.238</v>
      </c>
      <c r="AS128" s="130">
        <f>AQ128-AR128</f>
        <v/>
      </c>
      <c r="AT128" s="390">
        <f>_xlfn.TEXTJOIN("-",TRUE,AL128,AM128,AN128)</f>
        <v/>
      </c>
      <c r="AU128" s="123" t="inlineStr">
        <is>
          <t>205/55R16</t>
        </is>
      </c>
      <c r="AV128" s="177" t="inlineStr">
        <is>
          <t>/</t>
        </is>
      </c>
      <c r="AW128" s="139" t="inlineStr">
        <is>
          <t>Z-108</t>
        </is>
      </c>
      <c r="AX128" s="177" t="inlineStr">
        <is>
          <t>S020987A-72</t>
        </is>
      </c>
      <c r="AY128" s="131" t="n">
        <v>8.004</v>
      </c>
      <c r="AZ128" s="131" t="n">
        <v>8.002000000000001</v>
      </c>
      <c r="BA128" s="130">
        <f>AY128-AZ128</f>
        <v/>
      </c>
      <c r="BB128" s="390">
        <f>_xlfn.TEXTJOIN("-",TRUE,AU128,AW128)</f>
        <v/>
      </c>
    </row>
    <row r="129">
      <c r="B129" s="143" t="inlineStr">
        <is>
          <t>11.00R20</t>
        </is>
      </c>
      <c r="C129" s="125" t="inlineStr">
        <is>
          <t>18PR</t>
        </is>
      </c>
      <c r="D129" s="125" t="inlineStr">
        <is>
          <t>CM988</t>
        </is>
      </c>
      <c r="E129" s="186" t="inlineStr">
        <is>
          <t>ID11.00R20-18PR-CM988 C ID A827</t>
        </is>
      </c>
      <c r="F129" s="131">
        <f>G129-4.743+5.779</f>
        <v/>
      </c>
      <c r="G129" s="131" t="n">
        <v>67.965</v>
      </c>
      <c r="H129" s="191" t="n">
        <v>67.5899</v>
      </c>
      <c r="I129" s="130">
        <f>G129-H129</f>
        <v/>
      </c>
      <c r="J129" s="115">
        <f>_xlfn.TEXTJOIN("-",TRUE,B129,C129,D129)</f>
        <v/>
      </c>
      <c r="K129" s="123" t="inlineStr">
        <is>
          <t>23.5-25</t>
        </is>
      </c>
      <c r="L129" s="162" t="inlineStr">
        <is>
          <t>20PR</t>
        </is>
      </c>
      <c r="M129" s="162" t="inlineStr">
        <is>
          <t>T318</t>
        </is>
      </c>
      <c r="N129" s="489" t="n"/>
      <c r="O129" s="177" t="inlineStr">
        <is>
          <t>/</t>
        </is>
      </c>
      <c r="P129" s="194" t="n">
        <v>216.7</v>
      </c>
      <c r="Q129" s="194" t="n">
        <v>216.3</v>
      </c>
      <c r="R129" s="130">
        <f>P129-Q129</f>
        <v/>
      </c>
      <c r="S129" s="390">
        <f>_xlfn.TEXTJOIN("-",TRUE,K129,L129,M129)</f>
        <v/>
      </c>
      <c r="T129" s="123" t="inlineStr">
        <is>
          <t>90/90-14</t>
        </is>
      </c>
      <c r="U129" s="177" t="inlineStr">
        <is>
          <t>6PR</t>
        </is>
      </c>
      <c r="V129" s="177" t="inlineStr">
        <is>
          <t>H577</t>
        </is>
      </c>
      <c r="W129" s="177" t="inlineStr">
        <is>
          <t>90/90-14-6PR H577</t>
        </is>
      </c>
      <c r="X129" s="177" t="n"/>
      <c r="Y129" s="131" t="n">
        <v>2.695</v>
      </c>
      <c r="Z129" s="131" t="n">
        <v>2.755</v>
      </c>
      <c r="AA129" s="130">
        <f>Y129-Z129</f>
        <v/>
      </c>
      <c r="AB129" s="390">
        <f>_xlfn.TEXTJOIN("-",TRUE,T129,U129,V129)</f>
        <v/>
      </c>
      <c r="AC129" s="184" t="n"/>
      <c r="AD129" s="184" t="n"/>
      <c r="AE129" s="184" t="n"/>
      <c r="AF129" s="184" t="n"/>
      <c r="AG129" s="184" t="n"/>
      <c r="AH129" s="184" t="n"/>
      <c r="AI129" s="184" t="n"/>
      <c r="AK129" s="390">
        <f>_xlfn.TEXTJOIN("-",TRUE,AC129,AD129,AE129)</f>
        <v/>
      </c>
      <c r="AL129" s="123" t="inlineStr">
        <is>
          <t>ST225/75R15</t>
        </is>
      </c>
      <c r="AM129" s="177" t="inlineStr">
        <is>
          <t>8PR</t>
        </is>
      </c>
      <c r="AN129" s="177" t="inlineStr">
        <is>
          <t>ST200</t>
        </is>
      </c>
      <c r="AO129" s="177" t="inlineStr">
        <is>
          <t>ST225/75R15-8PR ST200/RA/RS</t>
        </is>
      </c>
      <c r="AP129" s="177" t="n"/>
      <c r="AQ129" s="131" t="n">
        <v>11.656</v>
      </c>
      <c r="AR129" s="131" t="n">
        <v>11.612</v>
      </c>
      <c r="AS129" s="130">
        <f>AQ129-AR129</f>
        <v/>
      </c>
      <c r="AT129" s="390">
        <f>_xlfn.TEXTJOIN("-",TRUE,AL129,AM129,AN129)</f>
        <v/>
      </c>
      <c r="AU129" s="123" t="inlineStr">
        <is>
          <t>205/55R16</t>
        </is>
      </c>
      <c r="AV129" s="177" t="inlineStr">
        <is>
          <t>/</t>
        </is>
      </c>
      <c r="AW129" s="139" t="inlineStr">
        <is>
          <t>RP218(Process 1)</t>
        </is>
      </c>
      <c r="AX129" s="177" t="inlineStr">
        <is>
          <t>S021492A-60</t>
        </is>
      </c>
      <c r="AY129" s="131" t="n">
        <v>8.853999999999999</v>
      </c>
      <c r="AZ129" s="131" t="n">
        <v>8.855</v>
      </c>
      <c r="BA129" s="130">
        <f>AY129-AZ129</f>
        <v/>
      </c>
      <c r="BB129" s="390">
        <f>_xlfn.TEXTJOIN("-",TRUE,AU129,AW129)</f>
        <v/>
      </c>
    </row>
    <row r="130">
      <c r="B130" s="143" t="inlineStr">
        <is>
          <t>11.00R20</t>
        </is>
      </c>
      <c r="C130" s="125" t="inlineStr">
        <is>
          <t>18PR</t>
        </is>
      </c>
      <c r="D130" s="125" t="inlineStr">
        <is>
          <t>EZ835</t>
        </is>
      </c>
      <c r="E130" s="186" t="inlineStr">
        <is>
          <t>ID11.00R20-18PR-EZ835 C ID A017</t>
        </is>
      </c>
      <c r="F130" s="131">
        <f>G130-4.738+5.801</f>
        <v/>
      </c>
      <c r="G130" s="131" t="n">
        <v>80.199</v>
      </c>
      <c r="H130" s="191" t="n">
        <v>80.04600000000001</v>
      </c>
      <c r="I130" s="130">
        <f>G130-H130</f>
        <v/>
      </c>
      <c r="J130" s="115">
        <f>_xlfn.TEXTJOIN("-",TRUE,B130,C130,D130)</f>
        <v/>
      </c>
      <c r="K130" s="123" t="inlineStr">
        <is>
          <t>23.5-25</t>
        </is>
      </c>
      <c r="L130" s="162" t="inlineStr">
        <is>
          <t>24PR</t>
        </is>
      </c>
      <c r="M130" s="162" t="inlineStr">
        <is>
          <t>CL728</t>
        </is>
      </c>
      <c r="N130" s="177" t="inlineStr">
        <is>
          <t>/</t>
        </is>
      </c>
      <c r="O130" s="177" t="inlineStr">
        <is>
          <t>/</t>
        </is>
      </c>
      <c r="P130" s="194" t="n">
        <v>216.7</v>
      </c>
      <c r="Q130" s="194" t="n">
        <v>216.3</v>
      </c>
      <c r="R130" s="130">
        <f>P130-Q130</f>
        <v/>
      </c>
      <c r="S130" s="390">
        <f>_xlfn.TEXTJOIN("-",TRUE,K130,L130,M130)</f>
        <v/>
      </c>
      <c r="T130" s="123" t="inlineStr">
        <is>
          <t>90/90-14</t>
        </is>
      </c>
      <c r="U130" s="177" t="inlineStr">
        <is>
          <t>4PR</t>
        </is>
      </c>
      <c r="V130" s="177" t="inlineStr">
        <is>
          <t>H597</t>
        </is>
      </c>
      <c r="W130" s="177" t="inlineStr">
        <is>
          <t>90/90-14-4PR/46P H597</t>
        </is>
      </c>
      <c r="X130" s="177" t="n"/>
      <c r="Y130" s="131" t="n">
        <v>2.875</v>
      </c>
      <c r="Z130" s="131" t="n">
        <v>2.875</v>
      </c>
      <c r="AA130" s="130">
        <f>Y130-Z130</f>
        <v/>
      </c>
      <c r="AB130" s="390">
        <f>_xlfn.TEXTJOIN("-",TRUE,T130,U130,V130)</f>
        <v/>
      </c>
      <c r="AC130" s="184" t="n"/>
      <c r="AD130" s="184" t="n"/>
      <c r="AE130" s="184" t="n"/>
      <c r="AF130" s="184" t="n"/>
      <c r="AG130" s="184" t="n"/>
      <c r="AH130" s="184" t="n"/>
      <c r="AI130" s="184" t="n"/>
      <c r="AK130" s="390">
        <f>_xlfn.TEXTJOIN("-",TRUE,AC130,AD130,AE130)</f>
        <v/>
      </c>
      <c r="AL130" s="123" t="inlineStr">
        <is>
          <t>ST225/75R15</t>
        </is>
      </c>
      <c r="AM130" s="177" t="inlineStr">
        <is>
          <t>8PR</t>
        </is>
      </c>
      <c r="AN130" s="177" t="inlineStr">
        <is>
          <t>ST Radial</t>
        </is>
      </c>
      <c r="AO130" s="177" t="inlineStr">
        <is>
          <t>ST225/75R15-8PR ST200/RA/RS</t>
        </is>
      </c>
      <c r="AP130" s="177" t="n"/>
      <c r="AQ130" s="131" t="n">
        <v>11.656</v>
      </c>
      <c r="AR130" s="131" t="n">
        <v>11.612</v>
      </c>
      <c r="AS130" s="130">
        <f>AQ130-AR130</f>
        <v/>
      </c>
      <c r="AT130" s="390">
        <f>_xlfn.TEXTJOIN("-",TRUE,AL130,AM130,AN130)</f>
        <v/>
      </c>
      <c r="AU130" s="123" t="inlineStr">
        <is>
          <t>205/55R16</t>
        </is>
      </c>
      <c r="AV130" s="177" t="inlineStr">
        <is>
          <t>/</t>
        </is>
      </c>
      <c r="AW130" s="139" t="inlineStr">
        <is>
          <t>RP218(Process 2)</t>
        </is>
      </c>
      <c r="AX130" s="177" t="inlineStr">
        <is>
          <t>S021672A-60</t>
        </is>
      </c>
      <c r="AY130" s="131" t="n">
        <v>9.151999999999999</v>
      </c>
      <c r="AZ130" s="131" t="n">
        <v>9.151</v>
      </c>
      <c r="BA130" s="130">
        <f>AY130-AZ130</f>
        <v/>
      </c>
      <c r="BB130" s="390">
        <f>_xlfn.TEXTJOIN("-",TRUE,AU130,AW130)</f>
        <v/>
      </c>
    </row>
    <row r="131" ht="13.8" customHeight="1" s="428">
      <c r="B131" s="143" t="inlineStr">
        <is>
          <t>11.00R20</t>
        </is>
      </c>
      <c r="C131" s="125" t="inlineStr">
        <is>
          <t>16PR</t>
        </is>
      </c>
      <c r="D131" s="125" t="inlineStr">
        <is>
          <t>SUPER ETOT</t>
        </is>
      </c>
      <c r="E131" s="186" t="inlineStr">
        <is>
          <t>ID11.00R20-SUPER ETOT C ID A017</t>
        </is>
      </c>
      <c r="F131" s="131">
        <f>G131-4.743+5.799</f>
        <v/>
      </c>
      <c r="G131" s="131" t="n">
        <v>84.636</v>
      </c>
      <c r="H131" s="191" t="n">
        <v>83.6857</v>
      </c>
      <c r="I131" s="130">
        <f>G131-H131</f>
        <v/>
      </c>
      <c r="J131" s="115">
        <f>_xlfn.TEXTJOIN("-",TRUE,B131,C131,D131)</f>
        <v/>
      </c>
      <c r="K131" s="123" t="inlineStr">
        <is>
          <t>23.5-25</t>
        </is>
      </c>
      <c r="L131" s="162" t="inlineStr">
        <is>
          <t>24PR</t>
        </is>
      </c>
      <c r="M131" s="162" t="inlineStr">
        <is>
          <t>T318</t>
        </is>
      </c>
      <c r="N131" s="489" t="n"/>
      <c r="O131" s="177" t="inlineStr">
        <is>
          <t>/</t>
        </is>
      </c>
      <c r="P131" s="194" t="n">
        <v>216.7</v>
      </c>
      <c r="Q131" s="194" t="n">
        <v>216.3</v>
      </c>
      <c r="R131" s="130">
        <f>P131-Q131</f>
        <v/>
      </c>
      <c r="S131" s="390">
        <f>_xlfn.TEXTJOIN("-",TRUE,K131,L131,M131)</f>
        <v/>
      </c>
      <c r="T131" s="123" t="inlineStr">
        <is>
          <t>90/90-14</t>
        </is>
      </c>
      <c r="U131" s="177" t="inlineStr">
        <is>
          <t>4PR</t>
        </is>
      </c>
      <c r="V131" s="177" t="inlineStr">
        <is>
          <t>H999A</t>
        </is>
      </c>
      <c r="W131" s="177" t="inlineStr">
        <is>
          <t>90/90-14-4PR H999A</t>
        </is>
      </c>
      <c r="X131" s="177" t="n"/>
      <c r="Y131" s="131" t="n">
        <v>2.837</v>
      </c>
      <c r="Z131" s="131" t="n">
        <v>2.815</v>
      </c>
      <c r="AA131" s="130">
        <f>Y131-Z131</f>
        <v/>
      </c>
      <c r="AB131" s="390">
        <f>_xlfn.TEXTJOIN("-",TRUE,T131,U131,V131)</f>
        <v/>
      </c>
      <c r="AC131" s="184" t="n"/>
      <c r="AD131" s="184" t="n"/>
      <c r="AE131" s="184" t="n"/>
      <c r="AF131" s="184" t="n"/>
      <c r="AG131" s="184" t="n"/>
      <c r="AH131" s="184" t="n"/>
      <c r="AI131" s="184" t="n"/>
      <c r="AK131" s="390">
        <f>_xlfn.TEXTJOIN("-",TRUE,AC131,AD131,AE131)</f>
        <v/>
      </c>
      <c r="AL131" s="123" t="inlineStr">
        <is>
          <t>ST225/75R15</t>
        </is>
      </c>
      <c r="AM131" s="177" t="inlineStr">
        <is>
          <t>8PR</t>
        </is>
      </c>
      <c r="AN131" s="146" t="inlineStr">
        <is>
          <t>RAINIER ST</t>
        </is>
      </c>
      <c r="AO131" s="177" t="inlineStr">
        <is>
          <t>ST225/75R15-8PR ST200/RA/RS</t>
        </is>
      </c>
      <c r="AP131" s="177" t="n"/>
      <c r="AQ131" s="131" t="n">
        <v>11.656</v>
      </c>
      <c r="AR131" s="131" t="n">
        <v>11.612</v>
      </c>
      <c r="AS131" s="130">
        <f>AQ131-AR131</f>
        <v/>
      </c>
      <c r="AT131" s="390">
        <f>_xlfn.TEXTJOIN("-",TRUE,AL131,AM131,AN131)</f>
        <v/>
      </c>
      <c r="AU131" s="132" t="n"/>
      <c r="AV131" s="178" t="n"/>
      <c r="AW131" s="178" t="n"/>
      <c r="AX131" s="178" t="n"/>
      <c r="AY131" s="135" t="n"/>
      <c r="AZ131" s="135" t="n"/>
      <c r="BA131" s="136" t="n"/>
      <c r="BB131" s="390">
        <f>_xlfn.TEXTJOIN("-",TRUE,AU131,AW131)</f>
        <v/>
      </c>
    </row>
    <row r="132">
      <c r="B132" s="143" t="inlineStr">
        <is>
          <t>11.00R20</t>
        </is>
      </c>
      <c r="C132" s="125" t="inlineStr">
        <is>
          <t>18PR</t>
        </is>
      </c>
      <c r="D132" s="125" t="inlineStr">
        <is>
          <t>SUPER ETOT</t>
        </is>
      </c>
      <c r="E132" s="186" t="inlineStr">
        <is>
          <t>ID11.00R20-SUPER ETOT C ID A017</t>
        </is>
      </c>
      <c r="F132" s="131">
        <f>G132-4.743+5.799</f>
        <v/>
      </c>
      <c r="G132" s="131" t="n">
        <v>84.636</v>
      </c>
      <c r="H132" s="191" t="n">
        <v>83.6857</v>
      </c>
      <c r="I132" s="130">
        <f>G132-H132</f>
        <v/>
      </c>
      <c r="J132" s="115">
        <f>_xlfn.TEXTJOIN("-",TRUE,B132,C132,D132)</f>
        <v/>
      </c>
      <c r="K132" s="123" t="inlineStr">
        <is>
          <t>23.5-25</t>
        </is>
      </c>
      <c r="L132" s="162" t="inlineStr">
        <is>
          <t>16PR</t>
        </is>
      </c>
      <c r="M132" s="162" t="inlineStr">
        <is>
          <t>EL36</t>
        </is>
      </c>
      <c r="N132" s="177" t="inlineStr">
        <is>
          <t>/</t>
        </is>
      </c>
      <c r="O132" s="177" t="inlineStr">
        <is>
          <t>/</t>
        </is>
      </c>
      <c r="P132" s="194" t="n">
        <v>199.8</v>
      </c>
      <c r="Q132" s="194" t="n">
        <v>199.6</v>
      </c>
      <c r="R132" s="130">
        <f>P132-Q132</f>
        <v/>
      </c>
      <c r="S132" s="390">
        <f>_xlfn.TEXTJOIN("-",TRUE,K132,L132,M132)</f>
        <v/>
      </c>
      <c r="T132" s="132" t="n"/>
      <c r="U132" s="178" t="n"/>
      <c r="V132" s="178" t="n"/>
      <c r="W132" s="178" t="n"/>
      <c r="X132" s="178" t="n"/>
      <c r="Y132" s="178" t="n"/>
      <c r="Z132" s="178" t="n"/>
      <c r="AA132" s="134" t="n"/>
      <c r="AB132" s="390">
        <f>_xlfn.TEXTJOIN("-",TRUE,T132,U132,V132)</f>
        <v/>
      </c>
      <c r="AC132" s="184" t="n"/>
      <c r="AD132" s="184" t="n"/>
      <c r="AE132" s="184" t="n"/>
      <c r="AF132" s="184" t="n"/>
      <c r="AG132" s="184" t="n"/>
      <c r="AH132" s="184" t="n"/>
      <c r="AI132" s="184" t="n"/>
      <c r="AK132" s="390">
        <f>_xlfn.TEXTJOIN("-",TRUE,AC132,AD132,AE132)</f>
        <v/>
      </c>
      <c r="AL132" s="123" t="inlineStr">
        <is>
          <t>ST225/75R15</t>
        </is>
      </c>
      <c r="AM132" s="177" t="inlineStr">
        <is>
          <t>10PR</t>
        </is>
      </c>
      <c r="AN132" s="177" t="inlineStr">
        <is>
          <t>ST200</t>
        </is>
      </c>
      <c r="AO132" s="177" t="inlineStr">
        <is>
          <t>ST225/75R15-10PR ST200/RA/RS</t>
        </is>
      </c>
      <c r="AP132" s="177" t="n"/>
      <c r="AQ132" s="131" t="n">
        <v>12.104</v>
      </c>
      <c r="AR132" s="131" t="n">
        <v>12.097</v>
      </c>
      <c r="AS132" s="130">
        <f>AQ132-AR132</f>
        <v/>
      </c>
      <c r="AT132" s="390">
        <f>_xlfn.TEXTJOIN("-",TRUE,AL132,AM132,AN132)</f>
        <v/>
      </c>
      <c r="AU132" s="123" t="inlineStr">
        <is>
          <t>205/60R16</t>
        </is>
      </c>
      <c r="AV132" s="177" t="inlineStr">
        <is>
          <t>/</t>
        </is>
      </c>
      <c r="AW132" s="177" t="inlineStr">
        <is>
          <t>C-108</t>
        </is>
      </c>
      <c r="AX132" s="177" t="inlineStr">
        <is>
          <t>S021358A-72</t>
        </is>
      </c>
      <c r="AY132" s="131" t="n">
        <v>7.97</v>
      </c>
      <c r="AZ132" s="131" t="n">
        <v>7.971</v>
      </c>
      <c r="BA132" s="130">
        <f>AY132-AZ132</f>
        <v/>
      </c>
      <c r="BB132" s="390">
        <f>_xlfn.TEXTJOIN("-",TRUE,AU132,AW132)</f>
        <v/>
      </c>
    </row>
    <row r="133">
      <c r="B133" s="143" t="inlineStr">
        <is>
          <t>11.00R20</t>
        </is>
      </c>
      <c r="C133" s="125" t="inlineStr">
        <is>
          <t>18PR</t>
        </is>
      </c>
      <c r="D133" s="125" t="inlineStr">
        <is>
          <t>ETRF</t>
        </is>
      </c>
      <c r="E133" s="186" t="inlineStr">
        <is>
          <t>ID11.00R20-18PR-ETAM C ID A017</t>
        </is>
      </c>
      <c r="F133" s="131">
        <f>G133-4.743+5.799</f>
        <v/>
      </c>
      <c r="G133" s="131" t="n">
        <v>78.235</v>
      </c>
      <c r="H133" s="191" t="n">
        <v>78.09999999999999</v>
      </c>
      <c r="I133" s="130">
        <f>G133-H133</f>
        <v/>
      </c>
      <c r="J133" s="115">
        <f>_xlfn.TEXTJOIN("-",TRUE,B133,C133,D133)</f>
        <v/>
      </c>
      <c r="K133" s="123" t="inlineStr">
        <is>
          <t>23.5-25</t>
        </is>
      </c>
      <c r="L133" s="162" t="inlineStr">
        <is>
          <t>20PR</t>
        </is>
      </c>
      <c r="M133" s="162" t="inlineStr">
        <is>
          <t>EL36</t>
        </is>
      </c>
      <c r="N133" s="177" t="inlineStr">
        <is>
          <t>/</t>
        </is>
      </c>
      <c r="O133" s="177" t="inlineStr">
        <is>
          <t>/</t>
        </is>
      </c>
      <c r="P133" s="194" t="n">
        <v>211.3</v>
      </c>
      <c r="Q133" s="194" t="n">
        <v>209.9</v>
      </c>
      <c r="R133" s="130">
        <f>P133-Q133</f>
        <v/>
      </c>
      <c r="S133" s="390">
        <f>_xlfn.TEXTJOIN("-",TRUE,K133,L133,M133)</f>
        <v/>
      </c>
      <c r="T133" s="123" t="inlineStr">
        <is>
          <t>100/80-14</t>
        </is>
      </c>
      <c r="U133" s="177" t="inlineStr">
        <is>
          <t>6PR</t>
        </is>
      </c>
      <c r="V133" s="177" t="inlineStr">
        <is>
          <t>H522S</t>
        </is>
      </c>
      <c r="W133" s="177" t="inlineStr">
        <is>
          <t>100/80-14TL-6PR H522S</t>
        </is>
      </c>
      <c r="X133" s="177" t="n"/>
      <c r="Y133" s="131" t="n">
        <v>3.255</v>
      </c>
      <c r="Z133" s="131" t="n">
        <v>3.255</v>
      </c>
      <c r="AA133" s="130">
        <f>Y133-Z133</f>
        <v/>
      </c>
      <c r="AB133" s="390">
        <f>_xlfn.TEXTJOIN("-",TRUE,T133,U133,V133)</f>
        <v/>
      </c>
      <c r="AC133" s="184" t="n"/>
      <c r="AD133" s="184" t="n"/>
      <c r="AE133" s="184" t="n"/>
      <c r="AF133" s="184" t="n"/>
      <c r="AG133" s="184" t="n"/>
      <c r="AH133" s="184" t="n"/>
      <c r="AI133" s="184" t="n"/>
      <c r="AK133" s="390">
        <f>_xlfn.TEXTJOIN("-",TRUE,AC133,AD133,AE133)</f>
        <v/>
      </c>
      <c r="AL133" s="123" t="inlineStr">
        <is>
          <t>ST225/75R15</t>
        </is>
      </c>
      <c r="AM133" s="177" t="inlineStr">
        <is>
          <t>10PR</t>
        </is>
      </c>
      <c r="AN133" s="177" t="inlineStr">
        <is>
          <t>ST Radial</t>
        </is>
      </c>
      <c r="AO133" s="177" t="inlineStr">
        <is>
          <t>ST225/75R15-10PR ST200/RA/RS</t>
        </is>
      </c>
      <c r="AP133" s="177" t="n"/>
      <c r="AQ133" s="131" t="n">
        <v>12.104</v>
      </c>
      <c r="AR133" s="131" t="n">
        <v>12.097</v>
      </c>
      <c r="AS133" s="130">
        <f>AQ133-AR133</f>
        <v/>
      </c>
      <c r="AT133" s="390">
        <f>_xlfn.TEXTJOIN("-",TRUE,AL133,AM133,AN133)</f>
        <v/>
      </c>
      <c r="AU133" s="123" t="inlineStr">
        <is>
          <t>205/60R16</t>
        </is>
      </c>
      <c r="AV133" s="177" t="inlineStr">
        <is>
          <t>/</t>
        </is>
      </c>
      <c r="AW133" s="177" t="inlineStr">
        <is>
          <t>G-118</t>
        </is>
      </c>
      <c r="AX133" s="177" t="inlineStr">
        <is>
          <t>S021358A-72</t>
        </is>
      </c>
      <c r="AY133" s="131" t="n">
        <v>7.97</v>
      </c>
      <c r="AZ133" s="131" t="n">
        <v>7.971</v>
      </c>
      <c r="BA133" s="130">
        <f>AY133-AZ133</f>
        <v/>
      </c>
      <c r="BB133" s="390">
        <f>_xlfn.TEXTJOIN("-",TRUE,AU133,AW133)</f>
        <v/>
      </c>
    </row>
    <row r="134" ht="13.8" customHeight="1" s="428">
      <c r="B134" s="143" t="inlineStr">
        <is>
          <t>11.00R20</t>
        </is>
      </c>
      <c r="C134" s="125" t="inlineStr">
        <is>
          <t>18PR</t>
        </is>
      </c>
      <c r="D134" s="125" t="inlineStr">
        <is>
          <t>AM4S.Q679</t>
        </is>
      </c>
      <c r="E134" s="186" t="inlineStr">
        <is>
          <t>ID11.00R20-18PR-ETAM C ID A017</t>
        </is>
      </c>
      <c r="F134" s="131">
        <f>G134-4.743+5.799</f>
        <v/>
      </c>
      <c r="G134" s="131" t="n">
        <v>78.235</v>
      </c>
      <c r="H134" s="191" t="n">
        <v>78.09999999999999</v>
      </c>
      <c r="I134" s="130">
        <f>G134-H134</f>
        <v/>
      </c>
      <c r="J134" s="115">
        <f>_xlfn.TEXTJOIN("-",TRUE,B134,C134,D134)</f>
        <v/>
      </c>
      <c r="K134" s="123" t="inlineStr">
        <is>
          <t>23.5-25</t>
        </is>
      </c>
      <c r="L134" s="162" t="inlineStr">
        <is>
          <t>24PR</t>
        </is>
      </c>
      <c r="M134" s="162" t="inlineStr">
        <is>
          <t>EL36</t>
        </is>
      </c>
      <c r="N134" s="177" t="inlineStr">
        <is>
          <t>/</t>
        </is>
      </c>
      <c r="O134" s="177" t="inlineStr">
        <is>
          <t>/</t>
        </is>
      </c>
      <c r="P134" s="194" t="n">
        <v>211.3</v>
      </c>
      <c r="Q134" s="194" t="n">
        <v>209.9</v>
      </c>
      <c r="R134" s="130">
        <f>P134-Q134</f>
        <v/>
      </c>
      <c r="S134" s="390">
        <f>_xlfn.TEXTJOIN("-",TRUE,K134,L134,M134)</f>
        <v/>
      </c>
      <c r="T134" s="123" t="inlineStr">
        <is>
          <t>100/80-14</t>
        </is>
      </c>
      <c r="U134" s="177" t="inlineStr">
        <is>
          <t>4PR</t>
        </is>
      </c>
      <c r="V134" s="177" t="inlineStr">
        <is>
          <t>H577</t>
        </is>
      </c>
      <c r="W134" s="177" t="inlineStr">
        <is>
          <t>100/80-14-4PR/48P H577</t>
        </is>
      </c>
      <c r="X134" s="177" t="n"/>
      <c r="Y134" s="131" t="n">
        <v>3.1</v>
      </c>
      <c r="Z134" s="131" t="n">
        <v>3.195</v>
      </c>
      <c r="AA134" s="130">
        <f>Y134-Z134</f>
        <v/>
      </c>
      <c r="AB134" s="390">
        <f>_xlfn.TEXTJOIN("-",TRUE,T134,U134,V134)</f>
        <v/>
      </c>
      <c r="AC134" s="184" t="n"/>
      <c r="AD134" s="184" t="n"/>
      <c r="AE134" s="184" t="n"/>
      <c r="AF134" s="184" t="n"/>
      <c r="AG134" s="184" t="n"/>
      <c r="AH134" s="184" t="n"/>
      <c r="AI134" s="184" t="n"/>
      <c r="AK134" s="390">
        <f>_xlfn.TEXTJOIN("-",TRUE,AC134,AD134,AE134)</f>
        <v/>
      </c>
      <c r="AL134" s="123" t="inlineStr">
        <is>
          <t>ST225/75R15</t>
        </is>
      </c>
      <c r="AM134" s="177" t="inlineStr">
        <is>
          <t>10PR</t>
        </is>
      </c>
      <c r="AN134" s="146" t="inlineStr">
        <is>
          <t>RAINIER ST</t>
        </is>
      </c>
      <c r="AO134" s="177" t="inlineStr">
        <is>
          <t>ST225/75R15-10PR ST200/RA/RS</t>
        </is>
      </c>
      <c r="AP134" s="177" t="n"/>
      <c r="AQ134" s="131" t="n">
        <v>12.104</v>
      </c>
      <c r="AR134" s="131" t="n">
        <v>12.097</v>
      </c>
      <c r="AS134" s="130">
        <f>AQ134-AR134</f>
        <v/>
      </c>
      <c r="AT134" s="390" t="inlineStr">
        <is>
          <t>ST175/80R13-6PR-Tow pro st</t>
        </is>
      </c>
      <c r="AU134" s="123" t="inlineStr">
        <is>
          <t>205/60R16</t>
        </is>
      </c>
      <c r="AV134" s="177" t="inlineStr">
        <is>
          <t>/</t>
        </is>
      </c>
      <c r="AW134" s="139" t="inlineStr">
        <is>
          <t>T-118</t>
        </is>
      </c>
      <c r="AX134" s="177" t="inlineStr">
        <is>
          <t>S021358A-72</t>
        </is>
      </c>
      <c r="AY134" s="131" t="n">
        <v>7.97</v>
      </c>
      <c r="AZ134" s="131" t="n">
        <v>7.971</v>
      </c>
      <c r="BA134" s="130">
        <f>AY134-AZ134</f>
        <v/>
      </c>
      <c r="BB134" s="390">
        <f>_xlfn.TEXTJOIN("-",TRUE,AU134,AW134)</f>
        <v/>
      </c>
    </row>
    <row r="135">
      <c r="B135" s="143" t="inlineStr">
        <is>
          <t>11.00R20</t>
        </is>
      </c>
      <c r="C135" s="125" t="inlineStr">
        <is>
          <t>18PR</t>
        </is>
      </c>
      <c r="D135" s="125" t="inlineStr">
        <is>
          <t>EZ867</t>
        </is>
      </c>
      <c r="E135" s="186" t="inlineStr">
        <is>
          <t>ID11.00R20-18PR-EZX C ID EA823</t>
        </is>
      </c>
      <c r="F135" s="131">
        <f>G135-4.74+5.8</f>
        <v/>
      </c>
      <c r="G135" s="131" t="n">
        <v>76.54000000000001</v>
      </c>
      <c r="H135" s="191" t="n">
        <v>76.52</v>
      </c>
      <c r="I135" s="130">
        <f>G135-H135</f>
        <v/>
      </c>
      <c r="J135" s="115">
        <f>_xlfn.TEXTJOIN("-",TRUE,B135,C135,D135)</f>
        <v/>
      </c>
      <c r="K135" s="123" t="inlineStr">
        <is>
          <t>23.5-25</t>
        </is>
      </c>
      <c r="L135" s="162" t="inlineStr">
        <is>
          <t>20PR</t>
        </is>
      </c>
      <c r="M135" s="162" t="inlineStr">
        <is>
          <t>EL36A</t>
        </is>
      </c>
      <c r="N135" s="177" t="inlineStr">
        <is>
          <t>/</t>
        </is>
      </c>
      <c r="O135" s="177" t="inlineStr">
        <is>
          <t>/</t>
        </is>
      </c>
      <c r="P135" s="194" t="n">
        <v>211.3</v>
      </c>
      <c r="Q135" s="194" t="n">
        <v>209.9</v>
      </c>
      <c r="R135" s="130">
        <f>P135-Q135</f>
        <v/>
      </c>
      <c r="S135" s="390">
        <f>_xlfn.TEXTJOIN("-",TRUE,K135,L135,M135)</f>
        <v/>
      </c>
      <c r="T135" s="123" t="inlineStr">
        <is>
          <t>100/80-14</t>
        </is>
      </c>
      <c r="U135" s="177" t="inlineStr">
        <is>
          <t>6PR</t>
        </is>
      </c>
      <c r="V135" s="177" t="inlineStr">
        <is>
          <t>H597</t>
        </is>
      </c>
      <c r="W135" s="177" t="inlineStr">
        <is>
          <t>100/80-14TL-6PR H597</t>
        </is>
      </c>
      <c r="X135" s="177" t="n"/>
      <c r="Y135" s="131" t="n">
        <v>3.28</v>
      </c>
      <c r="Z135" s="131" t="n">
        <v>3.28</v>
      </c>
      <c r="AA135" s="130">
        <f>Y135-Z135</f>
        <v/>
      </c>
      <c r="AB135" s="390">
        <f>_xlfn.TEXTJOIN("-",TRUE,T135,U135,V135)</f>
        <v/>
      </c>
      <c r="AC135" s="184" t="n"/>
      <c r="AD135" s="184" t="n"/>
      <c r="AE135" s="184" t="n"/>
      <c r="AF135" s="184" t="n"/>
      <c r="AG135" s="184" t="n"/>
      <c r="AH135" s="184" t="n"/>
      <c r="AI135" s="184" t="n"/>
      <c r="AK135" s="390">
        <f>_xlfn.TEXTJOIN("-",TRUE,AC135,AD135,AE135)</f>
        <v/>
      </c>
      <c r="AL135" s="123" t="inlineStr">
        <is>
          <t>ST225/75R15</t>
        </is>
      </c>
      <c r="AM135" s="177" t="inlineStr">
        <is>
          <t>8PR</t>
        </is>
      </c>
      <c r="AN135" s="177" t="inlineStr">
        <is>
          <t>ST226</t>
        </is>
      </c>
      <c r="AO135" s="177" t="inlineStr">
        <is>
          <t>ST225/75R15-8PR ST226</t>
        </is>
      </c>
      <c r="AP135" s="177" t="n"/>
      <c r="AQ135" s="131" t="n">
        <v>11.917</v>
      </c>
      <c r="AR135" s="131" t="n">
        <v>11.798</v>
      </c>
      <c r="AS135" s="130">
        <f>AQ135-AR135</f>
        <v/>
      </c>
      <c r="AT135" s="390">
        <f>_xlfn.TEXTJOIN("-",TRUE,AL135,AM135,AN135)</f>
        <v/>
      </c>
      <c r="AU135" s="123" t="inlineStr">
        <is>
          <t>205/60R16</t>
        </is>
      </c>
      <c r="AV135" s="177" t="inlineStr">
        <is>
          <t>/</t>
        </is>
      </c>
      <c r="AW135" s="139" t="inlineStr">
        <is>
          <t>Z-108</t>
        </is>
      </c>
      <c r="AX135" s="177" t="inlineStr">
        <is>
          <t>S021358A-72</t>
        </is>
      </c>
      <c r="AY135" s="131" t="n">
        <v>7.97</v>
      </c>
      <c r="AZ135" s="131" t="n">
        <v>7.971</v>
      </c>
      <c r="BA135" s="130">
        <f>AY135-AZ135</f>
        <v/>
      </c>
      <c r="BB135" s="390">
        <f>_xlfn.TEXTJOIN("-",TRUE,AU135,AW135)</f>
        <v/>
      </c>
    </row>
    <row r="136" ht="13.8" customHeight="1" s="428">
      <c r="B136" s="143" t="inlineStr">
        <is>
          <t>11.00R20</t>
        </is>
      </c>
      <c r="C136" s="125" t="inlineStr">
        <is>
          <t>18PR</t>
        </is>
      </c>
      <c r="D136" s="125" t="inlineStr">
        <is>
          <t>XEZ87</t>
        </is>
      </c>
      <c r="E136" s="186" t="inlineStr">
        <is>
          <t>ID11.00R20-18PR-EZX C ID EA823</t>
        </is>
      </c>
      <c r="F136" s="131">
        <f>G136-4.74+5.8</f>
        <v/>
      </c>
      <c r="G136" s="131" t="n">
        <v>76.54000000000001</v>
      </c>
      <c r="H136" s="191" t="n">
        <v>76.52</v>
      </c>
      <c r="I136" s="130">
        <f>G136-H136</f>
        <v/>
      </c>
      <c r="J136" s="115">
        <f>_xlfn.TEXTJOIN("-",TRUE,B136,C136,D136)</f>
        <v/>
      </c>
      <c r="K136" s="123" t="inlineStr">
        <is>
          <t>23.5-25</t>
        </is>
      </c>
      <c r="L136" s="162" t="inlineStr">
        <is>
          <t>24PR</t>
        </is>
      </c>
      <c r="M136" s="162" t="inlineStr">
        <is>
          <t>EL36A</t>
        </is>
      </c>
      <c r="N136" s="177" t="inlineStr">
        <is>
          <t>/</t>
        </is>
      </c>
      <c r="O136" s="177" t="inlineStr">
        <is>
          <t>/</t>
        </is>
      </c>
      <c r="P136" s="194" t="n">
        <v>211.2</v>
      </c>
      <c r="Q136" s="194" t="n">
        <v>209.9</v>
      </c>
      <c r="R136" s="130">
        <f>P136-Q136</f>
        <v/>
      </c>
      <c r="S136" s="390">
        <f>_xlfn.TEXTJOIN("-",TRUE,K136,L136,M136)</f>
        <v/>
      </c>
      <c r="T136" s="123" t="inlineStr">
        <is>
          <t>100/80-14</t>
        </is>
      </c>
      <c r="U136" s="177" t="inlineStr">
        <is>
          <t>4PR</t>
        </is>
      </c>
      <c r="V136" s="177" t="inlineStr">
        <is>
          <t>H999-A</t>
        </is>
      </c>
      <c r="W136" s="177" t="inlineStr">
        <is>
          <t>100/80-14-4PR H999-A</t>
        </is>
      </c>
      <c r="X136" s="177" t="n"/>
      <c r="Y136" s="131" t="n">
        <v>3.18</v>
      </c>
      <c r="Z136" s="131" t="n">
        <v>3.18</v>
      </c>
      <c r="AA136" s="130">
        <f>Y136-Z136</f>
        <v/>
      </c>
      <c r="AB136" s="390">
        <f>_xlfn.TEXTJOIN("-",TRUE,T136,U136,V136)</f>
        <v/>
      </c>
      <c r="AC136" s="184" t="n"/>
      <c r="AD136" s="184" t="n"/>
      <c r="AE136" s="184" t="n"/>
      <c r="AF136" s="184" t="n"/>
      <c r="AG136" s="184" t="n"/>
      <c r="AH136" s="184" t="n"/>
      <c r="AI136" s="184" t="n"/>
      <c r="AK136" s="390">
        <f>_xlfn.TEXTJOIN("-",TRUE,AC136,AD136,AE136)</f>
        <v/>
      </c>
      <c r="AL136" s="123" t="inlineStr">
        <is>
          <t>ST225/75R15</t>
        </is>
      </c>
      <c r="AM136" s="177" t="inlineStr">
        <is>
          <t>10PR</t>
        </is>
      </c>
      <c r="AN136" s="177" t="inlineStr">
        <is>
          <t>ST226</t>
        </is>
      </c>
      <c r="AO136" s="177" t="inlineStr">
        <is>
          <t>ST225/75R15-10PR ST226</t>
        </is>
      </c>
      <c r="AP136" s="177" t="n"/>
      <c r="AQ136" s="131" t="n">
        <v>12.354</v>
      </c>
      <c r="AR136" s="131" t="n">
        <v>12.272</v>
      </c>
      <c r="AS136" s="130">
        <f>AQ136-AR136</f>
        <v/>
      </c>
      <c r="AT136" s="390">
        <f>_xlfn.TEXTJOIN("-",TRUE,AL136,AM136,AN136)</f>
        <v/>
      </c>
      <c r="AU136" s="123" t="inlineStr">
        <is>
          <t>205/60R16</t>
        </is>
      </c>
      <c r="AV136" s="177" t="inlineStr">
        <is>
          <t>/</t>
        </is>
      </c>
      <c r="AW136" s="139" t="inlineStr">
        <is>
          <t>RP218</t>
        </is>
      </c>
      <c r="AX136" s="177" t="inlineStr">
        <is>
          <t>S021518A-60</t>
        </is>
      </c>
      <c r="AY136" s="131" t="n">
        <v>9.202999999999999</v>
      </c>
      <c r="AZ136" s="131" t="n">
        <v>9.202</v>
      </c>
      <c r="BA136" s="130">
        <f>AY136-AZ136</f>
        <v/>
      </c>
      <c r="BB136" s="390">
        <f>_xlfn.TEXTJOIN("-",TRUE,AU136,AW136)</f>
        <v/>
      </c>
    </row>
    <row r="137">
      <c r="B137" s="143" t="inlineStr">
        <is>
          <t>11.00R20</t>
        </is>
      </c>
      <c r="C137" s="125" t="inlineStr">
        <is>
          <t>18PR</t>
        </is>
      </c>
      <c r="D137" s="125" t="inlineStr">
        <is>
          <t>EZ870</t>
        </is>
      </c>
      <c r="E137" s="186" t="inlineStr">
        <is>
          <t>ID11.00R20-18PR-EZ870 C ID A017</t>
        </is>
      </c>
      <c r="F137" s="131">
        <f>G137-4.74+5.8</f>
        <v/>
      </c>
      <c r="G137" s="131" t="n">
        <v>83.28</v>
      </c>
      <c r="H137" s="191" t="n">
        <v>83.3</v>
      </c>
      <c r="I137" s="130">
        <f>G137-H137</f>
        <v/>
      </c>
      <c r="J137" s="115">
        <f>_xlfn.TEXTJOIN("-",TRUE,B137,C137,D137)</f>
        <v/>
      </c>
      <c r="K137" s="123" t="inlineStr">
        <is>
          <t>23.5-25</t>
        </is>
      </c>
      <c r="L137" s="162" t="inlineStr">
        <is>
          <t>24PR</t>
        </is>
      </c>
      <c r="M137" s="162" t="inlineStr">
        <is>
          <t>DF60</t>
        </is>
      </c>
      <c r="N137" s="489" t="n"/>
      <c r="O137" s="177" t="inlineStr">
        <is>
          <t>/</t>
        </is>
      </c>
      <c r="P137" s="194" t="n">
        <v>211.2</v>
      </c>
      <c r="Q137" s="194" t="n">
        <v>209.9</v>
      </c>
      <c r="R137" s="130">
        <f>P137-Q137</f>
        <v/>
      </c>
      <c r="S137" s="390">
        <f>_xlfn.TEXTJOIN("-",TRUE,K137,L137,M137)</f>
        <v/>
      </c>
      <c r="T137" s="123" t="inlineStr">
        <is>
          <t>100/80-14</t>
        </is>
      </c>
      <c r="U137" s="177" t="inlineStr">
        <is>
          <t>6PR</t>
        </is>
      </c>
      <c r="V137" s="177" t="inlineStr">
        <is>
          <t>H999-A</t>
        </is>
      </c>
      <c r="W137" s="177" t="inlineStr">
        <is>
          <t>100/80-14-6PR H999-A</t>
        </is>
      </c>
      <c r="X137" s="177" t="n"/>
      <c r="Y137" s="131" t="n">
        <v>3.18</v>
      </c>
      <c r="Z137" s="131" t="n">
        <v>3.18</v>
      </c>
      <c r="AA137" s="130">
        <f>Y137-Z137</f>
        <v/>
      </c>
      <c r="AB137" s="390">
        <f>_xlfn.TEXTJOIN("-",TRUE,T137,U137,V137)</f>
        <v/>
      </c>
      <c r="AC137" s="184" t="n"/>
      <c r="AD137" s="184" t="n"/>
      <c r="AE137" s="184" t="n"/>
      <c r="AF137" s="184" t="n"/>
      <c r="AG137" s="184" t="n"/>
      <c r="AH137" s="184" t="n"/>
      <c r="AI137" s="184" t="n"/>
      <c r="AK137" s="390">
        <f>_xlfn.TEXTJOIN("-",TRUE,AC137,AD137,AE137)</f>
        <v/>
      </c>
      <c r="AL137" s="132" t="n"/>
      <c r="AM137" s="178" t="n"/>
      <c r="AN137" s="178" t="n"/>
      <c r="AO137" s="178" t="n"/>
      <c r="AP137" s="178" t="n"/>
      <c r="AQ137" s="178" t="n"/>
      <c r="AR137" s="178" t="n"/>
      <c r="AS137" s="134" t="n"/>
      <c r="AT137" s="390">
        <f>_xlfn.TEXTJOIN("-",TRUE,AL137,AM137,AN137)</f>
        <v/>
      </c>
      <c r="AU137" s="132" t="n"/>
      <c r="AV137" s="178" t="n"/>
      <c r="AW137" s="178" t="n"/>
      <c r="AX137" s="178" t="n"/>
      <c r="AY137" s="135" t="n"/>
      <c r="AZ137" s="135" t="n"/>
      <c r="BA137" s="136" t="n"/>
      <c r="BB137" s="390">
        <f>_xlfn.TEXTJOIN("-",TRUE,AU137,AW137)</f>
        <v/>
      </c>
    </row>
    <row r="138" ht="13.8" customHeight="1" s="428">
      <c r="B138" s="143" t="inlineStr">
        <is>
          <t>11.00R20</t>
        </is>
      </c>
      <c r="C138" s="125" t="inlineStr">
        <is>
          <t>18PR</t>
        </is>
      </c>
      <c r="D138" s="125" t="inlineStr">
        <is>
          <t>AZ183</t>
        </is>
      </c>
      <c r="E138" s="186" t="inlineStr">
        <is>
          <t>ID11.00R20-18PR-AZ183 C ID A827</t>
        </is>
      </c>
      <c r="F138" s="131">
        <f>G138-4.74+5.8</f>
        <v/>
      </c>
      <c r="G138" s="131" t="n">
        <v>64.78400000000001</v>
      </c>
      <c r="H138" s="191" t="n">
        <v>64.64</v>
      </c>
      <c r="I138" s="130">
        <f>G138-H138</f>
        <v/>
      </c>
      <c r="J138" s="115">
        <f>_xlfn.TEXTJOIN("-",TRUE,B138,C138,D138)</f>
        <v/>
      </c>
      <c r="K138" s="123" t="inlineStr">
        <is>
          <t>23.5-25</t>
        </is>
      </c>
      <c r="L138" s="162" t="inlineStr">
        <is>
          <t>16PR</t>
        </is>
      </c>
      <c r="M138" s="162" t="inlineStr">
        <is>
          <t>EL37</t>
        </is>
      </c>
      <c r="N138" s="125" t="inlineStr">
        <is>
          <t>/</t>
        </is>
      </c>
      <c r="O138" s="177" t="inlineStr">
        <is>
          <t>/</t>
        </is>
      </c>
      <c r="P138" s="194" t="n">
        <v>197.1</v>
      </c>
      <c r="Q138" s="194" t="n">
        <v>197.5</v>
      </c>
      <c r="R138" s="130">
        <f>P138-Q138</f>
        <v/>
      </c>
      <c r="S138" s="390">
        <f>_xlfn.TEXTJOIN("-",TRUE,K138,L138,M138)</f>
        <v/>
      </c>
      <c r="T138" s="132" t="n"/>
      <c r="U138" s="178" t="n"/>
      <c r="V138" s="178" t="n"/>
      <c r="W138" s="178" t="n"/>
      <c r="X138" s="178" t="n"/>
      <c r="Y138" s="178" t="n"/>
      <c r="Z138" s="178" t="n"/>
      <c r="AA138" s="134" t="n"/>
      <c r="AB138" s="390">
        <f>_xlfn.TEXTJOIN("-",TRUE,T138,U138,V138)</f>
        <v/>
      </c>
      <c r="AC138" s="184" t="n"/>
      <c r="AD138" s="184" t="n"/>
      <c r="AE138" s="184" t="n"/>
      <c r="AF138" s="184" t="n"/>
      <c r="AG138" s="184" t="n"/>
      <c r="AH138" s="184" t="n"/>
      <c r="AI138" s="184" t="n"/>
      <c r="AK138" s="390">
        <f>_xlfn.TEXTJOIN("-",TRUE,AC138,AD138,AE138)</f>
        <v/>
      </c>
      <c r="AL138" s="123" t="inlineStr">
        <is>
          <t>ST235/80R16</t>
        </is>
      </c>
      <c r="AM138" s="177" t="inlineStr">
        <is>
          <t>12PR</t>
        </is>
      </c>
      <c r="AN138" s="146" t="inlineStr">
        <is>
          <t>RAINIER ST</t>
        </is>
      </c>
      <c r="AO138" s="177" t="inlineStr">
        <is>
          <t>ST235/80R16-12PR RAINIER ST</t>
        </is>
      </c>
      <c r="AP138" s="177" t="n"/>
      <c r="AQ138" s="131" t="n">
        <v>18.129</v>
      </c>
      <c r="AR138" s="131" t="n">
        <v>18.149</v>
      </c>
      <c r="AS138" s="130">
        <f>AQ138-AR138</f>
        <v/>
      </c>
      <c r="AT138" s="390">
        <f>_xlfn.TEXTJOIN("-",TRUE,AL138,AM138,AN138)</f>
        <v/>
      </c>
      <c r="AU138" s="123" t="inlineStr">
        <is>
          <t>205/65R15</t>
        </is>
      </c>
      <c r="AV138" s="177" t="inlineStr">
        <is>
          <t>/</t>
        </is>
      </c>
      <c r="AW138" s="177" t="inlineStr">
        <is>
          <t>C-108</t>
        </is>
      </c>
      <c r="AX138" s="177" t="inlineStr">
        <is>
          <t>S021678A-72</t>
        </is>
      </c>
      <c r="AY138" s="131" t="n">
        <v>8.414999999999999</v>
      </c>
      <c r="AZ138" s="131" t="n">
        <v>8.417</v>
      </c>
      <c r="BA138" s="130">
        <f>AY138-AZ138</f>
        <v/>
      </c>
      <c r="BB138" s="390">
        <f>_xlfn.TEXTJOIN("-",TRUE,AU138,AW138)</f>
        <v/>
      </c>
    </row>
    <row r="139">
      <c r="B139" s="143" t="inlineStr">
        <is>
          <t>11.00R20</t>
        </is>
      </c>
      <c r="C139" s="125" t="inlineStr">
        <is>
          <t>18PR</t>
        </is>
      </c>
      <c r="D139" s="125" t="inlineStr">
        <is>
          <t>EZ175</t>
        </is>
      </c>
      <c r="E139" s="186" t="inlineStr">
        <is>
          <t>ID11.00R20-18PR-EZ175 C ID A017</t>
        </is>
      </c>
      <c r="F139" s="131">
        <f>G139-4.74+5.8</f>
        <v/>
      </c>
      <c r="G139" s="131" t="n">
        <v>68.78400000000001</v>
      </c>
      <c r="H139" s="191" t="n">
        <v>68.65000000000001</v>
      </c>
      <c r="I139" s="130">
        <f>G139-H139</f>
        <v/>
      </c>
      <c r="J139" s="115">
        <f>_xlfn.TEXTJOIN("-",TRUE,B139,C139,D139)</f>
        <v/>
      </c>
      <c r="K139" s="123" t="inlineStr">
        <is>
          <t>23.5-25</t>
        </is>
      </c>
      <c r="L139" s="162" t="inlineStr">
        <is>
          <t>16PR</t>
        </is>
      </c>
      <c r="M139" s="162" t="inlineStr">
        <is>
          <t>T317</t>
        </is>
      </c>
      <c r="N139" s="490" t="n"/>
      <c r="O139" s="177" t="inlineStr">
        <is>
          <t>/</t>
        </is>
      </c>
      <c r="P139" s="194" t="n">
        <v>197.1</v>
      </c>
      <c r="Q139" s="194" t="n">
        <v>197.5</v>
      </c>
      <c r="R139" s="130">
        <f>P139-Q139</f>
        <v/>
      </c>
      <c r="S139" s="390">
        <f>_xlfn.TEXTJOIN("-",TRUE,K139,L139,M139)</f>
        <v/>
      </c>
      <c r="T139" s="123" t="inlineStr">
        <is>
          <t>100/90-12</t>
        </is>
      </c>
      <c r="U139" s="177" t="inlineStr">
        <is>
          <t>4PR</t>
        </is>
      </c>
      <c r="V139" s="177" t="inlineStr">
        <is>
          <t>H566</t>
        </is>
      </c>
      <c r="W139" s="177" t="inlineStr">
        <is>
          <t>100/90-12-4PR/59P HH</t>
        </is>
      </c>
      <c r="X139" s="177" t="n"/>
      <c r="Y139" s="131" t="n">
        <v>2.86</v>
      </c>
      <c r="Z139" s="131" t="n">
        <v>2.965</v>
      </c>
      <c r="AA139" s="130">
        <f>Y139-Z139</f>
        <v/>
      </c>
      <c r="AB139" s="390">
        <f>_xlfn.TEXTJOIN("-",TRUE,T139,U139,V139)</f>
        <v/>
      </c>
      <c r="AC139" s="184" t="n"/>
      <c r="AD139" s="184" t="n"/>
      <c r="AE139" s="184" t="n"/>
      <c r="AF139" s="184" t="n"/>
      <c r="AG139" s="184" t="n"/>
      <c r="AH139" s="184" t="n"/>
      <c r="AI139" s="184" t="n"/>
      <c r="AK139" s="390">
        <f>_xlfn.TEXTJOIN("-",TRUE,AC139,AD139,AE139)</f>
        <v/>
      </c>
      <c r="AL139" s="123" t="inlineStr">
        <is>
          <t>ST235/80R16</t>
        </is>
      </c>
      <c r="AM139" s="177" t="inlineStr">
        <is>
          <t>10PR</t>
        </is>
      </c>
      <c r="AN139" s="177" t="inlineStr">
        <is>
          <t>ST100</t>
        </is>
      </c>
      <c r="AO139" s="177" t="inlineStr">
        <is>
          <t>ST235/80R16-10PR ST-100/STZC</t>
        </is>
      </c>
      <c r="AP139" s="177" t="n"/>
      <c r="AQ139" s="131" t="n">
        <v>17.257</v>
      </c>
      <c r="AR139" s="131" t="n">
        <v>17.101</v>
      </c>
      <c r="AS139" s="130">
        <f>AQ139-AR139</f>
        <v/>
      </c>
      <c r="AT139" s="390">
        <f>_xlfn.TEXTJOIN("-",TRUE,AL139,AM139,AN139)</f>
        <v/>
      </c>
      <c r="AU139" s="123" t="inlineStr">
        <is>
          <t>205/65R15</t>
        </is>
      </c>
      <c r="AV139" s="177" t="inlineStr">
        <is>
          <t>/</t>
        </is>
      </c>
      <c r="AW139" s="177" t="inlineStr">
        <is>
          <t>G-118</t>
        </is>
      </c>
      <c r="AX139" s="177" t="inlineStr">
        <is>
          <t>S021678A-72</t>
        </is>
      </c>
      <c r="AY139" s="131" t="n">
        <v>8.414999999999999</v>
      </c>
      <c r="AZ139" s="131" t="n">
        <v>8.417</v>
      </c>
      <c r="BA139" s="130">
        <f>AY139-AZ139</f>
        <v/>
      </c>
      <c r="BB139" s="390">
        <f>_xlfn.TEXTJOIN("-",TRUE,AU139,AW139)</f>
        <v/>
      </c>
    </row>
    <row r="140" ht="13.8" customHeight="1" s="428">
      <c r="B140" s="143" t="inlineStr">
        <is>
          <t>11.00R20</t>
        </is>
      </c>
      <c r="C140" s="125" t="inlineStr">
        <is>
          <t>18PR</t>
        </is>
      </c>
      <c r="D140" s="125" t="inlineStr">
        <is>
          <t>EZ865</t>
        </is>
      </c>
      <c r="E140" s="186" t="inlineStr">
        <is>
          <t>ID11.00R20-18PR-EZ865 C ID EA823</t>
        </is>
      </c>
      <c r="F140" s="131">
        <f>G140-4.74+5.8</f>
        <v/>
      </c>
      <c r="G140" s="131" t="n">
        <v>79.03</v>
      </c>
      <c r="H140" s="191" t="n">
        <v>78.97</v>
      </c>
      <c r="I140" s="130">
        <f>G140-H140</f>
        <v/>
      </c>
      <c r="J140" s="115">
        <f>_xlfn.TEXTJOIN("-",TRUE,B140,C140,D140)</f>
        <v/>
      </c>
      <c r="K140" s="123" t="inlineStr">
        <is>
          <t>23.5-25</t>
        </is>
      </c>
      <c r="L140" s="162" t="inlineStr">
        <is>
          <t>20PR</t>
        </is>
      </c>
      <c r="M140" s="196" t="inlineStr">
        <is>
          <t>EL37</t>
        </is>
      </c>
      <c r="N140" s="177" t="inlineStr">
        <is>
          <t>/</t>
        </is>
      </c>
      <c r="O140" s="169" t="inlineStr">
        <is>
          <t>/</t>
        </is>
      </c>
      <c r="P140" s="194" t="n">
        <v>204.1</v>
      </c>
      <c r="Q140" s="194" t="n">
        <v>204.6</v>
      </c>
      <c r="R140" s="130">
        <f>P140-Q140</f>
        <v/>
      </c>
      <c r="S140" s="390">
        <f>_xlfn.TEXTJOIN("-",TRUE,K140,L140,M140)</f>
        <v/>
      </c>
      <c r="T140" s="123" t="inlineStr">
        <is>
          <t>100/90-12</t>
        </is>
      </c>
      <c r="U140" s="177" t="inlineStr">
        <is>
          <t>4PR</t>
        </is>
      </c>
      <c r="V140" s="177" t="inlineStr">
        <is>
          <t>H-565-2</t>
        </is>
      </c>
      <c r="W140" s="177" t="inlineStr">
        <is>
          <t>100/90-12-4PR/59P HH</t>
        </is>
      </c>
      <c r="X140" s="177" t="n"/>
      <c r="Y140" s="131" t="n">
        <v>2.86</v>
      </c>
      <c r="Z140" s="131" t="n">
        <v>2.865</v>
      </c>
      <c r="AA140" s="130">
        <f>Y140-Z140</f>
        <v/>
      </c>
      <c r="AB140" s="390">
        <f>_xlfn.TEXTJOIN("-",TRUE,T140,U140,V140)</f>
        <v/>
      </c>
      <c r="AC140" s="184" t="n"/>
      <c r="AD140" s="184" t="n"/>
      <c r="AE140" s="184" t="n"/>
      <c r="AF140" s="184" t="n"/>
      <c r="AG140" s="184" t="n"/>
      <c r="AH140" s="184" t="n"/>
      <c r="AI140" s="184" t="n"/>
      <c r="AK140" s="390">
        <f>_xlfn.TEXTJOIN("-",TRUE,AC140,AD140,AE140)</f>
        <v/>
      </c>
      <c r="AL140" s="123" t="inlineStr">
        <is>
          <t>ST235/80R16</t>
        </is>
      </c>
      <c r="AM140" s="177" t="inlineStr">
        <is>
          <t>10PR</t>
        </is>
      </c>
      <c r="AN140" s="177" t="inlineStr">
        <is>
          <t>STZC</t>
        </is>
      </c>
      <c r="AO140" s="177" t="inlineStr">
        <is>
          <t>ST235/80R16-10PR ST-100/STZC</t>
        </is>
      </c>
      <c r="AP140" s="177" t="n"/>
      <c r="AQ140" s="131" t="n">
        <v>17.257</v>
      </c>
      <c r="AR140" s="131" t="n">
        <v>17.101</v>
      </c>
      <c r="AS140" s="130">
        <f>AQ140-AR140</f>
        <v/>
      </c>
      <c r="AT140" s="390">
        <f>_xlfn.TEXTJOIN("-",TRUE,AL140,AM140,AN140)</f>
        <v/>
      </c>
      <c r="AU140" s="123" t="inlineStr">
        <is>
          <t>205/65R15</t>
        </is>
      </c>
      <c r="AV140" s="177" t="inlineStr">
        <is>
          <t>/</t>
        </is>
      </c>
      <c r="AW140" s="139" t="inlineStr">
        <is>
          <t>T-118</t>
        </is>
      </c>
      <c r="AX140" s="177" t="inlineStr">
        <is>
          <t>S021678A-72</t>
        </is>
      </c>
      <c r="AY140" s="131" t="n">
        <v>8.414999999999999</v>
      </c>
      <c r="AZ140" s="131" t="n">
        <v>8.417</v>
      </c>
      <c r="BA140" s="130">
        <f>AY140-AZ140</f>
        <v/>
      </c>
      <c r="BB140" s="390">
        <f>_xlfn.TEXTJOIN("-",TRUE,AU140,AW140)</f>
        <v/>
      </c>
    </row>
    <row r="141">
      <c r="B141" s="143" t="inlineStr">
        <is>
          <t>11.00R20</t>
        </is>
      </c>
      <c r="C141" s="125" t="inlineStr">
        <is>
          <t>18PR</t>
        </is>
      </c>
      <c r="D141" s="125" t="inlineStr">
        <is>
          <t>EZ033</t>
        </is>
      </c>
      <c r="E141" s="186" t="inlineStr">
        <is>
          <t>ID11.00R20-18PR-EZ033 C ID A827</t>
        </is>
      </c>
      <c r="F141" s="131">
        <f>G141-4.74+5.8</f>
        <v/>
      </c>
      <c r="G141" s="131" t="n">
        <v>68.404</v>
      </c>
      <c r="H141" s="191" t="n">
        <v>68.27</v>
      </c>
      <c r="I141" s="130">
        <f>G141-H141</f>
        <v/>
      </c>
      <c r="J141" s="115">
        <f>_xlfn.TEXTJOIN("-",TRUE,B141,C141,D141)</f>
        <v/>
      </c>
      <c r="K141" s="123" t="inlineStr">
        <is>
          <t>23.5-25</t>
        </is>
      </c>
      <c r="L141" s="162" t="inlineStr">
        <is>
          <t>20PR</t>
        </is>
      </c>
      <c r="M141" s="196" t="inlineStr">
        <is>
          <t>T317</t>
        </is>
      </c>
      <c r="N141" s="490" t="n"/>
      <c r="O141" s="169" t="inlineStr">
        <is>
          <t>/</t>
        </is>
      </c>
      <c r="P141" s="194" t="n">
        <v>204.1</v>
      </c>
      <c r="Q141" s="194" t="n">
        <v>204.6</v>
      </c>
      <c r="R141" s="130">
        <f>P141-Q141</f>
        <v/>
      </c>
      <c r="S141" s="390">
        <f>_xlfn.TEXTJOIN("-",TRUE,K141,L141,M141)</f>
        <v/>
      </c>
      <c r="T141" s="123" t="inlineStr">
        <is>
          <t>100/90-12</t>
        </is>
      </c>
      <c r="U141" s="177" t="inlineStr">
        <is>
          <t>/</t>
        </is>
      </c>
      <c r="V141" s="177" t="inlineStr">
        <is>
          <t>RS05</t>
        </is>
      </c>
      <c r="W141" s="177" t="inlineStr">
        <is>
          <t>100/90-12-59P RS05</t>
        </is>
      </c>
      <c r="X141" s="177" t="n"/>
      <c r="Y141" s="131" t="n">
        <v>3.015</v>
      </c>
      <c r="Z141" s="131" t="n">
        <v>3.015</v>
      </c>
      <c r="AA141" s="130">
        <f>Y141-Z141</f>
        <v/>
      </c>
      <c r="AB141" s="390">
        <f>_xlfn.TEXTJOIN("-",TRUE,T141,U141,V141)</f>
        <v/>
      </c>
      <c r="AC141" s="184" t="n"/>
      <c r="AD141" s="184" t="n"/>
      <c r="AE141" s="184" t="n"/>
      <c r="AF141" s="184" t="n"/>
      <c r="AG141" s="184" t="n"/>
      <c r="AH141" s="184" t="n"/>
      <c r="AI141" s="184" t="n"/>
      <c r="AK141" s="390">
        <f>_xlfn.TEXTJOIN("-",TRUE,AC141,AD141,AE141)</f>
        <v/>
      </c>
      <c r="AL141" s="123" t="inlineStr">
        <is>
          <t>ST235/80R16</t>
        </is>
      </c>
      <c r="AM141" s="177" t="inlineStr">
        <is>
          <t>10PR</t>
        </is>
      </c>
      <c r="AN141" s="177" t="inlineStr">
        <is>
          <t>ST100A</t>
        </is>
      </c>
      <c r="AO141" s="177" t="inlineStr">
        <is>
          <t>ST235/80R16-10PR SDAT</t>
        </is>
      </c>
      <c r="AP141" s="177" t="n"/>
      <c r="AQ141" s="131" t="n">
        <v>15.741</v>
      </c>
      <c r="AR141" s="131" t="n">
        <v>15.482</v>
      </c>
      <c r="AS141" s="130">
        <f>AQ141-AR141</f>
        <v/>
      </c>
      <c r="AT141" s="390">
        <f>_xlfn.TEXTJOIN("-",TRUE,AL141,AM141,AN141)</f>
        <v/>
      </c>
      <c r="AU141" s="123" t="inlineStr">
        <is>
          <t>205/65R15</t>
        </is>
      </c>
      <c r="AV141" s="177" t="inlineStr">
        <is>
          <t>/</t>
        </is>
      </c>
      <c r="AW141" s="139" t="inlineStr">
        <is>
          <t>Z-108</t>
        </is>
      </c>
      <c r="AX141" s="177" t="inlineStr">
        <is>
          <t>S021678A-72</t>
        </is>
      </c>
      <c r="AY141" s="131" t="n">
        <v>8.414999999999999</v>
      </c>
      <c r="AZ141" s="131" t="n">
        <v>8.417</v>
      </c>
      <c r="BA141" s="130">
        <f>AY141-AZ141</f>
        <v/>
      </c>
      <c r="BB141" s="390">
        <f>_xlfn.TEXTJOIN("-",TRUE,AU141,AW141)</f>
        <v/>
      </c>
    </row>
    <row r="142">
      <c r="B142" s="132" t="n"/>
      <c r="C142" s="178" t="n"/>
      <c r="D142" s="178" t="n"/>
      <c r="E142" s="178" t="n"/>
      <c r="F142" s="135" t="n"/>
      <c r="G142" s="135" t="n"/>
      <c r="H142" s="185" t="n"/>
      <c r="I142" s="134" t="n"/>
      <c r="J142" s="115">
        <f>_xlfn.TEXTJOIN("-",TRUE,B142,C142,D142)</f>
        <v/>
      </c>
      <c r="K142" s="123" t="inlineStr">
        <is>
          <t>23.5-25</t>
        </is>
      </c>
      <c r="L142" s="162" t="inlineStr">
        <is>
          <t>24PR</t>
        </is>
      </c>
      <c r="M142" s="196" t="inlineStr">
        <is>
          <t>EL37</t>
        </is>
      </c>
      <c r="N142" s="490" t="n"/>
      <c r="O142" s="169" t="inlineStr">
        <is>
          <t>/</t>
        </is>
      </c>
      <c r="P142" s="194" t="n">
        <v>204.1</v>
      </c>
      <c r="Q142" s="194" t="n">
        <v>204.7</v>
      </c>
      <c r="R142" s="130">
        <f>P142-Q142</f>
        <v/>
      </c>
      <c r="S142" s="390">
        <f>_xlfn.TEXTJOIN("-",TRUE,K142,L142,M142)</f>
        <v/>
      </c>
      <c r="T142" s="132" t="n"/>
      <c r="U142" s="178" t="n"/>
      <c r="V142" s="178" t="n"/>
      <c r="W142" s="178" t="n"/>
      <c r="X142" s="178" t="n"/>
      <c r="Y142" s="178" t="n"/>
      <c r="Z142" s="178" t="n"/>
      <c r="AA142" s="134" t="n"/>
      <c r="AB142" s="390">
        <f>_xlfn.TEXTJOIN("-",TRUE,T142,U142,V142)</f>
        <v/>
      </c>
      <c r="AC142" s="184" t="n"/>
      <c r="AD142" s="184" t="n"/>
      <c r="AE142" s="184" t="n"/>
      <c r="AF142" s="184" t="n"/>
      <c r="AG142" s="184" t="n"/>
      <c r="AH142" s="184" t="n"/>
      <c r="AI142" s="184" t="n"/>
      <c r="AK142" s="390">
        <f>_xlfn.TEXTJOIN("-",TRUE,AC142,AD142,AE142)</f>
        <v/>
      </c>
      <c r="AL142" s="123" t="inlineStr">
        <is>
          <t>ST235/80R16</t>
        </is>
      </c>
      <c r="AM142" s="177" t="inlineStr">
        <is>
          <t>10PR</t>
        </is>
      </c>
      <c r="AN142" s="177" t="inlineStr">
        <is>
          <t>DURAHAULER ST</t>
        </is>
      </c>
      <c r="AO142" s="177" t="inlineStr">
        <is>
          <t>ST235/80R16-10PR SDAT</t>
        </is>
      </c>
      <c r="AP142" s="177" t="n"/>
      <c r="AQ142" s="131" t="n">
        <v>15.741</v>
      </c>
      <c r="AR142" s="131" t="n">
        <v>15.482</v>
      </c>
      <c r="AS142" s="130">
        <f>AQ142-AR142</f>
        <v/>
      </c>
      <c r="AT142" s="390">
        <f>_xlfn.TEXTJOIN("-",TRUE,AL142,AM142,AN142)</f>
        <v/>
      </c>
      <c r="AU142" s="123" t="inlineStr">
        <is>
          <t>205/65R15</t>
        </is>
      </c>
      <c r="AV142" s="177" t="inlineStr">
        <is>
          <t>/</t>
        </is>
      </c>
      <c r="AW142" s="139" t="inlineStr">
        <is>
          <t>RP218</t>
        </is>
      </c>
      <c r="AX142" s="177" t="inlineStr">
        <is>
          <t>S021500A-60</t>
        </is>
      </c>
      <c r="AY142" s="131" t="n">
        <v>9.057</v>
      </c>
      <c r="AZ142" s="131" t="n">
        <v>9.066000000000001</v>
      </c>
      <c r="BA142" s="130">
        <f>AY142-AZ142</f>
        <v/>
      </c>
      <c r="BB142" s="390">
        <f>_xlfn.TEXTJOIN("-",TRUE,AU142,AW142)</f>
        <v/>
      </c>
    </row>
    <row r="143" ht="13.8" customFormat="1" customHeight="1" s="390">
      <c r="B143" s="140" t="inlineStr">
        <is>
          <t>11R22.5</t>
        </is>
      </c>
      <c r="C143" s="141" t="inlineStr">
        <is>
          <t>16PR</t>
        </is>
      </c>
      <c r="D143" s="141" t="inlineStr">
        <is>
          <t>AS858</t>
        </is>
      </c>
      <c r="E143" s="141" t="inlineStr">
        <is>
          <t>ID11R22.5-16PR-A C ID</t>
        </is>
      </c>
      <c r="F143" s="197">
        <f>G143-2.777+3.17</f>
        <v/>
      </c>
      <c r="G143" s="197" t="n">
        <v>57.238</v>
      </c>
      <c r="H143" s="131" t="n">
        <v>57.1635</v>
      </c>
      <c r="I143" s="198">
        <f>G143-H143</f>
        <v/>
      </c>
      <c r="J143" s="115">
        <f>_xlfn.TEXTJOIN("-",TRUE,B143,C143,D143)</f>
        <v/>
      </c>
      <c r="K143" s="123" t="inlineStr">
        <is>
          <t>23.5-25</t>
        </is>
      </c>
      <c r="L143" s="162" t="inlineStr">
        <is>
          <t>24PR</t>
        </is>
      </c>
      <c r="M143" s="196" t="inlineStr">
        <is>
          <t>T317</t>
        </is>
      </c>
      <c r="N143" s="489" t="n"/>
      <c r="O143" s="169" t="inlineStr">
        <is>
          <t>/</t>
        </is>
      </c>
      <c r="P143" s="194" t="n">
        <v>204.1</v>
      </c>
      <c r="Q143" s="194" t="n">
        <v>204.7</v>
      </c>
      <c r="R143" s="130">
        <f>P143-Q143</f>
        <v/>
      </c>
      <c r="S143" s="390">
        <f>_xlfn.TEXTJOIN("-",TRUE,K143,L143,M143)</f>
        <v/>
      </c>
      <c r="T143" s="123" t="inlineStr">
        <is>
          <t>100/90-14</t>
        </is>
      </c>
      <c r="U143" s="177" t="inlineStr">
        <is>
          <t>6PR</t>
        </is>
      </c>
      <c r="V143" s="177" t="inlineStr">
        <is>
          <t>H577</t>
        </is>
      </c>
      <c r="W143" s="177" t="inlineStr">
        <is>
          <t>100/90-14-6PR/57P H577</t>
        </is>
      </c>
      <c r="X143" s="177" t="n"/>
      <c r="Y143" s="131" t="n">
        <v>3.665</v>
      </c>
      <c r="Z143" s="131" t="n">
        <v>3.665</v>
      </c>
      <c r="AA143" s="130">
        <f>Y143-Z143</f>
        <v/>
      </c>
      <c r="AB143" s="390">
        <f>_xlfn.TEXTJOIN("-",TRUE,T143,U143,V143)</f>
        <v/>
      </c>
      <c r="AC143" s="184" t="n"/>
      <c r="AD143" s="184" t="n"/>
      <c r="AE143" s="184" t="n"/>
      <c r="AF143" s="184" t="n"/>
      <c r="AG143" s="184" t="n"/>
      <c r="AH143" s="184" t="n"/>
      <c r="AI143" s="184" t="n"/>
      <c r="AJ143" s="116" t="n"/>
      <c r="AK143" s="390">
        <f>_xlfn.TEXTJOIN("-",TRUE,AC143,AD143,AE143)</f>
        <v/>
      </c>
      <c r="AL143" s="123" t="inlineStr">
        <is>
          <t>ST235/80R16</t>
        </is>
      </c>
      <c r="AM143" s="177" t="inlineStr">
        <is>
          <t>10PR</t>
        </is>
      </c>
      <c r="AN143" s="177" t="inlineStr">
        <is>
          <t>ASSURE ST</t>
        </is>
      </c>
      <c r="AO143" s="177" t="inlineStr">
        <is>
          <t>ST235/80R16-10PR SDAT</t>
        </is>
      </c>
      <c r="AP143" s="177" t="n"/>
      <c r="AQ143" s="131" t="n">
        <v>15.741</v>
      </c>
      <c r="AR143" s="131" t="n">
        <v>15.482</v>
      </c>
      <c r="AS143" s="130">
        <f>AQ143-AR143</f>
        <v/>
      </c>
      <c r="AT143" s="390">
        <f>_xlfn.TEXTJOIN("-",TRUE,AL143,AM143,AN143)</f>
        <v/>
      </c>
      <c r="AU143" s="132" t="n"/>
      <c r="AV143" s="178" t="n"/>
      <c r="AW143" s="178" t="n"/>
      <c r="AX143" s="178" t="n"/>
      <c r="AY143" s="135" t="n"/>
      <c r="AZ143" s="135" t="n"/>
      <c r="BA143" s="136" t="n"/>
      <c r="BB143" s="390">
        <f>_xlfn.TEXTJOIN("-",TRUE,AU143,AW143)</f>
        <v/>
      </c>
    </row>
    <row r="144" ht="13.8" customHeight="1" s="428">
      <c r="B144" s="123" t="inlineStr">
        <is>
          <t>11R22.5</t>
        </is>
      </c>
      <c r="C144" s="177" t="inlineStr">
        <is>
          <t>16PR</t>
        </is>
      </c>
      <c r="D144" s="177" t="inlineStr">
        <is>
          <t>AS868</t>
        </is>
      </c>
      <c r="E144" s="141" t="inlineStr">
        <is>
          <t>ID11R22.5-16PR-A C ID</t>
        </is>
      </c>
      <c r="F144" s="197">
        <f>G144-2.777+3.17</f>
        <v/>
      </c>
      <c r="G144" s="197" t="n">
        <v>57.238</v>
      </c>
      <c r="H144" s="131" t="n">
        <v>57.1635</v>
      </c>
      <c r="I144" s="198">
        <f>G144-H144</f>
        <v/>
      </c>
      <c r="J144" s="115">
        <f>_xlfn.TEXTJOIN("-",TRUE,B144,C144,D144)</f>
        <v/>
      </c>
      <c r="K144" s="132" t="n"/>
      <c r="L144" s="178" t="n"/>
      <c r="M144" s="178" t="n"/>
      <c r="N144" s="178" t="n"/>
      <c r="O144" s="178" t="n"/>
      <c r="P144" s="178" t="n"/>
      <c r="Q144" s="178" t="n"/>
      <c r="R144" s="134" t="n"/>
      <c r="S144" s="390">
        <f>_xlfn.TEXTJOIN("-",TRUE,K144,L144,M144)</f>
        <v/>
      </c>
      <c r="T144" s="123" t="inlineStr">
        <is>
          <t>100/90-14</t>
        </is>
      </c>
      <c r="U144" s="177" t="inlineStr">
        <is>
          <t>6PR</t>
        </is>
      </c>
      <c r="V144" s="177" t="inlineStr">
        <is>
          <t>H597</t>
        </is>
      </c>
      <c r="W144" s="177" t="inlineStr">
        <is>
          <t>100/90-14TL-6PR H597</t>
        </is>
      </c>
      <c r="X144" s="177" t="n"/>
      <c r="Y144" s="131" t="n">
        <v>3.79</v>
      </c>
      <c r="Z144" s="131" t="n">
        <v>3.625</v>
      </c>
      <c r="AA144" s="130">
        <f>Y144-Z144</f>
        <v/>
      </c>
      <c r="AB144" s="390">
        <f>_xlfn.TEXTJOIN("-",TRUE,T144,U144,V144)</f>
        <v/>
      </c>
      <c r="AC144" s="184" t="n"/>
      <c r="AD144" s="184" t="n"/>
      <c r="AE144" s="184" t="n"/>
      <c r="AF144" s="184" t="n"/>
      <c r="AG144" s="184" t="n"/>
      <c r="AH144" s="184" t="n"/>
      <c r="AI144" s="184" t="n"/>
      <c r="AK144" s="390">
        <f>_xlfn.TEXTJOIN("-",TRUE,AC144,AD144,AE144)</f>
        <v/>
      </c>
      <c r="AL144" s="123" t="inlineStr">
        <is>
          <t>ST235/80R16</t>
        </is>
      </c>
      <c r="AM144" s="177" t="inlineStr">
        <is>
          <t>10PR</t>
        </is>
      </c>
      <c r="AN144" s="177" t="inlineStr">
        <is>
          <t>Tow Pro ST</t>
        </is>
      </c>
      <c r="AO144" s="177" t="inlineStr">
        <is>
          <t>ST235/80R16-10PR SDAT</t>
        </is>
      </c>
      <c r="AP144" s="177" t="n"/>
      <c r="AQ144" s="131" t="n">
        <v>15.741</v>
      </c>
      <c r="AR144" s="131" t="n">
        <v>15.482</v>
      </c>
      <c r="AS144" s="130">
        <f>AQ144-AR144</f>
        <v/>
      </c>
      <c r="AT144" s="390">
        <f>_xlfn.TEXTJOIN("-",TRUE,AL144,AM144,AN144)</f>
        <v/>
      </c>
      <c r="AU144" s="123" t="inlineStr">
        <is>
          <t>205/65R16</t>
        </is>
      </c>
      <c r="AV144" s="177" t="inlineStr">
        <is>
          <t>/</t>
        </is>
      </c>
      <c r="AW144" s="177" t="inlineStr">
        <is>
          <t>C-108</t>
        </is>
      </c>
      <c r="AX144" s="177" t="inlineStr">
        <is>
          <t>S021679A-72</t>
        </is>
      </c>
      <c r="AY144" s="131" t="n">
        <v>8.956</v>
      </c>
      <c r="AZ144" s="131" t="n">
        <v>8.958</v>
      </c>
      <c r="BA144" s="130">
        <f>AY144-AZ144</f>
        <v/>
      </c>
      <c r="BB144" s="390">
        <f>_xlfn.TEXTJOIN("-",TRUE,AU144,AW144)</f>
        <v/>
      </c>
    </row>
    <row r="145" ht="13.8" customHeight="1" s="428">
      <c r="B145" s="123" t="inlineStr">
        <is>
          <t>11R22.5</t>
        </is>
      </c>
      <c r="C145" s="177" t="inlineStr">
        <is>
          <t>16PR</t>
        </is>
      </c>
      <c r="D145" s="177" t="inlineStr">
        <is>
          <t>AZ850</t>
        </is>
      </c>
      <c r="E145" s="177" t="inlineStr">
        <is>
          <t>ID11R22.5-16PR-AZ850 C ID</t>
        </is>
      </c>
      <c r="F145" s="197">
        <f>G145-2.777+3.17</f>
        <v/>
      </c>
      <c r="G145" s="197" t="n">
        <v>56.193</v>
      </c>
      <c r="H145" s="131" t="n">
        <v>56.1625</v>
      </c>
      <c r="I145" s="198">
        <f>G145-H145</f>
        <v/>
      </c>
      <c r="J145" s="115">
        <f>_xlfn.TEXTJOIN("-",TRUE,B145,C145,D145)</f>
        <v/>
      </c>
      <c r="K145" s="123" t="inlineStr">
        <is>
          <t>18-625</t>
        </is>
      </c>
      <c r="L145" s="177" t="inlineStr">
        <is>
          <t>16PR</t>
        </is>
      </c>
      <c r="M145" s="177" t="inlineStr">
        <is>
          <t>Outrigger</t>
        </is>
      </c>
      <c r="N145" s="177" t="inlineStr">
        <is>
          <t>/</t>
        </is>
      </c>
      <c r="O145" s="177" t="inlineStr">
        <is>
          <t>/</t>
        </is>
      </c>
      <c r="P145" s="131" t="n">
        <v>75.43000000000001</v>
      </c>
      <c r="Q145" s="131" t="n">
        <v>74.34999999999999</v>
      </c>
      <c r="R145" s="130">
        <f>P145-Q145</f>
        <v/>
      </c>
      <c r="S145" s="390">
        <f>_xlfn.TEXTJOIN("-",TRUE,K145,L145,M145)</f>
        <v/>
      </c>
      <c r="T145" s="132" t="n"/>
      <c r="U145" s="178" t="n"/>
      <c r="V145" s="178" t="n"/>
      <c r="W145" s="178" t="n"/>
      <c r="X145" s="178" t="n"/>
      <c r="Y145" s="178" t="n"/>
      <c r="Z145" s="178" t="n"/>
      <c r="AA145" s="134" t="n"/>
      <c r="AB145" s="390">
        <f>_xlfn.TEXTJOIN("-",TRUE,T145,U145,V145)</f>
        <v/>
      </c>
      <c r="AC145" s="184" t="n"/>
      <c r="AD145" s="184" t="n"/>
      <c r="AE145" s="184" t="n"/>
      <c r="AF145" s="184" t="n"/>
      <c r="AG145" s="184" t="n"/>
      <c r="AH145" s="184" t="n"/>
      <c r="AI145" s="184" t="n"/>
      <c r="AK145" s="390">
        <f>_xlfn.TEXTJOIN("-",TRUE,AC145,AD145,AE145)</f>
        <v/>
      </c>
      <c r="AL145" s="123" t="inlineStr">
        <is>
          <t>ST235/80R16</t>
        </is>
      </c>
      <c r="AM145" s="177" t="inlineStr">
        <is>
          <t>12PR</t>
        </is>
      </c>
      <c r="AN145" s="177" t="inlineStr">
        <is>
          <t>ST100A</t>
        </is>
      </c>
      <c r="AO145" s="177" t="inlineStr">
        <is>
          <t>ST235/80R16-12PR SDAT</t>
        </is>
      </c>
      <c r="AP145" s="177" t="n"/>
      <c r="AQ145" s="131" t="n">
        <v>17.664</v>
      </c>
      <c r="AR145" s="131" t="n">
        <v>17.436</v>
      </c>
      <c r="AS145" s="130">
        <f>AQ145-AR145</f>
        <v/>
      </c>
      <c r="AT145" s="390">
        <f>_xlfn.TEXTJOIN("-",TRUE,AL145,AM145,AN145)</f>
        <v/>
      </c>
      <c r="AU145" s="123" t="inlineStr">
        <is>
          <t>205/65R16</t>
        </is>
      </c>
      <c r="AV145" s="177" t="inlineStr">
        <is>
          <t>/</t>
        </is>
      </c>
      <c r="AW145" s="177" t="inlineStr">
        <is>
          <t>G-118</t>
        </is>
      </c>
      <c r="AX145" s="177" t="inlineStr">
        <is>
          <t>S021679A-72</t>
        </is>
      </c>
      <c r="AY145" s="131" t="n">
        <v>8.956</v>
      </c>
      <c r="AZ145" s="131" t="n">
        <v>8.958</v>
      </c>
      <c r="BA145" s="130">
        <f>AY145-AZ145</f>
        <v/>
      </c>
      <c r="BB145" s="390">
        <f>_xlfn.TEXTJOIN("-",TRUE,AU145,AW145)</f>
        <v/>
      </c>
    </row>
    <row r="146">
      <c r="B146" s="123" t="inlineStr">
        <is>
          <t>11R22.5</t>
        </is>
      </c>
      <c r="C146" s="177" t="inlineStr">
        <is>
          <t>14PR</t>
        </is>
      </c>
      <c r="D146" s="177" t="inlineStr">
        <is>
          <t>CR915</t>
        </is>
      </c>
      <c r="E146" s="125" t="inlineStr">
        <is>
          <t>ID11R22.5-14PR-CAH C ID</t>
        </is>
      </c>
      <c r="F146" s="197">
        <f>G146-2.777+3.17</f>
        <v/>
      </c>
      <c r="G146" s="129" t="n">
        <v>48.51</v>
      </c>
      <c r="H146" s="131" t="n">
        <v>48.4462</v>
      </c>
      <c r="I146" s="198">
        <f>G146-H146</f>
        <v/>
      </c>
      <c r="J146" s="115">
        <f>_xlfn.TEXTJOIN("-",TRUE,B146,C146,D146)</f>
        <v/>
      </c>
      <c r="K146" s="132" t="n"/>
      <c r="L146" s="178" t="n"/>
      <c r="M146" s="178" t="n"/>
      <c r="N146" s="178" t="n"/>
      <c r="O146" s="178" t="n"/>
      <c r="P146" s="178" t="n"/>
      <c r="Q146" s="178" t="n"/>
      <c r="R146" s="134" t="n"/>
      <c r="S146" s="390">
        <f>_xlfn.TEXTJOIN("-",TRUE,K146,L146,M146)</f>
        <v/>
      </c>
      <c r="T146" s="123" t="inlineStr">
        <is>
          <t>110/70-12</t>
        </is>
      </c>
      <c r="U146" s="177" t="inlineStr">
        <is>
          <t>6PR</t>
        </is>
      </c>
      <c r="V146" s="177" t="inlineStr">
        <is>
          <t>H566</t>
        </is>
      </c>
      <c r="W146" s="177" t="inlineStr">
        <is>
          <t>110/70-12-6PR/53P HH</t>
        </is>
      </c>
      <c r="X146" s="177" t="n"/>
      <c r="Y146" s="131" t="n">
        <v>2.81</v>
      </c>
      <c r="Z146" s="131" t="n">
        <v>2.81</v>
      </c>
      <c r="AA146" s="130">
        <f>Y146-Z146</f>
        <v/>
      </c>
      <c r="AB146" s="390">
        <f>_xlfn.TEXTJOIN("-",TRUE,T146,U146,V146)</f>
        <v/>
      </c>
      <c r="AC146" s="184" t="n"/>
      <c r="AD146" s="184" t="n"/>
      <c r="AE146" s="184" t="n"/>
      <c r="AF146" s="184" t="n"/>
      <c r="AG146" s="184" t="n"/>
      <c r="AH146" s="184" t="n"/>
      <c r="AI146" s="184" t="n"/>
      <c r="AK146" s="390">
        <f>_xlfn.TEXTJOIN("-",TRUE,AC146,AD146,AE146)</f>
        <v/>
      </c>
      <c r="AL146" s="123" t="inlineStr">
        <is>
          <t>ST235/80R16</t>
        </is>
      </c>
      <c r="AM146" s="177" t="inlineStr">
        <is>
          <t>12PR</t>
        </is>
      </c>
      <c r="AN146" s="177" t="inlineStr">
        <is>
          <t>DURAHAULER ST</t>
        </is>
      </c>
      <c r="AO146" s="177" t="inlineStr">
        <is>
          <t>ST235/80R16-12PR SDAT</t>
        </is>
      </c>
      <c r="AP146" s="177" t="n"/>
      <c r="AQ146" s="131" t="n">
        <v>17.664</v>
      </c>
      <c r="AR146" s="131" t="n">
        <v>17.436</v>
      </c>
      <c r="AS146" s="130">
        <f>AQ146-AR146</f>
        <v/>
      </c>
      <c r="AT146" s="390">
        <f>_xlfn.TEXTJOIN("-",TRUE,AL146,AM146,AN146)</f>
        <v/>
      </c>
      <c r="AU146" s="123" t="inlineStr">
        <is>
          <t>205/65R16</t>
        </is>
      </c>
      <c r="AV146" s="177" t="inlineStr">
        <is>
          <t>/</t>
        </is>
      </c>
      <c r="AW146" s="139" t="inlineStr">
        <is>
          <t>T-118</t>
        </is>
      </c>
      <c r="AX146" s="177" t="inlineStr">
        <is>
          <t>S021679A-72</t>
        </is>
      </c>
      <c r="AY146" s="131" t="n">
        <v>8.956</v>
      </c>
      <c r="AZ146" s="131" t="n">
        <v>8.958</v>
      </c>
      <c r="BA146" s="130">
        <f>AY146-AZ146</f>
        <v/>
      </c>
      <c r="BB146" s="390">
        <f>_xlfn.TEXTJOIN("-",TRUE,AU146,AW146)</f>
        <v/>
      </c>
    </row>
    <row r="147" ht="13.8" customHeight="1" s="428">
      <c r="B147" s="123" t="inlineStr">
        <is>
          <t>11R22.5</t>
        </is>
      </c>
      <c r="C147" s="177" t="inlineStr">
        <is>
          <t>14PR</t>
        </is>
      </c>
      <c r="D147" s="177" t="inlineStr">
        <is>
          <t>AT598</t>
        </is>
      </c>
      <c r="E147" s="125" t="inlineStr">
        <is>
          <t>ID11R22.5-14PR-CAH C ID</t>
        </is>
      </c>
      <c r="F147" s="197">
        <f>G147-2.777+3.17</f>
        <v/>
      </c>
      <c r="G147" s="129" t="n">
        <v>48.51</v>
      </c>
      <c r="H147" s="131" t="n">
        <v>48.4462</v>
      </c>
      <c r="I147" s="198">
        <f>G147-H147</f>
        <v/>
      </c>
      <c r="J147" s="115">
        <f>_xlfn.TEXTJOIN("-",TRUE,B147,C147,D147)</f>
        <v/>
      </c>
      <c r="K147" s="123" t="inlineStr">
        <is>
          <t>355/55D625</t>
        </is>
      </c>
      <c r="L147" s="177" t="inlineStr">
        <is>
          <t>14PR</t>
        </is>
      </c>
      <c r="M147" s="177" t="inlineStr">
        <is>
          <t>Outrigger XT(NL)</t>
        </is>
      </c>
      <c r="N147" s="177" t="inlineStr">
        <is>
          <t>355/55D625-14PR Outrigger XT</t>
        </is>
      </c>
      <c r="O147" s="177" t="inlineStr">
        <is>
          <t>/</t>
        </is>
      </c>
      <c r="P147" s="131" t="n">
        <v>51.7</v>
      </c>
      <c r="Q147" s="131" t="n">
        <v>52</v>
      </c>
      <c r="R147" s="130">
        <f>P147-Q147</f>
        <v/>
      </c>
      <c r="S147" s="390">
        <f>_xlfn.TEXTJOIN("-",TRUE,K147,L147,M147)</f>
        <v/>
      </c>
      <c r="T147" s="123" t="inlineStr">
        <is>
          <t>110/70-12</t>
        </is>
      </c>
      <c r="U147" s="177" t="inlineStr">
        <is>
          <t>6PR</t>
        </is>
      </c>
      <c r="V147" s="177" t="inlineStr">
        <is>
          <t>H565-2</t>
        </is>
      </c>
      <c r="W147" s="177" t="inlineStr">
        <is>
          <t>110/70-12-6PR/53P HH</t>
        </is>
      </c>
      <c r="X147" s="177" t="n"/>
      <c r="Y147" s="131" t="n">
        <v>2.81</v>
      </c>
      <c r="Z147" s="131" t="n">
        <v>2.81</v>
      </c>
      <c r="AA147" s="130">
        <f>Y147-Z147</f>
        <v/>
      </c>
      <c r="AB147" s="390">
        <f>_xlfn.TEXTJOIN("-",TRUE,T147,U147,V147)</f>
        <v/>
      </c>
      <c r="AC147" s="184" t="n"/>
      <c r="AD147" s="184" t="n"/>
      <c r="AE147" s="184" t="n"/>
      <c r="AF147" s="184" t="n"/>
      <c r="AG147" s="184" t="n"/>
      <c r="AH147" s="184" t="n"/>
      <c r="AI147" s="184" t="n"/>
      <c r="AK147" s="390">
        <f>_xlfn.TEXTJOIN("-",TRUE,AC147,AD147,AE147)</f>
        <v/>
      </c>
      <c r="AL147" s="123" t="inlineStr">
        <is>
          <t>ST235/80R16</t>
        </is>
      </c>
      <c r="AM147" s="177" t="inlineStr">
        <is>
          <t>12PR</t>
        </is>
      </c>
      <c r="AN147" s="177" t="inlineStr">
        <is>
          <t>ASSURE ST</t>
        </is>
      </c>
      <c r="AO147" s="177" t="inlineStr">
        <is>
          <t>ST235/80R16-12PR SDAT</t>
        </is>
      </c>
      <c r="AP147" s="177" t="n"/>
      <c r="AQ147" s="131" t="n">
        <v>17.664</v>
      </c>
      <c r="AR147" s="131" t="n">
        <v>17.436</v>
      </c>
      <c r="AS147" s="130">
        <f>AQ147-AR147</f>
        <v/>
      </c>
      <c r="AT147" s="390">
        <f>_xlfn.TEXTJOIN("-",TRUE,AL147,AM147,AN147)</f>
        <v/>
      </c>
      <c r="AU147" s="123" t="inlineStr">
        <is>
          <t>205/65R16</t>
        </is>
      </c>
      <c r="AV147" s="177" t="inlineStr">
        <is>
          <t>/</t>
        </is>
      </c>
      <c r="AW147" s="139" t="inlineStr">
        <is>
          <t>Z-108</t>
        </is>
      </c>
      <c r="AX147" s="177" t="inlineStr">
        <is>
          <t>S021358A-72</t>
        </is>
      </c>
      <c r="AY147" s="131" t="n">
        <v>8.956</v>
      </c>
      <c r="AZ147" s="131" t="n">
        <v>8.958</v>
      </c>
      <c r="BA147" s="130">
        <f>AY147-AZ147</f>
        <v/>
      </c>
      <c r="BB147" s="390">
        <f>_xlfn.TEXTJOIN("-",TRUE,AU147,AW147)</f>
        <v/>
      </c>
    </row>
    <row r="148" ht="16.35" customHeight="1" s="428">
      <c r="B148" s="123" t="inlineStr">
        <is>
          <t>11R22.5</t>
        </is>
      </c>
      <c r="C148" s="177" t="inlineStr">
        <is>
          <t>14PR</t>
        </is>
      </c>
      <c r="D148" s="177" t="inlineStr">
        <is>
          <t>HT1 Plus</t>
        </is>
      </c>
      <c r="E148" s="125" t="inlineStr">
        <is>
          <t>ID11R22.5-14PR-CAH C ID</t>
        </is>
      </c>
      <c r="F148" s="197">
        <f>G148-2.777+3.17</f>
        <v/>
      </c>
      <c r="G148" s="129" t="n">
        <v>48.51</v>
      </c>
      <c r="H148" s="131" t="n">
        <v>48.4462</v>
      </c>
      <c r="I148" s="198">
        <f>G148-H148</f>
        <v/>
      </c>
      <c r="J148" s="115">
        <f>_xlfn.TEXTJOIN("-",TRUE,B148,C148,D148)</f>
        <v/>
      </c>
      <c r="K148" s="199" t="n"/>
      <c r="L148" s="200" t="n"/>
      <c r="M148" s="200" t="n"/>
      <c r="N148" s="200" t="n"/>
      <c r="O148" s="201" t="n"/>
      <c r="P148" s="201" t="n"/>
      <c r="Q148" s="200" t="n"/>
      <c r="R148" s="202" t="n"/>
      <c r="S148" s="390">
        <f>_xlfn.TEXTJOIN("-",TRUE,K148,L148,M148)</f>
        <v/>
      </c>
      <c r="T148" s="132" t="n"/>
      <c r="U148" s="178" t="n"/>
      <c r="V148" s="178" t="n"/>
      <c r="W148" s="178" t="n"/>
      <c r="X148" s="178" t="n"/>
      <c r="Y148" s="178" t="n"/>
      <c r="Z148" s="178" t="n"/>
      <c r="AA148" s="134" t="n"/>
      <c r="AB148" s="390">
        <f>_xlfn.TEXTJOIN("-",TRUE,T148,U148,V148)</f>
        <v/>
      </c>
      <c r="AC148" s="184" t="n"/>
      <c r="AD148" s="184" t="n"/>
      <c r="AE148" s="184" t="n"/>
      <c r="AF148" s="184" t="n"/>
      <c r="AG148" s="184" t="n"/>
      <c r="AH148" s="184" t="n"/>
      <c r="AI148" s="184" t="n"/>
      <c r="AK148" s="390">
        <f>_xlfn.TEXTJOIN("-",TRUE,AC148,AD148,AE148)</f>
        <v/>
      </c>
      <c r="AL148" s="123" t="inlineStr">
        <is>
          <t>ST235/80R16</t>
        </is>
      </c>
      <c r="AM148" s="177" t="inlineStr">
        <is>
          <t>12PR</t>
        </is>
      </c>
      <c r="AN148" s="177" t="inlineStr">
        <is>
          <t>Tow Pro ST</t>
        </is>
      </c>
      <c r="AO148" s="177" t="inlineStr">
        <is>
          <t>ST235/80R16-12PR SDAT</t>
        </is>
      </c>
      <c r="AP148" s="177" t="n"/>
      <c r="AQ148" s="131" t="n">
        <v>17.664</v>
      </c>
      <c r="AR148" s="131" t="n">
        <v>17.436</v>
      </c>
      <c r="AS148" s="130">
        <f>AQ148-AR148</f>
        <v/>
      </c>
      <c r="AT148" s="390">
        <f>_xlfn.TEXTJOIN("-",TRUE,AL148,AM148,AN148)</f>
        <v/>
      </c>
      <c r="AU148" s="123" t="inlineStr">
        <is>
          <t>205/65R16</t>
        </is>
      </c>
      <c r="AV148" s="177" t="inlineStr">
        <is>
          <t>/</t>
        </is>
      </c>
      <c r="AW148" s="139" t="inlineStr">
        <is>
          <t>RP218</t>
        </is>
      </c>
      <c r="AX148" s="177" t="inlineStr">
        <is>
          <t>S021501A-60</t>
        </is>
      </c>
      <c r="AY148" s="131" t="n">
        <v>10.12</v>
      </c>
      <c r="AZ148" s="131" t="n">
        <v>10.12</v>
      </c>
      <c r="BA148" s="130">
        <f>AY148-AZ148</f>
        <v/>
      </c>
      <c r="BB148" s="390">
        <f>_xlfn.TEXTJOIN("-",TRUE,AU148,AW148)</f>
        <v/>
      </c>
    </row>
    <row r="149">
      <c r="B149" s="123" t="inlineStr">
        <is>
          <t>11R22.5</t>
        </is>
      </c>
      <c r="C149" s="177" t="inlineStr">
        <is>
          <t>14PR</t>
        </is>
      </c>
      <c r="D149" s="177" t="inlineStr">
        <is>
          <t>I-48T</t>
        </is>
      </c>
      <c r="E149" s="125" t="inlineStr">
        <is>
          <t>ID11R22.5-14PR-CAH C ID</t>
        </is>
      </c>
      <c r="F149" s="197">
        <f>G149-2.777+3.17</f>
        <v/>
      </c>
      <c r="G149" s="129" t="n">
        <v>48.51</v>
      </c>
      <c r="H149" s="131" t="n">
        <v>48.4462</v>
      </c>
      <c r="I149" s="198">
        <f>G149-H149</f>
        <v/>
      </c>
      <c r="J149" s="115">
        <f>_xlfn.TEXTJOIN("-",TRUE,B149,C149,D149)</f>
        <v/>
      </c>
      <c r="K149" s="199" t="n"/>
      <c r="L149" s="200" t="n"/>
      <c r="M149" s="200" t="n"/>
      <c r="N149" s="200" t="n"/>
      <c r="O149" s="201" t="n"/>
      <c r="P149" s="201" t="n"/>
      <c r="Q149" s="200" t="n"/>
      <c r="R149" s="202" t="n"/>
      <c r="S149" s="390">
        <f>_xlfn.TEXTJOIN("-",TRUE,K149,L149,M149)</f>
        <v/>
      </c>
      <c r="T149" s="123" t="inlineStr">
        <is>
          <t>110/70-13</t>
        </is>
      </c>
      <c r="U149" s="177" t="inlineStr">
        <is>
          <t>6PR</t>
        </is>
      </c>
      <c r="V149" s="177" t="inlineStr">
        <is>
          <t>H522S</t>
        </is>
      </c>
      <c r="W149" s="177" t="inlineStr">
        <is>
          <t>110/70-13-6PR/54S H522S</t>
        </is>
      </c>
      <c r="X149" s="177" t="n"/>
      <c r="Y149" s="131" t="n">
        <v>3.115</v>
      </c>
      <c r="Z149" s="131" t="n">
        <v>3.115</v>
      </c>
      <c r="AA149" s="130">
        <f>Y149-Z149</f>
        <v/>
      </c>
      <c r="AB149" s="390">
        <f>_xlfn.TEXTJOIN("-",TRUE,T149,U149,V149)</f>
        <v/>
      </c>
      <c r="AC149" s="184" t="n"/>
      <c r="AD149" s="184" t="n"/>
      <c r="AE149" s="184" t="n"/>
      <c r="AF149" s="184" t="n"/>
      <c r="AG149" s="184" t="n"/>
      <c r="AH149" s="184" t="n"/>
      <c r="AI149" s="184" t="n"/>
      <c r="AK149" s="390">
        <f>_xlfn.TEXTJOIN("-",TRUE,AC149,AD149,AE149)</f>
        <v/>
      </c>
      <c r="AL149" s="123" t="inlineStr">
        <is>
          <t>ST235/80R16</t>
        </is>
      </c>
      <c r="AM149" s="177" t="inlineStr">
        <is>
          <t>10PR</t>
        </is>
      </c>
      <c r="AN149" s="177" t="inlineStr">
        <is>
          <t>ST200</t>
        </is>
      </c>
      <c r="AO149" s="177" t="inlineStr">
        <is>
          <t>ST235/80R16-10PR ST200/RA/RS</t>
        </is>
      </c>
      <c r="AP149" s="177" t="n"/>
      <c r="AQ149" s="131" t="n">
        <v>15.99</v>
      </c>
      <c r="AR149" s="131" t="n">
        <v>16.498</v>
      </c>
      <c r="AS149" s="130">
        <f>AQ149-AR149</f>
        <v/>
      </c>
      <c r="AT149" s="390">
        <f>_xlfn.TEXTJOIN("-",TRUE,AL149,AM149,AN149)</f>
        <v/>
      </c>
      <c r="AU149" s="132" t="n"/>
      <c r="AV149" s="178" t="n"/>
      <c r="AW149" s="178" t="n"/>
      <c r="AX149" s="178" t="n"/>
      <c r="AY149" s="135" t="n"/>
      <c r="AZ149" s="135" t="n"/>
      <c r="BA149" s="136" t="n"/>
      <c r="BB149" s="390">
        <f>_xlfn.TEXTJOIN("-",TRUE,AU149,AW149)</f>
        <v/>
      </c>
    </row>
    <row r="150" ht="13.8" customHeight="1" s="428">
      <c r="B150" s="123" t="inlineStr">
        <is>
          <t>11R22.5</t>
        </is>
      </c>
      <c r="C150" s="177" t="inlineStr">
        <is>
          <t>14PR</t>
        </is>
      </c>
      <c r="D150" s="177" t="inlineStr">
        <is>
          <t>RLINE-T1</t>
        </is>
      </c>
      <c r="E150" s="125" t="inlineStr">
        <is>
          <t>ID11R22.5-14PR-CAH C ID</t>
        </is>
      </c>
      <c r="F150" s="197">
        <f>G150-2.777+3.17</f>
        <v/>
      </c>
      <c r="G150" s="129" t="n">
        <v>48.51</v>
      </c>
      <c r="H150" s="131" t="n">
        <v>48.4462</v>
      </c>
      <c r="I150" s="198">
        <f>G150-H150</f>
        <v/>
      </c>
      <c r="J150" s="115">
        <f>_xlfn.TEXTJOIN("-",TRUE,B150,C150,D150)</f>
        <v/>
      </c>
      <c r="K150" s="184" t="n"/>
      <c r="L150" s="184" t="n"/>
      <c r="M150" s="184" t="n"/>
      <c r="N150" s="184" t="n"/>
      <c r="O150" s="184" t="n"/>
      <c r="P150" s="184" t="n"/>
      <c r="Q150" s="184" t="n"/>
      <c r="R150" s="184" t="n"/>
      <c r="S150" s="390">
        <f>_xlfn.TEXTJOIN("-",TRUE,K150,L150,M150)</f>
        <v/>
      </c>
      <c r="T150" s="132" t="n"/>
      <c r="U150" s="178" t="n"/>
      <c r="V150" s="178" t="n"/>
      <c r="W150" s="178" t="n"/>
      <c r="X150" s="178" t="n"/>
      <c r="Y150" s="178" t="n"/>
      <c r="Z150" s="178" t="n"/>
      <c r="AA150" s="134" t="n"/>
      <c r="AB150" s="390">
        <f>_xlfn.TEXTJOIN("-",TRUE,T150,U150,V150)</f>
        <v/>
      </c>
      <c r="AC150" s="184" t="n"/>
      <c r="AD150" s="184" t="n"/>
      <c r="AE150" s="184" t="n"/>
      <c r="AF150" s="184" t="n"/>
      <c r="AG150" s="184" t="n"/>
      <c r="AH150" s="184" t="n"/>
      <c r="AI150" s="184" t="n"/>
      <c r="AK150" s="390">
        <f>_xlfn.TEXTJOIN("-",TRUE,AC150,AD150,AE150)</f>
        <v/>
      </c>
      <c r="AL150" s="123" t="inlineStr">
        <is>
          <t>ST235/80R16</t>
        </is>
      </c>
      <c r="AM150" s="177" t="inlineStr">
        <is>
          <t>10PR</t>
        </is>
      </c>
      <c r="AN150" s="177" t="inlineStr">
        <is>
          <t>ST Radial</t>
        </is>
      </c>
      <c r="AO150" s="177" t="inlineStr">
        <is>
          <t>ST235/80R16-10PR ST200/RA/RS</t>
        </is>
      </c>
      <c r="AP150" s="177" t="n"/>
      <c r="AQ150" s="131" t="n">
        <v>15.99</v>
      </c>
      <c r="AR150" s="131" t="n">
        <v>15.932</v>
      </c>
      <c r="AS150" s="130">
        <f>AQ150-AR150</f>
        <v/>
      </c>
      <c r="AT150" s="390">
        <f>_xlfn.TEXTJOIN("-",TRUE,AL150,AM150,AN150)</f>
        <v/>
      </c>
      <c r="AU150" s="123" t="inlineStr">
        <is>
          <t>205/65R16</t>
        </is>
      </c>
      <c r="AV150" s="177" t="inlineStr">
        <is>
          <t>/</t>
        </is>
      </c>
      <c r="AW150" s="177" t="inlineStr">
        <is>
          <t>C-108</t>
        </is>
      </c>
      <c r="AX150" s="177" t="inlineStr">
        <is>
          <t>S021679A-72</t>
        </is>
      </c>
      <c r="AY150" s="131" t="n">
        <v>8.956</v>
      </c>
      <c r="AZ150" s="131" t="n">
        <v>8.958</v>
      </c>
      <c r="BA150" s="130">
        <f>AY150-AZ150</f>
        <v/>
      </c>
      <c r="BB150" s="390">
        <f>_xlfn.TEXTJOIN("-",TRUE,AU150,AW150)</f>
        <v/>
      </c>
    </row>
    <row r="151" ht="13.8" customHeight="1" s="428">
      <c r="B151" s="123" t="inlineStr">
        <is>
          <t>11R22.5</t>
        </is>
      </c>
      <c r="C151" s="177" t="inlineStr">
        <is>
          <t>16PR</t>
        </is>
      </c>
      <c r="D151" s="177" t="inlineStr">
        <is>
          <t>CR906 II</t>
        </is>
      </c>
      <c r="E151" s="177" t="inlineStr">
        <is>
          <t>ID11R22.5-16PR-CR906 II C ID</t>
        </is>
      </c>
      <c r="F151" s="197">
        <f>G151-4.112+4.112</f>
        <v/>
      </c>
      <c r="G151" s="129" t="n">
        <v>64.143</v>
      </c>
      <c r="H151" s="131" t="n">
        <v>64.1066</v>
      </c>
      <c r="I151" s="198">
        <f>G151-H151</f>
        <v/>
      </c>
      <c r="J151" s="115">
        <f>_xlfn.TEXTJOIN("-",TRUE,B151,C151,D151)</f>
        <v/>
      </c>
      <c r="K151" s="184" t="n"/>
      <c r="L151" s="184" t="n"/>
      <c r="M151" s="184" t="n"/>
      <c r="N151" s="184" t="n"/>
      <c r="O151" s="184" t="n"/>
      <c r="P151" s="184" t="n"/>
      <c r="Q151" s="184" t="n"/>
      <c r="R151" s="184" t="n"/>
      <c r="S151" s="390">
        <f>_xlfn.TEXTJOIN("-",TRUE,K151,L151,M151)</f>
        <v/>
      </c>
      <c r="T151" s="123" t="inlineStr">
        <is>
          <t>110/80-14</t>
        </is>
      </c>
      <c r="U151" s="177" t="inlineStr">
        <is>
          <t>4PR</t>
        </is>
      </c>
      <c r="V151" s="177" t="inlineStr">
        <is>
          <t>H522S</t>
        </is>
      </c>
      <c r="W151" s="177" t="inlineStr">
        <is>
          <t>110/80-14-4PR/53S H522S</t>
        </is>
      </c>
      <c r="X151" s="177" t="n"/>
      <c r="Y151" s="131" t="n">
        <v>3.415</v>
      </c>
      <c r="Z151" s="131" t="n">
        <v>3.475</v>
      </c>
      <c r="AA151" s="130">
        <f>Y151-Z151</f>
        <v/>
      </c>
      <c r="AB151" s="390">
        <f>_xlfn.TEXTJOIN("-",TRUE,T151,U151,V151)</f>
        <v/>
      </c>
      <c r="AC151" s="184" t="n"/>
      <c r="AD151" s="184" t="n"/>
      <c r="AE151" s="184" t="n"/>
      <c r="AF151" s="184" t="n"/>
      <c r="AG151" s="184" t="n"/>
      <c r="AH151" s="184" t="n"/>
      <c r="AI151" s="184" t="n"/>
      <c r="AK151" s="390">
        <f>_xlfn.TEXTJOIN("-",TRUE,AC151,AD151,AE151)</f>
        <v/>
      </c>
      <c r="AL151" s="123" t="inlineStr">
        <is>
          <t>ST235/80R16</t>
        </is>
      </c>
      <c r="AM151" s="177" t="inlineStr">
        <is>
          <t>10PR</t>
        </is>
      </c>
      <c r="AN151" s="146" t="inlineStr">
        <is>
          <t>RAINIER ST</t>
        </is>
      </c>
      <c r="AO151" s="177" t="inlineStr">
        <is>
          <t>ST235/80R16-10PR ST200/RA/RS</t>
        </is>
      </c>
      <c r="AP151" s="177" t="n"/>
      <c r="AQ151" s="131" t="n">
        <v>15.99</v>
      </c>
      <c r="AR151" s="131" t="n">
        <v>15.932</v>
      </c>
      <c r="AS151" s="130">
        <f>AQ151-AR151</f>
        <v/>
      </c>
      <c r="AT151" s="390">
        <f>_xlfn.TEXTJOIN("-",TRUE,AL151,AM151,AN151)</f>
        <v/>
      </c>
      <c r="AU151" s="123" t="inlineStr">
        <is>
          <t>205/65R16</t>
        </is>
      </c>
      <c r="AV151" s="177" t="inlineStr">
        <is>
          <t>/</t>
        </is>
      </c>
      <c r="AW151" s="177" t="inlineStr">
        <is>
          <t>G-118</t>
        </is>
      </c>
      <c r="AX151" s="177" t="inlineStr">
        <is>
          <t>S021679A-72</t>
        </is>
      </c>
      <c r="AY151" s="131" t="n">
        <v>8.956</v>
      </c>
      <c r="AZ151" s="131" t="n">
        <v>8.958</v>
      </c>
      <c r="BA151" s="130">
        <f>AY151-AZ151</f>
        <v/>
      </c>
      <c r="BB151" s="390">
        <f>_xlfn.TEXTJOIN("-",TRUE,AU151,AW151)</f>
        <v/>
      </c>
    </row>
    <row r="152">
      <c r="B152" s="123" t="inlineStr">
        <is>
          <t>11R22.5</t>
        </is>
      </c>
      <c r="C152" s="177" t="inlineStr">
        <is>
          <t>16PR</t>
        </is>
      </c>
      <c r="D152" s="177" t="inlineStr">
        <is>
          <t>AD716</t>
        </is>
      </c>
      <c r="E152" s="125" t="inlineStr">
        <is>
          <t>ID11R22.5-16PR-Q C ID</t>
        </is>
      </c>
      <c r="F152" s="197">
        <f>G152-2.777+3.17</f>
        <v/>
      </c>
      <c r="G152" s="129" t="n">
        <v>55.842</v>
      </c>
      <c r="H152" s="131" t="n">
        <v>55.49</v>
      </c>
      <c r="I152" s="198">
        <f>G152-H152</f>
        <v/>
      </c>
      <c r="J152" s="115">
        <f>_xlfn.TEXTJOIN("-",TRUE,B152,C152,D152)</f>
        <v/>
      </c>
      <c r="K152" s="184" t="n"/>
      <c r="L152" s="184" t="n"/>
      <c r="M152" s="184" t="n"/>
      <c r="N152" s="184" t="n"/>
      <c r="O152" s="184" t="n"/>
      <c r="P152" s="184" t="n"/>
      <c r="Q152" s="184" t="n"/>
      <c r="R152" s="184" t="n"/>
      <c r="S152" s="390">
        <f>_xlfn.TEXTJOIN("-",TRUE,K152,L152,M152)</f>
        <v/>
      </c>
      <c r="T152" s="123" t="inlineStr">
        <is>
          <t>110/80-14</t>
        </is>
      </c>
      <c r="U152" s="177" t="inlineStr">
        <is>
          <t>6PR</t>
        </is>
      </c>
      <c r="V152" s="177" t="inlineStr">
        <is>
          <t>H522S</t>
        </is>
      </c>
      <c r="W152" s="177" t="inlineStr">
        <is>
          <t>110/80-14-6PR/59P H522S</t>
        </is>
      </c>
      <c r="X152" s="177" t="n"/>
      <c r="Y152" s="131" t="n">
        <v>3.475</v>
      </c>
      <c r="Z152" s="131" t="n">
        <v>3.475</v>
      </c>
      <c r="AA152" s="130">
        <f>Y152-Z152</f>
        <v/>
      </c>
      <c r="AB152" s="390">
        <f>_xlfn.TEXTJOIN("-",TRUE,T152,U152,V152)</f>
        <v/>
      </c>
      <c r="AC152" s="184" t="n"/>
      <c r="AD152" s="184" t="n"/>
      <c r="AE152" s="184" t="n"/>
      <c r="AF152" s="184" t="n"/>
      <c r="AG152" s="184" t="n"/>
      <c r="AH152" s="184" t="n"/>
      <c r="AI152" s="184" t="n"/>
      <c r="AK152" s="390">
        <f>_xlfn.TEXTJOIN("-",TRUE,AC152,AD152,AE152)</f>
        <v/>
      </c>
      <c r="AL152" s="123" t="inlineStr">
        <is>
          <t>ST235/80R16</t>
        </is>
      </c>
      <c r="AM152" s="177" t="inlineStr">
        <is>
          <t>10PR</t>
        </is>
      </c>
      <c r="AN152" s="177" t="inlineStr">
        <is>
          <t>ST226</t>
        </is>
      </c>
      <c r="AO152" s="177" t="inlineStr">
        <is>
          <t>ST235/80R16-10PR ST226</t>
        </is>
      </c>
      <c r="AP152" s="177" t="n"/>
      <c r="AQ152" s="131" t="n">
        <v>16.431</v>
      </c>
      <c r="AR152" s="131" t="n">
        <v>16.926</v>
      </c>
      <c r="AS152" s="130">
        <f>AQ152-AR152</f>
        <v/>
      </c>
      <c r="AT152" s="390">
        <f>_xlfn.TEXTJOIN("-",TRUE,AL152,AM152,AN152)</f>
        <v/>
      </c>
      <c r="AU152" s="123" t="inlineStr">
        <is>
          <t>205/65R16</t>
        </is>
      </c>
      <c r="AV152" s="177" t="inlineStr">
        <is>
          <t>/</t>
        </is>
      </c>
      <c r="AW152" s="139" t="inlineStr">
        <is>
          <t>T-118</t>
        </is>
      </c>
      <c r="AX152" s="177" t="inlineStr">
        <is>
          <t>S021679A-72</t>
        </is>
      </c>
      <c r="AY152" s="131" t="n">
        <v>8.956</v>
      </c>
      <c r="AZ152" s="131" t="n">
        <v>8.958</v>
      </c>
      <c r="BA152" s="130">
        <f>AY152-AZ152</f>
        <v/>
      </c>
      <c r="BB152" s="390">
        <f>_xlfn.TEXTJOIN("-",TRUE,AU152,AW152)</f>
        <v/>
      </c>
    </row>
    <row r="153" ht="27.6" customHeight="1" s="428">
      <c r="B153" s="123" t="inlineStr">
        <is>
          <t>11R22.5</t>
        </is>
      </c>
      <c r="C153" s="177" t="inlineStr">
        <is>
          <t>16PR</t>
        </is>
      </c>
      <c r="D153" s="177" t="inlineStr">
        <is>
          <t>M-TRAC CSD</t>
        </is>
      </c>
      <c r="E153" s="125" t="inlineStr">
        <is>
          <t>ID11R22.5-16PR-Q C ID</t>
        </is>
      </c>
      <c r="F153" s="197">
        <f>G153-2.777+3.17</f>
        <v/>
      </c>
      <c r="G153" s="129" t="n">
        <v>55.842</v>
      </c>
      <c r="H153" s="131" t="n">
        <v>55.49</v>
      </c>
      <c r="I153" s="198">
        <f>G153-H153</f>
        <v/>
      </c>
      <c r="J153" s="115">
        <f>_xlfn.TEXTJOIN("-",TRUE,B153,C153,D153)</f>
        <v/>
      </c>
      <c r="K153" s="184" t="n"/>
      <c r="L153" s="184" t="n"/>
      <c r="M153" s="184" t="n"/>
      <c r="N153" s="184" t="n"/>
      <c r="O153" s="184" t="n"/>
      <c r="P153" s="184" t="n">
        <v>57.22</v>
      </c>
      <c r="Q153" s="184" t="n"/>
      <c r="R153" s="184" t="n"/>
      <c r="S153" s="390" t="inlineStr">
        <is>
          <t>11.00-20-18PR-CR952PRO</t>
        </is>
      </c>
      <c r="T153" s="132" t="n"/>
      <c r="U153" s="178" t="n"/>
      <c r="V153" s="178" t="n"/>
      <c r="W153" s="178" t="n"/>
      <c r="X153" s="178" t="n"/>
      <c r="Y153" s="178" t="n"/>
      <c r="Z153" s="178" t="n"/>
      <c r="AA153" s="134" t="n"/>
      <c r="AB153" s="390">
        <f>_xlfn.TEXTJOIN("-",TRUE,T153,U153,V153)</f>
        <v/>
      </c>
      <c r="AK153" s="390">
        <f>_xlfn.TEXTJOIN("-",TRUE,AC153,AD153,AE153)</f>
        <v/>
      </c>
      <c r="AL153" s="132" t="n"/>
      <c r="AM153" s="178" t="n"/>
      <c r="AN153" s="178" t="n"/>
      <c r="AO153" s="178" t="n"/>
      <c r="AP153" s="178" t="n"/>
      <c r="AQ153" s="178" t="n"/>
      <c r="AR153" s="185" t="n"/>
      <c r="AS153" s="134" t="n"/>
      <c r="AT153" s="390">
        <f>_xlfn.TEXTJOIN("-",TRUE,AL153,AM153,AN153)</f>
        <v/>
      </c>
      <c r="AU153" s="123" t="inlineStr">
        <is>
          <t>205/65R16</t>
        </is>
      </c>
      <c r="AV153" s="177" t="inlineStr">
        <is>
          <t>/</t>
        </is>
      </c>
      <c r="AW153" s="139" t="inlineStr">
        <is>
          <t>Z-108</t>
        </is>
      </c>
      <c r="AX153" s="177" t="inlineStr">
        <is>
          <t>S021358A-72</t>
        </is>
      </c>
      <c r="AY153" s="131" t="n">
        <v>8.956</v>
      </c>
      <c r="AZ153" s="131" t="n">
        <v>8.958</v>
      </c>
      <c r="BA153" s="130">
        <f>AY153-AZ153</f>
        <v/>
      </c>
      <c r="BB153" s="390">
        <f>_xlfn.TEXTJOIN("-",TRUE,AU153,AW153)</f>
        <v/>
      </c>
    </row>
    <row r="154">
      <c r="B154" s="123" t="inlineStr">
        <is>
          <t>11R22.5</t>
        </is>
      </c>
      <c r="C154" s="177" t="inlineStr">
        <is>
          <t>16PR</t>
        </is>
      </c>
      <c r="D154" s="177" t="inlineStr">
        <is>
          <t>HD1 Plus</t>
        </is>
      </c>
      <c r="E154" s="125" t="inlineStr">
        <is>
          <t>ID11R22.5-16PR-Q C ID</t>
        </is>
      </c>
      <c r="F154" s="197">
        <f>G154-2.777+3.17</f>
        <v/>
      </c>
      <c r="G154" s="129" t="n">
        <v>55.842</v>
      </c>
      <c r="H154" s="131" t="n">
        <v>55.49</v>
      </c>
      <c r="I154" s="198">
        <f>G154-H154</f>
        <v/>
      </c>
      <c r="J154" s="115">
        <f>_xlfn.TEXTJOIN("-",TRUE,B154,C154,D154)</f>
        <v/>
      </c>
      <c r="K154" s="184" t="n"/>
      <c r="L154" s="184" t="n"/>
      <c r="M154" s="184" t="n"/>
      <c r="N154" s="184" t="n"/>
      <c r="O154" s="184" t="n"/>
      <c r="P154" s="184" t="n"/>
      <c r="Q154" s="184" t="n"/>
      <c r="R154" s="184" t="n"/>
      <c r="S154" s="390">
        <f>_xlfn.TEXTJOIN("-",TRUE,K154,L154,M154)</f>
        <v/>
      </c>
      <c r="T154" s="123" t="inlineStr">
        <is>
          <t>110/90-12</t>
        </is>
      </c>
      <c r="U154" s="177" t="inlineStr">
        <is>
          <t>4PR</t>
        </is>
      </c>
      <c r="V154" s="177" t="inlineStr">
        <is>
          <t>H566</t>
        </is>
      </c>
      <c r="W154" s="177" t="inlineStr">
        <is>
          <t>110/90-12-4PR/64P H566</t>
        </is>
      </c>
      <c r="X154" s="177" t="n"/>
      <c r="Y154" s="131" t="n">
        <v>3.36</v>
      </c>
      <c r="Z154" s="131" t="n">
        <v>3.36</v>
      </c>
      <c r="AA154" s="130">
        <f>Y154-Z154</f>
        <v/>
      </c>
      <c r="AB154" s="390">
        <f>_xlfn.TEXTJOIN("-",TRUE,T154,U154,V154)</f>
        <v/>
      </c>
      <c r="AK154" s="390">
        <f>_xlfn.TEXTJOIN("-",TRUE,AC154,AD154,AE154)</f>
        <v/>
      </c>
      <c r="AL154" s="123" t="inlineStr">
        <is>
          <t>ST235/85R16</t>
        </is>
      </c>
      <c r="AM154" s="177" t="inlineStr">
        <is>
          <t>10PR</t>
        </is>
      </c>
      <c r="AN154" s="177" t="inlineStr">
        <is>
          <t>ST100</t>
        </is>
      </c>
      <c r="AO154" s="177" t="inlineStr">
        <is>
          <t>ST235/85R16-10PR ST100</t>
        </is>
      </c>
      <c r="AP154" s="126" t="n"/>
      <c r="AQ154" s="129" t="n">
        <v>18.049</v>
      </c>
      <c r="AR154" s="131" t="n">
        <v>18.038</v>
      </c>
      <c r="AS154" s="203">
        <f>AQ154-AR154</f>
        <v/>
      </c>
      <c r="AT154" s="390">
        <f>_xlfn.TEXTJOIN("-",TRUE,AL154,AM154,AN154)</f>
        <v/>
      </c>
      <c r="AU154" s="132" t="n"/>
      <c r="AV154" s="178" t="n"/>
      <c r="AW154" s="178" t="n"/>
      <c r="AX154" s="178" t="n"/>
      <c r="AY154" s="135" t="n"/>
      <c r="AZ154" s="135" t="n"/>
      <c r="BA154" s="136" t="n"/>
      <c r="BB154" s="390">
        <f>_xlfn.TEXTJOIN("-",TRUE,AU154,AW154)</f>
        <v/>
      </c>
    </row>
    <row r="155" ht="13.8" customHeight="1" s="428">
      <c r="B155" s="123" t="inlineStr">
        <is>
          <t>11R22.5</t>
        </is>
      </c>
      <c r="C155" s="177" t="inlineStr">
        <is>
          <t>16PR</t>
        </is>
      </c>
      <c r="D155" s="177" t="inlineStr">
        <is>
          <t>CM996</t>
        </is>
      </c>
      <c r="E155" s="125" t="inlineStr">
        <is>
          <t>ID11R22.5-16PR-Q C ID</t>
        </is>
      </c>
      <c r="F155" s="197">
        <f>G155-2.777+3.17</f>
        <v/>
      </c>
      <c r="G155" s="129" t="n">
        <v>55.842</v>
      </c>
      <c r="H155" s="131" t="n">
        <v>55.49</v>
      </c>
      <c r="I155" s="198">
        <f>G155-H155</f>
        <v/>
      </c>
      <c r="J155" s="115">
        <f>_xlfn.TEXTJOIN("-",TRUE,B155,C155,D155)</f>
        <v/>
      </c>
      <c r="K155" s="184" t="n"/>
      <c r="L155" s="184" t="n"/>
      <c r="M155" s="184" t="n"/>
      <c r="N155" s="184" t="n"/>
      <c r="O155" s="184" t="n"/>
      <c r="P155" s="184" t="n"/>
      <c r="Q155" s="184" t="n"/>
      <c r="R155" s="184" t="n"/>
      <c r="S155" s="390">
        <f>_xlfn.TEXTJOIN("-",TRUE,K155,L155,M155)</f>
        <v/>
      </c>
      <c r="T155" s="123" t="inlineStr">
        <is>
          <t>110/90-12</t>
        </is>
      </c>
      <c r="U155" s="177" t="inlineStr">
        <is>
          <t>6PR</t>
        </is>
      </c>
      <c r="V155" s="177" t="inlineStr">
        <is>
          <t>H565-2</t>
        </is>
      </c>
      <c r="W155" s="177" t="inlineStr">
        <is>
          <t>110/90-12-6PR/69P HH</t>
        </is>
      </c>
      <c r="X155" s="177" t="n"/>
      <c r="Y155" s="131" t="n">
        <v>3.505</v>
      </c>
      <c r="Z155" s="131" t="n">
        <v>3.505</v>
      </c>
      <c r="AA155" s="130">
        <f>Y155-Z155</f>
        <v/>
      </c>
      <c r="AB155" s="390">
        <f>_xlfn.TEXTJOIN("-",TRUE,T155,U155,V155)</f>
        <v/>
      </c>
      <c r="AK155" s="390">
        <f>_xlfn.TEXTJOIN("-",TRUE,AC155,AD155,AE155)</f>
        <v/>
      </c>
      <c r="AL155" s="123" t="inlineStr">
        <is>
          <t>ST235/85R16</t>
        </is>
      </c>
      <c r="AM155" s="177" t="inlineStr">
        <is>
          <t>12PR</t>
        </is>
      </c>
      <c r="AN155" s="177" t="inlineStr">
        <is>
          <t>ST100</t>
        </is>
      </c>
      <c r="AO155" s="177" t="inlineStr">
        <is>
          <t>ST235/85R16-12PR ST-100/STZC</t>
        </is>
      </c>
      <c r="AP155" s="126" t="n"/>
      <c r="AQ155" s="129" t="n">
        <v>20.325</v>
      </c>
      <c r="AR155" s="131" t="n">
        <v>20.311</v>
      </c>
      <c r="AS155" s="203">
        <f>AQ155-AR155</f>
        <v/>
      </c>
      <c r="AT155" s="390">
        <f>_xlfn.TEXTJOIN("-",TRUE,AL155,AM155,AN155)</f>
        <v/>
      </c>
      <c r="AU155" s="123" t="inlineStr">
        <is>
          <t>205/70R15</t>
        </is>
      </c>
      <c r="AV155" s="177" t="inlineStr">
        <is>
          <t>/</t>
        </is>
      </c>
      <c r="AW155" s="139" t="inlineStr">
        <is>
          <t>RP218</t>
        </is>
      </c>
      <c r="AX155" s="177" t="inlineStr">
        <is>
          <t>S021505A-60</t>
        </is>
      </c>
      <c r="AY155" s="131" t="n">
        <v>9.656000000000001</v>
      </c>
      <c r="AZ155" s="131" t="n">
        <v>9.654999999999999</v>
      </c>
      <c r="BA155" s="130">
        <f>AY155-AZ155</f>
        <v/>
      </c>
      <c r="BB155" s="390">
        <f>_xlfn.TEXTJOIN("-",TRUE,AU155,AW155)</f>
        <v/>
      </c>
    </row>
    <row r="156">
      <c r="B156" s="123" t="inlineStr">
        <is>
          <t>11R22.5</t>
        </is>
      </c>
      <c r="C156" s="177" t="inlineStr">
        <is>
          <t>16PR</t>
        </is>
      </c>
      <c r="D156" s="177" t="inlineStr">
        <is>
          <t>RLINE-D2</t>
        </is>
      </c>
      <c r="E156" s="125" t="inlineStr">
        <is>
          <t>ID11R22.5-16PR-Q C ID</t>
        </is>
      </c>
      <c r="F156" s="197">
        <f>G156-2.777+3.17</f>
        <v/>
      </c>
      <c r="G156" s="129" t="n">
        <v>55.842</v>
      </c>
      <c r="H156" s="131" t="n">
        <v>55.49</v>
      </c>
      <c r="I156" s="198">
        <f>G156-H156</f>
        <v/>
      </c>
      <c r="J156" s="115">
        <f>_xlfn.TEXTJOIN("-",TRUE,B156,C156,D156)</f>
        <v/>
      </c>
      <c r="K156" s="184" t="n"/>
      <c r="L156" s="184" t="n"/>
      <c r="M156" s="184" t="n"/>
      <c r="N156" s="184" t="n"/>
      <c r="O156" s="184" t="n"/>
      <c r="P156" s="184" t="n"/>
      <c r="Q156" s="184" t="n"/>
      <c r="R156" s="184" t="n"/>
      <c r="S156" s="390">
        <f>_xlfn.TEXTJOIN("-",TRUE,K156,L156,M156)</f>
        <v/>
      </c>
      <c r="T156" s="123" t="inlineStr">
        <is>
          <t>110/90-12</t>
        </is>
      </c>
      <c r="U156" s="177" t="inlineStr">
        <is>
          <t>6PR</t>
        </is>
      </c>
      <c r="V156" s="177" t="inlineStr">
        <is>
          <t>H566</t>
        </is>
      </c>
      <c r="W156" s="177" t="inlineStr">
        <is>
          <t>110/90-12-6PR/69P HH</t>
        </is>
      </c>
      <c r="X156" s="177" t="n"/>
      <c r="Y156" s="131" t="n">
        <v>3.505</v>
      </c>
      <c r="Z156" s="131" t="n">
        <v>3.505</v>
      </c>
      <c r="AA156" s="130">
        <f>Y156-Z156</f>
        <v/>
      </c>
      <c r="AB156" s="390">
        <f>_xlfn.TEXTJOIN("-",TRUE,T156,U156,V156)</f>
        <v/>
      </c>
      <c r="AK156" s="390">
        <f>_xlfn.TEXTJOIN("-",TRUE,AC156,AD156,AE156)</f>
        <v/>
      </c>
      <c r="AL156" s="123" t="inlineStr">
        <is>
          <t>ST235/85R16</t>
        </is>
      </c>
      <c r="AM156" s="177" t="inlineStr">
        <is>
          <t>12PR</t>
        </is>
      </c>
      <c r="AN156" s="177" t="inlineStr">
        <is>
          <t>STZC</t>
        </is>
      </c>
      <c r="AO156" s="177" t="inlineStr">
        <is>
          <t>ST235/85R16-12PR ST-100/STZC</t>
        </is>
      </c>
      <c r="AP156" s="126" t="n"/>
      <c r="AQ156" s="129" t="n">
        <v>20.325</v>
      </c>
      <c r="AR156" s="131" t="n">
        <v>20.311</v>
      </c>
      <c r="AS156" s="203">
        <f>AQ156-AR156</f>
        <v/>
      </c>
      <c r="AT156" s="390">
        <f>_xlfn.TEXTJOIN("-",TRUE,AL156,AM156,AN156)</f>
        <v/>
      </c>
      <c r="AU156" s="132" t="n"/>
      <c r="AV156" s="178" t="n"/>
      <c r="AW156" s="178" t="n"/>
      <c r="AX156" s="178" t="n"/>
      <c r="AY156" s="135" t="n"/>
      <c r="AZ156" s="135" t="n"/>
      <c r="BA156" s="136" t="n"/>
      <c r="BB156" s="390">
        <f>_xlfn.TEXTJOIN("-",TRUE,AU156,AW156)</f>
        <v/>
      </c>
    </row>
    <row r="157">
      <c r="B157" s="123" t="inlineStr">
        <is>
          <t>11R22.5</t>
        </is>
      </c>
      <c r="C157" s="177" t="inlineStr">
        <is>
          <t>14PR</t>
        </is>
      </c>
      <c r="D157" s="177" t="inlineStr">
        <is>
          <t>AT552</t>
        </is>
      </c>
      <c r="E157" s="177" t="inlineStr">
        <is>
          <t>ID11R22.5-14PR-AT552 US C ID</t>
        </is>
      </c>
      <c r="F157" s="197">
        <f>G157-2.777+3.17</f>
        <v/>
      </c>
      <c r="G157" s="129" t="n">
        <v>48.15</v>
      </c>
      <c r="H157" s="131" t="n">
        <v>47.9674</v>
      </c>
      <c r="I157" s="198">
        <f>G157-H157</f>
        <v/>
      </c>
      <c r="J157" s="115">
        <f>_xlfn.TEXTJOIN("-",TRUE,B157,C157,D157)</f>
        <v/>
      </c>
      <c r="K157" s="184" t="n"/>
      <c r="L157" s="184" t="n"/>
      <c r="M157" s="184" t="n"/>
      <c r="N157" s="184" t="n"/>
      <c r="O157" s="184" t="n"/>
      <c r="P157" s="184" t="n"/>
      <c r="Q157" s="184" t="n"/>
      <c r="R157" s="184" t="n"/>
      <c r="S157" s="390">
        <f>_xlfn.TEXTJOIN("-",TRUE,K157,L157,M157)</f>
        <v/>
      </c>
      <c r="T157" s="132" t="n"/>
      <c r="U157" s="178" t="n"/>
      <c r="V157" s="178" t="n"/>
      <c r="W157" s="178" t="n"/>
      <c r="X157" s="178" t="n"/>
      <c r="Y157" s="178" t="n"/>
      <c r="Z157" s="178" t="n"/>
      <c r="AA157" s="134" t="n"/>
      <c r="AB157" s="390">
        <f>_xlfn.TEXTJOIN("-",TRUE,T157,U157,V157)</f>
        <v/>
      </c>
      <c r="AK157" s="390">
        <f>_xlfn.TEXTJOIN("-",TRUE,AC157,AD157,AE157)</f>
        <v/>
      </c>
      <c r="AL157" s="123" t="inlineStr">
        <is>
          <t>ST235/85R16</t>
        </is>
      </c>
      <c r="AM157" s="177" t="inlineStr">
        <is>
          <t>10PR</t>
        </is>
      </c>
      <c r="AN157" s="177" t="inlineStr">
        <is>
          <t>ST100A</t>
        </is>
      </c>
      <c r="AO157" s="177" t="inlineStr">
        <is>
          <t>ST235/85R16-10PR SDAT</t>
        </is>
      </c>
      <c r="AP157" s="126" t="n"/>
      <c r="AQ157" s="129" t="n">
        <v>16.431</v>
      </c>
      <c r="AR157" s="131" t="n">
        <v>16.277</v>
      </c>
      <c r="AS157" s="203">
        <f>AQ157-AR157</f>
        <v/>
      </c>
      <c r="AT157" s="390">
        <f>_xlfn.TEXTJOIN("-",TRUE,AL157,AM157,AN157)</f>
        <v/>
      </c>
      <c r="AU157" s="123" t="inlineStr">
        <is>
          <t>215/50R17</t>
        </is>
      </c>
      <c r="AV157" s="177" t="inlineStr">
        <is>
          <t>/</t>
        </is>
      </c>
      <c r="AW157" s="139" t="inlineStr">
        <is>
          <t>RP218</t>
        </is>
      </c>
      <c r="AX157" s="177" t="inlineStr">
        <is>
          <t>S021523A-60</t>
        </is>
      </c>
      <c r="AY157" s="131" t="n">
        <v>9.672000000000001</v>
      </c>
      <c r="AZ157" s="131" t="n">
        <v>9.673</v>
      </c>
      <c r="BA157" s="130">
        <f>AY157-AZ157</f>
        <v/>
      </c>
      <c r="BB157" s="390">
        <f>_xlfn.TEXTJOIN("-",TRUE,AU157,AW157)</f>
        <v/>
      </c>
    </row>
    <row r="158" ht="13.8" customHeight="1" s="428">
      <c r="B158" s="123" t="inlineStr">
        <is>
          <t>11R22.5</t>
        </is>
      </c>
      <c r="C158" s="177" t="inlineStr">
        <is>
          <t>14PR</t>
        </is>
      </c>
      <c r="D158" s="177" t="inlineStr">
        <is>
          <t>AT563</t>
        </is>
      </c>
      <c r="E158" s="177" t="inlineStr">
        <is>
          <t>ID11R22.5-14PR-AT563 US C ID</t>
        </is>
      </c>
      <c r="F158" s="197">
        <f>G158-2.777+3.17</f>
        <v/>
      </c>
      <c r="G158" s="129" t="n">
        <v>50.98</v>
      </c>
      <c r="H158" s="131" t="n">
        <v>50.902</v>
      </c>
      <c r="I158" s="198">
        <f>G158-H158</f>
        <v/>
      </c>
      <c r="J158" s="115">
        <f>_xlfn.TEXTJOIN("-",TRUE,B158,C158,D158)</f>
        <v/>
      </c>
      <c r="K158" s="184" t="n"/>
      <c r="L158" s="184" t="n"/>
      <c r="M158" s="184" t="n"/>
      <c r="N158" s="184" t="n"/>
      <c r="O158" s="184" t="n"/>
      <c r="P158" s="184" t="n"/>
      <c r="Q158" s="184" t="n"/>
      <c r="R158" s="184" t="n"/>
      <c r="S158" s="390">
        <f>_xlfn.TEXTJOIN("-",TRUE,K158,L158,M158)</f>
        <v/>
      </c>
      <c r="T158" s="123" t="inlineStr">
        <is>
          <t>120/70-12</t>
        </is>
      </c>
      <c r="U158" s="177" t="inlineStr">
        <is>
          <t>6PR</t>
        </is>
      </c>
      <c r="V158" s="177" t="inlineStr">
        <is>
          <t>H565-2</t>
        </is>
      </c>
      <c r="W158" s="177" t="inlineStr">
        <is>
          <t>120/70-12-6PR/58P HH</t>
        </is>
      </c>
      <c r="X158" s="177" t="n"/>
      <c r="Y158" s="131" t="n">
        <v>3.29</v>
      </c>
      <c r="Z158" s="131" t="n">
        <v>3.29</v>
      </c>
      <c r="AA158" s="130">
        <f>Y158-Z158</f>
        <v/>
      </c>
      <c r="AB158" s="390">
        <f>_xlfn.TEXTJOIN("-",TRUE,T158,U158,V158)</f>
        <v/>
      </c>
      <c r="AK158" s="390">
        <f>_xlfn.TEXTJOIN("-",TRUE,AC158,AD158,AE158)</f>
        <v/>
      </c>
      <c r="AL158" s="123" t="inlineStr">
        <is>
          <t>ST235/85R16</t>
        </is>
      </c>
      <c r="AM158" s="177" t="inlineStr">
        <is>
          <t>10PR</t>
        </is>
      </c>
      <c r="AN158" s="177" t="inlineStr">
        <is>
          <t>DURAHAULER ST</t>
        </is>
      </c>
      <c r="AO158" s="177" t="inlineStr">
        <is>
          <t>ST235/85R16-10PR SDAT</t>
        </is>
      </c>
      <c r="AP158" s="126" t="n"/>
      <c r="AQ158" s="129" t="n">
        <v>16.431</v>
      </c>
      <c r="AR158" s="131" t="n">
        <v>16.277</v>
      </c>
      <c r="AS158" s="203">
        <f>AQ158-AR158</f>
        <v/>
      </c>
      <c r="AT158" s="390">
        <f>_xlfn.TEXTJOIN("-",TRUE,AL158,AM158,AN158)</f>
        <v/>
      </c>
      <c r="AU158" s="132" t="n"/>
      <c r="AV158" s="178" t="n"/>
      <c r="AW158" s="178" t="n"/>
      <c r="AX158" s="178" t="n"/>
      <c r="AY158" s="135" t="n"/>
      <c r="AZ158" s="135" t="n"/>
      <c r="BA158" s="136" t="n"/>
      <c r="BB158" s="390">
        <f>_xlfn.TEXTJOIN("-",TRUE,AU158,AW158)</f>
        <v/>
      </c>
    </row>
    <row r="159">
      <c r="B159" s="123" t="inlineStr">
        <is>
          <t>11R22.5</t>
        </is>
      </c>
      <c r="C159" s="177" t="inlineStr">
        <is>
          <t>14PR</t>
        </is>
      </c>
      <c r="D159" s="177" t="inlineStr">
        <is>
          <t>CR915 eco</t>
        </is>
      </c>
      <c r="E159" s="125" t="inlineStr">
        <is>
          <t>ID11R22.5-14PR-CR915 eco C ID</t>
        </is>
      </c>
      <c r="F159" s="197">
        <f>G159-2.777+3.17</f>
        <v/>
      </c>
      <c r="G159" s="129" t="n">
        <v>46.484</v>
      </c>
      <c r="H159" s="131" t="n">
        <v>46.4078</v>
      </c>
      <c r="I159" s="198">
        <f>G159-H159</f>
        <v/>
      </c>
      <c r="J159" s="115">
        <f>_xlfn.TEXTJOIN("-",TRUE,B159,C159,D159)</f>
        <v/>
      </c>
      <c r="K159" s="184" t="n"/>
      <c r="L159" s="184" t="n"/>
      <c r="M159" s="184" t="n"/>
      <c r="N159" s="184" t="n"/>
      <c r="O159" s="184" t="n"/>
      <c r="P159" s="184" t="n"/>
      <c r="Q159" s="184" t="n"/>
      <c r="R159" s="184" t="n"/>
      <c r="S159" s="390">
        <f>_xlfn.TEXTJOIN("-",TRUE,K159,L159,M159)</f>
        <v/>
      </c>
      <c r="T159" s="123" t="inlineStr">
        <is>
          <t>120/70-12</t>
        </is>
      </c>
      <c r="U159" s="177" t="inlineStr">
        <is>
          <t>6PR</t>
        </is>
      </c>
      <c r="V159" s="177" t="inlineStr">
        <is>
          <t>H566</t>
        </is>
      </c>
      <c r="W159" s="177" t="inlineStr">
        <is>
          <t>120/70-12-6PR/58P HH</t>
        </is>
      </c>
      <c r="X159" s="177" t="n"/>
      <c r="Y159" s="131" t="n">
        <v>3.29</v>
      </c>
      <c r="Z159" s="131" t="n">
        <v>3.29</v>
      </c>
      <c r="AA159" s="130">
        <f>Y159-Z159</f>
        <v/>
      </c>
      <c r="AB159" s="390">
        <f>_xlfn.TEXTJOIN("-",TRUE,T159,U159,V159)</f>
        <v/>
      </c>
      <c r="AK159" s="390">
        <f>_xlfn.TEXTJOIN("-",TRUE,AC159,AD159,AE159)</f>
        <v/>
      </c>
      <c r="AL159" s="123" t="inlineStr">
        <is>
          <t>ST235/85R16</t>
        </is>
      </c>
      <c r="AM159" s="177" t="inlineStr">
        <is>
          <t>10PR</t>
        </is>
      </c>
      <c r="AN159" s="177" t="inlineStr">
        <is>
          <t>ASSURE ST</t>
        </is>
      </c>
      <c r="AO159" s="177" t="inlineStr">
        <is>
          <t>ST235/85R16-10PR SDAT</t>
        </is>
      </c>
      <c r="AP159" s="126" t="n"/>
      <c r="AQ159" s="129" t="n">
        <v>16.431</v>
      </c>
      <c r="AR159" s="131" t="n">
        <v>16.277</v>
      </c>
      <c r="AS159" s="203">
        <f>AQ159-AR159</f>
        <v/>
      </c>
      <c r="AT159" s="390">
        <f>_xlfn.TEXTJOIN("-",TRUE,AL159,AM159,AN159)</f>
        <v/>
      </c>
      <c r="AU159" s="123" t="inlineStr">
        <is>
          <t>215/55R16</t>
        </is>
      </c>
      <c r="AV159" s="177" t="inlineStr">
        <is>
          <t>/</t>
        </is>
      </c>
      <c r="AW159" s="139" t="inlineStr">
        <is>
          <t>RP218</t>
        </is>
      </c>
      <c r="AX159" s="177" t="inlineStr">
        <is>
          <t>S021503A-60</t>
        </is>
      </c>
      <c r="AY159" s="131" t="n">
        <v>9.34</v>
      </c>
      <c r="AZ159" s="131" t="n">
        <v>9.343</v>
      </c>
      <c r="BA159" s="130">
        <f>AY159-AZ159</f>
        <v/>
      </c>
      <c r="BB159" s="390">
        <f>_xlfn.TEXTJOIN("-",TRUE,AU159,AW159)</f>
        <v/>
      </c>
    </row>
    <row r="160" ht="13.8" customFormat="1" customHeight="1" s="390">
      <c r="B160" s="123" t="inlineStr">
        <is>
          <t>11R22.5</t>
        </is>
      </c>
      <c r="C160" s="177" t="inlineStr">
        <is>
          <t>16PR</t>
        </is>
      </c>
      <c r="D160" s="126" t="inlineStr">
        <is>
          <t>DA25</t>
        </is>
      </c>
      <c r="E160" s="177" t="inlineStr">
        <is>
          <t>ID11R22.5-16PR-D US ID</t>
        </is>
      </c>
      <c r="F160" s="204">
        <f>G160-2.777+3.17</f>
        <v/>
      </c>
      <c r="G160" s="129" t="n">
        <v>61.154</v>
      </c>
      <c r="H160" s="131" t="n">
        <v>61.01</v>
      </c>
      <c r="I160" s="198">
        <f>G160-H160</f>
        <v/>
      </c>
      <c r="J160" s="115">
        <f>_xlfn.TEXTJOIN("-",TRUE,B160,C160,D160)</f>
        <v/>
      </c>
      <c r="K160" s="184" t="n"/>
      <c r="L160" s="184" t="n"/>
      <c r="M160" s="184" t="n"/>
      <c r="N160" s="184" t="n"/>
      <c r="O160" s="184" t="n"/>
      <c r="P160" s="184" t="n"/>
      <c r="Q160" s="184" t="n"/>
      <c r="R160" s="184" t="n"/>
      <c r="S160" s="390">
        <f>_xlfn.TEXTJOIN("-",TRUE,K160,L160,M160)</f>
        <v/>
      </c>
      <c r="T160" s="132" t="n"/>
      <c r="U160" s="178" t="n"/>
      <c r="V160" s="178" t="n"/>
      <c r="W160" s="178" t="n"/>
      <c r="X160" s="178" t="n"/>
      <c r="Y160" s="178" t="n"/>
      <c r="Z160" s="178" t="n"/>
      <c r="AA160" s="134" t="n"/>
      <c r="AB160" s="390">
        <f>_xlfn.TEXTJOIN("-",TRUE,T160,U160,V160)</f>
        <v/>
      </c>
      <c r="AC160" s="114" t="n"/>
      <c r="AD160" s="114" t="n"/>
      <c r="AE160" s="114" t="n"/>
      <c r="AF160" s="114" t="n"/>
      <c r="AG160" s="114" t="n"/>
      <c r="AH160" s="114" t="n"/>
      <c r="AI160" s="114" t="n"/>
      <c r="AJ160" s="116" t="n"/>
      <c r="AK160" s="390">
        <f>_xlfn.TEXTJOIN("-",TRUE,AC160,AD160,AE160)</f>
        <v/>
      </c>
      <c r="AL160" s="123" t="inlineStr">
        <is>
          <t>ST235/85R16</t>
        </is>
      </c>
      <c r="AM160" s="177" t="inlineStr">
        <is>
          <t>10PR</t>
        </is>
      </c>
      <c r="AN160" s="177" t="inlineStr">
        <is>
          <t>Tow Pro ST</t>
        </is>
      </c>
      <c r="AO160" s="177" t="inlineStr">
        <is>
          <t>ST235/85R16-10PR SDAT</t>
        </is>
      </c>
      <c r="AP160" s="126" t="n"/>
      <c r="AQ160" s="129" t="n">
        <v>16.431</v>
      </c>
      <c r="AR160" s="131" t="n">
        <v>16.277</v>
      </c>
      <c r="AS160" s="203">
        <f>AQ160-AR160</f>
        <v/>
      </c>
      <c r="AT160" s="390">
        <f>_xlfn.TEXTJOIN("-",TRUE,AL160,AM160,AN160)</f>
        <v/>
      </c>
      <c r="AU160" s="132" t="n"/>
      <c r="AV160" s="178" t="n"/>
      <c r="AW160" s="178" t="n"/>
      <c r="AX160" s="178" t="n"/>
      <c r="AY160" s="135" t="n"/>
      <c r="AZ160" s="135" t="n"/>
      <c r="BA160" s="136" t="n"/>
      <c r="BB160" s="390">
        <f>_xlfn.TEXTJOIN("-",TRUE,AU160,AW160)</f>
        <v/>
      </c>
    </row>
    <row r="161" ht="13.8" customHeight="1" s="428">
      <c r="B161" s="123" t="inlineStr">
        <is>
          <t>11R22.5</t>
        </is>
      </c>
      <c r="C161" s="177" t="inlineStr">
        <is>
          <t>16PR</t>
        </is>
      </c>
      <c r="D161" s="177" t="inlineStr">
        <is>
          <t>VXD932</t>
        </is>
      </c>
      <c r="E161" s="171" t="inlineStr">
        <is>
          <t>ID11R22.5-16PR-D US ID</t>
        </is>
      </c>
      <c r="F161" s="197">
        <f>G161-2.777+3.17</f>
        <v/>
      </c>
      <c r="G161" s="129" t="n">
        <v>61.154</v>
      </c>
      <c r="H161" s="131" t="n">
        <v>61.01</v>
      </c>
      <c r="I161" s="198">
        <f>G161-H161</f>
        <v/>
      </c>
      <c r="J161" s="115">
        <f>_xlfn.TEXTJOIN("-",TRUE,B161,C161,D161)</f>
        <v/>
      </c>
      <c r="K161" s="184" t="n"/>
      <c r="L161" s="184" t="n"/>
      <c r="M161" s="184" t="n"/>
      <c r="N161" s="184" t="n"/>
      <c r="O161" s="184" t="n"/>
      <c r="P161" s="184" t="n"/>
      <c r="Q161" s="184" t="n"/>
      <c r="R161" s="184" t="n"/>
      <c r="S161" s="390">
        <f>_xlfn.TEXTJOIN("-",TRUE,K161,L161,M161)</f>
        <v/>
      </c>
      <c r="T161" s="123" t="inlineStr">
        <is>
          <t>120/70-13</t>
        </is>
      </c>
      <c r="U161" s="177" t="inlineStr">
        <is>
          <t>6PR</t>
        </is>
      </c>
      <c r="V161" s="177" t="inlineStr">
        <is>
          <t>H522S</t>
        </is>
      </c>
      <c r="W161" s="177" t="inlineStr">
        <is>
          <t>120/70-13-6PR/59S H522S</t>
        </is>
      </c>
      <c r="X161" s="177" t="n"/>
      <c r="Y161" s="131" t="n">
        <v>3.625</v>
      </c>
      <c r="Z161" s="131" t="n">
        <v>3.625</v>
      </c>
      <c r="AA161" s="130">
        <f>Y161-Z161</f>
        <v/>
      </c>
      <c r="AB161" s="390">
        <f>_xlfn.TEXTJOIN("-",TRUE,T161,U161,V161)</f>
        <v/>
      </c>
      <c r="AK161" s="390">
        <f>_xlfn.TEXTJOIN("-",TRUE,AC161,AD161,AE161)</f>
        <v/>
      </c>
      <c r="AL161" s="123" t="inlineStr">
        <is>
          <t>ST235/85R16</t>
        </is>
      </c>
      <c r="AM161" s="177" t="inlineStr">
        <is>
          <t>12PR</t>
        </is>
      </c>
      <c r="AN161" s="177" t="inlineStr">
        <is>
          <t>ST100A</t>
        </is>
      </c>
      <c r="AO161" s="177" t="inlineStr">
        <is>
          <t>ST235/85R16-12PR SDAT</t>
        </is>
      </c>
      <c r="AP161" s="126" t="n"/>
      <c r="AQ161" s="129" t="n">
        <v>18.44</v>
      </c>
      <c r="AR161" s="131" t="n">
        <v>18.402</v>
      </c>
      <c r="AS161" s="203">
        <f>AQ161-AR161</f>
        <v/>
      </c>
      <c r="AT161" s="390">
        <f>_xlfn.TEXTJOIN("-",TRUE,AL161,AM161,AN161)</f>
        <v/>
      </c>
      <c r="AU161" s="123" t="inlineStr">
        <is>
          <t>215/55R17</t>
        </is>
      </c>
      <c r="AV161" s="177" t="inlineStr">
        <is>
          <t>/</t>
        </is>
      </c>
      <c r="AW161" s="139" t="inlineStr">
        <is>
          <t>RP218(Process 1)</t>
        </is>
      </c>
      <c r="AX161" s="177" t="inlineStr">
        <is>
          <t>S021490A-60</t>
        </is>
      </c>
      <c r="AY161" s="131" t="n">
        <v>10.066</v>
      </c>
      <c r="AZ161" s="131" t="n">
        <v>10.066</v>
      </c>
      <c r="BA161" s="130">
        <f>AY161-AZ161</f>
        <v/>
      </c>
      <c r="BB161" s="390">
        <f>_xlfn.TEXTJOIN("-",TRUE,AU161,AW161)</f>
        <v/>
      </c>
    </row>
    <row r="162">
      <c r="B162" s="123" t="inlineStr">
        <is>
          <t>11R22.5</t>
        </is>
      </c>
      <c r="C162" s="177" t="inlineStr">
        <is>
          <t>16PR</t>
        </is>
      </c>
      <c r="D162" s="177" t="inlineStr">
        <is>
          <t>DL21</t>
        </is>
      </c>
      <c r="E162" s="177" t="inlineStr">
        <is>
          <t>ID11R22.5-16PR-DL21 US C ID</t>
        </is>
      </c>
      <c r="F162" s="197">
        <f>G162-2.777+3.17</f>
        <v/>
      </c>
      <c r="G162" s="129" t="n">
        <v>63.171</v>
      </c>
      <c r="H162" s="131" t="n">
        <v>62.0901</v>
      </c>
      <c r="I162" s="198">
        <f>G162-H162</f>
        <v/>
      </c>
      <c r="J162" s="115">
        <f>_xlfn.TEXTJOIN("-",TRUE,B162,C162,D162)</f>
        <v/>
      </c>
      <c r="K162" s="184" t="n"/>
      <c r="L162" s="184" t="n"/>
      <c r="M162" s="184" t="n"/>
      <c r="N162" s="184" t="n"/>
      <c r="O162" s="184" t="n"/>
      <c r="P162" s="184" t="n"/>
      <c r="Q162" s="184" t="n"/>
      <c r="R162" s="184" t="n"/>
      <c r="S162" s="390">
        <f>_xlfn.TEXTJOIN("-",TRUE,K162,L162,M162)</f>
        <v/>
      </c>
      <c r="T162" s="132" t="n"/>
      <c r="U162" s="178" t="n"/>
      <c r="V162" s="178" t="n"/>
      <c r="W162" s="178" t="n"/>
      <c r="X162" s="178" t="n"/>
      <c r="Y162" s="178" t="n"/>
      <c r="Z162" s="178" t="n"/>
      <c r="AA162" s="134" t="n"/>
      <c r="AB162" s="390">
        <f>_xlfn.TEXTJOIN("-",TRUE,T162,U162,V162)</f>
        <v/>
      </c>
      <c r="AK162" s="390">
        <f>_xlfn.TEXTJOIN("-",TRUE,AC162,AD162,AE162)</f>
        <v/>
      </c>
      <c r="AL162" s="123" t="inlineStr">
        <is>
          <t>ST235/85R16</t>
        </is>
      </c>
      <c r="AM162" s="177" t="inlineStr">
        <is>
          <t>12PR</t>
        </is>
      </c>
      <c r="AN162" s="177" t="inlineStr">
        <is>
          <t>DURAHAULER ST</t>
        </is>
      </c>
      <c r="AO162" s="177" t="inlineStr">
        <is>
          <t>ST235/85R16-12PR SDAT</t>
        </is>
      </c>
      <c r="AP162" s="126" t="n"/>
      <c r="AQ162" s="129" t="n">
        <v>18.44</v>
      </c>
      <c r="AR162" s="131" t="n">
        <v>18.402</v>
      </c>
      <c r="AS162" s="203">
        <f>AQ162-AR162</f>
        <v/>
      </c>
      <c r="AT162" s="390">
        <f>_xlfn.TEXTJOIN("-",TRUE,AL162,AM162,AN162)</f>
        <v/>
      </c>
      <c r="AU162" s="123" t="inlineStr">
        <is>
          <t>215/55R17</t>
        </is>
      </c>
      <c r="AV162" s="177" t="inlineStr">
        <is>
          <t>/</t>
        </is>
      </c>
      <c r="AW162" s="139" t="inlineStr">
        <is>
          <t>RP218(Process 2)</t>
        </is>
      </c>
      <c r="AX162" s="177" t="inlineStr">
        <is>
          <t>S021671A-60</t>
        </is>
      </c>
      <c r="AY162" s="131" t="n">
        <v>10.382</v>
      </c>
      <c r="AZ162" s="131" t="n">
        <v>10.383</v>
      </c>
      <c r="BA162" s="130">
        <f>AY162-AZ162</f>
        <v/>
      </c>
      <c r="BB162" s="390">
        <f>_xlfn.TEXTJOIN("-",TRUE,AU162,AW162)</f>
        <v/>
      </c>
    </row>
    <row r="163">
      <c r="B163" s="123" t="inlineStr">
        <is>
          <t>11R22.5</t>
        </is>
      </c>
      <c r="C163" s="177" t="inlineStr">
        <is>
          <t>16PR</t>
        </is>
      </c>
      <c r="D163" s="177" t="inlineStr">
        <is>
          <t>W-Elite DL22</t>
        </is>
      </c>
      <c r="E163" s="125" t="inlineStr">
        <is>
          <t>ID11R22.5-16PR-A US C ID</t>
        </is>
      </c>
      <c r="F163" s="197">
        <f>G163-2.777+3.17</f>
        <v/>
      </c>
      <c r="G163" s="129" t="n">
        <v>60.952</v>
      </c>
      <c r="H163" s="131" t="n">
        <v>60.84</v>
      </c>
      <c r="I163" s="198">
        <f>G163-H163</f>
        <v/>
      </c>
      <c r="J163" s="115">
        <f>_xlfn.TEXTJOIN("-",TRUE,B163,C163,D163)</f>
        <v/>
      </c>
      <c r="K163" s="184" t="n"/>
      <c r="L163" s="184" t="n"/>
      <c r="M163" s="184" t="n"/>
      <c r="N163" s="184" t="n"/>
      <c r="O163" s="184" t="n"/>
      <c r="P163" s="184" t="n"/>
      <c r="Q163" s="184" t="n"/>
      <c r="R163" s="184" t="n"/>
      <c r="S163" s="390">
        <f>_xlfn.TEXTJOIN("-",TRUE,K163,L163,M163)</f>
        <v/>
      </c>
      <c r="T163" s="123" t="inlineStr">
        <is>
          <t>120/80-12</t>
        </is>
      </c>
      <c r="U163" s="177" t="inlineStr">
        <is>
          <t>6PR</t>
        </is>
      </c>
      <c r="V163" s="177" t="inlineStr">
        <is>
          <t>RS06</t>
        </is>
      </c>
      <c r="W163" s="177" t="inlineStr">
        <is>
          <t>120/80-12-65P RS06</t>
        </is>
      </c>
      <c r="X163" s="177" t="n"/>
      <c r="Y163" s="131" t="n">
        <v>3.575</v>
      </c>
      <c r="Z163" s="131" t="n">
        <v>3.575</v>
      </c>
      <c r="AA163" s="130">
        <f>Y163-Z163</f>
        <v/>
      </c>
      <c r="AB163" s="390">
        <f>_xlfn.TEXTJOIN("-",TRUE,T163,U163,V163)</f>
        <v/>
      </c>
      <c r="AK163" s="390">
        <f>_xlfn.TEXTJOIN("-",TRUE,AC163,AD163,AE163)</f>
        <v/>
      </c>
      <c r="AL163" s="123" t="inlineStr">
        <is>
          <t>ST235/85R16</t>
        </is>
      </c>
      <c r="AM163" s="177" t="inlineStr">
        <is>
          <t>12PR</t>
        </is>
      </c>
      <c r="AN163" s="177" t="inlineStr">
        <is>
          <t>ASSURE ST</t>
        </is>
      </c>
      <c r="AO163" s="177" t="inlineStr">
        <is>
          <t>ST235/85R16-12PR SDAT</t>
        </is>
      </c>
      <c r="AP163" s="126" t="n"/>
      <c r="AQ163" s="129" t="n">
        <v>18.44</v>
      </c>
      <c r="AR163" s="131" t="n">
        <v>18.402</v>
      </c>
      <c r="AS163" s="203">
        <f>AQ163-AR163</f>
        <v/>
      </c>
      <c r="AT163" s="390">
        <f>_xlfn.TEXTJOIN("-",TRUE,AL163,AM163,AN163)</f>
        <v/>
      </c>
      <c r="AU163" s="132" t="n"/>
      <c r="AV163" s="178" t="n"/>
      <c r="AW163" s="178" t="n"/>
      <c r="AX163" s="178" t="n"/>
      <c r="AY163" s="135" t="n"/>
      <c r="AZ163" s="135" t="n"/>
      <c r="BA163" s="136" t="n"/>
      <c r="BB163" s="390">
        <f>_xlfn.TEXTJOIN("-",TRUE,AU163,AW163)</f>
        <v/>
      </c>
    </row>
    <row r="164">
      <c r="B164" s="123" t="inlineStr">
        <is>
          <t>11R22.5</t>
        </is>
      </c>
      <c r="C164" s="177" t="inlineStr">
        <is>
          <t>16PR</t>
        </is>
      </c>
      <c r="D164" s="177" t="inlineStr">
        <is>
          <t>W-Elite DA23</t>
        </is>
      </c>
      <c r="E164" s="125" t="inlineStr">
        <is>
          <t>ID11R22.5-16PR-A US C ID</t>
        </is>
      </c>
      <c r="F164" s="197">
        <f>G164-2.777+3.17</f>
        <v/>
      </c>
      <c r="G164" s="129" t="n">
        <v>60.952</v>
      </c>
      <c r="H164" s="131" t="n">
        <v>60.84</v>
      </c>
      <c r="I164" s="198">
        <f>G164-H164</f>
        <v/>
      </c>
      <c r="J164" s="115">
        <f>_xlfn.TEXTJOIN("-",TRUE,B164,C164,D164)</f>
        <v/>
      </c>
      <c r="K164" s="184" t="n"/>
      <c r="L164" s="184" t="n"/>
      <c r="M164" s="184" t="n"/>
      <c r="N164" s="184" t="n"/>
      <c r="O164" s="184" t="n"/>
      <c r="P164" s="184" t="n"/>
      <c r="Q164" s="184" t="n"/>
      <c r="R164" s="184" t="n"/>
      <c r="S164" s="390">
        <f>_xlfn.TEXTJOIN("-",TRUE,K164,L164,M164)</f>
        <v/>
      </c>
      <c r="T164" s="132" t="n"/>
      <c r="U164" s="178" t="n"/>
      <c r="V164" s="178" t="n"/>
      <c r="W164" s="178" t="n"/>
      <c r="X164" s="178" t="n"/>
      <c r="Y164" s="178" t="n"/>
      <c r="Z164" s="178" t="n"/>
      <c r="AA164" s="134" t="n"/>
      <c r="AB164" s="390">
        <f>_xlfn.TEXTJOIN("-",TRUE,T164,U164,V164)</f>
        <v/>
      </c>
      <c r="AK164" s="390">
        <f>_xlfn.TEXTJOIN("-",TRUE,AC164,AD164,AE164)</f>
        <v/>
      </c>
      <c r="AL164" s="123" t="inlineStr">
        <is>
          <t>ST235/85R16</t>
        </is>
      </c>
      <c r="AM164" s="177" t="inlineStr">
        <is>
          <t>12PR</t>
        </is>
      </c>
      <c r="AN164" s="177" t="inlineStr">
        <is>
          <t>Tow Pro ST</t>
        </is>
      </c>
      <c r="AO164" s="177" t="inlineStr">
        <is>
          <t>ST235/85R16-12PR SDAT</t>
        </is>
      </c>
      <c r="AP164" s="126" t="n"/>
      <c r="AQ164" s="129" t="n">
        <v>18.44</v>
      </c>
      <c r="AR164" s="131" t="n">
        <v>18.402</v>
      </c>
      <c r="AS164" s="203">
        <f>AQ164-AR164</f>
        <v/>
      </c>
      <c r="AT164" s="390">
        <f>_xlfn.TEXTJOIN("-",TRUE,AL164,AM164,AN164)</f>
        <v/>
      </c>
      <c r="AU164" s="123" t="inlineStr">
        <is>
          <t>215/60R16</t>
        </is>
      </c>
      <c r="AV164" s="177" t="inlineStr">
        <is>
          <t>/</t>
        </is>
      </c>
      <c r="AW164" s="139" t="inlineStr">
        <is>
          <t>C-108</t>
        </is>
      </c>
      <c r="AX164" s="177" t="inlineStr">
        <is>
          <t>S020988A-72</t>
        </is>
      </c>
      <c r="AY164" s="131" t="n">
        <v>9.255000000000001</v>
      </c>
      <c r="AZ164" s="131" t="n">
        <v>9.255000000000001</v>
      </c>
      <c r="BA164" s="130">
        <f>AY164-AZ164</f>
        <v/>
      </c>
      <c r="BB164" s="390">
        <f>_xlfn.TEXTJOIN("-",TRUE,AU164,AW164)</f>
        <v/>
      </c>
    </row>
    <row r="165">
      <c r="B165" s="123" t="inlineStr">
        <is>
          <t>11R22.5</t>
        </is>
      </c>
      <c r="C165" s="177" t="inlineStr">
        <is>
          <t>16PR</t>
        </is>
      </c>
      <c r="D165" s="177" t="inlineStr">
        <is>
          <t>AD600</t>
        </is>
      </c>
      <c r="E165" s="125" t="inlineStr">
        <is>
          <t>ID11R22.5-16PR-A US C ID</t>
        </is>
      </c>
      <c r="F165" s="197">
        <f>G165-2.777+3.17</f>
        <v/>
      </c>
      <c r="G165" s="129" t="n">
        <v>60.952</v>
      </c>
      <c r="H165" s="131" t="n">
        <v>60.84</v>
      </c>
      <c r="I165" s="198">
        <f>G165-H165</f>
        <v/>
      </c>
      <c r="J165" s="115">
        <f>_xlfn.TEXTJOIN("-",TRUE,B165,C165,D165)</f>
        <v/>
      </c>
      <c r="K165" s="184" t="n"/>
      <c r="L165" s="184" t="n"/>
      <c r="M165" s="184" t="n"/>
      <c r="N165" s="184" t="n"/>
      <c r="O165" s="184" t="n"/>
      <c r="P165" s="184" t="n"/>
      <c r="Q165" s="184" t="n"/>
      <c r="R165" s="184" t="n"/>
      <c r="S165" s="390">
        <f>_xlfn.TEXTJOIN("-",TRUE,K165,L165,M165)</f>
        <v/>
      </c>
      <c r="T165" s="123" t="inlineStr">
        <is>
          <t>130/70-13</t>
        </is>
      </c>
      <c r="U165" s="177" t="inlineStr">
        <is>
          <t>6PR</t>
        </is>
      </c>
      <c r="V165" s="177" t="inlineStr">
        <is>
          <t>H522S</t>
        </is>
      </c>
      <c r="W165" s="177" t="inlineStr">
        <is>
          <t>130/70-13-6PR/63S H522S</t>
        </is>
      </c>
      <c r="X165" s="177" t="n"/>
      <c r="Y165" s="131" t="n">
        <v>4.255</v>
      </c>
      <c r="Z165" s="131" t="n">
        <v>4.255</v>
      </c>
      <c r="AA165" s="130">
        <f>Y165-Z165</f>
        <v/>
      </c>
      <c r="AB165" s="390">
        <f>_xlfn.TEXTJOIN("-",TRUE,T165,U165,V165)</f>
        <v/>
      </c>
      <c r="AK165" s="390">
        <f>_xlfn.TEXTJOIN("-",TRUE,AC165,AD165,AE165)</f>
        <v/>
      </c>
      <c r="AL165" s="123" t="inlineStr">
        <is>
          <t>ST235/85R16</t>
        </is>
      </c>
      <c r="AM165" s="177" t="inlineStr">
        <is>
          <t>12PR</t>
        </is>
      </c>
      <c r="AN165" s="177" t="inlineStr">
        <is>
          <t>ST200</t>
        </is>
      </c>
      <c r="AO165" s="177" t="inlineStr">
        <is>
          <t>ST235/85R16-12PR ST200/RA</t>
        </is>
      </c>
      <c r="AP165" s="126" t="n"/>
      <c r="AQ165" s="129" t="n">
        <v>18.96</v>
      </c>
      <c r="AR165" s="131" t="n">
        <v>18.944</v>
      </c>
      <c r="AS165" s="203">
        <f>AQ165-AR165</f>
        <v/>
      </c>
      <c r="AT165" s="390">
        <f>_xlfn.TEXTJOIN("-",TRUE,AL165,AM165,AN165)</f>
        <v/>
      </c>
      <c r="AU165" s="123" t="inlineStr">
        <is>
          <t>215/60R16</t>
        </is>
      </c>
      <c r="AV165" s="177" t="inlineStr">
        <is>
          <t>/</t>
        </is>
      </c>
      <c r="AW165" s="139" t="inlineStr">
        <is>
          <t>G-118</t>
        </is>
      </c>
      <c r="AX165" s="177" t="inlineStr">
        <is>
          <t>S020988A-72</t>
        </is>
      </c>
      <c r="AY165" s="131" t="n">
        <v>9.255000000000001</v>
      </c>
      <c r="AZ165" s="131" t="n">
        <v>9.255000000000001</v>
      </c>
      <c r="BA165" s="130">
        <f>AY165-AZ165</f>
        <v/>
      </c>
      <c r="BB165" s="390">
        <f>_xlfn.TEXTJOIN("-",TRUE,AU165,AW165)</f>
        <v/>
      </c>
    </row>
    <row r="166" ht="13.8" customHeight="1" s="428">
      <c r="B166" s="123" t="inlineStr">
        <is>
          <t>11R22.5</t>
        </is>
      </c>
      <c r="C166" s="177" t="inlineStr">
        <is>
          <t>16PR</t>
        </is>
      </c>
      <c r="D166" s="177" t="inlineStr">
        <is>
          <t>PD211</t>
        </is>
      </c>
      <c r="E166" s="125" t="inlineStr">
        <is>
          <t>ID11R22.5-16PR-A US C ID</t>
        </is>
      </c>
      <c r="F166" s="197">
        <f>G166-2.777+3.17</f>
        <v/>
      </c>
      <c r="G166" s="129" t="n">
        <v>60.952</v>
      </c>
      <c r="H166" s="131" t="n">
        <v>60.84</v>
      </c>
      <c r="I166" s="198">
        <f>G166-H166</f>
        <v/>
      </c>
      <c r="J166" s="115">
        <f>_xlfn.TEXTJOIN("-",TRUE,B166,C166,D166)</f>
        <v/>
      </c>
      <c r="K166" s="184" t="n"/>
      <c r="L166" s="184" t="n"/>
      <c r="M166" s="184" t="n"/>
      <c r="N166" s="184" t="n"/>
      <c r="O166" s="184" t="n"/>
      <c r="P166" s="184" t="n"/>
      <c r="Q166" s="184" t="n"/>
      <c r="R166" s="184" t="n"/>
      <c r="S166" s="390">
        <f>_xlfn.TEXTJOIN("-",TRUE,K166,L166,M166)</f>
        <v/>
      </c>
      <c r="T166" s="132" t="n"/>
      <c r="U166" s="178" t="n"/>
      <c r="V166" s="178" t="n"/>
      <c r="W166" s="178" t="n"/>
      <c r="X166" s="178" t="n"/>
      <c r="Y166" s="178" t="n"/>
      <c r="Z166" s="178" t="n"/>
      <c r="AA166" s="134" t="n"/>
      <c r="AB166" s="390">
        <f>_xlfn.TEXTJOIN("-",TRUE,T166,U166,V166)</f>
        <v/>
      </c>
      <c r="AK166" s="390">
        <f>_xlfn.TEXTJOIN("-",TRUE,AC166,AD166,AE166)</f>
        <v/>
      </c>
      <c r="AL166" s="123" t="inlineStr">
        <is>
          <t>ST235/85R16</t>
        </is>
      </c>
      <c r="AM166" s="177" t="inlineStr">
        <is>
          <t>12PR</t>
        </is>
      </c>
      <c r="AN166" s="177" t="inlineStr">
        <is>
          <t>ST Radial</t>
        </is>
      </c>
      <c r="AO166" s="177" t="inlineStr">
        <is>
          <t>ST235/85R16-12PR ST200/RA</t>
        </is>
      </c>
      <c r="AP166" s="126" t="n"/>
      <c r="AQ166" s="129" t="n">
        <v>18.96</v>
      </c>
      <c r="AR166" s="131" t="n">
        <v>18.944</v>
      </c>
      <c r="AS166" s="203">
        <f>AQ166-AR166</f>
        <v/>
      </c>
      <c r="AT166" s="390">
        <f>_xlfn.TEXTJOIN("-",TRUE,AL166,AM166,AN166)</f>
        <v/>
      </c>
      <c r="AU166" s="123" t="inlineStr">
        <is>
          <t>215/60R16</t>
        </is>
      </c>
      <c r="AV166" s="177" t="inlineStr">
        <is>
          <t>/</t>
        </is>
      </c>
      <c r="AW166" s="139" t="inlineStr">
        <is>
          <t>T-118</t>
        </is>
      </c>
      <c r="AX166" s="177" t="inlineStr">
        <is>
          <t>S020988A-72</t>
        </is>
      </c>
      <c r="AY166" s="131" t="n">
        <v>9.255000000000001</v>
      </c>
      <c r="AZ166" s="131" t="n">
        <v>9.255000000000001</v>
      </c>
      <c r="BA166" s="130">
        <f>AY166-AZ166</f>
        <v/>
      </c>
      <c r="BB166" s="390">
        <f>_xlfn.TEXTJOIN("-",TRUE,AU166,AW166)</f>
        <v/>
      </c>
    </row>
    <row r="167" ht="13.8" customHeight="1" s="428">
      <c r="B167" s="123" t="inlineStr">
        <is>
          <t>11R22.5</t>
        </is>
      </c>
      <c r="C167" s="177" t="inlineStr">
        <is>
          <t>16PR</t>
        </is>
      </c>
      <c r="D167" s="177" t="inlineStr">
        <is>
          <t>W-Elite SL11</t>
        </is>
      </c>
      <c r="E167" s="125" t="inlineStr">
        <is>
          <t>ID11R22.5-16PR-C US ID</t>
        </is>
      </c>
      <c r="F167" s="197">
        <f>G167-2.777+3.17</f>
        <v/>
      </c>
      <c r="G167" s="129" t="n">
        <v>55.825</v>
      </c>
      <c r="H167" s="131" t="n">
        <v>55.24</v>
      </c>
      <c r="I167" s="198">
        <f>G167-H167</f>
        <v/>
      </c>
      <c r="J167" s="115">
        <f>_xlfn.TEXTJOIN("-",TRUE,B167,C167,D167)</f>
        <v/>
      </c>
      <c r="K167" s="184" t="n"/>
      <c r="L167" s="184" t="n"/>
      <c r="M167" s="184" t="n"/>
      <c r="N167" s="184" t="n"/>
      <c r="O167" s="184" t="n"/>
      <c r="P167" s="184" t="n"/>
      <c r="Q167" s="184" t="n"/>
      <c r="R167" s="184" t="n"/>
      <c r="S167" s="390">
        <f>_xlfn.TEXTJOIN("-",TRUE,K167,L167,M167)</f>
        <v/>
      </c>
      <c r="T167" s="123" t="inlineStr">
        <is>
          <t>140/70-13</t>
        </is>
      </c>
      <c r="U167" s="177" t="inlineStr">
        <is>
          <t>4PR</t>
        </is>
      </c>
      <c r="V167" s="177" t="inlineStr">
        <is>
          <t>H522S</t>
        </is>
      </c>
      <c r="W167" s="177" t="inlineStr">
        <is>
          <t>140/70-13-4PR/61S H522S</t>
        </is>
      </c>
      <c r="X167" s="177" t="n"/>
      <c r="Y167" s="131" t="n">
        <v>4.465</v>
      </c>
      <c r="Z167" s="131" t="n">
        <v>4.465</v>
      </c>
      <c r="AA167" s="130">
        <f>Y167-Z167</f>
        <v/>
      </c>
      <c r="AB167" s="390">
        <f>_xlfn.TEXTJOIN("-",TRUE,T167,U167,V167)</f>
        <v/>
      </c>
      <c r="AK167" s="390">
        <f>_xlfn.TEXTJOIN("-",TRUE,AC167,AD167,AE167)</f>
        <v/>
      </c>
      <c r="AL167" s="123" t="inlineStr">
        <is>
          <t>ST235/85R16</t>
        </is>
      </c>
      <c r="AM167" s="177" t="inlineStr">
        <is>
          <t>12PR</t>
        </is>
      </c>
      <c r="AN167" s="177" t="inlineStr">
        <is>
          <t>ST226</t>
        </is>
      </c>
      <c r="AO167" s="177" t="inlineStr">
        <is>
          <t>ST235/85R16-12PR ST226</t>
        </is>
      </c>
      <c r="AP167" s="126" t="n"/>
      <c r="AQ167" s="129" t="n">
        <v>18.992</v>
      </c>
      <c r="AR167" s="131" t="n">
        <v>18.936</v>
      </c>
      <c r="AS167" s="203">
        <f>AQ167-AR167</f>
        <v/>
      </c>
      <c r="AT167" s="390">
        <f>_xlfn.TEXTJOIN("-",TRUE,AL167,AM167,AN167)</f>
        <v/>
      </c>
      <c r="AU167" s="123" t="inlineStr">
        <is>
          <t>215/60R16</t>
        </is>
      </c>
      <c r="AV167" s="177" t="inlineStr">
        <is>
          <t>/</t>
        </is>
      </c>
      <c r="AW167" s="139" t="inlineStr">
        <is>
          <t>Z-108</t>
        </is>
      </c>
      <c r="AX167" s="177" t="inlineStr">
        <is>
          <t>S020988A-72</t>
        </is>
      </c>
      <c r="AY167" s="131" t="n">
        <v>9.255000000000001</v>
      </c>
      <c r="AZ167" s="131" t="n">
        <v>9.255000000000001</v>
      </c>
      <c r="BA167" s="130">
        <f>AY167-AZ167</f>
        <v/>
      </c>
      <c r="BB167" s="390">
        <f>_xlfn.TEXTJOIN("-",TRUE,AU167,AW167)</f>
        <v/>
      </c>
    </row>
    <row r="168" ht="16.35" customHeight="1" s="428">
      <c r="B168" s="123" t="inlineStr">
        <is>
          <t>11R22.5</t>
        </is>
      </c>
      <c r="C168" s="177" t="inlineStr">
        <is>
          <t>16PR</t>
        </is>
      </c>
      <c r="D168" s="177" t="inlineStr">
        <is>
          <t>VA996</t>
        </is>
      </c>
      <c r="E168" s="125" t="inlineStr">
        <is>
          <t>ID11R22.5-16PR-C US ID</t>
        </is>
      </c>
      <c r="F168" s="197">
        <f>G168-2.777+3.17</f>
        <v/>
      </c>
      <c r="G168" s="129" t="n">
        <v>55.825</v>
      </c>
      <c r="H168" s="131" t="n">
        <v>55.24</v>
      </c>
      <c r="I168" s="198">
        <f>G168-H168</f>
        <v/>
      </c>
      <c r="J168" s="115">
        <f>_xlfn.TEXTJOIN("-",TRUE,B168,C168,D168)</f>
        <v/>
      </c>
      <c r="K168" s="184" t="n"/>
      <c r="L168" s="184" t="n"/>
      <c r="M168" s="184" t="n"/>
      <c r="N168" s="184" t="n"/>
      <c r="O168" s="184" t="n"/>
      <c r="P168" s="184" t="n"/>
      <c r="Q168" s="184" t="n"/>
      <c r="R168" s="184" t="n"/>
      <c r="S168" s="390">
        <f>_xlfn.TEXTJOIN("-",TRUE,K168,L168,M168)</f>
        <v/>
      </c>
      <c r="T168" s="132" t="n"/>
      <c r="U168" s="178" t="n"/>
      <c r="V168" s="178" t="n"/>
      <c r="W168" s="178" t="n"/>
      <c r="X168" s="178" t="n"/>
      <c r="Y168" s="178" t="n"/>
      <c r="Z168" s="178" t="n"/>
      <c r="AA168" s="134" t="n"/>
      <c r="AB168" s="390">
        <f>_xlfn.TEXTJOIN("-",TRUE,T168,U168,V168)</f>
        <v/>
      </c>
      <c r="AK168" s="390">
        <f>_xlfn.TEXTJOIN("-",TRUE,AC168,AD168,AE168)</f>
        <v/>
      </c>
      <c r="AL168" s="199" t="n"/>
      <c r="AM168" s="200" t="n"/>
      <c r="AN168" s="200" t="n"/>
      <c r="AO168" s="200" t="n"/>
      <c r="AP168" s="200" t="n"/>
      <c r="AQ168" s="201" t="n"/>
      <c r="AR168" s="205" t="n"/>
      <c r="AS168" s="202" t="n"/>
      <c r="AT168" s="390">
        <f>_xlfn.TEXTJOIN("-",TRUE,AL168,AM168,AN168)</f>
        <v/>
      </c>
      <c r="AU168" s="123" t="inlineStr">
        <is>
          <t>215/60R16</t>
        </is>
      </c>
      <c r="AV168" s="177" t="inlineStr">
        <is>
          <t>/</t>
        </is>
      </c>
      <c r="AW168" s="139" t="inlineStr">
        <is>
          <t>RP218</t>
        </is>
      </c>
      <c r="AX168" s="177" t="inlineStr">
        <is>
          <t>S021493A-60</t>
        </is>
      </c>
      <c r="AY168" s="131" t="n">
        <v>10.173</v>
      </c>
      <c r="AZ168" s="131" t="n">
        <v>10.174</v>
      </c>
      <c r="BA168" s="130">
        <f>AY168-AZ168</f>
        <v/>
      </c>
      <c r="BB168" s="390">
        <f>_xlfn.TEXTJOIN("-",TRUE,AU168,AW168)</f>
        <v/>
      </c>
    </row>
    <row r="169">
      <c r="B169" s="123" t="inlineStr">
        <is>
          <t>11R22.5</t>
        </is>
      </c>
      <c r="C169" s="177" t="inlineStr">
        <is>
          <t>16PR</t>
        </is>
      </c>
      <c r="D169" s="177" t="inlineStr">
        <is>
          <t>AS200</t>
        </is>
      </c>
      <c r="E169" s="125" t="inlineStr">
        <is>
          <t>ID11R22.5-16PR-C US ID</t>
        </is>
      </c>
      <c r="F169" s="197">
        <f>G169-2.777+3.17</f>
        <v/>
      </c>
      <c r="G169" s="129" t="n">
        <v>55.825</v>
      </c>
      <c r="H169" s="131" t="n">
        <v>55.24</v>
      </c>
      <c r="I169" s="198">
        <f>G169-H169</f>
        <v/>
      </c>
      <c r="J169" s="115">
        <f>_xlfn.TEXTJOIN("-",TRUE,B169,C169,D169)</f>
        <v/>
      </c>
      <c r="K169" s="184" t="n"/>
      <c r="L169" s="184" t="n"/>
      <c r="M169" s="184" t="n"/>
      <c r="N169" s="184" t="n"/>
      <c r="O169" s="184" t="n"/>
      <c r="P169" s="184" t="n"/>
      <c r="Q169" s="184" t="n"/>
      <c r="R169" s="184" t="n"/>
      <c r="S169" s="390">
        <f>_xlfn.TEXTJOIN("-",TRUE,K169,L169,M169)</f>
        <v/>
      </c>
      <c r="T169" s="123" t="inlineStr">
        <is>
          <t>140/70-14</t>
        </is>
      </c>
      <c r="U169" s="177" t="inlineStr">
        <is>
          <t>6PR</t>
        </is>
      </c>
      <c r="V169" s="177" t="inlineStr">
        <is>
          <t>H522S</t>
        </is>
      </c>
      <c r="W169" s="177" t="inlineStr">
        <is>
          <t>140/70-14-6PR/68S H522S</t>
        </is>
      </c>
      <c r="X169" s="177" t="n"/>
      <c r="Y169" s="131" t="n">
        <v>4.67</v>
      </c>
      <c r="Z169" s="131" t="n">
        <v>4.67</v>
      </c>
      <c r="AA169" s="130">
        <f>Y169-Z169</f>
        <v/>
      </c>
      <c r="AB169" s="390">
        <f>_xlfn.TEXTJOIN("-",TRUE,T169,U169,V169)</f>
        <v/>
      </c>
      <c r="AK169" s="390">
        <f>_xlfn.TEXTJOIN("-",TRUE,AC169,AD169,AE169)</f>
        <v/>
      </c>
      <c r="AT169" s="390">
        <f>_xlfn.TEXTJOIN("-",TRUE,AL169,AM169,AN169)</f>
        <v/>
      </c>
      <c r="AU169" s="132" t="n"/>
      <c r="AV169" s="178" t="n"/>
      <c r="AW169" s="178" t="n"/>
      <c r="AX169" s="178" t="n"/>
      <c r="AY169" s="135" t="n"/>
      <c r="AZ169" s="135" t="n"/>
      <c r="BA169" s="136" t="n"/>
      <c r="BB169" s="390">
        <f>_xlfn.TEXTJOIN("-",TRUE,AU169,AW169)</f>
        <v/>
      </c>
    </row>
    <row r="170" ht="13.8" customHeight="1" s="428">
      <c r="B170" s="123" t="inlineStr">
        <is>
          <t>11R22.5</t>
        </is>
      </c>
      <c r="C170" s="177" t="inlineStr">
        <is>
          <t>16PR</t>
        </is>
      </c>
      <c r="D170" s="126" t="inlineStr">
        <is>
          <t>PS221</t>
        </is>
      </c>
      <c r="E170" s="177" t="inlineStr">
        <is>
          <t>ID11R22.5-16PR-C US ID</t>
        </is>
      </c>
      <c r="F170" s="197">
        <f>G170-2.777+3.17</f>
        <v/>
      </c>
      <c r="G170" s="129" t="n">
        <v>55.825</v>
      </c>
      <c r="H170" s="131" t="n">
        <v>55.24</v>
      </c>
      <c r="I170" s="198">
        <f>G170-H170</f>
        <v/>
      </c>
      <c r="J170" s="115">
        <f>_xlfn.TEXTJOIN("-",TRUE,B170,C170,D170)</f>
        <v/>
      </c>
      <c r="K170" s="184" t="n"/>
      <c r="L170" s="184" t="n"/>
      <c r="M170" s="184" t="n"/>
      <c r="N170" s="184" t="n"/>
      <c r="O170" s="184" t="n"/>
      <c r="P170" s="184" t="n"/>
      <c r="Q170" s="184" t="n"/>
      <c r="R170" s="184" t="n"/>
      <c r="S170" s="390">
        <f>_xlfn.TEXTJOIN("-",TRUE,K170,L170,M170)</f>
        <v/>
      </c>
      <c r="T170" s="199" t="n"/>
      <c r="U170" s="200" t="n"/>
      <c r="V170" s="200" t="n"/>
      <c r="W170" s="200" t="n"/>
      <c r="X170" s="200" t="n"/>
      <c r="Y170" s="201" t="n"/>
      <c r="Z170" s="201" t="n"/>
      <c r="AA170" s="202" t="n"/>
      <c r="AB170" s="390">
        <f>_xlfn.TEXTJOIN("-",TRUE,T170,U170,V170)</f>
        <v/>
      </c>
      <c r="AK170" s="390">
        <f>_xlfn.TEXTJOIN("-",TRUE,AC170,AD170,AE170)</f>
        <v/>
      </c>
      <c r="AT170" s="390">
        <f>_xlfn.TEXTJOIN("-",TRUE,AL170,AM170,AN170)</f>
        <v/>
      </c>
      <c r="AU170" s="123" t="inlineStr">
        <is>
          <t>215/60R17</t>
        </is>
      </c>
      <c r="AV170" s="177" t="inlineStr">
        <is>
          <t>/</t>
        </is>
      </c>
      <c r="AW170" s="139" t="inlineStr">
        <is>
          <t>RP218</t>
        </is>
      </c>
      <c r="AX170" s="177" t="inlineStr">
        <is>
          <t>S021510A-60</t>
        </is>
      </c>
      <c r="AY170" s="131" t="n">
        <v>10.587</v>
      </c>
      <c r="AZ170" s="131" t="n">
        <v>10.585</v>
      </c>
      <c r="BA170" s="130">
        <f>AY170-AZ170</f>
        <v/>
      </c>
      <c r="BB170" s="390">
        <f>_xlfn.TEXTJOIN("-",TRUE,AU170,AW170)</f>
        <v/>
      </c>
    </row>
    <row r="171">
      <c r="B171" s="123" t="inlineStr">
        <is>
          <t>11R22.5</t>
        </is>
      </c>
      <c r="C171" s="177" t="inlineStr">
        <is>
          <t>14PR</t>
        </is>
      </c>
      <c r="D171" s="177" t="inlineStr">
        <is>
          <t>TL31</t>
        </is>
      </c>
      <c r="E171" s="171" t="inlineStr">
        <is>
          <t>ID11R22.5-14PR-E US ID</t>
        </is>
      </c>
      <c r="F171" s="197">
        <f>G171-2.777+3.17</f>
        <v/>
      </c>
      <c r="G171" s="129" t="n">
        <v>47.71</v>
      </c>
      <c r="H171" s="131" t="n">
        <v>47.6342</v>
      </c>
      <c r="I171" s="198">
        <f>G171-H171</f>
        <v/>
      </c>
      <c r="J171" s="115">
        <f>_xlfn.TEXTJOIN("-",TRUE,B171,C171,D171)</f>
        <v/>
      </c>
      <c r="K171" s="184" t="n"/>
      <c r="L171" s="184" t="n"/>
      <c r="M171" s="184" t="n"/>
      <c r="N171" s="184" t="n"/>
      <c r="O171" s="184" t="n"/>
      <c r="P171" s="184" t="n"/>
      <c r="Q171" s="184" t="n"/>
      <c r="R171" s="184" t="n"/>
      <c r="S171" s="390">
        <f>_xlfn.TEXTJOIN("-",TRUE,K171,L171,M171)</f>
        <v/>
      </c>
      <c r="T171" s="184" t="n"/>
      <c r="U171" s="184" t="n"/>
      <c r="V171" s="184" t="n"/>
      <c r="W171" s="184" t="n"/>
      <c r="X171" s="184" t="n"/>
      <c r="Y171" s="184" t="n"/>
      <c r="Z171" s="184" t="n"/>
      <c r="AA171" s="184" t="n"/>
      <c r="AB171" s="390">
        <f>_xlfn.TEXTJOIN("-",TRUE,T171,U171,V171)</f>
        <v/>
      </c>
      <c r="AK171" s="390">
        <f>_xlfn.TEXTJOIN("-",TRUE,AC171,AD171,AE171)</f>
        <v/>
      </c>
      <c r="AT171" s="390">
        <f>_xlfn.TEXTJOIN("-",TRUE,AL171,AM171,AN171)</f>
        <v/>
      </c>
      <c r="AU171" s="132" t="n"/>
      <c r="AV171" s="178" t="n"/>
      <c r="AW171" s="178" t="n"/>
      <c r="AX171" s="178" t="n"/>
      <c r="AY171" s="135" t="n"/>
      <c r="AZ171" s="135" t="n"/>
      <c r="BA171" s="136" t="n"/>
      <c r="BB171" s="390">
        <f>_xlfn.TEXTJOIN("-",TRUE,AU171,AW171)</f>
        <v/>
      </c>
    </row>
    <row r="172">
      <c r="B172" s="123" t="inlineStr">
        <is>
          <t>11R22.5</t>
        </is>
      </c>
      <c r="C172" s="177" t="inlineStr">
        <is>
          <t>14PR</t>
        </is>
      </c>
      <c r="D172" s="126" t="inlineStr">
        <is>
          <t>VT993</t>
        </is>
      </c>
      <c r="E172" s="177" t="inlineStr">
        <is>
          <t>ID11R22.5-14PR-E US ID</t>
        </is>
      </c>
      <c r="F172" s="204">
        <f>G172-2.777+3.17</f>
        <v/>
      </c>
      <c r="G172" s="129" t="n">
        <v>47.71</v>
      </c>
      <c r="H172" s="131" t="n">
        <v>47.6342</v>
      </c>
      <c r="I172" s="198">
        <f>G172-H172</f>
        <v/>
      </c>
      <c r="J172" s="115">
        <f>_xlfn.TEXTJOIN("-",TRUE,B172,C172,D172)</f>
        <v/>
      </c>
      <c r="K172" s="184" t="n"/>
      <c r="L172" s="184" t="n"/>
      <c r="M172" s="184" t="n"/>
      <c r="N172" s="184" t="n"/>
      <c r="O172" s="184" t="n"/>
      <c r="P172" s="184" t="n"/>
      <c r="Q172" s="184" t="n"/>
      <c r="R172" s="184" t="n"/>
      <c r="S172" s="390">
        <f>_xlfn.TEXTJOIN("-",TRUE,K172,L172,M172)</f>
        <v/>
      </c>
      <c r="T172" s="184" t="n"/>
      <c r="U172" s="184" t="n"/>
      <c r="V172" s="184" t="n"/>
      <c r="W172" s="184" t="n"/>
      <c r="X172" s="184" t="n"/>
      <c r="Y172" s="184" t="n"/>
      <c r="Z172" s="184" t="n"/>
      <c r="AA172" s="184" t="n"/>
      <c r="AB172" s="390">
        <f>_xlfn.TEXTJOIN("-",TRUE,T172,U172,V172)</f>
        <v/>
      </c>
      <c r="AK172" s="390">
        <f>_xlfn.TEXTJOIN("-",TRUE,AC172,AD172,AE172)</f>
        <v/>
      </c>
      <c r="AT172" s="390">
        <f>_xlfn.TEXTJOIN("-",TRUE,AL172,AM172,AN172)</f>
        <v/>
      </c>
      <c r="AU172" s="123" t="inlineStr">
        <is>
          <t>215/65R16</t>
        </is>
      </c>
      <c r="AV172" s="177" t="inlineStr">
        <is>
          <t>/</t>
        </is>
      </c>
      <c r="AW172" s="139" t="inlineStr">
        <is>
          <t>C-108</t>
        </is>
      </c>
      <c r="AX172" s="177" t="inlineStr">
        <is>
          <t>S020989A-72</t>
        </is>
      </c>
      <c r="AY172" s="131" t="n">
        <v>9.099</v>
      </c>
      <c r="AZ172" s="131" t="n">
        <v>9.097</v>
      </c>
      <c r="BA172" s="130">
        <f>AY172-AZ172</f>
        <v/>
      </c>
      <c r="BB172" s="390">
        <f>_xlfn.TEXTJOIN("-",TRUE,AU172,AW172)</f>
        <v/>
      </c>
    </row>
    <row r="173">
      <c r="B173" s="123" t="inlineStr">
        <is>
          <t>11R22.5</t>
        </is>
      </c>
      <c r="C173" s="177" t="inlineStr">
        <is>
          <t>16PR</t>
        </is>
      </c>
      <c r="D173" s="177" t="inlineStr">
        <is>
          <t>ZA12</t>
        </is>
      </c>
      <c r="E173" s="141" t="inlineStr">
        <is>
          <t>ID11R22.5-16PR-ZA12 US C ID</t>
        </is>
      </c>
      <c r="F173" s="197">
        <f>G173-2.777+3.17</f>
        <v/>
      </c>
      <c r="G173" s="129" t="n">
        <v>57.16</v>
      </c>
      <c r="H173" s="131" t="n">
        <v>56.4194</v>
      </c>
      <c r="I173" s="198">
        <f>G173-H173</f>
        <v/>
      </c>
      <c r="J173" s="115">
        <f>_xlfn.TEXTJOIN("-",TRUE,B173,C173,D173)</f>
        <v/>
      </c>
      <c r="K173" s="184" t="n"/>
      <c r="L173" s="184" t="n"/>
      <c r="M173" s="184" t="n"/>
      <c r="N173" s="184" t="n"/>
      <c r="O173" s="184" t="n"/>
      <c r="P173" s="184" t="n"/>
      <c r="Q173" s="184" t="n"/>
      <c r="R173" s="184" t="n"/>
      <c r="S173" s="390">
        <f>_xlfn.TEXTJOIN("-",TRUE,K173,L173,M173)</f>
        <v/>
      </c>
      <c r="T173" s="184" t="n"/>
      <c r="U173" s="184" t="n"/>
      <c r="V173" s="184" t="n"/>
      <c r="W173" s="184" t="n"/>
      <c r="X173" s="184" t="n"/>
      <c r="Y173" s="184" t="n"/>
      <c r="Z173" s="184" t="n"/>
      <c r="AA173" s="184" t="n"/>
      <c r="AB173" s="390">
        <f>_xlfn.TEXTJOIN("-",TRUE,T173,U173,V173)</f>
        <v/>
      </c>
      <c r="AK173" s="390">
        <f>_xlfn.TEXTJOIN("-",TRUE,AC173,AD173,AE173)</f>
        <v/>
      </c>
      <c r="AT173" s="390">
        <f>_xlfn.TEXTJOIN("-",TRUE,AL173,AM173,AN173)</f>
        <v/>
      </c>
      <c r="AU173" s="123" t="inlineStr">
        <is>
          <t>215/65R16</t>
        </is>
      </c>
      <c r="AV173" s="177" t="inlineStr">
        <is>
          <t>/</t>
        </is>
      </c>
      <c r="AW173" s="139" t="inlineStr">
        <is>
          <t>G-118</t>
        </is>
      </c>
      <c r="AX173" s="177" t="inlineStr">
        <is>
          <t>S020989A-72</t>
        </is>
      </c>
      <c r="AY173" s="131" t="n">
        <v>9.099</v>
      </c>
      <c r="AZ173" s="131" t="n">
        <v>9.097</v>
      </c>
      <c r="BA173" s="130">
        <f>AY173-AZ173</f>
        <v/>
      </c>
      <c r="BB173" s="390">
        <f>_xlfn.TEXTJOIN("-",TRUE,AU173,AW173)</f>
        <v/>
      </c>
    </row>
    <row r="174">
      <c r="B174" s="123" t="inlineStr">
        <is>
          <t>11R22.5</t>
        </is>
      </c>
      <c r="C174" s="177" t="inlineStr">
        <is>
          <t>16PR</t>
        </is>
      </c>
      <c r="D174" s="177" t="inlineStr">
        <is>
          <t>ZM41</t>
        </is>
      </c>
      <c r="E174" s="177" t="inlineStr">
        <is>
          <t>ID11R22.5-16PR-ZM41 US C ID</t>
        </is>
      </c>
      <c r="F174" s="197">
        <f>G174-2.777+3.17</f>
        <v/>
      </c>
      <c r="G174" s="157" t="n">
        <v>58.212</v>
      </c>
      <c r="H174" s="131" t="n">
        <v>58.22</v>
      </c>
      <c r="I174" s="198">
        <f>G174-H174</f>
        <v/>
      </c>
      <c r="J174" s="115">
        <f>_xlfn.TEXTJOIN("-",TRUE,B174,C174,D174)</f>
        <v/>
      </c>
      <c r="K174" s="184" t="n"/>
      <c r="L174" s="184" t="n"/>
      <c r="M174" s="184" t="n"/>
      <c r="N174" s="184" t="n"/>
      <c r="O174" s="184" t="n"/>
      <c r="P174" s="184" t="n"/>
      <c r="Q174" s="184" t="n"/>
      <c r="R174" s="184" t="n"/>
      <c r="S174" s="390">
        <f>_xlfn.TEXTJOIN("-",TRUE,K174,L174,M174)</f>
        <v/>
      </c>
      <c r="T174" s="184" t="n"/>
      <c r="U174" s="184" t="n"/>
      <c r="V174" s="184" t="n"/>
      <c r="W174" s="184" t="n"/>
      <c r="X174" s="184" t="n"/>
      <c r="Y174" s="184" t="n"/>
      <c r="Z174" s="184" t="n"/>
      <c r="AA174" s="184" t="n"/>
      <c r="AB174" s="390">
        <f>_xlfn.TEXTJOIN("-",TRUE,T174,U174,V174)</f>
        <v/>
      </c>
      <c r="AK174" s="390">
        <f>_xlfn.TEXTJOIN("-",TRUE,AC174,AD174,AE174)</f>
        <v/>
      </c>
      <c r="AT174" s="390">
        <f>_xlfn.TEXTJOIN("-",TRUE,AL174,AM174,AN174)</f>
        <v/>
      </c>
      <c r="AU174" s="123" t="inlineStr">
        <is>
          <t>215/65R16</t>
        </is>
      </c>
      <c r="AV174" s="177" t="inlineStr">
        <is>
          <t>/</t>
        </is>
      </c>
      <c r="AW174" s="139" t="inlineStr">
        <is>
          <t>T-118</t>
        </is>
      </c>
      <c r="AX174" s="177" t="inlineStr">
        <is>
          <t>S020989A-72</t>
        </is>
      </c>
      <c r="AY174" s="131" t="n">
        <v>9.099</v>
      </c>
      <c r="AZ174" s="131" t="n">
        <v>9.097</v>
      </c>
      <c r="BA174" s="130">
        <f>AY174-AZ174</f>
        <v/>
      </c>
      <c r="BB174" s="390">
        <f>_xlfn.TEXTJOIN("-",TRUE,AU174,AW174)</f>
        <v/>
      </c>
    </row>
    <row r="175">
      <c r="B175" s="123" t="inlineStr">
        <is>
          <t>11R22.5</t>
        </is>
      </c>
      <c r="C175" s="177" t="inlineStr">
        <is>
          <t>16PR</t>
        </is>
      </c>
      <c r="D175" s="177" t="inlineStr">
        <is>
          <t>CM958</t>
        </is>
      </c>
      <c r="E175" s="126" t="inlineStr">
        <is>
          <t>ID11R22.5-16PR-CM958 C ID</t>
        </is>
      </c>
      <c r="F175" s="197">
        <f>G175-2.777+3.17</f>
        <v/>
      </c>
      <c r="G175" s="131" t="n">
        <v>56.705</v>
      </c>
      <c r="H175" s="128" t="n">
        <v>56.81</v>
      </c>
      <c r="I175" s="198">
        <f>G175-H175</f>
        <v/>
      </c>
      <c r="J175" s="115">
        <f>_xlfn.TEXTJOIN("-",TRUE,B175,C175,D175)</f>
        <v/>
      </c>
      <c r="K175" s="184" t="n"/>
      <c r="L175" s="184" t="n"/>
      <c r="M175" s="184" t="n"/>
      <c r="N175" s="184" t="n"/>
      <c r="O175" s="184" t="n"/>
      <c r="P175" s="184" t="n"/>
      <c r="Q175" s="184" t="n"/>
      <c r="R175" s="184" t="n"/>
      <c r="S175" s="390">
        <f>_xlfn.TEXTJOIN("-",TRUE,K175,L175,M175)</f>
        <v/>
      </c>
      <c r="T175" s="184" t="n"/>
      <c r="U175" s="184" t="n"/>
      <c r="V175" s="184" t="n"/>
      <c r="W175" s="184" t="n"/>
      <c r="X175" s="184" t="n"/>
      <c r="Y175" s="184" t="n"/>
      <c r="Z175" s="184" t="n"/>
      <c r="AA175" s="184" t="n"/>
      <c r="AB175" s="390">
        <f>_xlfn.TEXTJOIN("-",TRUE,T175,U175,V175)</f>
        <v/>
      </c>
      <c r="AK175" s="390">
        <f>_xlfn.TEXTJOIN("-",TRUE,AC175,AD175,AE175)</f>
        <v/>
      </c>
      <c r="AT175" s="390">
        <f>_xlfn.TEXTJOIN("-",TRUE,AL175,AM175,AN175)</f>
        <v/>
      </c>
      <c r="AU175" s="123" t="inlineStr">
        <is>
          <t>215/65R16</t>
        </is>
      </c>
      <c r="AV175" s="177" t="inlineStr">
        <is>
          <t>/</t>
        </is>
      </c>
      <c r="AW175" s="139" t="inlineStr">
        <is>
          <t>Z-108</t>
        </is>
      </c>
      <c r="AX175" s="177" t="inlineStr">
        <is>
          <t>S020989A-72</t>
        </is>
      </c>
      <c r="AY175" s="131" t="n">
        <v>9.099</v>
      </c>
      <c r="AZ175" s="131" t="n">
        <v>9.097</v>
      </c>
      <c r="BA175" s="130">
        <f>AY175-AZ175</f>
        <v/>
      </c>
      <c r="BB175" s="390">
        <f>_xlfn.TEXTJOIN("-",TRUE,AU175,AW175)</f>
        <v/>
      </c>
    </row>
    <row r="176">
      <c r="B176" s="123" t="inlineStr">
        <is>
          <t>11R22.5</t>
        </is>
      </c>
      <c r="C176" s="177" t="inlineStr">
        <is>
          <t>16PR</t>
        </is>
      </c>
      <c r="D176" s="177" t="inlineStr">
        <is>
          <t>I-19A</t>
        </is>
      </c>
      <c r="E176" s="177" t="inlineStr">
        <is>
          <t>ID11R22.5-16PR-Z US C ID</t>
        </is>
      </c>
      <c r="F176" s="197">
        <f>G176-2.777+3.17</f>
        <v/>
      </c>
      <c r="G176" s="197" t="n">
        <v>52.44</v>
      </c>
      <c r="H176" s="131" t="n">
        <v>52.3641</v>
      </c>
      <c r="I176" s="198">
        <f>G176-H176</f>
        <v/>
      </c>
      <c r="J176" s="115">
        <f>_xlfn.TEXTJOIN("-",TRUE,B176,C176,D176)</f>
        <v/>
      </c>
      <c r="K176" s="184" t="n"/>
      <c r="L176" s="184" t="n"/>
      <c r="M176" s="184" t="n"/>
      <c r="N176" s="184" t="n"/>
      <c r="O176" s="184" t="n"/>
      <c r="P176" s="184" t="n"/>
      <c r="Q176" s="184" t="n"/>
      <c r="R176" s="184" t="n"/>
      <c r="S176" s="390">
        <f>_xlfn.TEXTJOIN("-",TRUE,K176,L176,M176)</f>
        <v/>
      </c>
      <c r="T176" s="184" t="n"/>
      <c r="U176" s="184" t="n"/>
      <c r="V176" s="184" t="n"/>
      <c r="W176" s="184" t="n"/>
      <c r="X176" s="184" t="n"/>
      <c r="Y176" s="184" t="n"/>
      <c r="Z176" s="184" t="n"/>
      <c r="AA176" s="184" t="n"/>
      <c r="AB176" s="390">
        <f>_xlfn.TEXTJOIN("-",TRUE,T176,U176,V176)</f>
        <v/>
      </c>
      <c r="AK176" s="390">
        <f>_xlfn.TEXTJOIN("-",TRUE,AC176,AD176,AE176)</f>
        <v/>
      </c>
      <c r="AU176" s="123" t="inlineStr">
        <is>
          <t>215/65R16</t>
        </is>
      </c>
      <c r="AV176" s="177" t="inlineStr">
        <is>
          <t>/</t>
        </is>
      </c>
      <c r="AW176" s="139" t="inlineStr">
        <is>
          <t>RP218</t>
        </is>
      </c>
      <c r="AX176" s="177" t="inlineStr">
        <is>
          <t>S021522A-60</t>
        </is>
      </c>
      <c r="AY176" s="131" t="n">
        <v>10.461</v>
      </c>
      <c r="AZ176" s="131" t="n">
        <v>10.461</v>
      </c>
      <c r="BA176" s="130">
        <f>AY176-AZ176</f>
        <v/>
      </c>
      <c r="BB176" s="390">
        <f>_xlfn.TEXTJOIN("-",TRUE,AU176,AW176)</f>
        <v/>
      </c>
    </row>
    <row r="177" ht="13.8" customHeight="1" s="428">
      <c r="B177" s="123" t="inlineStr">
        <is>
          <t>11R22.5</t>
        </is>
      </c>
      <c r="C177" s="177" t="inlineStr">
        <is>
          <t>16PR</t>
        </is>
      </c>
      <c r="D177" s="177" t="inlineStr">
        <is>
          <t>I-61S</t>
        </is>
      </c>
      <c r="E177" s="177" t="inlineStr">
        <is>
          <t>ID11R22.5-16PR-Z US C ID</t>
        </is>
      </c>
      <c r="F177" s="197">
        <f>G177-2.777+3.17</f>
        <v/>
      </c>
      <c r="G177" s="197" t="n">
        <v>52.44</v>
      </c>
      <c r="H177" s="131" t="n">
        <v>52.3641</v>
      </c>
      <c r="I177" s="198">
        <f>G177-H177</f>
        <v/>
      </c>
      <c r="J177" s="115">
        <f>_xlfn.TEXTJOIN("-",TRUE,B177,C177,D177)</f>
        <v/>
      </c>
      <c r="K177" s="184" t="n"/>
      <c r="L177" s="184" t="n"/>
      <c r="M177" s="184" t="n"/>
      <c r="N177" s="184" t="n"/>
      <c r="O177" s="184" t="n"/>
      <c r="P177" s="184" t="n"/>
      <c r="Q177" s="184" t="n"/>
      <c r="R177" s="184" t="n"/>
      <c r="S177" s="390">
        <f>_xlfn.TEXTJOIN("-",TRUE,K177,L177,M177)</f>
        <v/>
      </c>
      <c r="T177" s="184" t="n"/>
      <c r="U177" s="184" t="n"/>
      <c r="V177" s="184" t="n"/>
      <c r="W177" s="184" t="n"/>
      <c r="X177" s="184" t="n"/>
      <c r="Y177" s="184" t="n"/>
      <c r="Z177" s="184" t="n"/>
      <c r="AA177" s="184" t="n"/>
      <c r="AB177" s="390">
        <f>_xlfn.TEXTJOIN("-",TRUE,T177,U177,V177)</f>
        <v/>
      </c>
      <c r="AK177" s="390">
        <f>_xlfn.TEXTJOIN("-",TRUE,AC177,AD177,AE177)</f>
        <v/>
      </c>
      <c r="AU177" s="132" t="n"/>
      <c r="AV177" s="178" t="n"/>
      <c r="AW177" s="178" t="n"/>
      <c r="AX177" s="178" t="n"/>
      <c r="AY177" s="135" t="n"/>
      <c r="AZ177" s="135" t="n"/>
      <c r="BA177" s="136" t="n"/>
      <c r="BB177" s="390">
        <f>_xlfn.TEXTJOIN("-",TRUE,AU177,AW177)</f>
        <v/>
      </c>
    </row>
    <row r="178" ht="13.8" customHeight="1" s="428">
      <c r="B178" s="123" t="inlineStr">
        <is>
          <t>11R22.5</t>
        </is>
      </c>
      <c r="C178" s="177" t="inlineStr">
        <is>
          <t>16PR</t>
        </is>
      </c>
      <c r="D178" s="177" t="inlineStr">
        <is>
          <t>CM980</t>
        </is>
      </c>
      <c r="E178" s="177" t="inlineStr">
        <is>
          <t>ID11R22.5-16PR-CMD US C ID</t>
        </is>
      </c>
      <c r="F178" s="197">
        <f>G178-2.777+3.17</f>
        <v/>
      </c>
      <c r="G178" s="129" t="n">
        <v>55.339</v>
      </c>
      <c r="H178" s="131" t="n">
        <v>56.0138</v>
      </c>
      <c r="I178" s="198">
        <f>G178-H178</f>
        <v/>
      </c>
      <c r="J178" s="115">
        <f>_xlfn.TEXTJOIN("-",TRUE,B178,C178,D178)</f>
        <v/>
      </c>
      <c r="K178" s="184" t="n"/>
      <c r="L178" s="184" t="n"/>
      <c r="M178" s="184" t="n"/>
      <c r="N178" s="184" t="n"/>
      <c r="O178" s="184" t="n"/>
      <c r="P178" s="184" t="n"/>
      <c r="Q178" s="184" t="n"/>
      <c r="R178" s="184" t="n"/>
      <c r="S178" s="390">
        <f>_xlfn.TEXTJOIN("-",TRUE,K178,L178,M178)</f>
        <v/>
      </c>
      <c r="T178" s="184" t="n"/>
      <c r="U178" s="184" t="n"/>
      <c r="V178" s="184" t="n"/>
      <c r="W178" s="184" t="n"/>
      <c r="X178" s="184" t="n"/>
      <c r="Y178" s="184" t="n"/>
      <c r="Z178" s="184" t="n"/>
      <c r="AA178" s="184" t="n"/>
      <c r="AB178" s="390">
        <f>_xlfn.TEXTJOIN("-",TRUE,T178,U178,V178)</f>
        <v/>
      </c>
      <c r="AK178" s="390">
        <f>_xlfn.TEXTJOIN("-",TRUE,AC178,AD178,AE178)</f>
        <v/>
      </c>
      <c r="AU178" s="123" t="inlineStr">
        <is>
          <t>225/50R17</t>
        </is>
      </c>
      <c r="AV178" s="177" t="inlineStr">
        <is>
          <t>/</t>
        </is>
      </c>
      <c r="AW178" s="139" t="inlineStr">
        <is>
          <t>RP218</t>
        </is>
      </c>
      <c r="AX178" s="177" t="inlineStr">
        <is>
          <t>S021494A-60</t>
        </is>
      </c>
      <c r="AY178" s="131" t="n">
        <v>10.061</v>
      </c>
      <c r="AZ178" s="131" t="n">
        <v>10.062</v>
      </c>
      <c r="BA178" s="130">
        <f>AY178-AZ178</f>
        <v/>
      </c>
      <c r="BB178" s="390">
        <f>_xlfn.TEXTJOIN("-",TRUE,AU178,AW178)</f>
        <v/>
      </c>
    </row>
    <row r="179">
      <c r="B179" s="123" t="inlineStr">
        <is>
          <t>11R22.5</t>
        </is>
      </c>
      <c r="C179" s="177" t="inlineStr">
        <is>
          <t>16PR</t>
        </is>
      </c>
      <c r="D179" s="177" t="inlineStr">
        <is>
          <t>RLINE-D3</t>
        </is>
      </c>
      <c r="E179" s="177" t="inlineStr">
        <is>
          <t>ID11R22.5-16PR-CMD US C ID</t>
        </is>
      </c>
      <c r="F179" s="197">
        <f>G179-2.777+3.17</f>
        <v/>
      </c>
      <c r="G179" s="129" t="n">
        <v>55.339</v>
      </c>
      <c r="H179" s="131" t="n">
        <v>56.0138</v>
      </c>
      <c r="I179" s="198">
        <f>G179-H179</f>
        <v/>
      </c>
      <c r="J179" s="115">
        <f>_xlfn.TEXTJOIN("-",TRUE,B179,C179,D179)</f>
        <v/>
      </c>
      <c r="K179" s="184" t="n"/>
      <c r="L179" s="184" t="n"/>
      <c r="M179" s="184" t="n"/>
      <c r="N179" s="184" t="n"/>
      <c r="O179" s="184" t="n"/>
      <c r="P179" s="184" t="n"/>
      <c r="Q179" s="184" t="n"/>
      <c r="R179" s="184" t="n"/>
      <c r="S179" s="390">
        <f>_xlfn.TEXTJOIN("-",TRUE,K179,L179,M179)</f>
        <v/>
      </c>
      <c r="T179" s="184" t="n"/>
      <c r="U179" s="184" t="n"/>
      <c r="V179" s="184" t="n"/>
      <c r="W179" s="184" t="n"/>
      <c r="X179" s="184" t="n"/>
      <c r="Y179" s="184" t="n"/>
      <c r="Z179" s="184" t="n"/>
      <c r="AA179" s="184" t="n"/>
      <c r="AB179" s="390">
        <f>_xlfn.TEXTJOIN("-",TRUE,T179,U179,V179)</f>
        <v/>
      </c>
      <c r="AK179" s="390">
        <f>_xlfn.TEXTJOIN("-",TRUE,AC179,AD179,AE179)</f>
        <v/>
      </c>
      <c r="AU179" s="132" t="n"/>
      <c r="AV179" s="178" t="n"/>
      <c r="AW179" s="178" t="n"/>
      <c r="AX179" s="178" t="n"/>
      <c r="AY179" s="135" t="n"/>
      <c r="AZ179" s="135" t="n"/>
      <c r="BA179" s="136" t="n"/>
      <c r="BB179" s="390">
        <f>_xlfn.TEXTJOIN("-",TRUE,AU179,AW179)</f>
        <v/>
      </c>
    </row>
    <row r="180">
      <c r="B180" s="123" t="inlineStr">
        <is>
          <t>11R22.5</t>
        </is>
      </c>
      <c r="C180" s="177" t="inlineStr">
        <is>
          <t>16PR</t>
        </is>
      </c>
      <c r="D180" s="177" t="inlineStr">
        <is>
          <t>CR960A</t>
        </is>
      </c>
      <c r="E180" s="177" t="inlineStr">
        <is>
          <t>ID11R22.5-16PR-CRA US C ID</t>
        </is>
      </c>
      <c r="F180" s="197">
        <f>G180-2.777+3.17</f>
        <v/>
      </c>
      <c r="G180" s="157" t="n">
        <v>52.001</v>
      </c>
      <c r="H180" s="131" t="n">
        <v>51.9231</v>
      </c>
      <c r="I180" s="198">
        <f>G180-H180</f>
        <v/>
      </c>
      <c r="J180" s="115">
        <f>_xlfn.TEXTJOIN("-",TRUE,B180,C180,D180)</f>
        <v/>
      </c>
      <c r="K180" s="184" t="n"/>
      <c r="L180" s="184" t="n"/>
      <c r="M180" s="184" t="n"/>
      <c r="N180" s="184" t="n"/>
      <c r="O180" s="184" t="n"/>
      <c r="P180" s="184" t="n"/>
      <c r="Q180" s="184" t="n"/>
      <c r="R180" s="184" t="n"/>
      <c r="S180" s="390">
        <f>_xlfn.TEXTJOIN("-",TRUE,K180,L180,M180)</f>
        <v/>
      </c>
      <c r="T180" s="184" t="n"/>
      <c r="U180" s="184" t="n"/>
      <c r="V180" s="184" t="n"/>
      <c r="W180" s="184" t="n"/>
      <c r="X180" s="184" t="n"/>
      <c r="Y180" s="184" t="n"/>
      <c r="Z180" s="184" t="n"/>
      <c r="AA180" s="184" t="n"/>
      <c r="AB180" s="390">
        <f>_xlfn.TEXTJOIN("-",TRUE,T180,U180,V180)</f>
        <v/>
      </c>
      <c r="AK180" s="390">
        <f>_xlfn.TEXTJOIN("-",TRUE,AC180,AD180,AE180)</f>
        <v/>
      </c>
      <c r="AU180" s="123" t="inlineStr">
        <is>
          <t>225/50R18</t>
        </is>
      </c>
      <c r="AV180" s="177" t="inlineStr">
        <is>
          <t>/</t>
        </is>
      </c>
      <c r="AW180" s="139" t="inlineStr">
        <is>
          <t>RP218</t>
        </is>
      </c>
      <c r="AX180" s="177" t="inlineStr">
        <is>
          <t>S021513A-60</t>
        </is>
      </c>
      <c r="AY180" s="131" t="n">
        <v>11.369</v>
      </c>
      <c r="AZ180" s="131" t="n">
        <v>11.368</v>
      </c>
      <c r="BA180" s="130">
        <f>AY180-AZ180</f>
        <v/>
      </c>
      <c r="BB180" s="390">
        <f>_xlfn.TEXTJOIN("-",TRUE,AU180,AW180)</f>
        <v/>
      </c>
    </row>
    <row r="181" ht="13.8" customHeight="1" s="428">
      <c r="B181" s="123" t="inlineStr">
        <is>
          <t>11R22.5</t>
        </is>
      </c>
      <c r="C181" s="177" t="inlineStr">
        <is>
          <t>16PR</t>
        </is>
      </c>
      <c r="D181" s="177" t="inlineStr">
        <is>
          <t>RLINE-A1</t>
        </is>
      </c>
      <c r="E181" s="177" t="inlineStr">
        <is>
          <t>ID11R22.5-16PR-CRA US C ID</t>
        </is>
      </c>
      <c r="F181" s="197">
        <f>G181-2.777+3.17</f>
        <v/>
      </c>
      <c r="G181" s="157" t="n">
        <v>52.001</v>
      </c>
      <c r="H181" s="131" t="n">
        <v>51.9231</v>
      </c>
      <c r="I181" s="198">
        <f>G181-H181</f>
        <v/>
      </c>
      <c r="J181" s="115">
        <f>_xlfn.TEXTJOIN("-",TRUE,B181,C181,D181)</f>
        <v/>
      </c>
      <c r="K181" s="184" t="n"/>
      <c r="L181" s="184" t="n"/>
      <c r="M181" s="184" t="n"/>
      <c r="N181" s="184" t="n"/>
      <c r="O181" s="184" t="n"/>
      <c r="P181" s="184" t="n"/>
      <c r="Q181" s="184" t="n"/>
      <c r="R181" s="184" t="n"/>
      <c r="S181" s="390">
        <f>_xlfn.TEXTJOIN("-",TRUE,K181,L181,M181)</f>
        <v/>
      </c>
      <c r="T181" s="184" t="n"/>
      <c r="U181" s="184" t="n"/>
      <c r="V181" s="184" t="n"/>
      <c r="W181" s="184" t="n"/>
      <c r="X181" s="184" t="n"/>
      <c r="Y181" s="184" t="n"/>
      <c r="Z181" s="184" t="n"/>
      <c r="AA181" s="184" t="n"/>
      <c r="AB181" s="390">
        <f>_xlfn.TEXTJOIN("-",TRUE,T181,U181,V181)</f>
        <v/>
      </c>
      <c r="AK181" s="390">
        <f>_xlfn.TEXTJOIN("-",TRUE,AC181,AD181,AE181)</f>
        <v/>
      </c>
      <c r="AU181" s="132" t="n"/>
      <c r="AV181" s="178" t="n"/>
      <c r="AW181" s="178" t="n"/>
      <c r="AX181" s="178" t="n"/>
      <c r="AY181" s="135" t="n"/>
      <c r="AZ181" s="135" t="n"/>
      <c r="BA181" s="136" t="n"/>
      <c r="BB181" s="390">
        <f>_xlfn.TEXTJOIN("-",TRUE,AU181,AW181)</f>
        <v/>
      </c>
    </row>
    <row r="182">
      <c r="B182" s="123" t="inlineStr">
        <is>
          <t>11R22.5</t>
        </is>
      </c>
      <c r="C182" s="177" t="inlineStr">
        <is>
          <t>16PR</t>
        </is>
      </c>
      <c r="D182" s="177" t="inlineStr">
        <is>
          <t>VD998</t>
        </is>
      </c>
      <c r="E182" s="186" t="inlineStr">
        <is>
          <t>ID11R22.5-16PR-F US ID</t>
        </is>
      </c>
      <c r="F182" s="197">
        <f>G182-2.777+3.17</f>
        <v/>
      </c>
      <c r="G182" s="131" t="n">
        <v>61.881</v>
      </c>
      <c r="H182" s="128" t="n">
        <v>61.2542</v>
      </c>
      <c r="I182" s="198">
        <f>G182-H182</f>
        <v/>
      </c>
      <c r="J182" s="115">
        <f>_xlfn.TEXTJOIN("-",TRUE,B182,C182,D182)</f>
        <v/>
      </c>
      <c r="K182" s="184" t="n"/>
      <c r="L182" s="184" t="n"/>
      <c r="M182" s="184" t="n"/>
      <c r="N182" s="184" t="n"/>
      <c r="O182" s="184" t="n"/>
      <c r="P182" s="184" t="n"/>
      <c r="Q182" s="184" t="n"/>
      <c r="R182" s="184" t="n"/>
      <c r="S182" s="390">
        <f>_xlfn.TEXTJOIN("-",TRUE,K182,L182,M182)</f>
        <v/>
      </c>
      <c r="T182" s="184" t="n"/>
      <c r="U182" s="184" t="n"/>
      <c r="V182" s="184" t="n"/>
      <c r="W182" s="184" t="n"/>
      <c r="X182" s="184" t="n"/>
      <c r="Y182" s="184" t="n"/>
      <c r="Z182" s="184" t="n"/>
      <c r="AA182" s="184" t="n"/>
      <c r="AB182" s="390">
        <f>_xlfn.TEXTJOIN("-",TRUE,T182,U182,V182)</f>
        <v/>
      </c>
      <c r="AK182" s="390">
        <f>_xlfn.TEXTJOIN("-",TRUE,AC182,AD182,AE182)</f>
        <v/>
      </c>
      <c r="AU182" s="123" t="inlineStr">
        <is>
          <t>225/55R17</t>
        </is>
      </c>
      <c r="AV182" s="177" t="inlineStr">
        <is>
          <t>/</t>
        </is>
      </c>
      <c r="AW182" s="139" t="inlineStr">
        <is>
          <t>RP218</t>
        </is>
      </c>
      <c r="AX182" s="177" t="inlineStr">
        <is>
          <t>S021519A-60</t>
        </is>
      </c>
      <c r="AY182" s="131" t="n">
        <v>11.252</v>
      </c>
      <c r="AZ182" s="131" t="n">
        <v>11.253</v>
      </c>
      <c r="BA182" s="130">
        <f>AY182-AZ182</f>
        <v/>
      </c>
      <c r="BB182" s="390">
        <f>_xlfn.TEXTJOIN("-",TRUE,AU182,AW182)</f>
        <v/>
      </c>
    </row>
    <row r="183">
      <c r="B183" s="123" t="inlineStr">
        <is>
          <t>11R22.5</t>
        </is>
      </c>
      <c r="C183" s="177" t="inlineStr">
        <is>
          <t>16PR</t>
        </is>
      </c>
      <c r="D183" s="177" t="inlineStr">
        <is>
          <t>VD908</t>
        </is>
      </c>
      <c r="E183" s="186" t="inlineStr">
        <is>
          <t>ID11R22.5-16PR-F US ID</t>
        </is>
      </c>
      <c r="F183" s="197">
        <f>G183-2.777+3.17</f>
        <v/>
      </c>
      <c r="G183" s="131" t="n">
        <v>61.881</v>
      </c>
      <c r="H183" s="128" t="n">
        <v>61.2542</v>
      </c>
      <c r="I183" s="198">
        <f>G183-H183</f>
        <v/>
      </c>
      <c r="J183" s="115">
        <f>_xlfn.TEXTJOIN("-",TRUE,B183,C183,D183)</f>
        <v/>
      </c>
      <c r="K183" s="184" t="n"/>
      <c r="L183" s="184" t="n"/>
      <c r="M183" s="184" t="n"/>
      <c r="N183" s="184" t="n"/>
      <c r="O183" s="184" t="n"/>
      <c r="P183" s="184" t="n"/>
      <c r="Q183" s="184" t="n"/>
      <c r="R183" s="184" t="n"/>
      <c r="S183" s="390">
        <f>_xlfn.TEXTJOIN("-",TRUE,K183,L183,M183)</f>
        <v/>
      </c>
      <c r="T183" s="184" t="n"/>
      <c r="U183" s="184" t="n"/>
      <c r="V183" s="184" t="n"/>
      <c r="W183" s="184" t="n"/>
      <c r="X183" s="184" t="n"/>
      <c r="Y183" s="184" t="n"/>
      <c r="Z183" s="184" t="n"/>
      <c r="AA183" s="184" t="n"/>
      <c r="AB183" s="390">
        <f>_xlfn.TEXTJOIN("-",TRUE,T183,U183,V183)</f>
        <v/>
      </c>
      <c r="AK183" s="390">
        <f>_xlfn.TEXTJOIN("-",TRUE,AC183,AD183,AE183)</f>
        <v/>
      </c>
      <c r="AU183" s="132" t="n"/>
      <c r="AV183" s="178" t="n"/>
      <c r="AW183" s="178" t="n"/>
      <c r="AX183" s="178" t="n"/>
      <c r="AY183" s="135" t="n"/>
      <c r="AZ183" s="135" t="n"/>
      <c r="BA183" s="136" t="n"/>
      <c r="BB183" s="390">
        <f>_xlfn.TEXTJOIN("-",TRUE,AU183,AW183)</f>
        <v/>
      </c>
    </row>
    <row r="184" ht="13.8" customHeight="1" s="428">
      <c r="B184" s="123" t="inlineStr">
        <is>
          <t>11R22.5</t>
        </is>
      </c>
      <c r="C184" s="177" t="inlineStr">
        <is>
          <t>16PR</t>
        </is>
      </c>
      <c r="D184" s="177" t="inlineStr">
        <is>
          <t>VA991</t>
        </is>
      </c>
      <c r="E184" s="177" t="inlineStr">
        <is>
          <t>ID11R22.5-16PR-VA991 US C</t>
        </is>
      </c>
      <c r="F184" s="197">
        <f>G184-2.777+3.17</f>
        <v/>
      </c>
      <c r="G184" s="197" t="n">
        <v>56.978</v>
      </c>
      <c r="H184" s="131" t="n">
        <v>56.9035</v>
      </c>
      <c r="I184" s="198">
        <f>G184-H184</f>
        <v/>
      </c>
      <c r="J184" s="115">
        <f>_xlfn.TEXTJOIN("-",TRUE,B184,C184,D184)</f>
        <v/>
      </c>
      <c r="K184" s="184" t="n"/>
      <c r="L184" s="184" t="n"/>
      <c r="M184" s="184" t="n"/>
      <c r="N184" s="184" t="n"/>
      <c r="O184" s="184" t="n"/>
      <c r="P184" s="184" t="n"/>
      <c r="Q184" s="184" t="n"/>
      <c r="R184" s="184" t="n"/>
      <c r="S184" s="390">
        <f>_xlfn.TEXTJOIN("-",TRUE,K184,L184,M184)</f>
        <v/>
      </c>
      <c r="T184" s="184" t="n"/>
      <c r="U184" s="184" t="n"/>
      <c r="V184" s="184" t="n"/>
      <c r="W184" s="184" t="n"/>
      <c r="X184" s="184" t="n"/>
      <c r="Y184" s="184" t="n"/>
      <c r="Z184" s="184" t="n"/>
      <c r="AA184" s="184" t="n"/>
      <c r="AB184" s="390">
        <f>_xlfn.TEXTJOIN("-",TRUE,T184,U184,V184)</f>
        <v/>
      </c>
      <c r="AK184" s="390">
        <f>_xlfn.TEXTJOIN("-",TRUE,AC184,AD184,AE184)</f>
        <v/>
      </c>
      <c r="AU184" s="123" t="inlineStr">
        <is>
          <t>225/55R18</t>
        </is>
      </c>
      <c r="AV184" s="177" t="inlineStr">
        <is>
          <t>/</t>
        </is>
      </c>
      <c r="AW184" s="139" t="inlineStr">
        <is>
          <t>RP218</t>
        </is>
      </c>
      <c r="AX184" s="177" t="inlineStr">
        <is>
          <t>S021524A-60</t>
        </is>
      </c>
      <c r="AY184" s="131" t="n">
        <v>11.517</v>
      </c>
      <c r="AZ184" s="131" t="n">
        <v>11.517</v>
      </c>
      <c r="BA184" s="130">
        <f>AY184-AZ184</f>
        <v/>
      </c>
      <c r="BB184" s="390">
        <f>_xlfn.TEXTJOIN("-",TRUE,AU184,AW184)</f>
        <v/>
      </c>
    </row>
    <row r="185" ht="27.6" customHeight="1" s="428">
      <c r="B185" s="123" t="inlineStr">
        <is>
          <t>11R22.5</t>
        </is>
      </c>
      <c r="C185" s="177" t="inlineStr">
        <is>
          <t>16PR</t>
        </is>
      </c>
      <c r="D185" s="177" t="inlineStr">
        <is>
          <t>VDM924</t>
        </is>
      </c>
      <c r="E185" s="177" t="inlineStr">
        <is>
          <t>ID11R22.5-16PR-VDM924 US ID</t>
        </is>
      </c>
      <c r="F185" s="197">
        <f>G185-2.777+3.17</f>
        <v/>
      </c>
      <c r="G185" s="129" t="n">
        <v>59.568</v>
      </c>
      <c r="H185" s="131" t="n">
        <v>59.4931</v>
      </c>
      <c r="I185" s="198">
        <f>G185-H185</f>
        <v/>
      </c>
      <c r="J185" s="115">
        <f>_xlfn.TEXTJOIN("-",TRUE,B185,C185,D185)</f>
        <v/>
      </c>
      <c r="K185" s="184" t="n"/>
      <c r="L185" s="184" t="n"/>
      <c r="M185" s="184" t="n"/>
      <c r="N185" s="184" t="n"/>
      <c r="O185" s="184" t="n"/>
      <c r="P185" s="184" t="n"/>
      <c r="Q185" s="184" t="n"/>
      <c r="R185" s="184" t="n"/>
      <c r="S185" s="390">
        <f>_xlfn.TEXTJOIN("-",TRUE,K185,L185,M185)</f>
        <v/>
      </c>
      <c r="T185" s="184" t="n"/>
      <c r="U185" s="184" t="n"/>
      <c r="V185" s="184" t="n"/>
      <c r="W185" s="184" t="n"/>
      <c r="X185" s="184" t="n"/>
      <c r="Y185" s="184" t="n"/>
      <c r="Z185" s="184" t="n"/>
      <c r="AA185" s="184" t="n"/>
      <c r="AB185" s="390">
        <f>_xlfn.TEXTJOIN("-",TRUE,T185,U185,V185)</f>
        <v/>
      </c>
      <c r="AK185" s="390">
        <f>_xlfn.TEXTJOIN("-",TRUE,AC185,AD185,AE185)</f>
        <v/>
      </c>
      <c r="AU185" s="132" t="n"/>
      <c r="AV185" s="178" t="n"/>
      <c r="AW185" s="178" t="n"/>
      <c r="AX185" s="178" t="n"/>
      <c r="AY185" s="135" t="n"/>
      <c r="AZ185" s="135" t="n"/>
      <c r="BA185" s="136" t="n"/>
      <c r="BB185" s="390">
        <f>_xlfn.TEXTJOIN("-",TRUE,AU185,AW185)</f>
        <v/>
      </c>
    </row>
    <row r="186">
      <c r="B186" s="123" t="inlineStr">
        <is>
          <t>11R22.5</t>
        </is>
      </c>
      <c r="C186" s="177" t="inlineStr">
        <is>
          <t>16PR</t>
        </is>
      </c>
      <c r="D186" s="177" t="inlineStr">
        <is>
          <t>AD721</t>
        </is>
      </c>
      <c r="E186" s="125" t="inlineStr">
        <is>
          <t>ID11R22.5-16PR-X C ID</t>
        </is>
      </c>
      <c r="F186" s="197">
        <f>G186-2.777+3.17</f>
        <v/>
      </c>
      <c r="G186" s="129" t="n">
        <v>56.53</v>
      </c>
      <c r="H186" s="131" t="n">
        <v>56.4545</v>
      </c>
      <c r="I186" s="198">
        <f>G186-H186</f>
        <v/>
      </c>
      <c r="J186" s="115">
        <f>_xlfn.TEXTJOIN("-",TRUE,B186,C186,D186)</f>
        <v/>
      </c>
      <c r="K186" s="184" t="n"/>
      <c r="L186" s="184" t="n"/>
      <c r="M186" s="184" t="n"/>
      <c r="N186" s="184" t="n"/>
      <c r="O186" s="184" t="n"/>
      <c r="P186" s="184" t="n"/>
      <c r="Q186" s="184" t="n"/>
      <c r="R186" s="184" t="n"/>
      <c r="S186" s="390">
        <f>_xlfn.TEXTJOIN("-",TRUE,K186,L186,M186)</f>
        <v/>
      </c>
      <c r="T186" s="184" t="n"/>
      <c r="U186" s="184" t="n"/>
      <c r="V186" s="184" t="n"/>
      <c r="W186" s="184" t="n"/>
      <c r="X186" s="184" t="n"/>
      <c r="Y186" s="184" t="n"/>
      <c r="Z186" s="184" t="n"/>
      <c r="AA186" s="184" t="n"/>
      <c r="AB186" s="390">
        <f>_xlfn.TEXTJOIN("-",TRUE,T186,U186,V186)</f>
        <v/>
      </c>
      <c r="AK186" s="390">
        <f>_xlfn.TEXTJOIN("-",TRUE,AC186,AD186,AE186)</f>
        <v/>
      </c>
      <c r="AU186" s="123" t="inlineStr">
        <is>
          <t>225/55R19</t>
        </is>
      </c>
      <c r="AV186" s="177" t="inlineStr">
        <is>
          <t>/</t>
        </is>
      </c>
      <c r="AW186" s="139" t="inlineStr">
        <is>
          <t>RP218</t>
        </is>
      </c>
      <c r="AX186" s="177" t="inlineStr">
        <is>
          <t>S021514A-60</t>
        </is>
      </c>
      <c r="AY186" s="131" t="n">
        <v>12.308</v>
      </c>
      <c r="AZ186" s="131" t="n">
        <v>12.307</v>
      </c>
      <c r="BA186" s="130">
        <f>AY186-AZ186</f>
        <v/>
      </c>
      <c r="BB186" s="390">
        <f>_xlfn.TEXTJOIN("-",TRUE,AU186,AW186)</f>
        <v/>
      </c>
    </row>
    <row r="187" ht="13.8" customHeight="1" s="428">
      <c r="B187" s="123" t="inlineStr">
        <is>
          <t>11R22.5</t>
        </is>
      </c>
      <c r="C187" s="177" t="inlineStr">
        <is>
          <t>16PR</t>
        </is>
      </c>
      <c r="D187" s="177" t="inlineStr">
        <is>
          <t>HD2 Plus</t>
        </is>
      </c>
      <c r="E187" s="125" t="inlineStr">
        <is>
          <t>ID11R22.5-16PR-X C ID</t>
        </is>
      </c>
      <c r="F187" s="197">
        <f>G187-2.777+3.17</f>
        <v/>
      </c>
      <c r="G187" s="129" t="n">
        <v>56.53</v>
      </c>
      <c r="H187" s="131" t="n">
        <v>56.4545</v>
      </c>
      <c r="I187" s="198">
        <f>G187-H187</f>
        <v/>
      </c>
      <c r="J187" s="115">
        <f>_xlfn.TEXTJOIN("-",TRUE,B187,C187,D187)</f>
        <v/>
      </c>
      <c r="K187" s="184" t="n"/>
      <c r="L187" s="184" t="n"/>
      <c r="M187" s="184" t="n"/>
      <c r="N187" s="184" t="n"/>
      <c r="O187" s="184" t="n"/>
      <c r="P187" s="184" t="n"/>
      <c r="Q187" s="184" t="n"/>
      <c r="R187" s="184" t="n"/>
      <c r="S187" s="390">
        <f>_xlfn.TEXTJOIN("-",TRUE,K187,L187,M187)</f>
        <v/>
      </c>
      <c r="T187" s="184" t="n"/>
      <c r="U187" s="184" t="n"/>
      <c r="V187" s="184" t="n"/>
      <c r="W187" s="184" t="n"/>
      <c r="X187" s="184" t="n"/>
      <c r="Y187" s="184" t="n"/>
      <c r="Z187" s="184" t="n"/>
      <c r="AA187" s="184" t="n"/>
      <c r="AB187" s="390">
        <f>_xlfn.TEXTJOIN("-",TRUE,T187,U187,V187)</f>
        <v/>
      </c>
      <c r="AK187" s="390">
        <f>_xlfn.TEXTJOIN("-",TRUE,AC187,AD187,AE187)</f>
        <v/>
      </c>
      <c r="AU187" s="132" t="n"/>
      <c r="AV187" s="178" t="n"/>
      <c r="AW187" s="178" t="n"/>
      <c r="AX187" s="178" t="n"/>
      <c r="AY187" s="135" t="n"/>
      <c r="AZ187" s="135" t="n"/>
      <c r="BA187" s="136" t="n"/>
      <c r="BB187" s="390">
        <f>_xlfn.TEXTJOIN("-",TRUE,AU187,AW187)</f>
        <v/>
      </c>
    </row>
    <row r="188">
      <c r="B188" s="123" t="inlineStr">
        <is>
          <t>11R22.5</t>
        </is>
      </c>
      <c r="C188" s="177" t="inlineStr">
        <is>
          <t>16PR</t>
        </is>
      </c>
      <c r="D188" s="177" t="inlineStr">
        <is>
          <t>AZ692</t>
        </is>
      </c>
      <c r="E188" s="125" t="inlineStr">
        <is>
          <t>ID11R22.5-16PR-AZ692 US ID</t>
        </is>
      </c>
      <c r="F188" s="197">
        <f>G188-2.777+3.17</f>
        <v/>
      </c>
      <c r="G188" s="157" t="n">
        <v>56.696</v>
      </c>
      <c r="H188" s="131" t="n">
        <v>56.6208</v>
      </c>
      <c r="I188" s="198">
        <f>G188-H188</f>
        <v/>
      </c>
      <c r="J188" s="115">
        <f>_xlfn.TEXTJOIN("-",TRUE,B188,C188,D188)</f>
        <v/>
      </c>
      <c r="K188" s="184" t="n"/>
      <c r="L188" s="184" t="n"/>
      <c r="M188" s="184" t="n"/>
      <c r="N188" s="184" t="n"/>
      <c r="O188" s="184" t="n"/>
      <c r="P188" s="184" t="n"/>
      <c r="Q188" s="184" t="n"/>
      <c r="R188" s="184" t="n"/>
      <c r="S188" s="390">
        <f>_xlfn.TEXTJOIN("-",TRUE,K188,L188,M188)</f>
        <v/>
      </c>
      <c r="T188" s="184" t="n"/>
      <c r="U188" s="184" t="n"/>
      <c r="V188" s="184" t="n"/>
      <c r="W188" s="184" t="n"/>
      <c r="X188" s="184" t="n"/>
      <c r="Y188" s="184" t="n"/>
      <c r="Z188" s="184" t="n"/>
      <c r="AA188" s="184" t="n"/>
      <c r="AB188" s="390">
        <f>_xlfn.TEXTJOIN("-",TRUE,T188,U188,V188)</f>
        <v/>
      </c>
      <c r="AK188" s="390">
        <f>_xlfn.TEXTJOIN("-",TRUE,AC188,AD188,AE188)</f>
        <v/>
      </c>
      <c r="AU188" s="123" t="inlineStr">
        <is>
          <t>225/60R16</t>
        </is>
      </c>
      <c r="AV188" s="177" t="inlineStr">
        <is>
          <t>/</t>
        </is>
      </c>
      <c r="AW188" s="139" t="inlineStr">
        <is>
          <t>RP218</t>
        </is>
      </c>
      <c r="AX188" s="177" t="inlineStr">
        <is>
          <t>S021521A-60</t>
        </is>
      </c>
      <c r="AY188" s="131" t="n">
        <v>10.848</v>
      </c>
      <c r="AZ188" s="131" t="n">
        <v>10.849</v>
      </c>
      <c r="BA188" s="130">
        <f>AY188-AZ188</f>
        <v/>
      </c>
      <c r="BB188" s="390">
        <f>_xlfn.TEXTJOIN("-",TRUE,AU188,AW188)</f>
        <v/>
      </c>
    </row>
    <row r="189">
      <c r="B189" s="123" t="inlineStr">
        <is>
          <t>11R22.5</t>
        </is>
      </c>
      <c r="C189" s="177" t="inlineStr">
        <is>
          <t>16PR</t>
        </is>
      </c>
      <c r="D189" s="126" t="inlineStr">
        <is>
          <t>AZ599</t>
        </is>
      </c>
      <c r="E189" s="177" t="inlineStr">
        <is>
          <t>ID11R22.5-16PR-AMH C ID</t>
        </is>
      </c>
      <c r="F189" s="197">
        <f>G189-2.777+3.17</f>
        <v/>
      </c>
      <c r="G189" s="131" t="n">
        <v>52.059</v>
      </c>
      <c r="H189" s="128" t="n">
        <v>51.6925</v>
      </c>
      <c r="I189" s="198">
        <f>G189-H189</f>
        <v/>
      </c>
      <c r="J189" s="115">
        <f>_xlfn.TEXTJOIN("-",TRUE,B189,C189,D189)</f>
        <v/>
      </c>
      <c r="K189" s="184" t="n"/>
      <c r="L189" s="184" t="n"/>
      <c r="M189" s="184" t="n"/>
      <c r="N189" s="184" t="n"/>
      <c r="O189" s="184" t="n"/>
      <c r="P189" s="184" t="n"/>
      <c r="Q189" s="184" t="n"/>
      <c r="R189" s="184" t="n"/>
      <c r="S189" s="390">
        <f>_xlfn.TEXTJOIN("-",TRUE,K189,L189,M189)</f>
        <v/>
      </c>
      <c r="T189" s="184" t="n"/>
      <c r="U189" s="184" t="n"/>
      <c r="V189" s="184" t="n"/>
      <c r="W189" s="184" t="n"/>
      <c r="X189" s="184" t="n"/>
      <c r="Y189" s="184" t="n"/>
      <c r="Z189" s="184" t="n"/>
      <c r="AA189" s="184" t="n"/>
      <c r="AB189" s="390">
        <f>_xlfn.TEXTJOIN("-",TRUE,T189,U189,V189)</f>
        <v/>
      </c>
      <c r="AK189" s="390">
        <f>_xlfn.TEXTJOIN("-",TRUE,AC189,AD189,AE189)</f>
        <v/>
      </c>
      <c r="AU189" s="132" t="n"/>
      <c r="AV189" s="178" t="n"/>
      <c r="AW189" s="178" t="n"/>
      <c r="AX189" s="178" t="n"/>
      <c r="AY189" s="135" t="n"/>
      <c r="AZ189" s="135" t="n"/>
      <c r="BA189" s="136" t="n"/>
      <c r="BB189" s="390">
        <f>_xlfn.TEXTJOIN("-",TRUE,AU189,AW189)</f>
        <v/>
      </c>
    </row>
    <row r="190" ht="13.8" customHeight="1" s="428">
      <c r="B190" s="123" t="inlineStr">
        <is>
          <t>11R22.5</t>
        </is>
      </c>
      <c r="C190" s="177" t="inlineStr">
        <is>
          <t>16PR</t>
        </is>
      </c>
      <c r="D190" s="126" t="inlineStr">
        <is>
          <t>M-TRAC AP</t>
        </is>
      </c>
      <c r="E190" s="177" t="inlineStr">
        <is>
          <t>ID11R22.5-16PR-AMH C ID</t>
        </is>
      </c>
      <c r="F190" s="197">
        <f>G190-2.777+3.17</f>
        <v/>
      </c>
      <c r="G190" s="131" t="n">
        <v>52.059</v>
      </c>
      <c r="H190" s="128" t="n">
        <v>51.6925</v>
      </c>
      <c r="I190" s="198">
        <f>G190-H190</f>
        <v/>
      </c>
      <c r="J190" s="115">
        <f>_xlfn.TEXTJOIN("-",TRUE,B190,C190,D190)</f>
        <v/>
      </c>
      <c r="K190" s="184" t="n"/>
      <c r="L190" s="184" t="n"/>
      <c r="M190" s="184" t="n"/>
      <c r="N190" s="184" t="n"/>
      <c r="O190" s="184" t="n"/>
      <c r="P190" s="184" t="n"/>
      <c r="Q190" s="184" t="n"/>
      <c r="R190" s="184" t="n"/>
      <c r="S190" s="390">
        <f>_xlfn.TEXTJOIN("-",TRUE,K190,L190,M190)</f>
        <v/>
      </c>
      <c r="T190" s="184" t="n"/>
      <c r="U190" s="184" t="n"/>
      <c r="V190" s="184" t="n"/>
      <c r="W190" s="184" t="n"/>
      <c r="X190" s="184" t="n"/>
      <c r="Y190" s="184" t="n"/>
      <c r="Z190" s="184" t="n"/>
      <c r="AA190" s="184" t="n"/>
      <c r="AB190" s="390">
        <f>_xlfn.TEXTJOIN("-",TRUE,T190,U190,V190)</f>
        <v/>
      </c>
      <c r="AK190" s="390">
        <f>_xlfn.TEXTJOIN("-",TRUE,AC190,AD190,AE190)</f>
        <v/>
      </c>
      <c r="AU190" s="123" t="inlineStr">
        <is>
          <t>225/60R17</t>
        </is>
      </c>
      <c r="AV190" s="177" t="inlineStr">
        <is>
          <t>/</t>
        </is>
      </c>
      <c r="AW190" s="139" t="inlineStr">
        <is>
          <t>RP218</t>
        </is>
      </c>
      <c r="AX190" s="177" t="inlineStr">
        <is>
          <t>S021511A-60</t>
        </is>
      </c>
      <c r="AY190" s="131" t="n">
        <v>11.416</v>
      </c>
      <c r="AZ190" s="131" t="n">
        <v>11.415</v>
      </c>
      <c r="BA190" s="130">
        <f>AY190-AZ190</f>
        <v/>
      </c>
      <c r="BB190" s="390">
        <f>_xlfn.TEXTJOIN("-",TRUE,AU190,AW190)</f>
        <v/>
      </c>
    </row>
    <row r="191">
      <c r="B191" s="123" t="inlineStr">
        <is>
          <t>11R22.5</t>
        </is>
      </c>
      <c r="C191" s="177" t="inlineStr">
        <is>
          <t>16PR</t>
        </is>
      </c>
      <c r="D191" s="126" t="inlineStr">
        <is>
          <t>HF1 Plus</t>
        </is>
      </c>
      <c r="E191" s="177" t="inlineStr">
        <is>
          <t>ID11R22.5-16PR-AMH C ID</t>
        </is>
      </c>
      <c r="F191" s="197">
        <f>G191-2.777+3.17</f>
        <v/>
      </c>
      <c r="G191" s="131" t="n">
        <v>52.059</v>
      </c>
      <c r="H191" s="128" t="n">
        <v>51.6925</v>
      </c>
      <c r="I191" s="198">
        <f>G191-H191</f>
        <v/>
      </c>
      <c r="J191" s="115">
        <f>_xlfn.TEXTJOIN("-",TRUE,B191,C191,D191)</f>
        <v/>
      </c>
      <c r="K191" s="184" t="n"/>
      <c r="L191" s="184" t="n"/>
      <c r="M191" s="184" t="n"/>
      <c r="N191" s="184" t="n"/>
      <c r="O191" s="184" t="n"/>
      <c r="P191" s="184" t="n"/>
      <c r="Q191" s="184" t="n"/>
      <c r="R191" s="184" t="n"/>
      <c r="S191" s="390">
        <f>_xlfn.TEXTJOIN("-",TRUE,K191,L191,M191)</f>
        <v/>
      </c>
      <c r="T191" s="184" t="n"/>
      <c r="U191" s="184" t="n"/>
      <c r="V191" s="184" t="n"/>
      <c r="W191" s="184" t="n"/>
      <c r="X191" s="184" t="n"/>
      <c r="Y191" s="184" t="n"/>
      <c r="Z191" s="184" t="n"/>
      <c r="AA191" s="184" t="n"/>
      <c r="AB191" s="390">
        <f>_xlfn.TEXTJOIN("-",TRUE,T191,U191,V191)</f>
        <v/>
      </c>
      <c r="AK191" s="390">
        <f>_xlfn.TEXTJOIN("-",TRUE,AC191,AD191,AE191)</f>
        <v/>
      </c>
      <c r="AU191" s="132" t="n"/>
      <c r="AV191" s="178" t="n"/>
      <c r="AW191" s="178" t="n"/>
      <c r="AX191" s="178" t="n"/>
      <c r="AY191" s="135" t="n"/>
      <c r="AZ191" s="135" t="n"/>
      <c r="BA191" s="136" t="n"/>
      <c r="BB191" s="390">
        <f>_xlfn.TEXTJOIN("-",TRUE,AU191,AW191)</f>
        <v/>
      </c>
    </row>
    <row r="192" ht="13.8" customHeight="1" s="428">
      <c r="B192" s="123" t="inlineStr">
        <is>
          <t>11R22.5</t>
        </is>
      </c>
      <c r="C192" s="177" t="inlineStr">
        <is>
          <t>16PR</t>
        </is>
      </c>
      <c r="D192" s="177" t="inlineStr">
        <is>
          <t>AS600</t>
        </is>
      </c>
      <c r="E192" s="171" t="inlineStr">
        <is>
          <t>ID11R22.5-16PR-AS600 AR US ID</t>
        </is>
      </c>
      <c r="F192" s="197">
        <f>G192-2.777+3.17</f>
        <v/>
      </c>
      <c r="G192" s="197" t="n">
        <v>51.705</v>
      </c>
      <c r="H192" s="131" t="n">
        <v>51.6295</v>
      </c>
      <c r="I192" s="198">
        <f>G192-H192</f>
        <v/>
      </c>
      <c r="J192" s="115">
        <f>_xlfn.TEXTJOIN("-",TRUE,B192,C192,D192)</f>
        <v/>
      </c>
      <c r="K192" s="184" t="n"/>
      <c r="L192" s="184" t="n"/>
      <c r="M192" s="184" t="n"/>
      <c r="N192" s="184" t="n"/>
      <c r="O192" s="184" t="n"/>
      <c r="P192" s="184" t="n"/>
      <c r="Q192" s="184" t="n"/>
      <c r="R192" s="184" t="n"/>
      <c r="S192" s="390">
        <f>_xlfn.TEXTJOIN("-",TRUE,K192,L192,M192)</f>
        <v/>
      </c>
      <c r="T192" s="184" t="n"/>
      <c r="U192" s="184" t="n"/>
      <c r="V192" s="184" t="n"/>
      <c r="W192" s="184" t="n"/>
      <c r="X192" s="184" t="n"/>
      <c r="Y192" s="184" t="n"/>
      <c r="Z192" s="184" t="n"/>
      <c r="AA192" s="184" t="n"/>
      <c r="AB192" s="390">
        <f>_xlfn.TEXTJOIN("-",TRUE,T192,U192,V192)</f>
        <v/>
      </c>
      <c r="AK192" s="390">
        <f>_xlfn.TEXTJOIN("-",TRUE,AC192,AD192,AE192)</f>
        <v/>
      </c>
      <c r="AU192" s="123" t="inlineStr">
        <is>
          <t>225/60R18</t>
        </is>
      </c>
      <c r="AV192" s="177" t="inlineStr">
        <is>
          <t>/</t>
        </is>
      </c>
      <c r="AW192" s="139" t="inlineStr">
        <is>
          <t>RP218</t>
        </is>
      </c>
      <c r="AX192" s="177" t="inlineStr">
        <is>
          <t>S021512A-60</t>
        </is>
      </c>
      <c r="AY192" s="131" t="n">
        <v>11.984</v>
      </c>
      <c r="AZ192" s="131" t="n">
        <v>11.985</v>
      </c>
      <c r="BA192" s="130">
        <f>AY192-AZ192</f>
        <v/>
      </c>
      <c r="BB192" s="390">
        <f>_xlfn.TEXTJOIN("-",TRUE,AU192,AW192)</f>
        <v/>
      </c>
    </row>
    <row r="193">
      <c r="B193" s="123" t="inlineStr">
        <is>
          <t>11R22.5</t>
        </is>
      </c>
      <c r="C193" s="177" t="inlineStr">
        <is>
          <t>16PR</t>
        </is>
      </c>
      <c r="D193" s="126" t="inlineStr">
        <is>
          <t>AZ126T+</t>
        </is>
      </c>
      <c r="E193" s="177" t="inlineStr">
        <is>
          <t>ID11R22.5-16PR-JJ J ID</t>
        </is>
      </c>
      <c r="F193" s="204">
        <f>G193-2.822+3.221</f>
        <v/>
      </c>
      <c r="G193" s="129" t="n">
        <v>52.507</v>
      </c>
      <c r="H193" s="131" t="n">
        <v>52.361</v>
      </c>
      <c r="I193" s="198">
        <f>G193-H193</f>
        <v/>
      </c>
      <c r="J193" s="115">
        <f>_xlfn.TEXTJOIN("-",TRUE,B193,C193,D193)</f>
        <v/>
      </c>
      <c r="K193" s="184" t="n"/>
      <c r="L193" s="184" t="n"/>
      <c r="M193" s="184" t="n"/>
      <c r="N193" s="184" t="n"/>
      <c r="O193" s="184" t="n"/>
      <c r="P193" s="184" t="n"/>
      <c r="Q193" s="184" t="n"/>
      <c r="R193" s="184" t="n"/>
      <c r="S193" s="390">
        <f>_xlfn.TEXTJOIN("-",TRUE,K193,L193,M193)</f>
        <v/>
      </c>
      <c r="T193" s="184" t="n"/>
      <c r="U193" s="184" t="n"/>
      <c r="V193" s="184" t="n"/>
      <c r="W193" s="184" t="n"/>
      <c r="X193" s="184" t="n"/>
      <c r="Y193" s="184" t="n"/>
      <c r="Z193" s="184" t="n"/>
      <c r="AA193" s="184" t="n"/>
      <c r="AB193" s="390">
        <f>_xlfn.TEXTJOIN("-",TRUE,T193,U193,V193)</f>
        <v/>
      </c>
      <c r="AK193" s="390">
        <f>_xlfn.TEXTJOIN("-",TRUE,AC193,AD193,AE193)</f>
        <v/>
      </c>
      <c r="AU193" s="132" t="n"/>
      <c r="AV193" s="178" t="n"/>
      <c r="AW193" s="178" t="n"/>
      <c r="AX193" s="178" t="n"/>
      <c r="AY193" s="135" t="n"/>
      <c r="AZ193" s="135" t="n"/>
      <c r="BA193" s="136" t="n"/>
      <c r="BB193" s="390">
        <f>_xlfn.TEXTJOIN("-",TRUE,AU193,AW193)</f>
        <v/>
      </c>
    </row>
    <row r="194">
      <c r="B194" s="123" t="inlineStr">
        <is>
          <t>11R22.5</t>
        </is>
      </c>
      <c r="C194" s="177" t="inlineStr">
        <is>
          <t>16PR</t>
        </is>
      </c>
      <c r="D194" s="177" t="inlineStr">
        <is>
          <t>HCC1 PlusX</t>
        </is>
      </c>
      <c r="E194" s="171" t="inlineStr">
        <is>
          <t>ID11R22.5-16PR-JJ J ID</t>
        </is>
      </c>
      <c r="F194" s="197">
        <f>G194-2.822+3.221</f>
        <v/>
      </c>
      <c r="G194" s="129" t="n">
        <v>52.507</v>
      </c>
      <c r="H194" s="131" t="n">
        <v>52.361</v>
      </c>
      <c r="I194" s="198">
        <f>G194-H194</f>
        <v/>
      </c>
      <c r="J194" s="115">
        <f>_xlfn.TEXTJOIN("-",TRUE,B194,C194,D194)</f>
        <v/>
      </c>
      <c r="K194" s="184" t="n"/>
      <c r="L194" s="184" t="n"/>
      <c r="M194" s="184" t="n"/>
      <c r="N194" s="184" t="n"/>
      <c r="O194" s="184" t="n"/>
      <c r="P194" s="184" t="n"/>
      <c r="Q194" s="184" t="n"/>
      <c r="R194" s="184" t="n"/>
      <c r="S194" s="390">
        <f>_xlfn.TEXTJOIN("-",TRUE,K194,L194,M194)</f>
        <v/>
      </c>
      <c r="T194" s="184" t="n"/>
      <c r="U194" s="184" t="n"/>
      <c r="V194" s="184" t="n"/>
      <c r="W194" s="184" t="n"/>
      <c r="X194" s="184" t="n"/>
      <c r="Y194" s="184" t="n"/>
      <c r="Z194" s="184" t="n"/>
      <c r="AA194" s="184" t="n"/>
      <c r="AB194" s="390">
        <f>_xlfn.TEXTJOIN("-",TRUE,T194,U194,V194)</f>
        <v/>
      </c>
      <c r="AK194" s="390">
        <f>_xlfn.TEXTJOIN("-",TRUE,AC194,AD194,AE194)</f>
        <v/>
      </c>
      <c r="AU194" s="123" t="inlineStr">
        <is>
          <t>235/55R17</t>
        </is>
      </c>
      <c r="AV194" s="177" t="inlineStr">
        <is>
          <t>/</t>
        </is>
      </c>
      <c r="AW194" s="139" t="inlineStr">
        <is>
          <t>RP218</t>
        </is>
      </c>
      <c r="AX194" s="177" t="inlineStr">
        <is>
          <t>S021515A-60</t>
        </is>
      </c>
      <c r="AY194" s="131" t="n">
        <v>11.783</v>
      </c>
      <c r="AZ194" s="131" t="n">
        <v>11.782</v>
      </c>
      <c r="BA194" s="130">
        <f>AY194-AZ194</f>
        <v/>
      </c>
      <c r="BB194" s="390">
        <f>_xlfn.TEXTJOIN("-",TRUE,AU194,AW194)</f>
        <v/>
      </c>
    </row>
    <row r="195" ht="13.8" customHeight="1" s="428">
      <c r="B195" s="123" t="inlineStr">
        <is>
          <t>11R22.5</t>
        </is>
      </c>
      <c r="C195" s="177" t="inlineStr">
        <is>
          <t>16PR</t>
        </is>
      </c>
      <c r="D195" s="177" t="inlineStr">
        <is>
          <t>AT194</t>
        </is>
      </c>
      <c r="E195" s="125" t="inlineStr">
        <is>
          <t>ID11R22.5-16PR-FF J ID</t>
        </is>
      </c>
      <c r="F195" s="197">
        <f>G195-2.822+3.221</f>
        <v/>
      </c>
      <c r="G195" s="129" t="n">
        <v>50.643</v>
      </c>
      <c r="H195" s="131" t="n">
        <v>50.57</v>
      </c>
      <c r="I195" s="198">
        <f>G195-H195</f>
        <v/>
      </c>
      <c r="J195" s="115">
        <f>_xlfn.TEXTJOIN("-",TRUE,B195,C195,D195)</f>
        <v/>
      </c>
      <c r="K195" s="184" t="n"/>
      <c r="L195" s="184" t="n"/>
      <c r="M195" s="184" t="n"/>
      <c r="N195" s="184" t="n"/>
      <c r="O195" s="184" t="n"/>
      <c r="P195" s="184" t="n"/>
      <c r="Q195" s="184" t="n"/>
      <c r="R195" s="184" t="n"/>
      <c r="S195" s="390">
        <f>_xlfn.TEXTJOIN("-",TRUE,K195,L195,M195)</f>
        <v/>
      </c>
      <c r="T195" s="184" t="n"/>
      <c r="U195" s="184" t="n"/>
      <c r="V195" s="184" t="n"/>
      <c r="W195" s="184" t="n"/>
      <c r="X195" s="184" t="n"/>
      <c r="Y195" s="184" t="n"/>
      <c r="Z195" s="184" t="n"/>
      <c r="AA195" s="184" t="n"/>
      <c r="AB195" s="390">
        <f>_xlfn.TEXTJOIN("-",TRUE,T195,U195,V195)</f>
        <v/>
      </c>
      <c r="AK195" s="390">
        <f>_xlfn.TEXTJOIN("-",TRUE,AC195,AD195,AE195)</f>
        <v/>
      </c>
      <c r="AU195" s="132" t="n"/>
      <c r="AV195" s="178" t="n"/>
      <c r="AW195" s="178" t="n"/>
      <c r="AX195" s="178" t="n"/>
      <c r="AY195" s="135" t="n"/>
      <c r="AZ195" s="135" t="n"/>
      <c r="BA195" s="136" t="n"/>
      <c r="BB195" s="390">
        <f>_xlfn.TEXTJOIN("-",TRUE,AU195,AW195)</f>
        <v/>
      </c>
    </row>
    <row r="196" ht="13.8" customHeight="1" s="428">
      <c r="B196" s="123" t="inlineStr">
        <is>
          <t>11R22.5</t>
        </is>
      </c>
      <c r="C196" s="177" t="inlineStr">
        <is>
          <t>16PR</t>
        </is>
      </c>
      <c r="D196" s="177" t="inlineStr">
        <is>
          <t>AT167</t>
        </is>
      </c>
      <c r="E196" s="125" t="inlineStr">
        <is>
          <t>ID11R22.5-16PR-FF J ID</t>
        </is>
      </c>
      <c r="F196" s="197">
        <f>G196-2.822+3.221</f>
        <v/>
      </c>
      <c r="G196" s="129" t="n">
        <v>50.643</v>
      </c>
      <c r="H196" s="131" t="n">
        <v>50.57</v>
      </c>
      <c r="I196" s="198">
        <f>G196-H196</f>
        <v/>
      </c>
      <c r="J196" s="115">
        <f>_xlfn.TEXTJOIN("-",TRUE,B196,C196,D196)</f>
        <v/>
      </c>
      <c r="K196" s="184" t="n"/>
      <c r="L196" s="184" t="n"/>
      <c r="M196" s="184" t="n"/>
      <c r="N196" s="184" t="n"/>
      <c r="O196" s="184" t="n"/>
      <c r="P196" s="184" t="n"/>
      <c r="Q196" s="184" t="n"/>
      <c r="R196" s="184" t="n"/>
      <c r="S196" s="390">
        <f>_xlfn.TEXTJOIN("-",TRUE,K196,L196,M196)</f>
        <v/>
      </c>
      <c r="T196" s="184" t="n"/>
      <c r="U196" s="184" t="n"/>
      <c r="V196" s="184" t="n"/>
      <c r="W196" s="184" t="n"/>
      <c r="X196" s="184" t="n"/>
      <c r="Y196" s="184" t="n"/>
      <c r="Z196" s="184" t="n"/>
      <c r="AA196" s="184" t="n"/>
      <c r="AB196" s="390">
        <f>_xlfn.TEXTJOIN("-",TRUE,T196,U196,V196)</f>
        <v/>
      </c>
      <c r="AK196" s="390">
        <f>_xlfn.TEXTJOIN("-",TRUE,AC196,AD196,AE196)</f>
        <v/>
      </c>
      <c r="AU196" s="123" t="inlineStr">
        <is>
          <t>235/55R18</t>
        </is>
      </c>
      <c r="AV196" s="177" t="inlineStr">
        <is>
          <t>/</t>
        </is>
      </c>
      <c r="AW196" s="139" t="inlineStr">
        <is>
          <t>RP218</t>
        </is>
      </c>
      <c r="AX196" s="177" t="inlineStr">
        <is>
          <t>S021516A-60</t>
        </is>
      </c>
      <c r="AY196" s="131" t="n">
        <v>12.272</v>
      </c>
      <c r="AZ196" s="131" t="n">
        <v>12.271</v>
      </c>
      <c r="BA196" s="130">
        <f>AY196-AZ196</f>
        <v/>
      </c>
      <c r="BB196" s="390">
        <f>_xlfn.TEXTJOIN("-",TRUE,AU196,AW196)</f>
        <v/>
      </c>
    </row>
    <row r="197">
      <c r="B197" s="123" t="inlineStr">
        <is>
          <t>11R22.5</t>
        </is>
      </c>
      <c r="C197" s="177" t="inlineStr">
        <is>
          <t>16PR</t>
        </is>
      </c>
      <c r="D197" s="177" t="inlineStr">
        <is>
          <t>HF1 PlusX</t>
        </is>
      </c>
      <c r="E197" s="125" t="inlineStr">
        <is>
          <t>ID11R22.5-16PR-FF J ID</t>
        </is>
      </c>
      <c r="F197" s="197">
        <f>G197-2.822+3.221</f>
        <v/>
      </c>
      <c r="G197" s="129" t="n">
        <v>50.643</v>
      </c>
      <c r="H197" s="131" t="n">
        <v>50.57</v>
      </c>
      <c r="I197" s="198">
        <f>G197-H197</f>
        <v/>
      </c>
      <c r="J197" s="115">
        <f>_xlfn.TEXTJOIN("-",TRUE,B197,C197,D197)</f>
        <v/>
      </c>
      <c r="K197" s="184" t="n"/>
      <c r="L197" s="184" t="n"/>
      <c r="M197" s="184" t="n"/>
      <c r="N197" s="184" t="n"/>
      <c r="O197" s="184" t="n"/>
      <c r="P197" s="184" t="n"/>
      <c r="Q197" s="184" t="n"/>
      <c r="R197" s="184" t="n"/>
      <c r="S197" s="390">
        <f>_xlfn.TEXTJOIN("-",TRUE,K197,L197,M197)</f>
        <v/>
      </c>
      <c r="T197" s="184" t="n"/>
      <c r="U197" s="184" t="n"/>
      <c r="V197" s="184" t="n"/>
      <c r="W197" s="184" t="n"/>
      <c r="X197" s="184" t="n"/>
      <c r="Y197" s="184" t="n"/>
      <c r="Z197" s="184" t="n"/>
      <c r="AA197" s="184" t="n"/>
      <c r="AB197" s="390">
        <f>_xlfn.TEXTJOIN("-",TRUE,T197,U197,V197)</f>
        <v/>
      </c>
      <c r="AK197" s="390">
        <f>_xlfn.TEXTJOIN("-",TRUE,AC197,AD197,AE197)</f>
        <v/>
      </c>
      <c r="AU197" s="132" t="n"/>
      <c r="AV197" s="178" t="n"/>
      <c r="AW197" s="178" t="n"/>
      <c r="AX197" s="178" t="n"/>
      <c r="AY197" s="135" t="n"/>
      <c r="AZ197" s="135" t="n"/>
      <c r="BA197" s="136" t="n"/>
      <c r="BB197" s="390">
        <f>_xlfn.TEXTJOIN("-",TRUE,AU197,AW197)</f>
        <v/>
      </c>
    </row>
    <row r="198" ht="13.8" customHeight="1" s="428">
      <c r="B198" s="123" t="inlineStr">
        <is>
          <t>11R22.5</t>
        </is>
      </c>
      <c r="C198" s="177" t="inlineStr">
        <is>
          <t>16PR</t>
        </is>
      </c>
      <c r="D198" s="177" t="inlineStr">
        <is>
          <t>KOBE APM</t>
        </is>
      </c>
      <c r="E198" s="125" t="inlineStr">
        <is>
          <t>ID11R22.5-16PR-FF J ID</t>
        </is>
      </c>
      <c r="F198" s="197">
        <f>G198-2.822+3.221</f>
        <v/>
      </c>
      <c r="G198" s="129" t="n">
        <v>50.643</v>
      </c>
      <c r="H198" s="131" t="n">
        <v>50.57</v>
      </c>
      <c r="I198" s="198">
        <f>G198-H198</f>
        <v/>
      </c>
      <c r="J198" s="115">
        <f>_xlfn.TEXTJOIN("-",TRUE,B198,C198,D198)</f>
        <v/>
      </c>
      <c r="K198" s="184" t="n"/>
      <c r="L198" s="184" t="n"/>
      <c r="M198" s="184" t="n"/>
      <c r="N198" s="184" t="n"/>
      <c r="O198" s="184" t="n"/>
      <c r="P198" s="184" t="n"/>
      <c r="Q198" s="184" t="n"/>
      <c r="R198" s="184" t="n"/>
      <c r="S198" s="390">
        <f>_xlfn.TEXTJOIN("-",TRUE,K198,L198,M198)</f>
        <v/>
      </c>
      <c r="T198" s="184" t="n"/>
      <c r="U198" s="184" t="n"/>
      <c r="V198" s="184" t="n"/>
      <c r="W198" s="184" t="n"/>
      <c r="X198" s="184" t="n"/>
      <c r="Y198" s="184" t="n"/>
      <c r="Z198" s="184" t="n"/>
      <c r="AA198" s="184" t="n"/>
      <c r="AB198" s="390">
        <f>_xlfn.TEXTJOIN("-",TRUE,T198,U198,V198)</f>
        <v/>
      </c>
      <c r="AK198" s="390">
        <f>_xlfn.TEXTJOIN("-",TRUE,AC198,AD198,AE198)</f>
        <v/>
      </c>
      <c r="AU198" s="123" t="inlineStr">
        <is>
          <t>235/55R19</t>
        </is>
      </c>
      <c r="AV198" s="177" t="inlineStr">
        <is>
          <t>/</t>
        </is>
      </c>
      <c r="AW198" s="139" t="inlineStr">
        <is>
          <t>RP218</t>
        </is>
      </c>
      <c r="AX198" s="177" t="inlineStr">
        <is>
          <t>S021517A-60</t>
        </is>
      </c>
      <c r="AY198" s="131" t="n">
        <v>13.3</v>
      </c>
      <c r="AZ198" s="131" t="n">
        <v>13.299</v>
      </c>
      <c r="BA198" s="130">
        <f>AY198-AZ198</f>
        <v/>
      </c>
      <c r="BB198" s="390">
        <f>_xlfn.TEXTJOIN("-",TRUE,AU198,AW198)</f>
        <v/>
      </c>
    </row>
    <row r="199">
      <c r="B199" s="123" t="inlineStr">
        <is>
          <t>11R22.5</t>
        </is>
      </c>
      <c r="C199" s="177" t="inlineStr">
        <is>
          <t>16PR</t>
        </is>
      </c>
      <c r="D199" s="177" t="inlineStr">
        <is>
          <t>MX901 AP</t>
        </is>
      </c>
      <c r="E199" s="125" t="inlineStr">
        <is>
          <t>ID11R22.5-16PR-FF J ID</t>
        </is>
      </c>
      <c r="F199" s="197">
        <f>G199-2.822+3.221</f>
        <v/>
      </c>
      <c r="G199" s="129" t="n">
        <v>50.643</v>
      </c>
      <c r="H199" s="131" t="n">
        <v>50.57</v>
      </c>
      <c r="I199" s="198">
        <f>G199-H199</f>
        <v/>
      </c>
      <c r="J199" s="115">
        <f>_xlfn.TEXTJOIN("-",TRUE,B199,C199,D199)</f>
        <v/>
      </c>
      <c r="K199" s="184" t="n"/>
      <c r="L199" s="184" t="n"/>
      <c r="M199" s="184" t="n"/>
      <c r="N199" s="184" t="n"/>
      <c r="O199" s="184" t="n"/>
      <c r="P199" s="184" t="n"/>
      <c r="Q199" s="184" t="n"/>
      <c r="R199" s="184" t="n"/>
      <c r="S199" s="390">
        <f>_xlfn.TEXTJOIN("-",TRUE,K199,L199,M199)</f>
        <v/>
      </c>
      <c r="T199" s="184" t="n"/>
      <c r="U199" s="184" t="n"/>
      <c r="V199" s="184" t="n"/>
      <c r="W199" s="184" t="n"/>
      <c r="X199" s="184" t="n"/>
      <c r="Y199" s="184" t="n"/>
      <c r="Z199" s="184" t="n"/>
      <c r="AA199" s="184" t="n"/>
      <c r="AB199" s="390">
        <f>_xlfn.TEXTJOIN("-",TRUE,T199,U199,V199)</f>
        <v/>
      </c>
      <c r="AK199" s="390">
        <f>_xlfn.TEXTJOIN("-",TRUE,AC199,AD199,AE199)</f>
        <v/>
      </c>
      <c r="AU199" s="199" t="n"/>
      <c r="AV199" s="200" t="n"/>
      <c r="AW199" s="200" t="n"/>
      <c r="AX199" s="200" t="n"/>
      <c r="AY199" s="201" t="n"/>
      <c r="AZ199" s="205" t="n"/>
      <c r="BA199" s="202" t="n"/>
      <c r="BB199" s="390">
        <f>_xlfn.TEXTJOIN("-",TRUE,AU199,AW199)</f>
        <v/>
      </c>
    </row>
    <row r="200" ht="13.8" customHeight="1" s="428">
      <c r="B200" s="123" t="inlineStr">
        <is>
          <t>11R22.5</t>
        </is>
      </c>
      <c r="C200" s="177" t="inlineStr">
        <is>
          <t>16PR</t>
        </is>
      </c>
      <c r="D200" s="177" t="inlineStr">
        <is>
          <t>TRA-167</t>
        </is>
      </c>
      <c r="E200" s="125" t="inlineStr">
        <is>
          <t>ID11R22.5-16PR-FF J ID</t>
        </is>
      </c>
      <c r="F200" s="197">
        <f>G200-2.822+3.221</f>
        <v/>
      </c>
      <c r="G200" s="129" t="n">
        <v>50.643</v>
      </c>
      <c r="H200" s="131" t="n">
        <v>50.57</v>
      </c>
      <c r="I200" s="198">
        <f>G200-H200</f>
        <v/>
      </c>
      <c r="J200" s="115">
        <f>_xlfn.TEXTJOIN("-",TRUE,B200,C200,D200)</f>
        <v/>
      </c>
      <c r="K200" s="184" t="n"/>
      <c r="L200" s="184" t="n"/>
      <c r="M200" s="184" t="n"/>
      <c r="N200" s="184" t="n"/>
      <c r="O200" s="184" t="n"/>
      <c r="P200" s="184" t="n"/>
      <c r="Q200" s="184" t="n"/>
      <c r="R200" s="184" t="n"/>
      <c r="S200" s="390">
        <f>_xlfn.TEXTJOIN("-",TRUE,K200,L200,M200)</f>
        <v/>
      </c>
      <c r="T200" s="184" t="n"/>
      <c r="U200" s="184" t="n"/>
      <c r="V200" s="184" t="n"/>
      <c r="W200" s="184" t="n"/>
      <c r="X200" s="184" t="n"/>
      <c r="Y200" s="184" t="n"/>
      <c r="Z200" s="184" t="n"/>
      <c r="AA200" s="184" t="n"/>
      <c r="AB200" s="390">
        <f>_xlfn.TEXTJOIN("-",TRUE,T200,U200,V200)</f>
        <v/>
      </c>
      <c r="AK200" s="390">
        <f>_xlfn.TEXTJOIN("-",TRUE,AC200,AD200,AE200)</f>
        <v/>
      </c>
      <c r="BB200" s="390">
        <f>_xlfn.TEXTJOIN("-",TRUE,AU200,AW200)</f>
        <v/>
      </c>
    </row>
    <row r="201">
      <c r="B201" s="123" t="inlineStr">
        <is>
          <t>11R22.5</t>
        </is>
      </c>
      <c r="C201" s="177" t="inlineStr">
        <is>
          <t>16PR</t>
        </is>
      </c>
      <c r="D201" s="177" t="inlineStr">
        <is>
          <t>AZ579</t>
        </is>
      </c>
      <c r="E201" s="125" t="inlineStr">
        <is>
          <t>ID11R22.5-16PR-W C ID</t>
        </is>
      </c>
      <c r="F201" s="197">
        <f>G201-2.777+3.17</f>
        <v/>
      </c>
      <c r="G201" s="129" t="n">
        <v>53.888</v>
      </c>
      <c r="H201" s="131" t="n">
        <v>53.9301</v>
      </c>
      <c r="I201" s="198">
        <f>G201-H201</f>
        <v/>
      </c>
      <c r="J201" s="115">
        <f>_xlfn.TEXTJOIN("-",TRUE,B201,C201,D201)</f>
        <v/>
      </c>
      <c r="K201" s="184" t="n"/>
      <c r="L201" s="184" t="n"/>
      <c r="M201" s="184" t="n"/>
      <c r="N201" s="184" t="n"/>
      <c r="O201" s="184" t="n"/>
      <c r="P201" s="184" t="n"/>
      <c r="Q201" s="184" t="n"/>
      <c r="R201" s="184" t="n"/>
      <c r="S201" s="390">
        <f>_xlfn.TEXTJOIN("-",TRUE,K201,L201,M201)</f>
        <v/>
      </c>
      <c r="T201" s="184" t="n"/>
      <c r="U201" s="184" t="n"/>
      <c r="V201" s="184" t="n"/>
      <c r="W201" s="184" t="n"/>
      <c r="X201" s="184" t="n"/>
      <c r="Y201" s="184" t="n"/>
      <c r="Z201" s="184" t="n"/>
      <c r="AA201" s="184" t="n"/>
      <c r="AB201" s="390">
        <f>_xlfn.TEXTJOIN("-",TRUE,T201,U201,V201)</f>
        <v/>
      </c>
      <c r="AK201" s="390">
        <f>_xlfn.TEXTJOIN("-",TRUE,AC201,AD201,AE201)</f>
        <v/>
      </c>
      <c r="AY201" s="116" t="n">
        <v>6.2</v>
      </c>
      <c r="BB201" s="390" t="inlineStr">
        <is>
          <t>ST185R14CPR-TRAILER ST290</t>
        </is>
      </c>
    </row>
    <row r="202">
      <c r="B202" s="123" t="inlineStr">
        <is>
          <t>11R22.5</t>
        </is>
      </c>
      <c r="C202" s="177" t="inlineStr">
        <is>
          <t>16PR</t>
        </is>
      </c>
      <c r="D202" s="126" t="inlineStr">
        <is>
          <t>HCC1 Plus</t>
        </is>
      </c>
      <c r="E202" s="177" t="inlineStr">
        <is>
          <t>ID11R22.5-16PR-W C ID</t>
        </is>
      </c>
      <c r="F202" s="204">
        <f>G202-2.777+3.17</f>
        <v/>
      </c>
      <c r="G202" s="129" t="n">
        <v>53.888</v>
      </c>
      <c r="H202" s="131" t="n">
        <v>53.9301</v>
      </c>
      <c r="I202" s="198">
        <f>G202-H202</f>
        <v/>
      </c>
      <c r="J202" s="115">
        <f>_xlfn.TEXTJOIN("-",TRUE,B202,C202,D202)</f>
        <v/>
      </c>
      <c r="K202" s="184" t="n"/>
      <c r="L202" s="184" t="n"/>
      <c r="M202" s="184" t="n"/>
      <c r="N202" s="184" t="n"/>
      <c r="O202" s="184" t="n"/>
      <c r="P202" s="184" t="n"/>
      <c r="Q202" s="184" t="n"/>
      <c r="R202" s="184" t="n"/>
      <c r="S202" s="390">
        <f>_xlfn.TEXTJOIN("-",TRUE,K202,L202,M202)</f>
        <v/>
      </c>
      <c r="T202" s="184" t="n"/>
      <c r="U202" s="184" t="n"/>
      <c r="V202" s="184" t="n"/>
      <c r="W202" s="184" t="n"/>
      <c r="X202" s="184" t="n"/>
      <c r="Y202" s="184" t="n"/>
      <c r="Z202" s="184" t="n"/>
      <c r="AA202" s="184" t="n"/>
      <c r="AB202" s="390">
        <f>_xlfn.TEXTJOIN("-",TRUE,T202,U202,V202)</f>
        <v/>
      </c>
      <c r="AK202" s="390">
        <f>_xlfn.TEXTJOIN("-",TRUE,AC202,AD202,AE202)</f>
        <v/>
      </c>
      <c r="AY202" s="116" t="n">
        <v>7.32</v>
      </c>
      <c r="BB202" s="390" t="inlineStr">
        <is>
          <t>ST195/70R14PR-ST290</t>
        </is>
      </c>
    </row>
    <row r="203" ht="13.8" customHeight="1" s="428">
      <c r="B203" s="123" t="inlineStr">
        <is>
          <t>11R22.5</t>
        </is>
      </c>
      <c r="C203" s="177" t="inlineStr">
        <is>
          <t>16PR</t>
        </is>
      </c>
      <c r="D203" s="177" t="inlineStr">
        <is>
          <t>AT115</t>
        </is>
      </c>
      <c r="E203" s="171" t="inlineStr">
        <is>
          <t>ID11R22.5-16PR-MM J ID</t>
        </is>
      </c>
      <c r="F203" s="197">
        <f>G203-2.822+3.221</f>
        <v/>
      </c>
      <c r="G203" s="129" t="n">
        <v>48.807</v>
      </c>
      <c r="H203" s="131" t="n">
        <v>48.6631</v>
      </c>
      <c r="I203" s="198">
        <f>G203-H203</f>
        <v/>
      </c>
      <c r="J203" s="115">
        <f>_xlfn.TEXTJOIN("-",TRUE,B203,C203,D203)</f>
        <v/>
      </c>
      <c r="K203" s="184" t="n"/>
      <c r="L203" s="184" t="n"/>
      <c r="M203" s="184" t="n"/>
      <c r="N203" s="184" t="n"/>
      <c r="O203" s="184" t="n"/>
      <c r="P203" s="184" t="n"/>
      <c r="Q203" s="184" t="n"/>
      <c r="R203" s="184" t="n"/>
      <c r="S203" s="390">
        <f>_xlfn.TEXTJOIN("-",TRUE,K203,L203,M203)</f>
        <v/>
      </c>
      <c r="T203" s="184" t="n"/>
      <c r="U203" s="184" t="n"/>
      <c r="V203" s="184" t="n"/>
      <c r="W203" s="184" t="n"/>
      <c r="X203" s="184" t="n"/>
      <c r="Y203" s="184" t="n"/>
      <c r="Z203" s="184" t="n"/>
      <c r="AA203" s="184" t="n"/>
      <c r="AB203" s="390">
        <f>_xlfn.TEXTJOIN("-",TRUE,T203,U203,V203)</f>
        <v/>
      </c>
      <c r="AK203" s="390">
        <f>_xlfn.TEXTJOIN("-",TRUE,AC203,AD203,AE203)</f>
        <v/>
      </c>
      <c r="BB203" s="390">
        <f>_xlfn.TEXTJOIN("-",TRUE,AU203,AW203)</f>
        <v/>
      </c>
    </row>
    <row r="204" ht="13.8" customHeight="1" s="428">
      <c r="B204" s="123" t="inlineStr">
        <is>
          <t>11R22.5</t>
        </is>
      </c>
      <c r="C204" s="177" t="inlineStr">
        <is>
          <t>16PR</t>
        </is>
      </c>
      <c r="D204" s="177" t="inlineStr">
        <is>
          <t>HT1 PlusX</t>
        </is>
      </c>
      <c r="E204" s="177" t="inlineStr">
        <is>
          <t>ID11R22.5-16PR-MM J ID</t>
        </is>
      </c>
      <c r="F204" s="197">
        <f>G204-2.822+3.221</f>
        <v/>
      </c>
      <c r="G204" s="129" t="n">
        <v>48.807</v>
      </c>
      <c r="H204" s="131" t="n">
        <v>48.6631</v>
      </c>
      <c r="I204" s="198">
        <f>G204-H204</f>
        <v/>
      </c>
      <c r="J204" s="115">
        <f>_xlfn.TEXTJOIN("-",TRUE,B204,C204,D204)</f>
        <v/>
      </c>
      <c r="K204" s="184" t="n"/>
      <c r="L204" s="184" t="n"/>
      <c r="M204" s="184" t="n"/>
      <c r="N204" s="184" t="n"/>
      <c r="O204" s="184" t="n"/>
      <c r="P204" s="184" t="n"/>
      <c r="Q204" s="184" t="n"/>
      <c r="R204" s="184" t="n"/>
      <c r="S204" s="390">
        <f>_xlfn.TEXTJOIN("-",TRUE,K204,L204,M204)</f>
        <v/>
      </c>
      <c r="T204" s="184" t="n"/>
      <c r="U204" s="184" t="n"/>
      <c r="V204" s="184" t="n"/>
      <c r="W204" s="184" t="n"/>
      <c r="X204" s="184" t="n"/>
      <c r="Y204" s="184" t="n"/>
      <c r="Z204" s="184" t="n"/>
      <c r="AA204" s="184" t="n"/>
      <c r="AB204" s="390">
        <f>_xlfn.TEXTJOIN("-",TRUE,T204,U204,V204)</f>
        <v/>
      </c>
      <c r="AK204" s="390">
        <f>_xlfn.TEXTJOIN("-",TRUE,AC204,AD204,AE204)</f>
        <v/>
      </c>
      <c r="BB204" s="390">
        <f>_xlfn.TEXTJOIN("-",TRUE,AU204,AW204)</f>
        <v/>
      </c>
    </row>
    <row r="205">
      <c r="B205" s="123" t="inlineStr">
        <is>
          <t>11R22.5</t>
        </is>
      </c>
      <c r="C205" s="177" t="inlineStr">
        <is>
          <t>16PR</t>
        </is>
      </c>
      <c r="D205" s="177" t="inlineStr">
        <is>
          <t>TLT-115</t>
        </is>
      </c>
      <c r="E205" s="177" t="inlineStr">
        <is>
          <t>ID11R22.5-16PR-MM J ID</t>
        </is>
      </c>
      <c r="F205" s="197">
        <f>G205-2.822+3.221</f>
        <v/>
      </c>
      <c r="G205" s="129" t="n">
        <v>48.807</v>
      </c>
      <c r="H205" s="131" t="n">
        <v>48.6631</v>
      </c>
      <c r="I205" s="198">
        <f>G205-H205</f>
        <v/>
      </c>
      <c r="J205" s="115">
        <f>_xlfn.TEXTJOIN("-",TRUE,B205,C205,D205)</f>
        <v/>
      </c>
      <c r="K205" s="184" t="n"/>
      <c r="L205" s="184" t="n"/>
      <c r="M205" s="184" t="n"/>
      <c r="N205" s="184" t="n"/>
      <c r="O205" s="184" t="n"/>
      <c r="P205" s="184" t="n"/>
      <c r="Q205" s="184" t="n"/>
      <c r="R205" s="184" t="n"/>
      <c r="S205" s="390">
        <f>_xlfn.TEXTJOIN("-",TRUE,K205,L205,M205)</f>
        <v/>
      </c>
      <c r="T205" s="184" t="n"/>
      <c r="U205" s="184" t="n"/>
      <c r="V205" s="184" t="n"/>
      <c r="W205" s="184" t="n"/>
      <c r="X205" s="184" t="n"/>
      <c r="Y205" s="184" t="n"/>
      <c r="Z205" s="184" t="n"/>
      <c r="AA205" s="184" t="n"/>
      <c r="AB205" s="390">
        <f>_xlfn.TEXTJOIN("-",TRUE,T205,U205,V205)</f>
        <v/>
      </c>
      <c r="AK205" s="390">
        <f>_xlfn.TEXTJOIN("-",TRUE,AC205,AD205,AE205)</f>
        <v/>
      </c>
      <c r="BB205" s="390">
        <f>_xlfn.TEXTJOIN("-",TRUE,AU205,AW205)</f>
        <v/>
      </c>
    </row>
    <row r="206" ht="13.8" customHeight="1" s="428">
      <c r="B206" s="123" t="inlineStr">
        <is>
          <t>11R22.5</t>
        </is>
      </c>
      <c r="C206" s="177" t="inlineStr">
        <is>
          <t>16PR</t>
        </is>
      </c>
      <c r="D206" s="177" t="inlineStr">
        <is>
          <t>MX901 TR</t>
        </is>
      </c>
      <c r="E206" s="125" t="inlineStr">
        <is>
          <t>ID11R22.5-16PR-MM J ID</t>
        </is>
      </c>
      <c r="F206" s="197">
        <f>G206-2.822+3.221</f>
        <v/>
      </c>
      <c r="G206" s="129" t="n">
        <v>48.807</v>
      </c>
      <c r="H206" s="131" t="n">
        <v>48.6631</v>
      </c>
      <c r="I206" s="198">
        <f>G206-H206</f>
        <v/>
      </c>
      <c r="J206" s="115">
        <f>_xlfn.TEXTJOIN("-",TRUE,B206,C206,D206)</f>
        <v/>
      </c>
      <c r="K206" s="184" t="n"/>
      <c r="L206" s="184" t="n"/>
      <c r="M206" s="184" t="n"/>
      <c r="N206" s="184" t="n"/>
      <c r="O206" s="184" t="n"/>
      <c r="P206" s="184" t="n"/>
      <c r="Q206" s="184" t="n"/>
      <c r="R206" s="184" t="n"/>
      <c r="S206" s="390">
        <f>_xlfn.TEXTJOIN("-",TRUE,K206,L206,M206)</f>
        <v/>
      </c>
      <c r="T206" s="184" t="n"/>
      <c r="U206" s="184" t="n"/>
      <c r="V206" s="184" t="n"/>
      <c r="W206" s="184" t="n"/>
      <c r="X206" s="184" t="n"/>
      <c r="Y206" s="184" t="n"/>
      <c r="Z206" s="184" t="n"/>
      <c r="AA206" s="184" t="n"/>
      <c r="AB206" s="390">
        <f>_xlfn.TEXTJOIN("-",TRUE,T206,U206,V206)</f>
        <v/>
      </c>
      <c r="AK206" s="390">
        <f>_xlfn.TEXTJOIN("-",TRUE,AC206,AD206,AE206)</f>
        <v/>
      </c>
      <c r="BB206" s="390">
        <f>_xlfn.TEXTJOIN("-",TRUE,AU206,AW206)</f>
        <v/>
      </c>
    </row>
    <row r="207">
      <c r="B207" s="123" t="inlineStr">
        <is>
          <t>11R22.5</t>
        </is>
      </c>
      <c r="C207" s="177" t="inlineStr">
        <is>
          <t>16PR</t>
        </is>
      </c>
      <c r="D207" s="177" t="inlineStr">
        <is>
          <t>AD178</t>
        </is>
      </c>
      <c r="E207" s="125" t="inlineStr">
        <is>
          <t>ID11R22.5-16PR-HH J ID</t>
        </is>
      </c>
      <c r="F207" s="197">
        <f>G207-2.822+3.221</f>
        <v/>
      </c>
      <c r="G207" s="129" t="n">
        <v>54.54</v>
      </c>
      <c r="H207" s="131" t="n">
        <v>54.27</v>
      </c>
      <c r="I207" s="198">
        <f>G207-H207</f>
        <v/>
      </c>
      <c r="J207" s="115">
        <f>_xlfn.TEXTJOIN("-",TRUE,B207,C207,D207)</f>
        <v/>
      </c>
      <c r="K207" s="184" t="n"/>
      <c r="L207" s="184" t="n"/>
      <c r="M207" s="184" t="n"/>
      <c r="N207" s="184" t="n"/>
      <c r="O207" s="184" t="n"/>
      <c r="P207" s="184" t="n"/>
      <c r="Q207" s="184" t="n"/>
      <c r="R207" s="184" t="n"/>
      <c r="S207" s="390">
        <f>_xlfn.TEXTJOIN("-",TRUE,K207,L207,M207)</f>
        <v/>
      </c>
      <c r="T207" s="184" t="n"/>
      <c r="U207" s="184" t="n"/>
      <c r="V207" s="184" t="n"/>
      <c r="W207" s="184" t="n"/>
      <c r="X207" s="184" t="n"/>
      <c r="Y207" s="184" t="n"/>
      <c r="Z207" s="184" t="n"/>
      <c r="AA207" s="184" t="n"/>
      <c r="AB207" s="390">
        <f>_xlfn.TEXTJOIN("-",TRUE,T207,U207,V207)</f>
        <v/>
      </c>
      <c r="AK207" s="390">
        <f>_xlfn.TEXTJOIN("-",TRUE,AC207,AD207,AE207)</f>
        <v/>
      </c>
      <c r="BB207" s="390">
        <f>_xlfn.TEXTJOIN("-",TRUE,AU207,AW207)</f>
        <v/>
      </c>
    </row>
    <row r="208">
      <c r="B208" s="123" t="inlineStr">
        <is>
          <t>11R22.5</t>
        </is>
      </c>
      <c r="C208" s="177" t="inlineStr">
        <is>
          <t>16PR</t>
        </is>
      </c>
      <c r="D208" s="177" t="inlineStr">
        <is>
          <t>HD1 PlusX</t>
        </is>
      </c>
      <c r="E208" s="125" t="inlineStr">
        <is>
          <t>ID11R22.5-16PR-HH J ID</t>
        </is>
      </c>
      <c r="F208" s="197">
        <f>G208-2.822+3.221</f>
        <v/>
      </c>
      <c r="G208" s="129" t="n">
        <v>54.54</v>
      </c>
      <c r="H208" s="131" t="n">
        <v>54.27</v>
      </c>
      <c r="I208" s="198">
        <f>G208-H208</f>
        <v/>
      </c>
      <c r="J208" s="115">
        <f>_xlfn.TEXTJOIN("-",TRUE,B208,C208,D208)</f>
        <v/>
      </c>
      <c r="K208" s="184" t="n"/>
      <c r="L208" s="184" t="n"/>
      <c r="M208" s="184" t="n"/>
      <c r="N208" s="184" t="n"/>
      <c r="O208" s="184" t="n"/>
      <c r="P208" s="184" t="n"/>
      <c r="Q208" s="184" t="n"/>
      <c r="R208" s="184" t="n"/>
      <c r="S208" s="390">
        <f>_xlfn.TEXTJOIN("-",TRUE,K208,L208,M208)</f>
        <v/>
      </c>
      <c r="T208" s="184" t="n"/>
      <c r="U208" s="184" t="n"/>
      <c r="V208" s="184" t="n"/>
      <c r="W208" s="184" t="n"/>
      <c r="X208" s="184" t="n"/>
      <c r="Y208" s="184" t="n"/>
      <c r="Z208" s="184" t="n"/>
      <c r="AA208" s="184" t="n"/>
      <c r="AB208" s="390">
        <f>_xlfn.TEXTJOIN("-",TRUE,T208,U208,V208)</f>
        <v/>
      </c>
      <c r="AC208" s="184" t="n"/>
      <c r="AD208" s="184" t="n"/>
      <c r="AE208" s="184" t="n"/>
      <c r="AF208" s="184" t="n"/>
      <c r="AG208" s="184" t="n"/>
      <c r="AH208" s="184" t="n"/>
      <c r="AI208" s="184" t="n"/>
      <c r="AK208" s="390">
        <f>_xlfn.TEXTJOIN("-",TRUE,AC208,AD208,AE208)</f>
        <v/>
      </c>
      <c r="BB208" s="390">
        <f>_xlfn.TEXTJOIN("-",TRUE,AU208,AW208)</f>
        <v/>
      </c>
    </row>
    <row r="209">
      <c r="B209" s="123" t="inlineStr">
        <is>
          <t>11R22.5</t>
        </is>
      </c>
      <c r="C209" s="177" t="inlineStr">
        <is>
          <t>16PR</t>
        </is>
      </c>
      <c r="D209" s="177" t="inlineStr">
        <is>
          <t>AD196</t>
        </is>
      </c>
      <c r="E209" s="125" t="inlineStr">
        <is>
          <t>ID11R22.5-16PR-HH J ID</t>
        </is>
      </c>
      <c r="F209" s="197">
        <f>G209-2.822+3.221</f>
        <v/>
      </c>
      <c r="G209" s="129" t="n">
        <v>54.54</v>
      </c>
      <c r="H209" s="131" t="n">
        <v>54.27</v>
      </c>
      <c r="I209" s="198">
        <f>G209-H209</f>
        <v/>
      </c>
      <c r="J209" s="115">
        <f>_xlfn.TEXTJOIN("-",TRUE,B209,C209,D209)</f>
        <v/>
      </c>
      <c r="K209" s="184" t="n"/>
      <c r="L209" s="184" t="n"/>
      <c r="M209" s="184" t="n"/>
      <c r="N209" s="184" t="n"/>
      <c r="O209" s="184" t="n"/>
      <c r="P209" s="184" t="n"/>
      <c r="Q209" s="184" t="n"/>
      <c r="R209" s="184" t="n"/>
      <c r="S209" s="390">
        <f>_xlfn.TEXTJOIN("-",TRUE,K209,L209,M209)</f>
        <v/>
      </c>
      <c r="T209" s="184" t="n"/>
      <c r="U209" s="184" t="n"/>
      <c r="V209" s="184" t="n"/>
      <c r="W209" s="184" t="n"/>
      <c r="X209" s="184" t="n"/>
      <c r="Y209" s="184" t="n"/>
      <c r="Z209" s="184" t="n"/>
      <c r="AA209" s="184" t="n"/>
      <c r="AB209" s="390">
        <f>_xlfn.TEXTJOIN("-",TRUE,T209,U209,V209)</f>
        <v/>
      </c>
      <c r="AC209" s="184" t="n"/>
      <c r="AD209" s="184" t="n"/>
      <c r="AE209" s="184" t="n"/>
      <c r="AF209" s="184" t="n"/>
      <c r="AG209" s="184" t="n"/>
      <c r="AH209" s="184" t="n"/>
      <c r="AI209" s="184" t="n"/>
      <c r="AK209" s="390">
        <f>_xlfn.TEXTJOIN("-",TRUE,AC209,AD209,AE209)</f>
        <v/>
      </c>
      <c r="BB209" s="390">
        <f>_xlfn.TEXTJOIN("-",TRUE,AU209,AW209)</f>
        <v/>
      </c>
    </row>
    <row r="210" ht="13.8" customHeight="1" s="428">
      <c r="B210" s="123" t="inlineStr">
        <is>
          <t>11R22.5</t>
        </is>
      </c>
      <c r="C210" s="177" t="inlineStr">
        <is>
          <t>16PR</t>
        </is>
      </c>
      <c r="D210" s="177" t="inlineStr">
        <is>
          <t>KOBE DPM</t>
        </is>
      </c>
      <c r="E210" s="125" t="inlineStr">
        <is>
          <t>ID11R22.5-16PR-HH J ID</t>
        </is>
      </c>
      <c r="F210" s="197">
        <f>G210-2.822+3.221</f>
        <v/>
      </c>
      <c r="G210" s="129" t="n">
        <v>54.54</v>
      </c>
      <c r="H210" s="131" t="n">
        <v>54.27</v>
      </c>
      <c r="I210" s="198">
        <f>G210-H210</f>
        <v/>
      </c>
      <c r="J210" s="115">
        <f>_xlfn.TEXTJOIN("-",TRUE,B210,C210,D210)</f>
        <v/>
      </c>
      <c r="K210" s="184" t="n"/>
      <c r="L210" s="184" t="n"/>
      <c r="M210" s="184" t="n"/>
      <c r="N210" s="184" t="n"/>
      <c r="O210" s="184" t="n"/>
      <c r="P210" s="184" t="n"/>
      <c r="Q210" s="184" t="n"/>
      <c r="R210" s="184" t="n"/>
      <c r="S210" s="390">
        <f>_xlfn.TEXTJOIN("-",TRUE,K210,L210,M210)</f>
        <v/>
      </c>
      <c r="T210" s="184" t="n"/>
      <c r="U210" s="184" t="n"/>
      <c r="V210" s="184" t="n"/>
      <c r="W210" s="184" t="n"/>
      <c r="X210" s="184" t="n"/>
      <c r="Y210" s="184" t="n"/>
      <c r="Z210" s="184" t="n"/>
      <c r="AA210" s="184" t="n"/>
      <c r="AB210" s="390">
        <f>_xlfn.TEXTJOIN("-",TRUE,T210,U210,V210)</f>
        <v/>
      </c>
      <c r="AC210" s="184" t="n"/>
      <c r="AD210" s="184" t="n"/>
      <c r="AE210" s="184" t="n"/>
      <c r="AF210" s="184" t="n"/>
      <c r="AG210" s="184" t="n"/>
      <c r="AH210" s="184" t="n"/>
      <c r="AI210" s="184" t="n"/>
      <c r="AK210" s="390">
        <f>_xlfn.TEXTJOIN("-",TRUE,AC210,AD210,AE210)</f>
        <v/>
      </c>
      <c r="BB210" s="390">
        <f>_xlfn.TEXTJOIN("-",TRUE,AU210,AW210)</f>
        <v/>
      </c>
    </row>
    <row r="211">
      <c r="B211" s="123" t="inlineStr">
        <is>
          <t>11R22.5</t>
        </is>
      </c>
      <c r="C211" s="177" t="inlineStr">
        <is>
          <t>16PR</t>
        </is>
      </c>
      <c r="D211" s="177" t="inlineStr">
        <is>
          <t>AS678</t>
        </is>
      </c>
      <c r="E211" s="125" t="inlineStr">
        <is>
          <t>ID11R22.5-16PR-AS678 C ID</t>
        </is>
      </c>
      <c r="F211" s="197">
        <f>G211-2.777+3.17</f>
        <v/>
      </c>
      <c r="G211" s="129" t="n">
        <v>51.33</v>
      </c>
      <c r="H211" s="131" t="n">
        <v>51.1566</v>
      </c>
      <c r="I211" s="198">
        <f>G211-H211</f>
        <v/>
      </c>
      <c r="J211" s="115">
        <f>_xlfn.TEXTJOIN("-",TRUE,B211,C211,D211)</f>
        <v/>
      </c>
      <c r="K211" s="184" t="n"/>
      <c r="L211" s="184" t="n"/>
      <c r="M211" s="184" t="n"/>
      <c r="N211" s="184" t="n"/>
      <c r="O211" s="184" t="n"/>
      <c r="P211" s="184" t="n"/>
      <c r="Q211" s="184" t="n"/>
      <c r="R211" s="184" t="n"/>
      <c r="S211" s="390">
        <f>_xlfn.TEXTJOIN("-",TRUE,K211,L211,M211)</f>
        <v/>
      </c>
      <c r="T211" s="184" t="n"/>
      <c r="U211" s="184" t="n"/>
      <c r="V211" s="184" t="n"/>
      <c r="W211" s="184" t="n"/>
      <c r="X211" s="184" t="n"/>
      <c r="Y211" s="184" t="n"/>
      <c r="Z211" s="184" t="n"/>
      <c r="AA211" s="184" t="n"/>
      <c r="AB211" s="390">
        <f>_xlfn.TEXTJOIN("-",TRUE,T211,U211,V211)</f>
        <v/>
      </c>
      <c r="AC211" s="184" t="n"/>
      <c r="AD211" s="184" t="n"/>
      <c r="AE211" s="184" t="n"/>
      <c r="AF211" s="184" t="n"/>
      <c r="AG211" s="184" t="n"/>
      <c r="AH211" s="184" t="n"/>
      <c r="AI211" s="184" t="n"/>
      <c r="AK211" s="390">
        <f>_xlfn.TEXTJOIN("-",TRUE,AC211,AD211,AE211)</f>
        <v/>
      </c>
      <c r="BB211" s="390">
        <f>_xlfn.TEXTJOIN("-",TRUE,AU211,AW211)</f>
        <v/>
      </c>
    </row>
    <row r="212">
      <c r="B212" s="123" t="inlineStr">
        <is>
          <t>11R22.5</t>
        </is>
      </c>
      <c r="C212" s="177" t="inlineStr">
        <is>
          <t>16PR</t>
        </is>
      </c>
      <c r="D212" s="177" t="inlineStr">
        <is>
          <t>AD184</t>
        </is>
      </c>
      <c r="E212" s="125" t="inlineStr">
        <is>
          <t>ID11R22.5-16PR-ADP J ID</t>
        </is>
      </c>
      <c r="F212" s="197">
        <f>G212-2.814+3.216</f>
        <v/>
      </c>
      <c r="G212" s="129" t="n">
        <v>54.083</v>
      </c>
      <c r="H212" s="131" t="n">
        <v>54.04</v>
      </c>
      <c r="I212" s="198">
        <f>G212-H212</f>
        <v/>
      </c>
      <c r="J212" s="115">
        <f>_xlfn.TEXTJOIN("-",TRUE,B212,C212,D212)</f>
        <v/>
      </c>
      <c r="K212" s="184" t="n"/>
      <c r="L212" s="184" t="n"/>
      <c r="M212" s="184" t="n"/>
      <c r="N212" s="184" t="n"/>
      <c r="O212" s="184" t="n"/>
      <c r="P212" s="184" t="n"/>
      <c r="Q212" s="184" t="n"/>
      <c r="R212" s="184" t="n"/>
      <c r="S212" s="390">
        <f>_xlfn.TEXTJOIN("-",TRUE,K212,L212,M212)</f>
        <v/>
      </c>
      <c r="T212" s="184" t="n"/>
      <c r="U212" s="184" t="n"/>
      <c r="V212" s="184" t="n"/>
      <c r="W212" s="184" t="n"/>
      <c r="X212" s="184" t="n"/>
      <c r="Y212" s="184" t="n"/>
      <c r="Z212" s="184" t="n"/>
      <c r="AA212" s="184" t="n"/>
      <c r="AB212" s="390">
        <f>_xlfn.TEXTJOIN("-",TRUE,T212,U212,V212)</f>
        <v/>
      </c>
      <c r="AC212" s="184" t="n"/>
      <c r="AD212" s="184" t="n"/>
      <c r="AE212" s="184" t="n"/>
      <c r="AF212" s="184" t="n"/>
      <c r="AG212" s="184" t="n"/>
      <c r="AH212" s="184" t="n"/>
      <c r="AI212" s="184" t="n"/>
      <c r="AK212" s="390">
        <f>_xlfn.TEXTJOIN("-",TRUE,AC212,AD212,AE212)</f>
        <v/>
      </c>
      <c r="BB212" s="390">
        <f>_xlfn.TEXTJOIN("-",TRUE,AU212,AW212)</f>
        <v/>
      </c>
    </row>
    <row r="213" ht="13.8" customHeight="1" s="428">
      <c r="B213" s="123" t="inlineStr">
        <is>
          <t>11R22.5</t>
        </is>
      </c>
      <c r="C213" s="177" t="inlineStr">
        <is>
          <t>16PR</t>
        </is>
      </c>
      <c r="D213" s="126" t="inlineStr">
        <is>
          <t>HD2 PlusX</t>
        </is>
      </c>
      <c r="E213" s="177" t="inlineStr">
        <is>
          <t>ID11R22.5-16PR-ADP J ID</t>
        </is>
      </c>
      <c r="F213" s="197">
        <f>G213-2.814+3.216</f>
        <v/>
      </c>
      <c r="G213" s="129" t="n">
        <v>54.083</v>
      </c>
      <c r="H213" s="131" t="n">
        <v>54.04</v>
      </c>
      <c r="I213" s="198">
        <f>G213-H213</f>
        <v/>
      </c>
      <c r="J213" s="115">
        <f>_xlfn.TEXTJOIN("-",TRUE,B213,C213,D213)</f>
        <v/>
      </c>
      <c r="K213" s="184" t="n"/>
      <c r="L213" s="184" t="n"/>
      <c r="M213" s="184" t="n"/>
      <c r="N213" s="184" t="n"/>
      <c r="O213" s="184" t="n"/>
      <c r="P213" s="184" t="n"/>
      <c r="Q213" s="184" t="n"/>
      <c r="R213" s="184" t="n"/>
      <c r="S213" s="390">
        <f>_xlfn.TEXTJOIN("-",TRUE,K213,L213,M213)</f>
        <v/>
      </c>
      <c r="T213" s="184" t="n"/>
      <c r="U213" s="184" t="n"/>
      <c r="V213" s="184" t="n"/>
      <c r="W213" s="184" t="n"/>
      <c r="X213" s="184" t="n"/>
      <c r="Y213" s="184" t="n"/>
      <c r="Z213" s="184" t="n"/>
      <c r="AA213" s="184" t="n"/>
      <c r="AB213" s="390">
        <f>_xlfn.TEXTJOIN("-",TRUE,T213,U213,V213)</f>
        <v/>
      </c>
      <c r="AC213" s="184" t="n"/>
      <c r="AD213" s="184" t="n"/>
      <c r="AE213" s="184" t="n"/>
      <c r="AF213" s="184" t="n"/>
      <c r="AG213" s="184" t="n"/>
      <c r="AH213" s="184" t="n"/>
      <c r="AI213" s="184" t="n"/>
      <c r="AK213" s="390">
        <f>_xlfn.TEXTJOIN("-",TRUE,AC213,AD213,AE213)</f>
        <v/>
      </c>
      <c r="BB213" s="390">
        <f>_xlfn.TEXTJOIN("-",TRUE,AU213,AW213)</f>
        <v/>
      </c>
    </row>
    <row r="214">
      <c r="B214" s="123" t="inlineStr">
        <is>
          <t>11R22.5</t>
        </is>
      </c>
      <c r="C214" s="177" t="inlineStr">
        <is>
          <t>16PR</t>
        </is>
      </c>
      <c r="D214" s="177" t="inlineStr">
        <is>
          <t>AD757</t>
        </is>
      </c>
      <c r="E214" s="171" t="inlineStr">
        <is>
          <t>ID11R22.5-16PR-N C ID</t>
        </is>
      </c>
      <c r="F214" s="197">
        <f>G214-2.781+3.166</f>
        <v/>
      </c>
      <c r="G214" s="129" t="n">
        <v>53.437</v>
      </c>
      <c r="H214" s="131" t="n">
        <v>53.27</v>
      </c>
      <c r="I214" s="198">
        <f>G214-H214</f>
        <v/>
      </c>
      <c r="J214" s="115">
        <f>_xlfn.TEXTJOIN("-",TRUE,B214,C214,D214)</f>
        <v/>
      </c>
      <c r="K214" s="184" t="n"/>
      <c r="L214" s="184" t="n"/>
      <c r="M214" s="184" t="n"/>
      <c r="N214" s="184" t="n"/>
      <c r="O214" s="184" t="n"/>
      <c r="P214" s="184" t="n"/>
      <c r="Q214" s="184" t="n"/>
      <c r="R214" s="184" t="n"/>
      <c r="S214" s="390">
        <f>_xlfn.TEXTJOIN("-",TRUE,K214,L214,M214)</f>
        <v/>
      </c>
      <c r="T214" s="184" t="n"/>
      <c r="U214" s="184" t="n"/>
      <c r="V214" s="184" t="n"/>
      <c r="W214" s="184" t="n"/>
      <c r="X214" s="184" t="n"/>
      <c r="Y214" s="184" t="n"/>
      <c r="Z214" s="184" t="n"/>
      <c r="AA214" s="184" t="n"/>
      <c r="AB214" s="390">
        <f>_xlfn.TEXTJOIN("-",TRUE,T214,U214,V214)</f>
        <v/>
      </c>
      <c r="AC214" s="184" t="n"/>
      <c r="AD214" s="184" t="n"/>
      <c r="AE214" s="184" t="n"/>
      <c r="AF214" s="184" t="n"/>
      <c r="AG214" s="184" t="n"/>
      <c r="AH214" s="184" t="n"/>
      <c r="AI214" s="184" t="n"/>
      <c r="AK214" s="390">
        <f>_xlfn.TEXTJOIN("-",TRUE,AC214,AD214,AE214)</f>
        <v/>
      </c>
      <c r="BB214" s="390">
        <f>_xlfn.TEXTJOIN("-",TRUE,AU214,AW214)</f>
        <v/>
      </c>
    </row>
    <row r="215">
      <c r="B215" s="123" t="inlineStr">
        <is>
          <t>11R22.5</t>
        </is>
      </c>
      <c r="C215" s="177" t="inlineStr">
        <is>
          <t>16PR</t>
        </is>
      </c>
      <c r="D215" s="177" t="inlineStr">
        <is>
          <t>AS673</t>
        </is>
      </c>
      <c r="E215" s="125" t="inlineStr">
        <is>
          <t>ID11R22.5-16PR-AS673 US ID</t>
        </is>
      </c>
      <c r="F215" s="197">
        <f>G215-2.781+3.166</f>
        <v/>
      </c>
      <c r="G215" s="129" t="n">
        <v>55.001</v>
      </c>
      <c r="H215" s="131" t="n">
        <v>54.97</v>
      </c>
      <c r="I215" s="198">
        <f>G215-H215</f>
        <v/>
      </c>
      <c r="J215" s="115">
        <f>_xlfn.TEXTJOIN("-",TRUE,B215,C215,D215)</f>
        <v/>
      </c>
      <c r="K215" s="184" t="n"/>
      <c r="L215" s="184" t="n"/>
      <c r="M215" s="184" t="n"/>
      <c r="N215" s="184" t="n"/>
      <c r="O215" s="184" t="n"/>
      <c r="P215" s="184" t="n"/>
      <c r="Q215" s="184" t="n"/>
      <c r="R215" s="184" t="n"/>
      <c r="S215" s="390">
        <f>_xlfn.TEXTJOIN("-",TRUE,K215,L215,M215)</f>
        <v/>
      </c>
      <c r="T215" s="184" t="n"/>
      <c r="U215" s="184" t="n"/>
      <c r="V215" s="184" t="n"/>
      <c r="W215" s="184" t="n"/>
      <c r="X215" s="184" t="n"/>
      <c r="Y215" s="184" t="n"/>
      <c r="Z215" s="184" t="n"/>
      <c r="AA215" s="184" t="n"/>
      <c r="AB215" s="390">
        <f>_xlfn.TEXTJOIN("-",TRUE,T215,U215,V215)</f>
        <v/>
      </c>
      <c r="AC215" s="184" t="n"/>
      <c r="AD215" s="184" t="n"/>
      <c r="AE215" s="184" t="n"/>
      <c r="AF215" s="184" t="n"/>
      <c r="AG215" s="184" t="n"/>
      <c r="AH215" s="184" t="n"/>
      <c r="AI215" s="184" t="n"/>
      <c r="AK215" s="390">
        <f>_xlfn.TEXTJOIN("-",TRUE,AC215,AD215,AE215)</f>
        <v/>
      </c>
      <c r="BB215" s="390">
        <f>_xlfn.TEXTJOIN("-",TRUE,AU215,AW215)</f>
        <v/>
      </c>
    </row>
    <row r="216" ht="13.8" customHeight="1" s="428">
      <c r="B216" s="123" t="inlineStr">
        <is>
          <t>11R22.5</t>
        </is>
      </c>
      <c r="C216" s="177" t="inlineStr">
        <is>
          <t>16PR</t>
        </is>
      </c>
      <c r="D216" s="177" t="inlineStr">
        <is>
          <t>AD737</t>
        </is>
      </c>
      <c r="E216" s="125" t="inlineStr">
        <is>
          <t>ID11R22.5-16PR-AD737 AR US ID</t>
        </is>
      </c>
      <c r="F216" s="197">
        <f>G216-2.781+3.166</f>
        <v/>
      </c>
      <c r="G216" s="129" t="n">
        <v>56.568</v>
      </c>
      <c r="H216" s="131" t="n">
        <v>56.54</v>
      </c>
      <c r="I216" s="198">
        <f>G216-H216</f>
        <v/>
      </c>
      <c r="J216" s="115">
        <f>_xlfn.TEXTJOIN("-",TRUE,B216,C216,D216)</f>
        <v/>
      </c>
      <c r="K216" s="184" t="n"/>
      <c r="L216" s="184" t="n"/>
      <c r="M216" s="184" t="n"/>
      <c r="N216" s="184" t="n"/>
      <c r="O216" s="184" t="n"/>
      <c r="P216" s="184" t="n"/>
      <c r="Q216" s="184" t="n"/>
      <c r="R216" s="184" t="n"/>
      <c r="S216" s="390">
        <f>_xlfn.TEXTJOIN("-",TRUE,K216,L216,M216)</f>
        <v/>
      </c>
      <c r="T216" s="184" t="n"/>
      <c r="U216" s="184" t="n"/>
      <c r="V216" s="184" t="n"/>
      <c r="W216" s="184" t="n"/>
      <c r="X216" s="184" t="n"/>
      <c r="Y216" s="184" t="n"/>
      <c r="Z216" s="184" t="n"/>
      <c r="AA216" s="184" t="n"/>
      <c r="AB216" s="390">
        <f>_xlfn.TEXTJOIN("-",TRUE,T216,U216,V216)</f>
        <v/>
      </c>
      <c r="AC216" s="184" t="n"/>
      <c r="AD216" s="184" t="n"/>
      <c r="AE216" s="184" t="n"/>
      <c r="AF216" s="184" t="n"/>
      <c r="AG216" s="184" t="n"/>
      <c r="AH216" s="184" t="n"/>
      <c r="AI216" s="184" t="n"/>
      <c r="AK216" s="390">
        <f>_xlfn.TEXTJOIN("-",TRUE,AC216,AD216,AE216)</f>
        <v/>
      </c>
      <c r="BB216" s="390">
        <f>_xlfn.TEXTJOIN("-",TRUE,AU216,AW216)</f>
        <v/>
      </c>
    </row>
    <row r="217">
      <c r="B217" s="123" t="inlineStr">
        <is>
          <t>11R22.5</t>
        </is>
      </c>
      <c r="C217" s="177" t="inlineStr">
        <is>
          <t>16PR</t>
        </is>
      </c>
      <c r="D217" s="177" t="inlineStr">
        <is>
          <t>AD778</t>
        </is>
      </c>
      <c r="E217" s="125" t="inlineStr">
        <is>
          <t>ID11R22.5-16PR-AD778 AR US ID</t>
        </is>
      </c>
      <c r="F217" s="197">
        <f>G217-2.781+3.166</f>
        <v/>
      </c>
      <c r="G217" s="129" t="n">
        <v>58.635</v>
      </c>
      <c r="H217" s="131" t="n">
        <v>58.61</v>
      </c>
      <c r="I217" s="198">
        <f>G217-H217</f>
        <v/>
      </c>
      <c r="J217" s="115">
        <f>_xlfn.TEXTJOIN("-",TRUE,B217,C217,D217)</f>
        <v/>
      </c>
      <c r="K217" s="184" t="n"/>
      <c r="L217" s="184" t="n"/>
      <c r="M217" s="184" t="n"/>
      <c r="N217" s="184" t="n"/>
      <c r="O217" s="184" t="n"/>
      <c r="P217" s="184" t="n"/>
      <c r="Q217" s="184" t="n"/>
      <c r="R217" s="184" t="n"/>
      <c r="S217" s="390">
        <f>_xlfn.TEXTJOIN("-",TRUE,K217,L217,M217)</f>
        <v/>
      </c>
      <c r="T217" s="184" t="n"/>
      <c r="U217" s="184" t="n"/>
      <c r="V217" s="184" t="n"/>
      <c r="W217" s="184" t="n"/>
      <c r="X217" s="184" t="n"/>
      <c r="Y217" s="184" t="n"/>
      <c r="Z217" s="184" t="n"/>
      <c r="AA217" s="184" t="n"/>
      <c r="AB217" s="390">
        <f>_xlfn.TEXTJOIN("-",TRUE,T217,U217,V217)</f>
        <v/>
      </c>
      <c r="AC217" s="184" t="n"/>
      <c r="AD217" s="184" t="n"/>
      <c r="AE217" s="184" t="n"/>
      <c r="AF217" s="184" t="n"/>
      <c r="AG217" s="184" t="n"/>
      <c r="AH217" s="184" t="n"/>
      <c r="AI217" s="184" t="n"/>
      <c r="AK217" s="390">
        <f>_xlfn.TEXTJOIN("-",TRUE,AC217,AD217,AE217)</f>
        <v/>
      </c>
      <c r="BB217" s="390">
        <f>_xlfn.TEXTJOIN("-",TRUE,AU217,AW217)</f>
        <v/>
      </c>
    </row>
    <row r="218">
      <c r="B218" s="123" t="inlineStr">
        <is>
          <t>11R22.5</t>
        </is>
      </c>
      <c r="C218" s="177" t="inlineStr">
        <is>
          <t>16PR</t>
        </is>
      </c>
      <c r="D218" s="177" t="inlineStr">
        <is>
          <t>AD759</t>
        </is>
      </c>
      <c r="E218" s="125" t="inlineStr">
        <is>
          <t>ID11R22.5-16PR-DD US ID</t>
        </is>
      </c>
      <c r="F218" s="197">
        <f>G218-2.781+3.166</f>
        <v/>
      </c>
      <c r="G218" s="129" t="n">
        <v>58.387</v>
      </c>
      <c r="H218" s="131" t="n">
        <v>58.32</v>
      </c>
      <c r="I218" s="198">
        <f>G218-H218</f>
        <v/>
      </c>
      <c r="J218" s="115">
        <f>_xlfn.TEXTJOIN("-",TRUE,B218,C218,D218)</f>
        <v/>
      </c>
      <c r="K218" s="184" t="n"/>
      <c r="L218" s="184" t="n"/>
      <c r="M218" s="184" t="n"/>
      <c r="N218" s="184" t="n"/>
      <c r="O218" s="184" t="n"/>
      <c r="P218" s="184" t="n"/>
      <c r="Q218" s="184" t="n"/>
      <c r="R218" s="184" t="n"/>
      <c r="S218" s="390">
        <f>_xlfn.TEXTJOIN("-",TRUE,K218,L218,M218)</f>
        <v/>
      </c>
      <c r="T218" s="184" t="n"/>
      <c r="U218" s="184" t="n"/>
      <c r="V218" s="184" t="n"/>
      <c r="W218" s="184" t="n"/>
      <c r="X218" s="184" t="n"/>
      <c r="Y218" s="184" t="n"/>
      <c r="Z218" s="184" t="n"/>
      <c r="AA218" s="184" t="n"/>
      <c r="AB218" s="390">
        <f>_xlfn.TEXTJOIN("-",TRUE,T218,U218,V218)</f>
        <v/>
      </c>
      <c r="AK218" s="390">
        <f>_xlfn.TEXTJOIN("-",TRUE,AC218,AD218,AE218)</f>
        <v/>
      </c>
      <c r="BB218" s="390">
        <f>_xlfn.TEXTJOIN("-",TRUE,AU218,AW218)</f>
        <v/>
      </c>
    </row>
    <row r="219">
      <c r="B219" s="123" t="inlineStr">
        <is>
          <t>11R22.5</t>
        </is>
      </c>
      <c r="C219" s="177" t="inlineStr">
        <is>
          <t>16PR</t>
        </is>
      </c>
      <c r="D219" s="177" t="inlineStr">
        <is>
          <t>CM996+</t>
        </is>
      </c>
      <c r="E219" s="125" t="inlineStr">
        <is>
          <t>ID11R22.5-16PR-DD US ID</t>
        </is>
      </c>
      <c r="F219" s="197">
        <f>G219-2.781+3.166</f>
        <v/>
      </c>
      <c r="G219" s="129" t="n">
        <v>58.387</v>
      </c>
      <c r="H219" s="131" t="n">
        <v>58.32</v>
      </c>
      <c r="I219" s="198">
        <f>G219-H219</f>
        <v/>
      </c>
      <c r="J219" s="115">
        <f>_xlfn.TEXTJOIN("-",TRUE,B219,C219,D219)</f>
        <v/>
      </c>
      <c r="K219" s="184" t="n"/>
      <c r="L219" s="184" t="n"/>
      <c r="M219" s="184" t="n"/>
      <c r="N219" s="184" t="n"/>
      <c r="O219" s="184" t="n"/>
      <c r="P219" s="184" t="n"/>
      <c r="Q219" s="184" t="n"/>
      <c r="R219" s="184" t="n"/>
      <c r="S219" s="390">
        <f>_xlfn.TEXTJOIN("-",TRUE,K219,L219,M219)</f>
        <v/>
      </c>
      <c r="T219" s="184" t="n"/>
      <c r="U219" s="184" t="n"/>
      <c r="V219" s="184" t="n"/>
      <c r="W219" s="184" t="n"/>
      <c r="X219" s="184" t="n"/>
      <c r="Y219" s="184" t="n"/>
      <c r="Z219" s="184" t="n"/>
      <c r="AA219" s="184" t="n"/>
      <c r="AB219" s="390">
        <f>_xlfn.TEXTJOIN("-",TRUE,T219,U219,V219)</f>
        <v/>
      </c>
      <c r="AK219" s="390">
        <f>_xlfn.TEXTJOIN("-",TRUE,AC219,AD219,AE219)</f>
        <v/>
      </c>
      <c r="BB219" s="390">
        <f>_xlfn.TEXTJOIN("-",TRUE,AU219,AW219)</f>
        <v/>
      </c>
    </row>
    <row r="220" ht="13.8" customHeight="1" s="428">
      <c r="B220" s="123" t="inlineStr">
        <is>
          <t>11R22.5</t>
        </is>
      </c>
      <c r="C220" s="177" t="inlineStr">
        <is>
          <t>16PR</t>
        </is>
      </c>
      <c r="D220" s="177" t="inlineStr">
        <is>
          <t>RLINE-D II</t>
        </is>
      </c>
      <c r="E220" s="125" t="inlineStr">
        <is>
          <t>ID11R22.5-16PR-DD US ID</t>
        </is>
      </c>
      <c r="F220" s="197">
        <f>G220-2.781+3.166</f>
        <v/>
      </c>
      <c r="G220" s="129" t="n">
        <v>58.387</v>
      </c>
      <c r="H220" s="131" t="n">
        <v>58.32</v>
      </c>
      <c r="I220" s="198">
        <f>G220-H220</f>
        <v/>
      </c>
      <c r="J220" s="115">
        <f>_xlfn.TEXTJOIN("-",TRUE,B220,C220,D220)</f>
        <v/>
      </c>
      <c r="K220" s="184" t="n"/>
      <c r="L220" s="184" t="n"/>
      <c r="M220" s="184" t="n"/>
      <c r="N220" s="184" t="n"/>
      <c r="O220" s="184" t="n"/>
      <c r="P220" s="184" t="n"/>
      <c r="Q220" s="184" t="n"/>
      <c r="R220" s="184" t="n"/>
      <c r="S220" s="390">
        <f>_xlfn.TEXTJOIN("-",TRUE,K220,L220,M220)</f>
        <v/>
      </c>
      <c r="T220" s="184" t="n"/>
      <c r="U220" s="184" t="n"/>
      <c r="V220" s="184" t="n"/>
      <c r="W220" s="184" t="n"/>
      <c r="X220" s="184" t="n"/>
      <c r="Y220" s="184" t="n"/>
      <c r="Z220" s="184" t="n"/>
      <c r="AA220" s="184" t="n"/>
      <c r="AB220" s="390">
        <f>_xlfn.TEXTJOIN("-",TRUE,T220,U220,V220)</f>
        <v/>
      </c>
      <c r="AK220" s="390">
        <f>_xlfn.TEXTJOIN("-",TRUE,AC220,AD220,AE220)</f>
        <v/>
      </c>
      <c r="BB220" s="390">
        <f>_xlfn.TEXTJOIN("-",TRUE,AU220,AW220)</f>
        <v/>
      </c>
    </row>
    <row r="221" ht="13.8" customHeight="1" s="428">
      <c r="B221" s="123" t="inlineStr">
        <is>
          <t>11R22.5</t>
        </is>
      </c>
      <c r="C221" s="177" t="inlineStr">
        <is>
          <t>16PR</t>
        </is>
      </c>
      <c r="D221" s="177" t="inlineStr">
        <is>
          <t>AS600+</t>
        </is>
      </c>
      <c r="E221" s="125" t="inlineStr">
        <is>
          <t>ID11R22.5-16PR-K US ID</t>
        </is>
      </c>
      <c r="F221" s="197">
        <f>G221-2.781+3.166</f>
        <v/>
      </c>
      <c r="G221" s="129" t="n">
        <v>54.398</v>
      </c>
      <c r="H221" s="131" t="n">
        <v>54.47</v>
      </c>
      <c r="I221" s="198">
        <f>G221-H221</f>
        <v/>
      </c>
      <c r="J221" s="115">
        <f>_xlfn.TEXTJOIN("-",TRUE,B221,C221,D221)</f>
        <v/>
      </c>
      <c r="K221" s="184" t="n"/>
      <c r="L221" s="184" t="n"/>
      <c r="M221" s="184" t="n"/>
      <c r="N221" s="184" t="n"/>
      <c r="O221" s="184" t="n"/>
      <c r="P221" s="184" t="n"/>
      <c r="Q221" s="184" t="n"/>
      <c r="R221" s="184" t="n"/>
      <c r="S221" s="390">
        <f>_xlfn.TEXTJOIN("-",TRUE,K221,L221,M221)</f>
        <v/>
      </c>
      <c r="T221" s="184" t="n"/>
      <c r="U221" s="184" t="n"/>
      <c r="V221" s="184" t="n"/>
      <c r="W221" s="184" t="n"/>
      <c r="X221" s="184" t="n"/>
      <c r="Y221" s="184" t="n"/>
      <c r="Z221" s="184" t="n"/>
      <c r="AA221" s="184" t="n"/>
      <c r="AB221" s="390">
        <f>_xlfn.TEXTJOIN("-",TRUE,T221,U221,V221)</f>
        <v/>
      </c>
      <c r="AK221" s="390">
        <f>_xlfn.TEXTJOIN("-",TRUE,AC221,AD221,AE221)</f>
        <v/>
      </c>
      <c r="BB221" s="390">
        <f>_xlfn.TEXTJOIN("-",TRUE,AU221,AW221)</f>
        <v/>
      </c>
    </row>
    <row r="222" ht="13.8" customHeight="1" s="428">
      <c r="B222" s="123" t="inlineStr">
        <is>
          <t>11R22.5</t>
        </is>
      </c>
      <c r="C222" s="177" t="inlineStr">
        <is>
          <t>16PR</t>
        </is>
      </c>
      <c r="D222" s="177" t="inlineStr">
        <is>
          <t>CR989+</t>
        </is>
      </c>
      <c r="E222" s="125" t="inlineStr">
        <is>
          <t>ID11R22.5-16PR-K US ID</t>
        </is>
      </c>
      <c r="F222" s="197">
        <f>G222-2.781+3.166</f>
        <v/>
      </c>
      <c r="G222" s="129" t="n">
        <v>54.398</v>
      </c>
      <c r="H222" s="131" t="n">
        <v>54.47</v>
      </c>
      <c r="I222" s="198">
        <f>G222-H222</f>
        <v/>
      </c>
      <c r="J222" s="115">
        <f>_xlfn.TEXTJOIN("-",TRUE,B222,C222,D222)</f>
        <v/>
      </c>
      <c r="K222" s="184" t="n"/>
      <c r="L222" s="184" t="n"/>
      <c r="M222" s="184" t="n"/>
      <c r="N222" s="184" t="n"/>
      <c r="O222" s="184" t="n"/>
      <c r="P222" s="184" t="n"/>
      <c r="Q222" s="184" t="n"/>
      <c r="R222" s="184" t="n"/>
      <c r="S222" s="390">
        <f>_xlfn.TEXTJOIN("-",TRUE,K222,L222,M222)</f>
        <v/>
      </c>
      <c r="T222" s="184" t="n"/>
      <c r="U222" s="184" t="n"/>
      <c r="V222" s="184" t="n"/>
      <c r="W222" s="184" t="n"/>
      <c r="X222" s="184" t="n"/>
      <c r="Y222" s="184" t="n"/>
      <c r="Z222" s="184" t="n"/>
      <c r="AA222" s="184" t="n"/>
      <c r="AB222" s="390">
        <f>_xlfn.TEXTJOIN("-",TRUE,T222,U222,V222)</f>
        <v/>
      </c>
      <c r="BB222" s="390">
        <f>_xlfn.TEXTJOIN("-",TRUE,AU222,AW222)</f>
        <v/>
      </c>
    </row>
    <row r="223">
      <c r="B223" s="123" t="inlineStr">
        <is>
          <t>11R22.5</t>
        </is>
      </c>
      <c r="C223" s="177" t="inlineStr">
        <is>
          <t>16PR</t>
        </is>
      </c>
      <c r="D223" s="177" t="inlineStr">
        <is>
          <t>RLINE-S1</t>
        </is>
      </c>
      <c r="E223" s="125" t="inlineStr">
        <is>
          <t>ID11R22.5-16PR-K US ID</t>
        </is>
      </c>
      <c r="F223" s="197">
        <f>G223-2.781+3.166</f>
        <v/>
      </c>
      <c r="G223" s="129" t="n">
        <v>54.398</v>
      </c>
      <c r="H223" s="131" t="n">
        <v>54.47</v>
      </c>
      <c r="I223" s="198">
        <f>G223-H223</f>
        <v/>
      </c>
      <c r="J223" s="115">
        <f>_xlfn.TEXTJOIN("-",TRUE,B223,C223,D223)</f>
        <v/>
      </c>
      <c r="K223" s="184" t="n"/>
      <c r="L223" s="184" t="n"/>
      <c r="M223" s="184" t="n"/>
      <c r="N223" s="184" t="n"/>
      <c r="O223" s="184" t="n"/>
      <c r="P223" s="184" t="n"/>
      <c r="Q223" s="184" t="n"/>
      <c r="R223" s="184" t="n"/>
      <c r="S223" s="390">
        <f>_xlfn.TEXTJOIN("-",TRUE,K223,L223,M223)</f>
        <v/>
      </c>
      <c r="T223" s="184" t="n"/>
      <c r="U223" s="184" t="n"/>
      <c r="V223" s="184" t="n"/>
      <c r="W223" s="184" t="n"/>
      <c r="X223" s="184" t="n"/>
      <c r="Y223" s="184" t="n"/>
      <c r="Z223" s="184" t="n"/>
      <c r="AA223" s="184" t="n"/>
      <c r="AB223" s="390">
        <f>_xlfn.TEXTJOIN("-",TRUE,T223,U223,V223)</f>
        <v/>
      </c>
      <c r="BB223" s="390">
        <f>_xlfn.TEXTJOIN("-",TRUE,AU223,AW223)</f>
        <v/>
      </c>
    </row>
    <row r="224">
      <c r="B224" s="123" t="inlineStr">
        <is>
          <t>11R22.5</t>
        </is>
      </c>
      <c r="C224" s="177" t="inlineStr">
        <is>
          <t>16PR</t>
        </is>
      </c>
      <c r="D224" s="177" t="inlineStr">
        <is>
          <t>STEALTH S01</t>
        </is>
      </c>
      <c r="E224" s="125" t="inlineStr">
        <is>
          <t>ID11R22.5-16PR-K US ID</t>
        </is>
      </c>
      <c r="F224" s="197">
        <f>G224-2.781+3.166</f>
        <v/>
      </c>
      <c r="G224" s="129" t="n">
        <v>54.398</v>
      </c>
      <c r="H224" s="131" t="n">
        <v>54.47</v>
      </c>
      <c r="I224" s="198">
        <f>G224-H224</f>
        <v/>
      </c>
      <c r="J224" s="115">
        <f>_xlfn.TEXTJOIN("-",TRUE,B224,C224,D224)</f>
        <v/>
      </c>
      <c r="K224" s="184" t="n"/>
      <c r="L224" s="184" t="n"/>
      <c r="M224" s="184" t="n"/>
      <c r="N224" s="184" t="n"/>
      <c r="O224" s="184" t="n"/>
      <c r="P224" s="184" t="n"/>
      <c r="Q224" s="184" t="n"/>
      <c r="R224" s="184" t="n"/>
      <c r="S224" s="390">
        <f>_xlfn.TEXTJOIN("-",TRUE,K224,L224,M224)</f>
        <v/>
      </c>
      <c r="T224" s="184" t="n"/>
      <c r="U224" s="184" t="n"/>
      <c r="V224" s="184" t="n"/>
      <c r="W224" s="184" t="n"/>
      <c r="X224" s="184" t="n"/>
      <c r="Y224" s="184" t="n"/>
      <c r="Z224" s="184" t="n"/>
      <c r="AA224" s="184" t="n"/>
      <c r="AB224" s="390">
        <f>_xlfn.TEXTJOIN("-",TRUE,T224,U224,V224)</f>
        <v/>
      </c>
      <c r="BB224" s="390">
        <f>_xlfn.TEXTJOIN("-",TRUE,AU224,AW224)</f>
        <v/>
      </c>
    </row>
    <row r="225" ht="13.8" customHeight="1" s="428">
      <c r="B225" s="123" t="inlineStr">
        <is>
          <t>11R22.5</t>
        </is>
      </c>
      <c r="C225" s="177" t="inlineStr">
        <is>
          <t>16PR</t>
        </is>
      </c>
      <c r="D225" s="177" t="inlineStr">
        <is>
          <t>CB972</t>
        </is>
      </c>
      <c r="E225" s="125" t="inlineStr">
        <is>
          <t>ID11R22.5-16PR-M US TH</t>
        </is>
      </c>
      <c r="F225" s="197">
        <f>G225-2.781+3.166</f>
        <v/>
      </c>
      <c r="G225" s="129" t="n">
        <v>63.304</v>
      </c>
      <c r="H225" s="131" t="n">
        <v>63.28</v>
      </c>
      <c r="I225" s="198">
        <f>G225-H225</f>
        <v/>
      </c>
      <c r="J225" s="115">
        <f>_xlfn.TEXTJOIN("-",TRUE,B225,C225,D225)</f>
        <v/>
      </c>
      <c r="K225" s="184" t="n"/>
      <c r="L225" s="184" t="n"/>
      <c r="M225" s="184" t="n"/>
      <c r="N225" s="184" t="n"/>
      <c r="O225" s="184" t="n"/>
      <c r="P225" s="184" t="n"/>
      <c r="Q225" s="184" t="n"/>
      <c r="R225" s="184" t="n"/>
      <c r="S225" s="390">
        <f>_xlfn.TEXTJOIN("-",TRUE,K225,L225,M225)</f>
        <v/>
      </c>
      <c r="T225" s="184" t="n"/>
      <c r="U225" s="184" t="n"/>
      <c r="V225" s="184" t="n"/>
      <c r="W225" s="184" t="n"/>
      <c r="X225" s="184" t="n"/>
      <c r="Y225" s="184" t="n"/>
      <c r="Z225" s="184" t="n"/>
      <c r="AA225" s="184" t="n"/>
      <c r="AB225" s="390">
        <f>_xlfn.TEXTJOIN("-",TRUE,T225,U225,V225)</f>
        <v/>
      </c>
      <c r="BB225" s="390">
        <f>_xlfn.TEXTJOIN("-",TRUE,AU225,AW225)</f>
        <v/>
      </c>
    </row>
    <row r="226" ht="13.8" customHeight="1" s="428">
      <c r="B226" s="123" t="inlineStr">
        <is>
          <t>11R22.5</t>
        </is>
      </c>
      <c r="C226" s="177" t="inlineStr">
        <is>
          <t>16PR</t>
        </is>
      </c>
      <c r="D226" s="177" t="inlineStr">
        <is>
          <t>RLINE-M3</t>
        </is>
      </c>
      <c r="E226" s="125" t="inlineStr">
        <is>
          <t>ID11R22.5-16PR-M US TH</t>
        </is>
      </c>
      <c r="F226" s="197">
        <f>G226-2.781+3.166</f>
        <v/>
      </c>
      <c r="G226" s="129" t="n">
        <v>63.304</v>
      </c>
      <c r="H226" s="131" t="n">
        <v>63.28</v>
      </c>
      <c r="I226" s="198">
        <f>G226-H226</f>
        <v/>
      </c>
      <c r="J226" s="115">
        <f>_xlfn.TEXTJOIN("-",TRUE,B226,C226,D226)</f>
        <v/>
      </c>
      <c r="K226" s="184" t="n"/>
      <c r="L226" s="184" t="n"/>
      <c r="M226" s="184" t="n"/>
      <c r="N226" s="184" t="n"/>
      <c r="O226" s="184" t="n"/>
      <c r="P226" s="184" t="n"/>
      <c r="Q226" s="184" t="n"/>
      <c r="R226" s="184" t="n"/>
      <c r="S226" s="390">
        <f>_xlfn.TEXTJOIN("-",TRUE,K226,L226,M226)</f>
        <v/>
      </c>
      <c r="T226" s="184" t="n"/>
      <c r="U226" s="184" t="n"/>
      <c r="V226" s="184" t="n"/>
      <c r="W226" s="184" t="n"/>
      <c r="X226" s="184" t="n"/>
      <c r="Y226" s="184" t="n"/>
      <c r="Z226" s="184" t="n"/>
      <c r="AA226" s="184" t="n"/>
      <c r="AB226" s="390">
        <f>_xlfn.TEXTJOIN("-",TRUE,T226,U226,V226)</f>
        <v/>
      </c>
      <c r="BB226" s="390">
        <f>_xlfn.TEXTJOIN("-",TRUE,AU226,AW226)</f>
        <v/>
      </c>
    </row>
    <row r="227" ht="13.8" customHeight="1" s="428">
      <c r="B227" s="123" t="inlineStr">
        <is>
          <t>11R22.5</t>
        </is>
      </c>
      <c r="C227" s="177" t="inlineStr">
        <is>
          <t>16PR</t>
        </is>
      </c>
      <c r="D227" s="177" t="inlineStr">
        <is>
          <t>CM983</t>
        </is>
      </c>
      <c r="E227" s="125" t="inlineStr">
        <is>
          <t>ID11R22.5-16PR-CM983 US TH</t>
        </is>
      </c>
      <c r="F227" s="197">
        <f>G227-2.781+3.166</f>
        <v/>
      </c>
      <c r="G227" s="129" t="n">
        <v>54.928</v>
      </c>
      <c r="H227" s="131" t="n">
        <v>54.87</v>
      </c>
      <c r="I227" s="198">
        <f>G227-H227</f>
        <v/>
      </c>
      <c r="J227" s="115">
        <f>_xlfn.TEXTJOIN("-",TRUE,B227,C227,D227)</f>
        <v/>
      </c>
      <c r="K227" s="184" t="n"/>
      <c r="L227" s="184" t="n"/>
      <c r="M227" s="184" t="n"/>
      <c r="N227" s="184" t="n"/>
      <c r="O227" s="184" t="n"/>
      <c r="P227" s="184" t="n"/>
      <c r="Q227" s="184" t="n"/>
      <c r="R227" s="184" t="n"/>
      <c r="S227" s="390">
        <f>_xlfn.TEXTJOIN("-",TRUE,K227,L227,M227)</f>
        <v/>
      </c>
      <c r="T227" s="184" t="n"/>
      <c r="U227" s="184" t="n"/>
      <c r="V227" s="184" t="n"/>
      <c r="W227" s="184" t="n"/>
      <c r="X227" s="184" t="n"/>
      <c r="Y227" s="184" t="n"/>
      <c r="Z227" s="184" t="n"/>
      <c r="AA227" s="184" t="n"/>
      <c r="AB227" s="390">
        <f>_xlfn.TEXTJOIN("-",TRUE,T227,U227,V227)</f>
        <v/>
      </c>
      <c r="BB227" s="390">
        <f>_xlfn.TEXTJOIN("-",TRUE,AU227,AW227)</f>
        <v/>
      </c>
    </row>
    <row r="228">
      <c r="B228" s="123" t="inlineStr">
        <is>
          <t>11R22.5</t>
        </is>
      </c>
      <c r="C228" s="177" t="inlineStr">
        <is>
          <t>16PR</t>
        </is>
      </c>
      <c r="D228" s="177" t="inlineStr">
        <is>
          <t>I-52A</t>
        </is>
      </c>
      <c r="E228" s="125" t="inlineStr">
        <is>
          <t>ID11R22.5-16PR-I-52A US ID</t>
        </is>
      </c>
      <c r="F228" s="197">
        <f>G228-2.781+3.166</f>
        <v/>
      </c>
      <c r="G228" s="129" t="n">
        <v>56.433</v>
      </c>
      <c r="H228" s="131" t="n">
        <v>56.5118</v>
      </c>
      <c r="I228" s="198">
        <f>G228-H228</f>
        <v/>
      </c>
      <c r="J228" s="115">
        <f>_xlfn.TEXTJOIN("-",TRUE,B228,C228,D228)</f>
        <v/>
      </c>
      <c r="K228" s="184" t="n"/>
      <c r="L228" s="184" t="n"/>
      <c r="M228" s="184" t="n"/>
      <c r="N228" s="184" t="n"/>
      <c r="O228" s="184" t="n"/>
      <c r="P228" s="184" t="n"/>
      <c r="Q228" s="184" t="n"/>
      <c r="R228" s="184" t="n"/>
      <c r="S228" s="390">
        <f>_xlfn.TEXTJOIN("-",TRUE,K228,L228,M228)</f>
        <v/>
      </c>
      <c r="T228" s="184" t="n"/>
      <c r="U228" s="184" t="n"/>
      <c r="V228" s="184" t="n"/>
      <c r="W228" s="184" t="n"/>
      <c r="X228" s="184" t="n"/>
      <c r="Y228" s="184" t="n"/>
      <c r="Z228" s="184" t="n"/>
      <c r="AA228" s="184" t="n"/>
      <c r="AB228" s="390">
        <f>_xlfn.TEXTJOIN("-",TRUE,T228,U228,V228)</f>
        <v/>
      </c>
      <c r="BB228" s="390">
        <f>_xlfn.TEXTJOIN("-",TRUE,AU228,AW228)</f>
        <v/>
      </c>
    </row>
    <row r="229">
      <c r="B229" s="123" t="inlineStr">
        <is>
          <t>11R22.5</t>
        </is>
      </c>
      <c r="C229" s="177" t="inlineStr">
        <is>
          <t>16PR</t>
        </is>
      </c>
      <c r="D229" s="177" t="inlineStr">
        <is>
          <t>I-31M</t>
        </is>
      </c>
      <c r="E229" s="125" t="inlineStr">
        <is>
          <t>ID11R22.5-16PR-I-31M US ID</t>
        </is>
      </c>
      <c r="F229" s="197">
        <f>G229-2.781+3.166</f>
        <v/>
      </c>
      <c r="G229" s="129" t="n">
        <v>56.761</v>
      </c>
      <c r="H229" s="131" t="n">
        <v>56.7278</v>
      </c>
      <c r="I229" s="198">
        <f>G229-H229</f>
        <v/>
      </c>
      <c r="J229" s="115">
        <f>_xlfn.TEXTJOIN("-",TRUE,B229,C229,D229)</f>
        <v/>
      </c>
      <c r="K229" s="184" t="n"/>
      <c r="L229" s="184" t="n"/>
      <c r="M229" s="184" t="n"/>
      <c r="N229" s="184" t="n"/>
      <c r="O229" s="184" t="n"/>
      <c r="P229" s="184" t="n"/>
      <c r="Q229" s="184" t="n"/>
      <c r="R229" s="184" t="n"/>
      <c r="S229" s="390">
        <f>_xlfn.TEXTJOIN("-",TRUE,K229,L229,M229)</f>
        <v/>
      </c>
      <c r="T229" s="184" t="n"/>
      <c r="U229" s="184" t="n"/>
      <c r="V229" s="184" t="n"/>
      <c r="W229" s="184" t="n"/>
      <c r="X229" s="184" t="n"/>
      <c r="Y229" s="184" t="n"/>
      <c r="Z229" s="184" t="n"/>
      <c r="AA229" s="184" t="n"/>
      <c r="AB229" s="390">
        <f>_xlfn.TEXTJOIN("-",TRUE,T229,U229,V229)</f>
        <v/>
      </c>
      <c r="BB229" s="390">
        <f>_xlfn.TEXTJOIN("-",TRUE,AU229,AW229)</f>
        <v/>
      </c>
    </row>
    <row r="230">
      <c r="B230" s="123" t="inlineStr">
        <is>
          <t>11R22.5</t>
        </is>
      </c>
      <c r="C230" s="177" t="inlineStr">
        <is>
          <t>16PR</t>
        </is>
      </c>
      <c r="D230" s="177" t="inlineStr">
        <is>
          <t>I-28D</t>
        </is>
      </c>
      <c r="E230" s="125" t="inlineStr">
        <is>
          <t>ID11R22.5-16PR-IDD US ID</t>
        </is>
      </c>
      <c r="F230" s="197">
        <f>G230-2.781+3.166</f>
        <v/>
      </c>
      <c r="G230" s="129" t="n">
        <v>58.509</v>
      </c>
      <c r="H230" s="131" t="n">
        <v>58.2489</v>
      </c>
      <c r="I230" s="198">
        <f>G230-H230</f>
        <v/>
      </c>
      <c r="J230" s="115">
        <f>_xlfn.TEXTJOIN("-",TRUE,B230,C230,D230)</f>
        <v/>
      </c>
      <c r="K230" s="184" t="n"/>
      <c r="L230" s="184" t="n"/>
      <c r="M230" s="184" t="n"/>
      <c r="N230" s="184" t="n"/>
      <c r="O230" s="184" t="n"/>
      <c r="P230" s="184" t="n"/>
      <c r="Q230" s="184" t="n"/>
      <c r="R230" s="184" t="n"/>
      <c r="S230" s="390">
        <f>_xlfn.TEXTJOIN("-",TRUE,K230,L230,M230)</f>
        <v/>
      </c>
      <c r="T230" s="184" t="n"/>
      <c r="U230" s="184" t="n"/>
      <c r="V230" s="184" t="n"/>
      <c r="W230" s="184" t="n"/>
      <c r="X230" s="184" t="n"/>
      <c r="Y230" s="184" t="n"/>
      <c r="Z230" s="184" t="n"/>
      <c r="AA230" s="184" t="n"/>
      <c r="AB230" s="390">
        <f>_xlfn.TEXTJOIN("-",TRUE,T230,U230,V230)</f>
        <v/>
      </c>
      <c r="BB230" s="390">
        <f>_xlfn.TEXTJOIN("-",TRUE,AU230,AW230)</f>
        <v/>
      </c>
    </row>
    <row r="231" ht="13.8" customHeight="1" s="428">
      <c r="B231" s="123" t="inlineStr">
        <is>
          <t>11R22.5</t>
        </is>
      </c>
      <c r="C231" s="177" t="inlineStr">
        <is>
          <t>16PR</t>
        </is>
      </c>
      <c r="D231" s="177" t="inlineStr">
        <is>
          <t>DOMINATE D01</t>
        </is>
      </c>
      <c r="E231" s="125" t="inlineStr">
        <is>
          <t>ID11R22.5-16PR-IDD US ID</t>
        </is>
      </c>
      <c r="F231" s="197">
        <f>G231-2.781+3.166</f>
        <v/>
      </c>
      <c r="G231" s="129" t="n">
        <v>58.509</v>
      </c>
      <c r="H231" s="131" t="n">
        <v>58.2489</v>
      </c>
      <c r="I231" s="198">
        <f>G231-H231</f>
        <v/>
      </c>
      <c r="J231" s="115">
        <f>_xlfn.TEXTJOIN("-",TRUE,B231,C231,D231)</f>
        <v/>
      </c>
      <c r="K231" s="184" t="n"/>
      <c r="L231" s="184" t="n"/>
      <c r="M231" s="184" t="n"/>
      <c r="N231" s="184" t="n"/>
      <c r="O231" s="184" t="n"/>
      <c r="P231" s="184" t="n"/>
      <c r="Q231" s="184" t="n"/>
      <c r="R231" s="184" t="n"/>
      <c r="S231" s="390">
        <f>_xlfn.TEXTJOIN("-",TRUE,K231,L231,M231)</f>
        <v/>
      </c>
      <c r="T231" s="184" t="n"/>
      <c r="U231" s="184" t="n"/>
      <c r="V231" s="184" t="n"/>
      <c r="W231" s="184" t="n"/>
      <c r="X231" s="184" t="n"/>
      <c r="Y231" s="184" t="n"/>
      <c r="Z231" s="184" t="n"/>
      <c r="AA231" s="184" t="n"/>
      <c r="AB231" s="390">
        <f>_xlfn.TEXTJOIN("-",TRUE,T231,U231,V231)</f>
        <v/>
      </c>
      <c r="BB231" s="390">
        <f>_xlfn.TEXTJOIN("-",TRUE,AU231,AW231)</f>
        <v/>
      </c>
    </row>
    <row r="232" ht="13.8" customHeight="1" s="428">
      <c r="B232" s="123" t="inlineStr">
        <is>
          <t>11R22.5</t>
        </is>
      </c>
      <c r="C232" s="177" t="inlineStr">
        <is>
          <t>16PR</t>
        </is>
      </c>
      <c r="D232" s="177" t="inlineStr">
        <is>
          <t>I-37D</t>
        </is>
      </c>
      <c r="E232" s="125" t="inlineStr">
        <is>
          <t>ID11R22.5-16PR-I-37D US ID</t>
        </is>
      </c>
      <c r="F232" s="197">
        <f>G232-2.781+3.166</f>
        <v/>
      </c>
      <c r="G232" s="129" t="n">
        <v>56.877</v>
      </c>
      <c r="H232" s="131" t="n">
        <v>56.8434</v>
      </c>
      <c r="I232" s="198">
        <f>G232-H232</f>
        <v/>
      </c>
      <c r="J232" s="115">
        <f>_xlfn.TEXTJOIN("-",TRUE,B232,C232,D232)</f>
        <v/>
      </c>
      <c r="K232" s="184" t="n"/>
      <c r="L232" s="184" t="n"/>
      <c r="M232" s="184" t="n"/>
      <c r="N232" s="184" t="n"/>
      <c r="O232" s="184" t="n"/>
      <c r="P232" s="184" t="n"/>
      <c r="Q232" s="184" t="n"/>
      <c r="R232" s="184" t="n"/>
      <c r="S232" s="390">
        <f>_xlfn.TEXTJOIN("-",TRUE,K232,L232,M232)</f>
        <v/>
      </c>
      <c r="T232" s="184" t="n"/>
      <c r="U232" s="184" t="n"/>
      <c r="V232" s="184" t="n"/>
      <c r="W232" s="184" t="n"/>
      <c r="X232" s="184" t="n"/>
      <c r="Y232" s="184" t="n"/>
      <c r="Z232" s="184" t="n"/>
      <c r="AA232" s="184" t="n"/>
      <c r="AB232" s="390">
        <f>_xlfn.TEXTJOIN("-",TRUE,T232,U232,V232)</f>
        <v/>
      </c>
      <c r="BB232" s="390">
        <f>_xlfn.TEXTJOIN("-",TRUE,AU232,AW232)</f>
        <v/>
      </c>
    </row>
    <row r="233">
      <c r="B233" s="123" t="inlineStr">
        <is>
          <t>11R22.5</t>
        </is>
      </c>
      <c r="C233" s="177" t="inlineStr">
        <is>
          <t>16PR</t>
        </is>
      </c>
      <c r="D233" s="177" t="inlineStr">
        <is>
          <t>CR926D</t>
        </is>
      </c>
      <c r="E233" s="125" t="inlineStr">
        <is>
          <t>ID11R22.5-16PR-G C ID</t>
        </is>
      </c>
      <c r="F233" s="197">
        <f>G233-2.78+3.17</f>
        <v/>
      </c>
      <c r="G233" s="129" t="n">
        <v>52.824</v>
      </c>
      <c r="H233" s="131" t="n">
        <v>52.79</v>
      </c>
      <c r="I233" s="198">
        <f>G233-H233</f>
        <v/>
      </c>
      <c r="J233" s="115">
        <f>_xlfn.TEXTJOIN("-",TRUE,B233,C233,D233)</f>
        <v/>
      </c>
      <c r="K233" s="184" t="n"/>
      <c r="L233" s="184" t="n"/>
      <c r="M233" s="184" t="n"/>
      <c r="N233" s="184" t="n"/>
      <c r="O233" s="184" t="n"/>
      <c r="P233" s="184" t="n"/>
      <c r="Q233" s="184" t="n"/>
      <c r="R233" s="184" t="n"/>
      <c r="S233" s="390">
        <f>_xlfn.TEXTJOIN("-",TRUE,K233,L233,M233)</f>
        <v/>
      </c>
      <c r="T233" s="184" t="n"/>
      <c r="U233" s="184" t="n"/>
      <c r="V233" s="184" t="n"/>
      <c r="W233" s="184" t="n"/>
      <c r="X233" s="184" t="n"/>
      <c r="Y233" s="184" t="n"/>
      <c r="Z233" s="184" t="n"/>
      <c r="AA233" s="184" t="n"/>
      <c r="AB233" s="390">
        <f>_xlfn.TEXTJOIN("-",TRUE,T233,U233,V233)</f>
        <v/>
      </c>
      <c r="BB233" s="390">
        <f>_xlfn.TEXTJOIN("-",TRUE,AU233,AW233)</f>
        <v/>
      </c>
    </row>
    <row r="234" ht="13.8" customHeight="1" s="428">
      <c r="B234" s="123" t="inlineStr">
        <is>
          <t>11R22.5</t>
        </is>
      </c>
      <c r="C234" s="177" t="inlineStr">
        <is>
          <t>16PR</t>
        </is>
      </c>
      <c r="D234" s="177" t="inlineStr">
        <is>
          <t>RLINE-M1</t>
        </is>
      </c>
      <c r="E234" s="125" t="inlineStr">
        <is>
          <t>ID11R22.5-16PR-G C ID</t>
        </is>
      </c>
      <c r="F234" s="197">
        <f>G234-2.78+3.17</f>
        <v/>
      </c>
      <c r="G234" s="129" t="n">
        <v>52.824</v>
      </c>
      <c r="H234" s="131" t="n">
        <v>52.79</v>
      </c>
      <c r="I234" s="198">
        <f>G234-H234</f>
        <v/>
      </c>
      <c r="J234" s="115">
        <f>_xlfn.TEXTJOIN("-",TRUE,B234,C234,D234)</f>
        <v/>
      </c>
      <c r="K234" s="184" t="n"/>
      <c r="L234" s="184" t="n"/>
      <c r="M234" s="184" t="n"/>
      <c r="N234" s="184" t="n"/>
      <c r="O234" s="184" t="n"/>
      <c r="P234" s="184" t="n"/>
      <c r="Q234" s="184" t="n"/>
      <c r="R234" s="184" t="n"/>
      <c r="S234" s="390">
        <f>_xlfn.TEXTJOIN("-",TRUE,K234,L234,M234)</f>
        <v/>
      </c>
      <c r="T234" s="184" t="n"/>
      <c r="U234" s="184" t="n"/>
      <c r="V234" s="184" t="n"/>
      <c r="W234" s="184" t="n"/>
      <c r="X234" s="184" t="n"/>
      <c r="Y234" s="184" t="n"/>
      <c r="Z234" s="184" t="n"/>
      <c r="AA234" s="184" t="n"/>
      <c r="AB234" s="390">
        <f>_xlfn.TEXTJOIN("-",TRUE,T234,U234,V234)</f>
        <v/>
      </c>
      <c r="BB234" s="390">
        <f>_xlfn.TEXTJOIN("-",TRUE,AU234,AW234)</f>
        <v/>
      </c>
    </row>
    <row r="235">
      <c r="B235" s="123" t="inlineStr">
        <is>
          <t>11R22.5</t>
        </is>
      </c>
      <c r="C235" s="177" t="inlineStr">
        <is>
          <t>16PR</t>
        </is>
      </c>
      <c r="D235" s="177" t="inlineStr">
        <is>
          <t>CONQUER C01</t>
        </is>
      </c>
      <c r="E235" s="125" t="inlineStr">
        <is>
          <t>ID11R22.5-16PR-G C ID</t>
        </is>
      </c>
      <c r="F235" s="197">
        <f>G235-2.78+3.17</f>
        <v/>
      </c>
      <c r="G235" s="129" t="n">
        <v>52.824</v>
      </c>
      <c r="H235" s="131" t="n">
        <v>52.79</v>
      </c>
      <c r="I235" s="198">
        <f>G235-H235</f>
        <v/>
      </c>
      <c r="J235" s="115">
        <f>_xlfn.TEXTJOIN("-",TRUE,B235,C235,D235)</f>
        <v/>
      </c>
      <c r="K235" s="184" t="n"/>
      <c r="L235" s="184" t="n"/>
      <c r="M235" s="184" t="n"/>
      <c r="N235" s="184" t="n"/>
      <c r="O235" s="184" t="n"/>
      <c r="P235" s="184" t="n"/>
      <c r="Q235" s="184" t="n"/>
      <c r="R235" s="184" t="n"/>
      <c r="S235" s="390">
        <f>_xlfn.TEXTJOIN("-",TRUE,K235,L235,M235)</f>
        <v/>
      </c>
      <c r="T235" s="184" t="n"/>
      <c r="U235" s="184" t="n"/>
      <c r="V235" s="184" t="n"/>
      <c r="W235" s="184" t="n"/>
      <c r="X235" s="184" t="n"/>
      <c r="Y235" s="184" t="n"/>
      <c r="Z235" s="184" t="n"/>
      <c r="AA235" s="184" t="n"/>
      <c r="AB235" s="390">
        <f>_xlfn.TEXTJOIN("-",TRUE,T235,U235,V235)</f>
        <v/>
      </c>
      <c r="BB235" s="390">
        <f>_xlfn.TEXTJOIN("-",TRUE,AU235,AW235)</f>
        <v/>
      </c>
    </row>
    <row r="236">
      <c r="B236" s="123" t="inlineStr">
        <is>
          <t>11R22.5</t>
        </is>
      </c>
      <c r="C236" s="177" t="inlineStr">
        <is>
          <t>16PR</t>
        </is>
      </c>
      <c r="D236" s="177" t="inlineStr">
        <is>
          <t>H-MD</t>
        </is>
      </c>
      <c r="E236" s="125" t="inlineStr">
        <is>
          <t>ID11R22.5-16PR-H-MD C ID</t>
        </is>
      </c>
      <c r="F236" s="197">
        <f>G236-2.78+3.17</f>
        <v/>
      </c>
      <c r="G236" s="129" t="n">
        <v>60.324</v>
      </c>
      <c r="H236" s="131" t="n">
        <v>60.23</v>
      </c>
      <c r="I236" s="198">
        <f>G236-H236</f>
        <v/>
      </c>
      <c r="J236" s="115">
        <f>_xlfn.TEXTJOIN("-",TRUE,B236,C236,D236)</f>
        <v/>
      </c>
      <c r="K236" s="184" t="n"/>
      <c r="L236" s="184" t="n"/>
      <c r="M236" s="184" t="n"/>
      <c r="N236" s="184" t="n"/>
      <c r="O236" s="184" t="n"/>
      <c r="P236" s="184" t="n"/>
      <c r="Q236" s="184" t="n"/>
      <c r="R236" s="184" t="n"/>
      <c r="S236" s="390">
        <f>_xlfn.TEXTJOIN("-",TRUE,K236,L236,M236)</f>
        <v/>
      </c>
      <c r="T236" s="184" t="n"/>
      <c r="U236" s="184" t="n"/>
      <c r="V236" s="184" t="n"/>
      <c r="W236" s="184" t="n"/>
      <c r="X236" s="184" t="n"/>
      <c r="Y236" s="184" t="n"/>
      <c r="Z236" s="184" t="n"/>
      <c r="AA236" s="184" t="n"/>
      <c r="AB236" s="390">
        <f>_xlfn.TEXTJOIN("-",TRUE,T236,U236,V236)</f>
        <v/>
      </c>
      <c r="BB236" s="390">
        <f>_xlfn.TEXTJOIN("-",TRUE,AU236,AW236)</f>
        <v/>
      </c>
    </row>
    <row r="237" ht="13.8" customHeight="1" s="428">
      <c r="B237" s="123" t="inlineStr">
        <is>
          <t>11R22.5</t>
        </is>
      </c>
      <c r="C237" s="177" t="inlineStr">
        <is>
          <t>16PR</t>
        </is>
      </c>
      <c r="D237" s="177" t="inlineStr">
        <is>
          <t>H-RA</t>
        </is>
      </c>
      <c r="E237" s="125" t="inlineStr">
        <is>
          <t>ID11R22.5-16PR-H-RA US ID</t>
        </is>
      </c>
      <c r="F237" s="197">
        <f>G237-2.78+3.17</f>
        <v/>
      </c>
      <c r="G237" s="129" t="n">
        <v>51.034</v>
      </c>
      <c r="H237" s="131" t="n">
        <v>50.93</v>
      </c>
      <c r="I237" s="198">
        <f>G237-H237</f>
        <v/>
      </c>
      <c r="J237" s="115">
        <f>_xlfn.TEXTJOIN("-",TRUE,B237,C237,D237)</f>
        <v/>
      </c>
      <c r="K237" s="184" t="n"/>
      <c r="L237" s="184" t="n"/>
      <c r="M237" s="184" t="n"/>
      <c r="N237" s="184" t="n"/>
      <c r="O237" s="184" t="n"/>
      <c r="P237" s="184" t="n"/>
      <c r="Q237" s="184" t="n"/>
      <c r="R237" s="184" t="n"/>
      <c r="S237" s="390">
        <f>_xlfn.TEXTJOIN("-",TRUE,K237,L237,M237)</f>
        <v/>
      </c>
      <c r="T237" s="184" t="n"/>
      <c r="U237" s="184" t="n"/>
      <c r="V237" s="184" t="n"/>
      <c r="W237" s="184" t="n"/>
      <c r="X237" s="184" t="n"/>
      <c r="Y237" s="184" t="n"/>
      <c r="Z237" s="184" t="n"/>
      <c r="AA237" s="184" t="n"/>
      <c r="AB237" s="390">
        <f>_xlfn.TEXTJOIN("-",TRUE,T237,U237,V237)</f>
        <v/>
      </c>
      <c r="BB237" s="390">
        <f>_xlfn.TEXTJOIN("-",TRUE,AU237,AW237)</f>
        <v/>
      </c>
    </row>
    <row r="238">
      <c r="B238" s="123" t="inlineStr">
        <is>
          <t>11R22.5</t>
        </is>
      </c>
      <c r="C238" s="177" t="inlineStr">
        <is>
          <t>14PR</t>
        </is>
      </c>
      <c r="D238" s="177" t="inlineStr">
        <is>
          <t>H-TL</t>
        </is>
      </c>
      <c r="E238" s="125" t="inlineStr">
        <is>
          <t>ID11R22.5-14PR-H-TL US ID</t>
        </is>
      </c>
      <c r="F238" s="197">
        <f>G238-2.78+3.17</f>
        <v/>
      </c>
      <c r="G238" s="129" t="n">
        <v>49.075</v>
      </c>
      <c r="H238" s="131" t="n">
        <v>48.94</v>
      </c>
      <c r="I238" s="198">
        <f>G238-H238</f>
        <v/>
      </c>
      <c r="J238" s="115">
        <f>_xlfn.TEXTJOIN("-",TRUE,B238,C238,D238)</f>
        <v/>
      </c>
      <c r="K238" s="184" t="n"/>
      <c r="L238" s="184" t="n"/>
      <c r="M238" s="184" t="n"/>
      <c r="N238" s="184" t="n"/>
      <c r="O238" s="184" t="n"/>
      <c r="P238" s="184" t="n"/>
      <c r="Q238" s="184" t="n"/>
      <c r="R238" s="184" t="n"/>
      <c r="S238" s="390">
        <f>_xlfn.TEXTJOIN("-",TRUE,K238,L238,M238)</f>
        <v/>
      </c>
      <c r="T238" s="184" t="n"/>
      <c r="U238" s="184" t="n"/>
      <c r="V238" s="184" t="n"/>
      <c r="W238" s="184" t="n"/>
      <c r="X238" s="184" t="n"/>
      <c r="Y238" s="184" t="n"/>
      <c r="Z238" s="184" t="n"/>
      <c r="AA238" s="184" t="n"/>
      <c r="AB238" s="390">
        <f>_xlfn.TEXTJOIN("-",TRUE,T238,U238,V238)</f>
        <v/>
      </c>
      <c r="BB238" s="390">
        <f>_xlfn.TEXTJOIN("-",TRUE,AU238,AW238)</f>
        <v/>
      </c>
    </row>
    <row r="239" ht="13.8" customHeight="1" s="428">
      <c r="B239" s="123" t="inlineStr">
        <is>
          <t>11R22.5</t>
        </is>
      </c>
      <c r="C239" s="177" t="inlineStr">
        <is>
          <t>18PR</t>
        </is>
      </c>
      <c r="D239" s="177" t="inlineStr">
        <is>
          <t>VAZ80</t>
        </is>
      </c>
      <c r="E239" s="125" t="inlineStr">
        <is>
          <t>ID11R22.5-18PR-H C ID</t>
        </is>
      </c>
      <c r="F239" s="197">
        <f>G239-2.78+3.17</f>
        <v/>
      </c>
      <c r="G239" s="129" t="n">
        <v>57.52</v>
      </c>
      <c r="H239" s="131" t="n">
        <v>57.52</v>
      </c>
      <c r="I239" s="198">
        <f>G239-H239</f>
        <v/>
      </c>
      <c r="J239" s="115">
        <f>_xlfn.TEXTJOIN("-",TRUE,B239,C239,D239)</f>
        <v/>
      </c>
      <c r="K239" s="184" t="n"/>
      <c r="L239" s="184" t="n"/>
      <c r="M239" s="184" t="n"/>
      <c r="N239" s="184" t="n"/>
      <c r="O239" s="184" t="n"/>
      <c r="P239" s="184" t="n"/>
      <c r="Q239" s="184" t="n"/>
      <c r="R239" s="184" t="n"/>
      <c r="S239" s="390">
        <f>_xlfn.TEXTJOIN("-",TRUE,K239,L239,M239)</f>
        <v/>
      </c>
      <c r="T239" s="184" t="n"/>
      <c r="U239" s="184" t="n"/>
      <c r="V239" s="184" t="n"/>
      <c r="W239" s="184" t="n"/>
      <c r="X239" s="184" t="n"/>
      <c r="Y239" s="184" t="n"/>
      <c r="Z239" s="184" t="n"/>
      <c r="AA239" s="184" t="n"/>
      <c r="AB239" s="390">
        <f>_xlfn.TEXTJOIN("-",TRUE,T239,U239,V239)</f>
        <v/>
      </c>
      <c r="BB239" s="390">
        <f>_xlfn.TEXTJOIN("-",TRUE,AU239,AW239)</f>
        <v/>
      </c>
    </row>
    <row r="240" ht="13.8" customHeight="1" s="428">
      <c r="B240" s="123" t="inlineStr">
        <is>
          <t>11R22.5</t>
        </is>
      </c>
      <c r="C240" s="177" t="inlineStr">
        <is>
          <t>18PR</t>
        </is>
      </c>
      <c r="D240" s="177" t="inlineStr">
        <is>
          <t>AZ850</t>
        </is>
      </c>
      <c r="E240" s="125" t="inlineStr">
        <is>
          <t>ID11R22.5-18PR-H C ID</t>
        </is>
      </c>
      <c r="F240" s="197">
        <f>G240-2.78+3.17</f>
        <v/>
      </c>
      <c r="G240" s="129" t="n">
        <v>57.52</v>
      </c>
      <c r="H240" s="131" t="n">
        <v>57.52</v>
      </c>
      <c r="I240" s="198">
        <f>G240-H240</f>
        <v/>
      </c>
      <c r="J240" s="115">
        <f>_xlfn.TEXTJOIN("-",TRUE,B240,C240,D240)</f>
        <v/>
      </c>
      <c r="K240" s="184" t="n"/>
      <c r="L240" s="184" t="n"/>
      <c r="M240" s="184" t="n"/>
      <c r="N240" s="184" t="n"/>
      <c r="O240" s="184" t="n"/>
      <c r="P240" s="184" t="n"/>
      <c r="Q240" s="184" t="n"/>
      <c r="R240" s="184" t="n"/>
      <c r="S240" s="390">
        <f>_xlfn.TEXTJOIN("-",TRUE,K240,L240,M240)</f>
        <v/>
      </c>
      <c r="T240" s="184" t="n"/>
      <c r="U240" s="184" t="n"/>
      <c r="V240" s="184" t="n"/>
      <c r="W240" s="184" t="n"/>
      <c r="X240" s="184" t="n"/>
      <c r="Y240" s="184" t="n"/>
      <c r="Z240" s="184" t="n"/>
      <c r="AA240" s="184" t="n"/>
      <c r="AB240" s="390">
        <f>_xlfn.TEXTJOIN("-",TRUE,T240,U240,V240)</f>
        <v/>
      </c>
      <c r="BB240" s="390">
        <f>_xlfn.TEXTJOIN("-",TRUE,AU240,AW240)</f>
        <v/>
      </c>
    </row>
    <row r="241" ht="13.8" customHeight="1" s="428">
      <c r="B241" s="123" t="inlineStr">
        <is>
          <t>11R22.5</t>
        </is>
      </c>
      <c r="C241" s="177" t="inlineStr">
        <is>
          <t>18PR</t>
        </is>
      </c>
      <c r="D241" s="177" t="inlineStr">
        <is>
          <t>AS858</t>
        </is>
      </c>
      <c r="E241" s="125" t="inlineStr">
        <is>
          <t>ID11R22.5-18PR-B C ID</t>
        </is>
      </c>
      <c r="F241" s="197">
        <f>G241-2.78+3.17</f>
        <v/>
      </c>
      <c r="G241" s="129" t="n">
        <v>58.955</v>
      </c>
      <c r="H241" s="131" t="n">
        <v>58.65</v>
      </c>
      <c r="I241" s="198">
        <f>G241-H241</f>
        <v/>
      </c>
      <c r="J241" s="115">
        <f>_xlfn.TEXTJOIN("-",TRUE,B241,C241,D241)</f>
        <v/>
      </c>
      <c r="K241" s="184" t="n"/>
      <c r="L241" s="184" t="n"/>
      <c r="M241" s="184" t="n"/>
      <c r="N241" s="184" t="n"/>
      <c r="O241" s="184" t="n"/>
      <c r="P241" s="184" t="n"/>
      <c r="Q241" s="184" t="n"/>
      <c r="R241" s="184" t="n"/>
      <c r="S241" s="390">
        <f>_xlfn.TEXTJOIN("-",TRUE,K241,L241,M241)</f>
        <v/>
      </c>
      <c r="T241" s="184" t="n"/>
      <c r="U241" s="184" t="n"/>
      <c r="V241" s="184" t="n"/>
      <c r="W241" s="184" t="n"/>
      <c r="X241" s="184" t="n"/>
      <c r="Y241" s="184" t="n"/>
      <c r="Z241" s="184" t="n"/>
      <c r="AA241" s="184" t="n"/>
      <c r="AB241" s="390">
        <f>_xlfn.TEXTJOIN("-",TRUE,T241,U241,V241)</f>
        <v/>
      </c>
      <c r="BB241" s="390">
        <f>_xlfn.TEXTJOIN("-",TRUE,AU241,AW241)</f>
        <v/>
      </c>
    </row>
    <row r="242" ht="13.8" customHeight="1" s="428">
      <c r="B242" s="123" t="inlineStr">
        <is>
          <t>11R22.5</t>
        </is>
      </c>
      <c r="C242" s="177" t="inlineStr">
        <is>
          <t>18PR</t>
        </is>
      </c>
      <c r="D242" s="126" t="inlineStr">
        <is>
          <t>AS868</t>
        </is>
      </c>
      <c r="E242" s="125" t="inlineStr">
        <is>
          <t>ID11R22.5-18PR-B C ID</t>
        </is>
      </c>
      <c r="F242" s="204">
        <f>G242-2.78+3.17</f>
        <v/>
      </c>
      <c r="G242" s="129" t="n">
        <v>58.955</v>
      </c>
      <c r="H242" s="131" t="n">
        <v>58.65</v>
      </c>
      <c r="I242" s="198">
        <f>G242-H242</f>
        <v/>
      </c>
      <c r="J242" s="115">
        <f>_xlfn.TEXTJOIN("-",TRUE,B242,C242,D242)</f>
        <v/>
      </c>
      <c r="K242" s="184" t="n"/>
      <c r="L242" s="184" t="n"/>
      <c r="M242" s="184" t="n"/>
      <c r="N242" s="184" t="n"/>
      <c r="O242" s="184" t="n"/>
      <c r="P242" s="184" t="n"/>
      <c r="Q242" s="184" t="n"/>
      <c r="R242" s="184" t="n"/>
      <c r="S242" s="390">
        <f>_xlfn.TEXTJOIN("-",TRUE,K242,L242,M242)</f>
        <v/>
      </c>
      <c r="T242" s="184" t="n"/>
      <c r="U242" s="184" t="n"/>
      <c r="V242" s="184" t="n"/>
      <c r="W242" s="184" t="n"/>
      <c r="X242" s="184" t="n"/>
      <c r="Y242" s="184" t="n"/>
      <c r="Z242" s="184" t="n"/>
      <c r="AA242" s="184" t="n"/>
      <c r="AB242" s="390">
        <f>_xlfn.TEXTJOIN("-",TRUE,T242,U242,V242)</f>
        <v/>
      </c>
      <c r="BB242" s="390">
        <f>_xlfn.TEXTJOIN("-",TRUE,AU242,AW242)</f>
        <v/>
      </c>
    </row>
    <row r="243" ht="13.8" customHeight="1" s="428">
      <c r="B243" s="123" t="inlineStr">
        <is>
          <t>11R22.5</t>
        </is>
      </c>
      <c r="C243" s="177" t="inlineStr">
        <is>
          <t>16PR</t>
        </is>
      </c>
      <c r="D243" s="126" t="inlineStr">
        <is>
          <t>H-RD</t>
        </is>
      </c>
      <c r="E243" s="177" t="inlineStr">
        <is>
          <t>ID11R22.5-16PR-H-RD US ID</t>
        </is>
      </c>
      <c r="F243" s="204">
        <f>G243-2.78+3.17</f>
        <v/>
      </c>
      <c r="G243" s="129" t="n">
        <v>54.254</v>
      </c>
      <c r="H243" s="131" t="n">
        <v>54.16</v>
      </c>
      <c r="I243" s="198">
        <f>G243-H243</f>
        <v/>
      </c>
      <c r="J243" s="115">
        <f>_xlfn.TEXTJOIN("-",TRUE,B243,C243,D243)</f>
        <v/>
      </c>
      <c r="K243" s="184" t="n"/>
      <c r="L243" s="184" t="n"/>
      <c r="M243" s="184" t="n"/>
      <c r="N243" s="184" t="n"/>
      <c r="O243" s="184" t="n"/>
      <c r="P243" s="184" t="n"/>
      <c r="Q243" s="184" t="n"/>
      <c r="R243" s="184" t="n"/>
      <c r="S243" s="390">
        <f>_xlfn.TEXTJOIN("-",TRUE,K243,L243,M243)</f>
        <v/>
      </c>
      <c r="T243" s="184" t="n"/>
      <c r="U243" s="184" t="n"/>
      <c r="V243" s="184" t="n"/>
      <c r="W243" s="184" t="n"/>
      <c r="X243" s="184" t="n"/>
      <c r="Y243" s="184" t="n"/>
      <c r="Z243" s="184" t="n"/>
      <c r="AA243" s="184" t="n"/>
      <c r="AB243" s="390">
        <f>_xlfn.TEXTJOIN("-",TRUE,T243,U243,V243)</f>
        <v/>
      </c>
      <c r="BB243" s="390">
        <f>_xlfn.TEXTJOIN("-",TRUE,AU243,AW243)</f>
        <v/>
      </c>
    </row>
    <row r="244" ht="13.8" customHeight="1" s="428">
      <c r="B244" s="123" t="inlineStr">
        <is>
          <t>11R22.5</t>
        </is>
      </c>
      <c r="C244" s="177" t="inlineStr">
        <is>
          <t>16PR</t>
        </is>
      </c>
      <c r="D244" s="126" t="inlineStr">
        <is>
          <t>AT196</t>
        </is>
      </c>
      <c r="E244" s="177" t="inlineStr">
        <is>
          <t>ID11R22.5-16PR-AT196 W J</t>
        </is>
      </c>
      <c r="F244" s="204">
        <f>G244-2.82+3.22</f>
        <v/>
      </c>
      <c r="G244" s="129" t="n">
        <v>50.859</v>
      </c>
      <c r="H244" s="131" t="n">
        <v>50.79</v>
      </c>
      <c r="I244" s="198">
        <f>G244-H244</f>
        <v/>
      </c>
      <c r="J244" s="115">
        <f>_xlfn.TEXTJOIN("-",TRUE,B244,C244,D244)</f>
        <v/>
      </c>
      <c r="K244" s="184" t="n"/>
      <c r="L244" s="184" t="n"/>
      <c r="M244" s="184" t="n"/>
      <c r="N244" s="184" t="n"/>
      <c r="O244" s="184" t="n"/>
      <c r="P244" s="184" t="n"/>
      <c r="Q244" s="184" t="n"/>
      <c r="R244" s="184" t="n"/>
      <c r="S244" s="390">
        <f>_xlfn.TEXTJOIN("-",TRUE,K244,L244,M244)</f>
        <v/>
      </c>
      <c r="AB244" s="390">
        <f>_xlfn.TEXTJOIN("-",TRUE,T244,U244,V244)</f>
        <v/>
      </c>
      <c r="BB244" s="390">
        <f>_xlfn.TEXTJOIN("-",TRUE,AU244,AW244)</f>
        <v/>
      </c>
    </row>
    <row r="245" ht="13.8" customHeight="1" s="428">
      <c r="B245" s="123" t="inlineStr">
        <is>
          <t>11R22.5</t>
        </is>
      </c>
      <c r="C245" s="177" t="inlineStr">
        <is>
          <t>16PR</t>
        </is>
      </c>
      <c r="D245" s="126" t="inlineStr">
        <is>
          <t>AZ183</t>
        </is>
      </c>
      <c r="E245" s="177" t="inlineStr">
        <is>
          <t>ID11R22.5-16PR-AZ183 W J</t>
        </is>
      </c>
      <c r="F245" s="204">
        <f>G245-2.82+3.22</f>
        <v/>
      </c>
      <c r="G245" s="129" t="n">
        <v>51.656</v>
      </c>
      <c r="H245" s="131" t="n">
        <v>51.63</v>
      </c>
      <c r="I245" s="198">
        <f>G245-H245</f>
        <v/>
      </c>
      <c r="J245" s="115">
        <f>_xlfn.TEXTJOIN("-",TRUE,B245,C245,D245)</f>
        <v/>
      </c>
      <c r="K245" s="184" t="n"/>
      <c r="L245" s="184" t="n"/>
      <c r="M245" s="184" t="n"/>
      <c r="N245" s="184" t="n"/>
      <c r="O245" s="184" t="n"/>
      <c r="P245" s="184" t="n"/>
      <c r="Q245" s="184" t="n"/>
      <c r="R245" s="184" t="n"/>
      <c r="S245" s="390">
        <f>_xlfn.TEXTJOIN("-",TRUE,K245,L245,M245)</f>
        <v/>
      </c>
      <c r="AB245" s="390">
        <f>_xlfn.TEXTJOIN("-",TRUE,T245,U245,V245)</f>
        <v/>
      </c>
      <c r="BB245" s="390">
        <f>_xlfn.TEXTJOIN("-",TRUE,AU245,AW245)</f>
        <v/>
      </c>
    </row>
    <row r="246" ht="13.8" customHeight="1" s="428">
      <c r="B246" s="123" t="inlineStr">
        <is>
          <t>11R22.5</t>
        </is>
      </c>
      <c r="C246" s="177" t="inlineStr">
        <is>
          <t>16PR</t>
        </is>
      </c>
      <c r="D246" s="126" t="inlineStr">
        <is>
          <t>X-Traveler SL91</t>
        </is>
      </c>
      <c r="E246" s="177" t="inlineStr">
        <is>
          <t>ID11R22.5-16PR-X-Traveler SL91 C ID</t>
        </is>
      </c>
      <c r="F246" s="204">
        <f>G246-3.43+3.82</f>
        <v/>
      </c>
      <c r="G246" s="129" t="n">
        <v>61.04</v>
      </c>
      <c r="H246" s="131" t="n">
        <v>61.01</v>
      </c>
      <c r="I246" s="198">
        <f>G246-H246</f>
        <v/>
      </c>
      <c r="J246" s="115">
        <f>_xlfn.TEXTJOIN("-",TRUE,B246,C246,D246)</f>
        <v/>
      </c>
      <c r="K246" s="184" t="n"/>
      <c r="L246" s="184" t="n"/>
      <c r="M246" s="184" t="n"/>
      <c r="N246" s="184" t="n"/>
      <c r="O246" s="184" t="n"/>
      <c r="P246" s="184" t="n"/>
      <c r="Q246" s="184" t="n"/>
      <c r="R246" s="184" t="n"/>
      <c r="S246" s="390">
        <f>_xlfn.TEXTJOIN("-",TRUE,K246,L246,M246)</f>
        <v/>
      </c>
      <c r="AB246" s="390">
        <f>_xlfn.TEXTJOIN("-",TRUE,T246,U246,V246)</f>
        <v/>
      </c>
      <c r="BB246" s="390">
        <f>_xlfn.TEXTJOIN("-",TRUE,AU246,AW246)</f>
        <v/>
      </c>
    </row>
    <row r="247" ht="13.8" customHeight="1" s="428">
      <c r="B247" s="123" t="inlineStr">
        <is>
          <t>11R22.5</t>
        </is>
      </c>
      <c r="C247" s="177" t="inlineStr">
        <is>
          <t>16PR</t>
        </is>
      </c>
      <c r="D247" s="126" t="inlineStr">
        <is>
          <t>VT993</t>
        </is>
      </c>
      <c r="E247" s="177" t="inlineStr">
        <is>
          <t>ID11R22.5-16PR-E US ID</t>
        </is>
      </c>
      <c r="F247" s="204">
        <f>G247-2.78+3.17</f>
        <v/>
      </c>
      <c r="G247" s="129" t="n">
        <v>48.108</v>
      </c>
      <c r="H247" s="131" t="n">
        <v>48.12</v>
      </c>
      <c r="I247" s="198">
        <f>G247-H247</f>
        <v/>
      </c>
      <c r="J247" s="115">
        <f>_xlfn.TEXTJOIN("-",TRUE,B247,C247,D247)</f>
        <v/>
      </c>
      <c r="K247" s="184" t="n"/>
      <c r="L247" s="184" t="n"/>
      <c r="M247" s="184" t="n"/>
      <c r="N247" s="184" t="n"/>
      <c r="O247" s="184" t="n"/>
      <c r="P247" s="184" t="n"/>
      <c r="Q247" s="184" t="n"/>
      <c r="R247" s="184" t="n"/>
      <c r="S247" s="390">
        <f>_xlfn.TEXTJOIN("-",TRUE,K247,L247,M247)</f>
        <v/>
      </c>
      <c r="AB247" s="390">
        <f>_xlfn.TEXTJOIN("-",TRUE,T247,U247,V247)</f>
        <v/>
      </c>
      <c r="BB247" s="390">
        <f>_xlfn.TEXTJOIN("-",TRUE,AU247,AW247)</f>
        <v/>
      </c>
    </row>
    <row r="248" ht="13.8" customHeight="1" s="428">
      <c r="B248" s="123" t="inlineStr">
        <is>
          <t>11R22.5</t>
        </is>
      </c>
      <c r="C248" s="177" t="inlineStr">
        <is>
          <t>16PR</t>
        </is>
      </c>
      <c r="D248" s="126" t="inlineStr">
        <is>
          <t>AD716+</t>
        </is>
      </c>
      <c r="E248" s="177" t="inlineStr">
        <is>
          <t>ID11R22.5-16PR-AD716+ C ID</t>
        </is>
      </c>
      <c r="F248" s="204">
        <f>G248-2.78+3.17</f>
        <v/>
      </c>
      <c r="G248" s="129" t="n">
        <v>58.376</v>
      </c>
      <c r="H248" s="131" t="n">
        <v>58.29</v>
      </c>
      <c r="I248" s="198">
        <f>G248-H248</f>
        <v/>
      </c>
      <c r="J248" s="115">
        <f>_xlfn.TEXTJOIN("-",TRUE,B248,C248,D248)</f>
        <v/>
      </c>
      <c r="K248" s="184" t="n"/>
      <c r="L248" s="184" t="n"/>
      <c r="M248" s="184" t="n"/>
      <c r="N248" s="184" t="n"/>
      <c r="O248" s="184" t="n"/>
      <c r="P248" s="184" t="n"/>
      <c r="Q248" s="184" t="n"/>
      <c r="R248" s="184" t="n"/>
      <c r="S248" s="390">
        <f>_xlfn.TEXTJOIN("-",TRUE,K248,L248,M248)</f>
        <v/>
      </c>
      <c r="AB248" s="390">
        <f>_xlfn.TEXTJOIN("-",TRUE,T248,U248,V248)</f>
        <v/>
      </c>
      <c r="BB248" s="390">
        <f>_xlfn.TEXTJOIN("-",TRUE,AU248,AW248)</f>
        <v/>
      </c>
    </row>
    <row r="249" ht="13.8" customHeight="1" s="428">
      <c r="B249" s="206" t="n"/>
      <c r="C249" s="178" t="n"/>
      <c r="D249" s="178" t="n"/>
      <c r="E249" s="147" t="n"/>
      <c r="F249" s="135" t="n"/>
      <c r="G249" s="135" t="n"/>
      <c r="H249" s="168" t="n"/>
      <c r="I249" s="134" t="n"/>
      <c r="J249" s="115">
        <f>_xlfn.TEXTJOIN("-",TRUE,B249,C249,D249)</f>
        <v/>
      </c>
      <c r="K249" s="184" t="n"/>
      <c r="L249" s="184" t="n"/>
      <c r="M249" s="184" t="n"/>
      <c r="N249" s="184" t="n"/>
      <c r="O249" s="184" t="n"/>
      <c r="P249" s="184" t="n"/>
      <c r="Q249" s="184" t="n"/>
      <c r="R249" s="184" t="n"/>
      <c r="S249" s="390">
        <f>_xlfn.TEXTJOIN("-",TRUE,K249,L249,M249)</f>
        <v/>
      </c>
      <c r="AB249" s="390">
        <f>_xlfn.TEXTJOIN("-",TRUE,T249,U249,V249)</f>
        <v/>
      </c>
      <c r="BB249" s="390">
        <f>_xlfn.TEXTJOIN("-",TRUE,AU249,AW249)</f>
        <v/>
      </c>
    </row>
    <row r="250">
      <c r="B250" s="123" t="inlineStr">
        <is>
          <t>11R24.5</t>
        </is>
      </c>
      <c r="C250" s="177" t="inlineStr">
        <is>
          <t>16PR</t>
        </is>
      </c>
      <c r="D250" s="177" t="inlineStr">
        <is>
          <t>ZM41</t>
        </is>
      </c>
      <c r="E250" s="177" t="inlineStr">
        <is>
          <t>ID11R24.5-16PR-ZM41 C ID</t>
        </is>
      </c>
      <c r="F250" s="129">
        <f>G250-3.042+3.472</f>
        <v/>
      </c>
      <c r="G250" s="129" t="n">
        <v>65.111</v>
      </c>
      <c r="H250" s="131" t="n">
        <v>62.57</v>
      </c>
      <c r="I250" s="198">
        <f>G250-H250</f>
        <v/>
      </c>
      <c r="J250" s="115">
        <f>_xlfn.TEXTJOIN("-",TRUE,B250,C250,D250)</f>
        <v/>
      </c>
      <c r="K250" s="184" t="n"/>
      <c r="L250" s="184" t="n"/>
      <c r="M250" s="184" t="n"/>
      <c r="N250" s="184" t="n"/>
      <c r="O250" s="184" t="n"/>
      <c r="P250" s="184" t="n"/>
      <c r="Q250" s="184" t="n"/>
      <c r="R250" s="184" t="n"/>
      <c r="S250" s="390">
        <f>_xlfn.TEXTJOIN("-",TRUE,K250,L250,M250)</f>
        <v/>
      </c>
      <c r="AB250" s="390">
        <f>_xlfn.TEXTJOIN("-",TRUE,T250,U250,V250)</f>
        <v/>
      </c>
      <c r="BB250" s="390">
        <f>_xlfn.TEXTJOIN("-",TRUE,AU250,AW250)</f>
        <v/>
      </c>
    </row>
    <row r="251">
      <c r="B251" s="123" t="inlineStr">
        <is>
          <t>11R24.5</t>
        </is>
      </c>
      <c r="C251" s="177" t="inlineStr">
        <is>
          <t>16PR</t>
        </is>
      </c>
      <c r="D251" s="177" t="inlineStr">
        <is>
          <t>W-Elite SL11</t>
        </is>
      </c>
      <c r="E251" s="125" t="inlineStr">
        <is>
          <t>ID11R24.5-16PR-B C ID</t>
        </is>
      </c>
      <c r="F251" s="129">
        <f>G251-3.042+3.472</f>
        <v/>
      </c>
      <c r="G251" s="129" t="n">
        <v>59.983</v>
      </c>
      <c r="H251" s="131" t="n">
        <v>59.3876</v>
      </c>
      <c r="I251" s="198">
        <f>G251-H251</f>
        <v/>
      </c>
      <c r="J251" s="115">
        <f>_xlfn.TEXTJOIN("-",TRUE,B251,C251,D251)</f>
        <v/>
      </c>
      <c r="K251" s="184" t="n"/>
      <c r="L251" s="184" t="n"/>
      <c r="M251" s="184" t="n"/>
      <c r="N251" s="184" t="n"/>
      <c r="O251" s="184" t="n"/>
      <c r="P251" s="184" t="n"/>
      <c r="Q251" s="184" t="n"/>
      <c r="R251" s="184" t="n"/>
      <c r="S251" s="390">
        <f>_xlfn.TEXTJOIN("-",TRUE,K251,L251,M251)</f>
        <v/>
      </c>
      <c r="AB251" s="390">
        <f>_xlfn.TEXTJOIN("-",TRUE,T251,U251,V251)</f>
        <v/>
      </c>
      <c r="BB251" s="390">
        <f>_xlfn.TEXTJOIN("-",TRUE,AU251,AW251)</f>
        <v/>
      </c>
    </row>
    <row r="252" ht="13.8" customHeight="1" s="428">
      <c r="B252" s="123" t="inlineStr">
        <is>
          <t>11R24.5</t>
        </is>
      </c>
      <c r="C252" s="177" t="inlineStr">
        <is>
          <t>16PR</t>
        </is>
      </c>
      <c r="D252" s="177" t="inlineStr">
        <is>
          <t>VA996</t>
        </is>
      </c>
      <c r="E252" s="125" t="inlineStr">
        <is>
          <t>ID11R24.5-16PR-B C ID</t>
        </is>
      </c>
      <c r="F252" s="129">
        <f>G252-3.042+3.472</f>
        <v/>
      </c>
      <c r="G252" s="129" t="n">
        <v>59.983</v>
      </c>
      <c r="H252" s="131" t="n">
        <v>59.3876</v>
      </c>
      <c r="I252" s="198">
        <f>G252-H252</f>
        <v/>
      </c>
      <c r="J252" s="115">
        <f>_xlfn.TEXTJOIN("-",TRUE,B252,C252,D252)</f>
        <v/>
      </c>
      <c r="K252" s="184" t="n"/>
      <c r="L252" s="184" t="n"/>
      <c r="M252" s="184" t="n"/>
      <c r="N252" s="184" t="n"/>
      <c r="O252" s="184" t="n"/>
      <c r="P252" s="184" t="n"/>
      <c r="Q252" s="184" t="n"/>
      <c r="R252" s="184" t="n"/>
      <c r="S252" s="390">
        <f>_xlfn.TEXTJOIN("-",TRUE,K252,L252,M252)</f>
        <v/>
      </c>
      <c r="AB252" s="390">
        <f>_xlfn.TEXTJOIN("-",TRUE,T252,U252,V252)</f>
        <v/>
      </c>
      <c r="BB252" s="390">
        <f>_xlfn.TEXTJOIN("-",TRUE,AU252,AW252)</f>
        <v/>
      </c>
    </row>
    <row r="253" ht="13.8" customHeight="1" s="428">
      <c r="B253" s="123" t="inlineStr">
        <is>
          <t>11R24.5</t>
        </is>
      </c>
      <c r="C253" s="177" t="inlineStr">
        <is>
          <t>16PR</t>
        </is>
      </c>
      <c r="D253" s="177" t="inlineStr">
        <is>
          <t>PS221</t>
        </is>
      </c>
      <c r="E253" s="125" t="inlineStr">
        <is>
          <t>ID11R24.5-16PR-B C ID</t>
        </is>
      </c>
      <c r="F253" s="129">
        <f>G253-3.042+3.472</f>
        <v/>
      </c>
      <c r="G253" s="129" t="n">
        <v>59.983</v>
      </c>
      <c r="H253" s="131" t="n">
        <v>59.3876</v>
      </c>
      <c r="I253" s="198">
        <f>G253-H253</f>
        <v/>
      </c>
      <c r="J253" s="115">
        <f>_xlfn.TEXTJOIN("-",TRUE,B253,C253,D253)</f>
        <v/>
      </c>
      <c r="K253" s="184" t="n"/>
      <c r="L253" s="184" t="n"/>
      <c r="M253" s="184" t="n"/>
      <c r="N253" s="184" t="n"/>
      <c r="O253" s="184" t="n"/>
      <c r="P253" s="184" t="n"/>
      <c r="Q253" s="184" t="n"/>
      <c r="R253" s="184" t="n"/>
      <c r="S253" s="390">
        <f>_xlfn.TEXTJOIN("-",TRUE,K253,L253,M253)</f>
        <v/>
      </c>
      <c r="AB253" s="390">
        <f>_xlfn.TEXTJOIN("-",TRUE,T253,U253,V253)</f>
        <v/>
      </c>
      <c r="BB253" s="390">
        <f>_xlfn.TEXTJOIN("-",TRUE,AU253,AW253)</f>
        <v/>
      </c>
    </row>
    <row r="254" ht="13.8" customHeight="1" s="428">
      <c r="B254" s="123" t="inlineStr">
        <is>
          <t>11R24.5</t>
        </is>
      </c>
      <c r="C254" s="177" t="inlineStr">
        <is>
          <t>16PR</t>
        </is>
      </c>
      <c r="D254" s="177" t="inlineStr">
        <is>
          <t>AS200</t>
        </is>
      </c>
      <c r="E254" s="125" t="inlineStr">
        <is>
          <t>ID11R24.5-16PR-B C ID</t>
        </is>
      </c>
      <c r="F254" s="129">
        <f>G254-3.042+3.472</f>
        <v/>
      </c>
      <c r="G254" s="129" t="n">
        <v>59.983</v>
      </c>
      <c r="H254" s="131" t="n">
        <v>59.3876</v>
      </c>
      <c r="I254" s="198">
        <f>G254-H254</f>
        <v/>
      </c>
      <c r="J254" s="115">
        <f>_xlfn.TEXTJOIN("-",TRUE,B254,C254,D254)</f>
        <v/>
      </c>
      <c r="K254" s="184" t="n"/>
      <c r="L254" s="184" t="n"/>
      <c r="M254" s="184" t="n"/>
      <c r="N254" s="184" t="n"/>
      <c r="O254" s="184" t="n"/>
      <c r="P254" s="184" t="n"/>
      <c r="Q254" s="184" t="n"/>
      <c r="R254" s="184" t="n"/>
      <c r="S254" s="390">
        <f>_xlfn.TEXTJOIN("-",TRUE,K254,L254,M254)</f>
        <v/>
      </c>
      <c r="AB254" s="390">
        <f>_xlfn.TEXTJOIN("-",TRUE,T254,U254,V254)</f>
        <v/>
      </c>
      <c r="BB254" s="390">
        <f>_xlfn.TEXTJOIN("-",TRUE,AU254,AW254)</f>
        <v/>
      </c>
    </row>
    <row r="255">
      <c r="B255" s="123" t="inlineStr">
        <is>
          <t>11R24.5</t>
        </is>
      </c>
      <c r="C255" s="177" t="inlineStr">
        <is>
          <t>16PR</t>
        </is>
      </c>
      <c r="D255" s="177" t="inlineStr">
        <is>
          <t>ZA12</t>
        </is>
      </c>
      <c r="E255" s="177" t="inlineStr">
        <is>
          <t>ID11R24.5-16PR-ZA12 C ID</t>
        </is>
      </c>
      <c r="F255" s="129">
        <f>G255-3.042+3.472</f>
        <v/>
      </c>
      <c r="G255" s="129" t="n">
        <v>61.382</v>
      </c>
      <c r="H255" s="131" t="n">
        <v>61.4342</v>
      </c>
      <c r="I255" s="198">
        <f>G255-H255</f>
        <v/>
      </c>
      <c r="J255" s="115">
        <f>_xlfn.TEXTJOIN("-",TRUE,B255,C255,D255)</f>
        <v/>
      </c>
      <c r="K255" s="184" t="n"/>
      <c r="L255" s="184" t="n"/>
      <c r="M255" s="184" t="n"/>
      <c r="N255" s="184" t="n"/>
      <c r="O255" s="184" t="n"/>
      <c r="P255" s="184" t="n"/>
      <c r="Q255" s="184" t="n"/>
      <c r="R255" s="184" t="n"/>
      <c r="S255" s="390">
        <f>_xlfn.TEXTJOIN("-",TRUE,K255,L255,M255)</f>
        <v/>
      </c>
      <c r="AB255" s="390">
        <f>_xlfn.TEXTJOIN("-",TRUE,T255,U255,V255)</f>
        <v/>
      </c>
      <c r="BB255" s="390">
        <f>_xlfn.TEXTJOIN("-",TRUE,AU255,AW255)</f>
        <v/>
      </c>
    </row>
    <row r="256">
      <c r="B256" s="123" t="inlineStr">
        <is>
          <t>11R24.5</t>
        </is>
      </c>
      <c r="C256" s="177" t="inlineStr">
        <is>
          <t>16PR</t>
        </is>
      </c>
      <c r="D256" s="177" t="inlineStr">
        <is>
          <t>DL21</t>
        </is>
      </c>
      <c r="E256" s="177" t="inlineStr">
        <is>
          <t>ID11R24.5-16PR-DL21 C ID</t>
        </is>
      </c>
      <c r="F256" s="129">
        <f>G256-3.042+3.472</f>
        <v/>
      </c>
      <c r="G256" s="129" t="n">
        <v>67.705</v>
      </c>
      <c r="H256" s="131" t="n">
        <v>66.56610000000001</v>
      </c>
      <c r="I256" s="198">
        <f>G256-H256</f>
        <v/>
      </c>
      <c r="J256" s="115">
        <f>_xlfn.TEXTJOIN("-",TRUE,B256,C256,D256)</f>
        <v/>
      </c>
      <c r="K256" s="184" t="n"/>
      <c r="L256" s="184" t="n"/>
      <c r="M256" s="184" t="n"/>
      <c r="N256" s="184" t="n"/>
      <c r="O256" s="184" t="n"/>
      <c r="P256" s="184" t="n"/>
      <c r="Q256" s="184" t="n"/>
      <c r="R256" s="184" t="n"/>
      <c r="S256" s="390">
        <f>_xlfn.TEXTJOIN("-",TRUE,K256,L256,M256)</f>
        <v/>
      </c>
      <c r="AB256" s="390">
        <f>_xlfn.TEXTJOIN("-",TRUE,T256,U256,V256)</f>
        <v/>
      </c>
      <c r="BB256" s="390">
        <f>_xlfn.TEXTJOIN("-",TRUE,AU256,AW256)</f>
        <v/>
      </c>
    </row>
    <row r="257" ht="27.6" customHeight="1" s="428">
      <c r="B257" s="123" t="inlineStr">
        <is>
          <t>11R24.5</t>
        </is>
      </c>
      <c r="C257" s="177" t="inlineStr">
        <is>
          <t>16PR</t>
        </is>
      </c>
      <c r="D257" s="177" t="inlineStr">
        <is>
          <t>DL22</t>
        </is>
      </c>
      <c r="E257" s="125" t="inlineStr">
        <is>
          <t>ID11R24.5-16PR-A C ID</t>
        </is>
      </c>
      <c r="F257" s="129">
        <f>G257-3.042+3.472</f>
        <v/>
      </c>
      <c r="G257" s="129" t="n">
        <v>65.23699999999999</v>
      </c>
      <c r="H257" s="131" t="n">
        <v>64.9421</v>
      </c>
      <c r="I257" s="198">
        <f>G257-H257</f>
        <v/>
      </c>
      <c r="J257" s="115">
        <f>_xlfn.TEXTJOIN("-",TRUE,B257,C257,D257)</f>
        <v/>
      </c>
      <c r="K257" s="184" t="n"/>
      <c r="L257" s="184" t="n"/>
      <c r="M257" s="184" t="n"/>
      <c r="N257" s="184" t="n"/>
      <c r="O257" s="184" t="n"/>
      <c r="P257" s="184" t="n"/>
      <c r="Q257" s="184" t="n"/>
      <c r="R257" s="184" t="n"/>
      <c r="S257" s="390">
        <f>_xlfn.TEXTJOIN("-",TRUE,K257,L257,M257)</f>
        <v/>
      </c>
      <c r="AB257" s="390">
        <f>_xlfn.TEXTJOIN("-",TRUE,T257,U257,V257)</f>
        <v/>
      </c>
      <c r="BB257" s="390">
        <f>_xlfn.TEXTJOIN("-",TRUE,AU257,AW257)</f>
        <v/>
      </c>
    </row>
    <row r="258" ht="13.8" customHeight="1" s="428">
      <c r="B258" s="123" t="inlineStr">
        <is>
          <t>11R24.5</t>
        </is>
      </c>
      <c r="C258" s="177" t="inlineStr">
        <is>
          <t>16PR</t>
        </is>
      </c>
      <c r="D258" s="177" t="inlineStr">
        <is>
          <t>DA23</t>
        </is>
      </c>
      <c r="E258" s="125" t="inlineStr">
        <is>
          <t>ID11R24.5-16PR-A C ID</t>
        </is>
      </c>
      <c r="F258" s="129">
        <f>G258-3.042+3.472</f>
        <v/>
      </c>
      <c r="G258" s="129" t="n">
        <v>65.23699999999999</v>
      </c>
      <c r="H258" s="131" t="n">
        <v>64.9421</v>
      </c>
      <c r="I258" s="198">
        <f>G258-H258</f>
        <v/>
      </c>
      <c r="J258" s="115">
        <f>_xlfn.TEXTJOIN("-",TRUE,B258,C258,D258)</f>
        <v/>
      </c>
      <c r="K258" s="184" t="n"/>
      <c r="L258" s="184" t="n"/>
      <c r="M258" s="184" t="n"/>
      <c r="N258" s="184" t="n"/>
      <c r="O258" s="184" t="n"/>
      <c r="P258" s="184" t="n"/>
      <c r="Q258" s="184" t="n"/>
      <c r="R258" s="184" t="n"/>
      <c r="S258" s="390">
        <f>_xlfn.TEXTJOIN("-",TRUE,K258,L258,M258)</f>
        <v/>
      </c>
      <c r="AB258" s="390">
        <f>_xlfn.TEXTJOIN("-",TRUE,T258,U258,V258)</f>
        <v/>
      </c>
      <c r="BB258" s="390">
        <f>_xlfn.TEXTJOIN("-",TRUE,AU258,AW258)</f>
        <v/>
      </c>
    </row>
    <row r="259">
      <c r="B259" s="123" t="inlineStr">
        <is>
          <t>11R24.5</t>
        </is>
      </c>
      <c r="C259" s="177" t="inlineStr">
        <is>
          <t>16PR</t>
        </is>
      </c>
      <c r="D259" s="177" t="inlineStr">
        <is>
          <t>PD211</t>
        </is>
      </c>
      <c r="E259" s="125" t="inlineStr">
        <is>
          <t>ID11R24.5-16PR-A C ID</t>
        </is>
      </c>
      <c r="F259" s="129">
        <f>G259-3.042+3.472</f>
        <v/>
      </c>
      <c r="G259" s="129" t="n">
        <v>65.23699999999999</v>
      </c>
      <c r="H259" s="131" t="n">
        <v>64.9421</v>
      </c>
      <c r="I259" s="198">
        <f>G259-H259</f>
        <v/>
      </c>
      <c r="J259" s="115">
        <f>_xlfn.TEXTJOIN("-",TRUE,B259,C259,D259)</f>
        <v/>
      </c>
      <c r="K259" s="184" t="n"/>
      <c r="L259" s="184" t="n"/>
      <c r="M259" s="184" t="n"/>
      <c r="N259" s="184" t="n"/>
      <c r="O259" s="184" t="n"/>
      <c r="P259" s="184" t="n"/>
      <c r="Q259" s="184" t="n"/>
      <c r="R259" s="184" t="n"/>
      <c r="S259" s="390">
        <f>_xlfn.TEXTJOIN("-",TRUE,K259,L259,M259)</f>
        <v/>
      </c>
      <c r="AB259" s="390">
        <f>_xlfn.TEXTJOIN("-",TRUE,T259,U259,V259)</f>
        <v/>
      </c>
      <c r="BB259" s="390">
        <f>_xlfn.TEXTJOIN("-",TRUE,AU259,AW259)</f>
        <v/>
      </c>
    </row>
    <row r="260" ht="13.8" customHeight="1" s="428">
      <c r="B260" s="123" t="inlineStr">
        <is>
          <t>11R24.5</t>
        </is>
      </c>
      <c r="C260" s="177" t="inlineStr">
        <is>
          <t>16PR</t>
        </is>
      </c>
      <c r="D260" s="177" t="inlineStr">
        <is>
          <t>AD600</t>
        </is>
      </c>
      <c r="E260" s="125" t="inlineStr">
        <is>
          <t>ID11R24.5-16PR-A C ID</t>
        </is>
      </c>
      <c r="F260" s="129">
        <f>G260-3.042+3.472</f>
        <v/>
      </c>
      <c r="G260" s="129" t="n">
        <v>65.23699999999999</v>
      </c>
      <c r="H260" s="131" t="n">
        <v>64.9421</v>
      </c>
      <c r="I260" s="198">
        <f>G260-H260</f>
        <v/>
      </c>
      <c r="J260" s="115">
        <f>_xlfn.TEXTJOIN("-",TRUE,B260,C260,D260)</f>
        <v/>
      </c>
      <c r="K260" s="184" t="n"/>
      <c r="L260" s="184" t="n"/>
      <c r="M260" s="184" t="n"/>
      <c r="N260" s="184" t="n"/>
      <c r="O260" s="184" t="n"/>
      <c r="P260" s="184" t="n"/>
      <c r="Q260" s="184" t="n"/>
      <c r="R260" s="184" t="n"/>
      <c r="S260" s="390">
        <f>_xlfn.TEXTJOIN("-",TRUE,K260,L260,M260)</f>
        <v/>
      </c>
      <c r="AB260" s="390">
        <f>_xlfn.TEXTJOIN("-",TRUE,T260,U260,V260)</f>
        <v/>
      </c>
      <c r="BB260" s="390">
        <f>_xlfn.TEXTJOIN("-",TRUE,AU260,AW260)</f>
        <v/>
      </c>
    </row>
    <row r="261" ht="13.8" customHeight="1" s="428">
      <c r="B261" s="123" t="inlineStr">
        <is>
          <t>11R24.5</t>
        </is>
      </c>
      <c r="C261" s="177" t="inlineStr">
        <is>
          <t>16PR</t>
        </is>
      </c>
      <c r="D261" s="177" t="inlineStr">
        <is>
          <t>I-19A</t>
        </is>
      </c>
      <c r="E261" s="177" t="inlineStr">
        <is>
          <t>ID11R24.5-16PR-Z C ID</t>
        </is>
      </c>
      <c r="F261" s="129">
        <f>G261-3.042+3.472</f>
        <v/>
      </c>
      <c r="G261" s="129" t="n">
        <v>56.529</v>
      </c>
      <c r="H261" s="131" t="n">
        <v>56.42</v>
      </c>
      <c r="I261" s="198">
        <f>G261-H261</f>
        <v/>
      </c>
      <c r="J261" s="115">
        <f>_xlfn.TEXTJOIN("-",TRUE,B261,C261,D261)</f>
        <v/>
      </c>
      <c r="K261" s="184" t="n"/>
      <c r="L261" s="184" t="n"/>
      <c r="M261" s="184" t="n"/>
      <c r="N261" s="184" t="n"/>
      <c r="O261" s="184" t="n"/>
      <c r="P261" s="184" t="n"/>
      <c r="Q261" s="184" t="n"/>
      <c r="R261" s="184" t="n"/>
      <c r="S261" s="390">
        <f>_xlfn.TEXTJOIN("-",TRUE,K261,L261,M261)</f>
        <v/>
      </c>
      <c r="AB261" s="390">
        <f>_xlfn.TEXTJOIN("-",TRUE,T261,U261,V261)</f>
        <v/>
      </c>
      <c r="BB261" s="390">
        <f>_xlfn.TEXTJOIN("-",TRUE,AU261,AW261)</f>
        <v/>
      </c>
    </row>
    <row r="262">
      <c r="B262" s="123" t="inlineStr">
        <is>
          <t>11R24.5</t>
        </is>
      </c>
      <c r="C262" s="177" t="inlineStr">
        <is>
          <t>16PR</t>
        </is>
      </c>
      <c r="D262" s="177" t="inlineStr">
        <is>
          <t>I-61S</t>
        </is>
      </c>
      <c r="E262" s="177" t="inlineStr">
        <is>
          <t>ID11R24.5-16PR-Z C ID</t>
        </is>
      </c>
      <c r="F262" s="129">
        <f>G262-3.042+3.472</f>
        <v/>
      </c>
      <c r="G262" s="129" t="n">
        <v>56.529</v>
      </c>
      <c r="H262" s="131" t="n">
        <v>56.42</v>
      </c>
      <c r="I262" s="198">
        <f>G262-H262</f>
        <v/>
      </c>
      <c r="J262" s="115">
        <f>_xlfn.TEXTJOIN("-",TRUE,B262,C262,D262)</f>
        <v/>
      </c>
      <c r="K262" s="184" t="n"/>
      <c r="L262" s="184" t="n"/>
      <c r="M262" s="184" t="n"/>
      <c r="N262" s="184" t="n"/>
      <c r="O262" s="184" t="n"/>
      <c r="P262" s="184" t="n"/>
      <c r="Q262" s="184" t="n"/>
      <c r="R262" s="184" t="n"/>
      <c r="S262" s="390">
        <f>_xlfn.TEXTJOIN("-",TRUE,K262,L262,M262)</f>
        <v/>
      </c>
      <c r="AB262" s="390">
        <f>_xlfn.TEXTJOIN("-",TRUE,T262,U262,V262)</f>
        <v/>
      </c>
      <c r="BB262" s="390">
        <f>_xlfn.TEXTJOIN("-",TRUE,AU262,AW262)</f>
        <v/>
      </c>
    </row>
    <row r="263" ht="13.8" customHeight="1" s="428">
      <c r="B263" s="123" t="inlineStr">
        <is>
          <t>11R24.5</t>
        </is>
      </c>
      <c r="C263" s="177" t="inlineStr">
        <is>
          <t>16PR</t>
        </is>
      </c>
      <c r="D263" s="177" t="inlineStr">
        <is>
          <t>AT563</t>
        </is>
      </c>
      <c r="E263" s="177" t="inlineStr">
        <is>
          <t>ID11R24.5-16PR-AT563 US C ID</t>
        </is>
      </c>
      <c r="F263" s="129">
        <f>G263-3.042+3.472</f>
        <v/>
      </c>
      <c r="G263" s="129" t="n">
        <v>55.025</v>
      </c>
      <c r="H263" s="131" t="n">
        <v>54.9461</v>
      </c>
      <c r="I263" s="198">
        <f>G263-H263</f>
        <v/>
      </c>
      <c r="J263" s="115">
        <f>_xlfn.TEXTJOIN("-",TRUE,B263,C263,D263)</f>
        <v/>
      </c>
      <c r="K263" s="184" t="n"/>
      <c r="L263" s="184" t="n"/>
      <c r="M263" s="184" t="n"/>
      <c r="N263" s="184" t="n"/>
      <c r="O263" s="184" t="n"/>
      <c r="P263" s="184" t="n"/>
      <c r="Q263" s="184" t="n"/>
      <c r="R263" s="184" t="n"/>
      <c r="S263" s="390">
        <f>_xlfn.TEXTJOIN("-",TRUE,K263,L263,M263)</f>
        <v/>
      </c>
      <c r="AB263" s="390">
        <f>_xlfn.TEXTJOIN("-",TRUE,T263,U263,V263)</f>
        <v/>
      </c>
      <c r="BB263" s="390">
        <f>_xlfn.TEXTJOIN("-",TRUE,AU263,AW263)</f>
        <v/>
      </c>
    </row>
    <row r="264" ht="13.8" customHeight="1" s="428">
      <c r="B264" s="123" t="inlineStr">
        <is>
          <t>11R24.5</t>
        </is>
      </c>
      <c r="C264" s="177" t="inlineStr">
        <is>
          <t>16PR</t>
        </is>
      </c>
      <c r="D264" s="177" t="inlineStr">
        <is>
          <t>CM980</t>
        </is>
      </c>
      <c r="E264" s="177" t="inlineStr">
        <is>
          <t>ID11R24.5-16PR-CM980 US C ID</t>
        </is>
      </c>
      <c r="F264" s="129">
        <f>G264-3.042+3.472</f>
        <v/>
      </c>
      <c r="G264" s="129" t="n">
        <v>59.43</v>
      </c>
      <c r="H264" s="131" t="n">
        <v>60.1356</v>
      </c>
      <c r="I264" s="198">
        <f>G264-H264</f>
        <v/>
      </c>
      <c r="J264" s="115">
        <f>_xlfn.TEXTJOIN("-",TRUE,B264,C264,D264)</f>
        <v/>
      </c>
      <c r="K264" s="184" t="n"/>
      <c r="L264" s="184" t="n"/>
      <c r="M264" s="184" t="n"/>
      <c r="N264" s="184" t="n"/>
      <c r="O264" s="184" t="n"/>
      <c r="P264" s="184" t="n"/>
      <c r="Q264" s="184" t="n"/>
      <c r="R264" s="184" t="n"/>
      <c r="S264" s="390">
        <f>_xlfn.TEXTJOIN("-",TRUE,K264,L264,M264)</f>
        <v/>
      </c>
      <c r="AB264" s="390">
        <f>_xlfn.TEXTJOIN("-",TRUE,T264,U264,V264)</f>
        <v/>
      </c>
      <c r="BB264" s="390">
        <f>_xlfn.TEXTJOIN("-",TRUE,AU264,AW264)</f>
        <v/>
      </c>
    </row>
    <row r="265">
      <c r="B265" s="123" t="inlineStr">
        <is>
          <t>11R24.5</t>
        </is>
      </c>
      <c r="C265" s="177" t="inlineStr">
        <is>
          <t>16PR</t>
        </is>
      </c>
      <c r="D265" s="177" t="inlineStr">
        <is>
          <t>CR960A</t>
        </is>
      </c>
      <c r="E265" s="177" t="inlineStr">
        <is>
          <t>ID11R24.5-16PR-CRA US C ID</t>
        </is>
      </c>
      <c r="F265" s="129">
        <f>G265-3.042+3.472</f>
        <v/>
      </c>
      <c r="G265" s="129" t="n">
        <v>55.992</v>
      </c>
      <c r="H265" s="131" t="n">
        <v>55.9075</v>
      </c>
      <c r="I265" s="198">
        <f>G265-H265</f>
        <v/>
      </c>
      <c r="J265" s="115">
        <f>_xlfn.TEXTJOIN("-",TRUE,B265,C265,D265)</f>
        <v/>
      </c>
      <c r="K265" s="184" t="n"/>
      <c r="L265" s="184" t="n"/>
      <c r="M265" s="184" t="n"/>
      <c r="N265" s="184" t="n"/>
      <c r="O265" s="184" t="n"/>
      <c r="P265" s="184" t="n"/>
      <c r="Q265" s="184" t="n"/>
      <c r="R265" s="184" t="n"/>
      <c r="S265" s="390">
        <f>_xlfn.TEXTJOIN("-",TRUE,K265,L265,M265)</f>
        <v/>
      </c>
      <c r="AB265" s="390">
        <f>_xlfn.TEXTJOIN("-",TRUE,T265,U265,V265)</f>
        <v/>
      </c>
      <c r="BB265" s="390">
        <f>_xlfn.TEXTJOIN("-",TRUE,AU265,AW265)</f>
        <v/>
      </c>
    </row>
    <row r="266">
      <c r="B266" s="123" t="inlineStr">
        <is>
          <t>11R24.5</t>
        </is>
      </c>
      <c r="C266" s="177" t="inlineStr">
        <is>
          <t>16PR</t>
        </is>
      </c>
      <c r="D266" s="177" t="inlineStr">
        <is>
          <t>RLINE-A1</t>
        </is>
      </c>
      <c r="E266" s="177" t="inlineStr">
        <is>
          <t>ID11R24.5-16PR-CRA US C ID</t>
        </is>
      </c>
      <c r="F266" s="129">
        <f>G266-3.042+3.472</f>
        <v/>
      </c>
      <c r="G266" s="129" t="n">
        <v>55.992</v>
      </c>
      <c r="H266" s="131" t="n">
        <v>55.9075</v>
      </c>
      <c r="I266" s="198">
        <f>G266-H266</f>
        <v/>
      </c>
      <c r="J266" s="115">
        <f>_xlfn.TEXTJOIN("-",TRUE,B266,C266,D266)</f>
        <v/>
      </c>
      <c r="K266" s="184" t="n"/>
      <c r="L266" s="184" t="n"/>
      <c r="M266" s="184" t="n"/>
      <c r="N266" s="184" t="n"/>
      <c r="O266" s="184" t="n"/>
      <c r="P266" s="184" t="n"/>
      <c r="Q266" s="184" t="n"/>
      <c r="R266" s="184" t="n"/>
      <c r="S266" s="390">
        <f>_xlfn.TEXTJOIN("-",TRUE,K266,L266,M266)</f>
        <v/>
      </c>
      <c r="AB266" s="390">
        <f>_xlfn.TEXTJOIN("-",TRUE,T266,U266,V266)</f>
        <v/>
      </c>
      <c r="BB266" s="390">
        <f>_xlfn.TEXTJOIN("-",TRUE,AU266,AW266)</f>
        <v/>
      </c>
    </row>
    <row r="267" ht="13.8" customHeight="1" s="428">
      <c r="B267" s="123" t="inlineStr">
        <is>
          <t>11R24.5</t>
        </is>
      </c>
      <c r="C267" s="177" t="inlineStr">
        <is>
          <t>16PR</t>
        </is>
      </c>
      <c r="D267" s="177" t="inlineStr">
        <is>
          <t>VXD932</t>
        </is>
      </c>
      <c r="E267" s="177" t="inlineStr">
        <is>
          <t>ID11R24.5-16PR-VXD932 C ID</t>
        </is>
      </c>
      <c r="F267" s="129">
        <f>G267-3.042+3.472</f>
        <v/>
      </c>
      <c r="G267" s="129" t="n">
        <v>65.58499999999999</v>
      </c>
      <c r="H267" s="131" t="n">
        <v>64.8583</v>
      </c>
      <c r="I267" s="198">
        <f>G267-H267</f>
        <v/>
      </c>
      <c r="J267" s="115">
        <f>_xlfn.TEXTJOIN("-",TRUE,B267,C267,D267)</f>
        <v/>
      </c>
      <c r="K267" s="184" t="n"/>
      <c r="L267" s="184" t="n"/>
      <c r="M267" s="184" t="n"/>
      <c r="N267" s="184" t="n"/>
      <c r="O267" s="184" t="n"/>
      <c r="P267" s="184" t="n"/>
      <c r="Q267" s="184" t="n"/>
      <c r="R267" s="184" t="n"/>
      <c r="S267" s="390">
        <f>_xlfn.TEXTJOIN("-",TRUE,K267,L267,M267)</f>
        <v/>
      </c>
      <c r="AB267" s="390">
        <f>_xlfn.TEXTJOIN("-",TRUE,T267,U267,V267)</f>
        <v/>
      </c>
      <c r="BB267" s="390">
        <f>_xlfn.TEXTJOIN("-",TRUE,AU267,AW267)</f>
        <v/>
      </c>
    </row>
    <row r="268" ht="13.8" customHeight="1" s="428">
      <c r="B268" s="123" t="inlineStr">
        <is>
          <t>11R24.5</t>
        </is>
      </c>
      <c r="C268" s="177" t="inlineStr">
        <is>
          <t>16PR</t>
        </is>
      </c>
      <c r="D268" s="177" t="inlineStr">
        <is>
          <t>VD998</t>
        </is>
      </c>
      <c r="E268" s="177" t="inlineStr">
        <is>
          <t>ID11R24.5-16PR-F C ID</t>
        </is>
      </c>
      <c r="F268" s="129">
        <f>G268-3.042+3.472</f>
        <v/>
      </c>
      <c r="G268" s="129" t="n">
        <v>66.348</v>
      </c>
      <c r="H268" s="131" t="n">
        <v>65.0427</v>
      </c>
      <c r="I268" s="198">
        <f>G268-H268</f>
        <v/>
      </c>
      <c r="J268" s="115">
        <f>_xlfn.TEXTJOIN("-",TRUE,B268,C268,D268)</f>
        <v/>
      </c>
      <c r="K268" s="184" t="n"/>
      <c r="L268" s="184" t="n"/>
      <c r="M268" s="184" t="n"/>
      <c r="N268" s="184" t="n"/>
      <c r="O268" s="184" t="n"/>
      <c r="P268" s="184" t="n"/>
      <c r="Q268" s="184" t="n"/>
      <c r="R268" s="184" t="n"/>
      <c r="S268" s="390">
        <f>_xlfn.TEXTJOIN("-",TRUE,K268,L268,M268)</f>
        <v/>
      </c>
      <c r="AB268" s="390">
        <f>_xlfn.TEXTJOIN("-",TRUE,T268,U268,V268)</f>
        <v/>
      </c>
      <c r="BB268" s="390">
        <f>_xlfn.TEXTJOIN("-",TRUE,AU268,AW268)</f>
        <v/>
      </c>
    </row>
    <row r="269">
      <c r="B269" s="123" t="inlineStr">
        <is>
          <t>11R24.5</t>
        </is>
      </c>
      <c r="C269" s="177" t="inlineStr">
        <is>
          <t>16PR</t>
        </is>
      </c>
      <c r="D269" s="177" t="inlineStr">
        <is>
          <t>VD908</t>
        </is>
      </c>
      <c r="E269" s="177" t="inlineStr">
        <is>
          <t>ID11R24.5-16PR-F C ID</t>
        </is>
      </c>
      <c r="F269" s="129">
        <f>G269-3.042+3.472</f>
        <v/>
      </c>
      <c r="G269" s="129" t="n">
        <v>66.348</v>
      </c>
      <c r="H269" s="131" t="n">
        <v>65.0427</v>
      </c>
      <c r="I269" s="198">
        <f>G269-H269</f>
        <v/>
      </c>
      <c r="J269" s="115">
        <f>_xlfn.TEXTJOIN("-",TRUE,B269,C269,D269)</f>
        <v/>
      </c>
      <c r="K269" s="184" t="n"/>
      <c r="L269" s="184" t="n"/>
      <c r="M269" s="184" t="n"/>
      <c r="N269" s="184" t="n"/>
      <c r="O269" s="184" t="n"/>
      <c r="P269" s="184" t="n"/>
      <c r="Q269" s="184" t="n"/>
      <c r="R269" s="184" t="n"/>
      <c r="S269" s="390">
        <f>_xlfn.TEXTJOIN("-",TRUE,K269,L269,M269)</f>
        <v/>
      </c>
      <c r="AB269" s="390">
        <f>_xlfn.TEXTJOIN("-",TRUE,T269,U269,V269)</f>
        <v/>
      </c>
      <c r="BB269" s="390">
        <f>_xlfn.TEXTJOIN("-",TRUE,AU269,AW269)</f>
        <v/>
      </c>
    </row>
    <row r="270">
      <c r="B270" s="123" t="inlineStr">
        <is>
          <t>11R24.5</t>
        </is>
      </c>
      <c r="C270" s="177" t="inlineStr">
        <is>
          <t>16PR</t>
        </is>
      </c>
      <c r="D270" s="177" t="inlineStr">
        <is>
          <t>VA991</t>
        </is>
      </c>
      <c r="E270" s="177" t="inlineStr">
        <is>
          <t>ID11R24.5-16PR-VA991 US C ID</t>
        </is>
      </c>
      <c r="F270" s="129">
        <f>G270-3.042+3.472</f>
        <v/>
      </c>
      <c r="G270" s="129" t="n">
        <v>61.195</v>
      </c>
      <c r="H270" s="131" t="n">
        <v>61.1145</v>
      </c>
      <c r="I270" s="198">
        <f>G270-H270</f>
        <v/>
      </c>
      <c r="J270" s="115">
        <f>_xlfn.TEXTJOIN("-",TRUE,B270,C270,D270)</f>
        <v/>
      </c>
      <c r="K270" s="184" t="n"/>
      <c r="L270" s="184" t="n"/>
      <c r="M270" s="184" t="n"/>
      <c r="N270" s="184" t="n"/>
      <c r="O270" s="184" t="n"/>
      <c r="P270" s="184" t="n"/>
      <c r="Q270" s="184" t="n"/>
      <c r="R270" s="184" t="n"/>
      <c r="S270" s="390">
        <f>_xlfn.TEXTJOIN("-",TRUE,K270,L270,M270)</f>
        <v/>
      </c>
      <c r="AB270" s="390">
        <f>_xlfn.TEXTJOIN("-",TRUE,T270,U270,V270)</f>
        <v/>
      </c>
      <c r="BB270" s="390">
        <f>_xlfn.TEXTJOIN("-",TRUE,AU270,AW270)</f>
        <v/>
      </c>
    </row>
    <row r="271">
      <c r="B271" s="123" t="inlineStr">
        <is>
          <t>11R24.5</t>
        </is>
      </c>
      <c r="C271" s="177" t="inlineStr">
        <is>
          <t>16PR</t>
        </is>
      </c>
      <c r="D271" s="177" t="inlineStr">
        <is>
          <t>VDM924</t>
        </is>
      </c>
      <c r="E271" s="177" t="inlineStr">
        <is>
          <t>ID11R24.5-16PR-VDM924 US C ID</t>
        </is>
      </c>
      <c r="F271" s="129">
        <f>G271-3.042+3.472</f>
        <v/>
      </c>
      <c r="G271" s="129" t="n">
        <v>63.924</v>
      </c>
      <c r="H271" s="131" t="n">
        <v>63.8425</v>
      </c>
      <c r="I271" s="198">
        <f>G271-H271</f>
        <v/>
      </c>
      <c r="J271" s="115">
        <f>_xlfn.TEXTJOIN("-",TRUE,B271,C271,D271)</f>
        <v/>
      </c>
      <c r="K271" s="184" t="n"/>
      <c r="L271" s="184" t="n"/>
      <c r="M271" s="184" t="n"/>
      <c r="N271" s="184" t="n"/>
      <c r="O271" s="184" t="n"/>
      <c r="P271" s="184" t="n"/>
      <c r="Q271" s="184" t="n"/>
      <c r="R271" s="184" t="n"/>
      <c r="S271" s="390">
        <f>_xlfn.TEXTJOIN("-",TRUE,K271,L271,M271)</f>
        <v/>
      </c>
      <c r="AB271" s="390">
        <f>_xlfn.TEXTJOIN("-",TRUE,T271,U271,V271)</f>
        <v/>
      </c>
      <c r="BB271" s="390">
        <f>_xlfn.TEXTJOIN("-",TRUE,AU271,AW271)</f>
        <v/>
      </c>
    </row>
    <row r="272">
      <c r="B272" s="123" t="inlineStr">
        <is>
          <t>11R24.5</t>
        </is>
      </c>
      <c r="C272" s="177" t="inlineStr">
        <is>
          <t>16PR</t>
        </is>
      </c>
      <c r="D272" s="177" t="inlineStr">
        <is>
          <t>AT167</t>
        </is>
      </c>
      <c r="E272" s="125" t="inlineStr">
        <is>
          <t>ID11R24.5-16PR-G J ID</t>
        </is>
      </c>
      <c r="F272" s="129">
        <f>G272-3.091+3.528</f>
        <v/>
      </c>
      <c r="G272" s="129" t="n">
        <v>54.577</v>
      </c>
      <c r="H272" s="131" t="n">
        <v>54.4218</v>
      </c>
      <c r="I272" s="198">
        <f>G272-H272</f>
        <v/>
      </c>
      <c r="J272" s="115">
        <f>_xlfn.TEXTJOIN("-",TRUE,B272,C272,D272)</f>
        <v/>
      </c>
      <c r="K272" s="184" t="n"/>
      <c r="L272" s="184" t="n"/>
      <c r="M272" s="184" t="n"/>
      <c r="N272" s="184" t="n"/>
      <c r="O272" s="184" t="n"/>
      <c r="P272" s="184" t="n"/>
      <c r="Q272" s="184" t="n"/>
      <c r="R272" s="184" t="n"/>
      <c r="S272" s="390">
        <f>_xlfn.TEXTJOIN("-",TRUE,K272,L272,M272)</f>
        <v/>
      </c>
      <c r="AB272" s="390">
        <f>_xlfn.TEXTJOIN("-",TRUE,T272,U272,V272)</f>
        <v/>
      </c>
      <c r="BB272" s="390">
        <f>_xlfn.TEXTJOIN("-",TRUE,AU272,AW272)</f>
        <v/>
      </c>
    </row>
    <row r="273" ht="13.8" customHeight="1" s="428">
      <c r="B273" s="123" t="inlineStr">
        <is>
          <t>11R24.5</t>
        </is>
      </c>
      <c r="C273" s="177" t="inlineStr">
        <is>
          <t>16PR</t>
        </is>
      </c>
      <c r="D273" s="177" t="inlineStr">
        <is>
          <t>AT194</t>
        </is>
      </c>
      <c r="E273" s="125" t="inlineStr">
        <is>
          <t>ID11R24.5-16PR-G J ID</t>
        </is>
      </c>
      <c r="F273" s="129">
        <f>G273-3.091+3.528</f>
        <v/>
      </c>
      <c r="G273" s="129" t="n">
        <v>54.577</v>
      </c>
      <c r="H273" s="131" t="n">
        <v>54.4218</v>
      </c>
      <c r="I273" s="198">
        <f>G273-H273</f>
        <v/>
      </c>
      <c r="J273" s="115">
        <f>_xlfn.TEXTJOIN("-",TRUE,B273,C273,D273)</f>
        <v/>
      </c>
      <c r="K273" s="184" t="n"/>
      <c r="L273" s="184" t="n"/>
      <c r="M273" s="184" t="n"/>
      <c r="N273" s="184" t="n"/>
      <c r="O273" s="184" t="n"/>
      <c r="P273" s="184" t="n"/>
      <c r="Q273" s="184" t="n"/>
      <c r="R273" s="184" t="n"/>
      <c r="S273" s="390">
        <f>_xlfn.TEXTJOIN("-",TRUE,K273,L273,M273)</f>
        <v/>
      </c>
      <c r="AB273" s="390">
        <f>_xlfn.TEXTJOIN("-",TRUE,T273,U273,V273)</f>
        <v/>
      </c>
      <c r="BB273" s="390">
        <f>_xlfn.TEXTJOIN("-",TRUE,AU273,AW273)</f>
        <v/>
      </c>
    </row>
    <row r="274">
      <c r="B274" s="123" t="inlineStr">
        <is>
          <t>11R24.5</t>
        </is>
      </c>
      <c r="C274" s="177" t="inlineStr">
        <is>
          <t>16PR</t>
        </is>
      </c>
      <c r="D274" s="177" t="inlineStr">
        <is>
          <t>HF1 PlusX</t>
        </is>
      </c>
      <c r="E274" s="125" t="inlineStr">
        <is>
          <t>ID11R24.5-16PR-G J ID</t>
        </is>
      </c>
      <c r="F274" s="129">
        <f>G274-3.091+3.528</f>
        <v/>
      </c>
      <c r="G274" s="129" t="n">
        <v>54.577</v>
      </c>
      <c r="H274" s="131" t="n">
        <v>54.4218</v>
      </c>
      <c r="I274" s="198">
        <f>G274-H274</f>
        <v/>
      </c>
      <c r="J274" s="115">
        <f>_xlfn.TEXTJOIN("-",TRUE,B274,C274,D274)</f>
        <v/>
      </c>
      <c r="K274" s="184" t="n"/>
      <c r="L274" s="184" t="n"/>
      <c r="M274" s="184" t="n"/>
      <c r="N274" s="184" t="n"/>
      <c r="O274" s="184" t="n"/>
      <c r="P274" s="184" t="n"/>
      <c r="Q274" s="184" t="n"/>
      <c r="R274" s="184" t="n"/>
      <c r="S274" s="390">
        <f>_xlfn.TEXTJOIN("-",TRUE,K274,L274,M274)</f>
        <v/>
      </c>
      <c r="AB274" s="390">
        <f>_xlfn.TEXTJOIN("-",TRUE,T274,U274,V274)</f>
        <v/>
      </c>
      <c r="BB274" s="390">
        <f>_xlfn.TEXTJOIN("-",TRUE,AU274,AW274)</f>
        <v/>
      </c>
    </row>
    <row r="275" ht="13.8" customHeight="1" s="428">
      <c r="B275" s="123" t="inlineStr">
        <is>
          <t>11R24.5</t>
        </is>
      </c>
      <c r="C275" s="177" t="inlineStr">
        <is>
          <t>16PR</t>
        </is>
      </c>
      <c r="D275" s="177" t="inlineStr">
        <is>
          <t>KOBE APM</t>
        </is>
      </c>
      <c r="E275" s="125" t="inlineStr">
        <is>
          <t>ID11R24.5-16PR-G J ID</t>
        </is>
      </c>
      <c r="F275" s="129">
        <f>G275-3.091+3.528</f>
        <v/>
      </c>
      <c r="G275" s="129" t="n">
        <v>54.577</v>
      </c>
      <c r="H275" s="131" t="n">
        <v>54.4218</v>
      </c>
      <c r="I275" s="198">
        <f>G275-H275</f>
        <v/>
      </c>
      <c r="J275" s="115">
        <f>_xlfn.TEXTJOIN("-",TRUE,B275,C275,D275)</f>
        <v/>
      </c>
      <c r="K275" s="184" t="n"/>
      <c r="L275" s="184" t="n"/>
      <c r="M275" s="184" t="n"/>
      <c r="N275" s="184" t="n"/>
      <c r="O275" s="184" t="n"/>
      <c r="P275" s="184" t="n"/>
      <c r="Q275" s="184" t="n"/>
      <c r="R275" s="184" t="n"/>
      <c r="S275" s="390">
        <f>_xlfn.TEXTJOIN("-",TRUE,K275,L275,M275)</f>
        <v/>
      </c>
      <c r="AB275" s="390">
        <f>_xlfn.TEXTJOIN("-",TRUE,T275,U275,V275)</f>
        <v/>
      </c>
      <c r="BB275" s="390">
        <f>_xlfn.TEXTJOIN("-",TRUE,AU275,AW275)</f>
        <v/>
      </c>
    </row>
    <row r="276" ht="13.8" customHeight="1" s="428">
      <c r="B276" s="123" t="inlineStr">
        <is>
          <t>11R24.5</t>
        </is>
      </c>
      <c r="C276" s="177" t="inlineStr">
        <is>
          <t>16PR</t>
        </is>
      </c>
      <c r="D276" s="177" t="inlineStr">
        <is>
          <t>AS600</t>
        </is>
      </c>
      <c r="E276" s="177" t="inlineStr">
        <is>
          <t>ID11R24.5-16PR-AS600 AR US ID</t>
        </is>
      </c>
      <c r="F276" s="129">
        <f>G276-3.042+3.472</f>
        <v/>
      </c>
      <c r="G276" s="129" t="n">
        <v>55.709</v>
      </c>
      <c r="H276" s="131" t="n">
        <v>55.6021</v>
      </c>
      <c r="I276" s="198">
        <f>G276-H276</f>
        <v/>
      </c>
      <c r="J276" s="115">
        <f>_xlfn.TEXTJOIN("-",TRUE,B276,C276,D276)</f>
        <v/>
      </c>
      <c r="K276" s="184" t="n"/>
      <c r="L276" s="184" t="n"/>
      <c r="M276" s="184" t="n"/>
      <c r="N276" s="184" t="n"/>
      <c r="O276" s="184" t="n"/>
      <c r="P276" s="184" t="n"/>
      <c r="Q276" s="184" t="n"/>
      <c r="R276" s="184" t="n"/>
      <c r="S276" s="390">
        <f>_xlfn.TEXTJOIN("-",TRUE,K276,L276,M276)</f>
        <v/>
      </c>
      <c r="AB276" s="390">
        <f>_xlfn.TEXTJOIN("-",TRUE,T276,U276,V276)</f>
        <v/>
      </c>
      <c r="BB276" s="390">
        <f>_xlfn.TEXTJOIN("-",TRUE,AU276,AW276)</f>
        <v/>
      </c>
    </row>
    <row r="277">
      <c r="B277" s="123" t="inlineStr">
        <is>
          <t>11R24.5</t>
        </is>
      </c>
      <c r="C277" s="177" t="inlineStr">
        <is>
          <t>16PR</t>
        </is>
      </c>
      <c r="D277" s="177" t="inlineStr">
        <is>
          <t>AD721</t>
        </is>
      </c>
      <c r="E277" s="177" t="inlineStr">
        <is>
          <t>ID11R24.5-16PR-X C ID</t>
        </is>
      </c>
      <c r="F277" s="129">
        <f>G277-3.042+3.472</f>
        <v/>
      </c>
      <c r="G277" s="129" t="n">
        <v>60.799</v>
      </c>
      <c r="H277" s="131" t="n">
        <v>60.7188</v>
      </c>
      <c r="I277" s="198">
        <f>G277-H277</f>
        <v/>
      </c>
      <c r="J277" s="115">
        <f>_xlfn.TEXTJOIN("-",TRUE,B277,C277,D277)</f>
        <v/>
      </c>
      <c r="K277" s="184" t="n"/>
      <c r="L277" s="184" t="n"/>
      <c r="M277" s="184" t="n"/>
      <c r="N277" s="184" t="n"/>
      <c r="O277" s="184" t="n"/>
      <c r="P277" s="184" t="n"/>
      <c r="Q277" s="184" t="n"/>
      <c r="R277" s="184" t="n"/>
      <c r="S277" s="390">
        <f>_xlfn.TEXTJOIN("-",TRUE,K277,L277,M277)</f>
        <v/>
      </c>
      <c r="AB277" s="390">
        <f>_xlfn.TEXTJOIN("-",TRUE,T277,U277,V277)</f>
        <v/>
      </c>
      <c r="BB277" s="390">
        <f>_xlfn.TEXTJOIN("-",TRUE,AU277,AW277)</f>
        <v/>
      </c>
    </row>
    <row r="278">
      <c r="B278" s="123" t="inlineStr">
        <is>
          <t>11R24.5</t>
        </is>
      </c>
      <c r="C278" s="177" t="inlineStr">
        <is>
          <t>16PR</t>
        </is>
      </c>
      <c r="D278" s="177" t="inlineStr">
        <is>
          <t>HD2 Plus</t>
        </is>
      </c>
      <c r="E278" s="177" t="inlineStr">
        <is>
          <t>ID11R24.5-16PR-X C ID</t>
        </is>
      </c>
      <c r="F278" s="129">
        <f>G278-3.042+3.472</f>
        <v/>
      </c>
      <c r="G278" s="129" t="n">
        <v>60.799</v>
      </c>
      <c r="H278" s="131" t="n">
        <v>60.7188</v>
      </c>
      <c r="I278" s="198">
        <f>G278-H278</f>
        <v/>
      </c>
      <c r="J278" s="115">
        <f>_xlfn.TEXTJOIN("-",TRUE,B278,C278,D278)</f>
        <v/>
      </c>
      <c r="K278" s="184" t="n"/>
      <c r="L278" s="184" t="n"/>
      <c r="M278" s="184" t="n"/>
      <c r="N278" s="184" t="n"/>
      <c r="O278" s="184" t="n"/>
      <c r="P278" s="184" t="n"/>
      <c r="Q278" s="184" t="n"/>
      <c r="R278" s="184" t="n"/>
      <c r="S278" s="390">
        <f>_xlfn.TEXTJOIN("-",TRUE,K278,L278,M278)</f>
        <v/>
      </c>
      <c r="AB278" s="390">
        <f>_xlfn.TEXTJOIN("-",TRUE,T278,U278,V278)</f>
        <v/>
      </c>
      <c r="BB278" s="390">
        <f>_xlfn.TEXTJOIN("-",TRUE,AU278,AW278)</f>
        <v/>
      </c>
    </row>
    <row r="279">
      <c r="B279" s="123" t="inlineStr">
        <is>
          <t>11R24.5</t>
        </is>
      </c>
      <c r="C279" s="177" t="inlineStr">
        <is>
          <t>16PR</t>
        </is>
      </c>
      <c r="D279" s="177" t="inlineStr">
        <is>
          <t>AD178</t>
        </is>
      </c>
      <c r="E279" s="125" t="inlineStr">
        <is>
          <t>ID11R24.5-16PR-K J ID</t>
        </is>
      </c>
      <c r="F279" s="129">
        <f>G279-3.091+3.528</f>
        <v/>
      </c>
      <c r="G279" s="129" t="n">
        <v>58.563</v>
      </c>
      <c r="H279" s="131" t="n">
        <v>58.4068</v>
      </c>
      <c r="I279" s="198">
        <f>G279-H279</f>
        <v/>
      </c>
      <c r="J279" s="115">
        <f>_xlfn.TEXTJOIN("-",TRUE,B279,C279,D279)</f>
        <v/>
      </c>
      <c r="K279" s="184" t="n"/>
      <c r="L279" s="184" t="n"/>
      <c r="M279" s="184" t="n"/>
      <c r="N279" s="184" t="n"/>
      <c r="O279" s="184" t="n"/>
      <c r="P279" s="184" t="n"/>
      <c r="Q279" s="184" t="n"/>
      <c r="R279" s="184" t="n"/>
      <c r="S279" s="390">
        <f>_xlfn.TEXTJOIN("-",TRUE,K279,L279,M279)</f>
        <v/>
      </c>
      <c r="AB279" s="390">
        <f>_xlfn.TEXTJOIN("-",TRUE,T279,U279,V279)</f>
        <v/>
      </c>
      <c r="BB279" s="390">
        <f>_xlfn.TEXTJOIN("-",TRUE,AU279,AW279)</f>
        <v/>
      </c>
    </row>
    <row r="280" ht="13.8" customHeight="1" s="428">
      <c r="B280" s="123" t="inlineStr">
        <is>
          <t>11R24.5</t>
        </is>
      </c>
      <c r="C280" s="177" t="inlineStr">
        <is>
          <t>16PR</t>
        </is>
      </c>
      <c r="D280" s="177" t="inlineStr">
        <is>
          <t>AD196</t>
        </is>
      </c>
      <c r="E280" s="125" t="inlineStr">
        <is>
          <t>ID11R24.5-16PR-K J ID</t>
        </is>
      </c>
      <c r="F280" s="129">
        <f>G280-3.091+3.528</f>
        <v/>
      </c>
      <c r="G280" s="129" t="n">
        <v>58.563</v>
      </c>
      <c r="H280" s="131" t="n">
        <v>58.4068</v>
      </c>
      <c r="I280" s="198">
        <f>G280-H280</f>
        <v/>
      </c>
      <c r="J280" s="115">
        <f>_xlfn.TEXTJOIN("-",TRUE,B280,C280,D280)</f>
        <v/>
      </c>
      <c r="K280" s="184" t="n"/>
      <c r="L280" s="184" t="n"/>
      <c r="M280" s="184" t="n"/>
      <c r="N280" s="184" t="n"/>
      <c r="O280" s="184" t="n"/>
      <c r="P280" s="184" t="n"/>
      <c r="Q280" s="184" t="n"/>
      <c r="R280" s="184" t="n"/>
      <c r="S280" s="390">
        <f>_xlfn.TEXTJOIN("-",TRUE,K280,L280,M280)</f>
        <v/>
      </c>
      <c r="AB280" s="390">
        <f>_xlfn.TEXTJOIN("-",TRUE,T280,U280,V280)</f>
        <v/>
      </c>
      <c r="BB280" s="390">
        <f>_xlfn.TEXTJOIN("-",TRUE,AU280,AW280)</f>
        <v/>
      </c>
    </row>
    <row r="281" ht="13.8" customHeight="1" s="428">
      <c r="B281" s="123" t="inlineStr">
        <is>
          <t>11R24.5</t>
        </is>
      </c>
      <c r="C281" s="177" t="inlineStr">
        <is>
          <t>16PR</t>
        </is>
      </c>
      <c r="D281" s="177" t="inlineStr">
        <is>
          <t>HD1 PlusX</t>
        </is>
      </c>
      <c r="E281" s="125" t="inlineStr">
        <is>
          <t>ID11R24.5-16PR-K J ID</t>
        </is>
      </c>
      <c r="F281" s="129">
        <f>G281-3.091+3.528</f>
        <v/>
      </c>
      <c r="G281" s="129" t="n">
        <v>58.563</v>
      </c>
      <c r="H281" s="131" t="n">
        <v>58.4068</v>
      </c>
      <c r="I281" s="198">
        <f>G281-H281</f>
        <v/>
      </c>
      <c r="J281" s="115">
        <f>_xlfn.TEXTJOIN("-",TRUE,B281,C281,D281)</f>
        <v/>
      </c>
      <c r="K281" s="184" t="n"/>
      <c r="L281" s="184" t="n"/>
      <c r="M281" s="184" t="n"/>
      <c r="N281" s="184" t="n"/>
      <c r="O281" s="184" t="n"/>
      <c r="P281" s="184" t="n"/>
      <c r="Q281" s="184" t="n"/>
      <c r="R281" s="184" t="n"/>
      <c r="S281" s="390">
        <f>_xlfn.TEXTJOIN("-",TRUE,K281,L281,M281)</f>
        <v/>
      </c>
      <c r="AB281" s="390">
        <f>_xlfn.TEXTJOIN("-",TRUE,T281,U281,V281)</f>
        <v/>
      </c>
      <c r="BB281" s="390">
        <f>_xlfn.TEXTJOIN("-",TRUE,AU281,AW281)</f>
        <v/>
      </c>
    </row>
    <row r="282">
      <c r="B282" s="123" t="inlineStr">
        <is>
          <t>11R24.5</t>
        </is>
      </c>
      <c r="C282" s="177" t="inlineStr">
        <is>
          <t>16PR</t>
        </is>
      </c>
      <c r="D282" s="177" t="inlineStr">
        <is>
          <t>KOBE DPM</t>
        </is>
      </c>
      <c r="E282" s="125" t="inlineStr">
        <is>
          <t>ID11R24.5-16PR-K J ID</t>
        </is>
      </c>
      <c r="F282" s="129">
        <f>G282-3.091+3.528</f>
        <v/>
      </c>
      <c r="G282" s="129" t="n">
        <v>58.563</v>
      </c>
      <c r="H282" s="131" t="n">
        <v>58.4068</v>
      </c>
      <c r="I282" s="198">
        <f>G282-H282</f>
        <v/>
      </c>
      <c r="J282" s="115">
        <f>_xlfn.TEXTJOIN("-",TRUE,B282,C282,D282)</f>
        <v/>
      </c>
      <c r="K282" s="184" t="n"/>
      <c r="L282" s="184" t="n"/>
      <c r="M282" s="184" t="n"/>
      <c r="N282" s="184" t="n"/>
      <c r="O282" s="184" t="n"/>
      <c r="P282" s="184" t="n"/>
      <c r="Q282" s="184" t="n"/>
      <c r="R282" s="184" t="n"/>
      <c r="S282" s="390">
        <f>_xlfn.TEXTJOIN("-",TRUE,K282,L282,M282)</f>
        <v/>
      </c>
      <c r="AB282" s="390">
        <f>_xlfn.TEXTJOIN("-",TRUE,T282,U282,V282)</f>
        <v/>
      </c>
      <c r="BB282" s="390">
        <f>_xlfn.TEXTJOIN("-",TRUE,AU282,AW282)</f>
        <v/>
      </c>
    </row>
    <row r="283">
      <c r="B283" s="123" t="inlineStr">
        <is>
          <t>11R24.5</t>
        </is>
      </c>
      <c r="C283" s="177" t="inlineStr">
        <is>
          <t>16PR</t>
        </is>
      </c>
      <c r="D283" s="177" t="inlineStr">
        <is>
          <t>AZ126T+</t>
        </is>
      </c>
      <c r="E283" s="177" t="inlineStr">
        <is>
          <t>ID11R24.5-16PR-H J ID</t>
        </is>
      </c>
      <c r="F283" s="129">
        <f>G283-3.091+3.528</f>
        <v/>
      </c>
      <c r="G283" s="129" t="n">
        <v>56.454</v>
      </c>
      <c r="H283" s="131" t="n">
        <v>56.2978</v>
      </c>
      <c r="I283" s="198">
        <f>G283-H283</f>
        <v/>
      </c>
      <c r="J283" s="115">
        <f>_xlfn.TEXTJOIN("-",TRUE,B283,C283,D283)</f>
        <v/>
      </c>
      <c r="K283" s="184" t="n"/>
      <c r="L283" s="184" t="n"/>
      <c r="M283" s="184" t="n"/>
      <c r="N283" s="184" t="n"/>
      <c r="O283" s="184" t="n"/>
      <c r="P283" s="184" t="n"/>
      <c r="Q283" s="184" t="n"/>
      <c r="R283" s="184" t="n"/>
      <c r="S283" s="390">
        <f>_xlfn.TEXTJOIN("-",TRUE,K283,L283,M283)</f>
        <v/>
      </c>
      <c r="AB283" s="390">
        <f>_xlfn.TEXTJOIN("-",TRUE,T283,U283,V283)</f>
        <v/>
      </c>
      <c r="BB283" s="390">
        <f>_xlfn.TEXTJOIN("-",TRUE,AU283,AW283)</f>
        <v/>
      </c>
    </row>
    <row r="284" ht="13.8" customHeight="1" s="428">
      <c r="B284" s="123" t="inlineStr">
        <is>
          <t>11R24.5</t>
        </is>
      </c>
      <c r="C284" s="177" t="inlineStr">
        <is>
          <t>16PR</t>
        </is>
      </c>
      <c r="D284" s="177" t="inlineStr">
        <is>
          <t>HCC1 PlusX</t>
        </is>
      </c>
      <c r="E284" s="177" t="inlineStr">
        <is>
          <t>ID11R24.5-16PR-H J ID</t>
        </is>
      </c>
      <c r="F284" s="129">
        <f>G284-3.091+3.528</f>
        <v/>
      </c>
      <c r="G284" s="129" t="n">
        <v>56.454</v>
      </c>
      <c r="H284" s="131" t="n">
        <v>56.2978</v>
      </c>
      <c r="I284" s="198">
        <f>G284-H284</f>
        <v/>
      </c>
      <c r="J284" s="115">
        <f>_xlfn.TEXTJOIN("-",TRUE,B284,C284,D284)</f>
        <v/>
      </c>
      <c r="K284" s="184" t="n"/>
      <c r="L284" s="184" t="n"/>
      <c r="M284" s="184" t="n"/>
      <c r="N284" s="184" t="n"/>
      <c r="O284" s="184" t="n"/>
      <c r="P284" s="184" t="n"/>
      <c r="Q284" s="184" t="n"/>
      <c r="R284" s="184" t="n"/>
      <c r="S284" s="390">
        <f>_xlfn.TEXTJOIN("-",TRUE,K284,L284,M284)</f>
        <v/>
      </c>
      <c r="AB284" s="390">
        <f>_xlfn.TEXTJOIN("-",TRUE,T284,U284,V284)</f>
        <v/>
      </c>
      <c r="BB284" s="390">
        <f>_xlfn.TEXTJOIN("-",TRUE,AU284,AW284)</f>
        <v/>
      </c>
    </row>
    <row r="285">
      <c r="B285" s="123" t="inlineStr">
        <is>
          <t>11R24.5</t>
        </is>
      </c>
      <c r="C285" s="177" t="inlineStr">
        <is>
          <t>16PR</t>
        </is>
      </c>
      <c r="D285" s="177" t="inlineStr">
        <is>
          <t>AD184</t>
        </is>
      </c>
      <c r="E285" s="177" t="inlineStr">
        <is>
          <t>ID11R24.5-16PR-AB J ID</t>
        </is>
      </c>
      <c r="F285" s="129">
        <f>G285-3.091+3.528</f>
        <v/>
      </c>
      <c r="G285" s="129" t="n">
        <v>58.027</v>
      </c>
      <c r="H285" s="131" t="n">
        <v>57.8712</v>
      </c>
      <c r="I285" s="198">
        <f>G285-H285</f>
        <v/>
      </c>
      <c r="J285" s="115">
        <f>_xlfn.TEXTJOIN("-",TRUE,B285,C285,D285)</f>
        <v/>
      </c>
      <c r="K285" s="184" t="n"/>
      <c r="L285" s="184" t="n"/>
      <c r="M285" s="184" t="n"/>
      <c r="N285" s="184" t="n"/>
      <c r="O285" s="184" t="n"/>
      <c r="P285" s="184" t="n"/>
      <c r="Q285" s="184" t="n"/>
      <c r="R285" s="184" t="n"/>
      <c r="S285" s="390">
        <f>_xlfn.TEXTJOIN("-",TRUE,K285,L285,M285)</f>
        <v/>
      </c>
      <c r="AB285" s="390">
        <f>_xlfn.TEXTJOIN("-",TRUE,T285,U285,V285)</f>
        <v/>
      </c>
      <c r="BB285" s="390">
        <f>_xlfn.TEXTJOIN("-",TRUE,AU285,AW285)</f>
        <v/>
      </c>
    </row>
    <row r="286">
      <c r="B286" s="123" t="inlineStr">
        <is>
          <t>11R24.5</t>
        </is>
      </c>
      <c r="C286" s="177" t="inlineStr">
        <is>
          <t>16PR</t>
        </is>
      </c>
      <c r="D286" s="177" t="inlineStr">
        <is>
          <t>HD2 PlusX</t>
        </is>
      </c>
      <c r="E286" s="177" t="inlineStr">
        <is>
          <t>ID11R24.5-16PR-AB J ID</t>
        </is>
      </c>
      <c r="F286" s="129">
        <f>G286-3.091+3.528</f>
        <v/>
      </c>
      <c r="G286" s="129" t="n">
        <v>58.027</v>
      </c>
      <c r="H286" s="131" t="n">
        <v>57.8712</v>
      </c>
      <c r="I286" s="198">
        <f>G286-H286</f>
        <v/>
      </c>
      <c r="J286" s="115">
        <f>_xlfn.TEXTJOIN("-",TRUE,B286,C286,D286)</f>
        <v/>
      </c>
      <c r="K286" s="184" t="n"/>
      <c r="L286" s="184" t="n"/>
      <c r="M286" s="184" t="n"/>
      <c r="N286" s="184" t="n"/>
      <c r="O286" s="184" t="n"/>
      <c r="P286" s="184" t="n"/>
      <c r="Q286" s="184" t="n"/>
      <c r="R286" s="184" t="n"/>
      <c r="S286" s="390">
        <f>_xlfn.TEXTJOIN("-",TRUE,K286,L286,M286)</f>
        <v/>
      </c>
      <c r="AB286" s="390">
        <f>_xlfn.TEXTJOIN("-",TRUE,T286,U286,V286)</f>
        <v/>
      </c>
      <c r="BB286" s="390">
        <f>_xlfn.TEXTJOIN("-",TRUE,AU286,AW286)</f>
        <v/>
      </c>
    </row>
    <row r="287" ht="13.8" customHeight="1" s="428">
      <c r="B287" s="123" t="inlineStr">
        <is>
          <t>11R24.5</t>
        </is>
      </c>
      <c r="C287" s="177" t="inlineStr">
        <is>
          <t>16PR</t>
        </is>
      </c>
      <c r="D287" s="177" t="inlineStr">
        <is>
          <t>AZ692</t>
        </is>
      </c>
      <c r="E287" s="177" t="inlineStr">
        <is>
          <t>ID11R24.5-16PR-AZ692 US ID</t>
        </is>
      </c>
      <c r="F287" s="129">
        <f>G287-3.042+3.472</f>
        <v/>
      </c>
      <c r="G287" s="129" t="n">
        <v>60.931</v>
      </c>
      <c r="H287" s="131" t="n">
        <v>60.8248</v>
      </c>
      <c r="I287" s="198">
        <f>G287-H287</f>
        <v/>
      </c>
      <c r="J287" s="115">
        <f>_xlfn.TEXTJOIN("-",TRUE,B287,C287,D287)</f>
        <v/>
      </c>
      <c r="K287" s="184" t="n"/>
      <c r="L287" s="184" t="n"/>
      <c r="M287" s="184" t="n"/>
      <c r="N287" s="184" t="n"/>
      <c r="O287" s="184" t="n"/>
      <c r="P287" s="184" t="n"/>
      <c r="Q287" s="184" t="n"/>
      <c r="R287" s="184" t="n"/>
      <c r="S287" s="390">
        <f>_xlfn.TEXTJOIN("-",TRUE,K287,L287,M287)</f>
        <v/>
      </c>
      <c r="AB287" s="390">
        <f>_xlfn.TEXTJOIN("-",TRUE,T287,U287,V287)</f>
        <v/>
      </c>
      <c r="BB287" s="390">
        <f>_xlfn.TEXTJOIN("-",TRUE,AU287,AW287)</f>
        <v/>
      </c>
    </row>
    <row r="288" ht="13.8" customHeight="1" s="428">
      <c r="B288" s="123" t="inlineStr">
        <is>
          <t>11R24.5</t>
        </is>
      </c>
      <c r="C288" s="177" t="inlineStr">
        <is>
          <t>16PR</t>
        </is>
      </c>
      <c r="D288" s="177" t="inlineStr">
        <is>
          <t>AS673</t>
        </is>
      </c>
      <c r="E288" s="177" t="inlineStr">
        <is>
          <t>ID11R24.5-16PR-E US ID</t>
        </is>
      </c>
      <c r="F288" s="129">
        <f>G288-3.042+3.472</f>
        <v/>
      </c>
      <c r="G288" s="129" t="n">
        <v>59.28</v>
      </c>
      <c r="H288" s="131" t="n">
        <v>59.1728</v>
      </c>
      <c r="I288" s="198">
        <f>G288-H288</f>
        <v/>
      </c>
      <c r="J288" s="115">
        <f>_xlfn.TEXTJOIN("-",TRUE,B288,C288,D288)</f>
        <v/>
      </c>
      <c r="K288" s="184" t="n"/>
      <c r="L288" s="184" t="n"/>
      <c r="M288" s="184" t="n"/>
      <c r="N288" s="184" t="n"/>
      <c r="O288" s="184" t="n"/>
      <c r="P288" s="184" t="n"/>
      <c r="Q288" s="184" t="n"/>
      <c r="R288" s="184" t="n"/>
      <c r="S288" s="390">
        <f>_xlfn.TEXTJOIN("-",TRUE,K288,L288,M288)</f>
        <v/>
      </c>
      <c r="AB288" s="390">
        <f>_xlfn.TEXTJOIN("-",TRUE,T288,U288,V288)</f>
        <v/>
      </c>
      <c r="BB288" s="390">
        <f>_xlfn.TEXTJOIN("-",TRUE,AU288,AW288)</f>
        <v/>
      </c>
    </row>
    <row r="289">
      <c r="B289" s="123" t="inlineStr">
        <is>
          <t>11R24.5</t>
        </is>
      </c>
      <c r="C289" s="177" t="inlineStr">
        <is>
          <t>16PR</t>
        </is>
      </c>
      <c r="D289" s="177" t="inlineStr">
        <is>
          <t>AD716</t>
        </is>
      </c>
      <c r="E289" s="177" t="inlineStr">
        <is>
          <t>ID11R24.5-16PR-V C ID</t>
        </is>
      </c>
      <c r="F289" s="129">
        <f>G289-3.042+3.472</f>
        <v/>
      </c>
      <c r="G289" s="129" t="n">
        <v>60.054</v>
      </c>
      <c r="H289" s="131" t="n">
        <v>59.65</v>
      </c>
      <c r="I289" s="198">
        <f>G289-H289</f>
        <v/>
      </c>
      <c r="J289" s="115">
        <f>_xlfn.TEXTJOIN("-",TRUE,B289,C289,D289)</f>
        <v/>
      </c>
      <c r="K289" s="184" t="n"/>
      <c r="L289" s="184" t="n"/>
      <c r="M289" s="184" t="n"/>
      <c r="N289" s="184" t="n"/>
      <c r="O289" s="184" t="n"/>
      <c r="P289" s="184" t="n"/>
      <c r="Q289" s="184" t="n"/>
      <c r="R289" s="184" t="n"/>
      <c r="S289" s="390">
        <f>_xlfn.TEXTJOIN("-",TRUE,K289,L289,M289)</f>
        <v/>
      </c>
      <c r="AB289" s="390">
        <f>_xlfn.TEXTJOIN("-",TRUE,T289,U289,V289)</f>
        <v/>
      </c>
      <c r="BB289" s="390">
        <f>_xlfn.TEXTJOIN("-",TRUE,AU289,AW289)</f>
        <v/>
      </c>
    </row>
    <row r="290">
      <c r="B290" s="123" t="inlineStr">
        <is>
          <t>11R24.5</t>
        </is>
      </c>
      <c r="C290" s="177" t="inlineStr">
        <is>
          <t>16PR</t>
        </is>
      </c>
      <c r="D290" s="177" t="inlineStr">
        <is>
          <t>HD1 Plus</t>
        </is>
      </c>
      <c r="E290" s="177" t="inlineStr">
        <is>
          <t>ID11R24.5-16PR-V C ID</t>
        </is>
      </c>
      <c r="F290" s="129">
        <f>G290-3.042+3.472</f>
        <v/>
      </c>
      <c r="G290" s="129" t="n">
        <v>60.054</v>
      </c>
      <c r="H290" s="131" t="n">
        <v>59.65</v>
      </c>
      <c r="I290" s="198">
        <f>G290-H290</f>
        <v/>
      </c>
      <c r="J290" s="115">
        <f>_xlfn.TEXTJOIN("-",TRUE,B290,C290,D290)</f>
        <v/>
      </c>
      <c r="K290" s="184" t="n"/>
      <c r="L290" s="184" t="n"/>
      <c r="M290" s="184" t="n"/>
      <c r="N290" s="184" t="n"/>
      <c r="O290" s="184" t="n"/>
      <c r="P290" s="184" t="n"/>
      <c r="Q290" s="184" t="n"/>
      <c r="R290" s="184" t="n"/>
      <c r="S290" s="390">
        <f>_xlfn.TEXTJOIN("-",TRUE,K290,L290,M290)</f>
        <v/>
      </c>
      <c r="AB290" s="390">
        <f>_xlfn.TEXTJOIN("-",TRUE,T290,U290,V290)</f>
        <v/>
      </c>
      <c r="BB290" s="390">
        <f>_xlfn.TEXTJOIN("-",TRUE,AU290,AW290)</f>
        <v/>
      </c>
    </row>
    <row r="291">
      <c r="B291" s="123" t="inlineStr">
        <is>
          <t>11R24.5</t>
        </is>
      </c>
      <c r="C291" s="177" t="inlineStr">
        <is>
          <t>16PR</t>
        </is>
      </c>
      <c r="D291" s="177" t="inlineStr">
        <is>
          <t>CM996</t>
        </is>
      </c>
      <c r="E291" s="177" t="inlineStr">
        <is>
          <t>ID11R24.5-16PR-V C ID</t>
        </is>
      </c>
      <c r="F291" s="129">
        <f>G291-3.042+3.472</f>
        <v/>
      </c>
      <c r="G291" s="129" t="n">
        <v>60.054</v>
      </c>
      <c r="H291" s="131" t="n">
        <v>59.65</v>
      </c>
      <c r="I291" s="198">
        <f>G291-H291</f>
        <v/>
      </c>
      <c r="J291" s="115">
        <f>_xlfn.TEXTJOIN("-",TRUE,B291,C291,D291)</f>
        <v/>
      </c>
      <c r="K291" s="184" t="n"/>
      <c r="L291" s="184" t="n"/>
      <c r="M291" s="184" t="n"/>
      <c r="N291" s="184" t="n"/>
      <c r="O291" s="184" t="n"/>
      <c r="P291" s="184" t="n"/>
      <c r="Q291" s="184" t="n"/>
      <c r="R291" s="184" t="n"/>
      <c r="S291" s="390">
        <f>_xlfn.TEXTJOIN("-",TRUE,K291,L291,M291)</f>
        <v/>
      </c>
      <c r="AB291" s="390">
        <f>_xlfn.TEXTJOIN("-",TRUE,T291,U291,V291)</f>
        <v/>
      </c>
      <c r="BB291" s="390">
        <f>_xlfn.TEXTJOIN("-",TRUE,AU291,AW291)</f>
        <v/>
      </c>
    </row>
    <row r="292" ht="13.8" customHeight="1" s="428">
      <c r="B292" s="123" t="inlineStr">
        <is>
          <t>11R24.5</t>
        </is>
      </c>
      <c r="C292" s="177" t="inlineStr">
        <is>
          <t>16PR</t>
        </is>
      </c>
      <c r="D292" s="177" t="inlineStr">
        <is>
          <t>AZ599</t>
        </is>
      </c>
      <c r="E292" s="177" t="inlineStr">
        <is>
          <t>ID11R24.5-16PR-U C ID</t>
        </is>
      </c>
      <c r="F292" s="129">
        <f>G292-3.042+3.472</f>
        <v/>
      </c>
      <c r="G292" s="129" t="n">
        <v>56.01</v>
      </c>
      <c r="H292" s="131" t="n">
        <v>55.5835</v>
      </c>
      <c r="I292" s="198">
        <f>G292-H292</f>
        <v/>
      </c>
      <c r="J292" s="115">
        <f>_xlfn.TEXTJOIN("-",TRUE,B292,C292,D292)</f>
        <v/>
      </c>
      <c r="K292" s="184" t="n"/>
      <c r="L292" s="184" t="n"/>
      <c r="M292" s="184" t="n"/>
      <c r="N292" s="184" t="n"/>
      <c r="O292" s="184" t="n"/>
      <c r="P292" s="184" t="n"/>
      <c r="Q292" s="184" t="n"/>
      <c r="R292" s="184" t="n"/>
      <c r="S292" s="390">
        <f>_xlfn.TEXTJOIN("-",TRUE,K292,L292,M292)</f>
        <v/>
      </c>
      <c r="AB292" s="390">
        <f>_xlfn.TEXTJOIN("-",TRUE,T292,U292,V292)</f>
        <v/>
      </c>
      <c r="BB292" s="390">
        <f>_xlfn.TEXTJOIN("-",TRUE,AU292,AW292)</f>
        <v/>
      </c>
    </row>
    <row r="293" ht="13.8" customHeight="1" s="428">
      <c r="B293" s="123" t="inlineStr">
        <is>
          <t>11R24.5</t>
        </is>
      </c>
      <c r="C293" s="177" t="inlineStr">
        <is>
          <t>16PR</t>
        </is>
      </c>
      <c r="D293" s="177" t="inlineStr">
        <is>
          <t>HF1 Plus</t>
        </is>
      </c>
      <c r="E293" s="177" t="inlineStr">
        <is>
          <t>ID11R24.5-16PR-U C ID</t>
        </is>
      </c>
      <c r="F293" s="129">
        <f>G293-3.042+3.472</f>
        <v/>
      </c>
      <c r="G293" s="129" t="n">
        <v>56.01</v>
      </c>
      <c r="H293" s="131" t="n">
        <v>55.5835</v>
      </c>
      <c r="I293" s="198">
        <f>G293-H293</f>
        <v/>
      </c>
      <c r="J293" s="115">
        <f>_xlfn.TEXTJOIN("-",TRUE,B293,C293,D293)</f>
        <v/>
      </c>
      <c r="K293" s="184" t="n"/>
      <c r="L293" s="184" t="n"/>
      <c r="M293" s="184" t="n"/>
      <c r="N293" s="184" t="n"/>
      <c r="O293" s="184" t="n"/>
      <c r="P293" s="184" t="n"/>
      <c r="Q293" s="184" t="n"/>
      <c r="R293" s="184" t="n"/>
      <c r="S293" s="390">
        <f>_xlfn.TEXTJOIN("-",TRUE,K293,L293,M293)</f>
        <v/>
      </c>
      <c r="AB293" s="390">
        <f>_xlfn.TEXTJOIN("-",TRUE,T293,U293,V293)</f>
        <v/>
      </c>
      <c r="BB293" s="390">
        <f>_xlfn.TEXTJOIN("-",TRUE,AU293,AW293)</f>
        <v/>
      </c>
    </row>
    <row r="294" ht="13.8" customHeight="1" s="428">
      <c r="B294" s="123" t="inlineStr">
        <is>
          <t>11R24.5</t>
        </is>
      </c>
      <c r="C294" s="177" t="inlineStr">
        <is>
          <t>16PR</t>
        </is>
      </c>
      <c r="D294" s="177" t="inlineStr">
        <is>
          <t>AZ579</t>
        </is>
      </c>
      <c r="E294" s="125" t="inlineStr">
        <is>
          <t>ID11R24.5-16PR-W C ID</t>
        </is>
      </c>
      <c r="F294" s="129">
        <f>G294-3.042+3.472</f>
        <v/>
      </c>
      <c r="G294" s="129" t="n">
        <v>57.931</v>
      </c>
      <c r="H294" s="131" t="n">
        <v>57.9733</v>
      </c>
      <c r="I294" s="198">
        <f>G294-H294</f>
        <v/>
      </c>
      <c r="J294" s="115">
        <f>_xlfn.TEXTJOIN("-",TRUE,B294,C294,D294)</f>
        <v/>
      </c>
      <c r="K294" s="184" t="n"/>
      <c r="L294" s="184" t="n"/>
      <c r="M294" s="184" t="n"/>
      <c r="N294" s="184" t="n"/>
      <c r="O294" s="184" t="n"/>
      <c r="P294" s="184" t="n"/>
      <c r="Q294" s="184" t="n"/>
      <c r="R294" s="184" t="n"/>
      <c r="S294" s="390">
        <f>_xlfn.TEXTJOIN("-",TRUE,K294,L294,M294)</f>
        <v/>
      </c>
      <c r="AB294" s="390">
        <f>_xlfn.TEXTJOIN("-",TRUE,T294,U294,V294)</f>
        <v/>
      </c>
      <c r="BB294" s="390">
        <f>_xlfn.TEXTJOIN("-",TRUE,AU294,AW294)</f>
        <v/>
      </c>
    </row>
    <row r="295" ht="13.8" customHeight="1" s="428">
      <c r="B295" s="123" t="inlineStr">
        <is>
          <t>11R24.5</t>
        </is>
      </c>
      <c r="C295" s="177" t="inlineStr">
        <is>
          <t>16PR</t>
        </is>
      </c>
      <c r="D295" s="177" t="inlineStr">
        <is>
          <t>HCC1 Plus</t>
        </is>
      </c>
      <c r="E295" s="125" t="inlineStr">
        <is>
          <t>ID11R24.5-16PR-W C ID</t>
        </is>
      </c>
      <c r="F295" s="129">
        <f>G295-3.042+3.472</f>
        <v/>
      </c>
      <c r="G295" s="129" t="n">
        <v>57.931</v>
      </c>
      <c r="H295" s="131" t="n">
        <v>57.9733</v>
      </c>
      <c r="I295" s="198">
        <f>G295-H295</f>
        <v/>
      </c>
      <c r="J295" s="115">
        <f>_xlfn.TEXTJOIN("-",TRUE,B295,C295,D295)</f>
        <v/>
      </c>
      <c r="K295" s="184" t="n"/>
      <c r="L295" s="184" t="n"/>
      <c r="M295" s="184" t="n"/>
      <c r="N295" s="184" t="n"/>
      <c r="O295" s="184" t="n"/>
      <c r="P295" s="184" t="n"/>
      <c r="Q295" s="184" t="n"/>
      <c r="R295" s="184" t="n"/>
      <c r="S295" s="390">
        <f>_xlfn.TEXTJOIN("-",TRUE,K295,L295,M295)</f>
        <v/>
      </c>
      <c r="AB295" s="390">
        <f>_xlfn.TEXTJOIN("-",TRUE,T295,U295,V295)</f>
        <v/>
      </c>
      <c r="BB295" s="390">
        <f>_xlfn.TEXTJOIN("-",TRUE,AU295,AW295)</f>
        <v/>
      </c>
    </row>
    <row r="296">
      <c r="B296" s="123" t="inlineStr">
        <is>
          <t>11R24.5</t>
        </is>
      </c>
      <c r="C296" s="177" t="inlineStr">
        <is>
          <t>14PR</t>
        </is>
      </c>
      <c r="D296" s="177" t="inlineStr">
        <is>
          <t>I-48T</t>
        </is>
      </c>
      <c r="E296" s="125" t="inlineStr">
        <is>
          <t>ID11R24.5-14PR-I-48T US ID</t>
        </is>
      </c>
      <c r="F296" s="129">
        <f>G296-3.046+3.468</f>
        <v/>
      </c>
      <c r="G296" s="129" t="n">
        <v>52.323</v>
      </c>
      <c r="H296" s="131" t="n">
        <v>52.29</v>
      </c>
      <c r="I296" s="198">
        <f>G296-H296</f>
        <v/>
      </c>
      <c r="J296" s="115">
        <f>_xlfn.TEXTJOIN("-",TRUE,B296,C296,D296)</f>
        <v/>
      </c>
      <c r="K296" s="184" t="n"/>
      <c r="L296" s="184" t="n"/>
      <c r="M296" s="184" t="n"/>
      <c r="N296" s="184" t="n"/>
      <c r="O296" s="184" t="n"/>
      <c r="P296" s="184" t="n"/>
      <c r="Q296" s="184" t="n"/>
      <c r="R296" s="184" t="n"/>
      <c r="S296" s="390">
        <f>_xlfn.TEXTJOIN("-",TRUE,K296,L296,M296)</f>
        <v/>
      </c>
      <c r="AB296" s="390">
        <f>_xlfn.TEXTJOIN("-",TRUE,T296,U296,V296)</f>
        <v/>
      </c>
      <c r="BB296" s="390">
        <f>_xlfn.TEXTJOIN("-",TRUE,AU296,AW296)</f>
        <v/>
      </c>
    </row>
    <row r="297">
      <c r="B297" s="123" t="inlineStr">
        <is>
          <t>11R24.5</t>
        </is>
      </c>
      <c r="C297" s="177" t="inlineStr">
        <is>
          <t>16PR</t>
        </is>
      </c>
      <c r="D297" s="126" t="inlineStr">
        <is>
          <t>CM983</t>
        </is>
      </c>
      <c r="E297" s="177" t="inlineStr">
        <is>
          <t>ID11R24.5-16PR-CM983 US ID</t>
        </is>
      </c>
      <c r="F297" s="129">
        <f>G297-3.046+3.468</f>
        <v/>
      </c>
      <c r="G297" s="129" t="n">
        <v>59.256</v>
      </c>
      <c r="H297" s="131" t="n">
        <v>59.2262</v>
      </c>
      <c r="I297" s="198">
        <f>G297-H297</f>
        <v/>
      </c>
      <c r="J297" s="115">
        <f>_xlfn.TEXTJOIN("-",TRUE,B297,C297,D297)</f>
        <v/>
      </c>
      <c r="K297" s="184" t="n"/>
      <c r="L297" s="184" t="n"/>
      <c r="M297" s="184" t="n"/>
      <c r="N297" s="184" t="n"/>
      <c r="O297" s="184" t="n"/>
      <c r="P297" s="184" t="n"/>
      <c r="Q297" s="184" t="n"/>
      <c r="R297" s="184" t="n"/>
      <c r="S297" s="390">
        <f>_xlfn.TEXTJOIN("-",TRUE,K297,L297,M297)</f>
        <v/>
      </c>
      <c r="AB297" s="390">
        <f>_xlfn.TEXTJOIN("-",TRUE,T297,U297,V297)</f>
        <v/>
      </c>
      <c r="BB297" s="390">
        <f>_xlfn.TEXTJOIN("-",TRUE,AU297,AW297)</f>
        <v/>
      </c>
    </row>
    <row r="298">
      <c r="B298" s="123" t="inlineStr">
        <is>
          <t>11R24.5</t>
        </is>
      </c>
      <c r="C298" s="177" t="inlineStr">
        <is>
          <t>16PR</t>
        </is>
      </c>
      <c r="D298" s="177" t="inlineStr">
        <is>
          <t>AS678</t>
        </is>
      </c>
      <c r="E298" s="171" t="inlineStr">
        <is>
          <t>ID11R24.5-16PR-DD C ID</t>
        </is>
      </c>
      <c r="F298" s="129">
        <f>G298-3.046+3.468</f>
        <v/>
      </c>
      <c r="G298" s="129" t="n">
        <v>55.162</v>
      </c>
      <c r="H298" s="131" t="n">
        <v>55.0954</v>
      </c>
      <c r="I298" s="198">
        <f>G298-H298</f>
        <v/>
      </c>
      <c r="J298" s="115">
        <f>_xlfn.TEXTJOIN("-",TRUE,B298,C298,D298)</f>
        <v/>
      </c>
      <c r="K298" s="184" t="n"/>
      <c r="L298" s="184" t="n"/>
      <c r="M298" s="184" t="n"/>
      <c r="N298" s="184" t="n"/>
      <c r="O298" s="184" t="n"/>
      <c r="P298" s="184" t="n"/>
      <c r="Q298" s="184" t="n"/>
      <c r="R298" s="184" t="n"/>
      <c r="S298" s="390">
        <f>_xlfn.TEXTJOIN("-",TRUE,K298,L298,M298)</f>
        <v/>
      </c>
      <c r="AB298" s="390">
        <f>_xlfn.TEXTJOIN("-",TRUE,T298,U298,V298)</f>
        <v/>
      </c>
      <c r="BB298" s="390">
        <f>_xlfn.TEXTJOIN("-",TRUE,AU298,AW298)</f>
        <v/>
      </c>
    </row>
    <row r="299">
      <c r="B299" s="123" t="inlineStr">
        <is>
          <t>11R24.5</t>
        </is>
      </c>
      <c r="C299" s="177" t="inlineStr">
        <is>
          <t>16PR</t>
        </is>
      </c>
      <c r="D299" s="177" t="inlineStr">
        <is>
          <t>AD737</t>
        </is>
      </c>
      <c r="E299" s="125" t="inlineStr">
        <is>
          <t>ID11R24.5-16PR-AD737 AR US ID</t>
        </is>
      </c>
      <c r="F299" s="129">
        <f>G299-3.046+3.468</f>
        <v/>
      </c>
      <c r="G299" s="129" t="n">
        <v>61.075</v>
      </c>
      <c r="H299" s="131" t="n">
        <v>61.0536</v>
      </c>
      <c r="I299" s="198">
        <f>G299-H299</f>
        <v/>
      </c>
      <c r="J299" s="115">
        <f>_xlfn.TEXTJOIN("-",TRUE,B299,C299,D299)</f>
        <v/>
      </c>
      <c r="K299" s="184" t="n"/>
      <c r="L299" s="184" t="n"/>
      <c r="M299" s="184" t="n"/>
      <c r="N299" s="184" t="n"/>
      <c r="O299" s="184" t="n"/>
      <c r="P299" s="184" t="n"/>
      <c r="Q299" s="184" t="n"/>
      <c r="R299" s="184" t="n"/>
      <c r="S299" s="390">
        <f>_xlfn.TEXTJOIN("-",TRUE,K299,L299,M299)</f>
        <v/>
      </c>
      <c r="AB299" s="390">
        <f>_xlfn.TEXTJOIN("-",TRUE,T299,U299,V299)</f>
        <v/>
      </c>
      <c r="BB299" s="390">
        <f>_xlfn.TEXTJOIN("-",TRUE,AU299,AW299)</f>
        <v/>
      </c>
    </row>
    <row r="300">
      <c r="B300" s="123" t="inlineStr">
        <is>
          <t>11R24.5</t>
        </is>
      </c>
      <c r="C300" s="177" t="inlineStr">
        <is>
          <t>16PR</t>
        </is>
      </c>
      <c r="D300" s="177" t="inlineStr">
        <is>
          <t>AD778</t>
        </is>
      </c>
      <c r="E300" s="125" t="inlineStr">
        <is>
          <t>ID11R24.5-16PR-AD778 AR US ID</t>
        </is>
      </c>
      <c r="F300" s="129">
        <f>G300-3.046+3.468</f>
        <v/>
      </c>
      <c r="G300" s="129" t="n">
        <v>62.86</v>
      </c>
      <c r="H300" s="131" t="n">
        <v>62.8299</v>
      </c>
      <c r="I300" s="198">
        <f>G300-H300</f>
        <v/>
      </c>
      <c r="J300" s="115">
        <f>_xlfn.TEXTJOIN("-",TRUE,B300,C300,D300)</f>
        <v/>
      </c>
      <c r="K300" s="184" t="n"/>
      <c r="L300" s="184" t="n"/>
      <c r="M300" s="184" t="n"/>
      <c r="N300" s="184" t="n"/>
      <c r="O300" s="184" t="n"/>
      <c r="P300" s="184" t="n"/>
      <c r="Q300" s="184" t="n"/>
      <c r="R300" s="184" t="n"/>
      <c r="S300" s="390">
        <f>_xlfn.TEXTJOIN("-",TRUE,K300,L300,M300)</f>
        <v/>
      </c>
      <c r="AB300" s="390">
        <f>_xlfn.TEXTJOIN("-",TRUE,T300,U300,V300)</f>
        <v/>
      </c>
      <c r="BB300" s="390">
        <f>_xlfn.TEXTJOIN("-",TRUE,AU300,AW300)</f>
        <v/>
      </c>
    </row>
    <row r="301">
      <c r="B301" s="123" t="inlineStr">
        <is>
          <t>11R24.5</t>
        </is>
      </c>
      <c r="C301" s="177" t="inlineStr">
        <is>
          <t>16PR</t>
        </is>
      </c>
      <c r="D301" s="177" t="inlineStr">
        <is>
          <t>I-28D</t>
        </is>
      </c>
      <c r="E301" s="125" t="inlineStr">
        <is>
          <t>ID11R24.5-16PR-IDD US ID</t>
        </is>
      </c>
      <c r="F301" s="129">
        <f>G301-3.05+3.47</f>
        <v/>
      </c>
      <c r="G301" s="129" t="n">
        <v>62.766</v>
      </c>
      <c r="H301" s="131" t="n">
        <v>62.49</v>
      </c>
      <c r="I301" s="198">
        <f>G301-H301</f>
        <v/>
      </c>
      <c r="J301" s="115">
        <f>_xlfn.TEXTJOIN("-",TRUE,B301,C301,D301)</f>
        <v/>
      </c>
      <c r="K301" s="184" t="n"/>
      <c r="L301" s="184" t="n"/>
      <c r="M301" s="184" t="n"/>
      <c r="N301" s="184" t="n"/>
      <c r="O301" s="184" t="n"/>
      <c r="P301" s="184" t="n"/>
      <c r="Q301" s="184" t="n"/>
      <c r="R301" s="184" t="n"/>
      <c r="S301" s="390">
        <f>_xlfn.TEXTJOIN("-",TRUE,K301,L301,M301)</f>
        <v/>
      </c>
      <c r="AB301" s="390">
        <f>_xlfn.TEXTJOIN("-",TRUE,T301,U301,V301)</f>
        <v/>
      </c>
      <c r="BB301" s="390">
        <f>_xlfn.TEXTJOIN("-",TRUE,AU301,AW301)</f>
        <v/>
      </c>
    </row>
    <row r="302">
      <c r="B302" s="123" t="inlineStr">
        <is>
          <t>11R24.5</t>
        </is>
      </c>
      <c r="C302" s="177" t="inlineStr">
        <is>
          <t>16PR</t>
        </is>
      </c>
      <c r="D302" s="177" t="inlineStr">
        <is>
          <t>DOMINATE D01</t>
        </is>
      </c>
      <c r="E302" s="125" t="inlineStr">
        <is>
          <t>ID11R24.5-16PR-IDD US ID</t>
        </is>
      </c>
      <c r="F302" s="129">
        <f>G302-3.05+3.47</f>
        <v/>
      </c>
      <c r="G302" s="129" t="n">
        <v>62.766</v>
      </c>
      <c r="H302" s="131" t="n">
        <v>62.49</v>
      </c>
      <c r="I302" s="198">
        <f>G302-H302</f>
        <v/>
      </c>
      <c r="J302" s="115">
        <f>_xlfn.TEXTJOIN("-",TRUE,B302,C302,D302)</f>
        <v/>
      </c>
      <c r="K302" s="184" t="n"/>
      <c r="L302" s="184" t="n"/>
      <c r="M302" s="184" t="n"/>
      <c r="N302" s="184" t="n"/>
      <c r="O302" s="184" t="n"/>
      <c r="P302" s="184" t="n"/>
      <c r="Q302" s="184" t="n"/>
      <c r="R302" s="184" t="n"/>
      <c r="S302" s="390">
        <f>_xlfn.TEXTJOIN("-",TRUE,K302,L302,M302)</f>
        <v/>
      </c>
      <c r="AB302" s="390">
        <f>_xlfn.TEXTJOIN("-",TRUE,T302,U302,V302)</f>
        <v/>
      </c>
      <c r="BB302" s="390">
        <f>_xlfn.TEXTJOIN("-",TRUE,AU302,AW302)</f>
        <v/>
      </c>
    </row>
    <row r="303">
      <c r="B303" s="123" t="inlineStr">
        <is>
          <t>11R24.5</t>
        </is>
      </c>
      <c r="C303" s="177" t="inlineStr">
        <is>
          <t>16PR</t>
        </is>
      </c>
      <c r="D303" s="177" t="inlineStr">
        <is>
          <t>I-31M</t>
        </is>
      </c>
      <c r="E303" s="125" t="inlineStr">
        <is>
          <t>ID11R24.5-16PR-I-31M US ID</t>
        </is>
      </c>
      <c r="F303" s="129">
        <f>G303-3.05+3.47</f>
        <v/>
      </c>
      <c r="G303" s="129" t="n">
        <v>60.938</v>
      </c>
      <c r="H303" s="131" t="n">
        <v>60.9</v>
      </c>
      <c r="I303" s="198">
        <f>G303-H303</f>
        <v/>
      </c>
      <c r="J303" s="115">
        <f>_xlfn.TEXTJOIN("-",TRUE,B303,C303,D303)</f>
        <v/>
      </c>
      <c r="K303" s="184" t="n"/>
      <c r="L303" s="184" t="n"/>
      <c r="M303" s="184" t="n"/>
      <c r="N303" s="184" t="n"/>
      <c r="O303" s="184" t="n"/>
      <c r="P303" s="184" t="n"/>
      <c r="Q303" s="184" t="n"/>
      <c r="R303" s="184" t="n"/>
      <c r="S303" s="390">
        <f>_xlfn.TEXTJOIN("-",TRUE,K303,L303,M303)</f>
        <v/>
      </c>
      <c r="AB303" s="390">
        <f>_xlfn.TEXTJOIN("-",TRUE,T303,U303,V303)</f>
        <v/>
      </c>
      <c r="BB303" s="390">
        <f>_xlfn.TEXTJOIN("-",TRUE,AU303,AW303)</f>
        <v/>
      </c>
    </row>
    <row r="304" ht="13.8" customHeight="1" s="428">
      <c r="B304" s="123" t="inlineStr">
        <is>
          <t>11R24.5</t>
        </is>
      </c>
      <c r="C304" s="177" t="inlineStr">
        <is>
          <t>16PR</t>
        </is>
      </c>
      <c r="D304" s="177" t="inlineStr">
        <is>
          <t>I-52A</t>
        </is>
      </c>
      <c r="E304" s="125" t="inlineStr">
        <is>
          <t>ID11R24.5-16PR-I-52A US ID</t>
        </is>
      </c>
      <c r="F304" s="129">
        <f>G304-3.05+3.47</f>
        <v/>
      </c>
      <c r="G304" s="129" t="n">
        <v>60.601</v>
      </c>
      <c r="H304" s="131" t="n">
        <v>60.68</v>
      </c>
      <c r="I304" s="198">
        <f>G304-H304</f>
        <v/>
      </c>
      <c r="J304" s="115">
        <f>_xlfn.TEXTJOIN("-",TRUE,B304,C304,D304)</f>
        <v/>
      </c>
      <c r="K304" s="184" t="n"/>
      <c r="L304" s="184" t="n"/>
      <c r="M304" s="184" t="n"/>
      <c r="N304" s="184" t="n"/>
      <c r="O304" s="184" t="n"/>
      <c r="P304" s="184" t="n"/>
      <c r="Q304" s="184" t="n"/>
      <c r="R304" s="184" t="n"/>
      <c r="S304" s="390">
        <f>_xlfn.TEXTJOIN("-",TRUE,K304,L304,M304)</f>
        <v/>
      </c>
      <c r="AB304" s="390">
        <f>_xlfn.TEXTJOIN("-",TRUE,T304,U304,V304)</f>
        <v/>
      </c>
      <c r="BB304" s="390">
        <f>_xlfn.TEXTJOIN("-",TRUE,AU304,AW304)</f>
        <v/>
      </c>
    </row>
    <row r="305" ht="13.8" customHeight="1" s="428">
      <c r="B305" s="123" t="inlineStr">
        <is>
          <t>11R24.5</t>
        </is>
      </c>
      <c r="C305" s="177" t="inlineStr">
        <is>
          <t>16PR</t>
        </is>
      </c>
      <c r="D305" s="177" t="inlineStr">
        <is>
          <t>I-37D</t>
        </is>
      </c>
      <c r="E305" s="125" t="inlineStr">
        <is>
          <t>ID11R24.5-16PR-I-37D US ID</t>
        </is>
      </c>
      <c r="F305" s="129">
        <f>G305-3.05+3.47</f>
        <v/>
      </c>
      <c r="G305" s="129" t="n">
        <v>61.058</v>
      </c>
      <c r="H305" s="131" t="n">
        <v>61.02</v>
      </c>
      <c r="I305" s="198">
        <f>G305-H305</f>
        <v/>
      </c>
      <c r="J305" s="115">
        <f>_xlfn.TEXTJOIN("-",TRUE,B305,C305,D305)</f>
        <v/>
      </c>
      <c r="K305" s="184" t="n"/>
      <c r="L305" s="184" t="n"/>
      <c r="M305" s="184" t="n"/>
      <c r="N305" s="184" t="n"/>
      <c r="O305" s="184" t="n"/>
      <c r="P305" s="184" t="n"/>
      <c r="Q305" s="184" t="n"/>
      <c r="R305" s="184" t="n"/>
      <c r="S305" s="390">
        <f>_xlfn.TEXTJOIN("-",TRUE,K305,L305,M305)</f>
        <v/>
      </c>
      <c r="AB305" s="390">
        <f>_xlfn.TEXTJOIN("-",TRUE,T305,U305,V305)</f>
        <v/>
      </c>
      <c r="BB305" s="390">
        <f>_xlfn.TEXTJOIN("-",TRUE,AU305,AW305)</f>
        <v/>
      </c>
    </row>
    <row r="306">
      <c r="B306" s="123" t="inlineStr">
        <is>
          <t>11R24.5</t>
        </is>
      </c>
      <c r="C306" s="177" t="inlineStr">
        <is>
          <t>16PR</t>
        </is>
      </c>
      <c r="D306" s="177" t="inlineStr">
        <is>
          <t>CR926D</t>
        </is>
      </c>
      <c r="E306" s="125" t="inlineStr">
        <is>
          <t>ID11R24.5-16PR-D US ID</t>
        </is>
      </c>
      <c r="F306" s="129">
        <f>G306-3.05+3.47</f>
        <v/>
      </c>
      <c r="G306" s="129" t="n">
        <v>56.95</v>
      </c>
      <c r="H306" s="131" t="n">
        <v>56.91</v>
      </c>
      <c r="I306" s="198">
        <f>G306-H306</f>
        <v/>
      </c>
      <c r="J306" s="115">
        <f>_xlfn.TEXTJOIN("-",TRUE,B306,C306,D306)</f>
        <v/>
      </c>
      <c r="K306" s="184" t="n"/>
      <c r="L306" s="184" t="n"/>
      <c r="M306" s="184" t="n"/>
      <c r="N306" s="184" t="n"/>
      <c r="O306" s="184" t="n"/>
      <c r="P306" s="184" t="n"/>
      <c r="Q306" s="184" t="n"/>
      <c r="R306" s="184" t="n"/>
      <c r="S306" s="390">
        <f>_xlfn.TEXTJOIN("-",TRUE,K306,L306,M306)</f>
        <v/>
      </c>
      <c r="AB306" s="390">
        <f>_xlfn.TEXTJOIN("-",TRUE,T306,U306,V306)</f>
        <v/>
      </c>
      <c r="BB306" s="390">
        <f>_xlfn.TEXTJOIN("-",TRUE,AU306,AW306)</f>
        <v/>
      </c>
    </row>
    <row r="307">
      <c r="B307" s="123" t="inlineStr">
        <is>
          <t>11R24.5</t>
        </is>
      </c>
      <c r="C307" s="177" t="inlineStr">
        <is>
          <t>16PR</t>
        </is>
      </c>
      <c r="D307" s="177" t="inlineStr">
        <is>
          <t>RLINE-M1</t>
        </is>
      </c>
      <c r="E307" s="125" t="inlineStr">
        <is>
          <t>ID11R24.5-16PR-D US ID</t>
        </is>
      </c>
      <c r="F307" s="129">
        <f>G307-3.05+3.47</f>
        <v/>
      </c>
      <c r="G307" s="129" t="n">
        <v>56.95</v>
      </c>
      <c r="H307" s="131" t="n">
        <v>56.91</v>
      </c>
      <c r="I307" s="198">
        <f>G307-H307</f>
        <v/>
      </c>
      <c r="J307" s="115">
        <f>_xlfn.TEXTJOIN("-",TRUE,B307,C307,D307)</f>
        <v/>
      </c>
      <c r="K307" s="184" t="n"/>
      <c r="L307" s="184" t="n"/>
      <c r="M307" s="184" t="n"/>
      <c r="N307" s="184" t="n"/>
      <c r="O307" s="184" t="n"/>
      <c r="P307" s="184" t="n"/>
      <c r="Q307" s="184" t="n"/>
      <c r="R307" s="184" t="n"/>
      <c r="S307" s="390">
        <f>_xlfn.TEXTJOIN("-",TRUE,K307,L307,M307)</f>
        <v/>
      </c>
      <c r="AB307" s="390">
        <f>_xlfn.TEXTJOIN("-",TRUE,T307,U307,V307)</f>
        <v/>
      </c>
      <c r="BB307" s="390">
        <f>_xlfn.TEXTJOIN("-",TRUE,AU307,AW307)</f>
        <v/>
      </c>
    </row>
    <row r="308">
      <c r="B308" s="123" t="inlineStr">
        <is>
          <t>11R24.5</t>
        </is>
      </c>
      <c r="C308" s="177" t="inlineStr">
        <is>
          <t>16PR</t>
        </is>
      </c>
      <c r="D308" s="177" t="inlineStr">
        <is>
          <t>H-RD</t>
        </is>
      </c>
      <c r="E308" s="125" t="inlineStr">
        <is>
          <t>ID11R24.5-16PR-H-RD US ID</t>
        </is>
      </c>
      <c r="F308" s="129">
        <f>G308-3.04+3.47</f>
        <v/>
      </c>
      <c r="G308" s="129" t="n">
        <v>57.726</v>
      </c>
      <c r="H308" s="131" t="n">
        <v>58.2</v>
      </c>
      <c r="I308" s="198">
        <f>G308-H308</f>
        <v/>
      </c>
      <c r="J308" s="115">
        <f>_xlfn.TEXTJOIN("-",TRUE,B308,C308,D308)</f>
        <v/>
      </c>
      <c r="K308" s="184" t="n"/>
      <c r="L308" s="184" t="n"/>
      <c r="M308" s="184" t="n"/>
      <c r="N308" s="184" t="n"/>
      <c r="O308" s="184" t="n"/>
      <c r="P308" s="184" t="n"/>
      <c r="Q308" s="184" t="n"/>
      <c r="R308" s="184" t="n"/>
      <c r="S308" s="390">
        <f>_xlfn.TEXTJOIN("-",TRUE,K308,L308,M308)</f>
        <v/>
      </c>
      <c r="AB308" s="390">
        <f>_xlfn.TEXTJOIN("-",TRUE,T308,U308,V308)</f>
        <v/>
      </c>
      <c r="BB308" s="390">
        <f>_xlfn.TEXTJOIN("-",TRUE,AU308,AW308)</f>
        <v/>
      </c>
    </row>
    <row r="309">
      <c r="B309" s="123" t="inlineStr">
        <is>
          <t>11R24.5</t>
        </is>
      </c>
      <c r="C309" s="177" t="inlineStr">
        <is>
          <t>16PR</t>
        </is>
      </c>
      <c r="D309" s="177" t="inlineStr">
        <is>
          <t>H-MD</t>
        </is>
      </c>
      <c r="E309" s="125" t="inlineStr">
        <is>
          <t>ID11R24.5-16PR-H-MD C ID</t>
        </is>
      </c>
      <c r="F309" s="129">
        <f>G309-3.04+3.47</f>
        <v/>
      </c>
      <c r="G309" s="129" t="n">
        <v>64.86799999999999</v>
      </c>
      <c r="H309" s="131" t="n">
        <v>64.79000000000001</v>
      </c>
      <c r="I309" s="198">
        <f>G309-H309</f>
        <v/>
      </c>
      <c r="J309" s="115">
        <f>_xlfn.TEXTJOIN("-",TRUE,B309,C309,D309)</f>
        <v/>
      </c>
      <c r="K309" s="184" t="n"/>
      <c r="L309" s="184" t="n"/>
      <c r="M309" s="184" t="n"/>
      <c r="N309" s="184" t="n"/>
      <c r="O309" s="184" t="n"/>
      <c r="P309" s="184" t="n"/>
      <c r="Q309" s="184" t="n"/>
      <c r="R309" s="184" t="n"/>
      <c r="S309" s="390">
        <f>_xlfn.TEXTJOIN("-",TRUE,K309,L309,M309)</f>
        <v/>
      </c>
      <c r="AB309" s="390">
        <f>_xlfn.TEXTJOIN("-",TRUE,T309,U309,V309)</f>
        <v/>
      </c>
      <c r="BB309" s="390">
        <f>_xlfn.TEXTJOIN("-",TRUE,AU309,AW309)</f>
        <v/>
      </c>
    </row>
    <row r="310">
      <c r="B310" s="123" t="inlineStr">
        <is>
          <t>11R24.5</t>
        </is>
      </c>
      <c r="C310" s="177" t="inlineStr">
        <is>
          <t>14PR</t>
        </is>
      </c>
      <c r="D310" s="177" t="inlineStr">
        <is>
          <t>H-TL</t>
        </is>
      </c>
      <c r="E310" s="125" t="inlineStr">
        <is>
          <t>ID11R24.5-14PR-H-TL US ID</t>
        </is>
      </c>
      <c r="F310" s="129">
        <f>G310-3.04+3.47</f>
        <v/>
      </c>
      <c r="G310" s="129" t="n">
        <v>53.228</v>
      </c>
      <c r="H310" s="131" t="n">
        <v>53.12</v>
      </c>
      <c r="I310" s="198">
        <f>G310-H310</f>
        <v/>
      </c>
      <c r="J310" s="115">
        <f>_xlfn.TEXTJOIN("-",TRUE,B310,C310,D310)</f>
        <v/>
      </c>
      <c r="K310" s="184" t="n"/>
      <c r="L310" s="184" t="n"/>
      <c r="M310" s="184" t="n"/>
      <c r="N310" s="184" t="n"/>
      <c r="O310" s="184" t="n"/>
      <c r="P310" s="184" t="n"/>
      <c r="Q310" s="184" t="n"/>
      <c r="R310" s="184" t="n"/>
      <c r="S310" s="390">
        <f>_xlfn.TEXTJOIN("-",TRUE,K310,L310,M310)</f>
        <v/>
      </c>
      <c r="AB310" s="390">
        <f>_xlfn.TEXTJOIN("-",TRUE,T310,U310,V310)</f>
        <v/>
      </c>
      <c r="BB310" s="390">
        <f>_xlfn.TEXTJOIN("-",TRUE,AU310,AW310)</f>
        <v/>
      </c>
    </row>
    <row r="311">
      <c r="B311" s="123" t="inlineStr">
        <is>
          <t>11R24.5</t>
        </is>
      </c>
      <c r="C311" s="177" t="inlineStr">
        <is>
          <t>16PR</t>
        </is>
      </c>
      <c r="D311" s="177" t="inlineStr">
        <is>
          <t>AS600+</t>
        </is>
      </c>
      <c r="E311" s="125" t="inlineStr">
        <is>
          <t>ID11R24.5-16PR-AS600+ US ID</t>
        </is>
      </c>
      <c r="F311" s="129">
        <f>G311-3.04+3.47</f>
        <v/>
      </c>
      <c r="G311" s="129" t="n">
        <v>58.608</v>
      </c>
      <c r="H311" s="131" t="n">
        <v>58.55</v>
      </c>
      <c r="I311" s="198">
        <f>G311-H311</f>
        <v/>
      </c>
      <c r="J311" s="115">
        <f>_xlfn.TEXTJOIN("-",TRUE,B311,C311,D311)</f>
        <v/>
      </c>
      <c r="K311" s="184" t="n"/>
      <c r="L311" s="184" t="n"/>
      <c r="M311" s="184" t="n"/>
      <c r="N311" s="184" t="n"/>
      <c r="O311" s="184" t="n"/>
      <c r="P311" s="184" t="n"/>
      <c r="Q311" s="184" t="n"/>
      <c r="R311" s="184" t="n"/>
      <c r="S311" s="390">
        <f>_xlfn.TEXTJOIN("-",TRUE,K311,L311,M311)</f>
        <v/>
      </c>
      <c r="AB311" s="390">
        <f>_xlfn.TEXTJOIN("-",TRUE,T311,U311,V311)</f>
        <v/>
      </c>
      <c r="BB311" s="390">
        <f>_xlfn.TEXTJOIN("-",TRUE,AU311,AW311)</f>
        <v/>
      </c>
    </row>
    <row r="312">
      <c r="B312" s="123" t="inlineStr">
        <is>
          <t>11R24.5</t>
        </is>
      </c>
      <c r="C312" s="177" t="inlineStr">
        <is>
          <t>16PR</t>
        </is>
      </c>
      <c r="D312" s="177" t="inlineStr">
        <is>
          <t>ASL01 EX</t>
        </is>
      </c>
      <c r="E312" s="125" t="inlineStr">
        <is>
          <t>ID11R24.5-16PR-AS600+ US ID</t>
        </is>
      </c>
      <c r="F312" s="129">
        <f>G312-3.04+3.47</f>
        <v/>
      </c>
      <c r="G312" s="129" t="n">
        <v>58.608</v>
      </c>
      <c r="H312" s="131" t="n">
        <v>58.55</v>
      </c>
      <c r="I312" s="198">
        <f>G312-H312</f>
        <v/>
      </c>
      <c r="J312" s="115">
        <f>_xlfn.TEXTJOIN("-",TRUE,B312,C312,D312)</f>
        <v/>
      </c>
      <c r="K312" s="184" t="n"/>
      <c r="L312" s="184" t="n"/>
      <c r="M312" s="184" t="n"/>
      <c r="N312" s="184" t="n"/>
      <c r="O312" s="184" t="n"/>
      <c r="P312" s="184" t="n"/>
      <c r="Q312" s="184" t="n"/>
      <c r="R312" s="184" t="n"/>
      <c r="S312" s="390">
        <f>_xlfn.TEXTJOIN("-",TRUE,K312,L312,M312)</f>
        <v/>
      </c>
      <c r="AB312" s="390">
        <f>_xlfn.TEXTJOIN("-",TRUE,T312,U312,V312)</f>
        <v/>
      </c>
      <c r="BB312" s="390">
        <f>_xlfn.TEXTJOIN("-",TRUE,AU312,AW312)</f>
        <v/>
      </c>
    </row>
    <row r="313">
      <c r="B313" s="123" t="inlineStr">
        <is>
          <t>11R24.5</t>
        </is>
      </c>
      <c r="C313" s="177" t="inlineStr">
        <is>
          <t>16PR</t>
        </is>
      </c>
      <c r="D313" s="177" t="inlineStr">
        <is>
          <t>CB972</t>
        </is>
      </c>
      <c r="E313" s="125" t="inlineStr">
        <is>
          <t>ID11R24.5-16PR-F US ID</t>
        </is>
      </c>
      <c r="F313" s="129">
        <f>G313-3.04+3.47</f>
        <v/>
      </c>
      <c r="G313" s="129" t="n">
        <v>68.68000000000001</v>
      </c>
      <c r="H313" s="131" t="n">
        <v>68.68000000000001</v>
      </c>
      <c r="I313" s="198">
        <f>G313-H313</f>
        <v/>
      </c>
      <c r="J313" s="115">
        <f>_xlfn.TEXTJOIN("-",TRUE,B313,C313,D313)</f>
        <v/>
      </c>
      <c r="K313" s="184" t="n"/>
      <c r="L313" s="184" t="n"/>
      <c r="M313" s="184" t="n"/>
      <c r="N313" s="184" t="n"/>
      <c r="O313" s="184" t="n"/>
      <c r="P313" s="184" t="n"/>
      <c r="Q313" s="184" t="n"/>
      <c r="R313" s="184" t="n"/>
      <c r="S313" s="390">
        <f>_xlfn.TEXTJOIN("-",TRUE,K313,L313,M313)</f>
        <v/>
      </c>
      <c r="AB313" s="390">
        <f>_xlfn.TEXTJOIN("-",TRUE,T313,U313,V313)</f>
        <v/>
      </c>
      <c r="BB313" s="390">
        <f>_xlfn.TEXTJOIN("-",TRUE,AU313,AW313)</f>
        <v/>
      </c>
    </row>
    <row r="314" ht="13.8" customHeight="1" s="428">
      <c r="B314" s="123" t="inlineStr">
        <is>
          <t>11R24.5</t>
        </is>
      </c>
      <c r="C314" s="177" t="inlineStr">
        <is>
          <t>16PR</t>
        </is>
      </c>
      <c r="D314" s="177" t="inlineStr">
        <is>
          <t>AD757</t>
        </is>
      </c>
      <c r="E314" s="125" t="inlineStr">
        <is>
          <t>ID11R24.5-16PR-N C ID</t>
        </is>
      </c>
      <c r="F314" s="129">
        <f>G314-3.04+3.47</f>
        <v/>
      </c>
      <c r="G314" s="129" t="n">
        <v>57.816</v>
      </c>
      <c r="H314" s="131" t="n">
        <v>57.65</v>
      </c>
      <c r="I314" s="198">
        <f>G314-H314</f>
        <v/>
      </c>
      <c r="J314" s="115">
        <f>_xlfn.TEXTJOIN("-",TRUE,B314,C314,D314)</f>
        <v/>
      </c>
      <c r="K314" s="184" t="n"/>
      <c r="L314" s="184" t="n"/>
      <c r="M314" s="184" t="n"/>
      <c r="N314" s="184" t="n"/>
      <c r="O314" s="184" t="n"/>
      <c r="P314" s="184" t="n"/>
      <c r="Q314" s="184" t="n"/>
      <c r="R314" s="184" t="n"/>
      <c r="S314" s="390">
        <f>_xlfn.TEXTJOIN("-",TRUE,K314,L314,M314)</f>
        <v/>
      </c>
      <c r="AB314" s="390">
        <f>_xlfn.TEXTJOIN("-",TRUE,T314,U314,V314)</f>
        <v/>
      </c>
      <c r="BB314" s="390">
        <f>_xlfn.TEXTJOIN("-",TRUE,AU314,AW314)</f>
        <v/>
      </c>
    </row>
    <row r="315" ht="13.8" customHeight="1" s="428">
      <c r="B315" s="123" t="inlineStr">
        <is>
          <t>11R24.5</t>
        </is>
      </c>
      <c r="C315" s="177" t="inlineStr">
        <is>
          <t>16PR</t>
        </is>
      </c>
      <c r="D315" s="177" t="inlineStr">
        <is>
          <t>AD759</t>
        </is>
      </c>
      <c r="E315" s="125" t="inlineStr">
        <is>
          <t>ID11R24.5-16PR-AD759 US ID</t>
        </is>
      </c>
      <c r="F315" s="129">
        <f>G315-3.04+3.47</f>
        <v/>
      </c>
      <c r="G315" s="129" t="n">
        <v>63.068</v>
      </c>
      <c r="H315" s="131" t="n">
        <v>63.01</v>
      </c>
      <c r="I315" s="198">
        <f>G315-H315</f>
        <v/>
      </c>
      <c r="J315" s="115">
        <f>_xlfn.TEXTJOIN("-",TRUE,B315,C315,D315)</f>
        <v/>
      </c>
      <c r="K315" s="184" t="n"/>
      <c r="L315" s="184" t="n"/>
      <c r="M315" s="184" t="n"/>
      <c r="N315" s="184" t="n"/>
      <c r="O315" s="184" t="n"/>
      <c r="P315" s="184" t="n"/>
      <c r="Q315" s="184" t="n"/>
      <c r="R315" s="184" t="n"/>
      <c r="S315" s="390">
        <f>_xlfn.TEXTJOIN("-",TRUE,K315,L315,M315)</f>
        <v/>
      </c>
      <c r="AB315" s="390">
        <f>_xlfn.TEXTJOIN("-",TRUE,T315,U315,V315)</f>
        <v/>
      </c>
      <c r="BB315" s="390">
        <f>_xlfn.TEXTJOIN("-",TRUE,AU315,AW315)</f>
        <v/>
      </c>
    </row>
    <row r="316">
      <c r="B316" s="206" t="n"/>
      <c r="C316" s="178" t="n"/>
      <c r="D316" s="178" t="n"/>
      <c r="E316" s="178" t="n"/>
      <c r="F316" s="135" t="n"/>
      <c r="G316" s="135" t="n"/>
      <c r="H316" s="168" t="n"/>
      <c r="I316" s="134" t="n"/>
      <c r="J316" s="115">
        <f>_xlfn.TEXTJOIN("-",TRUE,B316,C316,D316)</f>
        <v/>
      </c>
      <c r="K316" s="184" t="n"/>
      <c r="L316" s="184" t="n"/>
      <c r="M316" s="184" t="n"/>
      <c r="N316" s="184" t="n"/>
      <c r="O316" s="184" t="n"/>
      <c r="P316" s="184" t="n"/>
      <c r="Q316" s="184" t="n"/>
      <c r="R316" s="184" t="n"/>
      <c r="S316" s="390">
        <f>_xlfn.TEXTJOIN("-",TRUE,K316,L316,M316)</f>
        <v/>
      </c>
      <c r="AB316" s="390">
        <f>_xlfn.TEXTJOIN("-",TRUE,T316,U316,V316)</f>
        <v/>
      </c>
      <c r="BB316" s="390">
        <f>_xlfn.TEXTJOIN("-",TRUE,AU316,AW316)</f>
        <v/>
      </c>
    </row>
    <row r="317">
      <c r="B317" s="143" t="inlineStr">
        <is>
          <t>12.00R20</t>
        </is>
      </c>
      <c r="C317" s="169" t="inlineStr">
        <is>
          <t>18PR</t>
        </is>
      </c>
      <c r="D317" s="177" t="inlineStr">
        <is>
          <t>CB972</t>
        </is>
      </c>
      <c r="E317" s="177" t="inlineStr">
        <is>
          <t>12.00R20-18PR-CT C ID</t>
        </is>
      </c>
      <c r="F317" s="131">
        <f>G317-4.327+5.012</f>
        <v/>
      </c>
      <c r="G317" s="131" t="n">
        <v>81.155</v>
      </c>
      <c r="H317" s="129" t="n">
        <v>81.17400000000001</v>
      </c>
      <c r="I317" s="130">
        <f>G317-H317</f>
        <v/>
      </c>
      <c r="J317" s="115">
        <f>_xlfn.TEXTJOIN("-",TRUE,B317,C317,D317)</f>
        <v/>
      </c>
      <c r="K317" s="184" t="n"/>
      <c r="L317" s="184" t="n"/>
      <c r="M317" s="184" t="n"/>
      <c r="N317" s="184" t="n"/>
      <c r="O317" s="184" t="n"/>
      <c r="P317" s="184" t="n"/>
      <c r="Q317" s="184" t="n"/>
      <c r="R317" s="184" t="n"/>
      <c r="S317" s="390">
        <f>_xlfn.TEXTJOIN("-",TRUE,K317,L317,M317)</f>
        <v/>
      </c>
      <c r="AB317" s="390">
        <f>_xlfn.TEXTJOIN("-",TRUE,T317,U317,V317)</f>
        <v/>
      </c>
      <c r="BB317" s="390">
        <f>_xlfn.TEXTJOIN("-",TRUE,AU317,AW317)</f>
        <v/>
      </c>
    </row>
    <row r="318">
      <c r="B318" s="143" t="inlineStr">
        <is>
          <t>12.00R20</t>
        </is>
      </c>
      <c r="C318" s="169" t="inlineStr">
        <is>
          <t>18PR</t>
        </is>
      </c>
      <c r="D318" s="177" t="inlineStr">
        <is>
          <t>TZ101</t>
        </is>
      </c>
      <c r="E318" s="177" t="inlineStr">
        <is>
          <t>12.00R20-18PR-CT C ID</t>
        </is>
      </c>
      <c r="F318" s="131">
        <f>G318-4.327+5.012</f>
        <v/>
      </c>
      <c r="G318" s="131" t="n">
        <v>81.155</v>
      </c>
      <c r="H318" s="129" t="n">
        <v>81.17400000000001</v>
      </c>
      <c r="I318" s="130">
        <f>G318-H318</f>
        <v/>
      </c>
      <c r="J318" s="115">
        <f>_xlfn.TEXTJOIN("-",TRUE,B318,C318,D318)</f>
        <v/>
      </c>
      <c r="K318" s="184" t="n"/>
      <c r="L318" s="184" t="n"/>
      <c r="M318" s="184" t="n"/>
      <c r="N318" s="184" t="n"/>
      <c r="O318" s="184" t="n"/>
      <c r="P318" s="184" t="n"/>
      <c r="Q318" s="184" t="n"/>
      <c r="R318" s="184" t="n"/>
      <c r="S318" s="390">
        <f>_xlfn.TEXTJOIN("-",TRUE,K318,L318,M318)</f>
        <v/>
      </c>
      <c r="AB318" s="390">
        <f>_xlfn.TEXTJOIN("-",TRUE,T318,U318,V318)</f>
        <v/>
      </c>
      <c r="BB318" s="390">
        <f>_xlfn.TEXTJOIN("-",TRUE,AU318,AW318)</f>
        <v/>
      </c>
    </row>
    <row r="319">
      <c r="B319" s="143" t="inlineStr">
        <is>
          <t>12.00R20</t>
        </is>
      </c>
      <c r="C319" s="169" t="inlineStr">
        <is>
          <t>18PR</t>
        </is>
      </c>
      <c r="D319" s="177" t="inlineStr">
        <is>
          <t>MT100</t>
        </is>
      </c>
      <c r="E319" s="177" t="inlineStr">
        <is>
          <t>12.00R20-18PR-CT C ID</t>
        </is>
      </c>
      <c r="F319" s="131">
        <f>G319-4.327+5.012</f>
        <v/>
      </c>
      <c r="G319" s="131" t="n">
        <v>81.155</v>
      </c>
      <c r="H319" s="129" t="n">
        <v>81.17400000000001</v>
      </c>
      <c r="I319" s="130">
        <f>G319-H319</f>
        <v/>
      </c>
      <c r="J319" s="115">
        <f>_xlfn.TEXTJOIN("-",TRUE,B319,C319,D319)</f>
        <v/>
      </c>
      <c r="K319" s="184" t="n"/>
      <c r="L319" s="184" t="n"/>
      <c r="M319" s="184" t="n"/>
      <c r="N319" s="184" t="n"/>
      <c r="O319" s="184" t="n"/>
      <c r="P319" s="184" t="n"/>
      <c r="Q319" s="184" t="n"/>
      <c r="R319" s="184" t="n"/>
      <c r="S319" s="390">
        <f>_xlfn.TEXTJOIN("-",TRUE,K319,L319,M319)</f>
        <v/>
      </c>
      <c r="AB319" s="390">
        <f>_xlfn.TEXTJOIN("-",TRUE,T319,U319,V319)</f>
        <v/>
      </c>
      <c r="BB319" s="390">
        <f>_xlfn.TEXTJOIN("-",TRUE,AU319,AW319)</f>
        <v/>
      </c>
    </row>
    <row r="320">
      <c r="B320" s="143" t="inlineStr">
        <is>
          <t>12.00R20</t>
        </is>
      </c>
      <c r="C320" s="169" t="inlineStr">
        <is>
          <t>18PR</t>
        </is>
      </c>
      <c r="D320" s="177" t="inlineStr">
        <is>
          <t>EZ336</t>
        </is>
      </c>
      <c r="E320" s="125" t="inlineStr">
        <is>
          <t>12.00R20-ET C ID</t>
        </is>
      </c>
      <c r="F320" s="131">
        <f>G320-4.327+5.012</f>
        <v/>
      </c>
      <c r="G320" s="131" t="n">
        <v>83.92400000000001</v>
      </c>
      <c r="H320" s="129" t="n">
        <v>83.94329999999999</v>
      </c>
      <c r="I320" s="130">
        <f>G320-H320</f>
        <v/>
      </c>
      <c r="J320" s="115">
        <f>_xlfn.TEXTJOIN("-",TRUE,B320,C320,D320)</f>
        <v/>
      </c>
      <c r="K320" s="184" t="n"/>
      <c r="L320" s="184" t="n"/>
      <c r="M320" s="184" t="n"/>
      <c r="N320" s="184" t="n"/>
      <c r="O320" s="184" t="n"/>
      <c r="P320" s="184" t="n"/>
      <c r="Q320" s="184" t="n"/>
      <c r="R320" s="184" t="n"/>
      <c r="S320" s="390">
        <f>_xlfn.TEXTJOIN("-",TRUE,K320,L320,M320)</f>
        <v/>
      </c>
      <c r="AB320" s="390">
        <f>_xlfn.TEXTJOIN("-",TRUE,T320,U320,V320)</f>
        <v/>
      </c>
      <c r="BB320" s="390">
        <f>_xlfn.TEXTJOIN("-",TRUE,AU320,AW320)</f>
        <v/>
      </c>
    </row>
    <row r="321">
      <c r="B321" s="143" t="inlineStr">
        <is>
          <t>12.00R20</t>
        </is>
      </c>
      <c r="C321" s="169" t="inlineStr">
        <is>
          <t>18PR</t>
        </is>
      </c>
      <c r="D321" s="177" t="inlineStr">
        <is>
          <t>TZ304</t>
        </is>
      </c>
      <c r="E321" s="125" t="inlineStr">
        <is>
          <t>12.00R20-ET C ID</t>
        </is>
      </c>
      <c r="F321" s="131">
        <f>G321-4.327+5.012</f>
        <v/>
      </c>
      <c r="G321" s="131" t="n">
        <v>83.92400000000001</v>
      </c>
      <c r="H321" s="129" t="n">
        <v>83.94329999999999</v>
      </c>
      <c r="I321" s="130">
        <f>G321-H321</f>
        <v/>
      </c>
      <c r="J321" s="115">
        <f>_xlfn.TEXTJOIN("-",TRUE,B321,C321,D321)</f>
        <v/>
      </c>
      <c r="K321" s="184" t="n"/>
      <c r="L321" s="184" t="n"/>
      <c r="M321" s="184" t="n"/>
      <c r="N321" s="184" t="n"/>
      <c r="O321" s="184" t="n"/>
      <c r="P321" s="184" t="n"/>
      <c r="Q321" s="184" t="n"/>
      <c r="R321" s="184" t="n"/>
      <c r="S321" s="390">
        <f>_xlfn.TEXTJOIN("-",TRUE,K321,L321,M321)</f>
        <v/>
      </c>
      <c r="AB321" s="390">
        <f>_xlfn.TEXTJOIN("-",TRUE,T321,U321,V321)</f>
        <v/>
      </c>
      <c r="BB321" s="390">
        <f>_xlfn.TEXTJOIN("-",TRUE,AU321,AW321)</f>
        <v/>
      </c>
    </row>
    <row r="322" ht="13.8" customHeight="1" s="428">
      <c r="B322" s="143" t="inlineStr">
        <is>
          <t>12.00R20</t>
        </is>
      </c>
      <c r="C322" s="169" t="inlineStr">
        <is>
          <t>20PR</t>
        </is>
      </c>
      <c r="D322" s="177" t="inlineStr">
        <is>
          <t>EZ336</t>
        </is>
      </c>
      <c r="E322" s="125" t="inlineStr">
        <is>
          <t>12.00R20-ET C ID</t>
        </is>
      </c>
      <c r="F322" s="131">
        <f>G322-4.327+5.012</f>
        <v/>
      </c>
      <c r="G322" s="131" t="n">
        <v>83.92400000000001</v>
      </c>
      <c r="H322" s="129" t="n">
        <v>83.94329999999999</v>
      </c>
      <c r="I322" s="130">
        <f>G322-H322</f>
        <v/>
      </c>
      <c r="J322" s="115">
        <f>_xlfn.TEXTJOIN("-",TRUE,B322,C322,D322)</f>
        <v/>
      </c>
      <c r="K322" s="184" t="n"/>
      <c r="L322" s="184" t="n"/>
      <c r="M322" s="184" t="n"/>
      <c r="N322" s="184" t="n"/>
      <c r="O322" s="184" t="n"/>
      <c r="P322" s="184" t="n"/>
      <c r="Q322" s="184" t="n"/>
      <c r="R322" s="184" t="n"/>
      <c r="S322" s="390">
        <f>_xlfn.TEXTJOIN("-",TRUE,K322,L322,M322)</f>
        <v/>
      </c>
      <c r="AB322" s="390">
        <f>_xlfn.TEXTJOIN("-",TRUE,T322,U322,V322)</f>
        <v/>
      </c>
      <c r="BB322" s="390">
        <f>_xlfn.TEXTJOIN("-",TRUE,AU322,AW322)</f>
        <v/>
      </c>
    </row>
    <row r="323" ht="13.8" customHeight="1" s="428">
      <c r="B323" s="143" t="inlineStr">
        <is>
          <t>12.00R20</t>
        </is>
      </c>
      <c r="C323" s="169" t="inlineStr">
        <is>
          <t>20PR</t>
        </is>
      </c>
      <c r="D323" s="177" t="inlineStr">
        <is>
          <t>TZ304</t>
        </is>
      </c>
      <c r="E323" s="125" t="inlineStr">
        <is>
          <t>12.00R20-ET C ID</t>
        </is>
      </c>
      <c r="F323" s="131">
        <f>G323-4.327+5.012</f>
        <v/>
      </c>
      <c r="G323" s="131" t="n">
        <v>83.92400000000001</v>
      </c>
      <c r="H323" s="129" t="n">
        <v>83.94329999999999</v>
      </c>
      <c r="I323" s="130">
        <f>G323-H323</f>
        <v/>
      </c>
      <c r="J323" s="115">
        <f>_xlfn.TEXTJOIN("-",TRUE,B323,C323,D323)</f>
        <v/>
      </c>
      <c r="K323" s="184" t="n"/>
      <c r="L323" s="184" t="n"/>
      <c r="M323" s="184" t="n"/>
      <c r="N323" s="184" t="n"/>
      <c r="O323" s="184" t="n"/>
      <c r="P323" s="184" t="n"/>
      <c r="Q323" s="184" t="n"/>
      <c r="R323" s="184" t="n"/>
      <c r="S323" s="390">
        <f>_xlfn.TEXTJOIN("-",TRUE,K323,L323,M323)</f>
        <v/>
      </c>
      <c r="AB323" s="390">
        <f>_xlfn.TEXTJOIN("-",TRUE,T323,U323,V323)</f>
        <v/>
      </c>
      <c r="BB323" s="390">
        <f>_xlfn.TEXTJOIN("-",TRUE,AU323,AW323)</f>
        <v/>
      </c>
    </row>
    <row r="324">
      <c r="B324" s="143" t="inlineStr">
        <is>
          <t>12.00R20</t>
        </is>
      </c>
      <c r="C324" s="169" t="inlineStr">
        <is>
          <t>18PR</t>
        </is>
      </c>
      <c r="D324" s="177" t="inlineStr">
        <is>
          <t>EZ345</t>
        </is>
      </c>
      <c r="E324" s="125" t="inlineStr">
        <is>
          <t>12.00R20-AE C ID</t>
        </is>
      </c>
      <c r="F324" s="207">
        <f>G324-4.327+5.012</f>
        <v/>
      </c>
      <c r="G324" s="207" t="n">
        <v>69.31999999999999</v>
      </c>
      <c r="H324" s="129" t="n">
        <v>69.6353</v>
      </c>
      <c r="I324" s="130">
        <f>G324-H324</f>
        <v/>
      </c>
      <c r="J324" s="115">
        <f>_xlfn.TEXTJOIN("-",TRUE,B324,C324,D324)</f>
        <v/>
      </c>
      <c r="R324" s="184" t="n"/>
      <c r="S324" s="390">
        <f>_xlfn.TEXTJOIN("-",TRUE,K324,L324,M324)</f>
        <v/>
      </c>
      <c r="AB324" s="390">
        <f>_xlfn.TEXTJOIN("-",TRUE,T324,U324,V324)</f>
        <v/>
      </c>
      <c r="BB324" s="390">
        <f>_xlfn.TEXTJOIN("-",TRUE,AU324,AW324)</f>
        <v/>
      </c>
    </row>
    <row r="325" ht="13.8" customHeight="1" s="428">
      <c r="B325" s="143" t="inlineStr">
        <is>
          <t>12.00R20</t>
        </is>
      </c>
      <c r="C325" s="169" t="inlineStr">
        <is>
          <t>18PR</t>
        </is>
      </c>
      <c r="D325" s="177" t="inlineStr">
        <is>
          <t>EZ175</t>
        </is>
      </c>
      <c r="E325" s="125" t="inlineStr">
        <is>
          <t>12.00R20-AE C ID</t>
        </is>
      </c>
      <c r="F325" s="207">
        <f>G325-4.327+5.012</f>
        <v/>
      </c>
      <c r="G325" s="207" t="n">
        <v>69.31999999999999</v>
      </c>
      <c r="H325" s="129" t="n">
        <v>69.6353</v>
      </c>
      <c r="I325" s="130">
        <f>G325-H325</f>
        <v/>
      </c>
      <c r="J325" s="115">
        <f>_xlfn.TEXTJOIN("-",TRUE,B325,C325,D325)</f>
        <v/>
      </c>
      <c r="R325" s="184" t="n"/>
      <c r="S325" s="390">
        <f>_xlfn.TEXTJOIN("-",TRUE,K325,L325,M325)</f>
        <v/>
      </c>
      <c r="AB325" s="390">
        <f>_xlfn.TEXTJOIN("-",TRUE,T325,U325,V325)</f>
        <v/>
      </c>
      <c r="BB325" s="390">
        <f>_xlfn.TEXTJOIN("-",TRUE,AU325,AW325)</f>
        <v/>
      </c>
    </row>
    <row r="326" ht="27.6" customHeight="1" s="428">
      <c r="B326" s="143" t="inlineStr">
        <is>
          <t>12.00R20</t>
        </is>
      </c>
      <c r="C326" s="177" t="inlineStr">
        <is>
          <t>20PR</t>
        </is>
      </c>
      <c r="D326" s="177" t="inlineStr">
        <is>
          <t>EZ345</t>
        </is>
      </c>
      <c r="E326" s="125" t="inlineStr">
        <is>
          <t>12.00R20-AE C ID</t>
        </is>
      </c>
      <c r="F326" s="207">
        <f>G326-4.327+5.012</f>
        <v/>
      </c>
      <c r="G326" s="207" t="n">
        <v>69.31999999999999</v>
      </c>
      <c r="H326" s="129" t="n">
        <v>69.6353</v>
      </c>
      <c r="I326" s="130">
        <f>G326-H326</f>
        <v/>
      </c>
      <c r="J326" s="115">
        <f>_xlfn.TEXTJOIN("-",TRUE,B326,C326,D326)</f>
        <v/>
      </c>
      <c r="R326" s="184" t="n"/>
      <c r="S326" s="390">
        <f>_xlfn.TEXTJOIN("-",TRUE,K326,L326,M326)</f>
        <v/>
      </c>
      <c r="AB326" s="390">
        <f>_xlfn.TEXTJOIN("-",TRUE,T326,U326,V326)</f>
        <v/>
      </c>
      <c r="BB326" s="390">
        <f>_xlfn.TEXTJOIN("-",TRUE,AU326,AW326)</f>
        <v/>
      </c>
    </row>
    <row r="327">
      <c r="B327" s="143" t="inlineStr">
        <is>
          <t>12.00R20</t>
        </is>
      </c>
      <c r="C327" s="177" t="inlineStr">
        <is>
          <t>20PR</t>
        </is>
      </c>
      <c r="D327" s="177" t="inlineStr">
        <is>
          <t>EZ175</t>
        </is>
      </c>
      <c r="E327" s="125" t="inlineStr">
        <is>
          <t>12.00R20-AE C ID</t>
        </is>
      </c>
      <c r="F327" s="207">
        <f>G327-4.327+5.012</f>
        <v/>
      </c>
      <c r="G327" s="207" t="n">
        <v>69.31999999999999</v>
      </c>
      <c r="H327" s="129" t="n">
        <v>69.6353</v>
      </c>
      <c r="I327" s="130">
        <f>G327-H327</f>
        <v/>
      </c>
      <c r="J327" s="115">
        <f>_xlfn.TEXTJOIN("-",TRUE,B327,C327,D327)</f>
        <v/>
      </c>
      <c r="R327" s="184" t="n"/>
      <c r="S327" s="390">
        <f>_xlfn.TEXTJOIN("-",TRUE,K327,L327,M327)</f>
        <v/>
      </c>
      <c r="AB327" s="390">
        <f>_xlfn.TEXTJOIN("-",TRUE,T327,U327,V327)</f>
        <v/>
      </c>
      <c r="BB327" s="390">
        <f>_xlfn.TEXTJOIN("-",TRUE,AU327,AW327)</f>
        <v/>
      </c>
    </row>
    <row r="328" ht="13.8" customHeight="1" s="428">
      <c r="B328" s="143" t="inlineStr">
        <is>
          <t>12.00R20</t>
        </is>
      </c>
      <c r="C328" s="177" t="inlineStr">
        <is>
          <t>18PR</t>
        </is>
      </c>
      <c r="D328" s="177" t="inlineStr">
        <is>
          <t>EZ310</t>
        </is>
      </c>
      <c r="E328" s="125" t="inlineStr">
        <is>
          <t>12.00R20-BE C ID</t>
        </is>
      </c>
      <c r="F328" s="131">
        <f>G328-4.327+5.012</f>
        <v/>
      </c>
      <c r="G328" s="131" t="n">
        <v>95.387</v>
      </c>
      <c r="H328" s="129" t="n">
        <v>93.9975</v>
      </c>
      <c r="I328" s="130">
        <f>G328-H328</f>
        <v/>
      </c>
      <c r="J328" s="115">
        <f>_xlfn.TEXTJOIN("-",TRUE,B328,C328,D328)</f>
        <v/>
      </c>
      <c r="R328" s="184" t="n"/>
      <c r="S328" s="390">
        <f>_xlfn.TEXTJOIN("-",TRUE,K328,L328,M328)</f>
        <v/>
      </c>
      <c r="AB328" s="390">
        <f>_xlfn.TEXTJOIN("-",TRUE,T328,U328,V328)</f>
        <v/>
      </c>
      <c r="BB328" s="390">
        <f>_xlfn.TEXTJOIN("-",TRUE,AU328,AW328)</f>
        <v/>
      </c>
    </row>
    <row r="329" ht="27.6" customHeight="1" s="428">
      <c r="B329" s="143" t="inlineStr">
        <is>
          <t>12.00R20</t>
        </is>
      </c>
      <c r="C329" s="177" t="inlineStr">
        <is>
          <t>18PR</t>
        </is>
      </c>
      <c r="D329" s="177" t="inlineStr">
        <is>
          <t>EZ310 pro</t>
        </is>
      </c>
      <c r="E329" s="125" t="inlineStr">
        <is>
          <t>12.00R20-BE C ID</t>
        </is>
      </c>
      <c r="F329" s="131">
        <f>G329-4.327+5.012</f>
        <v/>
      </c>
      <c r="G329" s="131" t="n">
        <v>95.387</v>
      </c>
      <c r="H329" s="129" t="n">
        <v>93.9975</v>
      </c>
      <c r="I329" s="130">
        <f>G329-H329</f>
        <v/>
      </c>
      <c r="J329" s="115">
        <f>_xlfn.TEXTJOIN("-",TRUE,B329,C329,D329)</f>
        <v/>
      </c>
      <c r="R329" s="184" t="n"/>
      <c r="S329" s="390">
        <f>_xlfn.TEXTJOIN("-",TRUE,K329,L329,M329)</f>
        <v/>
      </c>
      <c r="AB329" s="390">
        <f>_xlfn.TEXTJOIN("-",TRUE,T329,U329,V329)</f>
        <v/>
      </c>
      <c r="BB329" s="390">
        <f>_xlfn.TEXTJOIN("-",TRUE,AU329,AW329)</f>
        <v/>
      </c>
    </row>
    <row r="330">
      <c r="B330" s="143" t="inlineStr">
        <is>
          <t>12.00R20</t>
        </is>
      </c>
      <c r="C330" s="177" t="inlineStr">
        <is>
          <t>22PR</t>
        </is>
      </c>
      <c r="D330" s="177" t="inlineStr">
        <is>
          <t>EZ310</t>
        </is>
      </c>
      <c r="E330" s="125" t="inlineStr">
        <is>
          <t>12.00R20-BE C ID</t>
        </is>
      </c>
      <c r="F330" s="131">
        <f>G330-4.327+5.012</f>
        <v/>
      </c>
      <c r="G330" s="131" t="n">
        <v>95.387</v>
      </c>
      <c r="H330" s="129" t="n">
        <v>93.9975</v>
      </c>
      <c r="I330" s="130">
        <f>G330-H330</f>
        <v/>
      </c>
      <c r="J330" s="115">
        <f>_xlfn.TEXTJOIN("-",TRUE,B330,C330,D330)</f>
        <v/>
      </c>
      <c r="R330" s="184" t="n"/>
      <c r="S330" s="390">
        <f>_xlfn.TEXTJOIN("-",TRUE,K330,L330,M330)</f>
        <v/>
      </c>
      <c r="AB330" s="390">
        <f>_xlfn.TEXTJOIN("-",TRUE,T330,U330,V330)</f>
        <v/>
      </c>
      <c r="BB330" s="390">
        <f>_xlfn.TEXTJOIN("-",TRUE,AU330,AW330)</f>
        <v/>
      </c>
    </row>
    <row r="331" ht="13.8" customHeight="1" s="428">
      <c r="B331" s="143" t="inlineStr">
        <is>
          <t>12.00R20</t>
        </is>
      </c>
      <c r="C331" s="177" t="inlineStr">
        <is>
          <t>22PR</t>
        </is>
      </c>
      <c r="D331" s="177" t="inlineStr">
        <is>
          <t>EZ310 pro</t>
        </is>
      </c>
      <c r="E331" s="125" t="inlineStr">
        <is>
          <t>12.00R20-BE C ID</t>
        </is>
      </c>
      <c r="F331" s="131">
        <f>G331-4.327+5.012</f>
        <v/>
      </c>
      <c r="G331" s="131" t="n">
        <v>95.387</v>
      </c>
      <c r="H331" s="129" t="n">
        <v>93.9975</v>
      </c>
      <c r="I331" s="130">
        <f>G331-H331</f>
        <v/>
      </c>
      <c r="J331" s="115">
        <f>_xlfn.TEXTJOIN("-",TRUE,B331,C331,D331)</f>
        <v/>
      </c>
      <c r="R331" s="184" t="n"/>
      <c r="S331" s="390">
        <f>_xlfn.TEXTJOIN("-",TRUE,K331,L331,M331)</f>
        <v/>
      </c>
      <c r="AB331" s="390">
        <f>_xlfn.TEXTJOIN("-",TRUE,T331,U331,V331)</f>
        <v/>
      </c>
      <c r="BB331" s="390">
        <f>_xlfn.TEXTJOIN("-",TRUE,AU331,AW331)</f>
        <v/>
      </c>
    </row>
    <row r="332" ht="27.6" customHeight="1" s="428">
      <c r="B332" s="143" t="inlineStr">
        <is>
          <t>12.00R20</t>
        </is>
      </c>
      <c r="C332" s="177" t="inlineStr">
        <is>
          <t>18PR</t>
        </is>
      </c>
      <c r="D332" s="177" t="inlineStr">
        <is>
          <t>EZ535</t>
        </is>
      </c>
      <c r="E332" s="177" t="inlineStr">
        <is>
          <t>12.00R20-18PR-EZ535 C ID</t>
        </is>
      </c>
      <c r="F332" s="131">
        <f>G332-4.327+5.012</f>
        <v/>
      </c>
      <c r="G332" s="131" t="n">
        <v>85.95</v>
      </c>
      <c r="H332" s="129" t="n">
        <v>85.953</v>
      </c>
      <c r="I332" s="130">
        <f>G332-H332</f>
        <v/>
      </c>
      <c r="J332" s="115">
        <f>_xlfn.TEXTJOIN("-",TRUE,B332,C332,D332)</f>
        <v/>
      </c>
      <c r="R332" s="184" t="n"/>
      <c r="S332" s="390">
        <f>_xlfn.TEXTJOIN("-",TRUE,K332,L332,M332)</f>
        <v/>
      </c>
      <c r="AB332" s="390">
        <f>_xlfn.TEXTJOIN("-",TRUE,T332,U332,V332)</f>
        <v/>
      </c>
      <c r="BB332" s="390">
        <f>_xlfn.TEXTJOIN("-",TRUE,AU332,AW332)</f>
        <v/>
      </c>
    </row>
    <row r="333">
      <c r="B333" s="143" t="inlineStr">
        <is>
          <t>12.00R20</t>
        </is>
      </c>
      <c r="C333" s="177" t="inlineStr">
        <is>
          <t>20PR</t>
        </is>
      </c>
      <c r="D333" s="177" t="inlineStr">
        <is>
          <t>ETOD</t>
        </is>
      </c>
      <c r="E333" s="125" t="inlineStr">
        <is>
          <t>12.00R20-20PR-ETOD C ID</t>
        </is>
      </c>
      <c r="F333" s="131">
        <f>G333-3.916+4.601</f>
        <v/>
      </c>
      <c r="G333" s="131" t="n">
        <v>87.637</v>
      </c>
      <c r="H333" s="129" t="n">
        <v>87.81</v>
      </c>
      <c r="I333" s="130">
        <f>G333-H333</f>
        <v/>
      </c>
      <c r="J333" s="115">
        <f>_xlfn.TEXTJOIN("-",TRUE,B333,C333,D333)</f>
        <v/>
      </c>
      <c r="R333" s="184" t="n"/>
      <c r="S333" s="390">
        <f>_xlfn.TEXTJOIN("-",TRUE,K333,L333,M333)</f>
        <v/>
      </c>
      <c r="AB333" s="390">
        <f>_xlfn.TEXTJOIN("-",TRUE,T333,U333,V333)</f>
        <v/>
      </c>
      <c r="BB333" s="390">
        <f>_xlfn.TEXTJOIN("-",TRUE,AU333,AW333)</f>
        <v/>
      </c>
    </row>
    <row r="334" ht="13.8" customHeight="1" s="428">
      <c r="B334" s="143" t="inlineStr">
        <is>
          <t>12.00R20</t>
        </is>
      </c>
      <c r="C334" s="177" t="inlineStr">
        <is>
          <t>18PR</t>
        </is>
      </c>
      <c r="D334" s="126" t="inlineStr">
        <is>
          <t>CB332</t>
        </is>
      </c>
      <c r="E334" s="177" t="inlineStr">
        <is>
          <t>12.00R20-18PR-B C ID</t>
        </is>
      </c>
      <c r="F334" s="128">
        <f>G334-4.327+5.012</f>
        <v/>
      </c>
      <c r="G334" s="128" t="n">
        <v>86.93300000000001</v>
      </c>
      <c r="H334" s="129" t="n">
        <v>87.14</v>
      </c>
      <c r="I334" s="130">
        <f>G334-H334</f>
        <v/>
      </c>
      <c r="J334" s="115">
        <f>_xlfn.TEXTJOIN("-",TRUE,B334,C334,D334)</f>
        <v/>
      </c>
      <c r="R334" s="184" t="n"/>
      <c r="S334" s="390">
        <f>_xlfn.TEXTJOIN("-",TRUE,K334,L334,M334)</f>
        <v/>
      </c>
      <c r="AB334" s="390">
        <f>_xlfn.TEXTJOIN("-",TRUE,T334,U334,V334)</f>
        <v/>
      </c>
      <c r="BB334" s="390">
        <f>_xlfn.TEXTJOIN("-",TRUE,AU334,AW334)</f>
        <v/>
      </c>
    </row>
    <row r="335" ht="13.8" customHeight="1" s="428">
      <c r="B335" s="143" t="inlineStr">
        <is>
          <t>12.00R20</t>
        </is>
      </c>
      <c r="C335" s="169" t="inlineStr">
        <is>
          <t>18PR</t>
        </is>
      </c>
      <c r="D335" s="126" t="inlineStr">
        <is>
          <t>CB919</t>
        </is>
      </c>
      <c r="E335" s="177" t="inlineStr">
        <is>
          <t>12.00R20-18PR-B C ID</t>
        </is>
      </c>
      <c r="F335" s="128">
        <f>G335-4.327+5.012</f>
        <v/>
      </c>
      <c r="G335" s="128" t="n">
        <v>86.93300000000001</v>
      </c>
      <c r="H335" s="129" t="n">
        <v>87.14</v>
      </c>
      <c r="I335" s="130">
        <f>G335-H335</f>
        <v/>
      </c>
      <c r="J335" s="115">
        <f>_xlfn.TEXTJOIN("-",TRUE,B335,C335,D335)</f>
        <v/>
      </c>
      <c r="R335" s="184" t="n"/>
      <c r="S335" s="390">
        <f>_xlfn.TEXTJOIN("-",TRUE,K335,L335,M335)</f>
        <v/>
      </c>
      <c r="AB335" s="390">
        <f>_xlfn.TEXTJOIN("-",TRUE,T335,U335,V335)</f>
        <v/>
      </c>
      <c r="BB335" s="390">
        <f>_xlfn.TEXTJOIN("-",TRUE,AU335,AW335)</f>
        <v/>
      </c>
    </row>
    <row r="336">
      <c r="B336" s="143" t="inlineStr">
        <is>
          <t>12.00R20</t>
        </is>
      </c>
      <c r="C336" s="169" t="inlineStr">
        <is>
          <t>20PR</t>
        </is>
      </c>
      <c r="D336" s="126" t="inlineStr">
        <is>
          <t>CB972</t>
        </is>
      </c>
      <c r="E336" s="177" t="inlineStr">
        <is>
          <t>12.00R20-CBT C ID</t>
        </is>
      </c>
      <c r="F336" s="128">
        <f>G336-4.327+5.012</f>
        <v/>
      </c>
      <c r="G336" s="131" t="n">
        <v>82.22499999999999</v>
      </c>
      <c r="H336" s="129" t="n">
        <v>81.17400000000001</v>
      </c>
      <c r="I336" s="130">
        <f>G336-H336</f>
        <v/>
      </c>
      <c r="J336" s="115">
        <f>_xlfn.TEXTJOIN("-",TRUE,B336,C336,D336)</f>
        <v/>
      </c>
      <c r="R336" s="184" t="n"/>
      <c r="S336" s="390">
        <f>_xlfn.TEXTJOIN("-",TRUE,K336,L336,M336)</f>
        <v/>
      </c>
      <c r="AB336" s="390">
        <f>_xlfn.TEXTJOIN("-",TRUE,T336,U336,V336)</f>
        <v/>
      </c>
      <c r="BB336" s="390">
        <f>_xlfn.TEXTJOIN("-",TRUE,AU336,AW336)</f>
        <v/>
      </c>
    </row>
    <row r="337">
      <c r="B337" s="143" t="inlineStr">
        <is>
          <t>12.00R20</t>
        </is>
      </c>
      <c r="C337" s="169" t="inlineStr">
        <is>
          <t>20PR</t>
        </is>
      </c>
      <c r="D337" s="126" t="inlineStr">
        <is>
          <t>TZ101</t>
        </is>
      </c>
      <c r="E337" s="177" t="inlineStr">
        <is>
          <t>12.00R20-CBT C ID</t>
        </is>
      </c>
      <c r="F337" s="128">
        <f>G337-4.327+5.012</f>
        <v/>
      </c>
      <c r="G337" s="131" t="n">
        <v>82.22499999999999</v>
      </c>
      <c r="H337" s="129" t="n">
        <v>81.17400000000001</v>
      </c>
      <c r="I337" s="130">
        <f>G337-H337</f>
        <v/>
      </c>
      <c r="J337" s="115">
        <f>_xlfn.TEXTJOIN("-",TRUE,B337,C337,D337)</f>
        <v/>
      </c>
      <c r="R337" s="184" t="n"/>
      <c r="S337" s="390">
        <f>_xlfn.TEXTJOIN("-",TRUE,K337,L337,M337)</f>
        <v/>
      </c>
      <c r="AB337" s="390">
        <f>_xlfn.TEXTJOIN("-",TRUE,T337,U337,V337)</f>
        <v/>
      </c>
      <c r="BB337" s="390">
        <f>_xlfn.TEXTJOIN("-",TRUE,AU337,AW337)</f>
        <v/>
      </c>
    </row>
    <row r="338">
      <c r="B338" s="143" t="inlineStr">
        <is>
          <t>12.00R20</t>
        </is>
      </c>
      <c r="C338" s="169" t="inlineStr">
        <is>
          <t>20PR</t>
        </is>
      </c>
      <c r="D338" s="177" t="inlineStr">
        <is>
          <t>MT100</t>
        </is>
      </c>
      <c r="E338" s="177" t="inlineStr">
        <is>
          <t>12.00R20-CBT C ID</t>
        </is>
      </c>
      <c r="F338" s="128">
        <f>G338-4.327+5.012</f>
        <v/>
      </c>
      <c r="G338" s="131" t="n">
        <v>82.22499999999999</v>
      </c>
      <c r="H338" s="129" t="n">
        <v>81.17400000000001</v>
      </c>
      <c r="I338" s="130">
        <f>G338-H338</f>
        <v/>
      </c>
      <c r="J338" s="115">
        <f>_xlfn.TEXTJOIN("-",TRUE,B338,C338,D338)</f>
        <v/>
      </c>
      <c r="R338" s="184" t="n"/>
      <c r="S338" s="390">
        <f>_xlfn.TEXTJOIN("-",TRUE,K338,L338,M338)</f>
        <v/>
      </c>
      <c r="AB338" s="390">
        <f>_xlfn.TEXTJOIN("-",TRUE,T338,U338,V338)</f>
        <v/>
      </c>
      <c r="BB338" s="390">
        <f>_xlfn.TEXTJOIN("-",TRUE,AU338,AW338)</f>
        <v/>
      </c>
    </row>
    <row r="339">
      <c r="B339" s="143" t="inlineStr">
        <is>
          <t>12.00R20</t>
        </is>
      </c>
      <c r="C339" s="177" t="inlineStr">
        <is>
          <t>22PR</t>
        </is>
      </c>
      <c r="D339" s="126" t="inlineStr">
        <is>
          <t>CB972</t>
        </is>
      </c>
      <c r="E339" s="177" t="inlineStr">
        <is>
          <t>12.00R20-CBT C ID</t>
        </is>
      </c>
      <c r="F339" s="128">
        <f>G339-4.327+5.012</f>
        <v/>
      </c>
      <c r="G339" s="131" t="n">
        <v>82.22499999999999</v>
      </c>
      <c r="H339" s="129" t="n">
        <v>81.17400000000001</v>
      </c>
      <c r="I339" s="130">
        <f>G339-H339</f>
        <v/>
      </c>
      <c r="J339" s="115">
        <f>_xlfn.TEXTJOIN("-",TRUE,B339,C339,D339)</f>
        <v/>
      </c>
      <c r="R339" s="184" t="n"/>
      <c r="S339" s="390">
        <f>_xlfn.TEXTJOIN("-",TRUE,K339,L339,M339)</f>
        <v/>
      </c>
      <c r="AB339" s="390">
        <f>_xlfn.TEXTJOIN("-",TRUE,T339,U339,V339)</f>
        <v/>
      </c>
      <c r="BB339" s="390">
        <f>_xlfn.TEXTJOIN("-",TRUE,AU339,AW339)</f>
        <v/>
      </c>
    </row>
    <row r="340">
      <c r="B340" s="143" t="inlineStr">
        <is>
          <t>12.00R20</t>
        </is>
      </c>
      <c r="C340" s="177" t="inlineStr">
        <is>
          <t>22PR</t>
        </is>
      </c>
      <c r="D340" s="126" t="inlineStr">
        <is>
          <t>TZ101</t>
        </is>
      </c>
      <c r="E340" s="177" t="inlineStr">
        <is>
          <t>12.00R20-CBT C ID</t>
        </is>
      </c>
      <c r="F340" s="128">
        <f>G340-4.327+5.012</f>
        <v/>
      </c>
      <c r="G340" s="131" t="n">
        <v>82.22499999999999</v>
      </c>
      <c r="H340" s="129" t="n">
        <v>81.17400000000001</v>
      </c>
      <c r="I340" s="130">
        <f>G340-H340</f>
        <v/>
      </c>
      <c r="J340" s="115">
        <f>_xlfn.TEXTJOIN("-",TRUE,B340,C340,D340)</f>
        <v/>
      </c>
      <c r="R340" s="184" t="n"/>
      <c r="S340" s="390">
        <f>_xlfn.TEXTJOIN("-",TRUE,K340,L340,M340)</f>
        <v/>
      </c>
      <c r="AB340" s="390">
        <f>_xlfn.TEXTJOIN("-",TRUE,T340,U340,V340)</f>
        <v/>
      </c>
      <c r="BB340" s="390">
        <f>_xlfn.TEXTJOIN("-",TRUE,AU340,AW340)</f>
        <v/>
      </c>
    </row>
    <row r="341">
      <c r="B341" s="143" t="inlineStr">
        <is>
          <t>12.00R20</t>
        </is>
      </c>
      <c r="C341" s="169" t="inlineStr">
        <is>
          <t>22PR</t>
        </is>
      </c>
      <c r="D341" s="177" t="inlineStr">
        <is>
          <t>MT100</t>
        </is>
      </c>
      <c r="E341" s="177" t="inlineStr">
        <is>
          <t>12.00R20-CBT C ID</t>
        </is>
      </c>
      <c r="F341" s="128">
        <f>G341-4.327+5.012</f>
        <v/>
      </c>
      <c r="G341" s="131" t="n">
        <v>82.22499999999999</v>
      </c>
      <c r="H341" s="129" t="n">
        <v>81.17400000000001</v>
      </c>
      <c r="I341" s="130">
        <f>G341-H341</f>
        <v/>
      </c>
      <c r="J341" s="115">
        <f>_xlfn.TEXTJOIN("-",TRUE,B341,C341,D341)</f>
        <v/>
      </c>
      <c r="R341" s="184" t="n"/>
      <c r="S341" s="390">
        <f>_xlfn.TEXTJOIN("-",TRUE,K341,L341,M341)</f>
        <v/>
      </c>
      <c r="AB341" s="390">
        <f>_xlfn.TEXTJOIN("-",TRUE,T341,U341,V341)</f>
        <v/>
      </c>
      <c r="BB341" s="390">
        <f>_xlfn.TEXTJOIN("-",TRUE,AU341,AW341)</f>
        <v/>
      </c>
    </row>
    <row r="342">
      <c r="B342" s="143" t="inlineStr">
        <is>
          <t>12.00R20</t>
        </is>
      </c>
      <c r="C342" s="169" t="inlineStr">
        <is>
          <t>22PR</t>
        </is>
      </c>
      <c r="D342" s="126" t="inlineStr">
        <is>
          <t>TRD-71</t>
        </is>
      </c>
      <c r="E342" s="177" t="inlineStr">
        <is>
          <t>12.00R20-CBT C ID</t>
        </is>
      </c>
      <c r="F342" s="128">
        <f>G342-4.327+5.012</f>
        <v/>
      </c>
      <c r="G342" s="131" t="n">
        <v>82.22499999999999</v>
      </c>
      <c r="H342" s="129" t="n">
        <v>81.17400000000001</v>
      </c>
      <c r="I342" s="130">
        <f>G342-H342</f>
        <v/>
      </c>
      <c r="J342" s="115">
        <f>_xlfn.TEXTJOIN("-",TRUE,B342,C342,D342)</f>
        <v/>
      </c>
      <c r="R342" s="184" t="n"/>
      <c r="S342" s="390">
        <f>_xlfn.TEXTJOIN("-",TRUE,K342,L342,M342)</f>
        <v/>
      </c>
      <c r="AB342" s="390">
        <f>_xlfn.TEXTJOIN("-",TRUE,T342,U342,V342)</f>
        <v/>
      </c>
      <c r="BB342" s="390">
        <f>_xlfn.TEXTJOIN("-",TRUE,AU342,AW342)</f>
        <v/>
      </c>
    </row>
    <row r="343">
      <c r="B343" s="192" t="inlineStr">
        <is>
          <t>12.00R20</t>
        </is>
      </c>
      <c r="C343" s="177" t="inlineStr">
        <is>
          <t>22PR</t>
        </is>
      </c>
      <c r="D343" s="126" t="inlineStr">
        <is>
          <t>CB332</t>
        </is>
      </c>
      <c r="E343" s="141" t="inlineStr">
        <is>
          <t>12.00R20-22PR-B C ID</t>
        </is>
      </c>
      <c r="F343" s="131">
        <f>G343-4.327+5.012</f>
        <v/>
      </c>
      <c r="G343" s="128" t="n">
        <v>86.754</v>
      </c>
      <c r="H343" s="129" t="n">
        <v>86.7752</v>
      </c>
      <c r="I343" s="130">
        <f>G343-H343</f>
        <v/>
      </c>
      <c r="J343" s="115">
        <f>_xlfn.TEXTJOIN("-",TRUE,B343,C343,D343)</f>
        <v/>
      </c>
      <c r="R343" s="184" t="n"/>
      <c r="S343" s="390">
        <f>_xlfn.TEXTJOIN("-",TRUE,K343,L343,M343)</f>
        <v/>
      </c>
      <c r="AB343" s="390">
        <f>_xlfn.TEXTJOIN("-",TRUE,T343,U343,V343)</f>
        <v/>
      </c>
      <c r="BB343" s="390">
        <f>_xlfn.TEXTJOIN("-",TRUE,AU343,AW343)</f>
        <v/>
      </c>
    </row>
    <row r="344">
      <c r="B344" s="143" t="inlineStr">
        <is>
          <t>12.00R20</t>
        </is>
      </c>
      <c r="C344" s="177" t="inlineStr">
        <is>
          <t>22PR</t>
        </is>
      </c>
      <c r="D344" s="177" t="inlineStr">
        <is>
          <t>CB919</t>
        </is>
      </c>
      <c r="E344" s="171" t="inlineStr">
        <is>
          <t>12.00R20-22PR-B C ID</t>
        </is>
      </c>
      <c r="F344" s="131">
        <f>G344-4.327+5.012</f>
        <v/>
      </c>
      <c r="G344" s="128" t="n">
        <v>86.754</v>
      </c>
      <c r="H344" s="129" t="n">
        <v>86.7752</v>
      </c>
      <c r="I344" s="130">
        <f>G344-H344</f>
        <v/>
      </c>
      <c r="J344" s="115">
        <f>_xlfn.TEXTJOIN("-",TRUE,B344,C344,D344)</f>
        <v/>
      </c>
      <c r="R344" s="184" t="n"/>
      <c r="S344" s="390">
        <f>_xlfn.TEXTJOIN("-",TRUE,K344,L344,M344)</f>
        <v/>
      </c>
      <c r="AB344" s="390">
        <f>_xlfn.TEXTJOIN("-",TRUE,T344,U344,V344)</f>
        <v/>
      </c>
      <c r="BB344" s="390">
        <f>_xlfn.TEXTJOIN("-",TRUE,AU344,AW344)</f>
        <v/>
      </c>
    </row>
    <row r="345">
      <c r="B345" s="143" t="inlineStr">
        <is>
          <t>12.00R20</t>
        </is>
      </c>
      <c r="C345" s="177" t="inlineStr">
        <is>
          <t>20PR</t>
        </is>
      </c>
      <c r="D345" s="126" t="inlineStr">
        <is>
          <t>AZ850</t>
        </is>
      </c>
      <c r="E345" s="177" t="inlineStr">
        <is>
          <t>12.00R20-20PR-CA C ID</t>
        </is>
      </c>
      <c r="F345" s="128">
        <f>G345-4.327+5.012</f>
        <v/>
      </c>
      <c r="G345" s="128" t="n">
        <v>81.398</v>
      </c>
      <c r="H345" s="129" t="n">
        <v>81.2783</v>
      </c>
      <c r="I345" s="130">
        <f>G345-H345</f>
        <v/>
      </c>
      <c r="J345" s="115">
        <f>_xlfn.TEXTJOIN("-",TRUE,B345,C345,D345)</f>
        <v/>
      </c>
      <c r="R345" s="184" t="n"/>
      <c r="S345" s="390">
        <f>_xlfn.TEXTJOIN("-",TRUE,K345,L345,M345)</f>
        <v/>
      </c>
      <c r="AB345" s="390">
        <f>_xlfn.TEXTJOIN("-",TRUE,T345,U345,V345)</f>
        <v/>
      </c>
      <c r="BB345" s="390">
        <f>_xlfn.TEXTJOIN("-",TRUE,AU345,AW345)</f>
        <v/>
      </c>
    </row>
    <row r="346">
      <c r="B346" s="143" t="inlineStr">
        <is>
          <t>12.00R20</t>
        </is>
      </c>
      <c r="C346" s="177" t="inlineStr">
        <is>
          <t>20PR</t>
        </is>
      </c>
      <c r="D346" s="126" t="inlineStr">
        <is>
          <t>EZ865</t>
        </is>
      </c>
      <c r="E346" s="177" t="inlineStr">
        <is>
          <t>12.00R20-20PR-CF C ID</t>
        </is>
      </c>
      <c r="F346" s="128">
        <f>G346-4.327+5.012</f>
        <v/>
      </c>
      <c r="G346" s="128" t="n">
        <v>84.154</v>
      </c>
      <c r="H346" s="129" t="n">
        <v>84.1747</v>
      </c>
      <c r="I346" s="130">
        <f>G346-H346</f>
        <v/>
      </c>
      <c r="J346" s="115">
        <f>_xlfn.TEXTJOIN("-",TRUE,B346,C346,D346)</f>
        <v/>
      </c>
      <c r="R346" s="184" t="n"/>
      <c r="S346" s="390">
        <f>_xlfn.TEXTJOIN("-",TRUE,K346,L346,M346)</f>
        <v/>
      </c>
      <c r="AB346" s="390">
        <f>_xlfn.TEXTJOIN("-",TRUE,T346,U346,V346)</f>
        <v/>
      </c>
      <c r="BB346" s="390">
        <f>_xlfn.TEXTJOIN("-",TRUE,AU346,AW346)</f>
        <v/>
      </c>
    </row>
    <row r="347" ht="13.8" customHeight="1" s="428">
      <c r="B347" s="143" t="inlineStr">
        <is>
          <t>12.00R20</t>
        </is>
      </c>
      <c r="C347" s="177" t="inlineStr">
        <is>
          <t>20PR</t>
        </is>
      </c>
      <c r="D347" s="126" t="inlineStr">
        <is>
          <t>EZ867</t>
        </is>
      </c>
      <c r="E347" s="177" t="inlineStr">
        <is>
          <t>12.00R20-20PR-CE C ID</t>
        </is>
      </c>
      <c r="F347" s="128">
        <f>G347-4.327+5.012</f>
        <v/>
      </c>
      <c r="G347" s="128" t="n">
        <v>84.312</v>
      </c>
      <c r="H347" s="129" t="n">
        <v>84.33110000000001</v>
      </c>
      <c r="I347" s="130">
        <f>G347-H347</f>
        <v/>
      </c>
      <c r="J347" s="115">
        <f>_xlfn.TEXTJOIN("-",TRUE,B347,C347,D347)</f>
        <v/>
      </c>
      <c r="R347" s="184" t="n"/>
      <c r="S347" s="390">
        <f>_xlfn.TEXTJOIN("-",TRUE,K347,L347,M347)</f>
        <v/>
      </c>
      <c r="AB347" s="390">
        <f>_xlfn.TEXTJOIN("-",TRUE,T347,U347,V347)</f>
        <v/>
      </c>
      <c r="BB347" s="390">
        <f>_xlfn.TEXTJOIN("-",TRUE,AU347,AW347)</f>
        <v/>
      </c>
    </row>
    <row r="348" ht="13.8" customHeight="1" s="428">
      <c r="B348" s="143" t="inlineStr">
        <is>
          <t>12.00R20</t>
        </is>
      </c>
      <c r="C348" s="177" t="inlineStr">
        <is>
          <t>20PR</t>
        </is>
      </c>
      <c r="D348" s="126" t="inlineStr">
        <is>
          <t>EZ309</t>
        </is>
      </c>
      <c r="E348" s="125" t="inlineStr">
        <is>
          <t>12.00R20-AC C ID</t>
        </is>
      </c>
      <c r="F348" s="128">
        <f>G348-4.327+5.012</f>
        <v/>
      </c>
      <c r="G348" s="128" t="n">
        <v>70.11799999999999</v>
      </c>
      <c r="H348" s="129" t="n">
        <v>68.5578</v>
      </c>
      <c r="I348" s="130">
        <f>G348-H348</f>
        <v/>
      </c>
      <c r="J348" s="115">
        <f>_xlfn.TEXTJOIN("-",TRUE,B348,C348,D348)</f>
        <v/>
      </c>
      <c r="R348" s="184" t="n"/>
      <c r="S348" s="390">
        <f>_xlfn.TEXTJOIN("-",TRUE,K348,L348,M348)</f>
        <v/>
      </c>
      <c r="AB348" s="390">
        <f>_xlfn.TEXTJOIN("-",TRUE,T348,U348,V348)</f>
        <v/>
      </c>
      <c r="BB348" s="390">
        <f>_xlfn.TEXTJOIN("-",TRUE,AU348,AW348)</f>
        <v/>
      </c>
    </row>
    <row r="349">
      <c r="B349" s="143" t="inlineStr">
        <is>
          <t>12.00R20</t>
        </is>
      </c>
      <c r="C349" s="177" t="inlineStr">
        <is>
          <t>20PR</t>
        </is>
      </c>
      <c r="D349" s="126" t="inlineStr">
        <is>
          <t>XC809</t>
        </is>
      </c>
      <c r="E349" s="177" t="inlineStr">
        <is>
          <t>12.00R20-AC C ID</t>
        </is>
      </c>
      <c r="F349" s="128">
        <f>G349-4.327+5.012</f>
        <v/>
      </c>
      <c r="G349" s="128" t="n">
        <v>70.11799999999999</v>
      </c>
      <c r="H349" s="129" t="n">
        <v>68.5578</v>
      </c>
      <c r="I349" s="130">
        <f>G349-H349</f>
        <v/>
      </c>
      <c r="J349" s="115">
        <f>_xlfn.TEXTJOIN("-",TRUE,B349,C349,D349)</f>
        <v/>
      </c>
      <c r="R349" s="184" t="n"/>
      <c r="S349" s="390">
        <f>_xlfn.TEXTJOIN("-",TRUE,K349,L349,M349)</f>
        <v/>
      </c>
      <c r="AB349" s="390">
        <f>_xlfn.TEXTJOIN("-",TRUE,T349,U349,V349)</f>
        <v/>
      </c>
      <c r="BB349" s="390">
        <f>_xlfn.TEXTJOIN("-",TRUE,AU349,AW349)</f>
        <v/>
      </c>
    </row>
    <row r="350" ht="13.8" customHeight="1" s="428">
      <c r="B350" s="143" t="inlineStr">
        <is>
          <t>12.00R20</t>
        </is>
      </c>
      <c r="C350" s="177" t="inlineStr">
        <is>
          <t>22PR</t>
        </is>
      </c>
      <c r="D350" s="126" t="inlineStr">
        <is>
          <t>EZ309</t>
        </is>
      </c>
      <c r="E350" s="171" t="inlineStr">
        <is>
          <t>12.00R20-AC C ID</t>
        </is>
      </c>
      <c r="F350" s="128">
        <f>G350-4.327+5.012</f>
        <v/>
      </c>
      <c r="G350" s="128" t="n">
        <v>70.11799999999999</v>
      </c>
      <c r="H350" s="129" t="n">
        <v>68.5578</v>
      </c>
      <c r="I350" s="130">
        <f>G350-H350</f>
        <v/>
      </c>
      <c r="J350" s="115">
        <f>_xlfn.TEXTJOIN("-",TRUE,B350,C350,D350)</f>
        <v/>
      </c>
      <c r="R350" s="184" t="n"/>
      <c r="S350" s="390">
        <f>_xlfn.TEXTJOIN("-",TRUE,K350,L350,M350)</f>
        <v/>
      </c>
      <c r="AB350" s="390">
        <f>_xlfn.TEXTJOIN("-",TRUE,T350,U350,V350)</f>
        <v/>
      </c>
      <c r="BB350" s="390">
        <f>_xlfn.TEXTJOIN("-",TRUE,AU350,AW350)</f>
        <v/>
      </c>
    </row>
    <row r="351" ht="27.6" customHeight="1" s="428">
      <c r="B351" s="143" t="inlineStr">
        <is>
          <t>12.00R20</t>
        </is>
      </c>
      <c r="C351" s="177" t="inlineStr">
        <is>
          <t>22PR</t>
        </is>
      </c>
      <c r="D351" s="126" t="inlineStr">
        <is>
          <t>XC809</t>
        </is>
      </c>
      <c r="E351" s="177" t="inlineStr">
        <is>
          <t>12.00R20-AC C ID</t>
        </is>
      </c>
      <c r="F351" s="128">
        <f>G351-4.327+5.012</f>
        <v/>
      </c>
      <c r="G351" s="128" t="n">
        <v>70.11799999999999</v>
      </c>
      <c r="H351" s="129" t="n">
        <v>68.5578</v>
      </c>
      <c r="I351" s="130">
        <f>G351-H351</f>
        <v/>
      </c>
      <c r="J351" s="115">
        <f>_xlfn.TEXTJOIN("-",TRUE,B351,C351,D351)</f>
        <v/>
      </c>
      <c r="R351" s="184" t="n"/>
      <c r="S351" s="390">
        <f>_xlfn.TEXTJOIN("-",TRUE,K351,L351,M351)</f>
        <v/>
      </c>
      <c r="AB351" s="390">
        <f>_xlfn.TEXTJOIN("-",TRUE,T351,U351,V351)</f>
        <v/>
      </c>
      <c r="BB351" s="390">
        <f>_xlfn.TEXTJOIN("-",TRUE,AU351,AW351)</f>
        <v/>
      </c>
    </row>
    <row r="352">
      <c r="B352" s="143" t="inlineStr">
        <is>
          <t>12.00R20</t>
        </is>
      </c>
      <c r="C352" s="177" t="inlineStr">
        <is>
          <t>18PR</t>
        </is>
      </c>
      <c r="D352" s="126" t="inlineStr">
        <is>
          <t>CB905</t>
        </is>
      </c>
      <c r="E352" s="141" t="inlineStr">
        <is>
          <t>12.00R20-18PR-CB905 C ID</t>
        </is>
      </c>
      <c r="F352" s="128">
        <f>G352-4.331+5.015</f>
        <v/>
      </c>
      <c r="G352" s="128" t="n">
        <v>85.896</v>
      </c>
      <c r="H352" s="129" t="n">
        <v>85.92</v>
      </c>
      <c r="I352" s="130">
        <f>G352-H352</f>
        <v/>
      </c>
      <c r="J352" s="115">
        <f>_xlfn.TEXTJOIN("-",TRUE,B352,C352,D352)</f>
        <v/>
      </c>
      <c r="R352" s="184" t="n"/>
      <c r="S352" s="390">
        <f>_xlfn.TEXTJOIN("-",TRUE,K352,L352,M352)</f>
        <v/>
      </c>
      <c r="AB352" s="390">
        <f>_xlfn.TEXTJOIN("-",TRUE,T352,U352,V352)</f>
        <v/>
      </c>
      <c r="BB352" s="390">
        <f>_xlfn.TEXTJOIN("-",TRUE,AU352,AW352)</f>
        <v/>
      </c>
    </row>
    <row r="353">
      <c r="B353" s="143" t="inlineStr">
        <is>
          <t>12.00R20</t>
        </is>
      </c>
      <c r="C353" s="177" t="inlineStr">
        <is>
          <t>20PR</t>
        </is>
      </c>
      <c r="D353" s="126" t="inlineStr">
        <is>
          <t>Xz380A</t>
        </is>
      </c>
      <c r="E353" s="141" t="inlineStr">
        <is>
          <t>12.00R20-20PR-BF C ID</t>
        </is>
      </c>
      <c r="F353" s="128">
        <f>G353-4.33+5.01</f>
        <v/>
      </c>
      <c r="G353" s="128" t="n">
        <v>98.20999999999999</v>
      </c>
      <c r="H353" s="129" t="n">
        <v>98.16</v>
      </c>
      <c r="I353" s="130">
        <f>G353-H353</f>
        <v/>
      </c>
      <c r="J353" s="115">
        <f>_xlfn.TEXTJOIN("-",TRUE,B353,C353,D353)</f>
        <v/>
      </c>
      <c r="R353" s="184" t="n"/>
      <c r="S353" s="390">
        <f>_xlfn.TEXTJOIN("-",TRUE,K353,L353,M353)</f>
        <v/>
      </c>
      <c r="AB353" s="390">
        <f>_xlfn.TEXTJOIN("-",TRUE,T353,U353,V353)</f>
        <v/>
      </c>
      <c r="BB353" s="390">
        <f>_xlfn.TEXTJOIN("-",TRUE,AU353,AW353)</f>
        <v/>
      </c>
    </row>
    <row r="354">
      <c r="B354" s="143" t="inlineStr">
        <is>
          <t>12.00R20</t>
        </is>
      </c>
      <c r="C354" s="177" t="inlineStr">
        <is>
          <t>20PR</t>
        </is>
      </c>
      <c r="D354" s="126" t="inlineStr">
        <is>
          <t>CB332</t>
        </is>
      </c>
      <c r="E354" s="177" t="inlineStr">
        <is>
          <t>12.00R20-20PR-B C ID</t>
        </is>
      </c>
      <c r="F354" s="128">
        <f>G354-4.33+5.01</f>
        <v/>
      </c>
      <c r="G354" s="128" t="n">
        <v>88.39</v>
      </c>
      <c r="H354" s="129" t="n">
        <v>88.41</v>
      </c>
      <c r="I354" s="130">
        <f>G354-H354</f>
        <v/>
      </c>
      <c r="J354" s="115">
        <f>_xlfn.TEXTJOIN("-",TRUE,B354,C354,D354)</f>
        <v/>
      </c>
      <c r="R354" s="184" t="n"/>
      <c r="S354" s="390">
        <f>_xlfn.TEXTJOIN("-",TRUE,K354,L354,M354)</f>
        <v/>
      </c>
      <c r="AB354" s="390">
        <f>_xlfn.TEXTJOIN("-",TRUE,T354,U354,V354)</f>
        <v/>
      </c>
      <c r="BB354" s="390">
        <f>_xlfn.TEXTJOIN("-",TRUE,AU354,AW354)</f>
        <v/>
      </c>
    </row>
    <row r="355">
      <c r="B355" s="143" t="inlineStr">
        <is>
          <t>12.00R20</t>
        </is>
      </c>
      <c r="C355" s="177" t="inlineStr">
        <is>
          <t>20PR</t>
        </is>
      </c>
      <c r="D355" s="126" t="inlineStr">
        <is>
          <t>CB919</t>
        </is>
      </c>
      <c r="E355" s="177" t="inlineStr">
        <is>
          <t>12.00R20-20PR-B C ID</t>
        </is>
      </c>
      <c r="F355" s="128">
        <f>G355-4.33+5.01</f>
        <v/>
      </c>
      <c r="G355" s="128" t="n">
        <v>88.39</v>
      </c>
      <c r="H355" s="129" t="n">
        <v>88.41</v>
      </c>
      <c r="I355" s="130">
        <f>G355-H355</f>
        <v/>
      </c>
      <c r="J355" s="115">
        <f>_xlfn.TEXTJOIN("-",TRUE,B355,C355,D355)</f>
        <v/>
      </c>
      <c r="R355" s="184" t="n"/>
      <c r="S355" s="390">
        <f>_xlfn.TEXTJOIN("-",TRUE,K355,L355,M355)</f>
        <v/>
      </c>
      <c r="AB355" s="390">
        <f>_xlfn.TEXTJOIN("-",TRUE,T355,U355,V355)</f>
        <v/>
      </c>
      <c r="BB355" s="390">
        <f>_xlfn.TEXTJOIN("-",TRUE,AU355,AW355)</f>
        <v/>
      </c>
    </row>
    <row r="356" ht="13.8" customHeight="1" s="428">
      <c r="B356" s="143" t="inlineStr">
        <is>
          <t>12.00R20</t>
        </is>
      </c>
      <c r="C356" s="177" t="inlineStr">
        <is>
          <t>22PR</t>
        </is>
      </c>
      <c r="D356" s="126" t="inlineStr">
        <is>
          <t>AZ850</t>
        </is>
      </c>
      <c r="E356" s="177" t="inlineStr">
        <is>
          <t>12.00R20-22PR-CA C ID</t>
        </is>
      </c>
      <c r="F356" s="128">
        <f>G356-4.33+5.01</f>
        <v/>
      </c>
      <c r="G356" s="128" t="n">
        <v>82.93000000000001</v>
      </c>
      <c r="H356" s="129" t="n">
        <v>82.94</v>
      </c>
      <c r="I356" s="130">
        <f>G356-H356</f>
        <v/>
      </c>
      <c r="J356" s="115">
        <f>_xlfn.TEXTJOIN("-",TRUE,B356,C356,D356)</f>
        <v/>
      </c>
      <c r="R356" s="184" t="n"/>
      <c r="S356" s="390">
        <f>_xlfn.TEXTJOIN("-",TRUE,K356,L356,M356)</f>
        <v/>
      </c>
      <c r="AB356" s="390">
        <f>_xlfn.TEXTJOIN("-",TRUE,T356,U356,V356)</f>
        <v/>
      </c>
      <c r="BB356" s="390">
        <f>_xlfn.TEXTJOIN("-",TRUE,AU356,AW356)</f>
        <v/>
      </c>
    </row>
    <row r="357" ht="13.8" customHeight="1" s="428">
      <c r="B357" s="143" t="inlineStr">
        <is>
          <t>12.00R20</t>
        </is>
      </c>
      <c r="C357" s="177" t="inlineStr">
        <is>
          <t>22PR</t>
        </is>
      </c>
      <c r="D357" s="126" t="inlineStr">
        <is>
          <t>EZ867</t>
        </is>
      </c>
      <c r="E357" s="177" t="inlineStr">
        <is>
          <t>12.00R20-22PR-CE C ID</t>
        </is>
      </c>
      <c r="F357" s="128">
        <f>G357-4.33+5.01</f>
        <v/>
      </c>
      <c r="G357" s="128" t="n">
        <v>86.02</v>
      </c>
      <c r="H357" s="129" t="n">
        <v>86.02</v>
      </c>
      <c r="I357" s="130">
        <f>G357-H357</f>
        <v/>
      </c>
      <c r="J357" s="115">
        <f>_xlfn.TEXTJOIN("-",TRUE,B357,C357,D357)</f>
        <v/>
      </c>
      <c r="R357" s="184" t="n"/>
      <c r="S357" s="390">
        <f>_xlfn.TEXTJOIN("-",TRUE,K357,L357,M357)</f>
        <v/>
      </c>
      <c r="AB357" s="390">
        <f>_xlfn.TEXTJOIN("-",TRUE,T357,U357,V357)</f>
        <v/>
      </c>
      <c r="BB357" s="390">
        <f>_xlfn.TEXTJOIN("-",TRUE,AU357,AW357)</f>
        <v/>
      </c>
    </row>
    <row r="358">
      <c r="B358" s="143" t="inlineStr">
        <is>
          <t>12.00R20</t>
        </is>
      </c>
      <c r="C358" s="177" t="inlineStr">
        <is>
          <t>22PR</t>
        </is>
      </c>
      <c r="D358" s="126" t="inlineStr">
        <is>
          <t>Xz380A</t>
        </is>
      </c>
      <c r="E358" s="177" t="inlineStr">
        <is>
          <t>12.00R20-22PR-BF C ID</t>
        </is>
      </c>
      <c r="F358" s="128">
        <f>G358-4.33+5.01</f>
        <v/>
      </c>
      <c r="G358" s="128" t="n">
        <v>99.2</v>
      </c>
      <c r="H358" s="129" t="n">
        <v>99.14</v>
      </c>
      <c r="I358" s="130">
        <f>G358-H358</f>
        <v/>
      </c>
      <c r="J358" s="115">
        <f>_xlfn.TEXTJOIN("-",TRUE,B358,C358,D358)</f>
        <v/>
      </c>
      <c r="R358" s="184" t="n"/>
      <c r="S358" s="390">
        <f>_xlfn.TEXTJOIN("-",TRUE,K358,L358,M358)</f>
        <v/>
      </c>
      <c r="AB358" s="390">
        <f>_xlfn.TEXTJOIN("-",TRUE,T358,U358,V358)</f>
        <v/>
      </c>
      <c r="BB358" s="390">
        <f>_xlfn.TEXTJOIN("-",TRUE,AU358,AW358)</f>
        <v/>
      </c>
    </row>
    <row r="359" ht="13.8" customHeight="1" s="428">
      <c r="B359" s="143" t="inlineStr">
        <is>
          <t>12.00R20</t>
        </is>
      </c>
      <c r="C359" s="177" t="inlineStr">
        <is>
          <t>20PR</t>
        </is>
      </c>
      <c r="D359" s="126" t="inlineStr">
        <is>
          <t>EZ835</t>
        </is>
      </c>
      <c r="E359" s="177" t="inlineStr">
        <is>
          <t>12.00R20-20PR-EZ835 C ID</t>
        </is>
      </c>
      <c r="F359" s="128">
        <f>G359-4.33+5.01</f>
        <v/>
      </c>
      <c r="G359" s="128" t="n">
        <v>84.685</v>
      </c>
      <c r="H359" s="129" t="n">
        <v>84.7</v>
      </c>
      <c r="I359" s="130">
        <f>G359-H359</f>
        <v/>
      </c>
      <c r="J359" s="115">
        <f>_xlfn.TEXTJOIN("-",TRUE,B359,C359,D359)</f>
        <v/>
      </c>
      <c r="R359" s="184" t="n"/>
      <c r="S359" s="390">
        <f>_xlfn.TEXTJOIN("-",TRUE,K359,L359,M359)</f>
        <v/>
      </c>
      <c r="AB359" s="390">
        <f>_xlfn.TEXTJOIN("-",TRUE,T359,U359,V359)</f>
        <v/>
      </c>
      <c r="BB359" s="390">
        <f>_xlfn.TEXTJOIN("-",TRUE,AU359,AW359)</f>
        <v/>
      </c>
    </row>
    <row r="360" ht="13.8" customHeight="1" s="428">
      <c r="B360" s="132" t="n"/>
      <c r="C360" s="208" t="n"/>
      <c r="D360" s="178" t="n"/>
      <c r="E360" s="147" t="n"/>
      <c r="F360" s="135" t="n"/>
      <c r="G360" s="135" t="n"/>
      <c r="H360" s="174" t="n"/>
      <c r="I360" s="134" t="n"/>
      <c r="J360" s="115">
        <f>_xlfn.TEXTJOIN("-",TRUE,B360,C360,D360)</f>
        <v/>
      </c>
      <c r="R360" s="184" t="n"/>
      <c r="S360" s="390">
        <f>_xlfn.TEXTJOIN("-",TRUE,K360,L360,M360)</f>
        <v/>
      </c>
      <c r="AB360" s="390">
        <f>_xlfn.TEXTJOIN("-",TRUE,T360,U360,V360)</f>
        <v/>
      </c>
      <c r="BB360" s="390">
        <f>_xlfn.TEXTJOIN("-",TRUE,AU360,AW360)</f>
        <v/>
      </c>
    </row>
    <row r="361">
      <c r="B361" s="143" t="inlineStr">
        <is>
          <t>12R22.5</t>
        </is>
      </c>
      <c r="C361" s="177" t="inlineStr">
        <is>
          <t>18PR</t>
        </is>
      </c>
      <c r="D361" s="177" t="inlineStr">
        <is>
          <t>VEZ87</t>
        </is>
      </c>
      <c r="E361" s="125" t="inlineStr">
        <is>
          <t>12R22.5-EV7 C ID</t>
        </is>
      </c>
      <c r="F361" s="128" t="inlineStr">
        <is>
          <t>/</t>
        </is>
      </c>
      <c r="G361" s="128" t="n">
        <v>70.657</v>
      </c>
      <c r="H361" s="129" t="n">
        <v>70.67</v>
      </c>
      <c r="I361" s="130">
        <f>G361-H361</f>
        <v/>
      </c>
      <c r="J361" s="115">
        <f>_xlfn.TEXTJOIN("-",TRUE,B361,C361,D361)</f>
        <v/>
      </c>
      <c r="R361" s="184" t="n"/>
      <c r="S361" s="390">
        <f>_xlfn.TEXTJOIN("-",TRUE,K361,L361,M361)</f>
        <v/>
      </c>
      <c r="AB361" s="390">
        <f>_xlfn.TEXTJOIN("-",TRUE,T361,U361,V361)</f>
        <v/>
      </c>
      <c r="BB361" s="390">
        <f>_xlfn.TEXTJOIN("-",TRUE,AU361,AW361)</f>
        <v/>
      </c>
    </row>
    <row r="362">
      <c r="B362" s="143" t="inlineStr">
        <is>
          <t>12R22.5</t>
        </is>
      </c>
      <c r="C362" s="177" t="inlineStr">
        <is>
          <t>18PR</t>
        </is>
      </c>
      <c r="D362" s="177" t="inlineStr">
        <is>
          <t>EZ867</t>
        </is>
      </c>
      <c r="E362" s="125" t="inlineStr">
        <is>
          <t>12R22.5-EV7 C ID</t>
        </is>
      </c>
      <c r="F362" s="131" t="inlineStr">
        <is>
          <t>/</t>
        </is>
      </c>
      <c r="G362" s="128" t="n">
        <v>70.657</v>
      </c>
      <c r="H362" s="129" t="n">
        <v>70.67</v>
      </c>
      <c r="I362" s="130">
        <f>G362-H362</f>
        <v/>
      </c>
      <c r="J362" s="115">
        <f>_xlfn.TEXTJOIN("-",TRUE,B362,C362,D362)</f>
        <v/>
      </c>
      <c r="R362" s="184" t="n"/>
      <c r="S362" s="390">
        <f>_xlfn.TEXTJOIN("-",TRUE,K362,L362,M362)</f>
        <v/>
      </c>
      <c r="AB362" s="390">
        <f>_xlfn.TEXTJOIN("-",TRUE,T362,U362,V362)</f>
        <v/>
      </c>
      <c r="BB362" s="390">
        <f>_xlfn.TEXTJOIN("-",TRUE,AU362,AW362)</f>
        <v/>
      </c>
    </row>
    <row r="363">
      <c r="B363" s="143" t="inlineStr">
        <is>
          <t>12R22.5</t>
        </is>
      </c>
      <c r="C363" s="177" t="inlineStr">
        <is>
          <t>20PR</t>
        </is>
      </c>
      <c r="D363" s="177" t="inlineStr">
        <is>
          <t>VEZ87</t>
        </is>
      </c>
      <c r="E363" s="125" t="inlineStr">
        <is>
          <t>12R22.5-EV7 C ID</t>
        </is>
      </c>
      <c r="F363" s="128" t="inlineStr">
        <is>
          <t>/</t>
        </is>
      </c>
      <c r="G363" s="128" t="n">
        <v>70.657</v>
      </c>
      <c r="H363" s="129" t="n">
        <v>70.95999999999999</v>
      </c>
      <c r="I363" s="130">
        <f>G363-H363</f>
        <v/>
      </c>
      <c r="J363" s="115">
        <f>_xlfn.TEXTJOIN("-",TRUE,B363,C363,D363)</f>
        <v/>
      </c>
      <c r="R363" s="184" t="n"/>
      <c r="S363" s="390">
        <f>_xlfn.TEXTJOIN("-",TRUE,K363,L363,M363)</f>
        <v/>
      </c>
      <c r="AB363" s="390">
        <f>_xlfn.TEXTJOIN("-",TRUE,T363,U363,V363)</f>
        <v/>
      </c>
      <c r="BB363" s="390">
        <f>_xlfn.TEXTJOIN("-",TRUE,AU363,AW363)</f>
        <v/>
      </c>
    </row>
    <row r="364">
      <c r="B364" s="143" t="inlineStr">
        <is>
          <t>12R22.5</t>
        </is>
      </c>
      <c r="C364" s="177" t="inlineStr">
        <is>
          <t>20PR</t>
        </is>
      </c>
      <c r="D364" s="177" t="inlineStr">
        <is>
          <t>EZ867</t>
        </is>
      </c>
      <c r="E364" s="125" t="inlineStr">
        <is>
          <t>12R22.5-EV7 C ID</t>
        </is>
      </c>
      <c r="F364" s="131" t="inlineStr">
        <is>
          <t>/</t>
        </is>
      </c>
      <c r="G364" s="128" t="n">
        <v>70.657</v>
      </c>
      <c r="H364" s="129" t="n">
        <v>70.95999999999999</v>
      </c>
      <c r="I364" s="130">
        <f>G364-H364</f>
        <v/>
      </c>
      <c r="J364" s="115">
        <f>_xlfn.TEXTJOIN("-",TRUE,B364,C364,D364)</f>
        <v/>
      </c>
      <c r="R364" s="184" t="n"/>
      <c r="S364" s="390">
        <f>_xlfn.TEXTJOIN("-",TRUE,K364,L364,M364)</f>
        <v/>
      </c>
      <c r="AB364" s="390">
        <f>_xlfn.TEXTJOIN("-",TRUE,T364,U364,V364)</f>
        <v/>
      </c>
      <c r="BB364" s="390">
        <f>_xlfn.TEXTJOIN("-",TRUE,AU364,AW364)</f>
        <v/>
      </c>
    </row>
    <row r="365">
      <c r="B365" s="143" t="inlineStr">
        <is>
          <t>12R22.5</t>
        </is>
      </c>
      <c r="C365" s="177" t="inlineStr">
        <is>
          <t>18PR</t>
        </is>
      </c>
      <c r="D365" s="177" t="inlineStr">
        <is>
          <t>VEZ80</t>
        </is>
      </c>
      <c r="E365" s="125" t="inlineStr">
        <is>
          <t>12R22.5-EV0 C ID</t>
        </is>
      </c>
      <c r="F365" s="131" t="inlineStr">
        <is>
          <t>/</t>
        </is>
      </c>
      <c r="G365" s="131" t="n">
        <v>74.73</v>
      </c>
      <c r="H365" s="129" t="n">
        <v>75.18000000000001</v>
      </c>
      <c r="I365" s="130">
        <f>G365-H365</f>
        <v/>
      </c>
      <c r="J365" s="115">
        <f>_xlfn.TEXTJOIN("-",TRUE,B365,C365,D365)</f>
        <v/>
      </c>
      <c r="R365" s="184" t="n"/>
      <c r="S365" s="390">
        <f>_xlfn.TEXTJOIN("-",TRUE,K365,L365,M365)</f>
        <v/>
      </c>
      <c r="AB365" s="390">
        <f>_xlfn.TEXTJOIN("-",TRUE,T365,U365,V365)</f>
        <v/>
      </c>
      <c r="BB365" s="390">
        <f>_xlfn.TEXTJOIN("-",TRUE,AU365,AW365)</f>
        <v/>
      </c>
    </row>
    <row r="366">
      <c r="B366" s="143" t="inlineStr">
        <is>
          <t>12R22.5</t>
        </is>
      </c>
      <c r="C366" s="177" t="inlineStr">
        <is>
          <t>18PR</t>
        </is>
      </c>
      <c r="D366" s="177" t="inlineStr">
        <is>
          <t>EZ870</t>
        </is>
      </c>
      <c r="E366" s="125" t="inlineStr">
        <is>
          <t>12R22.5-EV0 C ID</t>
        </is>
      </c>
      <c r="F366" s="131" t="inlineStr">
        <is>
          <t>/</t>
        </is>
      </c>
      <c r="G366" s="131" t="n">
        <v>74.73</v>
      </c>
      <c r="H366" s="129" t="n">
        <v>75.18000000000001</v>
      </c>
      <c r="I366" s="130">
        <f>G366-H366</f>
        <v/>
      </c>
      <c r="J366" s="115">
        <f>_xlfn.TEXTJOIN("-",TRUE,B366,C366,D366)</f>
        <v/>
      </c>
      <c r="R366" s="184" t="n"/>
      <c r="S366" s="390">
        <f>_xlfn.TEXTJOIN("-",TRUE,K366,L366,M366)</f>
        <v/>
      </c>
      <c r="AB366" s="390">
        <f>_xlfn.TEXTJOIN("-",TRUE,T366,U366,V366)</f>
        <v/>
      </c>
      <c r="BB366" s="390">
        <f>_xlfn.TEXTJOIN("-",TRUE,AU366,AW366)</f>
        <v/>
      </c>
    </row>
    <row r="367">
      <c r="B367" s="143" t="inlineStr">
        <is>
          <t>12R22.5</t>
        </is>
      </c>
      <c r="C367" s="177" t="inlineStr">
        <is>
          <t>20PR</t>
        </is>
      </c>
      <c r="D367" s="177" t="inlineStr">
        <is>
          <t>VEZ80</t>
        </is>
      </c>
      <c r="E367" s="125" t="inlineStr">
        <is>
          <t>12R22.5-EV0 C ID</t>
        </is>
      </c>
      <c r="F367" s="131" t="inlineStr">
        <is>
          <t>/</t>
        </is>
      </c>
      <c r="G367" s="131" t="n">
        <v>74.73</v>
      </c>
      <c r="H367" s="129" t="n">
        <v>76.22</v>
      </c>
      <c r="I367" s="130">
        <f>G367-H367</f>
        <v/>
      </c>
      <c r="J367" s="115">
        <f>_xlfn.TEXTJOIN("-",TRUE,B367,C367,D367)</f>
        <v/>
      </c>
      <c r="R367" s="184" t="n"/>
      <c r="S367" s="390">
        <f>_xlfn.TEXTJOIN("-",TRUE,K367,L367,M367)</f>
        <v/>
      </c>
      <c r="AB367" s="390">
        <f>_xlfn.TEXTJOIN("-",TRUE,T367,U367,V367)</f>
        <v/>
      </c>
      <c r="BB367" s="390">
        <f>_xlfn.TEXTJOIN("-",TRUE,AU367,AW367)</f>
        <v/>
      </c>
    </row>
    <row r="368" ht="13.8" customHeight="1" s="428">
      <c r="B368" s="143" t="inlineStr">
        <is>
          <t>12R22.5</t>
        </is>
      </c>
      <c r="C368" s="177" t="inlineStr">
        <is>
          <t>20PR</t>
        </is>
      </c>
      <c r="D368" s="177" t="inlineStr">
        <is>
          <t>EZ870</t>
        </is>
      </c>
      <c r="E368" s="125" t="inlineStr">
        <is>
          <t>12R22.5-EV0 C ID</t>
        </is>
      </c>
      <c r="F368" s="131" t="inlineStr">
        <is>
          <t>/</t>
        </is>
      </c>
      <c r="G368" s="131" t="n">
        <v>74.73</v>
      </c>
      <c r="H368" s="129" t="n">
        <v>76.22</v>
      </c>
      <c r="I368" s="130">
        <f>G368-H368</f>
        <v/>
      </c>
      <c r="J368" s="115">
        <f>_xlfn.TEXTJOIN("-",TRUE,B368,C368,D368)</f>
        <v/>
      </c>
      <c r="R368" s="184" t="n"/>
      <c r="S368" s="390">
        <f>_xlfn.TEXTJOIN("-",TRUE,K368,L368,M368)</f>
        <v/>
      </c>
      <c r="AB368" s="390">
        <f>_xlfn.TEXTJOIN("-",TRUE,T368,U368,V368)</f>
        <v/>
      </c>
      <c r="BB368" s="390">
        <f>_xlfn.TEXTJOIN("-",TRUE,AU368,AW368)</f>
        <v/>
      </c>
    </row>
    <row r="369" ht="13.8" customHeight="1" s="428">
      <c r="B369" s="143" t="inlineStr">
        <is>
          <t>12R22.5</t>
        </is>
      </c>
      <c r="C369" s="177" t="inlineStr">
        <is>
          <t>18PR</t>
        </is>
      </c>
      <c r="D369" s="177" t="inlineStr">
        <is>
          <t>I-181</t>
        </is>
      </c>
      <c r="E369" s="125" t="inlineStr">
        <is>
          <t>ID12R22.5-18PR-I-181 C ID</t>
        </is>
      </c>
      <c r="F369" s="131">
        <f>G369-2.73+3.84</f>
        <v/>
      </c>
      <c r="G369" s="131" t="n">
        <v>61.55</v>
      </c>
      <c r="H369" s="129" t="n">
        <v>61.56</v>
      </c>
      <c r="I369" s="130">
        <f>G369-H369</f>
        <v/>
      </c>
      <c r="J369" s="115">
        <f>_xlfn.TEXTJOIN("-",TRUE,B369,C369,D369)</f>
        <v/>
      </c>
      <c r="R369" s="184" t="n"/>
      <c r="S369" s="390">
        <f>_xlfn.TEXTJOIN("-",TRUE,K369,L369,M369)</f>
        <v/>
      </c>
      <c r="AB369" s="390">
        <f>_xlfn.TEXTJOIN("-",TRUE,T369,U369,V369)</f>
        <v/>
      </c>
      <c r="BB369" s="390">
        <f>_xlfn.TEXTJOIN("-",TRUE,AU369,AW369)</f>
        <v/>
      </c>
    </row>
    <row r="370">
      <c r="B370" s="143" t="inlineStr">
        <is>
          <t>12R22.5</t>
        </is>
      </c>
      <c r="C370" s="177" t="inlineStr">
        <is>
          <t>18PR</t>
        </is>
      </c>
      <c r="D370" s="177" t="inlineStr">
        <is>
          <t>H-MD</t>
        </is>
      </c>
      <c r="E370" s="125" t="inlineStr">
        <is>
          <t>ID12R22.5-18PR-H-MD C ID</t>
        </is>
      </c>
      <c r="F370" s="131" t="inlineStr">
        <is>
          <t>/</t>
        </is>
      </c>
      <c r="G370" s="131" t="n">
        <v>68.133</v>
      </c>
      <c r="H370" s="129" t="n">
        <v>68.44</v>
      </c>
      <c r="I370" s="130">
        <f>G370-H370</f>
        <v/>
      </c>
      <c r="J370" s="115">
        <f>_xlfn.TEXTJOIN("-",TRUE,B370,C370,D370)</f>
        <v/>
      </c>
      <c r="R370" s="184" t="n"/>
      <c r="S370" s="390">
        <f>_xlfn.TEXTJOIN("-",TRUE,K370,L370,M370)</f>
        <v/>
      </c>
      <c r="AB370" s="390">
        <f>_xlfn.TEXTJOIN("-",TRUE,T370,U370,V370)</f>
        <v/>
      </c>
      <c r="BB370" s="390">
        <f>_xlfn.TEXTJOIN("-",TRUE,AU370,AW370)</f>
        <v/>
      </c>
    </row>
    <row r="371">
      <c r="B371" s="143" t="inlineStr">
        <is>
          <t>12R22.5</t>
        </is>
      </c>
      <c r="C371" s="177" t="inlineStr">
        <is>
          <t>18PR</t>
        </is>
      </c>
      <c r="D371" s="177" t="inlineStr">
        <is>
          <t>VAZ80</t>
        </is>
      </c>
      <c r="E371" s="177" t="inlineStr">
        <is>
          <t>ID12R22.5-AAM C ID</t>
        </is>
      </c>
      <c r="F371" s="131" t="inlineStr">
        <is>
          <t>/</t>
        </is>
      </c>
      <c r="G371" s="131" t="n">
        <v>68.568</v>
      </c>
      <c r="H371" s="129" t="n">
        <v>68.91</v>
      </c>
      <c r="I371" s="130">
        <f>G371-H371</f>
        <v/>
      </c>
      <c r="J371" s="115">
        <f>_xlfn.TEXTJOIN("-",TRUE,B371,C371,D371)</f>
        <v/>
      </c>
      <c r="R371" s="184" t="n"/>
      <c r="S371" s="390">
        <f>_xlfn.TEXTJOIN("-",TRUE,K371,L371,M371)</f>
        <v/>
      </c>
      <c r="AB371" s="390">
        <f>_xlfn.TEXTJOIN("-",TRUE,T371,U371,V371)</f>
        <v/>
      </c>
      <c r="BB371" s="390">
        <f>_xlfn.TEXTJOIN("-",TRUE,AU371,AW371)</f>
        <v/>
      </c>
    </row>
    <row r="372">
      <c r="B372" s="143" t="inlineStr">
        <is>
          <t>12R22.5</t>
        </is>
      </c>
      <c r="C372" s="177" t="inlineStr">
        <is>
          <t>18PR</t>
        </is>
      </c>
      <c r="D372" s="177" t="inlineStr">
        <is>
          <t>AZ850M</t>
        </is>
      </c>
      <c r="E372" s="177" t="inlineStr">
        <is>
          <t>ID12R22.5-AAM C ID</t>
        </is>
      </c>
      <c r="F372" s="131" t="inlineStr">
        <is>
          <t>/</t>
        </is>
      </c>
      <c r="G372" s="131" t="n">
        <v>68.568</v>
      </c>
      <c r="H372" s="129" t="n">
        <v>68.91</v>
      </c>
      <c r="I372" s="130">
        <f>G372-H372</f>
        <v/>
      </c>
      <c r="J372" s="115">
        <f>_xlfn.TEXTJOIN("-",TRUE,B372,C372,D372)</f>
        <v/>
      </c>
      <c r="R372" s="184" t="n"/>
      <c r="S372" s="390">
        <f>_xlfn.TEXTJOIN("-",TRUE,K372,L372,M372)</f>
        <v/>
      </c>
      <c r="AB372" s="390">
        <f>_xlfn.TEXTJOIN("-",TRUE,T372,U372,V372)</f>
        <v/>
      </c>
      <c r="BB372" s="390">
        <f>_xlfn.TEXTJOIN("-",TRUE,AU372,AW372)</f>
        <v/>
      </c>
    </row>
    <row r="373">
      <c r="B373" s="143" t="inlineStr">
        <is>
          <t>12R22.5</t>
        </is>
      </c>
      <c r="C373" s="177" t="inlineStr">
        <is>
          <t>18PR</t>
        </is>
      </c>
      <c r="D373" s="126" t="inlineStr">
        <is>
          <t>AZ850</t>
        </is>
      </c>
      <c r="E373" s="177" t="inlineStr">
        <is>
          <t>ID12R22.5-AAM C ID</t>
        </is>
      </c>
      <c r="F373" s="128" t="inlineStr">
        <is>
          <t>/</t>
        </is>
      </c>
      <c r="G373" s="131" t="n">
        <v>68.568</v>
      </c>
      <c r="H373" s="129" t="n">
        <v>68.91</v>
      </c>
      <c r="I373" s="130">
        <f>G373-H373</f>
        <v/>
      </c>
      <c r="J373" s="115">
        <f>_xlfn.TEXTJOIN("-",TRUE,B373,C373,D373)</f>
        <v/>
      </c>
      <c r="R373" s="184" t="n"/>
      <c r="S373" s="390">
        <f>_xlfn.TEXTJOIN("-",TRUE,K373,L373,M373)</f>
        <v/>
      </c>
      <c r="AB373" s="390">
        <f>_xlfn.TEXTJOIN("-",TRUE,T373,U373,V373)</f>
        <v/>
      </c>
      <c r="BB373" s="390">
        <f>_xlfn.TEXTJOIN("-",TRUE,AU373,AW373)</f>
        <v/>
      </c>
    </row>
    <row r="374" ht="13.8" customHeight="1" s="428">
      <c r="B374" s="143" t="inlineStr">
        <is>
          <t>12R22.5</t>
        </is>
      </c>
      <c r="C374" s="177" t="inlineStr">
        <is>
          <t>20PR</t>
        </is>
      </c>
      <c r="D374" s="177" t="inlineStr">
        <is>
          <t>VAZ80</t>
        </is>
      </c>
      <c r="E374" s="177" t="inlineStr">
        <is>
          <t>ID12R22.5-AAM C ID</t>
        </is>
      </c>
      <c r="F374" s="131" t="inlineStr">
        <is>
          <t>/</t>
        </is>
      </c>
      <c r="G374" s="131" t="n">
        <v>68.568</v>
      </c>
      <c r="H374" s="129" t="n">
        <v>68.91</v>
      </c>
      <c r="I374" s="130">
        <f>G374-H374</f>
        <v/>
      </c>
      <c r="J374" s="115">
        <f>_xlfn.TEXTJOIN("-",TRUE,B374,C374,D374)</f>
        <v/>
      </c>
      <c r="R374" s="184" t="n"/>
      <c r="S374" s="390">
        <f>_xlfn.TEXTJOIN("-",TRUE,K374,L374,M374)</f>
        <v/>
      </c>
      <c r="AB374" s="390">
        <f>_xlfn.TEXTJOIN("-",TRUE,T374,U374,V374)</f>
        <v/>
      </c>
      <c r="BB374" s="390">
        <f>_xlfn.TEXTJOIN("-",TRUE,AU374,AW374)</f>
        <v/>
      </c>
    </row>
    <row r="375" ht="13.8" customHeight="1" s="428">
      <c r="B375" s="143" t="inlineStr">
        <is>
          <t>12R22.5</t>
        </is>
      </c>
      <c r="C375" s="177" t="inlineStr">
        <is>
          <t>20PR</t>
        </is>
      </c>
      <c r="D375" s="177" t="inlineStr">
        <is>
          <t>AZ850M</t>
        </is>
      </c>
      <c r="E375" s="177" t="inlineStr">
        <is>
          <t>ID12R22.5-AAM C ID</t>
        </is>
      </c>
      <c r="F375" s="131" t="inlineStr">
        <is>
          <t>/</t>
        </is>
      </c>
      <c r="G375" s="131" t="n">
        <v>68.568</v>
      </c>
      <c r="H375" s="129" t="n">
        <v>68.91</v>
      </c>
      <c r="I375" s="130">
        <f>G375-H375</f>
        <v/>
      </c>
      <c r="J375" s="115">
        <f>_xlfn.TEXTJOIN("-",TRUE,B375,C375,D375)</f>
        <v/>
      </c>
      <c r="R375" s="184" t="n"/>
      <c r="S375" s="390">
        <f>_xlfn.TEXTJOIN("-",TRUE,K375,L375,M375)</f>
        <v/>
      </c>
      <c r="AB375" s="390">
        <f>_xlfn.TEXTJOIN("-",TRUE,T375,U375,V375)</f>
        <v/>
      </c>
      <c r="BB375" s="390">
        <f>_xlfn.TEXTJOIN("-",TRUE,AU375,AW375)</f>
        <v/>
      </c>
    </row>
    <row r="376" ht="13.8" customHeight="1" s="428">
      <c r="B376" s="143" t="inlineStr">
        <is>
          <t>12R22.5</t>
        </is>
      </c>
      <c r="C376" s="177" t="inlineStr">
        <is>
          <t>20PR</t>
        </is>
      </c>
      <c r="D376" s="126" t="inlineStr">
        <is>
          <t>AZ850</t>
        </is>
      </c>
      <c r="E376" s="177" t="inlineStr">
        <is>
          <t>ID12R22.5-AAM C ID</t>
        </is>
      </c>
      <c r="F376" s="128" t="inlineStr">
        <is>
          <t>/</t>
        </is>
      </c>
      <c r="G376" s="131" t="n">
        <v>68.568</v>
      </c>
      <c r="H376" s="129" t="n">
        <v>68.91</v>
      </c>
      <c r="I376" s="130">
        <f>G376-H376</f>
        <v/>
      </c>
      <c r="J376" s="115">
        <f>_xlfn.TEXTJOIN("-",TRUE,B376,C376,D376)</f>
        <v/>
      </c>
      <c r="R376" s="184" t="n"/>
      <c r="S376" s="390">
        <f>_xlfn.TEXTJOIN("-",TRUE,K376,L376,M376)</f>
        <v/>
      </c>
      <c r="AB376" s="390">
        <f>_xlfn.TEXTJOIN("-",TRUE,T376,U376,V376)</f>
        <v/>
      </c>
      <c r="BB376" s="390">
        <f>_xlfn.TEXTJOIN("-",TRUE,AU376,AW376)</f>
        <v/>
      </c>
    </row>
    <row r="377">
      <c r="B377" s="143" t="inlineStr">
        <is>
          <t>12R22.5</t>
        </is>
      </c>
      <c r="C377" s="177" t="inlineStr">
        <is>
          <t>20PR</t>
        </is>
      </c>
      <c r="D377" s="126" t="inlineStr">
        <is>
          <t>AS898H</t>
        </is>
      </c>
      <c r="E377" s="177" t="inlineStr">
        <is>
          <t>ID12R22.5-20PR-CC C ID</t>
        </is>
      </c>
      <c r="F377" s="128" t="inlineStr">
        <is>
          <t>/</t>
        </is>
      </c>
      <c r="G377" s="131" t="n">
        <v>71.02</v>
      </c>
      <c r="H377" s="129" t="n">
        <v>71.14</v>
      </c>
      <c r="I377" s="130">
        <f>G377-H377</f>
        <v/>
      </c>
      <c r="J377" s="115">
        <f>_xlfn.TEXTJOIN("-",TRUE,B377,C377,D377)</f>
        <v/>
      </c>
      <c r="R377" s="184" t="n"/>
      <c r="S377" s="390">
        <f>_xlfn.TEXTJOIN("-",TRUE,K377,L377,M377)</f>
        <v/>
      </c>
      <c r="AB377" s="390">
        <f>_xlfn.TEXTJOIN("-",TRUE,T377,U377,V377)</f>
        <v/>
      </c>
      <c r="BB377" s="390">
        <f>_xlfn.TEXTJOIN("-",TRUE,AU377,AW377)</f>
        <v/>
      </c>
    </row>
    <row r="378">
      <c r="B378" s="143" t="inlineStr">
        <is>
          <t>12R22.5</t>
        </is>
      </c>
      <c r="C378" s="177" t="inlineStr">
        <is>
          <t>20PR</t>
        </is>
      </c>
      <c r="D378" s="126" t="inlineStr">
        <is>
          <t>VAS88</t>
        </is>
      </c>
      <c r="E378" s="177" t="inlineStr">
        <is>
          <t>ID12R22.5-20PR-CC C ID</t>
        </is>
      </c>
      <c r="F378" s="128" t="inlineStr">
        <is>
          <t>/</t>
        </is>
      </c>
      <c r="G378" s="131" t="n">
        <v>71.02</v>
      </c>
      <c r="H378" s="129" t="n">
        <v>71.14</v>
      </c>
      <c r="I378" s="130">
        <f>G378-H378</f>
        <v/>
      </c>
      <c r="J378" s="115">
        <f>_xlfn.TEXTJOIN("-",TRUE,B378,C378,D378)</f>
        <v/>
      </c>
      <c r="R378" s="184" t="n"/>
      <c r="S378" s="390">
        <f>_xlfn.TEXTJOIN("-",TRUE,K378,L378,M378)</f>
        <v/>
      </c>
      <c r="AB378" s="390">
        <f>_xlfn.TEXTJOIN("-",TRUE,T378,U378,V378)</f>
        <v/>
      </c>
      <c r="BB378" s="390">
        <f>_xlfn.TEXTJOIN("-",TRUE,AU378,AW378)</f>
        <v/>
      </c>
    </row>
    <row r="379">
      <c r="B379" s="132" t="n"/>
      <c r="C379" s="208" t="n"/>
      <c r="D379" s="178" t="n"/>
      <c r="E379" s="147" t="n"/>
      <c r="F379" s="135" t="n"/>
      <c r="G379" s="135" t="n"/>
      <c r="H379" s="174" t="n"/>
      <c r="I379" s="134" t="n"/>
      <c r="J379" s="115">
        <f>_xlfn.TEXTJOIN("-",TRUE,B379,C379,D379)</f>
        <v/>
      </c>
      <c r="R379" s="184" t="n"/>
      <c r="S379" s="390">
        <f>_xlfn.TEXTJOIN("-",TRUE,K379,L379,M379)</f>
        <v/>
      </c>
      <c r="AB379" s="390">
        <f>_xlfn.TEXTJOIN("-",TRUE,T379,U379,V379)</f>
        <v/>
      </c>
      <c r="BB379" s="390">
        <f>_xlfn.TEXTJOIN("-",TRUE,AU379,AW379)</f>
        <v/>
      </c>
    </row>
    <row r="380">
      <c r="B380" s="192" t="inlineStr">
        <is>
          <t>12.00R24</t>
        </is>
      </c>
      <c r="C380" s="169" t="inlineStr">
        <is>
          <t>20PR</t>
        </is>
      </c>
      <c r="D380" s="177" t="inlineStr">
        <is>
          <t>CB972E</t>
        </is>
      </c>
      <c r="E380" s="125" t="inlineStr">
        <is>
          <t>12.00R24-20PR-A C ID</t>
        </is>
      </c>
      <c r="F380" s="131">
        <f>G380-5.518+6.019</f>
        <v/>
      </c>
      <c r="G380" s="131" t="n">
        <v>92.56</v>
      </c>
      <c r="H380" s="129" t="n">
        <v>91.8856</v>
      </c>
      <c r="I380" s="130">
        <f>G380-H380</f>
        <v/>
      </c>
      <c r="J380" s="115">
        <f>_xlfn.TEXTJOIN("-",TRUE,B380,C380,D380)</f>
        <v/>
      </c>
      <c r="R380" s="184" t="n"/>
      <c r="S380" s="390">
        <f>_xlfn.TEXTJOIN("-",TRUE,K380,L380,M380)</f>
        <v/>
      </c>
      <c r="AB380" s="390">
        <f>_xlfn.TEXTJOIN("-",TRUE,T380,U380,V380)</f>
        <v/>
      </c>
      <c r="BB380" s="390">
        <f>_xlfn.TEXTJOIN("-",TRUE,AU380,AW380)</f>
        <v/>
      </c>
    </row>
    <row r="381">
      <c r="B381" s="143" t="inlineStr">
        <is>
          <t>12.00R24</t>
        </is>
      </c>
      <c r="C381" s="169" t="inlineStr">
        <is>
          <t>20PR</t>
        </is>
      </c>
      <c r="D381" s="177" t="inlineStr">
        <is>
          <t>CB919</t>
        </is>
      </c>
      <c r="E381" s="125" t="inlineStr">
        <is>
          <t>12.00R24-20PR-A C ID</t>
        </is>
      </c>
      <c r="F381" s="131">
        <f>G381-5.518+6.019</f>
        <v/>
      </c>
      <c r="G381" s="131" t="n">
        <v>92.56</v>
      </c>
      <c r="H381" s="129" t="n">
        <v>91.55119999999999</v>
      </c>
      <c r="I381" s="130">
        <f>G381-H381</f>
        <v/>
      </c>
      <c r="J381" s="115">
        <f>_xlfn.TEXTJOIN("-",TRUE,B381,C381,D381)</f>
        <v/>
      </c>
      <c r="R381" s="184" t="n"/>
      <c r="S381" s="390">
        <f>_xlfn.TEXTJOIN("-",TRUE,K381,L381,M381)</f>
        <v/>
      </c>
      <c r="AB381" s="390">
        <f>_xlfn.TEXTJOIN("-",TRUE,T381,U381,V381)</f>
        <v/>
      </c>
      <c r="BB381" s="390">
        <f>_xlfn.TEXTJOIN("-",TRUE,AU381,AW381)</f>
        <v/>
      </c>
    </row>
    <row r="382">
      <c r="B382" s="143" t="inlineStr">
        <is>
          <t>12.00R24</t>
        </is>
      </c>
      <c r="C382" s="169" t="inlineStr">
        <is>
          <t>20PR</t>
        </is>
      </c>
      <c r="D382" s="177" t="inlineStr">
        <is>
          <t>MT100 MAX</t>
        </is>
      </c>
      <c r="E382" s="125" t="inlineStr">
        <is>
          <t>12.00R24-20PR-A C ID</t>
        </is>
      </c>
      <c r="F382" s="131">
        <f>G382-5.518+6.019</f>
        <v/>
      </c>
      <c r="G382" s="131" t="n">
        <v>92.56</v>
      </c>
      <c r="H382" s="129" t="n">
        <v>91.8856</v>
      </c>
      <c r="I382" s="130">
        <f>G382-H382</f>
        <v/>
      </c>
      <c r="J382" s="115">
        <f>_xlfn.TEXTJOIN("-",TRUE,B382,C382,D382)</f>
        <v/>
      </c>
      <c r="R382" s="184" t="n"/>
      <c r="S382" s="390">
        <f>_xlfn.TEXTJOIN("-",TRUE,K382,L382,M382)</f>
        <v/>
      </c>
      <c r="AB382" s="390">
        <f>_xlfn.TEXTJOIN("-",TRUE,T382,U382,V382)</f>
        <v/>
      </c>
      <c r="BB382" s="390">
        <f>_xlfn.TEXTJOIN("-",TRUE,AU382,AW382)</f>
        <v/>
      </c>
    </row>
    <row r="383">
      <c r="B383" s="143" t="inlineStr">
        <is>
          <t>12.00R24</t>
        </is>
      </c>
      <c r="C383" s="169" t="inlineStr">
        <is>
          <t>20PR</t>
        </is>
      </c>
      <c r="D383" s="177" t="inlineStr">
        <is>
          <t>TZ101 PRO</t>
        </is>
      </c>
      <c r="E383" s="125" t="inlineStr">
        <is>
          <t>12.00R24-20PR-A C ID</t>
        </is>
      </c>
      <c r="F383" s="131">
        <f>G383-5.518+6.019</f>
        <v/>
      </c>
      <c r="G383" s="131" t="n">
        <v>92.56</v>
      </c>
      <c r="H383" s="129" t="n">
        <v>91.8856</v>
      </c>
      <c r="I383" s="130">
        <f>G383-H383</f>
        <v/>
      </c>
      <c r="J383" s="115">
        <f>_xlfn.TEXTJOIN("-",TRUE,B383,C383,D383)</f>
        <v/>
      </c>
      <c r="R383" s="184" t="n"/>
      <c r="S383" s="390">
        <f>_xlfn.TEXTJOIN("-",TRUE,K383,L383,M383)</f>
        <v/>
      </c>
      <c r="AB383" s="390">
        <f>_xlfn.TEXTJOIN("-",TRUE,T383,U383,V383)</f>
        <v/>
      </c>
      <c r="BB383" s="390">
        <f>_xlfn.TEXTJOIN("-",TRUE,AU383,AW383)</f>
        <v/>
      </c>
    </row>
    <row r="384" ht="13.8" customHeight="1" s="428">
      <c r="B384" s="143" t="inlineStr">
        <is>
          <t>12.00R24</t>
        </is>
      </c>
      <c r="C384" s="169" t="inlineStr">
        <is>
          <t>20PR</t>
        </is>
      </c>
      <c r="D384" s="177" t="inlineStr">
        <is>
          <t>CB332</t>
        </is>
      </c>
      <c r="E384" s="177" t="inlineStr">
        <is>
          <t>12.00R24-20PR-CB332 C ID</t>
        </is>
      </c>
      <c r="F384" s="131">
        <f>G384-5.518+6.019</f>
        <v/>
      </c>
      <c r="G384" s="131" t="n">
        <v>91.663</v>
      </c>
      <c r="H384" s="129" t="n">
        <v>90.99039999999999</v>
      </c>
      <c r="I384" s="130">
        <f>G384-H384</f>
        <v/>
      </c>
      <c r="J384" s="115">
        <f>_xlfn.TEXTJOIN("-",TRUE,B384,C384,D384)</f>
        <v/>
      </c>
      <c r="R384" s="184" t="n"/>
      <c r="S384" s="390">
        <f>_xlfn.TEXTJOIN("-",TRUE,K384,L384,M384)</f>
        <v/>
      </c>
      <c r="AB384" s="390">
        <f>_xlfn.TEXTJOIN("-",TRUE,T384,U384,V384)</f>
        <v/>
      </c>
      <c r="BB384" s="390">
        <f>_xlfn.TEXTJOIN("-",TRUE,AU384,AW384)</f>
        <v/>
      </c>
    </row>
    <row r="385" ht="13.8" customHeight="1" s="428">
      <c r="B385" s="143" t="inlineStr">
        <is>
          <t>12.00R24</t>
        </is>
      </c>
      <c r="C385" s="169" t="inlineStr">
        <is>
          <t>20PR</t>
        </is>
      </c>
      <c r="D385" s="177" t="inlineStr">
        <is>
          <t>EZ336</t>
        </is>
      </c>
      <c r="E385" s="177" t="inlineStr">
        <is>
          <t>12.00R24-ET C ID</t>
        </is>
      </c>
      <c r="F385" s="131">
        <f>G385-5.518+6.019</f>
        <v/>
      </c>
      <c r="G385" s="131" t="n">
        <v>91.295</v>
      </c>
      <c r="H385" s="129" t="n">
        <v>90.62139999999999</v>
      </c>
      <c r="I385" s="130">
        <f>G385-H385</f>
        <v/>
      </c>
      <c r="J385" s="115">
        <f>_xlfn.TEXTJOIN("-",TRUE,B385,C385,D385)</f>
        <v/>
      </c>
      <c r="R385" s="184" t="n"/>
      <c r="S385" s="390">
        <f>_xlfn.TEXTJOIN("-",TRUE,K385,L385,M385)</f>
        <v/>
      </c>
      <c r="AB385" s="390">
        <f>_xlfn.TEXTJOIN("-",TRUE,T385,U385,V385)</f>
        <v/>
      </c>
      <c r="BB385" s="390">
        <f>_xlfn.TEXTJOIN("-",TRUE,AU385,AW385)</f>
        <v/>
      </c>
    </row>
    <row r="386" ht="13.8" customHeight="1" s="428">
      <c r="B386" s="143" t="inlineStr">
        <is>
          <t>12.00R24</t>
        </is>
      </c>
      <c r="C386" s="169" t="inlineStr">
        <is>
          <t>20PR</t>
        </is>
      </c>
      <c r="D386" s="177" t="inlineStr">
        <is>
          <t>TZ304</t>
        </is>
      </c>
      <c r="E386" s="177" t="inlineStr">
        <is>
          <t>12.00R24-ET C ID</t>
        </is>
      </c>
      <c r="F386" s="131">
        <f>G386-5.518+6.019</f>
        <v/>
      </c>
      <c r="G386" s="131" t="n">
        <v>91.295</v>
      </c>
      <c r="H386" s="129" t="n">
        <v>90.62139999999999</v>
      </c>
      <c r="I386" s="130">
        <f>G386-H386</f>
        <v/>
      </c>
      <c r="J386" s="115">
        <f>_xlfn.TEXTJOIN("-",TRUE,B386,C386,D386)</f>
        <v/>
      </c>
      <c r="R386" s="184" t="n"/>
      <c r="S386" s="390">
        <f>_xlfn.TEXTJOIN("-",TRUE,K386,L386,M386)</f>
        <v/>
      </c>
      <c r="AB386" s="390">
        <f>_xlfn.TEXTJOIN("-",TRUE,T386,U386,V386)</f>
        <v/>
      </c>
      <c r="BB386" s="390">
        <f>_xlfn.TEXTJOIN("-",TRUE,AU386,AW386)</f>
        <v/>
      </c>
    </row>
    <row r="387" ht="13.8" customHeight="1" s="428">
      <c r="B387" s="143" t="inlineStr">
        <is>
          <t>12.00R24</t>
        </is>
      </c>
      <c r="C387" s="169" t="inlineStr">
        <is>
          <t>20PR</t>
        </is>
      </c>
      <c r="D387" s="177" t="inlineStr">
        <is>
          <t>XC819</t>
        </is>
      </c>
      <c r="E387" s="177" t="inlineStr">
        <is>
          <t>12.00R24-ET C ID</t>
        </is>
      </c>
      <c r="F387" s="131">
        <f>G387-5.518+6.019</f>
        <v/>
      </c>
      <c r="G387" s="131" t="n">
        <v>91.295</v>
      </c>
      <c r="H387" s="129" t="n">
        <v>90.62139999999999</v>
      </c>
      <c r="I387" s="130">
        <f>G387-H387</f>
        <v/>
      </c>
      <c r="J387" s="115">
        <f>_xlfn.TEXTJOIN("-",TRUE,B387,C387,D387)</f>
        <v/>
      </c>
      <c r="R387" s="184" t="n"/>
      <c r="S387" s="390">
        <f>_xlfn.TEXTJOIN("-",TRUE,K387,L387,M387)</f>
        <v/>
      </c>
      <c r="AB387" s="390">
        <f>_xlfn.TEXTJOIN("-",TRUE,T387,U387,V387)</f>
        <v/>
      </c>
      <c r="BB387" s="390">
        <f>_xlfn.TEXTJOIN("-",TRUE,AU387,AW387)</f>
        <v/>
      </c>
    </row>
    <row r="388" ht="13.8" customHeight="1" s="428">
      <c r="B388" s="143" t="inlineStr">
        <is>
          <t>12.00R24</t>
        </is>
      </c>
      <c r="C388" s="169" t="inlineStr">
        <is>
          <t>24PR</t>
        </is>
      </c>
      <c r="D388" s="177" t="inlineStr">
        <is>
          <t>XC819</t>
        </is>
      </c>
      <c r="E388" s="177" t="inlineStr">
        <is>
          <t>12.00R24-ET C ID</t>
        </is>
      </c>
      <c r="F388" s="131">
        <f>G388-5.518+6.019</f>
        <v/>
      </c>
      <c r="G388" s="131" t="n">
        <v>91.295</v>
      </c>
      <c r="H388" s="129" t="n">
        <v>90.62139999999999</v>
      </c>
      <c r="I388" s="130">
        <f>G388-H388</f>
        <v/>
      </c>
      <c r="J388" s="115">
        <f>_xlfn.TEXTJOIN("-",TRUE,B388,C388,D388)</f>
        <v/>
      </c>
      <c r="R388" s="184" t="n"/>
      <c r="S388" s="390">
        <f>_xlfn.TEXTJOIN("-",TRUE,K388,L388,M388)</f>
        <v/>
      </c>
      <c r="AB388" s="390">
        <f>_xlfn.TEXTJOIN("-",TRUE,T388,U388,V388)</f>
        <v/>
      </c>
      <c r="BB388" s="390">
        <f>_xlfn.TEXTJOIN("-",TRUE,AU388,AW388)</f>
        <v/>
      </c>
    </row>
    <row r="389" ht="13.8" customHeight="1" s="428">
      <c r="B389" s="143" t="inlineStr">
        <is>
          <t>12.00R24</t>
        </is>
      </c>
      <c r="C389" s="169" t="inlineStr">
        <is>
          <t>20PR</t>
        </is>
      </c>
      <c r="D389" s="177" t="inlineStr">
        <is>
          <t>CB972</t>
        </is>
      </c>
      <c r="E389" s="177" t="inlineStr">
        <is>
          <t>12.00R24-20PR-CT C ID</t>
        </is>
      </c>
      <c r="F389" s="131">
        <f>G389-5.518+6.019</f>
        <v/>
      </c>
      <c r="G389" s="131" t="n">
        <v>82.688</v>
      </c>
      <c r="H389" s="129" t="n">
        <v>84.0286</v>
      </c>
      <c r="I389" s="130">
        <f>G389-H389</f>
        <v/>
      </c>
      <c r="J389" s="115">
        <f>_xlfn.TEXTJOIN("-",TRUE,B389,C389,D389)</f>
        <v/>
      </c>
      <c r="R389" s="184" t="n"/>
      <c r="S389" s="390">
        <f>_xlfn.TEXTJOIN("-",TRUE,K389,L389,M389)</f>
        <v/>
      </c>
      <c r="AB389" s="390">
        <f>_xlfn.TEXTJOIN("-",TRUE,T389,U389,V389)</f>
        <v/>
      </c>
      <c r="BB389" s="390">
        <f>_xlfn.TEXTJOIN("-",TRUE,AU389,AW389)</f>
        <v/>
      </c>
    </row>
    <row r="390">
      <c r="B390" s="143" t="inlineStr">
        <is>
          <t>12.00R24</t>
        </is>
      </c>
      <c r="C390" s="169" t="inlineStr">
        <is>
          <t>20PR</t>
        </is>
      </c>
      <c r="D390" s="177" t="inlineStr">
        <is>
          <t>TZ101</t>
        </is>
      </c>
      <c r="E390" s="177" t="inlineStr">
        <is>
          <t>12.00R24-20PR-CT C ID</t>
        </is>
      </c>
      <c r="F390" s="131">
        <f>G390-5.518+6.019</f>
        <v/>
      </c>
      <c r="G390" s="131" t="n">
        <v>82.688</v>
      </c>
      <c r="H390" s="129" t="n">
        <v>84.0286</v>
      </c>
      <c r="I390" s="130">
        <f>G390-H390</f>
        <v/>
      </c>
      <c r="J390" s="115">
        <f>_xlfn.TEXTJOIN("-",TRUE,B390,C390,D390)</f>
        <v/>
      </c>
      <c r="R390" s="184" t="n"/>
      <c r="S390" s="390">
        <f>_xlfn.TEXTJOIN("-",TRUE,K390,L390,M390)</f>
        <v/>
      </c>
      <c r="AB390" s="390">
        <f>_xlfn.TEXTJOIN("-",TRUE,T390,U390,V390)</f>
        <v/>
      </c>
      <c r="BB390" s="390">
        <f>_xlfn.TEXTJOIN("-",TRUE,AU390,AW390)</f>
        <v/>
      </c>
    </row>
    <row r="391">
      <c r="B391" s="143" t="inlineStr">
        <is>
          <t>12.00R24</t>
        </is>
      </c>
      <c r="C391" s="169" t="inlineStr">
        <is>
          <t>20PR</t>
        </is>
      </c>
      <c r="D391" s="177" t="inlineStr">
        <is>
          <t>ETOT</t>
        </is>
      </c>
      <c r="E391" s="177" t="inlineStr">
        <is>
          <t>12.00R24-20PR-EAM ID</t>
        </is>
      </c>
      <c r="F391" s="131">
        <f>G391-5.518+6.019</f>
        <v/>
      </c>
      <c r="G391" s="131" t="n">
        <v>99.892</v>
      </c>
      <c r="H391" s="129" t="n">
        <v>99.22580000000001</v>
      </c>
      <c r="I391" s="130">
        <f>G391-H391</f>
        <v/>
      </c>
      <c r="J391" s="115">
        <f>_xlfn.TEXTJOIN("-",TRUE,B391,C391,D391)</f>
        <v/>
      </c>
      <c r="R391" s="184" t="n"/>
      <c r="S391" s="390">
        <f>_xlfn.TEXTJOIN("-",TRUE,K391,L391,M391)</f>
        <v/>
      </c>
      <c r="AB391" s="390">
        <f>_xlfn.TEXTJOIN("-",TRUE,T391,U391,V391)</f>
        <v/>
      </c>
      <c r="BB391" s="390">
        <f>_xlfn.TEXTJOIN("-",TRUE,AU391,AW391)</f>
        <v/>
      </c>
    </row>
    <row r="392">
      <c r="B392" s="143" t="inlineStr">
        <is>
          <t>12.00R24</t>
        </is>
      </c>
      <c r="C392" s="169" t="inlineStr">
        <is>
          <t>20PR</t>
        </is>
      </c>
      <c r="D392" s="177" t="inlineStr">
        <is>
          <t>AM4S.Q678</t>
        </is>
      </c>
      <c r="E392" s="177" t="inlineStr">
        <is>
          <t>12.00R24-20PR-EAM ID</t>
        </is>
      </c>
      <c r="F392" s="131">
        <f>G392-5.518+6.019</f>
        <v/>
      </c>
      <c r="G392" s="131" t="n">
        <v>99.892</v>
      </c>
      <c r="H392" s="129" t="n">
        <v>99.22580000000001</v>
      </c>
      <c r="I392" s="130">
        <f>G392-H392</f>
        <v/>
      </c>
      <c r="J392" s="115">
        <f>_xlfn.TEXTJOIN("-",TRUE,B392,C392,D392)</f>
        <v/>
      </c>
      <c r="R392" s="184" t="n"/>
      <c r="S392" s="390">
        <f>_xlfn.TEXTJOIN("-",TRUE,K392,L392,M392)</f>
        <v/>
      </c>
      <c r="AB392" s="390">
        <f>_xlfn.TEXTJOIN("-",TRUE,T392,U392,V392)</f>
        <v/>
      </c>
      <c r="BB392" s="390">
        <f>_xlfn.TEXTJOIN("-",TRUE,AU392,AW392)</f>
        <v/>
      </c>
    </row>
    <row r="393">
      <c r="B393" s="143" t="inlineStr">
        <is>
          <t>12.00R24</t>
        </is>
      </c>
      <c r="C393" s="169" t="inlineStr">
        <is>
          <t>20PR</t>
        </is>
      </c>
      <c r="D393" s="177" t="inlineStr">
        <is>
          <t>EZ309</t>
        </is>
      </c>
      <c r="E393" s="125" t="inlineStr">
        <is>
          <t>12.00R24-EZX C ID</t>
        </is>
      </c>
      <c r="F393" s="131">
        <f>G393-5.515+6.024</f>
        <v/>
      </c>
      <c r="G393" s="131" t="n">
        <v>80.414</v>
      </c>
      <c r="H393" s="129" t="n">
        <v>79.45999999999999</v>
      </c>
      <c r="I393" s="130">
        <f>G393-H393</f>
        <v/>
      </c>
      <c r="J393" s="115">
        <f>_xlfn.TEXTJOIN("-",TRUE,B393,C393,D393)</f>
        <v/>
      </c>
      <c r="R393" s="184" t="n"/>
      <c r="S393" s="390">
        <f>_xlfn.TEXTJOIN("-",TRUE,K393,L393,M393)</f>
        <v/>
      </c>
      <c r="AB393" s="390">
        <f>_xlfn.TEXTJOIN("-",TRUE,T393,U393,V393)</f>
        <v/>
      </c>
      <c r="BB393" s="390">
        <f>_xlfn.TEXTJOIN("-",TRUE,AU393,AW393)</f>
        <v/>
      </c>
    </row>
    <row r="394">
      <c r="B394" s="143" t="inlineStr">
        <is>
          <t>12.00R24</t>
        </is>
      </c>
      <c r="C394" s="169" t="inlineStr">
        <is>
          <t>20PR</t>
        </is>
      </c>
      <c r="D394" s="177" t="inlineStr">
        <is>
          <t>XC809</t>
        </is>
      </c>
      <c r="E394" s="125" t="inlineStr">
        <is>
          <t>12.00R24-EZX C ID</t>
        </is>
      </c>
      <c r="F394" s="131">
        <f>G394-5.515+6.024</f>
        <v/>
      </c>
      <c r="G394" s="131" t="n">
        <v>80.414</v>
      </c>
      <c r="H394" s="129" t="n">
        <v>79.45999999999999</v>
      </c>
      <c r="I394" s="130">
        <f>G394-H394</f>
        <v/>
      </c>
      <c r="J394" s="115">
        <f>_xlfn.TEXTJOIN("-",TRUE,B394,C394,D394)</f>
        <v/>
      </c>
      <c r="R394" s="184" t="n"/>
      <c r="S394" s="390">
        <f>_xlfn.TEXTJOIN("-",TRUE,K394,L394,M394)</f>
        <v/>
      </c>
      <c r="AB394" s="390">
        <f>_xlfn.TEXTJOIN("-",TRUE,T394,U394,V394)</f>
        <v/>
      </c>
      <c r="BB394" s="390">
        <f>_xlfn.TEXTJOIN("-",TRUE,AU394,AW394)</f>
        <v/>
      </c>
    </row>
    <row r="395">
      <c r="B395" s="143" t="inlineStr">
        <is>
          <t>12.00R24</t>
        </is>
      </c>
      <c r="C395" s="169" t="inlineStr">
        <is>
          <t>22PR</t>
        </is>
      </c>
      <c r="D395" s="177" t="inlineStr">
        <is>
          <t>EZ309</t>
        </is>
      </c>
      <c r="E395" s="125" t="inlineStr">
        <is>
          <t>12.00R24-EZX C ID</t>
        </is>
      </c>
      <c r="F395" s="131">
        <f>G395-5.515+6.024</f>
        <v/>
      </c>
      <c r="G395" s="131" t="n">
        <v>80.414</v>
      </c>
      <c r="H395" s="129" t="n">
        <v>79.45999999999999</v>
      </c>
      <c r="I395" s="130">
        <f>G395-H395</f>
        <v/>
      </c>
      <c r="J395" s="115">
        <f>_xlfn.TEXTJOIN("-",TRUE,B395,C395,D395)</f>
        <v/>
      </c>
      <c r="R395" s="184" t="n"/>
      <c r="S395" s="390">
        <f>_xlfn.TEXTJOIN("-",TRUE,K395,L395,M395)</f>
        <v/>
      </c>
      <c r="AB395" s="390">
        <f>_xlfn.TEXTJOIN("-",TRUE,T395,U395,V395)</f>
        <v/>
      </c>
      <c r="BB395" s="390">
        <f>_xlfn.TEXTJOIN("-",TRUE,AU395,AW395)</f>
        <v/>
      </c>
    </row>
    <row r="396">
      <c r="B396" s="143" t="inlineStr">
        <is>
          <t>12.00R24</t>
        </is>
      </c>
      <c r="C396" s="169" t="inlineStr">
        <is>
          <t>22PR</t>
        </is>
      </c>
      <c r="D396" s="177" t="inlineStr">
        <is>
          <t>XC809</t>
        </is>
      </c>
      <c r="E396" s="125" t="inlineStr">
        <is>
          <t>12.00R24-EZX C ID</t>
        </is>
      </c>
      <c r="F396" s="131">
        <f>G396-5.515+6.024</f>
        <v/>
      </c>
      <c r="G396" s="131" t="n">
        <v>80.414</v>
      </c>
      <c r="H396" s="129" t="n">
        <v>79.45999999999999</v>
      </c>
      <c r="I396" s="130">
        <f>G396-H396</f>
        <v/>
      </c>
      <c r="J396" s="115">
        <f>_xlfn.TEXTJOIN("-",TRUE,B396,C396,D396)</f>
        <v/>
      </c>
      <c r="R396" s="184" t="n"/>
      <c r="S396" s="390">
        <f>_xlfn.TEXTJOIN("-",TRUE,K396,L396,M396)</f>
        <v/>
      </c>
      <c r="AB396" s="390">
        <f>_xlfn.TEXTJOIN("-",TRUE,T396,U396,V396)</f>
        <v/>
      </c>
      <c r="BB396" s="390">
        <f>_xlfn.TEXTJOIN("-",TRUE,AU396,AW396)</f>
        <v/>
      </c>
    </row>
    <row r="397">
      <c r="B397" s="143" t="inlineStr">
        <is>
          <t>12.00R24</t>
        </is>
      </c>
      <c r="C397" s="169" t="inlineStr">
        <is>
          <t>24PR</t>
        </is>
      </c>
      <c r="D397" s="177" t="inlineStr">
        <is>
          <t>EZ309</t>
        </is>
      </c>
      <c r="E397" s="125" t="inlineStr">
        <is>
          <t>12.00R24-EZX C ID</t>
        </is>
      </c>
      <c r="F397" s="131">
        <f>G397-5.515+6.024</f>
        <v/>
      </c>
      <c r="G397" s="131" t="n">
        <v>80.414</v>
      </c>
      <c r="H397" s="129" t="n">
        <v>79.45999999999999</v>
      </c>
      <c r="I397" s="130">
        <f>G397-H397</f>
        <v/>
      </c>
      <c r="J397" s="115">
        <f>_xlfn.TEXTJOIN("-",TRUE,B397,C397,D397)</f>
        <v/>
      </c>
      <c r="R397" s="184" t="n"/>
      <c r="S397" s="390">
        <f>_xlfn.TEXTJOIN("-",TRUE,K397,L397,M397)</f>
        <v/>
      </c>
      <c r="AB397" s="390">
        <f>_xlfn.TEXTJOIN("-",TRUE,T397,U397,V397)</f>
        <v/>
      </c>
      <c r="BB397" s="390">
        <f>_xlfn.TEXTJOIN("-",TRUE,AU397,AW397)</f>
        <v/>
      </c>
    </row>
    <row r="398" ht="13.8" customHeight="1" s="428">
      <c r="B398" s="143" t="inlineStr">
        <is>
          <t>12.00R24</t>
        </is>
      </c>
      <c r="C398" s="169" t="inlineStr">
        <is>
          <t>24PR</t>
        </is>
      </c>
      <c r="D398" s="177" t="inlineStr">
        <is>
          <t>XC809</t>
        </is>
      </c>
      <c r="E398" s="125" t="inlineStr">
        <is>
          <t>12.00R24-EZX C ID</t>
        </is>
      </c>
      <c r="F398" s="131">
        <f>G398-5.515+6.024</f>
        <v/>
      </c>
      <c r="G398" s="131" t="n">
        <v>80.414</v>
      </c>
      <c r="H398" s="129" t="n">
        <v>79.45999999999999</v>
      </c>
      <c r="I398" s="130">
        <f>G398-H398</f>
        <v/>
      </c>
      <c r="J398" s="115">
        <f>_xlfn.TEXTJOIN("-",TRUE,B398,C398,D398)</f>
        <v/>
      </c>
      <c r="R398" s="184" t="n"/>
      <c r="S398" s="390">
        <f>_xlfn.TEXTJOIN("-",TRUE,K398,L398,M398)</f>
        <v/>
      </c>
      <c r="AB398" s="390">
        <f>_xlfn.TEXTJOIN("-",TRUE,T398,U398,V398)</f>
        <v/>
      </c>
      <c r="BB398" s="390">
        <f>_xlfn.TEXTJOIN("-",TRUE,AU398,AW398)</f>
        <v/>
      </c>
    </row>
    <row r="399" ht="13.8" customHeight="1" s="428">
      <c r="B399" s="143" t="inlineStr">
        <is>
          <t>12.00R24</t>
        </is>
      </c>
      <c r="C399" s="169" t="inlineStr">
        <is>
          <t>20PR</t>
        </is>
      </c>
      <c r="D399" s="177" t="inlineStr">
        <is>
          <t>EZ175</t>
        </is>
      </c>
      <c r="E399" s="125" t="inlineStr">
        <is>
          <t>12.00R24-20PR-AB C ID</t>
        </is>
      </c>
      <c r="F399" s="131">
        <f>G399-5.515+6.024</f>
        <v/>
      </c>
      <c r="G399" s="131" t="n">
        <v>80.069</v>
      </c>
      <c r="H399" s="129" t="n">
        <v>80.01000000000001</v>
      </c>
      <c r="I399" s="130">
        <f>G399-H399</f>
        <v/>
      </c>
      <c r="J399" s="115">
        <f>_xlfn.TEXTJOIN("-",TRUE,B399,C399,D399)</f>
        <v/>
      </c>
      <c r="R399" s="184" t="n"/>
      <c r="S399" s="390">
        <f>_xlfn.TEXTJOIN("-",TRUE,K399,L399,M399)</f>
        <v/>
      </c>
      <c r="AB399" s="390">
        <f>_xlfn.TEXTJOIN("-",TRUE,T399,U399,V399)</f>
        <v/>
      </c>
      <c r="BB399" s="390">
        <f>_xlfn.TEXTJOIN("-",TRUE,AU399,AW399)</f>
        <v/>
      </c>
    </row>
    <row r="400" ht="13.8" customHeight="1" s="428">
      <c r="B400" s="143" t="inlineStr">
        <is>
          <t>12.00R24</t>
        </is>
      </c>
      <c r="C400" s="169" t="inlineStr">
        <is>
          <t>20PR</t>
        </is>
      </c>
      <c r="D400" s="177" t="inlineStr">
        <is>
          <t>EZ345</t>
        </is>
      </c>
      <c r="E400" s="125" t="inlineStr">
        <is>
          <t>12.00R24-20PR-AB C ID</t>
        </is>
      </c>
      <c r="F400" s="131">
        <f>G400-5.515+6.024</f>
        <v/>
      </c>
      <c r="G400" s="131" t="n">
        <v>80.069</v>
      </c>
      <c r="H400" s="129" t="n">
        <v>80.01000000000001</v>
      </c>
      <c r="I400" s="130">
        <f>G400-H400</f>
        <v/>
      </c>
      <c r="J400" s="115">
        <f>_xlfn.TEXTJOIN("-",TRUE,B400,C400,D400)</f>
        <v/>
      </c>
      <c r="R400" s="184" t="n"/>
      <c r="S400" s="390">
        <f>_xlfn.TEXTJOIN("-",TRUE,K400,L400,M400)</f>
        <v/>
      </c>
      <c r="AB400" s="390">
        <f>_xlfn.TEXTJOIN("-",TRUE,T400,U400,V400)</f>
        <v/>
      </c>
      <c r="BB400" s="390">
        <f>_xlfn.TEXTJOIN("-",TRUE,AU400,AW400)</f>
        <v/>
      </c>
    </row>
    <row r="401" ht="13.8" customHeight="1" s="428">
      <c r="B401" s="143" t="inlineStr">
        <is>
          <t>12.00R24</t>
        </is>
      </c>
      <c r="C401" s="169" t="inlineStr">
        <is>
          <t>20PR</t>
        </is>
      </c>
      <c r="D401" s="177" t="inlineStr">
        <is>
          <t>XC878</t>
        </is>
      </c>
      <c r="E401" s="125" t="inlineStr">
        <is>
          <t>12.00R24-20PR-AB C ID</t>
        </is>
      </c>
      <c r="F401" s="131">
        <f>G401-5.515+6.024</f>
        <v/>
      </c>
      <c r="G401" s="131" t="n">
        <v>80.069</v>
      </c>
      <c r="H401" s="129" t="n">
        <v>80.01000000000001</v>
      </c>
      <c r="I401" s="130">
        <f>G401-H401</f>
        <v/>
      </c>
      <c r="J401" s="115">
        <f>_xlfn.TEXTJOIN("-",TRUE,B401,C401,D401)</f>
        <v/>
      </c>
      <c r="R401" s="184" t="n"/>
      <c r="S401" s="390">
        <f>_xlfn.TEXTJOIN("-",TRUE,K401,L401,M401)</f>
        <v/>
      </c>
      <c r="AB401" s="390">
        <f>_xlfn.TEXTJOIN("-",TRUE,T401,U401,V401)</f>
        <v/>
      </c>
      <c r="BB401" s="390">
        <f>_xlfn.TEXTJOIN("-",TRUE,AU401,AW401)</f>
        <v/>
      </c>
    </row>
    <row r="402">
      <c r="B402" s="143" t="inlineStr">
        <is>
          <t>12.00R24</t>
        </is>
      </c>
      <c r="C402" s="169" t="inlineStr">
        <is>
          <t>20PR</t>
        </is>
      </c>
      <c r="D402" s="177" t="inlineStr">
        <is>
          <t>I-301</t>
        </is>
      </c>
      <c r="E402" s="125" t="inlineStr">
        <is>
          <t>ID12.00R24-20PR-TA C ID</t>
        </is>
      </c>
      <c r="F402" s="131">
        <f>G402-5.515+6.024</f>
        <v/>
      </c>
      <c r="G402" s="131" t="n">
        <v>77.854</v>
      </c>
      <c r="H402" s="129" t="n">
        <v>77.7649</v>
      </c>
      <c r="I402" s="130">
        <f>G402-H402</f>
        <v/>
      </c>
      <c r="J402" s="115">
        <f>_xlfn.TEXTJOIN("-",TRUE,B402,C402,D402)</f>
        <v/>
      </c>
      <c r="R402" s="184" t="n"/>
      <c r="S402" s="390">
        <f>_xlfn.TEXTJOIN("-",TRUE,K402,L402,M402)</f>
        <v/>
      </c>
      <c r="AB402" s="390">
        <f>_xlfn.TEXTJOIN("-",TRUE,T402,U402,V402)</f>
        <v/>
      </c>
      <c r="BB402" s="390">
        <f>_xlfn.TEXTJOIN("-",TRUE,AU402,AW402)</f>
        <v/>
      </c>
    </row>
    <row r="403" ht="13.8" customHeight="1" s="428">
      <c r="B403" s="206" t="n"/>
      <c r="C403" s="178" t="n"/>
      <c r="D403" s="178" t="n"/>
      <c r="E403" s="185" t="n"/>
      <c r="F403" s="135" t="n"/>
      <c r="G403" s="135" t="n"/>
      <c r="H403" s="174" t="n"/>
      <c r="I403" s="134" t="n"/>
      <c r="J403" s="115">
        <f>_xlfn.TEXTJOIN("-",TRUE,B403,C403,D403)</f>
        <v/>
      </c>
      <c r="R403" s="184" t="n"/>
      <c r="S403" s="390">
        <f>_xlfn.TEXTJOIN("-",TRUE,K403,L403,M403)</f>
        <v/>
      </c>
      <c r="AB403" s="390">
        <f>_xlfn.TEXTJOIN("-",TRUE,T403,U403,V403)</f>
        <v/>
      </c>
      <c r="BB403" s="390">
        <f>_xlfn.TEXTJOIN("-",TRUE,AU403,AW403)</f>
        <v/>
      </c>
    </row>
    <row r="404" ht="13.8" customHeight="1" s="428">
      <c r="B404" s="143" t="inlineStr">
        <is>
          <t>215/75R17.5</t>
        </is>
      </c>
      <c r="C404" s="169" t="inlineStr">
        <is>
          <t>16PR</t>
        </is>
      </c>
      <c r="D404" s="126" t="inlineStr">
        <is>
          <t>I-19A</t>
        </is>
      </c>
      <c r="E404" s="177" t="inlineStr">
        <is>
          <t>215/75R17.5-16PR-C C ID EA823</t>
        </is>
      </c>
      <c r="F404" s="128">
        <f>G404-1.325+1.623</f>
        <v/>
      </c>
      <c r="G404" s="131" t="n">
        <v>25.927</v>
      </c>
      <c r="H404" s="129" t="n">
        <v>25.8464</v>
      </c>
      <c r="I404" s="130">
        <f>G404-H404</f>
        <v/>
      </c>
      <c r="J404" s="115">
        <f>_xlfn.TEXTJOIN("-",TRUE,B404,C404,D404)</f>
        <v/>
      </c>
      <c r="R404" s="184" t="n"/>
      <c r="S404" s="390">
        <f>_xlfn.TEXTJOIN("-",TRUE,K404,L404,M404)</f>
        <v/>
      </c>
      <c r="AB404" s="390">
        <f>_xlfn.TEXTJOIN("-",TRUE,T404,U404,V404)</f>
        <v/>
      </c>
      <c r="BB404" s="390">
        <f>_xlfn.TEXTJOIN("-",TRUE,AU404,AW404)</f>
        <v/>
      </c>
    </row>
    <row r="405" ht="13.8" customHeight="1" s="428">
      <c r="B405" s="143" t="inlineStr">
        <is>
          <t>215/75R17.5</t>
        </is>
      </c>
      <c r="C405" s="169" t="inlineStr">
        <is>
          <t>16PR</t>
        </is>
      </c>
      <c r="D405" s="177" t="inlineStr">
        <is>
          <t>AS673</t>
        </is>
      </c>
      <c r="E405" s="171" t="inlineStr">
        <is>
          <t>215/75R17.5-16PR-C C ID EA823</t>
        </is>
      </c>
      <c r="F405" s="128">
        <f>G405-1.325+1.623</f>
        <v/>
      </c>
      <c r="G405" s="131" t="n">
        <v>25.927</v>
      </c>
      <c r="H405" s="129" t="n">
        <v>25.8464</v>
      </c>
      <c r="I405" s="130">
        <f>G405-H405</f>
        <v/>
      </c>
      <c r="J405" s="115">
        <f>_xlfn.TEXTJOIN("-",TRUE,B405,C405,D405)</f>
        <v/>
      </c>
      <c r="R405" s="184" t="n"/>
      <c r="S405" s="390">
        <f>_xlfn.TEXTJOIN("-",TRUE,K405,L405,M405)</f>
        <v/>
      </c>
      <c r="AB405" s="390">
        <f>_xlfn.TEXTJOIN("-",TRUE,T405,U405,V405)</f>
        <v/>
      </c>
      <c r="BB405" s="390">
        <f>_xlfn.TEXTJOIN("-",TRUE,AU405,AW405)</f>
        <v/>
      </c>
    </row>
    <row r="406" ht="27.6" customHeight="1" s="428">
      <c r="B406" s="143" t="inlineStr">
        <is>
          <t>215/75R17.5</t>
        </is>
      </c>
      <c r="C406" s="169" t="inlineStr">
        <is>
          <t>16PR</t>
        </is>
      </c>
      <c r="D406" s="126" t="inlineStr">
        <is>
          <t>CR960A</t>
        </is>
      </c>
      <c r="E406" s="125" t="inlineStr">
        <is>
          <t>215/75R17.5-16PR-B C ID</t>
        </is>
      </c>
      <c r="F406" s="128">
        <f>G406-1.325+1.623</f>
        <v/>
      </c>
      <c r="G406" s="165" t="n">
        <v>24.586</v>
      </c>
      <c r="H406" s="157" t="n">
        <v>24.6362</v>
      </c>
      <c r="I406" s="130">
        <f>G406-H406</f>
        <v/>
      </c>
      <c r="J406" s="115">
        <f>_xlfn.TEXTJOIN("-",TRUE,B406,C406,D406)</f>
        <v/>
      </c>
      <c r="R406" s="184" t="n"/>
      <c r="S406" s="390">
        <f>_xlfn.TEXTJOIN("-",TRUE,K406,L406,M406)</f>
        <v/>
      </c>
      <c r="AB406" s="390">
        <f>_xlfn.TEXTJOIN("-",TRUE,T406,U406,V406)</f>
        <v/>
      </c>
      <c r="BB406" s="390">
        <f>_xlfn.TEXTJOIN("-",TRUE,AU406,AW406)</f>
        <v/>
      </c>
    </row>
    <row r="407">
      <c r="B407" s="143" t="inlineStr">
        <is>
          <t>215/75R17.5</t>
        </is>
      </c>
      <c r="C407" s="169" t="inlineStr">
        <is>
          <t>16PR</t>
        </is>
      </c>
      <c r="D407" s="126" t="inlineStr">
        <is>
          <t>H-RA</t>
        </is>
      </c>
      <c r="E407" s="177" t="inlineStr">
        <is>
          <t>215/75R17.5-16PR-B C ID</t>
        </is>
      </c>
      <c r="F407" s="128">
        <f>G407-1.325+1.623</f>
        <v/>
      </c>
      <c r="G407" s="165" t="n">
        <v>24.586</v>
      </c>
      <c r="H407" s="131" t="n">
        <v>24.6362</v>
      </c>
      <c r="I407" s="130">
        <f>G407-H407</f>
        <v/>
      </c>
      <c r="J407" s="115">
        <f>_xlfn.TEXTJOIN("-",TRUE,B407,C407,D407)</f>
        <v/>
      </c>
      <c r="R407" s="184" t="n"/>
      <c r="S407" s="390">
        <f>_xlfn.TEXTJOIN("-",TRUE,K407,L407,M407)</f>
        <v/>
      </c>
      <c r="AB407" s="390">
        <f>_xlfn.TEXTJOIN("-",TRUE,T407,U407,V407)</f>
        <v/>
      </c>
      <c r="BB407" s="390">
        <f>_xlfn.TEXTJOIN("-",TRUE,AU407,AW407)</f>
        <v/>
      </c>
    </row>
    <row r="408">
      <c r="B408" s="143" t="inlineStr">
        <is>
          <t>215/75R17.5</t>
        </is>
      </c>
      <c r="C408" s="169" t="inlineStr">
        <is>
          <t>16PR</t>
        </is>
      </c>
      <c r="D408" s="126" t="inlineStr">
        <is>
          <t>RLINE-A1</t>
        </is>
      </c>
      <c r="E408" s="177" t="inlineStr">
        <is>
          <t>215/75R17.5-16PR-B C ID</t>
        </is>
      </c>
      <c r="F408" s="128">
        <f>G408-1.325+1.623</f>
        <v/>
      </c>
      <c r="G408" s="165" t="n">
        <v>24.586</v>
      </c>
      <c r="H408" s="131" t="n">
        <v>24.6362</v>
      </c>
      <c r="I408" s="130">
        <f>G408-H408</f>
        <v/>
      </c>
      <c r="J408" s="115">
        <f>_xlfn.TEXTJOIN("-",TRUE,B408,C408,D408)</f>
        <v/>
      </c>
      <c r="R408" s="184" t="n"/>
      <c r="S408" s="390">
        <f>_xlfn.TEXTJOIN("-",TRUE,K408,L408,M408)</f>
        <v/>
      </c>
      <c r="AB408" s="390">
        <f>_xlfn.TEXTJOIN("-",TRUE,T408,U408,V408)</f>
        <v/>
      </c>
      <c r="BB408" s="390">
        <f>_xlfn.TEXTJOIN("-",TRUE,AU408,AW408)</f>
        <v/>
      </c>
    </row>
    <row r="409" ht="13.8" customHeight="1" s="428">
      <c r="B409" s="143" t="inlineStr">
        <is>
          <t>215/75R17.5</t>
        </is>
      </c>
      <c r="C409" s="169" t="inlineStr">
        <is>
          <t>16PR</t>
        </is>
      </c>
      <c r="D409" s="177" t="inlineStr">
        <is>
          <t>VA933</t>
        </is>
      </c>
      <c r="E409" s="171" t="inlineStr">
        <is>
          <t>ID215/75R17.5-A C ID EA823</t>
        </is>
      </c>
      <c r="F409" s="191">
        <f>G409-1.325+1.623</f>
        <v/>
      </c>
      <c r="G409" s="131" t="n">
        <v>26.777</v>
      </c>
      <c r="H409" s="204" t="n">
        <v>26.9043</v>
      </c>
      <c r="I409" s="130">
        <f>G409-H409</f>
        <v/>
      </c>
      <c r="J409" s="115">
        <f>_xlfn.TEXTJOIN("-",TRUE,B409,C409,D409)</f>
        <v/>
      </c>
      <c r="R409" s="184" t="n"/>
      <c r="S409" s="390">
        <f>_xlfn.TEXTJOIN("-",TRUE,K409,L409,M409)</f>
        <v/>
      </c>
      <c r="AB409" s="390">
        <f>_xlfn.TEXTJOIN("-",TRUE,T409,U409,V409)</f>
        <v/>
      </c>
      <c r="BB409" s="390">
        <f>_xlfn.TEXTJOIN("-",TRUE,AU409,AW409)</f>
        <v/>
      </c>
    </row>
    <row r="410" ht="13.8" customHeight="1" s="428">
      <c r="B410" s="143" t="inlineStr">
        <is>
          <t>215/75R17.5</t>
        </is>
      </c>
      <c r="C410" s="169" t="inlineStr">
        <is>
          <t>16PR</t>
        </is>
      </c>
      <c r="D410" s="177" t="inlineStr">
        <is>
          <t>ZA15</t>
        </is>
      </c>
      <c r="E410" s="125" t="inlineStr">
        <is>
          <t>ID215/75R17.5-A C ID EA823</t>
        </is>
      </c>
      <c r="F410" s="128">
        <f>G410-1.325+1.623</f>
        <v/>
      </c>
      <c r="G410" s="131" t="n">
        <v>26.777</v>
      </c>
      <c r="H410" s="129" t="n">
        <v>26.9043</v>
      </c>
      <c r="I410" s="130">
        <f>G410-H410</f>
        <v/>
      </c>
      <c r="J410" s="115">
        <f>_xlfn.TEXTJOIN("-",TRUE,B410,C410,D410)</f>
        <v/>
      </c>
      <c r="R410" s="184" t="n"/>
      <c r="S410" s="390">
        <f>_xlfn.TEXTJOIN("-",TRUE,K410,L410,M410)</f>
        <v/>
      </c>
      <c r="AB410" s="390">
        <f>_xlfn.TEXTJOIN("-",TRUE,T410,U410,V410)</f>
        <v/>
      </c>
      <c r="BB410" s="390">
        <f>_xlfn.TEXTJOIN("-",TRUE,AU410,AW410)</f>
        <v/>
      </c>
    </row>
    <row r="411">
      <c r="B411" s="143" t="inlineStr">
        <is>
          <t>215/75R17.5</t>
        </is>
      </c>
      <c r="C411" s="169" t="inlineStr">
        <is>
          <t>18PR</t>
        </is>
      </c>
      <c r="D411" s="126" t="inlineStr">
        <is>
          <t>VA933</t>
        </is>
      </c>
      <c r="E411" s="177" t="inlineStr">
        <is>
          <t>ID215/75R17.5-A C ID EA823</t>
        </is>
      </c>
      <c r="F411" s="128">
        <f>G411-1.325+1.623</f>
        <v/>
      </c>
      <c r="G411" s="131" t="n">
        <v>26.777</v>
      </c>
      <c r="H411" s="129" t="n">
        <v>26.9043</v>
      </c>
      <c r="I411" s="130">
        <f>G411-H411</f>
        <v/>
      </c>
      <c r="J411" s="115">
        <f>_xlfn.TEXTJOIN("-",TRUE,B411,C411,D411)</f>
        <v/>
      </c>
      <c r="R411" s="184" t="n"/>
      <c r="S411" s="390">
        <f>_xlfn.TEXTJOIN("-",TRUE,K411,L411,M411)</f>
        <v/>
      </c>
      <c r="AB411" s="390">
        <f>_xlfn.TEXTJOIN("-",TRUE,T411,U411,V411)</f>
        <v/>
      </c>
      <c r="BB411" s="390">
        <f>_xlfn.TEXTJOIN("-",TRUE,AU411,AW411)</f>
        <v/>
      </c>
    </row>
    <row r="412">
      <c r="B412" s="143" t="inlineStr">
        <is>
          <t>215/75R17.5</t>
        </is>
      </c>
      <c r="C412" s="169" t="inlineStr">
        <is>
          <t>18PR</t>
        </is>
      </c>
      <c r="D412" s="177" t="inlineStr">
        <is>
          <t>ZA15</t>
        </is>
      </c>
      <c r="E412" s="171" t="inlineStr">
        <is>
          <t>ID215/75R17.5-A C ID EA823</t>
        </is>
      </c>
      <c r="F412" s="128">
        <f>G412-1.325+1.623</f>
        <v/>
      </c>
      <c r="G412" s="131" t="n">
        <v>26.777</v>
      </c>
      <c r="H412" s="129" t="n">
        <v>26.9043</v>
      </c>
      <c r="I412" s="130">
        <f>G412-H412</f>
        <v/>
      </c>
      <c r="J412" s="115">
        <f>_xlfn.TEXTJOIN("-",TRUE,B412,C412,D412)</f>
        <v/>
      </c>
      <c r="R412" s="184" t="n"/>
      <c r="S412" s="390">
        <f>_xlfn.TEXTJOIN("-",TRUE,K412,L412,M412)</f>
        <v/>
      </c>
      <c r="AB412" s="390">
        <f>_xlfn.TEXTJOIN("-",TRUE,T412,U412,V412)</f>
        <v/>
      </c>
      <c r="BB412" s="390">
        <f>_xlfn.TEXTJOIN("-",TRUE,AU412,AW412)</f>
        <v/>
      </c>
    </row>
    <row r="413">
      <c r="B413" s="143" t="inlineStr">
        <is>
          <t>215/75R17.5</t>
        </is>
      </c>
      <c r="C413" s="169" t="inlineStr">
        <is>
          <t>16PR</t>
        </is>
      </c>
      <c r="D413" s="126" t="inlineStr">
        <is>
          <t>AZ599</t>
        </is>
      </c>
      <c r="E413" s="177" t="inlineStr">
        <is>
          <t>ID215/75R17.5-D C ID EA823</t>
        </is>
      </c>
      <c r="F413" s="128">
        <f>G413-1.325+1.623</f>
        <v/>
      </c>
      <c r="G413" s="131" t="n">
        <v>25.523</v>
      </c>
      <c r="H413" s="129" t="n">
        <v>25.5734</v>
      </c>
      <c r="I413" s="130">
        <f>G413-H413</f>
        <v/>
      </c>
      <c r="J413" s="115">
        <f>_xlfn.TEXTJOIN("-",TRUE,B413,C413,D413)</f>
        <v/>
      </c>
      <c r="R413" s="184" t="n"/>
      <c r="S413" s="390">
        <f>_xlfn.TEXTJOIN("-",TRUE,K413,L413,M413)</f>
        <v/>
      </c>
      <c r="AB413" s="390">
        <f>_xlfn.TEXTJOIN("-",TRUE,T413,U413,V413)</f>
        <v/>
      </c>
      <c r="BB413" s="390">
        <f>_xlfn.TEXTJOIN("-",TRUE,AU413,AW413)</f>
        <v/>
      </c>
    </row>
    <row r="414" ht="13.8" customHeight="1" s="428">
      <c r="B414" s="143" t="inlineStr">
        <is>
          <t>215/75R17.5</t>
        </is>
      </c>
      <c r="C414" s="169" t="inlineStr">
        <is>
          <t>16PR</t>
        </is>
      </c>
      <c r="D414" s="177" t="inlineStr">
        <is>
          <t>TF300</t>
        </is>
      </c>
      <c r="E414" s="177" t="inlineStr">
        <is>
          <t>ID215/75R17.5-D C ID EA823</t>
        </is>
      </c>
      <c r="F414" s="128">
        <f>G414-1.325+1.623</f>
        <v/>
      </c>
      <c r="G414" s="131" t="n">
        <v>25.523</v>
      </c>
      <c r="H414" s="129" t="n">
        <v>25.5734</v>
      </c>
      <c r="I414" s="130">
        <f>G414-H414</f>
        <v/>
      </c>
      <c r="J414" s="115">
        <f>_xlfn.TEXTJOIN("-",TRUE,B414,C414,D414)</f>
        <v/>
      </c>
      <c r="R414" s="184" t="n"/>
      <c r="S414" s="390">
        <f>_xlfn.TEXTJOIN("-",TRUE,K414,L414,M414)</f>
        <v/>
      </c>
      <c r="AB414" s="390">
        <f>_xlfn.TEXTJOIN("-",TRUE,T414,U414,V414)</f>
        <v/>
      </c>
      <c r="BB414" s="390">
        <f>_xlfn.TEXTJOIN("-",TRUE,AU414,AW414)</f>
        <v/>
      </c>
    </row>
    <row r="415" ht="13.8" customHeight="1" s="428">
      <c r="B415" s="143" t="inlineStr">
        <is>
          <t>215/75R17.5</t>
        </is>
      </c>
      <c r="C415" s="169" t="inlineStr">
        <is>
          <t>16PR</t>
        </is>
      </c>
      <c r="D415" s="126" t="inlineStr">
        <is>
          <t>HF1 Plus</t>
        </is>
      </c>
      <c r="E415" s="177" t="inlineStr">
        <is>
          <t>ID215/75R17.5-D C ID EA823</t>
        </is>
      </c>
      <c r="F415" s="128">
        <f>G415-1.325+1.623</f>
        <v/>
      </c>
      <c r="G415" s="131" t="n">
        <v>25.523</v>
      </c>
      <c r="H415" s="129" t="n">
        <v>25.5734</v>
      </c>
      <c r="I415" s="130">
        <f>G415-H415</f>
        <v/>
      </c>
      <c r="J415" s="115">
        <f>_xlfn.TEXTJOIN("-",TRUE,B415,C415,D415)</f>
        <v/>
      </c>
      <c r="R415" s="184" t="n"/>
      <c r="S415" s="390">
        <f>_xlfn.TEXTJOIN("-",TRUE,K415,L415,M415)</f>
        <v/>
      </c>
      <c r="AB415" s="390">
        <f>_xlfn.TEXTJOIN("-",TRUE,T415,U415,V415)</f>
        <v/>
      </c>
      <c r="BB415" s="390">
        <f>_xlfn.TEXTJOIN("-",TRUE,AU415,AW415)</f>
        <v/>
      </c>
    </row>
    <row r="416">
      <c r="B416" s="143" t="inlineStr">
        <is>
          <t>215/75R17.5</t>
        </is>
      </c>
      <c r="C416" s="169" t="inlineStr">
        <is>
          <t>16PR</t>
        </is>
      </c>
      <c r="D416" s="126" t="inlineStr">
        <is>
          <t>M-TRAC AP</t>
        </is>
      </c>
      <c r="E416" s="177" t="inlineStr">
        <is>
          <t>ID215/75R17.5-D C ID EA823</t>
        </is>
      </c>
      <c r="F416" s="128">
        <f>G416-1.325+1.623</f>
        <v/>
      </c>
      <c r="G416" s="131" t="n">
        <v>25.523</v>
      </c>
      <c r="H416" s="129" t="n">
        <v>25.5734</v>
      </c>
      <c r="I416" s="130">
        <f>G416-H416</f>
        <v/>
      </c>
      <c r="J416" s="115">
        <f>_xlfn.TEXTJOIN("-",TRUE,B416,C416,D416)</f>
        <v/>
      </c>
      <c r="R416" s="184" t="n"/>
      <c r="S416" s="390">
        <f>_xlfn.TEXTJOIN("-",TRUE,K416,L416,M416)</f>
        <v/>
      </c>
      <c r="AB416" s="390">
        <f>_xlfn.TEXTJOIN("-",TRUE,T416,U416,V416)</f>
        <v/>
      </c>
      <c r="BB416" s="390">
        <f>_xlfn.TEXTJOIN("-",TRUE,AU416,AW416)</f>
        <v/>
      </c>
    </row>
    <row r="417" ht="13.8" customHeight="1" s="428">
      <c r="B417" s="143" t="inlineStr">
        <is>
          <t>215/75R17.5</t>
        </is>
      </c>
      <c r="C417" s="169" t="inlineStr">
        <is>
          <t>16PR</t>
        </is>
      </c>
      <c r="D417" s="126" t="inlineStr">
        <is>
          <t>AP-7318</t>
        </is>
      </c>
      <c r="E417" s="177" t="inlineStr">
        <is>
          <t>ID215/75R17.5-D C ID EA823</t>
        </is>
      </c>
      <c r="F417" s="128">
        <f>G417-1.325+1.623</f>
        <v/>
      </c>
      <c r="G417" s="131" t="n">
        <v>25.523</v>
      </c>
      <c r="H417" s="129" t="n">
        <v>25.5734</v>
      </c>
      <c r="I417" s="130">
        <f>G417-H417</f>
        <v/>
      </c>
      <c r="J417" s="115">
        <f>_xlfn.TEXTJOIN("-",TRUE,B417,C417,D417)</f>
        <v/>
      </c>
      <c r="R417" s="184" t="n"/>
      <c r="S417" s="390">
        <f>_xlfn.TEXTJOIN("-",TRUE,K417,L417,M417)</f>
        <v/>
      </c>
      <c r="AB417" s="390">
        <f>_xlfn.TEXTJOIN("-",TRUE,T417,U417,V417)</f>
        <v/>
      </c>
      <c r="BB417" s="390">
        <f>_xlfn.TEXTJOIN("-",TRUE,AU417,AW417)</f>
        <v/>
      </c>
    </row>
    <row r="418" ht="27.6" customHeight="1" s="428">
      <c r="B418" s="143" t="inlineStr">
        <is>
          <t>215/75R17.5</t>
        </is>
      </c>
      <c r="C418" s="169" t="inlineStr">
        <is>
          <t>18PR</t>
        </is>
      </c>
      <c r="D418" s="126" t="inlineStr">
        <is>
          <t>AZ599</t>
        </is>
      </c>
      <c r="E418" s="177" t="inlineStr">
        <is>
          <t>ID215/75R17.5-D C ID EA823</t>
        </is>
      </c>
      <c r="F418" s="128">
        <f>G418-1.325+1.623</f>
        <v/>
      </c>
      <c r="G418" s="131" t="n">
        <v>25.523</v>
      </c>
      <c r="H418" s="129" t="n">
        <v>25.5734</v>
      </c>
      <c r="I418" s="130">
        <f>G418-H418</f>
        <v/>
      </c>
      <c r="J418" s="115">
        <f>_xlfn.TEXTJOIN("-",TRUE,B418,C418,D418)</f>
        <v/>
      </c>
      <c r="R418" s="184" t="n"/>
      <c r="S418" s="390">
        <f>_xlfn.TEXTJOIN("-",TRUE,K418,L418,M418)</f>
        <v/>
      </c>
      <c r="AB418" s="390">
        <f>_xlfn.TEXTJOIN("-",TRUE,T418,U418,V418)</f>
        <v/>
      </c>
      <c r="BB418" s="390">
        <f>_xlfn.TEXTJOIN("-",TRUE,AU418,AW418)</f>
        <v/>
      </c>
    </row>
    <row r="419">
      <c r="B419" s="143" t="inlineStr">
        <is>
          <t>215/75R17.5</t>
        </is>
      </c>
      <c r="C419" s="169" t="inlineStr">
        <is>
          <t>18PR</t>
        </is>
      </c>
      <c r="D419" s="177" t="inlineStr">
        <is>
          <t>TF300</t>
        </is>
      </c>
      <c r="E419" s="177" t="inlineStr">
        <is>
          <t>ID215/75R17.5-D C ID EA823</t>
        </is>
      </c>
      <c r="F419" s="128">
        <f>G419-1.325+1.623</f>
        <v/>
      </c>
      <c r="G419" s="131" t="n">
        <v>25.523</v>
      </c>
      <c r="H419" s="129" t="n">
        <v>25.5734</v>
      </c>
      <c r="I419" s="130">
        <f>G419-H419</f>
        <v/>
      </c>
      <c r="J419" s="115">
        <f>_xlfn.TEXTJOIN("-",TRUE,B419,C419,D419)</f>
        <v/>
      </c>
      <c r="R419" s="184" t="n"/>
      <c r="S419" s="390">
        <f>_xlfn.TEXTJOIN("-",TRUE,K419,L419,M419)</f>
        <v/>
      </c>
      <c r="AB419" s="390">
        <f>_xlfn.TEXTJOIN("-",TRUE,T419,U419,V419)</f>
        <v/>
      </c>
      <c r="BB419" s="390">
        <f>_xlfn.TEXTJOIN("-",TRUE,AU419,AW419)</f>
        <v/>
      </c>
    </row>
    <row r="420" ht="13.8" customHeight="1" s="428">
      <c r="B420" s="143" t="inlineStr">
        <is>
          <t>215/75R17.5</t>
        </is>
      </c>
      <c r="C420" s="169" t="inlineStr">
        <is>
          <t>18PR</t>
        </is>
      </c>
      <c r="D420" s="126" t="inlineStr">
        <is>
          <t>HF1 Plus</t>
        </is>
      </c>
      <c r="E420" s="177" t="inlineStr">
        <is>
          <t>ID215/75R17.5-D C ID EA823</t>
        </is>
      </c>
      <c r="F420" s="128">
        <f>G420-1.325+1.623</f>
        <v/>
      </c>
      <c r="G420" s="131" t="n">
        <v>25.523</v>
      </c>
      <c r="H420" s="129" t="n">
        <v>25.5734</v>
      </c>
      <c r="I420" s="130">
        <f>G420-H420</f>
        <v/>
      </c>
      <c r="J420" s="115">
        <f>_xlfn.TEXTJOIN("-",TRUE,B420,C420,D420)</f>
        <v/>
      </c>
      <c r="R420" s="184" t="n"/>
      <c r="S420" s="390">
        <f>_xlfn.TEXTJOIN("-",TRUE,K420,L420,M420)</f>
        <v/>
      </c>
      <c r="AB420" s="390">
        <f>_xlfn.TEXTJOIN("-",TRUE,T420,U420,V420)</f>
        <v/>
      </c>
      <c r="BB420" s="390">
        <f>_xlfn.TEXTJOIN("-",TRUE,AU420,AW420)</f>
        <v/>
      </c>
    </row>
    <row r="421" ht="27.6" customHeight="1" s="428">
      <c r="B421" s="143" t="inlineStr">
        <is>
          <t>215/75R17.5</t>
        </is>
      </c>
      <c r="C421" s="169" t="inlineStr">
        <is>
          <t>18PR</t>
        </is>
      </c>
      <c r="D421" s="126" t="inlineStr">
        <is>
          <t>M-TRAC AP</t>
        </is>
      </c>
      <c r="E421" s="177" t="inlineStr">
        <is>
          <t>ID215/75R17.5-D C ID EA823</t>
        </is>
      </c>
      <c r="F421" s="128">
        <f>G421-1.325+1.623</f>
        <v/>
      </c>
      <c r="G421" s="131" t="n">
        <v>25.523</v>
      </c>
      <c r="H421" s="129" t="n">
        <v>25.5734</v>
      </c>
      <c r="I421" s="130">
        <f>G421-H421</f>
        <v/>
      </c>
      <c r="J421" s="115">
        <f>_xlfn.TEXTJOIN("-",TRUE,B421,C421,D421)</f>
        <v/>
      </c>
      <c r="R421" s="184" t="n"/>
      <c r="S421" s="390">
        <f>_xlfn.TEXTJOIN("-",TRUE,K421,L421,M421)</f>
        <v/>
      </c>
      <c r="AB421" s="390">
        <f>_xlfn.TEXTJOIN("-",TRUE,T421,U421,V421)</f>
        <v/>
      </c>
      <c r="BB421" s="390">
        <f>_xlfn.TEXTJOIN("-",TRUE,AU421,AW421)</f>
        <v/>
      </c>
    </row>
    <row r="422" ht="13.8" customHeight="1" s="428">
      <c r="B422" s="143" t="inlineStr">
        <is>
          <t>215/75R17.5</t>
        </is>
      </c>
      <c r="C422" s="169" t="inlineStr">
        <is>
          <t>18PR</t>
        </is>
      </c>
      <c r="D422" s="126" t="inlineStr">
        <is>
          <t>AP-7318</t>
        </is>
      </c>
      <c r="E422" s="177" t="inlineStr">
        <is>
          <t>ID215/75R17.5-D C ID EA823</t>
        </is>
      </c>
      <c r="F422" s="128">
        <f>G422-1.325+1.623</f>
        <v/>
      </c>
      <c r="G422" s="131" t="n">
        <v>25.523</v>
      </c>
      <c r="H422" s="129" t="n">
        <v>25.5734</v>
      </c>
      <c r="I422" s="130">
        <f>G422-H422</f>
        <v/>
      </c>
      <c r="J422" s="115">
        <f>_xlfn.TEXTJOIN("-",TRUE,B422,C422,D422)</f>
        <v/>
      </c>
      <c r="R422" s="184" t="n"/>
      <c r="S422" s="390">
        <f>_xlfn.TEXTJOIN("-",TRUE,K422,L422,M422)</f>
        <v/>
      </c>
      <c r="AB422" s="390">
        <f>_xlfn.TEXTJOIN("-",TRUE,T422,U422,V422)</f>
        <v/>
      </c>
      <c r="BB422" s="390">
        <f>_xlfn.TEXTJOIN("-",TRUE,AU422,AW422)</f>
        <v/>
      </c>
    </row>
    <row r="423" ht="27.6" customHeight="1" s="428">
      <c r="B423" s="143" t="inlineStr">
        <is>
          <t>215/75R17.5</t>
        </is>
      </c>
      <c r="C423" s="169" t="inlineStr">
        <is>
          <t>16PR</t>
        </is>
      </c>
      <c r="D423" s="177" t="inlineStr">
        <is>
          <t>CM986</t>
        </is>
      </c>
      <c r="E423" s="125" t="inlineStr">
        <is>
          <t>ID215/75R17.5-16PR-CM986 C ID EA823</t>
        </is>
      </c>
      <c r="F423" s="128">
        <f>G423-1.325+1.623</f>
        <v/>
      </c>
      <c r="G423" s="131" t="n">
        <v>25.442</v>
      </c>
      <c r="H423" s="129" t="n">
        <v>25.4923</v>
      </c>
      <c r="I423" s="130">
        <f>G423-H423</f>
        <v/>
      </c>
      <c r="J423" s="115">
        <f>_xlfn.TEXTJOIN("-",TRUE,B423,C423,D423)</f>
        <v/>
      </c>
      <c r="R423" s="184" t="n"/>
      <c r="S423" s="390">
        <f>_xlfn.TEXTJOIN("-",TRUE,K423,L423,M423)</f>
        <v/>
      </c>
      <c r="AB423" s="390">
        <f>_xlfn.TEXTJOIN("-",TRUE,T423,U423,V423)</f>
        <v/>
      </c>
      <c r="BB423" s="390">
        <f>_xlfn.TEXTJOIN("-",TRUE,AU423,AW423)</f>
        <v/>
      </c>
    </row>
    <row r="424" ht="13.8" customHeight="1" s="428">
      <c r="B424" s="143" t="inlineStr">
        <is>
          <t>215/75R17.5</t>
        </is>
      </c>
      <c r="C424" s="169" t="inlineStr">
        <is>
          <t>18PR</t>
        </is>
      </c>
      <c r="D424" s="177" t="inlineStr">
        <is>
          <t>CR960A</t>
        </is>
      </c>
      <c r="E424" s="125" t="inlineStr">
        <is>
          <t>215/75R17.5-18PR-E C ID EA823</t>
        </is>
      </c>
      <c r="F424" s="128">
        <f>G424-1.325+1.623</f>
        <v/>
      </c>
      <c r="G424" s="131" t="n">
        <v>24.356</v>
      </c>
      <c r="H424" s="129" t="n">
        <v>24.3273</v>
      </c>
      <c r="I424" s="130">
        <f>G424-H424</f>
        <v/>
      </c>
      <c r="J424" s="115">
        <f>_xlfn.TEXTJOIN("-",TRUE,B424,C424,D424)</f>
        <v/>
      </c>
      <c r="R424" s="184" t="n"/>
      <c r="S424" s="390">
        <f>_xlfn.TEXTJOIN("-",TRUE,K424,L424,M424)</f>
        <v/>
      </c>
      <c r="AB424" s="390">
        <f>_xlfn.TEXTJOIN("-",TRUE,T424,U424,V424)</f>
        <v/>
      </c>
      <c r="BB424" s="390">
        <f>_xlfn.TEXTJOIN("-",TRUE,AU424,AW424)</f>
        <v/>
      </c>
    </row>
    <row r="425" ht="27.6" customHeight="1" s="428">
      <c r="B425" s="206" t="n"/>
      <c r="C425" s="208" t="n"/>
      <c r="D425" s="178" t="n"/>
      <c r="E425" s="178" t="n"/>
      <c r="F425" s="135" t="n"/>
      <c r="G425" s="135" t="n"/>
      <c r="H425" s="138" t="n"/>
      <c r="I425" s="136" t="n"/>
      <c r="J425" s="115">
        <f>_xlfn.TEXTJOIN("-",TRUE,B425,C425,D425)</f>
        <v/>
      </c>
      <c r="R425" s="184" t="n"/>
      <c r="S425" s="390">
        <f>_xlfn.TEXTJOIN("-",TRUE,K425,L425,M425)</f>
        <v/>
      </c>
      <c r="AB425" s="390">
        <f>_xlfn.TEXTJOIN("-",TRUE,T425,U425,V425)</f>
        <v/>
      </c>
      <c r="BB425" s="390">
        <f>_xlfn.TEXTJOIN("-",TRUE,AU425,AW425)</f>
        <v/>
      </c>
    </row>
    <row r="426" ht="13.8" customHeight="1" s="428">
      <c r="B426" s="143" t="inlineStr">
        <is>
          <t>225/70R19.5</t>
        </is>
      </c>
      <c r="C426" s="169" t="inlineStr">
        <is>
          <t>14PR</t>
        </is>
      </c>
      <c r="D426" s="177" t="inlineStr">
        <is>
          <t>AZ599</t>
        </is>
      </c>
      <c r="E426" s="125" t="inlineStr">
        <is>
          <t>225/70R19.5-14PR-C US ID</t>
        </is>
      </c>
      <c r="F426" s="131">
        <f>G426-2.079+2.079</f>
        <v/>
      </c>
      <c r="G426" s="131" t="n">
        <v>29.461</v>
      </c>
      <c r="H426" s="129" t="n">
        <v>29.3245</v>
      </c>
      <c r="I426" s="130">
        <f>G426-H426</f>
        <v/>
      </c>
      <c r="J426" s="115">
        <f>_xlfn.TEXTJOIN("-",TRUE,B426,C426,D426)</f>
        <v/>
      </c>
      <c r="R426" s="184" t="n"/>
      <c r="S426" s="390">
        <f>_xlfn.TEXTJOIN("-",TRUE,K426,L426,M426)</f>
        <v/>
      </c>
      <c r="AB426" s="390">
        <f>_xlfn.TEXTJOIN("-",TRUE,T426,U426,V426)</f>
        <v/>
      </c>
      <c r="BB426" s="390">
        <f>_xlfn.TEXTJOIN("-",TRUE,AU426,AW426)</f>
        <v/>
      </c>
    </row>
    <row r="427" ht="13.8" customHeight="1" s="428">
      <c r="B427" s="143" t="inlineStr">
        <is>
          <t>225/70R19.5</t>
        </is>
      </c>
      <c r="C427" s="169" t="inlineStr">
        <is>
          <t>14PR</t>
        </is>
      </c>
      <c r="D427" s="177" t="inlineStr">
        <is>
          <t>I-19A</t>
        </is>
      </c>
      <c r="E427" s="125" t="inlineStr">
        <is>
          <t>225/70R19.5-14PR-C US ID</t>
        </is>
      </c>
      <c r="F427" s="131">
        <f>G427-2.079+2.079</f>
        <v/>
      </c>
      <c r="G427" s="131" t="n">
        <v>29.461</v>
      </c>
      <c r="H427" s="129" t="n">
        <v>29.3245</v>
      </c>
      <c r="I427" s="130">
        <f>G427-H427</f>
        <v/>
      </c>
      <c r="J427" s="115">
        <f>_xlfn.TEXTJOIN("-",TRUE,B427,C427,D427)</f>
        <v/>
      </c>
      <c r="R427" s="184" t="n"/>
      <c r="S427" s="390">
        <f>_xlfn.TEXTJOIN("-",TRUE,K427,L427,M427)</f>
        <v/>
      </c>
      <c r="AB427" s="390">
        <f>_xlfn.TEXTJOIN("-",TRUE,T427,U427,V427)</f>
        <v/>
      </c>
      <c r="BB427" s="390">
        <f>_xlfn.TEXTJOIN("-",TRUE,AU427,AW427)</f>
        <v/>
      </c>
    </row>
    <row r="428" ht="13.8" customHeight="1" s="428">
      <c r="B428" s="143" t="inlineStr">
        <is>
          <t>225/70R19.5</t>
        </is>
      </c>
      <c r="C428" s="169" t="inlineStr">
        <is>
          <t>14PR</t>
        </is>
      </c>
      <c r="D428" s="177" t="inlineStr">
        <is>
          <t>HF1 Plus</t>
        </is>
      </c>
      <c r="E428" s="125" t="inlineStr">
        <is>
          <t>225/70R19.5-14PR-C US ID</t>
        </is>
      </c>
      <c r="F428" s="131">
        <f>G428-2.079+2.079</f>
        <v/>
      </c>
      <c r="G428" s="131" t="n">
        <v>29.461</v>
      </c>
      <c r="H428" s="129" t="n">
        <v>29.3245</v>
      </c>
      <c r="I428" s="130">
        <f>G428-H428</f>
        <v/>
      </c>
      <c r="J428" s="115">
        <f>_xlfn.TEXTJOIN("-",TRUE,B428,C428,D428)</f>
        <v/>
      </c>
      <c r="R428" s="184" t="n"/>
      <c r="S428" s="390">
        <f>_xlfn.TEXTJOIN("-",TRUE,K428,L428,M428)</f>
        <v/>
      </c>
      <c r="AB428" s="390">
        <f>_xlfn.TEXTJOIN("-",TRUE,T428,U428,V428)</f>
        <v/>
      </c>
      <c r="BB428" s="390">
        <f>_xlfn.TEXTJOIN("-",TRUE,AU428,AW428)</f>
        <v/>
      </c>
    </row>
    <row r="429" ht="13.8" customHeight="1" s="428">
      <c r="B429" s="143" t="inlineStr">
        <is>
          <t>225/70R19.5</t>
        </is>
      </c>
      <c r="C429" s="169" t="inlineStr">
        <is>
          <t>14PR</t>
        </is>
      </c>
      <c r="D429" s="177" t="inlineStr">
        <is>
          <t>M-TRAC AP</t>
        </is>
      </c>
      <c r="E429" s="125" t="inlineStr">
        <is>
          <t>225/70R19.5-14PR-C US ID</t>
        </is>
      </c>
      <c r="F429" s="131">
        <f>G429-2.079+2.079</f>
        <v/>
      </c>
      <c r="G429" s="131" t="n">
        <v>29.461</v>
      </c>
      <c r="H429" s="129" t="n">
        <v>29.3245</v>
      </c>
      <c r="I429" s="130">
        <f>G429-H429</f>
        <v/>
      </c>
      <c r="J429" s="115">
        <f>_xlfn.TEXTJOIN("-",TRUE,B429,C429,D429)</f>
        <v/>
      </c>
      <c r="R429" s="184" t="n"/>
      <c r="S429" s="390">
        <f>_xlfn.TEXTJOIN("-",TRUE,K429,L429,M429)</f>
        <v/>
      </c>
      <c r="AB429" s="390">
        <f>_xlfn.TEXTJOIN("-",TRUE,T429,U429,V429)</f>
        <v/>
      </c>
      <c r="BB429" s="390">
        <f>_xlfn.TEXTJOIN("-",TRUE,AU429,AW429)</f>
        <v/>
      </c>
    </row>
    <row r="430">
      <c r="B430" s="143" t="inlineStr">
        <is>
          <t>225/70R19.5</t>
        </is>
      </c>
      <c r="C430" s="169" t="inlineStr">
        <is>
          <t>14PR</t>
        </is>
      </c>
      <c r="D430" s="177" t="inlineStr">
        <is>
          <t>AP-7318</t>
        </is>
      </c>
      <c r="E430" s="125" t="inlineStr">
        <is>
          <t>225/70R19.5-14PR-C US ID</t>
        </is>
      </c>
      <c r="F430" s="131">
        <f>G430-2.079+2.079</f>
        <v/>
      </c>
      <c r="G430" s="131" t="n">
        <v>29.461</v>
      </c>
      <c r="H430" s="129" t="n">
        <v>29.3245</v>
      </c>
      <c r="I430" s="130">
        <f>G430-H430</f>
        <v/>
      </c>
      <c r="J430" s="115">
        <f>_xlfn.TEXTJOIN("-",TRUE,B430,C430,D430)</f>
        <v/>
      </c>
      <c r="R430" s="184" t="n"/>
      <c r="S430" s="390">
        <f>_xlfn.TEXTJOIN("-",TRUE,K430,L430,M430)</f>
        <v/>
      </c>
      <c r="AB430" s="390">
        <f>_xlfn.TEXTJOIN("-",TRUE,T430,U430,V430)</f>
        <v/>
      </c>
      <c r="BB430" s="390">
        <f>_xlfn.TEXTJOIN("-",TRUE,AU430,AW430)</f>
        <v/>
      </c>
    </row>
    <row r="431">
      <c r="B431" s="143" t="inlineStr">
        <is>
          <t>225/70R19.5</t>
        </is>
      </c>
      <c r="C431" s="169" t="inlineStr">
        <is>
          <t>14PR</t>
        </is>
      </c>
      <c r="D431" s="177" t="inlineStr">
        <is>
          <t>CM986</t>
        </is>
      </c>
      <c r="E431" s="177" t="inlineStr">
        <is>
          <t>225/70R19.5-14PR-CM986 US ID</t>
        </is>
      </c>
      <c r="F431" s="131">
        <f>G431-2.079+2.079</f>
        <v/>
      </c>
      <c r="G431" s="131" t="n">
        <v>29.876</v>
      </c>
      <c r="H431" s="129" t="n">
        <v>29.9145</v>
      </c>
      <c r="I431" s="130">
        <f>G431-H431</f>
        <v/>
      </c>
      <c r="J431" s="115">
        <f>_xlfn.TEXTJOIN("-",TRUE,B431,C431,D431)</f>
        <v/>
      </c>
      <c r="R431" s="184" t="n"/>
      <c r="S431" s="390">
        <f>_xlfn.TEXTJOIN("-",TRUE,K431,L431,M431)</f>
        <v/>
      </c>
      <c r="AB431" s="390">
        <f>_xlfn.TEXTJOIN("-",TRUE,T431,U431,V431)</f>
        <v/>
      </c>
      <c r="BB431" s="390">
        <f>_xlfn.TEXTJOIN("-",TRUE,AU431,AW431)</f>
        <v/>
      </c>
    </row>
    <row r="432" ht="13.8" customHeight="1" s="428">
      <c r="B432" s="143" t="inlineStr">
        <is>
          <t>225/70R19.5</t>
        </is>
      </c>
      <c r="C432" s="169" t="inlineStr">
        <is>
          <t>14PR</t>
        </is>
      </c>
      <c r="D432" s="177" t="inlineStr">
        <is>
          <t>CR960A</t>
        </is>
      </c>
      <c r="E432" s="125" t="inlineStr">
        <is>
          <t>225/70R19.5-14PR-A US ID</t>
        </is>
      </c>
      <c r="F432" s="131">
        <f>G432-2.079+2.079</f>
        <v/>
      </c>
      <c r="G432" s="131" t="n">
        <v>28.93</v>
      </c>
      <c r="H432" s="129" t="n">
        <v>28.9695</v>
      </c>
      <c r="I432" s="130">
        <f>G432-H432</f>
        <v/>
      </c>
      <c r="J432" s="115">
        <f>_xlfn.TEXTJOIN("-",TRUE,B432,C432,D432)</f>
        <v/>
      </c>
      <c r="R432" s="184" t="n"/>
      <c r="S432" s="390">
        <f>_xlfn.TEXTJOIN("-",TRUE,K432,L432,M432)</f>
        <v/>
      </c>
      <c r="AB432" s="390">
        <f>_xlfn.TEXTJOIN("-",TRUE,T432,U432,V432)</f>
        <v/>
      </c>
      <c r="BB432" s="390">
        <f>_xlfn.TEXTJOIN("-",TRUE,AU432,AW432)</f>
        <v/>
      </c>
    </row>
    <row r="433" ht="27.6" customHeight="1" s="428">
      <c r="B433" s="143" t="inlineStr">
        <is>
          <t>225/70R19.5</t>
        </is>
      </c>
      <c r="C433" s="169" t="inlineStr">
        <is>
          <t>14PR</t>
        </is>
      </c>
      <c r="D433" s="177" t="inlineStr">
        <is>
          <t>CR976A</t>
        </is>
      </c>
      <c r="E433" s="125" t="inlineStr">
        <is>
          <t>225/70R19.5-14PR-A US ID</t>
        </is>
      </c>
      <c r="F433" s="131">
        <f>G433-2.079+2.079</f>
        <v/>
      </c>
      <c r="G433" s="131" t="n">
        <v>28.93</v>
      </c>
      <c r="H433" s="129" t="n">
        <v>28.9695</v>
      </c>
      <c r="I433" s="130">
        <f>G433-H433</f>
        <v/>
      </c>
      <c r="J433" s="115">
        <f>_xlfn.TEXTJOIN("-",TRUE,B433,C433,D433)</f>
        <v/>
      </c>
      <c r="N433" s="184" t="n"/>
      <c r="O433" s="184" t="n"/>
      <c r="P433" s="184" t="n"/>
      <c r="Q433" s="184" t="n"/>
      <c r="R433" s="184" t="n"/>
      <c r="S433" s="390">
        <f>_xlfn.TEXTJOIN("-",TRUE,K433,L433,M433)</f>
        <v/>
      </c>
      <c r="AB433" s="390">
        <f>_xlfn.TEXTJOIN("-",TRUE,T433,U433,V433)</f>
        <v/>
      </c>
      <c r="BB433" s="390">
        <f>_xlfn.TEXTJOIN("-",TRUE,AU433,AW433)</f>
        <v/>
      </c>
    </row>
    <row r="434">
      <c r="B434" s="143" t="inlineStr">
        <is>
          <t>225/70R19.5</t>
        </is>
      </c>
      <c r="C434" s="169" t="inlineStr">
        <is>
          <t>14PR</t>
        </is>
      </c>
      <c r="D434" s="177" t="inlineStr">
        <is>
          <t>RLINE-A1</t>
        </is>
      </c>
      <c r="E434" s="125" t="inlineStr">
        <is>
          <t>225/70R19.5-14PR-A US ID</t>
        </is>
      </c>
      <c r="F434" s="131">
        <f>G434-2.079+2.079</f>
        <v/>
      </c>
      <c r="G434" s="131" t="n">
        <v>28.93</v>
      </c>
      <c r="H434" s="129" t="n">
        <v>28.9695</v>
      </c>
      <c r="I434" s="130">
        <f>G434-H434</f>
        <v/>
      </c>
      <c r="J434" s="115">
        <f>_xlfn.TEXTJOIN("-",TRUE,B434,C434,D434)</f>
        <v/>
      </c>
      <c r="N434" s="184" t="n"/>
      <c r="O434" s="184" t="n"/>
      <c r="P434" s="184" t="n"/>
      <c r="Q434" s="184" t="n"/>
      <c r="R434" s="184" t="n"/>
      <c r="S434" s="390">
        <f>_xlfn.TEXTJOIN("-",TRUE,K434,L434,M434)</f>
        <v/>
      </c>
      <c r="AB434" s="390">
        <f>_xlfn.TEXTJOIN("-",TRUE,T434,U434,V434)</f>
        <v/>
      </c>
      <c r="BB434" s="390">
        <f>_xlfn.TEXTJOIN("-",TRUE,AU434,AW434)</f>
        <v/>
      </c>
    </row>
    <row r="435">
      <c r="B435" s="143" t="inlineStr">
        <is>
          <t>225/70R19.5</t>
        </is>
      </c>
      <c r="C435" s="169" t="inlineStr">
        <is>
          <t>14PR</t>
        </is>
      </c>
      <c r="D435" s="177" t="inlineStr">
        <is>
          <t>DA24</t>
        </is>
      </c>
      <c r="E435" s="177" t="inlineStr">
        <is>
          <t>225/70R19.5-14PR-DA24 US ID</t>
        </is>
      </c>
      <c r="F435" s="131">
        <f>G435-2.079+2.079</f>
        <v/>
      </c>
      <c r="G435" s="131" t="n">
        <v>31.18</v>
      </c>
      <c r="H435" s="129" t="n">
        <v>31.2752</v>
      </c>
      <c r="I435" s="130">
        <f>G435-H435</f>
        <v/>
      </c>
      <c r="J435" s="115">
        <f>_xlfn.TEXTJOIN("-",TRUE,B435,C435,D435)</f>
        <v/>
      </c>
      <c r="K435" s="184" t="n"/>
      <c r="L435" s="184" t="n"/>
      <c r="M435" s="184" t="n"/>
      <c r="N435" s="184" t="n"/>
      <c r="O435" s="184" t="n"/>
      <c r="P435" s="184" t="n"/>
      <c r="Q435" s="184" t="n"/>
      <c r="R435" s="184" t="n"/>
      <c r="S435" s="390">
        <f>_xlfn.TEXTJOIN("-",TRUE,K435,L435,M435)</f>
        <v/>
      </c>
      <c r="AB435" s="390">
        <f>_xlfn.TEXTJOIN("-",TRUE,T435,U435,V435)</f>
        <v/>
      </c>
      <c r="BB435" s="390">
        <f>_xlfn.TEXTJOIN("-",TRUE,AU435,AW435)</f>
        <v/>
      </c>
    </row>
    <row r="436">
      <c r="B436" s="143" t="inlineStr">
        <is>
          <t>225/70R19.5</t>
        </is>
      </c>
      <c r="C436" s="169" t="inlineStr">
        <is>
          <t>14PR</t>
        </is>
      </c>
      <c r="D436" s="177" t="inlineStr">
        <is>
          <t>ZA15</t>
        </is>
      </c>
      <c r="E436" s="125" t="inlineStr">
        <is>
          <t>225/70R19.5-14PR-VZA US ID</t>
        </is>
      </c>
      <c r="F436" s="131">
        <f>G436-2.079+2.079</f>
        <v/>
      </c>
      <c r="G436" s="131" t="n">
        <v>30.81</v>
      </c>
      <c r="H436" s="129" t="n">
        <v>30.9019</v>
      </c>
      <c r="I436" s="130">
        <f>G436-H436</f>
        <v/>
      </c>
      <c r="J436" s="115">
        <f>_xlfn.TEXTJOIN("-",TRUE,B436,C436,D436)</f>
        <v/>
      </c>
      <c r="K436" s="184" t="n"/>
      <c r="L436" s="184" t="n"/>
      <c r="M436" s="184" t="n"/>
      <c r="N436" s="184" t="n"/>
      <c r="O436" s="184" t="n"/>
      <c r="P436" s="184" t="n"/>
      <c r="Q436" s="184" t="n"/>
      <c r="R436" s="184" t="n"/>
      <c r="AB436" s="390">
        <f>_xlfn.TEXTJOIN("-",TRUE,T436,U436,V436)</f>
        <v/>
      </c>
      <c r="BB436" s="390">
        <f>_xlfn.TEXTJOIN("-",TRUE,AU436,AW436)</f>
        <v/>
      </c>
    </row>
    <row r="437" ht="13.8" customHeight="1" s="428">
      <c r="B437" s="143" t="inlineStr">
        <is>
          <t>225/70R19.5</t>
        </is>
      </c>
      <c r="C437" s="169" t="inlineStr">
        <is>
          <t>14PR</t>
        </is>
      </c>
      <c r="D437" s="177" t="inlineStr">
        <is>
          <t>VA933</t>
        </is>
      </c>
      <c r="E437" s="125" t="inlineStr">
        <is>
          <t>225/70R19.5-14PR-VZA US ID</t>
        </is>
      </c>
      <c r="F437" s="131">
        <f>G437-2.079+2.079</f>
        <v/>
      </c>
      <c r="G437" s="131" t="n">
        <v>30.81</v>
      </c>
      <c r="H437" s="129" t="n">
        <v>30.9019</v>
      </c>
      <c r="I437" s="130">
        <f>G437-H437</f>
        <v/>
      </c>
      <c r="J437" s="115">
        <f>_xlfn.TEXTJOIN("-",TRUE,B437,C437,D437)</f>
        <v/>
      </c>
      <c r="K437" s="184" t="n"/>
      <c r="L437" s="184" t="n"/>
      <c r="M437" s="184" t="n"/>
      <c r="N437" s="184" t="n"/>
      <c r="O437" s="184" t="n"/>
      <c r="P437" s="184" t="n"/>
      <c r="Q437" s="184" t="n"/>
      <c r="R437" s="184" t="n"/>
      <c r="BB437" s="390">
        <f>_xlfn.TEXTJOIN("-",TRUE,AU437,AW437)</f>
        <v/>
      </c>
    </row>
    <row r="438" ht="13.8" customHeight="1" s="428">
      <c r="B438" s="143" t="inlineStr">
        <is>
          <t>225/70R19.5</t>
        </is>
      </c>
      <c r="C438" s="169" t="inlineStr">
        <is>
          <t>14PR</t>
        </is>
      </c>
      <c r="D438" s="177" t="inlineStr">
        <is>
          <t>H-RA</t>
        </is>
      </c>
      <c r="E438" s="177" t="inlineStr">
        <is>
          <t>225/70R19.5-14PR-H-RA US ID</t>
        </is>
      </c>
      <c r="F438" s="131">
        <f>G438-2.079+2.079</f>
        <v/>
      </c>
      <c r="G438" s="131" t="n">
        <v>28.65</v>
      </c>
      <c r="H438" s="129" t="n">
        <v>28.5645</v>
      </c>
      <c r="I438" s="130">
        <f>G438-H438</f>
        <v/>
      </c>
      <c r="J438" s="115">
        <f>_xlfn.TEXTJOIN("-",TRUE,B438,C438,D438)</f>
        <v/>
      </c>
      <c r="K438" s="184" t="n"/>
      <c r="L438" s="184" t="n"/>
      <c r="M438" s="184" t="n"/>
      <c r="N438" s="184" t="n"/>
      <c r="O438" s="184" t="n"/>
      <c r="P438" s="184" t="n"/>
      <c r="Q438" s="184" t="n"/>
      <c r="R438" s="184" t="n"/>
      <c r="BB438" s="390">
        <f>_xlfn.TEXTJOIN("-",TRUE,AU438,AW438)</f>
        <v/>
      </c>
    </row>
    <row r="439">
      <c r="B439" s="143" t="inlineStr">
        <is>
          <t>225/70R19.5</t>
        </is>
      </c>
      <c r="C439" s="169" t="inlineStr">
        <is>
          <t>14PR</t>
        </is>
      </c>
      <c r="D439" s="177" t="inlineStr">
        <is>
          <t>I-37D</t>
        </is>
      </c>
      <c r="E439" s="177" t="inlineStr">
        <is>
          <t>225/70R19.5-14PR-I-37D US ID</t>
        </is>
      </c>
      <c r="F439" s="131">
        <f>G439-2.079+2.079</f>
        <v/>
      </c>
      <c r="G439" s="131" t="n">
        <v>30.652</v>
      </c>
      <c r="H439" s="129" t="n">
        <v>30.4673</v>
      </c>
      <c r="I439" s="130">
        <f>G439-H439</f>
        <v/>
      </c>
      <c r="J439" s="115">
        <f>_xlfn.TEXTJOIN("-",TRUE,B439,C439,D439)</f>
        <v/>
      </c>
      <c r="K439" s="184" t="n"/>
      <c r="L439" s="184" t="n"/>
      <c r="M439" s="184" t="n"/>
      <c r="N439" s="184" t="n"/>
      <c r="O439" s="184" t="n"/>
      <c r="P439" s="184" t="n"/>
      <c r="Q439" s="184" t="n"/>
      <c r="R439" s="184" t="n"/>
      <c r="BB439" s="390">
        <f>_xlfn.TEXTJOIN("-",TRUE,AU439,AW439)</f>
        <v/>
      </c>
    </row>
    <row r="440">
      <c r="B440" s="143" t="inlineStr">
        <is>
          <t>225/70R19.5</t>
        </is>
      </c>
      <c r="C440" s="169" t="inlineStr">
        <is>
          <t>14PR</t>
        </is>
      </c>
      <c r="D440" s="177" t="inlineStr">
        <is>
          <t>AD717</t>
        </is>
      </c>
      <c r="E440" s="125" t="inlineStr">
        <is>
          <t>225/70R19.5-14PR-D US ID</t>
        </is>
      </c>
      <c r="F440" s="131">
        <f>G440-2.079+2.079</f>
        <v/>
      </c>
      <c r="G440" s="131" t="n">
        <v>30.845</v>
      </c>
      <c r="H440" s="129" t="n">
        <v>30.8187</v>
      </c>
      <c r="I440" s="130">
        <f>G440-H440</f>
        <v/>
      </c>
      <c r="J440" s="115">
        <f>_xlfn.TEXTJOIN("-",TRUE,B440,C440,D440)</f>
        <v/>
      </c>
      <c r="K440" s="184" t="n"/>
      <c r="L440" s="184" t="n"/>
      <c r="M440" s="184" t="n"/>
      <c r="N440" s="184" t="n"/>
      <c r="O440" s="184" t="n"/>
      <c r="P440" s="184" t="n"/>
      <c r="Q440" s="184" t="n"/>
      <c r="R440" s="184" t="n"/>
      <c r="BB440" s="390">
        <f>_xlfn.TEXTJOIN("-",TRUE,AU440,AW440)</f>
        <v/>
      </c>
    </row>
    <row r="441" ht="13.8" customHeight="1" s="428">
      <c r="B441" s="143" t="inlineStr">
        <is>
          <t>225/70R19.5</t>
        </is>
      </c>
      <c r="C441" s="169" t="inlineStr">
        <is>
          <t>14PR</t>
        </is>
      </c>
      <c r="D441" s="177" t="inlineStr">
        <is>
          <t>AW717</t>
        </is>
      </c>
      <c r="E441" s="125" t="inlineStr">
        <is>
          <t>225/70R19.5-14PR-D US ID</t>
        </is>
      </c>
      <c r="F441" s="131">
        <f>G441-2.079+2.079</f>
        <v/>
      </c>
      <c r="G441" s="131" t="n">
        <v>30.845</v>
      </c>
      <c r="H441" s="129" t="n">
        <v>30.8187</v>
      </c>
      <c r="I441" s="130">
        <f>G441-H441</f>
        <v/>
      </c>
      <c r="J441" s="115">
        <f>_xlfn.TEXTJOIN("-",TRUE,B441,C441,D441)</f>
        <v/>
      </c>
      <c r="K441" s="184" t="n"/>
      <c r="L441" s="184" t="n"/>
      <c r="M441" s="184" t="n"/>
      <c r="N441" s="184" t="n"/>
      <c r="O441" s="184" t="n"/>
      <c r="P441" s="184" t="n"/>
      <c r="Q441" s="184" t="n"/>
      <c r="R441" s="184" t="n"/>
      <c r="BB441" s="390">
        <f>_xlfn.TEXTJOIN("-",TRUE,AU441,AW441)</f>
        <v/>
      </c>
    </row>
    <row r="442" ht="13.8" customHeight="1" s="428">
      <c r="B442" s="143" t="inlineStr">
        <is>
          <t>225/70R19.5</t>
        </is>
      </c>
      <c r="C442" s="169" t="inlineStr">
        <is>
          <t>14PR</t>
        </is>
      </c>
      <c r="D442" s="177" t="inlineStr">
        <is>
          <t>M-TRAC HTD</t>
        </is>
      </c>
      <c r="E442" s="125" t="inlineStr">
        <is>
          <t>225/70R19.5-14PR-D US ID</t>
        </is>
      </c>
      <c r="F442" s="131">
        <f>G442-2.079+2.079</f>
        <v/>
      </c>
      <c r="G442" s="131" t="n">
        <v>30.845</v>
      </c>
      <c r="H442" s="129" t="n">
        <v>30.8187</v>
      </c>
      <c r="I442" s="130">
        <f>G442-H442</f>
        <v/>
      </c>
      <c r="J442" s="115">
        <f>_xlfn.TEXTJOIN("-",TRUE,B442,C442,D442)</f>
        <v/>
      </c>
      <c r="K442" s="184" t="n"/>
      <c r="L442" s="184" t="n"/>
      <c r="M442" s="184" t="n"/>
      <c r="N442" s="184" t="n"/>
      <c r="O442" s="184" t="n"/>
      <c r="P442" s="184" t="n"/>
      <c r="Q442" s="184" t="n"/>
      <c r="R442" s="184" t="n"/>
      <c r="BB442" s="390">
        <f>_xlfn.TEXTJOIN("-",TRUE,AU442,AW442)</f>
        <v/>
      </c>
    </row>
    <row r="443" ht="13.8" customHeight="1" s="428">
      <c r="B443" s="143" t="inlineStr">
        <is>
          <t>225/70R19.5</t>
        </is>
      </c>
      <c r="C443" s="169" t="inlineStr">
        <is>
          <t>14PR</t>
        </is>
      </c>
      <c r="D443" s="177" t="inlineStr">
        <is>
          <t>HD3 Plus</t>
        </is>
      </c>
      <c r="E443" s="125" t="inlineStr">
        <is>
          <t>225/70R19.5-14PR-D US ID</t>
        </is>
      </c>
      <c r="F443" s="131">
        <f>G443-2.079+2.079</f>
        <v/>
      </c>
      <c r="G443" s="131" t="n">
        <v>30.845</v>
      </c>
      <c r="H443" s="129" t="n">
        <v>30.8187</v>
      </c>
      <c r="I443" s="130">
        <f>G443-H443</f>
        <v/>
      </c>
      <c r="J443" s="115">
        <f>_xlfn.TEXTJOIN("-",TRUE,B443,C443,D443)</f>
        <v/>
      </c>
      <c r="K443" s="184" t="n"/>
      <c r="L443" s="184" t="n"/>
      <c r="M443" s="184" t="n"/>
      <c r="N443" s="184" t="n"/>
      <c r="O443" s="184" t="n"/>
      <c r="P443" s="184" t="n"/>
      <c r="Q443" s="184" t="n"/>
      <c r="R443" s="184" t="n"/>
      <c r="BB443" s="390">
        <f>_xlfn.TEXTJOIN("-",TRUE,AU443,AW443)</f>
        <v/>
      </c>
    </row>
    <row r="444" ht="13.8" customHeight="1" s="428">
      <c r="B444" s="143" t="inlineStr">
        <is>
          <t>225/70R19.5</t>
        </is>
      </c>
      <c r="C444" s="169" t="inlineStr">
        <is>
          <t>14PR</t>
        </is>
      </c>
      <c r="D444" s="177" t="inlineStr">
        <is>
          <t>DR-7318</t>
        </is>
      </c>
      <c r="E444" s="125" t="inlineStr">
        <is>
          <t>225/70R19.5-14PR-D US ID</t>
        </is>
      </c>
      <c r="F444" s="131">
        <f>G444-2.079+2.079</f>
        <v/>
      </c>
      <c r="G444" s="131" t="n">
        <v>30.845</v>
      </c>
      <c r="H444" s="129" t="n">
        <v>30.8187</v>
      </c>
      <c r="I444" s="130">
        <f>G444-H444</f>
        <v/>
      </c>
      <c r="J444" s="115">
        <f>_xlfn.TEXTJOIN("-",TRUE,B444,C444,D444)</f>
        <v/>
      </c>
      <c r="K444" s="184" t="n"/>
      <c r="L444" s="184" t="n"/>
      <c r="M444" s="184" t="n"/>
      <c r="N444" s="184" t="n"/>
      <c r="O444" s="184" t="n"/>
      <c r="P444" s="184" t="n"/>
      <c r="Q444" s="184" t="n"/>
      <c r="R444" s="184" t="n"/>
      <c r="BB444" s="390">
        <f>_xlfn.TEXTJOIN("-",TRUE,AU444,AW444)</f>
        <v/>
      </c>
    </row>
    <row r="445">
      <c r="B445" s="143" t="inlineStr">
        <is>
          <t>225/70R19.5</t>
        </is>
      </c>
      <c r="C445" s="169" t="inlineStr">
        <is>
          <t>14PR</t>
        </is>
      </c>
      <c r="D445" s="177" t="inlineStr">
        <is>
          <t>AD778</t>
        </is>
      </c>
      <c r="E445" s="177" t="inlineStr">
        <is>
          <t>225/70R19.5-14PR-AD778 US ID</t>
        </is>
      </c>
      <c r="F445" s="131">
        <f>G445-2.079+2.079</f>
        <v/>
      </c>
      <c r="G445" s="131" t="n">
        <v>30.29</v>
      </c>
      <c r="H445" s="129" t="n">
        <v>30.3151</v>
      </c>
      <c r="I445" s="130">
        <f>G445-H445</f>
        <v/>
      </c>
      <c r="J445" s="115">
        <f>_xlfn.TEXTJOIN("-",TRUE,B445,C445,D445)</f>
        <v/>
      </c>
      <c r="K445" s="184" t="n"/>
      <c r="L445" s="184" t="n"/>
      <c r="M445" s="184" t="n"/>
      <c r="N445" s="184" t="n"/>
      <c r="O445" s="184" t="n"/>
      <c r="P445" s="184" t="n"/>
      <c r="Q445" s="184" t="n"/>
      <c r="R445" s="184" t="n"/>
      <c r="BB445" s="390">
        <f>_xlfn.TEXTJOIN("-",TRUE,AU445,AW445)</f>
        <v/>
      </c>
    </row>
    <row r="446">
      <c r="B446" s="143" t="inlineStr">
        <is>
          <t>225/70R19.5</t>
        </is>
      </c>
      <c r="C446" s="169" t="inlineStr">
        <is>
          <t>14PR</t>
        </is>
      </c>
      <c r="D446" s="177" t="inlineStr">
        <is>
          <t>AS673</t>
        </is>
      </c>
      <c r="E446" s="177" t="inlineStr">
        <is>
          <t>225/70R19.5-14PR-AS673 US ID</t>
        </is>
      </c>
      <c r="F446" s="131">
        <f>G446-2.079+2.079</f>
        <v/>
      </c>
      <c r="G446" s="131" t="n">
        <v>29.11</v>
      </c>
      <c r="H446" s="129" t="n">
        <v>29.1356</v>
      </c>
      <c r="I446" s="130">
        <f>G446-H446</f>
        <v/>
      </c>
      <c r="J446" s="115">
        <f>_xlfn.TEXTJOIN("-",TRUE,B446,C446,D446)</f>
        <v/>
      </c>
      <c r="K446" s="184" t="n"/>
      <c r="L446" s="184" t="n"/>
      <c r="M446" s="184" t="n"/>
      <c r="N446" s="184" t="n"/>
      <c r="O446" s="184" t="n"/>
      <c r="P446" s="184" t="n"/>
      <c r="Q446" s="184" t="n"/>
      <c r="R446" s="184" t="n"/>
      <c r="BB446" s="390">
        <f>_xlfn.TEXTJOIN("-",TRUE,AU446,AW446)</f>
        <v/>
      </c>
    </row>
    <row r="447">
      <c r="B447" s="143" t="inlineStr">
        <is>
          <t>225/70R19.5</t>
        </is>
      </c>
      <c r="C447" s="169" t="inlineStr">
        <is>
          <t>14PR</t>
        </is>
      </c>
      <c r="D447" s="177" t="inlineStr">
        <is>
          <t>I-208</t>
        </is>
      </c>
      <c r="E447" s="177" t="inlineStr">
        <is>
          <t>225/70R19.5-14PR-ICM US ID</t>
        </is>
      </c>
      <c r="F447" s="131">
        <f>G447-2.079+2.079</f>
        <v/>
      </c>
      <c r="G447" s="131" t="n">
        <v>29.768</v>
      </c>
      <c r="H447" s="129" t="n">
        <v>29.79</v>
      </c>
      <c r="I447" s="130">
        <f>G447-H447</f>
        <v/>
      </c>
      <c r="J447" s="115">
        <f>_xlfn.TEXTJOIN("-",TRUE,B447,C447,D447)</f>
        <v/>
      </c>
      <c r="K447" s="184" t="n"/>
      <c r="L447" s="184" t="n"/>
      <c r="M447" s="184" t="n"/>
      <c r="N447" s="184" t="n"/>
      <c r="O447" s="184" t="n"/>
      <c r="P447" s="184" t="n"/>
      <c r="Q447" s="184" t="n"/>
      <c r="R447" s="184" t="n"/>
      <c r="BB447" s="390">
        <f>_xlfn.TEXTJOIN("-",TRUE,AU447,AW447)</f>
        <v/>
      </c>
    </row>
    <row r="448">
      <c r="B448" s="143" t="inlineStr">
        <is>
          <t>225/70R19.5</t>
        </is>
      </c>
      <c r="C448" s="169" t="inlineStr">
        <is>
          <t>14PR</t>
        </is>
      </c>
      <c r="D448" s="177" t="inlineStr">
        <is>
          <t>CM983</t>
        </is>
      </c>
      <c r="E448" s="177" t="inlineStr">
        <is>
          <t>225/70R19.5-14PR-ICM US ID</t>
        </is>
      </c>
      <c r="F448" s="131">
        <f>G448-2.079+2.079</f>
        <v/>
      </c>
      <c r="G448" s="131" t="n">
        <v>29.768</v>
      </c>
      <c r="H448" s="129" t="n">
        <v>29.79</v>
      </c>
      <c r="I448" s="130">
        <f>G448-H448</f>
        <v/>
      </c>
      <c r="J448" s="115">
        <f>_xlfn.TEXTJOIN("-",TRUE,B448,C448,D448)</f>
        <v/>
      </c>
      <c r="K448" s="184" t="n"/>
      <c r="L448" s="184" t="n"/>
      <c r="M448" s="184" t="n"/>
      <c r="N448" s="184" t="n"/>
      <c r="O448" s="184" t="n"/>
      <c r="P448" s="184" t="n"/>
      <c r="Q448" s="184" t="n"/>
      <c r="R448" s="184" t="n"/>
      <c r="BB448" s="390">
        <f>_xlfn.TEXTJOIN("-",TRUE,AU448,AW448)</f>
        <v/>
      </c>
    </row>
    <row r="449">
      <c r="B449" s="143" t="inlineStr">
        <is>
          <t>225/70R19.5</t>
        </is>
      </c>
      <c r="C449" s="169" t="inlineStr">
        <is>
          <t>14PR</t>
        </is>
      </c>
      <c r="D449" s="177" t="inlineStr">
        <is>
          <t>VD935</t>
        </is>
      </c>
      <c r="E449" s="177" t="inlineStr">
        <is>
          <t>225/70R19.5-14PR-VD935 US ID</t>
        </is>
      </c>
      <c r="F449" s="131" t="inlineStr">
        <is>
          <t>/</t>
        </is>
      </c>
      <c r="G449" s="131" t="n">
        <v>31.03</v>
      </c>
      <c r="H449" s="129" t="n">
        <v>30.98</v>
      </c>
      <c r="I449" s="130">
        <f>G449-H449</f>
        <v/>
      </c>
      <c r="J449" s="115">
        <f>_xlfn.TEXTJOIN("-",TRUE,B449,C449,D449)</f>
        <v/>
      </c>
      <c r="K449" s="184" t="n"/>
      <c r="L449" s="184" t="n"/>
      <c r="M449" s="184" t="n"/>
      <c r="N449" s="184" t="n"/>
      <c r="O449" s="184" t="n"/>
      <c r="P449" s="184" t="n"/>
      <c r="Q449" s="184" t="n"/>
      <c r="R449" s="184" t="n"/>
      <c r="BB449" s="390">
        <f>_xlfn.TEXTJOIN("-",TRUE,AU449,AW449)</f>
        <v/>
      </c>
    </row>
    <row r="450">
      <c r="B450" s="143" t="inlineStr">
        <is>
          <t>225/70R19.5</t>
        </is>
      </c>
      <c r="C450" s="169" t="inlineStr">
        <is>
          <t>14PR</t>
        </is>
      </c>
      <c r="D450" s="177" t="inlineStr">
        <is>
          <t>ECO-MILE RDW</t>
        </is>
      </c>
      <c r="E450" s="177" t="inlineStr">
        <is>
          <t>ID225/70R19.5-14PR-N US ID</t>
        </is>
      </c>
      <c r="F450" s="131">
        <f>G450-2.06+2.06</f>
        <v/>
      </c>
      <c r="G450" s="131" t="n">
        <v>31.04</v>
      </c>
      <c r="H450" s="129" t="n">
        <v>31.01</v>
      </c>
      <c r="I450" s="130">
        <f>G450-H450</f>
        <v/>
      </c>
      <c r="J450" s="115">
        <f>_xlfn.TEXTJOIN("-",TRUE,B450,C450,D450)</f>
        <v/>
      </c>
      <c r="K450" s="184" t="n"/>
      <c r="L450" s="184" t="n"/>
      <c r="M450" s="184" t="n"/>
      <c r="N450" s="184" t="n"/>
      <c r="O450" s="184" t="n"/>
      <c r="P450" s="184" t="n"/>
      <c r="Q450" s="184" t="n"/>
      <c r="R450" s="184" t="n"/>
      <c r="BB450" s="390">
        <f>_xlfn.TEXTJOIN("-",TRUE,AU450,AW450)</f>
        <v/>
      </c>
    </row>
    <row r="451">
      <c r="B451" s="143" t="inlineStr">
        <is>
          <t>225/70R19.5</t>
        </is>
      </c>
      <c r="C451" s="169" t="inlineStr">
        <is>
          <t>14PR</t>
        </is>
      </c>
      <c r="D451" s="177" t="inlineStr">
        <is>
          <t>NS785</t>
        </is>
      </c>
      <c r="E451" s="177" t="inlineStr">
        <is>
          <t>ID225/70R19.5-14PR-N US ID</t>
        </is>
      </c>
      <c r="F451" s="131">
        <f>G451-2.06+2.06</f>
        <v/>
      </c>
      <c r="G451" s="131" t="n">
        <v>31.04</v>
      </c>
      <c r="H451" s="129" t="n">
        <v>31.01</v>
      </c>
      <c r="I451" s="130">
        <f>G451-H451</f>
        <v/>
      </c>
      <c r="J451" s="115">
        <f>_xlfn.TEXTJOIN("-",TRUE,B451,C451,D451)</f>
        <v/>
      </c>
      <c r="K451" s="184" t="n"/>
      <c r="L451" s="184" t="n"/>
      <c r="M451" s="184" t="n"/>
      <c r="N451" s="184" t="n"/>
      <c r="O451" s="184" t="n"/>
      <c r="P451" s="184" t="n"/>
      <c r="Q451" s="184" t="n"/>
      <c r="R451" s="184" t="n"/>
      <c r="BB451" s="390">
        <f>_xlfn.TEXTJOIN("-",TRUE,AU451,AW451)</f>
        <v/>
      </c>
    </row>
    <row r="452">
      <c r="B452" s="143" t="inlineStr">
        <is>
          <t>225/70R19.5</t>
        </is>
      </c>
      <c r="C452" s="169" t="inlineStr">
        <is>
          <t>14PR</t>
        </is>
      </c>
      <c r="D452" s="177" t="inlineStr">
        <is>
          <t>AW785</t>
        </is>
      </c>
      <c r="E452" s="177" t="inlineStr">
        <is>
          <t>ID225/70R19.5-14PR-N US ID</t>
        </is>
      </c>
      <c r="F452" s="131">
        <f>G452-2.06+2.06</f>
        <v/>
      </c>
      <c r="G452" s="131" t="n">
        <v>31.04</v>
      </c>
      <c r="H452" s="129" t="n">
        <v>31.01</v>
      </c>
      <c r="I452" s="130">
        <f>G452-H452</f>
        <v/>
      </c>
      <c r="J452" s="115">
        <f>_xlfn.TEXTJOIN("-",TRUE,B452,C452,D452)</f>
        <v/>
      </c>
      <c r="K452" s="184" t="n"/>
      <c r="L452" s="184" t="n"/>
      <c r="M452" s="184" t="n"/>
      <c r="N452" s="184" t="n"/>
      <c r="O452" s="184" t="n"/>
      <c r="P452" s="184" t="n"/>
      <c r="Q452" s="184" t="n"/>
      <c r="R452" s="184" t="n"/>
      <c r="BB452" s="390">
        <f>_xlfn.TEXTJOIN("-",TRUE,AU452,AW452)</f>
        <v/>
      </c>
    </row>
    <row r="453">
      <c r="B453" s="143" t="inlineStr">
        <is>
          <t>225/70R19.5</t>
        </is>
      </c>
      <c r="C453" s="169" t="inlineStr">
        <is>
          <t>14PR</t>
        </is>
      </c>
      <c r="D453" s="177" t="inlineStr">
        <is>
          <t>M-TRAC RDW</t>
        </is>
      </c>
      <c r="E453" s="177" t="inlineStr">
        <is>
          <t>ID225/70R19.5-14PR-N US ID</t>
        </is>
      </c>
      <c r="F453" s="131">
        <f>G453-2.06+2.06</f>
        <v/>
      </c>
      <c r="G453" s="131" t="n">
        <v>31.04</v>
      </c>
      <c r="H453" s="129" t="n">
        <v>31.01</v>
      </c>
      <c r="I453" s="130">
        <f>G453-H453</f>
        <v/>
      </c>
      <c r="J453" s="115">
        <f>_xlfn.TEXTJOIN("-",TRUE,B453,C453,D453)</f>
        <v/>
      </c>
      <c r="K453" s="184" t="n"/>
      <c r="L453" s="184" t="n"/>
      <c r="M453" s="184" t="n"/>
      <c r="N453" s="184" t="n"/>
      <c r="O453" s="184" t="n"/>
      <c r="P453" s="184" t="n"/>
      <c r="Q453" s="184" t="n"/>
      <c r="R453" s="184" t="n"/>
      <c r="BB453" s="390">
        <f>_xlfn.TEXTJOIN("-",TRUE,AU453,AW453)</f>
        <v/>
      </c>
    </row>
    <row r="454">
      <c r="B454" s="206" t="n"/>
      <c r="C454" s="208" t="n"/>
      <c r="D454" s="178" t="n"/>
      <c r="E454" s="178" t="n"/>
      <c r="F454" s="135" t="n"/>
      <c r="G454" s="135" t="n"/>
      <c r="H454" s="138" t="n"/>
      <c r="I454" s="136" t="n"/>
      <c r="J454" s="115">
        <f>_xlfn.TEXTJOIN("-",TRUE,B454,C454,D454)</f>
        <v/>
      </c>
      <c r="K454" s="184" t="n"/>
      <c r="L454" s="184" t="n"/>
      <c r="M454" s="184" t="n"/>
      <c r="N454" s="184" t="n"/>
      <c r="O454" s="184" t="n"/>
      <c r="P454" s="184" t="n"/>
      <c r="Q454" s="184" t="n"/>
      <c r="R454" s="184" t="n"/>
      <c r="BB454" s="390">
        <f>_xlfn.TEXTJOIN("-",TRUE,AU454,AW454)</f>
        <v/>
      </c>
    </row>
    <row r="455">
      <c r="B455" s="143" t="inlineStr">
        <is>
          <t>235/75R17.5</t>
        </is>
      </c>
      <c r="C455" s="169" t="inlineStr">
        <is>
          <t>16PR</t>
        </is>
      </c>
      <c r="D455" s="177" t="inlineStr">
        <is>
          <t>CR960A</t>
        </is>
      </c>
      <c r="E455" s="125" t="inlineStr">
        <is>
          <t>ID235/75R17.5-B C ID EA823</t>
        </is>
      </c>
      <c r="F455" s="131">
        <f>G455-1.917+2.305</f>
        <v/>
      </c>
      <c r="G455" s="131" t="n">
        <v>29.488</v>
      </c>
      <c r="H455" s="129" t="n">
        <v>29.4777</v>
      </c>
      <c r="I455" s="130">
        <f>G455-H455</f>
        <v/>
      </c>
      <c r="J455" s="115">
        <f>_xlfn.TEXTJOIN("-",TRUE,B455,C455,D455)</f>
        <v/>
      </c>
      <c r="K455" s="184" t="n"/>
      <c r="L455" s="184" t="n"/>
      <c r="M455" s="184" t="n"/>
      <c r="N455" s="184" t="n"/>
      <c r="O455" s="184" t="n"/>
      <c r="P455" s="184" t="n"/>
      <c r="Q455" s="184" t="n"/>
      <c r="R455" s="184" t="n"/>
      <c r="BB455" s="390">
        <f>_xlfn.TEXTJOIN("-",TRUE,AU455,AW455)</f>
        <v/>
      </c>
    </row>
    <row r="456" ht="13.8" customHeight="1" s="428">
      <c r="B456" s="143" t="inlineStr">
        <is>
          <t>235/75R17.5</t>
        </is>
      </c>
      <c r="C456" s="169" t="inlineStr">
        <is>
          <t>16PR</t>
        </is>
      </c>
      <c r="D456" s="177" t="inlineStr">
        <is>
          <t>I-109</t>
        </is>
      </c>
      <c r="E456" s="125" t="inlineStr">
        <is>
          <t>ID235/75R17.5-B C ID EA823</t>
        </is>
      </c>
      <c r="F456" s="131">
        <f>G456-1.917+2.305</f>
        <v/>
      </c>
      <c r="G456" s="131" t="n">
        <v>29.488</v>
      </c>
      <c r="H456" s="129" t="n">
        <v>29.4777</v>
      </c>
      <c r="I456" s="130">
        <f>G456-H456</f>
        <v/>
      </c>
      <c r="J456" s="115">
        <f>_xlfn.TEXTJOIN("-",TRUE,B456,C456,D456)</f>
        <v/>
      </c>
      <c r="K456" s="184" t="n"/>
      <c r="L456" s="184" t="n"/>
      <c r="M456" s="184" t="n"/>
      <c r="N456" s="184" t="n"/>
      <c r="O456" s="184" t="n"/>
      <c r="P456" s="184" t="n"/>
      <c r="Q456" s="184" t="n"/>
      <c r="R456" s="184" t="n"/>
      <c r="BB456" s="390">
        <f>_xlfn.TEXTJOIN("-",TRUE,AU456,AW456)</f>
        <v/>
      </c>
    </row>
    <row r="457" ht="13.8" customHeight="1" s="428">
      <c r="B457" s="143" t="inlineStr">
        <is>
          <t>235/75R17.5</t>
        </is>
      </c>
      <c r="C457" s="169" t="inlineStr">
        <is>
          <t>16PR</t>
        </is>
      </c>
      <c r="D457" s="177" t="inlineStr">
        <is>
          <t>MGM17</t>
        </is>
      </c>
      <c r="E457" s="125" t="inlineStr">
        <is>
          <t>ID235/75R17.5-B C ID EA823</t>
        </is>
      </c>
      <c r="F457" s="131">
        <f>G457-1.917+2.305</f>
        <v/>
      </c>
      <c r="G457" s="131" t="n">
        <v>29.488</v>
      </c>
      <c r="H457" s="129" t="n">
        <v>29.4777</v>
      </c>
      <c r="I457" s="130">
        <f>G457-H457</f>
        <v/>
      </c>
      <c r="J457" s="115">
        <f>_xlfn.TEXTJOIN("-",TRUE,B457,C457,D457)</f>
        <v/>
      </c>
      <c r="K457" s="184" t="n"/>
      <c r="L457" s="184" t="n"/>
      <c r="M457" s="184" t="n"/>
      <c r="N457" s="184" t="n"/>
      <c r="O457" s="184" t="n"/>
      <c r="P457" s="184" t="n"/>
      <c r="Q457" s="184" t="n"/>
      <c r="R457" s="184" t="n"/>
      <c r="BB457" s="390">
        <f>_xlfn.TEXTJOIN("-",TRUE,AU457,AW457)</f>
        <v/>
      </c>
    </row>
    <row r="458">
      <c r="B458" s="143" t="inlineStr">
        <is>
          <t>235/75R17.5</t>
        </is>
      </c>
      <c r="C458" s="169" t="inlineStr">
        <is>
          <t>16PR</t>
        </is>
      </c>
      <c r="D458" s="177" t="inlineStr">
        <is>
          <t>AS673</t>
        </is>
      </c>
      <c r="E458" s="125" t="inlineStr">
        <is>
          <t>ID235/75R17.5-B C ID EA823</t>
        </is>
      </c>
      <c r="F458" s="131">
        <f>G458-1.917+2.305</f>
        <v/>
      </c>
      <c r="G458" s="131" t="n">
        <v>29.488</v>
      </c>
      <c r="H458" s="129" t="n">
        <v>29.4777</v>
      </c>
      <c r="I458" s="130">
        <f>G458-H458</f>
        <v/>
      </c>
      <c r="J458" s="115">
        <f>_xlfn.TEXTJOIN("-",TRUE,B458,C458,D458)</f>
        <v/>
      </c>
      <c r="K458" s="184" t="n"/>
      <c r="L458" s="184" t="n"/>
      <c r="M458" s="184" t="n"/>
      <c r="N458" s="184" t="n"/>
      <c r="O458" s="184" t="n"/>
      <c r="P458" s="184" t="n"/>
      <c r="Q458" s="184" t="n"/>
      <c r="R458" s="184" t="n"/>
      <c r="BB458" s="390">
        <f>_xlfn.TEXTJOIN("-",TRUE,AU458,AW458)</f>
        <v/>
      </c>
    </row>
    <row r="459">
      <c r="B459" s="143" t="inlineStr">
        <is>
          <t>235/75R17.5</t>
        </is>
      </c>
      <c r="C459" s="169" t="inlineStr">
        <is>
          <t>16PR</t>
        </is>
      </c>
      <c r="D459" s="177" t="inlineStr">
        <is>
          <t>AZ599</t>
        </is>
      </c>
      <c r="E459" s="125" t="inlineStr">
        <is>
          <t>ID235/75R17.5-B C ID EA823</t>
        </is>
      </c>
      <c r="F459" s="131">
        <f>G459-1.917+2.305</f>
        <v/>
      </c>
      <c r="G459" s="131" t="n">
        <v>29.488</v>
      </c>
      <c r="H459" s="129" t="n">
        <v>29.4777</v>
      </c>
      <c r="I459" s="130">
        <f>G459-H459</f>
        <v/>
      </c>
      <c r="J459" s="115">
        <f>_xlfn.TEXTJOIN("-",TRUE,B459,C459,D459)</f>
        <v/>
      </c>
      <c r="K459" s="184" t="n"/>
      <c r="L459" s="184" t="n"/>
      <c r="M459" s="184" t="n"/>
      <c r="N459" s="184" t="n"/>
      <c r="O459" s="184" t="n"/>
      <c r="P459" s="184" t="n"/>
      <c r="Q459" s="184" t="n"/>
      <c r="R459" s="184" t="n"/>
      <c r="BB459" s="390">
        <f>_xlfn.TEXTJOIN("-",TRUE,AU459,AW459)</f>
        <v/>
      </c>
    </row>
    <row r="460">
      <c r="B460" s="143" t="inlineStr">
        <is>
          <t>235/75R17.5</t>
        </is>
      </c>
      <c r="C460" s="169" t="inlineStr">
        <is>
          <t>16PR</t>
        </is>
      </c>
      <c r="D460" s="177" t="inlineStr">
        <is>
          <t>HF1 Plus</t>
        </is>
      </c>
      <c r="E460" s="125" t="inlineStr">
        <is>
          <t>ID235/75R17.5-B C ID EA823</t>
        </is>
      </c>
      <c r="F460" s="131">
        <f>G460-1.917+2.305</f>
        <v/>
      </c>
      <c r="G460" s="131" t="n">
        <v>29.488</v>
      </c>
      <c r="H460" s="129" t="n">
        <v>29.4777</v>
      </c>
      <c r="I460" s="130">
        <f>G460-H460</f>
        <v/>
      </c>
      <c r="J460" s="115">
        <f>_xlfn.TEXTJOIN("-",TRUE,B460,C460,D460)</f>
        <v/>
      </c>
      <c r="K460" s="184" t="n"/>
      <c r="L460" s="184" t="n"/>
      <c r="M460" s="184" t="n"/>
      <c r="N460" s="184" t="n"/>
      <c r="O460" s="184" t="n"/>
      <c r="P460" s="184" t="n"/>
      <c r="Q460" s="184" t="n"/>
      <c r="R460" s="184" t="n"/>
      <c r="BB460" s="390">
        <f>_xlfn.TEXTJOIN("-",TRUE,AU460,AW460)</f>
        <v/>
      </c>
    </row>
    <row r="461">
      <c r="B461" s="143" t="inlineStr">
        <is>
          <t>235/75R17.5</t>
        </is>
      </c>
      <c r="C461" s="169" t="inlineStr">
        <is>
          <t>16PR</t>
        </is>
      </c>
      <c r="D461" s="177" t="inlineStr">
        <is>
          <t>RLINE-A1</t>
        </is>
      </c>
      <c r="E461" s="125" t="inlineStr">
        <is>
          <t>ID235/75R17.5-B C ID EA823</t>
        </is>
      </c>
      <c r="F461" s="131">
        <f>G461-1.917+2.305</f>
        <v/>
      </c>
      <c r="G461" s="131" t="n">
        <v>29.488</v>
      </c>
      <c r="H461" s="129" t="n">
        <v>29.4777</v>
      </c>
      <c r="I461" s="130">
        <f>G461-H461</f>
        <v/>
      </c>
      <c r="J461" s="115">
        <f>_xlfn.TEXTJOIN("-",TRUE,B461,C461,D461)</f>
        <v/>
      </c>
      <c r="K461" s="184" t="n"/>
      <c r="L461" s="184" t="n"/>
      <c r="M461" s="184" t="n"/>
      <c r="N461" s="184" t="n"/>
      <c r="O461" s="184" t="n"/>
      <c r="P461" s="184" t="n"/>
      <c r="Q461" s="184" t="n"/>
      <c r="R461" s="184" t="n"/>
      <c r="BB461" s="390">
        <f>_xlfn.TEXTJOIN("-",TRUE,AU461,AW461)</f>
        <v/>
      </c>
    </row>
    <row r="462">
      <c r="B462" s="143" t="inlineStr">
        <is>
          <t>235/75R17.5</t>
        </is>
      </c>
      <c r="C462" s="169" t="inlineStr">
        <is>
          <t>16PR</t>
        </is>
      </c>
      <c r="D462" s="177" t="inlineStr">
        <is>
          <t>H-RA</t>
        </is>
      </c>
      <c r="E462" s="125" t="inlineStr">
        <is>
          <t>ID235/75R17.5-B C ID EA823</t>
        </is>
      </c>
      <c r="F462" s="131">
        <f>G462-1.917+2.305</f>
        <v/>
      </c>
      <c r="G462" s="131" t="n">
        <v>29.488</v>
      </c>
      <c r="H462" s="129" t="n">
        <v>29.4777</v>
      </c>
      <c r="I462" s="130">
        <f>G462-H462</f>
        <v/>
      </c>
      <c r="J462" s="115">
        <f>_xlfn.TEXTJOIN("-",TRUE,B462,C462,D462)</f>
        <v/>
      </c>
      <c r="K462" s="184" t="n"/>
      <c r="L462" s="184" t="n"/>
      <c r="M462" s="184" t="n"/>
      <c r="N462" s="184" t="n"/>
      <c r="O462" s="184" t="n"/>
      <c r="P462" s="184" t="n"/>
      <c r="Q462" s="184" t="n"/>
      <c r="R462" s="184" t="n"/>
      <c r="BB462" s="390">
        <f>_xlfn.TEXTJOIN("-",TRUE,AU462,AW462)</f>
        <v/>
      </c>
    </row>
    <row r="463">
      <c r="B463" s="143" t="inlineStr">
        <is>
          <t>235/75R17.5</t>
        </is>
      </c>
      <c r="C463" s="169" t="inlineStr">
        <is>
          <t>16PR</t>
        </is>
      </c>
      <c r="D463" s="177" t="inlineStr">
        <is>
          <t>AP-7318</t>
        </is>
      </c>
      <c r="E463" s="125" t="inlineStr">
        <is>
          <t>ID235/75R17.5-B C ID EA823</t>
        </is>
      </c>
      <c r="F463" s="131">
        <f>G463-1.917+2.305</f>
        <v/>
      </c>
      <c r="G463" s="131" t="n">
        <v>29.488</v>
      </c>
      <c r="H463" s="129" t="n">
        <v>29.4777</v>
      </c>
      <c r="I463" s="130">
        <f>G463-H463</f>
        <v/>
      </c>
      <c r="J463" s="115">
        <f>_xlfn.TEXTJOIN("-",TRUE,B463,C463,D463)</f>
        <v/>
      </c>
      <c r="K463" s="184" t="n"/>
      <c r="L463" s="184" t="n"/>
      <c r="M463" s="184" t="n"/>
      <c r="N463" s="184" t="n"/>
      <c r="O463" s="184" t="n"/>
      <c r="P463" s="184" t="n"/>
      <c r="Q463" s="184" t="n"/>
      <c r="R463" s="184" t="n"/>
      <c r="BB463" s="390">
        <f>_xlfn.TEXTJOIN("-",TRUE,AU463,AW463)</f>
        <v/>
      </c>
    </row>
    <row r="464">
      <c r="B464" s="143" t="inlineStr">
        <is>
          <t>235/75R17.5</t>
        </is>
      </c>
      <c r="C464" s="169" t="inlineStr">
        <is>
          <t>18PR</t>
        </is>
      </c>
      <c r="D464" s="177" t="inlineStr">
        <is>
          <t>CR960A</t>
        </is>
      </c>
      <c r="E464" s="125" t="inlineStr">
        <is>
          <t>ID235/75R17.5-B C ID EA823</t>
        </is>
      </c>
      <c r="F464" s="131">
        <f>G464-1.917+2.305</f>
        <v/>
      </c>
      <c r="G464" s="131" t="n">
        <v>29.488</v>
      </c>
      <c r="H464" s="129" t="n">
        <v>29.4777</v>
      </c>
      <c r="I464" s="130">
        <f>G464-H464</f>
        <v/>
      </c>
      <c r="J464" s="115">
        <f>_xlfn.TEXTJOIN("-",TRUE,B464,C464,D464)</f>
        <v/>
      </c>
      <c r="K464" s="184" t="n"/>
      <c r="L464" s="184" t="n"/>
      <c r="M464" s="184" t="n"/>
      <c r="N464" s="184" t="n"/>
      <c r="O464" s="184" t="n"/>
      <c r="P464" s="184" t="n"/>
      <c r="Q464" s="184" t="n"/>
      <c r="R464" s="184" t="n"/>
      <c r="BB464" s="390">
        <f>_xlfn.TEXTJOIN("-",TRUE,AU464,AW464)</f>
        <v/>
      </c>
    </row>
    <row r="465">
      <c r="B465" s="143" t="inlineStr">
        <is>
          <t>235/75R17.5</t>
        </is>
      </c>
      <c r="C465" s="169" t="inlineStr">
        <is>
          <t>18PR</t>
        </is>
      </c>
      <c r="D465" s="177" t="inlineStr">
        <is>
          <t>I-109</t>
        </is>
      </c>
      <c r="E465" s="125" t="inlineStr">
        <is>
          <t>ID235/75R17.5-B C ID EA823</t>
        </is>
      </c>
      <c r="F465" s="131">
        <f>G465-1.917+2.305</f>
        <v/>
      </c>
      <c r="G465" s="131" t="n">
        <v>29.488</v>
      </c>
      <c r="H465" s="129" t="n">
        <v>29.4777</v>
      </c>
      <c r="I465" s="130">
        <f>G465-H465</f>
        <v/>
      </c>
      <c r="J465" s="115">
        <f>_xlfn.TEXTJOIN("-",TRUE,B465,C465,D465)</f>
        <v/>
      </c>
      <c r="K465" s="184" t="n"/>
      <c r="L465" s="184" t="n"/>
      <c r="M465" s="184" t="n"/>
      <c r="N465" s="184" t="n"/>
      <c r="O465" s="184" t="n"/>
      <c r="P465" s="184" t="n"/>
      <c r="Q465" s="184" t="n"/>
      <c r="R465" s="184" t="n"/>
      <c r="BB465" s="390">
        <f>_xlfn.TEXTJOIN("-",TRUE,AU465,AW465)</f>
        <v/>
      </c>
    </row>
    <row r="466">
      <c r="B466" s="143" t="inlineStr">
        <is>
          <t>235/75R17.5</t>
        </is>
      </c>
      <c r="C466" s="169" t="inlineStr">
        <is>
          <t>18PR</t>
        </is>
      </c>
      <c r="D466" s="177" t="inlineStr">
        <is>
          <t>MGM17</t>
        </is>
      </c>
      <c r="E466" s="125" t="inlineStr">
        <is>
          <t>ID235/75R17.5-B C ID EA823</t>
        </is>
      </c>
      <c r="F466" s="131">
        <f>G466-1.917+2.305</f>
        <v/>
      </c>
      <c r="G466" s="131" t="n">
        <v>29.488</v>
      </c>
      <c r="H466" s="129" t="n">
        <v>29.4777</v>
      </c>
      <c r="I466" s="130">
        <f>G466-H466</f>
        <v/>
      </c>
      <c r="J466" s="115">
        <f>_xlfn.TEXTJOIN("-",TRUE,B466,C466,D466)</f>
        <v/>
      </c>
      <c r="K466" s="184" t="n"/>
      <c r="L466" s="184" t="n"/>
      <c r="M466" s="184" t="n"/>
      <c r="N466" s="184" t="n"/>
      <c r="O466" s="184" t="n"/>
      <c r="P466" s="184" t="n"/>
      <c r="Q466" s="184" t="n"/>
      <c r="R466" s="184" t="n"/>
      <c r="BB466" s="390">
        <f>_xlfn.TEXTJOIN("-",TRUE,AU466,AW466)</f>
        <v/>
      </c>
    </row>
    <row r="467">
      <c r="B467" s="143" t="inlineStr">
        <is>
          <t>235/75R17.5</t>
        </is>
      </c>
      <c r="C467" s="169" t="inlineStr">
        <is>
          <t>18PR</t>
        </is>
      </c>
      <c r="D467" s="177" t="inlineStr">
        <is>
          <t>AS673</t>
        </is>
      </c>
      <c r="E467" s="125" t="inlineStr">
        <is>
          <t>ID235/75R17.5-B C ID EA823</t>
        </is>
      </c>
      <c r="F467" s="131">
        <f>G467-1.917+2.305</f>
        <v/>
      </c>
      <c r="G467" s="131" t="n">
        <v>29.488</v>
      </c>
      <c r="H467" s="129" t="n">
        <v>29.4777</v>
      </c>
      <c r="I467" s="130">
        <f>G467-H467</f>
        <v/>
      </c>
      <c r="J467" s="115">
        <f>_xlfn.TEXTJOIN("-",TRUE,B467,C467,D467)</f>
        <v/>
      </c>
      <c r="K467" s="184" t="n"/>
      <c r="L467" s="184" t="n"/>
      <c r="M467" s="184" t="n"/>
      <c r="N467" s="184" t="n"/>
      <c r="O467" s="184" t="n"/>
      <c r="P467" s="184" t="n"/>
      <c r="Q467" s="184" t="n"/>
      <c r="R467" s="184" t="n"/>
      <c r="BB467" s="390">
        <f>_xlfn.TEXTJOIN("-",TRUE,AU467,AW467)</f>
        <v/>
      </c>
    </row>
    <row r="468">
      <c r="B468" s="143" t="inlineStr">
        <is>
          <t>235/75R17.5</t>
        </is>
      </c>
      <c r="C468" s="169" t="inlineStr">
        <is>
          <t>18PR</t>
        </is>
      </c>
      <c r="D468" s="177" t="inlineStr">
        <is>
          <t>AZ599</t>
        </is>
      </c>
      <c r="E468" s="125" t="inlineStr">
        <is>
          <t>ID235/75R17.5-B C ID EA823</t>
        </is>
      </c>
      <c r="F468" s="131">
        <f>G468-1.917+2.305</f>
        <v/>
      </c>
      <c r="G468" s="131" t="n">
        <v>29.488</v>
      </c>
      <c r="H468" s="129" t="n">
        <v>29.4777</v>
      </c>
      <c r="I468" s="130">
        <f>G468-H468</f>
        <v/>
      </c>
      <c r="J468" s="115">
        <f>_xlfn.TEXTJOIN("-",TRUE,B468,C468,D468)</f>
        <v/>
      </c>
      <c r="K468" s="184" t="n"/>
      <c r="L468" s="184" t="n"/>
      <c r="M468" s="184" t="n"/>
      <c r="N468" s="184" t="n"/>
      <c r="O468" s="184" t="n"/>
      <c r="P468" s="184" t="n"/>
      <c r="Q468" s="184" t="n"/>
      <c r="R468" s="184" t="n"/>
      <c r="BB468" s="390">
        <f>_xlfn.TEXTJOIN("-",TRUE,AU468,AW468)</f>
        <v/>
      </c>
    </row>
    <row r="469">
      <c r="B469" s="143" t="inlineStr">
        <is>
          <t>235/75R17.5</t>
        </is>
      </c>
      <c r="C469" s="169" t="inlineStr">
        <is>
          <t>18PR</t>
        </is>
      </c>
      <c r="D469" s="177" t="inlineStr">
        <is>
          <t>HF1 Plus</t>
        </is>
      </c>
      <c r="E469" s="125" t="inlineStr">
        <is>
          <t>ID235/75R17.5-B C ID EA823</t>
        </is>
      </c>
      <c r="F469" s="131">
        <f>G469-1.917+2.305</f>
        <v/>
      </c>
      <c r="G469" s="131" t="n">
        <v>29.488</v>
      </c>
      <c r="H469" s="129" t="n">
        <v>29.4777</v>
      </c>
      <c r="I469" s="130">
        <f>G469-H469</f>
        <v/>
      </c>
      <c r="J469" s="115">
        <f>_xlfn.TEXTJOIN("-",TRUE,B469,C469,D469)</f>
        <v/>
      </c>
      <c r="K469" s="184" t="n"/>
      <c r="L469" s="184" t="n"/>
      <c r="M469" s="184" t="n"/>
      <c r="N469" s="184" t="n"/>
      <c r="O469" s="184" t="n"/>
      <c r="P469" s="184" t="n"/>
      <c r="Q469" s="184" t="n"/>
      <c r="R469" s="184" t="n"/>
      <c r="BB469" s="390">
        <f>_xlfn.TEXTJOIN("-",TRUE,AU469,AW469)</f>
        <v/>
      </c>
    </row>
    <row r="470" ht="13.8" customHeight="1" s="428">
      <c r="B470" s="143" t="inlineStr">
        <is>
          <t>235/75R17.5</t>
        </is>
      </c>
      <c r="C470" s="169" t="inlineStr">
        <is>
          <t>18PR</t>
        </is>
      </c>
      <c r="D470" s="177" t="inlineStr">
        <is>
          <t>RLINE-A1</t>
        </is>
      </c>
      <c r="E470" s="125" t="inlineStr">
        <is>
          <t>ID235/75R17.5-B C ID EA823</t>
        </is>
      </c>
      <c r="F470" s="131">
        <f>G470-1.917+2.305</f>
        <v/>
      </c>
      <c r="G470" s="131" t="n">
        <v>29.488</v>
      </c>
      <c r="H470" s="129" t="n">
        <v>29.4777</v>
      </c>
      <c r="I470" s="130">
        <f>G470-H470</f>
        <v/>
      </c>
      <c r="J470" s="115">
        <f>_xlfn.TEXTJOIN("-",TRUE,B470,C470,D470)</f>
        <v/>
      </c>
      <c r="K470" s="184" t="n"/>
      <c r="L470" s="184" t="n"/>
      <c r="M470" s="184" t="n"/>
      <c r="N470" s="184" t="n"/>
      <c r="O470" s="184" t="n"/>
      <c r="P470" s="184" t="n"/>
      <c r="Q470" s="184" t="n"/>
      <c r="R470" s="184" t="n"/>
      <c r="BB470" s="390">
        <f>_xlfn.TEXTJOIN("-",TRUE,AU470,AW470)</f>
        <v/>
      </c>
    </row>
    <row r="471" ht="13.8" customHeight="1" s="428">
      <c r="B471" s="143" t="inlineStr">
        <is>
          <t>235/75R17.5</t>
        </is>
      </c>
      <c r="C471" s="169" t="inlineStr">
        <is>
          <t>18PR</t>
        </is>
      </c>
      <c r="D471" s="177" t="inlineStr">
        <is>
          <t>H-RA</t>
        </is>
      </c>
      <c r="E471" s="125" t="inlineStr">
        <is>
          <t>ID235/75R17.5-B C ID EA823</t>
        </is>
      </c>
      <c r="F471" s="131">
        <f>G471-1.917+2.305</f>
        <v/>
      </c>
      <c r="G471" s="131" t="n">
        <v>29.488</v>
      </c>
      <c r="H471" s="129" t="n">
        <v>29.4777</v>
      </c>
      <c r="I471" s="130">
        <f>G471-H471</f>
        <v/>
      </c>
      <c r="J471" s="115">
        <f>_xlfn.TEXTJOIN("-",TRUE,B471,C471,D471)</f>
        <v/>
      </c>
      <c r="K471" s="184" t="n"/>
      <c r="L471" s="184" t="n"/>
      <c r="M471" s="184" t="n"/>
      <c r="N471" s="184" t="n"/>
      <c r="O471" s="184" t="n"/>
      <c r="P471" s="184" t="n"/>
      <c r="Q471" s="184" t="n"/>
      <c r="R471" s="184" t="n"/>
      <c r="BB471" s="390">
        <f>_xlfn.TEXTJOIN("-",TRUE,AU471,AW471)</f>
        <v/>
      </c>
    </row>
    <row r="472">
      <c r="B472" s="143" t="inlineStr">
        <is>
          <t>235/75R17.5</t>
        </is>
      </c>
      <c r="C472" s="169" t="inlineStr">
        <is>
          <t>18PR</t>
        </is>
      </c>
      <c r="D472" s="177" t="inlineStr">
        <is>
          <t>AP-7318</t>
        </is>
      </c>
      <c r="E472" s="125" t="inlineStr">
        <is>
          <t>ID235/75R17.5-B C ID EA823</t>
        </is>
      </c>
      <c r="F472" s="131">
        <f>G472-1.917+2.305</f>
        <v/>
      </c>
      <c r="G472" s="131" t="n">
        <v>29.488</v>
      </c>
      <c r="H472" s="129" t="n">
        <v>29.4777</v>
      </c>
      <c r="I472" s="130">
        <f>G472-H472</f>
        <v/>
      </c>
      <c r="J472" s="115">
        <f>_xlfn.TEXTJOIN("-",TRUE,B472,C472,D472)</f>
        <v/>
      </c>
      <c r="K472" s="184" t="n"/>
      <c r="L472" s="184" t="n"/>
      <c r="M472" s="184" t="n"/>
      <c r="N472" s="184" t="n"/>
      <c r="O472" s="184" t="n"/>
      <c r="P472" s="184" t="n"/>
      <c r="Q472" s="184" t="n"/>
      <c r="R472" s="184" t="n"/>
      <c r="BB472" s="390">
        <f>_xlfn.TEXTJOIN("-",TRUE,AU472,AW472)</f>
        <v/>
      </c>
    </row>
    <row r="473">
      <c r="B473" s="143" t="inlineStr">
        <is>
          <t>235/75R17.5</t>
        </is>
      </c>
      <c r="C473" s="169" t="inlineStr">
        <is>
          <t>18PR</t>
        </is>
      </c>
      <c r="D473" s="177" t="inlineStr">
        <is>
          <t>ZA15</t>
        </is>
      </c>
      <c r="E473" s="125" t="inlineStr">
        <is>
          <t>ID235/75R17.5-18PR-A C ID EA823</t>
        </is>
      </c>
      <c r="F473" s="131">
        <f>G473-1.917+2.305</f>
        <v/>
      </c>
      <c r="G473" s="131" t="n">
        <v>30.904</v>
      </c>
      <c r="H473" s="129" t="n">
        <v>30.8934</v>
      </c>
      <c r="I473" s="130">
        <f>G473-H473</f>
        <v/>
      </c>
      <c r="J473" s="115">
        <f>_xlfn.TEXTJOIN("-",TRUE,B473,C473,D473)</f>
        <v/>
      </c>
      <c r="K473" s="184" t="n"/>
      <c r="L473" s="184" t="n"/>
      <c r="M473" s="184" t="n"/>
      <c r="N473" s="184" t="n"/>
      <c r="O473" s="184" t="n"/>
      <c r="P473" s="184" t="n"/>
      <c r="Q473" s="184" t="n"/>
      <c r="R473" s="184" t="n"/>
      <c r="BB473" s="390">
        <f>_xlfn.TEXTJOIN("-",TRUE,AU473,AW473)</f>
        <v/>
      </c>
    </row>
    <row r="474">
      <c r="B474" s="143" t="inlineStr">
        <is>
          <t>235/75R17.5</t>
        </is>
      </c>
      <c r="C474" s="169" t="inlineStr">
        <is>
          <t>18PR</t>
        </is>
      </c>
      <c r="D474" s="177" t="inlineStr">
        <is>
          <t>VA933</t>
        </is>
      </c>
      <c r="E474" s="125" t="inlineStr">
        <is>
          <t>ID235/75R17.5-18PR-A C ID EA823</t>
        </is>
      </c>
      <c r="F474" s="131">
        <f>G474-1.917+2.305</f>
        <v/>
      </c>
      <c r="G474" s="131" t="n">
        <v>30.904</v>
      </c>
      <c r="H474" s="129" t="n">
        <v>30.8934</v>
      </c>
      <c r="I474" s="130">
        <f>G474-H474</f>
        <v/>
      </c>
      <c r="J474" s="115">
        <f>_xlfn.TEXTJOIN("-",TRUE,B474,C474,D474)</f>
        <v/>
      </c>
      <c r="K474" s="184" t="n"/>
      <c r="L474" s="184" t="n"/>
      <c r="M474" s="184" t="n"/>
      <c r="N474" s="184" t="n"/>
      <c r="O474" s="184" t="n"/>
      <c r="P474" s="184" t="n"/>
      <c r="Q474" s="184" t="n"/>
      <c r="R474" s="184" t="n"/>
      <c r="BB474" s="390">
        <f>_xlfn.TEXTJOIN("-",TRUE,AU474,AW474)</f>
        <v/>
      </c>
    </row>
    <row r="475">
      <c r="B475" s="143" t="inlineStr">
        <is>
          <t>235/75R17.5</t>
        </is>
      </c>
      <c r="C475" s="169" t="inlineStr">
        <is>
          <t>16PR</t>
        </is>
      </c>
      <c r="D475" s="177" t="inlineStr">
        <is>
          <t>CM986</t>
        </is>
      </c>
      <c r="E475" s="177" t="inlineStr">
        <is>
          <t>ID235/75R17.5-16PR-C C ID EA823</t>
        </is>
      </c>
      <c r="F475" s="131">
        <f>G475-1.917+2.305</f>
        <v/>
      </c>
      <c r="G475" s="131" t="n">
        <v>30.369</v>
      </c>
      <c r="H475" s="129" t="n">
        <v>29.2884</v>
      </c>
      <c r="I475" s="130">
        <f>G475-H475</f>
        <v/>
      </c>
      <c r="J475" s="115">
        <f>_xlfn.TEXTJOIN("-",TRUE,B475,C475,D475)</f>
        <v/>
      </c>
      <c r="K475" s="184" t="n"/>
      <c r="L475" s="184" t="n"/>
      <c r="M475" s="184" t="n"/>
      <c r="N475" s="184" t="n"/>
      <c r="O475" s="184" t="n"/>
      <c r="P475" s="184" t="n"/>
      <c r="Q475" s="184" t="n"/>
      <c r="R475" s="184" t="n"/>
      <c r="BB475" s="390">
        <f>_xlfn.TEXTJOIN("-",TRUE,AU475,AW475)</f>
        <v/>
      </c>
    </row>
    <row r="476">
      <c r="B476" s="143" t="inlineStr">
        <is>
          <t>235/75R17.5</t>
        </is>
      </c>
      <c r="C476" s="169" t="inlineStr">
        <is>
          <t>18PR</t>
        </is>
      </c>
      <c r="D476" s="177" t="inlineStr">
        <is>
          <t>I-19A</t>
        </is>
      </c>
      <c r="E476" s="177" t="inlineStr">
        <is>
          <t>ID235/75R17.5-18PR-I-19A US ID EA823</t>
        </is>
      </c>
      <c r="F476" s="131">
        <f>G476-1.917+2.305</f>
        <v/>
      </c>
      <c r="G476" s="131" t="n">
        <v>29.632</v>
      </c>
      <c r="H476" s="129" t="n">
        <v>29.5677</v>
      </c>
      <c r="I476" s="130">
        <f>G476-H476</f>
        <v/>
      </c>
      <c r="J476" s="115">
        <f>_xlfn.TEXTJOIN("-",TRUE,B476,C476,D476)</f>
        <v/>
      </c>
      <c r="K476" s="184" t="n"/>
      <c r="L476" s="184" t="n"/>
      <c r="M476" s="184" t="n"/>
      <c r="N476" s="184" t="n"/>
      <c r="O476" s="184" t="n"/>
      <c r="P476" s="184" t="n"/>
      <c r="Q476" s="184" t="n"/>
      <c r="R476" s="184" t="n"/>
      <c r="BB476" s="390">
        <f>_xlfn.TEXTJOIN("-",TRUE,AU476,AW476)</f>
        <v/>
      </c>
    </row>
    <row r="477" ht="13.8" customHeight="1" s="428">
      <c r="B477" s="206" t="n"/>
      <c r="C477" s="208" t="n"/>
      <c r="D477" s="178" t="n"/>
      <c r="E477" s="178" t="n"/>
      <c r="F477" s="135" t="n"/>
      <c r="G477" s="135" t="n"/>
      <c r="H477" s="138" t="n"/>
      <c r="I477" s="136" t="n"/>
      <c r="J477" s="115">
        <f>_xlfn.TEXTJOIN("-",TRUE,B477,C477,D477)</f>
        <v/>
      </c>
      <c r="K477" s="184" t="n"/>
      <c r="L477" s="184" t="n"/>
      <c r="M477" s="184" t="n"/>
      <c r="N477" s="184" t="n"/>
      <c r="O477" s="184" t="n"/>
      <c r="P477" s="184" t="n"/>
      <c r="Q477" s="184" t="n"/>
      <c r="R477" s="184" t="n"/>
      <c r="BB477" s="390">
        <f>_xlfn.TEXTJOIN("-",TRUE,AU477,AW477)</f>
        <v/>
      </c>
    </row>
    <row r="478" ht="13.8" customHeight="1" s="428">
      <c r="B478" s="143" t="inlineStr">
        <is>
          <t>245/70R17.5</t>
        </is>
      </c>
      <c r="C478" s="169" t="inlineStr">
        <is>
          <t>18PR</t>
        </is>
      </c>
      <c r="D478" s="177" t="inlineStr">
        <is>
          <t>AZ599</t>
        </is>
      </c>
      <c r="E478" s="177" t="inlineStr">
        <is>
          <t>ID245/70R17.5-18PR-A C ID EA823</t>
        </is>
      </c>
      <c r="F478" s="131">
        <f>G478-1.993+2.577</f>
        <v/>
      </c>
      <c r="G478" s="131" t="n">
        <v>34.45</v>
      </c>
      <c r="H478" s="129" t="n">
        <v>34.0667</v>
      </c>
      <c r="I478" s="130">
        <f>G478-H478</f>
        <v/>
      </c>
      <c r="J478" s="115">
        <f>_xlfn.TEXTJOIN("-",TRUE,B478,C478,D478)</f>
        <v/>
      </c>
      <c r="K478" s="184" t="n"/>
      <c r="L478" s="184" t="n"/>
      <c r="M478" s="184" t="n"/>
      <c r="N478" s="184" t="n"/>
      <c r="O478" s="184" t="n"/>
      <c r="P478" s="184" t="n"/>
      <c r="Q478" s="184" t="n"/>
      <c r="R478" s="184" t="n"/>
      <c r="BB478" s="390">
        <f>_xlfn.TEXTJOIN("-",TRUE,AU478,AW478)</f>
        <v/>
      </c>
    </row>
    <row r="479">
      <c r="B479" s="143" t="inlineStr">
        <is>
          <t>245/70R17.5</t>
        </is>
      </c>
      <c r="C479" s="169" t="inlineStr">
        <is>
          <t>18PR</t>
        </is>
      </c>
      <c r="D479" s="177" t="inlineStr">
        <is>
          <t>AP-7318</t>
        </is>
      </c>
      <c r="E479" s="177" t="inlineStr">
        <is>
          <t>ID245/70R17.5-18PR-A C ID EA823</t>
        </is>
      </c>
      <c r="F479" s="131">
        <f>G479-1.993+2.577</f>
        <v/>
      </c>
      <c r="G479" s="131" t="n">
        <v>34.45</v>
      </c>
      <c r="H479" s="129" t="n">
        <v>34.0667</v>
      </c>
      <c r="I479" s="130">
        <f>G479-H479</f>
        <v/>
      </c>
      <c r="J479" s="115">
        <f>_xlfn.TEXTJOIN("-",TRUE,B479,C479,D479)</f>
        <v/>
      </c>
      <c r="K479" s="184" t="n"/>
      <c r="L479" s="184" t="n"/>
      <c r="M479" s="184" t="n"/>
      <c r="N479" s="184" t="n"/>
      <c r="O479" s="184" t="n"/>
      <c r="P479" s="184" t="n"/>
      <c r="Q479" s="184" t="n"/>
      <c r="R479" s="184" t="n"/>
      <c r="BB479" s="390">
        <f>_xlfn.TEXTJOIN("-",TRUE,AU479,AW479)</f>
        <v/>
      </c>
    </row>
    <row r="480">
      <c r="B480" s="143" t="inlineStr">
        <is>
          <t>245/70R17.5</t>
        </is>
      </c>
      <c r="C480" s="169" t="inlineStr">
        <is>
          <t>18PR</t>
        </is>
      </c>
      <c r="D480" s="177" t="inlineStr">
        <is>
          <t>I-19A</t>
        </is>
      </c>
      <c r="E480" s="177" t="inlineStr">
        <is>
          <t>ID245/70R17.5-18PR-I-19A US ID EA823</t>
        </is>
      </c>
      <c r="F480" s="131">
        <f>G480-1.993+2.577</f>
        <v/>
      </c>
      <c r="G480" s="131" t="n">
        <v>33.375</v>
      </c>
      <c r="H480" s="129" t="n">
        <v>33.3332</v>
      </c>
      <c r="I480" s="130">
        <f>G480-H480</f>
        <v/>
      </c>
      <c r="J480" s="115">
        <f>_xlfn.TEXTJOIN("-",TRUE,B480,C480,D480)</f>
        <v/>
      </c>
      <c r="K480" s="184" t="n"/>
      <c r="L480" s="184" t="n"/>
      <c r="M480" s="184" t="n"/>
      <c r="N480" s="184" t="n"/>
      <c r="O480" s="184" t="n"/>
      <c r="P480" s="184" t="n"/>
      <c r="Q480" s="184" t="n"/>
      <c r="R480" s="184" t="n"/>
      <c r="BB480" s="390">
        <f>_xlfn.TEXTJOIN("-",TRUE,AU480,AW480)</f>
        <v/>
      </c>
    </row>
    <row r="481">
      <c r="B481" s="206" t="n"/>
      <c r="C481" s="208" t="n"/>
      <c r="D481" s="178" t="n"/>
      <c r="E481" s="178" t="n"/>
      <c r="F481" s="135" t="n"/>
      <c r="G481" s="135" t="n"/>
      <c r="H481" s="138" t="n"/>
      <c r="I481" s="136" t="n"/>
      <c r="J481" s="115">
        <f>_xlfn.TEXTJOIN("-",TRUE,B481,C481,D481)</f>
        <v/>
      </c>
      <c r="K481" s="184" t="n"/>
      <c r="L481" s="184" t="n"/>
      <c r="M481" s="184" t="n"/>
      <c r="N481" s="184" t="n"/>
      <c r="O481" s="184" t="n"/>
      <c r="P481" s="184" t="n"/>
      <c r="Q481" s="184" t="n"/>
      <c r="R481" s="184" t="n"/>
      <c r="BB481" s="390">
        <f>_xlfn.TEXTJOIN("-",TRUE,AU481,AW481)</f>
        <v/>
      </c>
    </row>
    <row r="482">
      <c r="B482" s="143" t="inlineStr">
        <is>
          <t>245/70R19.5</t>
        </is>
      </c>
      <c r="C482" s="169" t="inlineStr">
        <is>
          <t>16PR</t>
        </is>
      </c>
      <c r="D482" s="177" t="inlineStr">
        <is>
          <t>DA24</t>
        </is>
      </c>
      <c r="E482" s="177" t="inlineStr">
        <is>
          <t>245/70R19.5-16PR-DA24 US ID</t>
        </is>
      </c>
      <c r="F482" s="131">
        <f>G482-2.179+2.179</f>
        <v/>
      </c>
      <c r="G482" s="131" t="n">
        <v>35.995</v>
      </c>
      <c r="H482" s="129" t="n">
        <v>36.0214</v>
      </c>
      <c r="I482" s="130">
        <f>G482-H482</f>
        <v/>
      </c>
      <c r="J482" s="115">
        <f>_xlfn.TEXTJOIN("-",TRUE,B482,C482,D482)</f>
        <v/>
      </c>
      <c r="K482" s="184" t="n"/>
      <c r="L482" s="184" t="n"/>
      <c r="M482" s="184" t="n"/>
      <c r="N482" s="184" t="n"/>
      <c r="O482" s="184" t="n"/>
      <c r="P482" s="184" t="n"/>
      <c r="Q482" s="184" t="n"/>
      <c r="R482" s="184" t="n"/>
      <c r="BB482" s="390">
        <f>_xlfn.TEXTJOIN("-",TRUE,AU482,AW482)</f>
        <v/>
      </c>
    </row>
    <row r="483">
      <c r="B483" s="143" t="inlineStr">
        <is>
          <t>245/70R19.5</t>
        </is>
      </c>
      <c r="C483" s="169" t="inlineStr">
        <is>
          <t>16PR</t>
        </is>
      </c>
      <c r="D483" s="177" t="inlineStr">
        <is>
          <t>ZA15</t>
        </is>
      </c>
      <c r="E483" s="125" t="inlineStr">
        <is>
          <t>245/70R19.5-16PR-VZA US ID</t>
        </is>
      </c>
      <c r="F483" s="131">
        <f>G483-2.179+2.179</f>
        <v/>
      </c>
      <c r="G483" s="131" t="n">
        <v>35.19</v>
      </c>
      <c r="H483" s="129" t="n">
        <v>35.6114</v>
      </c>
      <c r="I483" s="130">
        <f>G483-H483</f>
        <v/>
      </c>
      <c r="J483" s="115">
        <f>_xlfn.TEXTJOIN("-",TRUE,B483,C483,D483)</f>
        <v/>
      </c>
      <c r="K483" s="184" t="n"/>
      <c r="L483" s="184" t="n"/>
      <c r="M483" s="184" t="n"/>
      <c r="N483" s="184" t="n"/>
      <c r="O483" s="184" t="n"/>
      <c r="P483" s="184" t="n"/>
      <c r="Q483" s="184" t="n"/>
      <c r="R483" s="184" t="n"/>
      <c r="BB483" s="390">
        <f>_xlfn.TEXTJOIN("-",TRUE,AU483,AW483)</f>
        <v/>
      </c>
    </row>
    <row r="484">
      <c r="B484" s="143" t="inlineStr">
        <is>
          <t>245/70R19.5</t>
        </is>
      </c>
      <c r="C484" s="169" t="inlineStr">
        <is>
          <t>16PR</t>
        </is>
      </c>
      <c r="D484" s="177" t="inlineStr">
        <is>
          <t>VA933</t>
        </is>
      </c>
      <c r="E484" s="125" t="inlineStr">
        <is>
          <t>245/70R19.5-16PR-VZA US ID</t>
        </is>
      </c>
      <c r="F484" s="131">
        <f>G484-2.179+2.179</f>
        <v/>
      </c>
      <c r="G484" s="131" t="n">
        <v>35.19</v>
      </c>
      <c r="H484" s="129" t="n">
        <v>35.6114</v>
      </c>
      <c r="I484" s="130">
        <f>G484-H484</f>
        <v/>
      </c>
      <c r="J484" s="115">
        <f>_xlfn.TEXTJOIN("-",TRUE,B484,C484,D484)</f>
        <v/>
      </c>
      <c r="K484" s="184" t="n"/>
      <c r="L484" s="184" t="n"/>
      <c r="M484" s="184" t="n"/>
      <c r="N484" s="184" t="n"/>
      <c r="O484" s="184" t="n"/>
      <c r="P484" s="184" t="n"/>
      <c r="Q484" s="184" t="n"/>
      <c r="R484" s="184" t="n"/>
      <c r="BB484" s="390">
        <f>_xlfn.TEXTJOIN("-",TRUE,AU484,AW484)</f>
        <v/>
      </c>
    </row>
    <row r="485">
      <c r="B485" s="143" t="inlineStr">
        <is>
          <t>245/70R19.5</t>
        </is>
      </c>
      <c r="C485" s="169" t="inlineStr">
        <is>
          <t>16PR</t>
        </is>
      </c>
      <c r="D485" s="177" t="inlineStr">
        <is>
          <t>CM986</t>
        </is>
      </c>
      <c r="E485" s="177" t="inlineStr">
        <is>
          <t>245/70R19.5-16PR-CM986 US ID</t>
        </is>
      </c>
      <c r="F485" s="131">
        <f>G485-2.179+2.179</f>
        <v/>
      </c>
      <c r="G485" s="131" t="n">
        <v>34.33</v>
      </c>
      <c r="H485" s="129" t="n">
        <v>34.3553</v>
      </c>
      <c r="I485" s="130">
        <f>G485-H485</f>
        <v/>
      </c>
      <c r="J485" s="115">
        <f>_xlfn.TEXTJOIN("-",TRUE,B485,C485,D485)</f>
        <v/>
      </c>
      <c r="K485" s="184" t="n"/>
      <c r="L485" s="184" t="n"/>
      <c r="M485" s="184" t="n"/>
      <c r="N485" s="184" t="n"/>
      <c r="O485" s="184" t="n"/>
      <c r="P485" s="184" t="n"/>
      <c r="Q485" s="184" t="n"/>
      <c r="R485" s="184" t="n"/>
      <c r="BB485" s="390">
        <f>_xlfn.TEXTJOIN("-",TRUE,AU485,AW485)</f>
        <v/>
      </c>
    </row>
    <row r="486">
      <c r="B486" s="143" t="inlineStr">
        <is>
          <t>245/70R19.5</t>
        </is>
      </c>
      <c r="C486" s="169" t="inlineStr">
        <is>
          <t>16PR</t>
        </is>
      </c>
      <c r="D486" s="177" t="inlineStr">
        <is>
          <t>I-19A</t>
        </is>
      </c>
      <c r="E486" s="177" t="inlineStr">
        <is>
          <t>245/70R19.5-16PR-I-19A US ID</t>
        </is>
      </c>
      <c r="F486" s="131">
        <f>G486-2.179+2.179</f>
        <v/>
      </c>
      <c r="G486" s="131" t="n">
        <v>35.258</v>
      </c>
      <c r="H486" s="129" t="n">
        <v>35.1069</v>
      </c>
      <c r="I486" s="130">
        <f>G486-H486</f>
        <v/>
      </c>
      <c r="J486" s="115">
        <f>_xlfn.TEXTJOIN("-",TRUE,B486,C486,D486)</f>
        <v/>
      </c>
      <c r="K486" s="184" t="n"/>
      <c r="L486" s="184" t="n"/>
      <c r="M486" s="184" t="n"/>
      <c r="N486" s="184" t="n"/>
      <c r="O486" s="184" t="n"/>
      <c r="P486" s="184" t="n"/>
      <c r="Q486" s="184" t="n"/>
      <c r="R486" s="184" t="n"/>
      <c r="BB486" s="390">
        <f>_xlfn.TEXTJOIN("-",TRUE,AU486,AW486)</f>
        <v/>
      </c>
    </row>
    <row r="487">
      <c r="B487" s="143" t="inlineStr">
        <is>
          <t>245/70R19.5</t>
        </is>
      </c>
      <c r="C487" s="169" t="inlineStr">
        <is>
          <t>16PR</t>
        </is>
      </c>
      <c r="D487" s="177" t="inlineStr">
        <is>
          <t>VD935</t>
        </is>
      </c>
      <c r="E487" s="125" t="inlineStr">
        <is>
          <t>245/70R19.5-16PR-VD935 US ID</t>
        </is>
      </c>
      <c r="F487" s="131">
        <f>G487-2.179+2.179</f>
        <v/>
      </c>
      <c r="G487" s="131" t="n">
        <v>35.724</v>
      </c>
      <c r="H487" s="129" t="n">
        <v>35.7703</v>
      </c>
      <c r="I487" s="130">
        <f>G487-H487</f>
        <v/>
      </c>
      <c r="J487" s="115">
        <f>_xlfn.TEXTJOIN("-",TRUE,B487,C487,D487)</f>
        <v/>
      </c>
      <c r="K487" s="184" t="n"/>
      <c r="L487" s="184" t="n"/>
      <c r="M487" s="184" t="n"/>
      <c r="N487" s="184" t="n"/>
      <c r="O487" s="184" t="n"/>
      <c r="P487" s="184" t="n"/>
      <c r="Q487" s="184" t="n"/>
      <c r="R487" s="184" t="n"/>
      <c r="BB487" s="390">
        <f>_xlfn.TEXTJOIN("-",TRUE,AU487,AW487)</f>
        <v/>
      </c>
    </row>
    <row r="488" ht="13.8" customHeight="1" s="428">
      <c r="B488" s="143" t="inlineStr">
        <is>
          <t>245/70R19.5</t>
        </is>
      </c>
      <c r="C488" s="169" t="inlineStr">
        <is>
          <t>16PR</t>
        </is>
      </c>
      <c r="D488" s="126" t="inlineStr">
        <is>
          <t>AZ599</t>
        </is>
      </c>
      <c r="E488" s="125" t="inlineStr">
        <is>
          <t>245/70R19.5-16PR-F US ID</t>
        </is>
      </c>
      <c r="F488" s="131">
        <f>G488-2.179+2.179</f>
        <v/>
      </c>
      <c r="G488" s="131" t="n">
        <v>35.03</v>
      </c>
      <c r="H488" s="129" t="n">
        <v>35.0302</v>
      </c>
      <c r="I488" s="130">
        <f>G488-H488</f>
        <v/>
      </c>
      <c r="J488" s="115">
        <f>_xlfn.TEXTJOIN("-",TRUE,B488,C488,D488)</f>
        <v/>
      </c>
      <c r="K488" s="184" t="n"/>
      <c r="L488" s="184" t="n"/>
      <c r="M488" s="184" t="n"/>
      <c r="N488" s="184" t="n"/>
      <c r="O488" s="184" t="n"/>
      <c r="P488" s="184" t="n"/>
      <c r="Q488" s="184" t="n"/>
      <c r="R488" s="184" t="n"/>
      <c r="BB488" s="390">
        <f>_xlfn.TEXTJOIN("-",TRUE,AU488,AW488)</f>
        <v/>
      </c>
    </row>
    <row r="489" ht="13.8" customHeight="1" s="428">
      <c r="B489" s="143" t="inlineStr">
        <is>
          <t>245/70R19.5</t>
        </is>
      </c>
      <c r="C489" s="169" t="inlineStr">
        <is>
          <t>16PR</t>
        </is>
      </c>
      <c r="D489" s="126" t="inlineStr">
        <is>
          <t>HF1 Plus</t>
        </is>
      </c>
      <c r="E489" s="177" t="inlineStr">
        <is>
          <t>245/70R19.5-16PR-F US ID</t>
        </is>
      </c>
      <c r="F489" s="128">
        <f>G489-2.179+2.179</f>
        <v/>
      </c>
      <c r="G489" s="131" t="n">
        <v>35.03</v>
      </c>
      <c r="H489" s="129" t="n">
        <v>35.0302</v>
      </c>
      <c r="I489" s="130">
        <f>G489-H489</f>
        <v/>
      </c>
      <c r="J489" s="115">
        <f>_xlfn.TEXTJOIN("-",TRUE,B489,C489,D489)</f>
        <v/>
      </c>
      <c r="K489" s="184" t="n"/>
      <c r="L489" s="184" t="n"/>
      <c r="M489" s="184" t="n"/>
      <c r="N489" s="184" t="n"/>
      <c r="O489" s="184" t="n"/>
      <c r="P489" s="184" t="n"/>
      <c r="Q489" s="184" t="n"/>
      <c r="R489" s="184" t="n"/>
      <c r="BB489" s="390">
        <f>_xlfn.TEXTJOIN("-",TRUE,AU489,AW489)</f>
        <v/>
      </c>
    </row>
    <row r="490">
      <c r="B490" s="143" t="inlineStr">
        <is>
          <t>245/70R19.5</t>
        </is>
      </c>
      <c r="C490" s="169" t="inlineStr">
        <is>
          <t>16PR</t>
        </is>
      </c>
      <c r="D490" s="126" t="inlineStr">
        <is>
          <t>HF1 PlusX</t>
        </is>
      </c>
      <c r="E490" s="177" t="inlineStr">
        <is>
          <t>245/70R19.5-16PR-F US ID</t>
        </is>
      </c>
      <c r="F490" s="128">
        <f>G490-2.179+2.179</f>
        <v/>
      </c>
      <c r="G490" s="131" t="n">
        <v>35.03</v>
      </c>
      <c r="H490" s="129" t="n">
        <v>35.0302</v>
      </c>
      <c r="I490" s="130">
        <f>G490-H490</f>
        <v/>
      </c>
      <c r="J490" s="115">
        <f>_xlfn.TEXTJOIN("-",TRUE,B490,C490,D490)</f>
        <v/>
      </c>
      <c r="K490" s="184" t="n"/>
      <c r="L490" s="184" t="n"/>
      <c r="M490" s="184" t="n"/>
      <c r="N490" s="184" t="n"/>
      <c r="O490" s="184" t="n"/>
      <c r="P490" s="184" t="n"/>
      <c r="Q490" s="184" t="n"/>
      <c r="R490" s="184" t="n"/>
      <c r="BB490" s="390">
        <f>_xlfn.TEXTJOIN("-",TRUE,AU490,AW490)</f>
        <v/>
      </c>
    </row>
    <row r="491">
      <c r="B491" s="143" t="inlineStr">
        <is>
          <t>245/70R19.5</t>
        </is>
      </c>
      <c r="C491" s="169" t="inlineStr">
        <is>
          <t>16PR</t>
        </is>
      </c>
      <c r="D491" s="177" t="inlineStr">
        <is>
          <t>AP-7318</t>
        </is>
      </c>
      <c r="E491" s="171" t="inlineStr">
        <is>
          <t>245/70R19.5-16PR-F US ID</t>
        </is>
      </c>
      <c r="F491" s="128">
        <f>G491-2.179+2.179</f>
        <v/>
      </c>
      <c r="G491" s="131" t="n">
        <v>35.03</v>
      </c>
      <c r="H491" s="129" t="n">
        <v>35.0302</v>
      </c>
      <c r="I491" s="130">
        <f>G491-H491</f>
        <v/>
      </c>
      <c r="J491" s="115">
        <f>_xlfn.TEXTJOIN("-",TRUE,B491,C491,D491)</f>
        <v/>
      </c>
      <c r="K491" s="184" t="n"/>
      <c r="L491" s="184" t="n"/>
      <c r="M491" s="184" t="n"/>
      <c r="N491" s="184" t="n"/>
      <c r="O491" s="184" t="n"/>
      <c r="P491" s="184" t="n"/>
      <c r="Q491" s="184" t="n"/>
      <c r="R491" s="184" t="n"/>
      <c r="BB491" s="390">
        <f>_xlfn.TEXTJOIN("-",TRUE,AU491,AW491)</f>
        <v/>
      </c>
    </row>
    <row r="492">
      <c r="B492" s="143" t="inlineStr">
        <is>
          <t>245/70R19.5</t>
        </is>
      </c>
      <c r="C492" s="169" t="inlineStr">
        <is>
          <t>16PR</t>
        </is>
      </c>
      <c r="D492" s="177" t="inlineStr">
        <is>
          <t>AD717</t>
        </is>
      </c>
      <c r="E492" s="125" t="inlineStr">
        <is>
          <t>245/70R19.5-16PR-G US ID</t>
        </is>
      </c>
      <c r="F492" s="131">
        <f>G492-2.179+2.179</f>
        <v/>
      </c>
      <c r="G492" s="131" t="n">
        <v>35.701</v>
      </c>
      <c r="H492" s="129" t="n">
        <v>35.6051</v>
      </c>
      <c r="I492" s="130">
        <f>G492-H492</f>
        <v/>
      </c>
      <c r="J492" s="115">
        <f>_xlfn.TEXTJOIN("-",TRUE,B492,C492,D492)</f>
        <v/>
      </c>
      <c r="K492" s="184" t="n"/>
      <c r="L492" s="184" t="n"/>
      <c r="M492" s="184" t="n"/>
      <c r="N492" s="184" t="n"/>
      <c r="O492" s="184" t="n"/>
      <c r="P492" s="184" t="n"/>
      <c r="Q492" s="184" t="n"/>
      <c r="R492" s="184" t="n"/>
      <c r="BB492" s="390">
        <f>_xlfn.TEXTJOIN("-",TRUE,AU492,AW492)</f>
        <v/>
      </c>
    </row>
    <row r="493" ht="13.8" customHeight="1" s="428">
      <c r="B493" s="143" t="inlineStr">
        <is>
          <t>245/70R19.5</t>
        </is>
      </c>
      <c r="C493" s="169" t="inlineStr">
        <is>
          <t>16PR</t>
        </is>
      </c>
      <c r="D493" s="177" t="inlineStr">
        <is>
          <t>AW717</t>
        </is>
      </c>
      <c r="E493" s="125" t="inlineStr">
        <is>
          <t>245/70R19.5-16PR-G US ID</t>
        </is>
      </c>
      <c r="F493" s="131">
        <f>G493-2.179+2.179</f>
        <v/>
      </c>
      <c r="G493" s="131" t="n">
        <v>35.701</v>
      </c>
      <c r="H493" s="129" t="n">
        <v>35.6051</v>
      </c>
      <c r="I493" s="130">
        <f>G493-H493</f>
        <v/>
      </c>
      <c r="J493" s="115">
        <f>_xlfn.TEXTJOIN("-",TRUE,B493,C493,D493)</f>
        <v/>
      </c>
      <c r="K493" s="184" t="n"/>
      <c r="L493" s="184" t="n"/>
      <c r="M493" s="184" t="n"/>
      <c r="N493" s="184" t="n"/>
      <c r="O493" s="184" t="n"/>
      <c r="P493" s="184" t="n"/>
      <c r="Q493" s="184" t="n"/>
      <c r="R493" s="184" t="n"/>
      <c r="BB493" s="390">
        <f>_xlfn.TEXTJOIN("-",TRUE,AU493,AW493)</f>
        <v/>
      </c>
    </row>
    <row r="494" ht="13.8" customHeight="1" s="428">
      <c r="B494" s="143" t="inlineStr">
        <is>
          <t>245/70R19.5</t>
        </is>
      </c>
      <c r="C494" s="169" t="inlineStr">
        <is>
          <t>16PR</t>
        </is>
      </c>
      <c r="D494" s="177" t="inlineStr">
        <is>
          <t>DR-7318</t>
        </is>
      </c>
      <c r="E494" s="125" t="inlineStr">
        <is>
          <t>245/70R19.5-16PR-G US ID</t>
        </is>
      </c>
      <c r="F494" s="131">
        <f>G494-2.179+2.179</f>
        <v/>
      </c>
      <c r="G494" s="131" t="n">
        <v>35.701</v>
      </c>
      <c r="H494" s="129" t="n">
        <v>35.6051</v>
      </c>
      <c r="I494" s="130">
        <f>G494-H494</f>
        <v/>
      </c>
      <c r="J494" s="115">
        <f>_xlfn.TEXTJOIN("-",TRUE,B494,C494,D494)</f>
        <v/>
      </c>
      <c r="K494" s="184" t="n"/>
      <c r="L494" s="184" t="n"/>
      <c r="M494" s="184" t="n"/>
      <c r="N494" s="184" t="n"/>
      <c r="O494" s="184" t="n"/>
      <c r="P494" s="184" t="n"/>
      <c r="Q494" s="184" t="n"/>
      <c r="R494" s="184" t="n"/>
      <c r="BB494" s="390">
        <f>_xlfn.TEXTJOIN("-",TRUE,AU494,AW494)</f>
        <v/>
      </c>
    </row>
    <row r="495">
      <c r="B495" s="143" t="inlineStr">
        <is>
          <t>245/70R19.5</t>
        </is>
      </c>
      <c r="C495" s="169" t="inlineStr">
        <is>
          <t>16PR</t>
        </is>
      </c>
      <c r="D495" s="177" t="inlineStr">
        <is>
          <t>HD3 Plus</t>
        </is>
      </c>
      <c r="E495" s="125" t="inlineStr">
        <is>
          <t>245/70R19.5-16PR-G US ID</t>
        </is>
      </c>
      <c r="F495" s="131">
        <f>G495-2.179+2.179</f>
        <v/>
      </c>
      <c r="G495" s="131" t="n">
        <v>35.701</v>
      </c>
      <c r="H495" s="129" t="n">
        <v>35.6051</v>
      </c>
      <c r="I495" s="130">
        <f>G495-H495</f>
        <v/>
      </c>
      <c r="J495" s="115">
        <f>_xlfn.TEXTJOIN("-",TRUE,B495,C495,D495)</f>
        <v/>
      </c>
      <c r="K495" s="184" t="n"/>
      <c r="L495" s="184" t="n"/>
      <c r="M495" s="184" t="n"/>
      <c r="N495" s="184" t="n"/>
      <c r="O495" s="184" t="n"/>
      <c r="P495" s="184" t="n"/>
      <c r="Q495" s="184" t="n"/>
      <c r="R495" s="184" t="n"/>
      <c r="BB495" s="390">
        <f>_xlfn.TEXTJOIN("-",TRUE,AU495,AW495)</f>
        <v/>
      </c>
    </row>
    <row r="496">
      <c r="B496" s="143" t="inlineStr">
        <is>
          <t>245/70R19.5</t>
        </is>
      </c>
      <c r="C496" s="169" t="inlineStr">
        <is>
          <t>16PR</t>
        </is>
      </c>
      <c r="D496" s="177" t="inlineStr">
        <is>
          <t>I-37D</t>
        </is>
      </c>
      <c r="E496" s="177" t="inlineStr">
        <is>
          <t>245/70R19.5-16PR-I-37D US ID</t>
        </is>
      </c>
      <c r="F496" s="131">
        <f>G496-2.179+2.179</f>
        <v/>
      </c>
      <c r="G496" s="131" t="n">
        <v>35.983</v>
      </c>
      <c r="H496" s="129" t="n">
        <v>35.8864</v>
      </c>
      <c r="I496" s="130">
        <f>G496-H496</f>
        <v/>
      </c>
      <c r="J496" s="115">
        <f>_xlfn.TEXTJOIN("-",TRUE,B496,C496,D496)</f>
        <v/>
      </c>
      <c r="K496" s="184" t="n"/>
      <c r="L496" s="184" t="n"/>
      <c r="M496" s="184" t="n"/>
      <c r="N496" s="184" t="n"/>
      <c r="O496" s="184" t="n"/>
      <c r="P496" s="184" t="n"/>
      <c r="Q496" s="184" t="n"/>
      <c r="R496" s="184" t="n"/>
      <c r="BB496" s="390">
        <f>_xlfn.TEXTJOIN("-",TRUE,AU496,AW496)</f>
        <v/>
      </c>
    </row>
    <row r="497">
      <c r="B497" s="143" t="inlineStr">
        <is>
          <t>245/70R19.5</t>
        </is>
      </c>
      <c r="C497" s="169" t="inlineStr">
        <is>
          <t>18PR</t>
        </is>
      </c>
      <c r="D497" s="177" t="inlineStr">
        <is>
          <t>AT530</t>
        </is>
      </c>
      <c r="E497" s="177" t="inlineStr">
        <is>
          <t>245/70R19.5-18PR-A C ID</t>
        </is>
      </c>
      <c r="F497" s="131">
        <f>G497-2.175+2.175</f>
        <v/>
      </c>
      <c r="G497" s="131" t="n">
        <v>35.847</v>
      </c>
      <c r="H497" s="129" t="n">
        <v>35.75</v>
      </c>
      <c r="I497" s="130">
        <f>G497-H497</f>
        <v/>
      </c>
      <c r="J497" s="115">
        <f>_xlfn.TEXTJOIN("-",TRUE,B497,C497,D497)</f>
        <v/>
      </c>
      <c r="K497" s="184" t="n"/>
      <c r="L497" s="184" t="n"/>
      <c r="M497" s="184" t="n"/>
      <c r="N497" s="184" t="n"/>
      <c r="O497" s="184" t="n"/>
      <c r="P497" s="184" t="n"/>
      <c r="Q497" s="184" t="n"/>
      <c r="R497" s="184" t="n"/>
      <c r="BB497" s="390">
        <f>_xlfn.TEXTJOIN("-",TRUE,AU497,AW497)</f>
        <v/>
      </c>
    </row>
    <row r="498">
      <c r="B498" s="143" t="inlineStr">
        <is>
          <t>245/70R19.5</t>
        </is>
      </c>
      <c r="C498" s="169" t="inlineStr">
        <is>
          <t>16PR</t>
        </is>
      </c>
      <c r="D498" s="177" t="inlineStr">
        <is>
          <t>CR960A</t>
        </is>
      </c>
      <c r="E498" s="177" t="inlineStr">
        <is>
          <t>245/70R19.5-16PR-C US ID</t>
        </is>
      </c>
      <c r="F498" s="131">
        <f>G498-2.175+2.175</f>
        <v/>
      </c>
      <c r="G498" s="131" t="n">
        <v>33.848</v>
      </c>
      <c r="H498" s="129" t="n">
        <v>33.8277</v>
      </c>
      <c r="I498" s="130">
        <f>G498-H498</f>
        <v/>
      </c>
      <c r="J498" s="115">
        <f>_xlfn.TEXTJOIN("-",TRUE,B498,C498,D498)</f>
        <v/>
      </c>
      <c r="K498" s="184" t="n"/>
      <c r="L498" s="184" t="n"/>
      <c r="M498" s="184" t="n"/>
      <c r="N498" s="184" t="n"/>
      <c r="O498" s="184" t="n"/>
      <c r="P498" s="184" t="n"/>
      <c r="Q498" s="184" t="n"/>
      <c r="R498" s="184" t="n"/>
      <c r="BB498" s="390">
        <f>_xlfn.TEXTJOIN("-",TRUE,AU498,AW498)</f>
        <v/>
      </c>
    </row>
    <row r="499" ht="13.8" customHeight="1" s="428">
      <c r="B499" s="143" t="inlineStr">
        <is>
          <t>245/70R19.5</t>
        </is>
      </c>
      <c r="C499" s="169" t="inlineStr">
        <is>
          <t>16PR</t>
        </is>
      </c>
      <c r="D499" s="177" t="inlineStr">
        <is>
          <t>I-109</t>
        </is>
      </c>
      <c r="E499" s="177" t="inlineStr">
        <is>
          <t>245/70R19.5-16PR-C US ID</t>
        </is>
      </c>
      <c r="F499" s="131">
        <f>G499-2.175+2.175</f>
        <v/>
      </c>
      <c r="G499" s="131" t="n">
        <v>33.848</v>
      </c>
      <c r="H499" s="129" t="n">
        <v>33.8277</v>
      </c>
      <c r="I499" s="130">
        <f>G499-H499</f>
        <v/>
      </c>
      <c r="J499" s="115">
        <f>_xlfn.TEXTJOIN("-",TRUE,B499,C499,D499)</f>
        <v/>
      </c>
      <c r="K499" s="184" t="n"/>
      <c r="L499" s="184" t="n"/>
      <c r="M499" s="184" t="n"/>
      <c r="N499" s="184" t="n"/>
      <c r="O499" s="184" t="n"/>
      <c r="P499" s="184" t="n"/>
      <c r="Q499" s="184" t="n"/>
      <c r="R499" s="184" t="n"/>
      <c r="BB499" s="390">
        <f>_xlfn.TEXTJOIN("-",TRUE,AU499,AW499)</f>
        <v/>
      </c>
    </row>
    <row r="500" ht="13.8" customHeight="1" s="428">
      <c r="B500" s="143" t="inlineStr">
        <is>
          <t>245/70R19.5</t>
        </is>
      </c>
      <c r="C500" s="169" t="inlineStr">
        <is>
          <t>16PR</t>
        </is>
      </c>
      <c r="D500" s="177" t="inlineStr">
        <is>
          <t>RLINE-A1</t>
        </is>
      </c>
      <c r="E500" s="177" t="inlineStr">
        <is>
          <t>245/70R19.5-16PR-C US ID</t>
        </is>
      </c>
      <c r="F500" s="131">
        <f>G500-2.175+2.175</f>
        <v/>
      </c>
      <c r="G500" s="131" t="n">
        <v>33.848</v>
      </c>
      <c r="H500" s="129" t="n">
        <v>33.8277</v>
      </c>
      <c r="I500" s="130">
        <f>G500-H500</f>
        <v/>
      </c>
      <c r="J500" s="115">
        <f>_xlfn.TEXTJOIN("-",TRUE,B500,C500,D500)</f>
        <v/>
      </c>
      <c r="K500" s="184" t="n"/>
      <c r="L500" s="184" t="n"/>
      <c r="M500" s="184" t="n"/>
      <c r="N500" s="184" t="n"/>
      <c r="O500" s="184" t="n"/>
      <c r="P500" s="184" t="n"/>
      <c r="Q500" s="184" t="n"/>
      <c r="R500" s="184" t="n"/>
      <c r="BB500" s="390">
        <f>_xlfn.TEXTJOIN("-",TRUE,AU500,AW500)</f>
        <v/>
      </c>
    </row>
    <row r="501">
      <c r="B501" s="143" t="inlineStr">
        <is>
          <t>245/70R19.5</t>
        </is>
      </c>
      <c r="C501" s="169" t="inlineStr">
        <is>
          <t>16PR</t>
        </is>
      </c>
      <c r="D501" s="177" t="inlineStr">
        <is>
          <t>AS673</t>
        </is>
      </c>
      <c r="E501" s="177" t="inlineStr">
        <is>
          <t>245/70R19.5-16PR-AS673 US ID</t>
        </is>
      </c>
      <c r="F501" s="131">
        <f>G501-2.175+2.175</f>
        <v/>
      </c>
      <c r="G501" s="131" t="n">
        <v>34.531</v>
      </c>
      <c r="H501" s="129" t="n">
        <v>34.2703</v>
      </c>
      <c r="I501" s="130">
        <f>G501-H501</f>
        <v/>
      </c>
      <c r="J501" s="115">
        <f>_xlfn.TEXTJOIN("-",TRUE,B501,C501,D501)</f>
        <v/>
      </c>
      <c r="K501" s="184" t="n"/>
      <c r="L501" s="184" t="n"/>
      <c r="M501" s="184" t="n"/>
      <c r="N501" s="184" t="n"/>
      <c r="O501" s="184" t="n"/>
      <c r="P501" s="184" t="n"/>
      <c r="Q501" s="184" t="n"/>
      <c r="R501" s="184" t="n"/>
      <c r="BB501" s="390">
        <f>_xlfn.TEXTJOIN("-",TRUE,AU501,AW501)</f>
        <v/>
      </c>
    </row>
    <row r="502">
      <c r="B502" s="143" t="inlineStr">
        <is>
          <t>245/70R19.5</t>
        </is>
      </c>
      <c r="C502" s="169" t="inlineStr">
        <is>
          <t>14PR</t>
        </is>
      </c>
      <c r="D502" s="177" t="inlineStr">
        <is>
          <t>H-RA</t>
        </is>
      </c>
      <c r="E502" s="177" t="inlineStr">
        <is>
          <t>245/70R19.5-14PR-H-RA US ID</t>
        </is>
      </c>
      <c r="F502" s="131">
        <f>G502-2.175+2.175</f>
        <v/>
      </c>
      <c r="G502" s="131" t="n">
        <v>33.523</v>
      </c>
      <c r="H502" s="129" t="n">
        <v>33.2882</v>
      </c>
      <c r="I502" s="130">
        <f>G502-H502</f>
        <v/>
      </c>
      <c r="J502" s="115">
        <f>_xlfn.TEXTJOIN("-",TRUE,B502,C502,D502)</f>
        <v/>
      </c>
      <c r="K502" s="184" t="n"/>
      <c r="L502" s="184" t="n"/>
      <c r="M502" s="184" t="n"/>
      <c r="N502" s="184" t="n"/>
      <c r="O502" s="184" t="n"/>
      <c r="P502" s="184" t="n"/>
      <c r="Q502" s="184" t="n"/>
      <c r="R502" s="184" t="n"/>
      <c r="BB502" s="390">
        <f>_xlfn.TEXTJOIN("-",TRUE,AU502,AW502)</f>
        <v/>
      </c>
    </row>
    <row r="503">
      <c r="B503" s="143" t="inlineStr">
        <is>
          <t>245/70R19.5</t>
        </is>
      </c>
      <c r="C503" s="169" t="inlineStr">
        <is>
          <t>16PR</t>
        </is>
      </c>
      <c r="D503" s="177" t="inlineStr">
        <is>
          <t>AD778</t>
        </is>
      </c>
      <c r="E503" s="177" t="inlineStr">
        <is>
          <t>245/70R19.5-16PR-AD778 US ID</t>
        </is>
      </c>
      <c r="F503" s="131">
        <f>G503-2.175+2.175</f>
        <v/>
      </c>
      <c r="G503" s="131" t="n">
        <v>35.464</v>
      </c>
      <c r="H503" s="129" t="n">
        <v>35.443</v>
      </c>
      <c r="I503" s="130">
        <f>G503-H503</f>
        <v/>
      </c>
      <c r="J503" s="115">
        <f>_xlfn.TEXTJOIN("-",TRUE,B503,C503,D503)</f>
        <v/>
      </c>
      <c r="K503" s="184" t="n"/>
      <c r="L503" s="184" t="n"/>
      <c r="M503" s="184" t="n"/>
      <c r="N503" s="184" t="n"/>
      <c r="O503" s="184" t="n"/>
      <c r="P503" s="184" t="n"/>
      <c r="Q503" s="184" t="n"/>
      <c r="R503" s="184" t="n"/>
      <c r="BB503" s="390">
        <f>_xlfn.TEXTJOIN("-",TRUE,AU503,AW503)</f>
        <v/>
      </c>
    </row>
    <row r="504">
      <c r="B504" s="143" t="inlineStr">
        <is>
          <t>245/70R19.5</t>
        </is>
      </c>
      <c r="C504" s="169" t="inlineStr">
        <is>
          <t>16PR</t>
        </is>
      </c>
      <c r="D504" s="177" t="inlineStr">
        <is>
          <t>ECO-MILE RDW</t>
        </is>
      </c>
      <c r="E504" s="177" t="inlineStr">
        <is>
          <t>245/70R19.5-16PR-N US ID</t>
        </is>
      </c>
      <c r="F504" s="131">
        <f>G504-2.175+2.175</f>
        <v/>
      </c>
      <c r="G504" s="131" t="n">
        <v>38.911</v>
      </c>
      <c r="H504" s="129" t="n">
        <v>38.77</v>
      </c>
      <c r="I504" s="130">
        <f>G504-H504</f>
        <v/>
      </c>
      <c r="J504" s="115">
        <f>_xlfn.TEXTJOIN("-",TRUE,B504,C504,D504)</f>
        <v/>
      </c>
      <c r="K504" s="184" t="n"/>
      <c r="L504" s="184" t="n"/>
      <c r="M504" s="184" t="n"/>
      <c r="N504" s="184" t="n"/>
      <c r="O504" s="184" t="n"/>
      <c r="P504" s="184" t="n"/>
      <c r="Q504" s="184" t="n"/>
      <c r="R504" s="184" t="n"/>
      <c r="BB504" s="390">
        <f>_xlfn.TEXTJOIN("-",TRUE,AU504,AW504)</f>
        <v/>
      </c>
    </row>
    <row r="505">
      <c r="B505" s="143" t="inlineStr">
        <is>
          <t>245/70R19.5</t>
        </is>
      </c>
      <c r="C505" s="169" t="inlineStr">
        <is>
          <t>16PR</t>
        </is>
      </c>
      <c r="D505" s="177" t="inlineStr">
        <is>
          <t>NS785</t>
        </is>
      </c>
      <c r="E505" s="177" t="inlineStr">
        <is>
          <t>245/70R19.5-16PR-N US ID</t>
        </is>
      </c>
      <c r="F505" s="131">
        <f>G505-2.175+2.175</f>
        <v/>
      </c>
      <c r="G505" s="131" t="n">
        <v>38.911</v>
      </c>
      <c r="H505" s="129" t="n">
        <v>38.77</v>
      </c>
      <c r="I505" s="130">
        <f>G505-H505</f>
        <v/>
      </c>
      <c r="J505" s="115">
        <f>_xlfn.TEXTJOIN("-",TRUE,B505,C505,D505)</f>
        <v/>
      </c>
      <c r="K505" s="184" t="n"/>
      <c r="L505" s="184" t="n"/>
      <c r="M505" s="184" t="n"/>
      <c r="N505" s="184" t="n"/>
      <c r="O505" s="184" t="n"/>
      <c r="P505" s="184" t="n"/>
      <c r="Q505" s="184" t="n"/>
      <c r="R505" s="184" t="n"/>
      <c r="BB505" s="390">
        <f>_xlfn.TEXTJOIN("-",TRUE,AU505,AW505)</f>
        <v/>
      </c>
    </row>
    <row r="506">
      <c r="B506" s="143" t="inlineStr">
        <is>
          <t>245/70R19.5</t>
        </is>
      </c>
      <c r="C506" s="169" t="inlineStr">
        <is>
          <t>16PR</t>
        </is>
      </c>
      <c r="D506" s="177" t="inlineStr">
        <is>
          <t>AW785</t>
        </is>
      </c>
      <c r="E506" s="177" t="inlineStr">
        <is>
          <t>245/70R19.5-16PR-N US ID</t>
        </is>
      </c>
      <c r="F506" s="131">
        <f>G506-2.175+2.175</f>
        <v/>
      </c>
      <c r="G506" s="131" t="n">
        <v>38.911</v>
      </c>
      <c r="H506" s="129" t="n">
        <v>38.77</v>
      </c>
      <c r="I506" s="130">
        <f>G506-H506</f>
        <v/>
      </c>
      <c r="J506" s="115">
        <f>_xlfn.TEXTJOIN("-",TRUE,B506,C506,D506)</f>
        <v/>
      </c>
      <c r="K506" s="184" t="n"/>
      <c r="L506" s="184" t="n"/>
      <c r="M506" s="184" t="n"/>
      <c r="N506" s="184" t="n"/>
      <c r="O506" s="184" t="n"/>
      <c r="P506" s="184" t="n"/>
      <c r="Q506" s="184" t="n"/>
      <c r="R506" s="184" t="n"/>
      <c r="BB506" s="390">
        <f>_xlfn.TEXTJOIN("-",TRUE,AU506,AW506)</f>
        <v/>
      </c>
    </row>
    <row r="507">
      <c r="B507" s="143" t="inlineStr">
        <is>
          <t>245/70R19.5</t>
        </is>
      </c>
      <c r="C507" s="169" t="inlineStr">
        <is>
          <t>16PR</t>
        </is>
      </c>
      <c r="D507" s="177" t="inlineStr">
        <is>
          <t>M-TRAC RDW</t>
        </is>
      </c>
      <c r="E507" s="177" t="inlineStr">
        <is>
          <t>245/70R19.5-16PR-N US ID</t>
        </is>
      </c>
      <c r="F507" s="131">
        <f>G507-2.175+2.175</f>
        <v/>
      </c>
      <c r="G507" s="131" t="n">
        <v>38.911</v>
      </c>
      <c r="H507" s="129" t="n">
        <v>38.77</v>
      </c>
      <c r="I507" s="130">
        <f>G507-H507</f>
        <v/>
      </c>
      <c r="J507" s="115">
        <f>_xlfn.TEXTJOIN("-",TRUE,B507,C507,D507)</f>
        <v/>
      </c>
      <c r="K507" s="184" t="n"/>
      <c r="L507" s="184" t="n"/>
      <c r="M507" s="184" t="n"/>
      <c r="N507" s="184" t="n"/>
      <c r="O507" s="184" t="n"/>
      <c r="P507" s="184" t="n"/>
      <c r="Q507" s="184" t="n"/>
      <c r="R507" s="184" t="n"/>
      <c r="BB507" s="390">
        <f>_xlfn.TEXTJOIN("-",TRUE,AU507,AW507)</f>
        <v/>
      </c>
    </row>
    <row r="508">
      <c r="B508" s="206" t="n"/>
      <c r="C508" s="208" t="n"/>
      <c r="D508" s="185" t="n"/>
      <c r="E508" s="178" t="n"/>
      <c r="F508" s="135" t="n"/>
      <c r="G508" s="135" t="n"/>
      <c r="H508" s="138" t="n"/>
      <c r="I508" s="136" t="n"/>
      <c r="J508" s="115">
        <f>_xlfn.TEXTJOIN("-",TRUE,B508,C508,D508)</f>
        <v/>
      </c>
      <c r="K508" s="184" t="n"/>
      <c r="L508" s="184" t="n"/>
      <c r="M508" s="184" t="n"/>
      <c r="N508" s="184" t="n"/>
      <c r="O508" s="184" t="n"/>
      <c r="P508" s="184" t="n"/>
      <c r="Q508" s="184" t="n"/>
      <c r="R508" s="184" t="n"/>
      <c r="BB508" s="390">
        <f>_xlfn.TEXTJOIN("-",TRUE,AU508,AW508)</f>
        <v/>
      </c>
    </row>
    <row r="509">
      <c r="B509" s="143" t="inlineStr">
        <is>
          <t>245/75R22.5</t>
        </is>
      </c>
      <c r="C509" s="169" t="inlineStr">
        <is>
          <t>14PR</t>
        </is>
      </c>
      <c r="D509" s="177" t="inlineStr">
        <is>
          <t>H-RA</t>
        </is>
      </c>
      <c r="E509" s="177" t="inlineStr">
        <is>
          <t>245/75R22.5-14PR-H-RA US C ID</t>
        </is>
      </c>
      <c r="F509" s="131">
        <f>G509-2.08+2.98</f>
        <v/>
      </c>
      <c r="G509" s="131" t="n">
        <v>39.33</v>
      </c>
      <c r="H509" s="129" t="n">
        <v>39.31</v>
      </c>
      <c r="I509" s="130">
        <f>G509-H509</f>
        <v/>
      </c>
      <c r="J509" s="115">
        <f>_xlfn.TEXTJOIN("-",TRUE,B509,C509,D509)</f>
        <v/>
      </c>
      <c r="K509" s="184" t="n"/>
      <c r="L509" s="184" t="n"/>
      <c r="M509" s="184" t="n"/>
      <c r="N509" s="184" t="n"/>
      <c r="O509" s="184" t="n"/>
      <c r="P509" s="184" t="n"/>
      <c r="Q509" s="184" t="n"/>
      <c r="R509" s="184" t="n"/>
      <c r="BB509" s="390">
        <f>_xlfn.TEXTJOIN("-",TRUE,AU509,AW509)</f>
        <v/>
      </c>
    </row>
    <row r="510">
      <c r="B510" s="206" t="n"/>
      <c r="C510" s="208" t="n"/>
      <c r="D510" s="185" t="n"/>
      <c r="E510" s="178" t="n"/>
      <c r="F510" s="135" t="n"/>
      <c r="G510" s="135" t="n"/>
      <c r="H510" s="138" t="n"/>
      <c r="I510" s="136" t="n"/>
      <c r="J510" s="115">
        <f>_xlfn.TEXTJOIN("-",TRUE,B510,C510,D510)</f>
        <v/>
      </c>
      <c r="K510" s="184" t="n"/>
      <c r="L510" s="184" t="n"/>
      <c r="M510" s="184" t="n"/>
      <c r="N510" s="184" t="n"/>
      <c r="O510" s="184" t="n"/>
      <c r="P510" s="184" t="n"/>
      <c r="Q510" s="184" t="n"/>
      <c r="R510" s="184" t="n"/>
      <c r="BB510" s="390">
        <f>_xlfn.TEXTJOIN("-",TRUE,AU510,AW510)</f>
        <v/>
      </c>
    </row>
    <row r="511">
      <c r="B511" s="123" t="inlineStr">
        <is>
          <t>255/70R22.5</t>
        </is>
      </c>
      <c r="C511" s="209" t="inlineStr">
        <is>
          <t>16PR</t>
        </is>
      </c>
      <c r="D511" s="177" t="inlineStr">
        <is>
          <t>CR976A</t>
        </is>
      </c>
      <c r="E511" s="169" t="inlineStr">
        <is>
          <t>ID255/70R22.5-16PR-CRA C ID</t>
        </is>
      </c>
      <c r="F511" s="131">
        <f>G511-2.611+2.906</f>
        <v/>
      </c>
      <c r="G511" s="131" t="n">
        <v>41.495</v>
      </c>
      <c r="H511" s="129" t="n">
        <v>41.4091</v>
      </c>
      <c r="I511" s="130">
        <f>G511-H511</f>
        <v/>
      </c>
      <c r="J511" s="115">
        <f>_xlfn.TEXTJOIN("-",TRUE,B511,C511,D511)</f>
        <v/>
      </c>
      <c r="K511" s="184" t="n"/>
      <c r="L511" s="184" t="n"/>
      <c r="M511" s="184" t="n"/>
      <c r="N511" s="184" t="n"/>
      <c r="O511" s="184" t="n"/>
      <c r="P511" s="184" t="n"/>
      <c r="Q511" s="184" t="n"/>
      <c r="R511" s="184" t="n"/>
      <c r="BB511" s="390">
        <f>_xlfn.TEXTJOIN("-",TRUE,AU511,AW511)</f>
        <v/>
      </c>
    </row>
    <row r="512">
      <c r="B512" s="123" t="inlineStr">
        <is>
          <t>255/70R22.5</t>
        </is>
      </c>
      <c r="C512" s="209" t="inlineStr">
        <is>
          <t>16PR</t>
        </is>
      </c>
      <c r="D512" s="177" t="inlineStr">
        <is>
          <t>RLINE-A2</t>
        </is>
      </c>
      <c r="E512" s="169" t="inlineStr">
        <is>
          <t>ID255/70R22.5-16PR-CRA C ID</t>
        </is>
      </c>
      <c r="F512" s="131">
        <f>G512-2.611+2.906</f>
        <v/>
      </c>
      <c r="G512" s="131" t="n">
        <v>41.495</v>
      </c>
      <c r="H512" s="129" t="n">
        <v>41.4091</v>
      </c>
      <c r="I512" s="130">
        <f>G512-H512</f>
        <v/>
      </c>
      <c r="J512" s="115">
        <f>_xlfn.TEXTJOIN("-",TRUE,B512,C512,D512)</f>
        <v/>
      </c>
      <c r="K512" s="184" t="n"/>
      <c r="L512" s="184" t="n"/>
      <c r="M512" s="184" t="n"/>
      <c r="N512" s="184" t="n"/>
      <c r="O512" s="184" t="n"/>
      <c r="P512" s="184" t="n"/>
      <c r="Q512" s="184" t="n"/>
      <c r="R512" s="184" t="n"/>
      <c r="BB512" s="390">
        <f>_xlfn.TEXTJOIN("-",TRUE,AU512,AW512)</f>
        <v/>
      </c>
    </row>
    <row r="513">
      <c r="B513" s="123" t="inlineStr">
        <is>
          <t>255/70R22.5</t>
        </is>
      </c>
      <c r="C513" s="169" t="inlineStr">
        <is>
          <t>16PR</t>
        </is>
      </c>
      <c r="D513" s="141" t="inlineStr">
        <is>
          <t>AZ599</t>
        </is>
      </c>
      <c r="E513" s="177" t="inlineStr">
        <is>
          <t>ID255/70R22.5-16PR-U C ID</t>
        </is>
      </c>
      <c r="F513" s="131">
        <f>G513-2.611+2.906</f>
        <v/>
      </c>
      <c r="G513" s="131" t="n">
        <v>41.516</v>
      </c>
      <c r="H513" s="129" t="n">
        <v>41.7773</v>
      </c>
      <c r="I513" s="130">
        <f>G513-H513</f>
        <v/>
      </c>
      <c r="J513" s="115">
        <f>_xlfn.TEXTJOIN("-",TRUE,B513,C513,D513)</f>
        <v/>
      </c>
      <c r="K513" s="184" t="n"/>
      <c r="L513" s="184" t="n"/>
      <c r="M513" s="184" t="n"/>
      <c r="N513" s="184" t="n"/>
      <c r="O513" s="184" t="n"/>
      <c r="P513" s="184" t="n"/>
      <c r="Q513" s="184" t="n"/>
      <c r="R513" s="184" t="n"/>
      <c r="BB513" s="390">
        <f>_xlfn.TEXTJOIN("-",TRUE,AU513,AW513)</f>
        <v/>
      </c>
    </row>
    <row r="514">
      <c r="B514" s="123" t="inlineStr">
        <is>
          <t>255/70R22.5</t>
        </is>
      </c>
      <c r="C514" s="169" t="inlineStr">
        <is>
          <t>16PR</t>
        </is>
      </c>
      <c r="D514" s="177" t="inlineStr">
        <is>
          <t>HF1 Plus</t>
        </is>
      </c>
      <c r="E514" s="177" t="inlineStr">
        <is>
          <t>ID255/70R22.5-16PR-U C ID</t>
        </is>
      </c>
      <c r="F514" s="131">
        <f>G514-2.611+2.906</f>
        <v/>
      </c>
      <c r="G514" s="131" t="n">
        <v>41.516</v>
      </c>
      <c r="H514" s="129" t="n">
        <v>41.7773</v>
      </c>
      <c r="I514" s="130">
        <f>G514-H514</f>
        <v/>
      </c>
      <c r="J514" s="115">
        <f>_xlfn.TEXTJOIN("-",TRUE,B514,C514,D514)</f>
        <v/>
      </c>
      <c r="K514" s="184" t="n"/>
      <c r="L514" s="184" t="n"/>
      <c r="M514" s="184" t="n"/>
      <c r="N514" s="184" t="n"/>
      <c r="O514" s="184" t="n"/>
      <c r="P514" s="184" t="n"/>
      <c r="Q514" s="184" t="n"/>
      <c r="R514" s="184" t="n"/>
      <c r="BB514" s="390">
        <f>_xlfn.TEXTJOIN("-",TRUE,AU514,AW514)</f>
        <v/>
      </c>
    </row>
    <row r="515">
      <c r="B515" s="123" t="inlineStr">
        <is>
          <t>255/70R22.5</t>
        </is>
      </c>
      <c r="C515" s="169" t="inlineStr">
        <is>
          <t>16PR</t>
        </is>
      </c>
      <c r="D515" s="177" t="inlineStr">
        <is>
          <t>AS678</t>
        </is>
      </c>
      <c r="E515" s="177" t="inlineStr">
        <is>
          <t>ID255/70R22.5-16PR-U C ID</t>
        </is>
      </c>
      <c r="F515" s="131">
        <f>G515-2.611+2.906</f>
        <v/>
      </c>
      <c r="G515" s="131" t="n">
        <v>41.516</v>
      </c>
      <c r="H515" s="129" t="n">
        <v>41.7773</v>
      </c>
      <c r="I515" s="130">
        <f>G515-H515</f>
        <v/>
      </c>
      <c r="J515" s="115">
        <f>_xlfn.TEXTJOIN("-",TRUE,B515,C515,D515)</f>
        <v/>
      </c>
      <c r="K515" s="184" t="n"/>
      <c r="L515" s="184" t="n"/>
      <c r="M515" s="184" t="n"/>
      <c r="N515" s="184" t="n"/>
      <c r="O515" s="184" t="n"/>
      <c r="P515" s="184" t="n"/>
      <c r="Q515" s="184" t="n"/>
      <c r="R515" s="184" t="n"/>
      <c r="BB515" s="390">
        <f>_xlfn.TEXTJOIN("-",TRUE,AU515,AW515)</f>
        <v/>
      </c>
    </row>
    <row r="516">
      <c r="B516" s="123" t="inlineStr">
        <is>
          <t>255/70R22.5</t>
        </is>
      </c>
      <c r="C516" s="169" t="inlineStr">
        <is>
          <t>16PR</t>
        </is>
      </c>
      <c r="D516" s="177" t="inlineStr">
        <is>
          <t>M-TRAC AP</t>
        </is>
      </c>
      <c r="E516" s="177" t="inlineStr">
        <is>
          <t>ID255/70R22.5-16PR-U C ID</t>
        </is>
      </c>
      <c r="F516" s="131">
        <f>G516-2.611+2.906</f>
        <v/>
      </c>
      <c r="G516" s="131" t="n">
        <v>41.516</v>
      </c>
      <c r="H516" s="129" t="n">
        <v>41.7773</v>
      </c>
      <c r="I516" s="130">
        <f>G516-H516</f>
        <v/>
      </c>
      <c r="J516" s="115">
        <f>_xlfn.TEXTJOIN("-",TRUE,B516,C516,D516)</f>
        <v/>
      </c>
      <c r="K516" s="184" t="n"/>
      <c r="L516" s="184" t="n"/>
      <c r="M516" s="184" t="n"/>
      <c r="N516" s="184" t="n"/>
      <c r="O516" s="184" t="n"/>
      <c r="P516" s="184" t="n"/>
      <c r="Q516" s="184" t="n"/>
      <c r="R516" s="184" t="n"/>
      <c r="BB516" s="390">
        <f>_xlfn.TEXTJOIN("-",TRUE,AU516,AW516)</f>
        <v/>
      </c>
    </row>
    <row r="517">
      <c r="B517" s="123" t="inlineStr">
        <is>
          <t>255/70R22.5</t>
        </is>
      </c>
      <c r="C517" s="169" t="inlineStr">
        <is>
          <t>16PR</t>
        </is>
      </c>
      <c r="D517" s="177" t="inlineStr">
        <is>
          <t>I-19A</t>
        </is>
      </c>
      <c r="E517" s="177" t="inlineStr">
        <is>
          <t>ID255/70R22.5-16PR-I-19A C ID</t>
        </is>
      </c>
      <c r="F517" s="131">
        <f>G517-2.611+2.906</f>
        <v/>
      </c>
      <c r="G517" s="131" t="n">
        <v>41.789</v>
      </c>
      <c r="H517" s="129" t="n">
        <v>41.9658</v>
      </c>
      <c r="I517" s="130">
        <f>G517-H517</f>
        <v/>
      </c>
      <c r="J517" s="115">
        <f>_xlfn.TEXTJOIN("-",TRUE,B517,C517,D517)</f>
        <v/>
      </c>
      <c r="K517" s="184" t="n"/>
      <c r="L517" s="184" t="n"/>
      <c r="M517" s="184" t="n"/>
      <c r="N517" s="184" t="n"/>
      <c r="O517" s="184" t="n"/>
      <c r="P517" s="184" t="n"/>
      <c r="Q517" s="184" t="n"/>
      <c r="R517" s="184" t="n"/>
      <c r="BB517" s="390">
        <f>_xlfn.TEXTJOIN("-",TRUE,AU517,AW517)</f>
        <v/>
      </c>
    </row>
    <row r="518">
      <c r="B518" s="123" t="inlineStr">
        <is>
          <t>255/70R22.5</t>
        </is>
      </c>
      <c r="C518" s="169" t="inlineStr">
        <is>
          <t>16PR</t>
        </is>
      </c>
      <c r="D518" s="177" t="inlineStr">
        <is>
          <t>AT557</t>
        </is>
      </c>
      <c r="E518" s="125" t="inlineStr">
        <is>
          <t>ID255/70R22.5-16PR-A C ID</t>
        </is>
      </c>
      <c r="F518" s="131">
        <f>G518-2.611+2.906</f>
        <v/>
      </c>
      <c r="G518" s="131" t="n">
        <v>43.005</v>
      </c>
      <c r="H518" s="129" t="n">
        <v>43.09</v>
      </c>
      <c r="I518" s="130">
        <f>G518-H518</f>
        <v/>
      </c>
      <c r="J518" s="115">
        <f>_xlfn.TEXTJOIN("-",TRUE,B518,C518,D518)</f>
        <v/>
      </c>
      <c r="K518" s="184" t="n"/>
      <c r="L518" s="184" t="n"/>
      <c r="M518" s="184" t="n"/>
      <c r="N518" s="184" t="n"/>
      <c r="O518" s="184" t="n"/>
      <c r="P518" s="184" t="n"/>
      <c r="Q518" s="184" t="n"/>
      <c r="R518" s="184" t="n"/>
      <c r="BB518" s="390">
        <f>_xlfn.TEXTJOIN("-",TRUE,AU518,AW518)</f>
        <v/>
      </c>
    </row>
    <row r="519">
      <c r="B519" s="123" t="inlineStr">
        <is>
          <t>255/70R22.5</t>
        </is>
      </c>
      <c r="C519" s="169" t="inlineStr">
        <is>
          <t>16PR</t>
        </is>
      </c>
      <c r="D519" s="177" t="inlineStr">
        <is>
          <t>AZ579</t>
        </is>
      </c>
      <c r="E519" s="125" t="inlineStr">
        <is>
          <t>ID255/70R22.5-16PR-A C ID</t>
        </is>
      </c>
      <c r="F519" s="131">
        <f>G519-2.611+2.906</f>
        <v/>
      </c>
      <c r="G519" s="131" t="n">
        <v>43.005</v>
      </c>
      <c r="H519" s="129" t="n">
        <v>43.09</v>
      </c>
      <c r="I519" s="130">
        <f>G519-H519</f>
        <v/>
      </c>
      <c r="J519" s="115">
        <f>_xlfn.TEXTJOIN("-",TRUE,B519,C519,D519)</f>
        <v/>
      </c>
      <c r="K519" s="184" t="n"/>
      <c r="L519" s="184" t="n"/>
      <c r="M519" s="184" t="n"/>
      <c r="N519" s="184" t="n"/>
      <c r="O519" s="184" t="n"/>
      <c r="P519" s="184" t="n"/>
      <c r="Q519" s="184" t="n"/>
      <c r="R519" s="184" t="n"/>
      <c r="BB519" s="390">
        <f>_xlfn.TEXTJOIN("-",TRUE,AU519,AW519)</f>
        <v/>
      </c>
    </row>
    <row r="520">
      <c r="B520" s="123" t="inlineStr">
        <is>
          <t>255/70R22.5</t>
        </is>
      </c>
      <c r="C520" s="169" t="inlineStr">
        <is>
          <t>16PR</t>
        </is>
      </c>
      <c r="D520" s="177" t="inlineStr">
        <is>
          <t>RLINE-M2</t>
        </is>
      </c>
      <c r="E520" s="125" t="inlineStr">
        <is>
          <t>ID255/70R22.5-16PR-A C ID</t>
        </is>
      </c>
      <c r="F520" s="131">
        <f>G520-2.611+2.906</f>
        <v/>
      </c>
      <c r="G520" s="131" t="n">
        <v>43.005</v>
      </c>
      <c r="H520" s="129" t="n">
        <v>43.09</v>
      </c>
      <c r="I520" s="130">
        <f>G520-H520</f>
        <v/>
      </c>
      <c r="J520" s="115">
        <f>_xlfn.TEXTJOIN("-",TRUE,B520,C520,D520)</f>
        <v/>
      </c>
      <c r="K520" s="184" t="n"/>
      <c r="L520" s="184" t="n"/>
      <c r="M520" s="184" t="n"/>
      <c r="N520" s="184" t="n"/>
      <c r="O520" s="184" t="n"/>
      <c r="P520" s="184" t="n"/>
      <c r="Q520" s="184" t="n"/>
      <c r="R520" s="184" t="n"/>
      <c r="BB520" s="390">
        <f>_xlfn.TEXTJOIN("-",TRUE,AU520,AW520)</f>
        <v/>
      </c>
    </row>
    <row r="521">
      <c r="B521" s="123" t="inlineStr">
        <is>
          <t>255/70R22.5</t>
        </is>
      </c>
      <c r="C521" s="169" t="inlineStr">
        <is>
          <t>16PR</t>
        </is>
      </c>
      <c r="D521" s="177" t="inlineStr">
        <is>
          <t>AZM42</t>
        </is>
      </c>
      <c r="E521" s="125" t="inlineStr">
        <is>
          <t>ID255/70R22.5-16PR-A C ID</t>
        </is>
      </c>
      <c r="F521" s="131">
        <f>G521-2.611+2.906</f>
        <v/>
      </c>
      <c r="G521" s="131" t="n">
        <v>43.005</v>
      </c>
      <c r="H521" s="129" t="n">
        <v>43.09</v>
      </c>
      <c r="I521" s="130">
        <f>G521-H521</f>
        <v/>
      </c>
      <c r="J521" s="115">
        <f>_xlfn.TEXTJOIN("-",TRUE,B521,C521,D521)</f>
        <v/>
      </c>
      <c r="K521" s="184" t="n"/>
      <c r="L521" s="184" t="n"/>
      <c r="M521" s="184" t="n"/>
      <c r="N521" s="184" t="n"/>
      <c r="O521" s="184" t="n"/>
      <c r="P521" s="184" t="n"/>
      <c r="Q521" s="184" t="n"/>
      <c r="R521" s="184" t="n"/>
      <c r="BB521" s="390">
        <f>_xlfn.TEXTJOIN("-",TRUE,AU521,AW521)</f>
        <v/>
      </c>
    </row>
    <row r="522">
      <c r="B522" s="123" t="inlineStr">
        <is>
          <t>255/70R22.5</t>
        </is>
      </c>
      <c r="C522" s="169" t="inlineStr">
        <is>
          <t>16PR</t>
        </is>
      </c>
      <c r="D522" s="177" t="inlineStr">
        <is>
          <t>AZ692</t>
        </is>
      </c>
      <c r="E522" s="177" t="inlineStr">
        <is>
          <t>ID255/70R22.5-16PR-AZ692 C ID</t>
        </is>
      </c>
      <c r="F522" s="131">
        <f>G522-2.611+2.906</f>
        <v/>
      </c>
      <c r="G522" s="131" t="n">
        <v>41.863</v>
      </c>
      <c r="H522" s="129" t="n">
        <v>41.8302</v>
      </c>
      <c r="I522" s="130">
        <f>G522-H522</f>
        <v/>
      </c>
      <c r="J522" s="115">
        <f>_xlfn.TEXTJOIN("-",TRUE,B522,C522,D522)</f>
        <v/>
      </c>
      <c r="K522" s="184" t="n"/>
      <c r="L522" s="184" t="n"/>
      <c r="M522" s="184" t="n"/>
      <c r="N522" s="184" t="n"/>
      <c r="O522" s="184" t="n"/>
      <c r="P522" s="184" t="n"/>
      <c r="Q522" s="184" t="n"/>
      <c r="R522" s="184" t="n"/>
      <c r="BB522" s="390">
        <f>_xlfn.TEXTJOIN("-",TRUE,AU522,AW522)</f>
        <v/>
      </c>
    </row>
    <row r="523">
      <c r="B523" s="123" t="inlineStr">
        <is>
          <t>255/70R22.5</t>
        </is>
      </c>
      <c r="C523" s="169" t="inlineStr">
        <is>
          <t>16PR</t>
        </is>
      </c>
      <c r="D523" s="177" t="inlineStr">
        <is>
          <t>CR926D</t>
        </is>
      </c>
      <c r="E523" s="177" t="inlineStr">
        <is>
          <t>ID255/70R22.5-16PR-CR926D C ID</t>
        </is>
      </c>
      <c r="F523" s="131">
        <f>G523-2.611+2.906</f>
        <v/>
      </c>
      <c r="G523" s="131" t="n">
        <v>42.505</v>
      </c>
      <c r="H523" s="129" t="n">
        <v>42.4714</v>
      </c>
      <c r="I523" s="130">
        <f>G523-H523</f>
        <v/>
      </c>
      <c r="J523" s="115">
        <f>_xlfn.TEXTJOIN("-",TRUE,B523,C523,D523)</f>
        <v/>
      </c>
      <c r="K523" s="184" t="n"/>
      <c r="L523" s="184" t="n"/>
      <c r="M523" s="184" t="n"/>
      <c r="N523" s="184" t="n"/>
      <c r="O523" s="184" t="n"/>
      <c r="P523" s="184" t="n"/>
      <c r="Q523" s="184" t="n"/>
      <c r="R523" s="184" t="n"/>
      <c r="BB523" s="390">
        <f>_xlfn.TEXTJOIN("-",TRUE,AU523,AW523)</f>
        <v/>
      </c>
    </row>
    <row r="524">
      <c r="B524" s="123" t="inlineStr">
        <is>
          <t>255/70R22.5</t>
        </is>
      </c>
      <c r="C524" s="169" t="inlineStr">
        <is>
          <t>16PR</t>
        </is>
      </c>
      <c r="D524" s="177" t="inlineStr">
        <is>
          <t>H-RA</t>
        </is>
      </c>
      <c r="E524" s="177" t="inlineStr">
        <is>
          <t>ID255/70R22.5-16PR-HRA C ID</t>
        </is>
      </c>
      <c r="F524" s="131">
        <f>G524-2.611+2.906</f>
        <v/>
      </c>
      <c r="G524" s="131" t="n">
        <v>41.378</v>
      </c>
      <c r="H524" s="129" t="n">
        <v>41.3766</v>
      </c>
      <c r="I524" s="130">
        <f>G524-H524</f>
        <v/>
      </c>
      <c r="J524" s="115">
        <f>_xlfn.TEXTJOIN("-",TRUE,B524,C524,D524)</f>
        <v/>
      </c>
      <c r="K524" s="184" t="n"/>
      <c r="L524" s="184" t="n"/>
      <c r="M524" s="184" t="n"/>
      <c r="N524" s="184" t="n"/>
      <c r="O524" s="184" t="n"/>
      <c r="P524" s="184" t="n"/>
      <c r="Q524" s="184" t="n"/>
      <c r="R524" s="184" t="n"/>
      <c r="BB524" s="390">
        <f>_xlfn.TEXTJOIN("-",TRUE,AU524,AW524)</f>
        <v/>
      </c>
    </row>
    <row r="525">
      <c r="B525" s="123" t="inlineStr">
        <is>
          <t>255/70R22.5</t>
        </is>
      </c>
      <c r="C525" s="169" t="inlineStr">
        <is>
          <t>16PR</t>
        </is>
      </c>
      <c r="D525" s="177" t="inlineStr">
        <is>
          <t>W-Elite DA23</t>
        </is>
      </c>
      <c r="E525" s="177" t="inlineStr">
        <is>
          <t>ID255/70R22.5-16PR-W-Elite DA23 C ID</t>
        </is>
      </c>
      <c r="F525" s="131">
        <f>G525-2.611+2.906</f>
        <v/>
      </c>
      <c r="G525" s="131" t="n">
        <v>44.232</v>
      </c>
      <c r="H525" s="129" t="n">
        <v>43.865</v>
      </c>
      <c r="I525" s="130">
        <f>G525-H525</f>
        <v/>
      </c>
      <c r="J525" s="115">
        <f>_xlfn.TEXTJOIN("-",TRUE,B525,C525,D525)</f>
        <v/>
      </c>
      <c r="K525" s="184" t="n"/>
      <c r="L525" s="184" t="n"/>
      <c r="M525" s="184" t="n"/>
      <c r="N525" s="184" t="n"/>
      <c r="O525" s="184" t="n"/>
      <c r="P525" s="184" t="n"/>
      <c r="Q525" s="184" t="n"/>
      <c r="R525" s="184" t="n"/>
      <c r="BB525" s="390">
        <f>_xlfn.TEXTJOIN("-",TRUE,AU525,AW525)</f>
        <v/>
      </c>
    </row>
    <row r="526">
      <c r="B526" s="123" t="inlineStr">
        <is>
          <t>255/70R22.5</t>
        </is>
      </c>
      <c r="C526" s="169" t="inlineStr">
        <is>
          <t>16PR</t>
        </is>
      </c>
      <c r="D526" s="177" t="inlineStr">
        <is>
          <t>W-Elite ZA12</t>
        </is>
      </c>
      <c r="E526" s="177" t="inlineStr">
        <is>
          <t>ID255/70R22.5-16PR-W-Elite ZA12 C ID</t>
        </is>
      </c>
      <c r="F526" s="131">
        <f>G526-2.611+2.906</f>
        <v/>
      </c>
      <c r="G526" s="131" t="n">
        <v>41.951</v>
      </c>
      <c r="H526" s="129" t="n">
        <v>41.9175</v>
      </c>
      <c r="I526" s="130">
        <f>G526-H526</f>
        <v/>
      </c>
      <c r="J526" s="115">
        <f>_xlfn.TEXTJOIN("-",TRUE,B526,C526,D526)</f>
        <v/>
      </c>
      <c r="K526" s="184" t="n"/>
      <c r="L526" s="184" t="n"/>
      <c r="M526" s="184" t="n"/>
      <c r="N526" s="184" t="n"/>
      <c r="O526" s="184" t="n"/>
      <c r="P526" s="184" t="n"/>
      <c r="Q526" s="184" t="n"/>
      <c r="R526" s="184" t="n"/>
      <c r="BB526" s="390">
        <f>_xlfn.TEXTJOIN("-",TRUE,AU526,AW526)</f>
        <v/>
      </c>
    </row>
    <row r="527">
      <c r="B527" s="123" t="inlineStr">
        <is>
          <t>255/70R22.5</t>
        </is>
      </c>
      <c r="C527" s="169" t="inlineStr">
        <is>
          <t>16PR</t>
        </is>
      </c>
      <c r="D527" s="177" t="inlineStr">
        <is>
          <t>VA996</t>
        </is>
      </c>
      <c r="E527" s="177" t="inlineStr">
        <is>
          <t>ID255/70R22.5-16PR-VA996 C ID</t>
        </is>
      </c>
      <c r="F527" s="131">
        <f>G527-2.46+2.91</f>
        <v/>
      </c>
      <c r="G527" s="131" t="n">
        <v>41.549</v>
      </c>
      <c r="H527" s="129" t="n">
        <v>41.48</v>
      </c>
      <c r="I527" s="130">
        <f>G527-H527</f>
        <v/>
      </c>
      <c r="J527" s="115">
        <f>_xlfn.TEXTJOIN("-",TRUE,B527,C527,D527)</f>
        <v/>
      </c>
      <c r="K527" s="184" t="n"/>
      <c r="L527" s="184" t="n"/>
      <c r="M527" s="184" t="n"/>
      <c r="N527" s="184" t="n"/>
      <c r="O527" s="184" t="n"/>
      <c r="P527" s="184" t="n"/>
      <c r="Q527" s="184" t="n"/>
      <c r="R527" s="184" t="n"/>
      <c r="BB527" s="390">
        <f>_xlfn.TEXTJOIN("-",TRUE,AU527,AW527)</f>
        <v/>
      </c>
    </row>
    <row r="528">
      <c r="B528" s="123" t="inlineStr">
        <is>
          <t>255/70R22.5</t>
        </is>
      </c>
      <c r="C528" s="169" t="inlineStr">
        <is>
          <t>16PR</t>
        </is>
      </c>
      <c r="D528" s="177" t="inlineStr">
        <is>
          <t>STEALTH S01</t>
        </is>
      </c>
      <c r="E528" s="177" t="inlineStr">
        <is>
          <t>ID255/70R22.5-16PR-S01 C ID</t>
        </is>
      </c>
      <c r="F528" s="131">
        <f>G528-2.61+2.91</f>
        <v/>
      </c>
      <c r="G528" s="131" t="n">
        <v>42.293</v>
      </c>
      <c r="H528" s="129" t="n">
        <v>42.26</v>
      </c>
      <c r="I528" s="130">
        <f>G528-H528</f>
        <v/>
      </c>
      <c r="J528" s="115">
        <f>_xlfn.TEXTJOIN("-",TRUE,B528,C528,D528)</f>
        <v/>
      </c>
      <c r="K528" s="184" t="n"/>
      <c r="L528" s="184" t="n"/>
      <c r="M528" s="184" t="n"/>
      <c r="N528" s="184" t="n"/>
      <c r="O528" s="184" t="n"/>
      <c r="P528" s="184" t="n"/>
      <c r="Q528" s="184" t="n"/>
      <c r="R528" s="184" t="n"/>
      <c r="BB528" s="390">
        <f>_xlfn.TEXTJOIN("-",TRUE,AU528,AW528)</f>
        <v/>
      </c>
    </row>
    <row r="529">
      <c r="B529" s="132" t="n"/>
      <c r="C529" s="178" t="n"/>
      <c r="D529" s="178" t="n"/>
      <c r="E529" s="178" t="n"/>
      <c r="F529" s="135" t="n"/>
      <c r="G529" s="135" t="n"/>
      <c r="H529" s="174" t="n"/>
      <c r="I529" s="134" t="n"/>
      <c r="J529" s="115">
        <f>_xlfn.TEXTJOIN("-",TRUE,B529,C529,D529)</f>
        <v/>
      </c>
      <c r="K529" s="184" t="n"/>
      <c r="L529" s="184" t="n"/>
      <c r="M529" s="184" t="n"/>
      <c r="N529" s="184" t="n"/>
      <c r="O529" s="184" t="n"/>
      <c r="P529" s="184" t="n"/>
      <c r="Q529" s="184" t="n"/>
      <c r="R529" s="184" t="n"/>
      <c r="BB529" s="390">
        <f>_xlfn.TEXTJOIN("-",TRUE,AU529,AW529)</f>
        <v/>
      </c>
    </row>
    <row r="530">
      <c r="B530" s="123" t="inlineStr">
        <is>
          <t>265/70R19.5</t>
        </is>
      </c>
      <c r="C530" s="177" t="inlineStr">
        <is>
          <t>18PR</t>
        </is>
      </c>
      <c r="D530" s="177" t="inlineStr">
        <is>
          <t>DA24</t>
        </is>
      </c>
      <c r="E530" s="177" t="inlineStr">
        <is>
          <t>265/70R19.5-18PR-DA24 US ID</t>
        </is>
      </c>
      <c r="F530" s="131">
        <f>G530-2.277+2.277</f>
        <v/>
      </c>
      <c r="G530" s="131" t="n">
        <v>40.603</v>
      </c>
      <c r="H530" s="131" t="n">
        <v>40.5898</v>
      </c>
      <c r="I530" s="130">
        <f>G530-H530</f>
        <v/>
      </c>
      <c r="J530" s="115">
        <f>_xlfn.TEXTJOIN("-",TRUE,B530,C530,D530)</f>
        <v/>
      </c>
      <c r="K530" s="184" t="n"/>
      <c r="L530" s="184" t="n"/>
      <c r="M530" s="184" t="n"/>
      <c r="N530" s="184" t="n"/>
      <c r="O530" s="184" t="n"/>
      <c r="P530" s="184" t="n"/>
      <c r="Q530" s="184" t="n"/>
      <c r="R530" s="184" t="n"/>
      <c r="BB530" s="390">
        <f>_xlfn.TEXTJOIN("-",TRUE,AU530,AW530)</f>
        <v/>
      </c>
    </row>
    <row r="531">
      <c r="B531" s="123" t="inlineStr">
        <is>
          <t>265/70R19.5</t>
        </is>
      </c>
      <c r="C531" s="177" t="inlineStr">
        <is>
          <t>18PR</t>
        </is>
      </c>
      <c r="D531" s="177" t="inlineStr">
        <is>
          <t>ZA15</t>
        </is>
      </c>
      <c r="E531" s="125" t="inlineStr">
        <is>
          <t>265/70R19.5-18PR-VZA US ID</t>
        </is>
      </c>
      <c r="F531" s="131">
        <f>G531-2.277+2.277</f>
        <v/>
      </c>
      <c r="G531" s="131" t="n">
        <v>39.536</v>
      </c>
      <c r="H531" s="131" t="n">
        <v>39.5225</v>
      </c>
      <c r="I531" s="130">
        <f>G531-H531</f>
        <v/>
      </c>
      <c r="J531" s="115">
        <f>_xlfn.TEXTJOIN("-",TRUE,B531,C531,D531)</f>
        <v/>
      </c>
      <c r="K531" s="184" t="n"/>
      <c r="L531" s="184" t="n"/>
      <c r="M531" s="184" t="n"/>
      <c r="N531" s="184" t="n"/>
      <c r="O531" s="184" t="n"/>
      <c r="P531" s="184" t="n"/>
      <c r="Q531" s="184" t="n"/>
      <c r="R531" s="184" t="n"/>
      <c r="BB531" s="390">
        <f>_xlfn.TEXTJOIN("-",TRUE,AU531,AW531)</f>
        <v/>
      </c>
    </row>
    <row r="532">
      <c r="B532" s="123" t="inlineStr">
        <is>
          <t>265/70R19.5</t>
        </is>
      </c>
      <c r="C532" s="177" t="inlineStr">
        <is>
          <t>18PR</t>
        </is>
      </c>
      <c r="D532" s="177" t="inlineStr">
        <is>
          <t>VA933</t>
        </is>
      </c>
      <c r="E532" s="125" t="inlineStr">
        <is>
          <t>265/70R19.5-18PR-VZA US ID</t>
        </is>
      </c>
      <c r="F532" s="131">
        <f>G532-2.277+2.277</f>
        <v/>
      </c>
      <c r="G532" s="131" t="n">
        <v>39.536</v>
      </c>
      <c r="H532" s="131" t="n">
        <v>39.5225</v>
      </c>
      <c r="I532" s="130">
        <f>G532-H532</f>
        <v/>
      </c>
      <c r="J532" s="115">
        <f>_xlfn.TEXTJOIN("-",TRUE,B532,C532,D532)</f>
        <v/>
      </c>
      <c r="K532" s="184" t="n"/>
      <c r="L532" s="184" t="n"/>
      <c r="M532" s="184" t="n"/>
      <c r="N532" s="184" t="n"/>
      <c r="O532" s="184" t="n"/>
      <c r="P532" s="184" t="n"/>
      <c r="Q532" s="184" t="n"/>
      <c r="R532" s="184" t="n"/>
      <c r="BB532" s="390">
        <f>_xlfn.TEXTJOIN("-",TRUE,AU532,AW532)</f>
        <v/>
      </c>
    </row>
    <row r="533">
      <c r="B533" s="123" t="inlineStr">
        <is>
          <t>265/70R19.5</t>
        </is>
      </c>
      <c r="C533" s="177" t="inlineStr">
        <is>
          <t>18PR</t>
        </is>
      </c>
      <c r="D533" s="177" t="inlineStr">
        <is>
          <t>AT530</t>
        </is>
      </c>
      <c r="E533" s="177" t="inlineStr">
        <is>
          <t>265/70R19.5-18PR-A C ID</t>
        </is>
      </c>
      <c r="F533" s="131">
        <f>G533-2.277+2.277</f>
        <v/>
      </c>
      <c r="G533" s="131" t="n">
        <v>40.404</v>
      </c>
      <c r="H533" s="131" t="n">
        <v>40.4</v>
      </c>
      <c r="I533" s="130">
        <f>G533-H533</f>
        <v/>
      </c>
      <c r="J533" s="115">
        <f>_xlfn.TEXTJOIN("-",TRUE,B533,C533,D533)</f>
        <v/>
      </c>
      <c r="K533" s="184" t="n"/>
      <c r="L533" s="184" t="n"/>
      <c r="M533" s="184" t="n"/>
      <c r="N533" s="184" t="n"/>
      <c r="O533" s="184" t="n"/>
      <c r="P533" s="184" t="n"/>
      <c r="Q533" s="184" t="n"/>
      <c r="R533" s="184" t="n"/>
      <c r="BB533" s="390">
        <f>_xlfn.TEXTJOIN("-",TRUE,AU533,AW533)</f>
        <v/>
      </c>
    </row>
    <row r="534">
      <c r="B534" s="123" t="inlineStr">
        <is>
          <t>265/70R19.5</t>
        </is>
      </c>
      <c r="C534" s="177" t="inlineStr">
        <is>
          <t>18PR</t>
        </is>
      </c>
      <c r="D534" s="177" t="inlineStr">
        <is>
          <t>AZ599</t>
        </is>
      </c>
      <c r="E534" s="177" t="inlineStr">
        <is>
          <t>265/70R19.5-18PR-F C ID</t>
        </is>
      </c>
      <c r="F534" s="131">
        <f>G534-2.26+2.26</f>
        <v/>
      </c>
      <c r="G534" s="131" t="n">
        <v>38.639</v>
      </c>
      <c r="H534" s="131" t="n">
        <v>38.5855</v>
      </c>
      <c r="I534" s="130">
        <f>G534-H534</f>
        <v/>
      </c>
      <c r="J534" s="115">
        <f>_xlfn.TEXTJOIN("-",TRUE,B534,C534,D534)</f>
        <v/>
      </c>
      <c r="K534" s="184" t="n"/>
      <c r="L534" s="184" t="n"/>
      <c r="M534" s="184" t="n"/>
      <c r="N534" s="184" t="n"/>
      <c r="O534" s="184" t="n"/>
      <c r="P534" s="184" t="n"/>
      <c r="Q534" s="184" t="n"/>
      <c r="R534" s="184" t="n"/>
      <c r="BB534" s="390">
        <f>_xlfn.TEXTJOIN("-",TRUE,AU534,AW534)</f>
        <v/>
      </c>
    </row>
    <row r="535">
      <c r="B535" s="123" t="inlineStr">
        <is>
          <t>265/70R19.5</t>
        </is>
      </c>
      <c r="C535" s="177" t="inlineStr">
        <is>
          <t>16PR</t>
        </is>
      </c>
      <c r="D535" s="177" t="inlineStr">
        <is>
          <t>AS673</t>
        </is>
      </c>
      <c r="E535" s="177" t="inlineStr">
        <is>
          <t>265/70R19.5-16PR-AS673 C ID</t>
        </is>
      </c>
      <c r="F535" s="131">
        <f>G535-2.26+2.26</f>
        <v/>
      </c>
      <c r="G535" s="131" t="n">
        <v>37.878</v>
      </c>
      <c r="H535" s="131" t="n">
        <v>37.9206</v>
      </c>
      <c r="I535" s="130">
        <f>G535-H535</f>
        <v/>
      </c>
      <c r="J535" s="115">
        <f>_xlfn.TEXTJOIN("-",TRUE,B535,C535,D535)</f>
        <v/>
      </c>
      <c r="K535" s="184" t="n"/>
      <c r="L535" s="184" t="n"/>
      <c r="M535" s="184" t="n"/>
      <c r="N535" s="184" t="n"/>
      <c r="O535" s="184" t="n"/>
      <c r="P535" s="184" t="n"/>
      <c r="Q535" s="184" t="n"/>
      <c r="R535" s="184" t="n"/>
      <c r="BB535" s="390">
        <f>_xlfn.TEXTJOIN("-",TRUE,AU535,AW535)</f>
        <v/>
      </c>
    </row>
    <row r="536">
      <c r="B536" s="123" t="inlineStr">
        <is>
          <t>265/70R19.5</t>
        </is>
      </c>
      <c r="C536" s="177" t="inlineStr">
        <is>
          <t>18PR</t>
        </is>
      </c>
      <c r="D536" s="177" t="inlineStr">
        <is>
          <t>I-19A</t>
        </is>
      </c>
      <c r="E536" s="177" t="inlineStr">
        <is>
          <t>265/70R19.5-18PR-I-19A C ID</t>
        </is>
      </c>
      <c r="F536" s="131">
        <f>G536-2.26+2.26</f>
        <v/>
      </c>
      <c r="G536" s="131" t="n">
        <v>38.689</v>
      </c>
      <c r="H536" s="131" t="n">
        <v>38.6496</v>
      </c>
      <c r="I536" s="130">
        <f>G536-H536</f>
        <v/>
      </c>
      <c r="J536" s="115">
        <f>_xlfn.TEXTJOIN("-",TRUE,B536,C536,D536)</f>
        <v/>
      </c>
      <c r="K536" s="184" t="n"/>
      <c r="L536" s="184" t="n"/>
      <c r="M536" s="184" t="n"/>
      <c r="N536" s="184" t="n"/>
      <c r="O536" s="184" t="n"/>
      <c r="P536" s="184" t="n"/>
      <c r="Q536" s="184" t="n"/>
      <c r="R536" s="184" t="n"/>
      <c r="BB536" s="390">
        <f>_xlfn.TEXTJOIN("-",TRUE,AU536,AW536)</f>
        <v/>
      </c>
    </row>
    <row r="537">
      <c r="B537" s="132" t="n"/>
      <c r="C537" s="178" t="n"/>
      <c r="D537" s="178" t="n"/>
      <c r="E537" s="178" t="n"/>
      <c r="F537" s="135" t="n"/>
      <c r="G537" s="135" t="n"/>
      <c r="H537" s="135" t="n"/>
      <c r="I537" s="136" t="n"/>
      <c r="J537" s="115">
        <f>_xlfn.TEXTJOIN("-",TRUE,B537,C537,D537)</f>
        <v/>
      </c>
      <c r="K537" s="184" t="n"/>
      <c r="L537" s="184" t="n"/>
      <c r="M537" s="184" t="n"/>
      <c r="N537" s="184" t="n"/>
      <c r="O537" s="184" t="n"/>
      <c r="P537" s="184" t="n"/>
      <c r="Q537" s="184" t="n"/>
      <c r="R537" s="210" t="n"/>
      <c r="BB537" s="390">
        <f>_xlfn.TEXTJOIN("-",TRUE,AU537,AW537)</f>
        <v/>
      </c>
    </row>
    <row r="538">
      <c r="B538" s="123" t="inlineStr">
        <is>
          <t>275/70R22.5</t>
        </is>
      </c>
      <c r="C538" s="177" t="inlineStr">
        <is>
          <t>16PR</t>
        </is>
      </c>
      <c r="D538" s="177" t="inlineStr">
        <is>
          <t>AZ692</t>
        </is>
      </c>
      <c r="E538" s="177" t="inlineStr">
        <is>
          <t>275/70R22.5-16PR-AZ692 ID C</t>
        </is>
      </c>
      <c r="F538" s="131">
        <f>G538-2.252+2.717</f>
        <v/>
      </c>
      <c r="G538" s="131" t="n">
        <v>48.75</v>
      </c>
      <c r="H538" s="131" t="n">
        <v>48.7272</v>
      </c>
      <c r="I538" s="130">
        <f>G538-H538</f>
        <v/>
      </c>
      <c r="J538" s="115">
        <f>_xlfn.TEXTJOIN("-",TRUE,B538,C538,D538)</f>
        <v/>
      </c>
      <c r="K538" s="184" t="n"/>
      <c r="L538" s="184" t="n"/>
      <c r="M538" s="184" t="n"/>
      <c r="N538" s="184" t="n"/>
      <c r="O538" s="184" t="n"/>
      <c r="P538" s="184" t="n"/>
      <c r="Q538" s="184" t="n"/>
      <c r="R538" s="210" t="n"/>
      <c r="BB538" s="390">
        <f>_xlfn.TEXTJOIN("-",TRUE,AU538,AW538)</f>
        <v/>
      </c>
    </row>
    <row r="539">
      <c r="B539" s="123" t="inlineStr">
        <is>
          <t>275/70R22.5</t>
        </is>
      </c>
      <c r="C539" s="177" t="inlineStr">
        <is>
          <t>16PR</t>
        </is>
      </c>
      <c r="D539" s="177" t="inlineStr">
        <is>
          <t>AS673</t>
        </is>
      </c>
      <c r="E539" s="177" t="inlineStr">
        <is>
          <t>275/70R22.5-16PR-AS673 ID C</t>
        </is>
      </c>
      <c r="F539" s="131">
        <f>G539-2.252+2.717</f>
        <v/>
      </c>
      <c r="G539" s="131" t="n">
        <v>47.956</v>
      </c>
      <c r="H539" s="131" t="n">
        <v>47.9545</v>
      </c>
      <c r="I539" s="130">
        <f>G539-H539</f>
        <v/>
      </c>
      <c r="J539" s="115">
        <f>_xlfn.TEXTJOIN("-",TRUE,B539,C539,D539)</f>
        <v/>
      </c>
      <c r="K539" s="184" t="n"/>
      <c r="L539" s="184" t="n"/>
      <c r="M539" s="184" t="n"/>
      <c r="N539" s="184" t="n"/>
      <c r="O539" s="184" t="n"/>
      <c r="P539" s="184" t="n"/>
      <c r="Q539" s="184" t="n"/>
      <c r="R539" s="210" t="n"/>
      <c r="BB539" s="390">
        <f>_xlfn.TEXTJOIN("-",TRUE,AU539,AW539)</f>
        <v/>
      </c>
    </row>
    <row r="540">
      <c r="B540" s="123" t="inlineStr">
        <is>
          <t>275/70R22.5</t>
        </is>
      </c>
      <c r="C540" s="177" t="inlineStr">
        <is>
          <t>16PR</t>
        </is>
      </c>
      <c r="D540" s="177" t="inlineStr">
        <is>
          <t>AT557</t>
        </is>
      </c>
      <c r="E540" s="177" t="inlineStr">
        <is>
          <t>275/70R22.5-16PR-AT557 ID C</t>
        </is>
      </c>
      <c r="F540" s="131">
        <f>G540-2.252+2.717</f>
        <v/>
      </c>
      <c r="G540" s="131" t="n">
        <v>51.116</v>
      </c>
      <c r="H540" s="131" t="n">
        <v>51.1334</v>
      </c>
      <c r="I540" s="130">
        <f>G540-H540</f>
        <v/>
      </c>
      <c r="J540" s="115">
        <f>_xlfn.TEXTJOIN("-",TRUE,B540,C540,D540)</f>
        <v/>
      </c>
      <c r="K540" s="184" t="n"/>
      <c r="L540" s="184" t="n"/>
      <c r="M540" s="184" t="n"/>
      <c r="N540" s="184" t="n"/>
      <c r="O540" s="184" t="n"/>
      <c r="P540" s="184" t="n"/>
      <c r="Q540" s="184" t="n"/>
      <c r="R540" s="210" t="n"/>
      <c r="BB540" s="390">
        <f>_xlfn.TEXTJOIN("-",TRUE,AU540,AW540)</f>
        <v/>
      </c>
    </row>
    <row r="541">
      <c r="B541" s="123" t="inlineStr">
        <is>
          <t>275/70R22.5</t>
        </is>
      </c>
      <c r="C541" s="177" t="inlineStr">
        <is>
          <t>16PR</t>
        </is>
      </c>
      <c r="D541" s="177" t="inlineStr">
        <is>
          <t>AZ599</t>
        </is>
      </c>
      <c r="E541" s="125" t="inlineStr">
        <is>
          <t>ID275/70R22.5-16PR-AH ID C</t>
        </is>
      </c>
      <c r="F541" s="131">
        <f>G541-2.245+2.714</f>
        <v/>
      </c>
      <c r="G541" s="131" t="n">
        <v>47.041</v>
      </c>
      <c r="H541" s="131" t="n">
        <v>47.52</v>
      </c>
      <c r="I541" s="130">
        <f>G541-H541</f>
        <v/>
      </c>
      <c r="J541" s="115">
        <f>_xlfn.TEXTJOIN("-",TRUE,B541,C541,D541)</f>
        <v/>
      </c>
      <c r="K541" s="184" t="n"/>
      <c r="L541" s="184" t="n"/>
      <c r="M541" s="184" t="n"/>
      <c r="N541" s="184" t="n"/>
      <c r="O541" s="184" t="n"/>
      <c r="P541" s="184" t="n"/>
      <c r="Q541" s="184" t="n"/>
      <c r="R541" s="210" t="n"/>
      <c r="BB541" s="390">
        <f>_xlfn.TEXTJOIN("-",TRUE,AU541,AW541)</f>
        <v/>
      </c>
    </row>
    <row r="542">
      <c r="B542" s="123" t="inlineStr">
        <is>
          <t>275/70R22.5</t>
        </is>
      </c>
      <c r="C542" s="177" t="inlineStr">
        <is>
          <t>16PR</t>
        </is>
      </c>
      <c r="D542" s="177" t="inlineStr">
        <is>
          <t>HF1 Plus</t>
        </is>
      </c>
      <c r="E542" s="125" t="inlineStr">
        <is>
          <t>ID275/70R22.5-16PR-AH ID C</t>
        </is>
      </c>
      <c r="F542" s="131">
        <f>G542-2.245+2.714</f>
        <v/>
      </c>
      <c r="G542" s="131" t="n">
        <v>47.041</v>
      </c>
      <c r="H542" s="131" t="n">
        <v>47.52</v>
      </c>
      <c r="I542" s="130">
        <f>G542-H542</f>
        <v/>
      </c>
      <c r="J542" s="115">
        <f>_xlfn.TEXTJOIN("-",TRUE,B542,C542,D542)</f>
        <v/>
      </c>
      <c r="K542" s="184" t="n"/>
      <c r="L542" s="184" t="n"/>
      <c r="M542" s="184" t="n"/>
      <c r="N542" s="184" t="n"/>
      <c r="O542" s="184" t="n"/>
      <c r="P542" s="184" t="n"/>
      <c r="Q542" s="184" t="n"/>
      <c r="R542" s="210" t="n"/>
      <c r="BB542" s="390">
        <f>_xlfn.TEXTJOIN("-",TRUE,AU542,AW542)</f>
        <v/>
      </c>
    </row>
    <row r="543">
      <c r="B543" s="123" t="inlineStr">
        <is>
          <t>275/70R22.5</t>
        </is>
      </c>
      <c r="C543" s="177" t="inlineStr">
        <is>
          <t>18PR</t>
        </is>
      </c>
      <c r="D543" s="177" t="inlineStr">
        <is>
          <t>I-19A</t>
        </is>
      </c>
      <c r="E543" s="125" t="inlineStr">
        <is>
          <t>ID275/70R22.5-18PR-I-19A ID C</t>
        </is>
      </c>
      <c r="F543" s="131">
        <f>G543-2.245+2.714</f>
        <v/>
      </c>
      <c r="G543" s="131" t="n">
        <v>48.93</v>
      </c>
      <c r="H543" s="131" t="n">
        <v>49.34</v>
      </c>
      <c r="I543" s="130">
        <f>G543-H543</f>
        <v/>
      </c>
      <c r="J543" s="115">
        <f>_xlfn.TEXTJOIN("-",TRUE,B543,C543,D543)</f>
        <v/>
      </c>
      <c r="K543" s="184" t="n"/>
      <c r="L543" s="184" t="n"/>
      <c r="M543" s="184" t="n"/>
      <c r="N543" s="184" t="n"/>
      <c r="O543" s="184" t="n"/>
      <c r="P543" s="184" t="n"/>
      <c r="Q543" s="184" t="n"/>
      <c r="R543" s="210" t="n"/>
      <c r="BB543" s="390">
        <f>_xlfn.TEXTJOIN("-",TRUE,AU543,AW543)</f>
        <v/>
      </c>
    </row>
    <row r="544">
      <c r="B544" s="123" t="inlineStr">
        <is>
          <t>275/70R22.5</t>
        </is>
      </c>
      <c r="C544" s="177" t="inlineStr">
        <is>
          <t>16PR</t>
        </is>
      </c>
      <c r="D544" s="177" t="inlineStr">
        <is>
          <t>H-RA</t>
        </is>
      </c>
      <c r="E544" s="125" t="inlineStr">
        <is>
          <t>ID275/70R22.5-16PR-HRA ID US C</t>
        </is>
      </c>
      <c r="F544" s="131">
        <f>G544-2.25+2.72</f>
        <v/>
      </c>
      <c r="G544" s="131" t="n">
        <v>47.465</v>
      </c>
      <c r="H544" s="131" t="n">
        <v>47.89</v>
      </c>
      <c r="I544" s="130">
        <f>G544-H544</f>
        <v/>
      </c>
      <c r="J544" s="115">
        <f>_xlfn.TEXTJOIN("-",TRUE,B544,C544,D544)</f>
        <v/>
      </c>
      <c r="K544" s="184" t="n"/>
      <c r="L544" s="184" t="n"/>
      <c r="M544" s="184" t="n"/>
      <c r="N544" s="184" t="n"/>
      <c r="O544" s="184" t="n"/>
      <c r="P544" s="184" t="n"/>
      <c r="Q544" s="184" t="n"/>
      <c r="R544" s="210" t="n"/>
      <c r="BB544" s="390">
        <f>_xlfn.TEXTJOIN("-",TRUE,AU544,AW544)</f>
        <v/>
      </c>
    </row>
    <row r="545">
      <c r="B545" s="177" t="inlineStr">
        <is>
          <t>275/70R22.5</t>
        </is>
      </c>
      <c r="C545" s="177" t="inlineStr">
        <is>
          <t>16PR</t>
        </is>
      </c>
      <c r="D545" s="177" t="inlineStr">
        <is>
          <t>ZA12</t>
        </is>
      </c>
      <c r="E545" s="177" t="inlineStr">
        <is>
          <t>ID275/70R22.5-16PR-W-Elite ZA12 ID C</t>
        </is>
      </c>
      <c r="F545" s="131">
        <f>G545-2.25+2.72</f>
        <v/>
      </c>
      <c r="G545" s="131" t="n">
        <v>49.12</v>
      </c>
      <c r="H545" s="131" t="n">
        <v>49.11</v>
      </c>
      <c r="I545" s="131">
        <f>G545-H545</f>
        <v/>
      </c>
      <c r="J545" s="115">
        <f>_xlfn.TEXTJOIN("-",TRUE,B545,C545,D545)</f>
        <v/>
      </c>
      <c r="K545" s="184" t="n"/>
      <c r="L545" s="184" t="n"/>
      <c r="M545" s="184" t="n"/>
      <c r="N545" s="184" t="n"/>
      <c r="O545" s="184" t="n"/>
      <c r="P545" s="184" t="n"/>
      <c r="Q545" s="184" t="n"/>
      <c r="R545" s="210" t="n"/>
      <c r="BB545" s="390">
        <f>_xlfn.TEXTJOIN("-",TRUE,AU545,AW545)</f>
        <v/>
      </c>
    </row>
    <row r="546">
      <c r="B546" s="132" t="n"/>
      <c r="C546" s="178" t="n"/>
      <c r="D546" s="178" t="n"/>
      <c r="E546" s="185" t="n"/>
      <c r="F546" s="135" t="n"/>
      <c r="G546" s="135" t="n"/>
      <c r="H546" s="135" t="n"/>
      <c r="I546" s="136" t="n"/>
      <c r="J546" s="115">
        <f>_xlfn.TEXTJOIN("-",TRUE,B546,C546,D546)</f>
        <v/>
      </c>
      <c r="K546" s="184" t="n"/>
      <c r="L546" s="184" t="n"/>
      <c r="M546" s="184" t="n"/>
      <c r="N546" s="184" t="n"/>
      <c r="O546" s="184" t="n"/>
      <c r="P546" s="184" t="n"/>
      <c r="Q546" s="184" t="n"/>
      <c r="R546" s="210" t="n"/>
      <c r="BB546" s="390">
        <f>_xlfn.TEXTJOIN("-",TRUE,AU546,AW546)</f>
        <v/>
      </c>
    </row>
    <row r="547">
      <c r="B547" s="123" t="inlineStr">
        <is>
          <t>275/80R22.5</t>
        </is>
      </c>
      <c r="C547" s="177" t="inlineStr">
        <is>
          <t>16PR</t>
        </is>
      </c>
      <c r="D547" s="126" t="inlineStr">
        <is>
          <t>CR976A</t>
        </is>
      </c>
      <c r="E547" s="177" t="inlineStr">
        <is>
          <t>ID275/80R22.5-16PR-CRM ID C</t>
        </is>
      </c>
      <c r="F547" s="128">
        <f>G547-2.524+3.029</f>
        <v/>
      </c>
      <c r="G547" s="131" t="n">
        <v>50.317</v>
      </c>
      <c r="H547" s="131" t="n">
        <v>51.0111</v>
      </c>
      <c r="I547" s="130">
        <f>G547-H547</f>
        <v/>
      </c>
      <c r="J547" s="115">
        <f>_xlfn.TEXTJOIN("-",TRUE,B547,C547,D547)</f>
        <v/>
      </c>
      <c r="K547" s="184" t="n"/>
      <c r="L547" s="184" t="n"/>
      <c r="M547" s="184" t="n"/>
      <c r="N547" s="184" t="n"/>
      <c r="O547" s="184" t="n"/>
      <c r="P547" s="184" t="n"/>
      <c r="Q547" s="184" t="n"/>
      <c r="R547" s="210" t="n"/>
      <c r="BB547" s="390">
        <f>_xlfn.TEXTJOIN("-",TRUE,AU547,AW547)</f>
        <v/>
      </c>
    </row>
    <row r="548">
      <c r="B548" s="123" t="inlineStr">
        <is>
          <t>275/80R22.5</t>
        </is>
      </c>
      <c r="C548" s="177" t="inlineStr">
        <is>
          <t>16PR</t>
        </is>
      </c>
      <c r="D548" s="177" t="inlineStr">
        <is>
          <t>G-PERFORM S</t>
        </is>
      </c>
      <c r="E548" s="171" t="inlineStr">
        <is>
          <t>ID275/80R22.5-16PR-CRM ID C</t>
        </is>
      </c>
      <c r="F548" s="131">
        <f>G548-2.524+3.029</f>
        <v/>
      </c>
      <c r="G548" s="131" t="n">
        <v>50.317</v>
      </c>
      <c r="H548" s="131" t="n">
        <v>51.0111</v>
      </c>
      <c r="I548" s="130">
        <f>G548-H548</f>
        <v/>
      </c>
      <c r="J548" s="115">
        <f>_xlfn.TEXTJOIN("-",TRUE,B548,C548,D548)</f>
        <v/>
      </c>
      <c r="K548" s="184" t="n"/>
      <c r="L548" s="184" t="n"/>
      <c r="M548" s="184" t="n"/>
      <c r="N548" s="184" t="n"/>
      <c r="O548" s="184" t="n"/>
      <c r="P548" s="184" t="n"/>
      <c r="Q548" s="184" t="n"/>
      <c r="R548" s="210" t="n"/>
      <c r="BB548" s="390">
        <f>_xlfn.TEXTJOIN("-",TRUE,AU548,AW548)</f>
        <v/>
      </c>
    </row>
    <row r="549">
      <c r="B549" s="123" t="inlineStr">
        <is>
          <t>275/80R22.5</t>
        </is>
      </c>
      <c r="C549" s="177" t="inlineStr">
        <is>
          <t>16PR</t>
        </is>
      </c>
      <c r="D549" s="177" t="inlineStr">
        <is>
          <t>BRA04</t>
        </is>
      </c>
      <c r="E549" s="125" t="inlineStr">
        <is>
          <t>ID275/80R22.5-16PR-CRM ID C</t>
        </is>
      </c>
      <c r="F549" s="131">
        <f>G549-2.524+3.029</f>
        <v/>
      </c>
      <c r="G549" s="131" t="n">
        <v>50.317</v>
      </c>
      <c r="H549" s="131" t="n">
        <v>51.0111</v>
      </c>
      <c r="I549" s="130">
        <f>G549-H549</f>
        <v/>
      </c>
      <c r="J549" s="115">
        <f>_xlfn.TEXTJOIN("-",TRUE,B549,C549,D549)</f>
        <v/>
      </c>
      <c r="K549" s="184" t="n"/>
      <c r="L549" s="184" t="n"/>
      <c r="M549" s="184" t="n"/>
      <c r="N549" s="184" t="n"/>
      <c r="O549" s="184" t="n"/>
      <c r="P549" s="184" t="n"/>
      <c r="Q549" s="184" t="n"/>
      <c r="R549" s="210" t="n"/>
      <c r="BB549" s="390">
        <f>_xlfn.TEXTJOIN("-",TRUE,AU549,AW549)</f>
        <v/>
      </c>
    </row>
    <row r="550">
      <c r="B550" s="123" t="inlineStr">
        <is>
          <t>275/80R22.5</t>
        </is>
      </c>
      <c r="C550" s="177" t="inlineStr">
        <is>
          <t>16PR</t>
        </is>
      </c>
      <c r="D550" s="177" t="inlineStr">
        <is>
          <t>ECOLINE A-II</t>
        </is>
      </c>
      <c r="E550" s="125" t="inlineStr">
        <is>
          <t>ID275/80R22.5-16PR-CRM ID C</t>
        </is>
      </c>
      <c r="F550" s="131">
        <f>G550-2.524+3.029</f>
        <v/>
      </c>
      <c r="G550" s="131" t="n">
        <v>50.317</v>
      </c>
      <c r="H550" s="131" t="n">
        <v>51.0111</v>
      </c>
      <c r="I550" s="130">
        <f>G550-H550</f>
        <v/>
      </c>
      <c r="J550" s="115">
        <f>_xlfn.TEXTJOIN("-",TRUE,B550,C550,D550)</f>
        <v/>
      </c>
      <c r="K550" s="184" t="n"/>
      <c r="L550" s="184" t="n"/>
      <c r="M550" s="184" t="n"/>
      <c r="N550" s="184" t="n"/>
      <c r="O550" s="184" t="n"/>
      <c r="P550" s="184" t="n"/>
      <c r="Q550" s="184" t="n"/>
      <c r="R550" s="210" t="n"/>
      <c r="BB550" s="390">
        <f>_xlfn.TEXTJOIN("-",TRUE,AU550,AW550)</f>
        <v/>
      </c>
    </row>
    <row r="551">
      <c r="B551" s="123" t="inlineStr">
        <is>
          <t>275/80R22.5</t>
        </is>
      </c>
      <c r="C551" s="177" t="inlineStr">
        <is>
          <t>16PR</t>
        </is>
      </c>
      <c r="D551" s="177" t="inlineStr">
        <is>
          <t>EZ573</t>
        </is>
      </c>
      <c r="E551" s="125" t="inlineStr">
        <is>
          <t>ID275/80R22.5-16PR-EZO ID C</t>
        </is>
      </c>
      <c r="F551" s="131">
        <f>G551-2.531+3.024</f>
        <v/>
      </c>
      <c r="G551" s="131" t="n">
        <v>55.104</v>
      </c>
      <c r="H551" s="131" t="n">
        <v>55.6264</v>
      </c>
      <c r="I551" s="130">
        <f>G551-H551</f>
        <v/>
      </c>
      <c r="J551" s="115">
        <f>_xlfn.TEXTJOIN("-",TRUE,B551,C551,D551)</f>
        <v/>
      </c>
      <c r="K551" s="184" t="n"/>
      <c r="L551" s="184" t="n"/>
      <c r="M551" s="184" t="n"/>
      <c r="N551" s="184" t="n"/>
      <c r="O551" s="184" t="n"/>
      <c r="P551" s="184" t="n"/>
      <c r="Q551" s="184" t="n"/>
      <c r="R551" s="210" t="n"/>
      <c r="BB551" s="390">
        <f>_xlfn.TEXTJOIN("-",TRUE,AU551,AW551)</f>
        <v/>
      </c>
    </row>
    <row r="552">
      <c r="B552" s="123" t="inlineStr">
        <is>
          <t>275/80R22.5</t>
        </is>
      </c>
      <c r="C552" s="177" t="inlineStr">
        <is>
          <t>16PR</t>
        </is>
      </c>
      <c r="D552" s="177" t="inlineStr">
        <is>
          <t>G-PRO MSA</t>
        </is>
      </c>
      <c r="E552" s="125" t="inlineStr">
        <is>
          <t>ID275/80R22.5-16PR-EZO ID C</t>
        </is>
      </c>
      <c r="F552" s="131">
        <f>G552-2.531+3.024</f>
        <v/>
      </c>
      <c r="G552" s="131" t="n">
        <v>55.104</v>
      </c>
      <c r="H552" s="131" t="n">
        <v>55.6264</v>
      </c>
      <c r="I552" s="130">
        <f>G552-H552</f>
        <v/>
      </c>
      <c r="J552" s="115">
        <f>_xlfn.TEXTJOIN("-",TRUE,B552,C552,D552)</f>
        <v/>
      </c>
      <c r="K552" s="184" t="n"/>
      <c r="L552" s="184" t="n"/>
      <c r="M552" s="184" t="n"/>
      <c r="N552" s="184" t="n"/>
      <c r="O552" s="184" t="n"/>
      <c r="P552" s="184" t="n"/>
      <c r="Q552" s="184" t="n"/>
      <c r="R552" s="210" t="n"/>
      <c r="BB552" s="390">
        <f>_xlfn.TEXTJOIN("-",TRUE,AU552,AW552)</f>
        <v/>
      </c>
    </row>
    <row r="553">
      <c r="B553" s="123" t="inlineStr">
        <is>
          <t>275/80R22.5</t>
        </is>
      </c>
      <c r="C553" s="177" t="inlineStr">
        <is>
          <t>16PR</t>
        </is>
      </c>
      <c r="D553" s="177" t="inlineStr">
        <is>
          <t>BMA03 ECO</t>
        </is>
      </c>
      <c r="E553" s="125" t="inlineStr">
        <is>
          <t>ID275/80R22.5-16PR-EZO ID C</t>
        </is>
      </c>
      <c r="F553" s="131">
        <f>G553-2.531+3.024</f>
        <v/>
      </c>
      <c r="G553" s="131" t="n">
        <v>55.104</v>
      </c>
      <c r="H553" s="131" t="n">
        <v>55.6264</v>
      </c>
      <c r="I553" s="130">
        <f>G553-H553</f>
        <v/>
      </c>
      <c r="J553" s="115">
        <f>_xlfn.TEXTJOIN("-",TRUE,B553,C553,D553)</f>
        <v/>
      </c>
      <c r="K553" s="184" t="n"/>
      <c r="L553" s="184" t="n"/>
      <c r="M553" s="184" t="n"/>
      <c r="N553" s="184" t="n"/>
      <c r="O553" s="184" t="n"/>
      <c r="P553" s="184" t="n"/>
      <c r="Q553" s="184" t="n"/>
      <c r="R553" s="210" t="n"/>
      <c r="BB553" s="390">
        <f>_xlfn.TEXTJOIN("-",TRUE,AU553,AW553)</f>
        <v/>
      </c>
    </row>
    <row r="554">
      <c r="B554" s="123" t="inlineStr">
        <is>
          <t>275/80R22.5</t>
        </is>
      </c>
      <c r="C554" s="177" t="inlineStr">
        <is>
          <t>16PR</t>
        </is>
      </c>
      <c r="D554" s="177" t="inlineStr">
        <is>
          <t>AD153</t>
        </is>
      </c>
      <c r="E554" s="125" t="inlineStr">
        <is>
          <t>ID275/80R22.5-16PR-ADM ID C</t>
        </is>
      </c>
      <c r="F554" s="131">
        <f>G554-2.531+3.024</f>
        <v/>
      </c>
      <c r="G554" s="131" t="n">
        <v>53.25</v>
      </c>
      <c r="H554" s="131" t="n">
        <v>53.7719</v>
      </c>
      <c r="I554" s="130">
        <f>G554-H554</f>
        <v/>
      </c>
      <c r="J554" s="115">
        <f>_xlfn.TEXTJOIN("-",TRUE,B554,C554,D554)</f>
        <v/>
      </c>
      <c r="K554" s="184" t="n"/>
      <c r="L554" s="184" t="n"/>
      <c r="M554" s="184" t="n"/>
      <c r="N554" s="184" t="n"/>
      <c r="O554" s="184" t="n"/>
      <c r="P554" s="184" t="n"/>
      <c r="Q554" s="184" t="n"/>
      <c r="R554" s="210" t="n"/>
      <c r="BB554" s="390">
        <f>_xlfn.TEXTJOIN("-",TRUE,AU554,AW554)</f>
        <v/>
      </c>
    </row>
    <row r="555">
      <c r="B555" s="123" t="inlineStr">
        <is>
          <t>275/80R22.5</t>
        </is>
      </c>
      <c r="C555" s="177" t="inlineStr">
        <is>
          <t>16PR</t>
        </is>
      </c>
      <c r="D555" s="177" t="inlineStr">
        <is>
          <t>G-PERFORM D</t>
        </is>
      </c>
      <c r="E555" s="125" t="inlineStr">
        <is>
          <t>ID275/80R22.5-16PR-ADM ID C</t>
        </is>
      </c>
      <c r="F555" s="131">
        <f>G555-2.531+3.024</f>
        <v/>
      </c>
      <c r="G555" s="131" t="n">
        <v>53.25</v>
      </c>
      <c r="H555" s="131" t="n">
        <v>53.7719</v>
      </c>
      <c r="I555" s="130">
        <f>G555-H555</f>
        <v/>
      </c>
      <c r="J555" s="115">
        <f>_xlfn.TEXTJOIN("-",TRUE,B555,C555,D555)</f>
        <v/>
      </c>
      <c r="K555" s="184" t="n"/>
      <c r="L555" s="184" t="n"/>
      <c r="M555" s="184" t="n"/>
      <c r="N555" s="184" t="n"/>
      <c r="O555" s="184" t="n"/>
      <c r="P555" s="184" t="n"/>
      <c r="Q555" s="184" t="n"/>
      <c r="R555" s="210" t="n"/>
      <c r="BB555" s="390">
        <f>_xlfn.TEXTJOIN("-",TRUE,AU555,AW555)</f>
        <v/>
      </c>
    </row>
    <row r="556">
      <c r="B556" s="123" t="inlineStr">
        <is>
          <t>275/80R22.5</t>
        </is>
      </c>
      <c r="C556" s="177" t="inlineStr">
        <is>
          <t>16PR</t>
        </is>
      </c>
      <c r="D556" s="177" t="inlineStr">
        <is>
          <t>BRD02 ECO</t>
        </is>
      </c>
      <c r="E556" s="125" t="inlineStr">
        <is>
          <t>ID275/80R22.5-16PR-ADM ID C</t>
        </is>
      </c>
      <c r="F556" s="131">
        <f>G556-2.531+3.024</f>
        <v/>
      </c>
      <c r="G556" s="131" t="n">
        <v>53.25</v>
      </c>
      <c r="H556" s="131" t="n">
        <v>53.7719</v>
      </c>
      <c r="I556" s="130">
        <f>G556-H556</f>
        <v/>
      </c>
      <c r="J556" s="115">
        <f>_xlfn.TEXTJOIN("-",TRUE,B556,C556,D556)</f>
        <v/>
      </c>
      <c r="K556" s="184" t="n"/>
      <c r="L556" s="184" t="n"/>
      <c r="M556" s="184" t="n"/>
      <c r="N556" s="184" t="n"/>
      <c r="O556" s="184" t="n"/>
      <c r="P556" s="184" t="n"/>
      <c r="Q556" s="184" t="n"/>
      <c r="R556" s="210" t="n"/>
      <c r="BB556" s="390">
        <f>_xlfn.TEXTJOIN("-",TRUE,AU556,AW556)</f>
        <v/>
      </c>
    </row>
    <row r="557">
      <c r="B557" s="123" t="inlineStr">
        <is>
          <t>275/80R22.5</t>
        </is>
      </c>
      <c r="C557" s="177" t="inlineStr">
        <is>
          <t>16PR</t>
        </is>
      </c>
      <c r="D557" s="177" t="inlineStr">
        <is>
          <t>CR906</t>
        </is>
      </c>
      <c r="E557" s="125" t="inlineStr">
        <is>
          <t>ID275/80R22.5-16PR-CRO ID C</t>
        </is>
      </c>
      <c r="F557" s="131">
        <f>G557-2.524+3.029</f>
        <v/>
      </c>
      <c r="G557" s="131" t="n">
        <v>58.66</v>
      </c>
      <c r="H557" s="131" t="n">
        <v>59.2135</v>
      </c>
      <c r="I557" s="130">
        <f>G557-H557</f>
        <v/>
      </c>
      <c r="J557" s="115">
        <f>_xlfn.TEXTJOIN("-",TRUE,B557,C557,D557)</f>
        <v/>
      </c>
      <c r="K557" s="184" t="n"/>
      <c r="L557" s="184" t="n"/>
      <c r="M557" s="184" t="n"/>
      <c r="N557" s="184" t="n"/>
      <c r="O557" s="184" t="n"/>
      <c r="P557" s="184" t="n"/>
      <c r="Q557" s="184" t="n"/>
      <c r="R557" s="210" t="n"/>
      <c r="BB557" s="390">
        <f>_xlfn.TEXTJOIN("-",TRUE,AU557,AW557)</f>
        <v/>
      </c>
    </row>
    <row r="558">
      <c r="B558" s="123" t="inlineStr">
        <is>
          <t>275/80R22.5</t>
        </is>
      </c>
      <c r="C558" s="177" t="inlineStr">
        <is>
          <t>16PR</t>
        </is>
      </c>
      <c r="D558" s="126" t="inlineStr">
        <is>
          <t>G-PRO U</t>
        </is>
      </c>
      <c r="E558" s="177" t="inlineStr">
        <is>
          <t>ID275/80R22.5-16PR-CRO ID C</t>
        </is>
      </c>
      <c r="F558" s="131">
        <f>G558-2.524+3.029</f>
        <v/>
      </c>
      <c r="G558" s="131" t="n">
        <v>58.66</v>
      </c>
      <c r="H558" s="131" t="n">
        <v>59.2135</v>
      </c>
      <c r="I558" s="130">
        <f>G558-H558</f>
        <v/>
      </c>
      <c r="J558" s="115">
        <f>_xlfn.TEXTJOIN("-",TRUE,B558,C558,D558)</f>
        <v/>
      </c>
      <c r="K558" s="184" t="n"/>
      <c r="L558" s="184" t="n"/>
      <c r="M558" s="184" t="n"/>
      <c r="N558" s="184" t="n"/>
      <c r="O558" s="184" t="n"/>
      <c r="P558" s="184" t="n"/>
      <c r="Q558" s="184" t="n"/>
      <c r="R558" s="210" t="n"/>
      <c r="BB558" s="390">
        <f>_xlfn.TEXTJOIN("-",TRUE,AU558,AW558)</f>
        <v/>
      </c>
    </row>
    <row r="559">
      <c r="B559" s="123" t="inlineStr">
        <is>
          <t>275/80R22.5</t>
        </is>
      </c>
      <c r="C559" s="177" t="inlineStr">
        <is>
          <t>16PR</t>
        </is>
      </c>
      <c r="D559" s="177" t="inlineStr">
        <is>
          <t>AD528</t>
        </is>
      </c>
      <c r="E559" s="141" t="inlineStr">
        <is>
          <t>ID275/80R22.5-16PR-ADD ID C</t>
        </is>
      </c>
      <c r="F559" s="131">
        <f>G559-2.524+3.029</f>
        <v/>
      </c>
      <c r="G559" s="131" t="n">
        <v>53.185</v>
      </c>
      <c r="H559" s="131" t="n">
        <v>53.1474</v>
      </c>
      <c r="I559" s="130">
        <f>G559-H559</f>
        <v/>
      </c>
      <c r="J559" s="115">
        <f>_xlfn.TEXTJOIN("-",TRUE,B559,C559,D559)</f>
        <v/>
      </c>
      <c r="K559" s="184" t="n"/>
      <c r="L559" s="184" t="n"/>
      <c r="M559" s="184" t="n"/>
      <c r="N559" s="184" t="n"/>
      <c r="O559" s="184" t="n"/>
      <c r="P559" s="184" t="n"/>
      <c r="Q559" s="184" t="n"/>
      <c r="R559" s="210" t="n"/>
      <c r="BB559" s="390">
        <f>_xlfn.TEXTJOIN("-",TRUE,AU559,AW559)</f>
        <v/>
      </c>
    </row>
    <row r="560">
      <c r="B560" s="123" t="inlineStr">
        <is>
          <t>275/80R22.5</t>
        </is>
      </c>
      <c r="C560" s="177" t="inlineStr">
        <is>
          <t>16PR</t>
        </is>
      </c>
      <c r="D560" s="177" t="inlineStr">
        <is>
          <t>ECOTRAX D-II</t>
        </is>
      </c>
      <c r="E560" s="141" t="inlineStr">
        <is>
          <t>ID275/80R22.5-16PR-ADD ID C</t>
        </is>
      </c>
      <c r="F560" s="131">
        <f>G560-2.524+3.029</f>
        <v/>
      </c>
      <c r="G560" s="131" t="n">
        <v>53.185</v>
      </c>
      <c r="H560" s="131" t="n">
        <v>53.1474</v>
      </c>
      <c r="I560" s="130">
        <f>G560-H560</f>
        <v/>
      </c>
      <c r="J560" s="115">
        <f>_xlfn.TEXTJOIN("-",TRUE,B560,C560,D560)</f>
        <v/>
      </c>
      <c r="K560" s="184" t="n"/>
      <c r="L560" s="184" t="n"/>
      <c r="M560" s="184" t="n"/>
      <c r="N560" s="184" t="n"/>
      <c r="O560" s="184" t="n"/>
      <c r="P560" s="184" t="n"/>
      <c r="Q560" s="184" t="n"/>
      <c r="R560" s="210" t="n"/>
      <c r="BB560" s="390">
        <f>_xlfn.TEXTJOIN("-",TRUE,AU560,AW560)</f>
        <v/>
      </c>
    </row>
    <row r="561">
      <c r="B561" s="123" t="inlineStr">
        <is>
          <t>275/80R22.5</t>
        </is>
      </c>
      <c r="C561" s="177" t="inlineStr">
        <is>
          <t>16PR</t>
        </is>
      </c>
      <c r="D561" s="177" t="inlineStr">
        <is>
          <t>AZ179</t>
        </is>
      </c>
      <c r="E561" s="177" t="inlineStr">
        <is>
          <t>ID275/80R22.5-AZ179 ID J</t>
        </is>
      </c>
      <c r="F561" s="131">
        <f>G561-2.524+3.029</f>
        <v/>
      </c>
      <c r="G561" s="131" t="n">
        <v>47.649</v>
      </c>
      <c r="H561" s="131" t="n">
        <v>46.5539</v>
      </c>
      <c r="I561" s="130">
        <f>G561-H561</f>
        <v/>
      </c>
      <c r="J561" s="115">
        <f>_xlfn.TEXTJOIN("-",TRUE,B561,C561,D561)</f>
        <v/>
      </c>
      <c r="K561" s="184" t="n"/>
      <c r="L561" s="184" t="n"/>
      <c r="M561" s="184" t="n"/>
      <c r="N561" s="184" t="n"/>
      <c r="O561" s="184" t="n"/>
      <c r="P561" s="184" t="n"/>
      <c r="Q561" s="184" t="n"/>
      <c r="R561" s="210" t="n"/>
      <c r="BB561" s="390">
        <f>_xlfn.TEXTJOIN("-",TRUE,AU561,AW561)</f>
        <v/>
      </c>
    </row>
    <row r="562">
      <c r="B562" s="123" t="inlineStr">
        <is>
          <t>275/80R22.5</t>
        </is>
      </c>
      <c r="C562" s="177" t="inlineStr">
        <is>
          <t>18PR</t>
        </is>
      </c>
      <c r="D562" s="177" t="inlineStr">
        <is>
          <t>AZ179</t>
        </is>
      </c>
      <c r="E562" s="177" t="inlineStr">
        <is>
          <t>ID275/80R22.5-AZ179 ID J</t>
        </is>
      </c>
      <c r="F562" s="131">
        <f>G562-2.524+3.029</f>
        <v/>
      </c>
      <c r="G562" s="131" t="n">
        <v>47.649</v>
      </c>
      <c r="H562" s="131" t="n">
        <v>46.5539</v>
      </c>
      <c r="I562" s="130">
        <f>G562-H562</f>
        <v/>
      </c>
      <c r="J562" s="115">
        <f>_xlfn.TEXTJOIN("-",TRUE,B562,C562,D562)</f>
        <v/>
      </c>
      <c r="K562" s="184" t="n"/>
      <c r="L562" s="184" t="n"/>
      <c r="M562" s="184" t="n"/>
      <c r="N562" s="184" t="n"/>
      <c r="O562" s="184" t="n"/>
      <c r="P562" s="184" t="n"/>
      <c r="Q562" s="184" t="n"/>
      <c r="R562" s="210" t="n"/>
      <c r="BB562" s="390">
        <f>_xlfn.TEXTJOIN("-",TRUE,AU562,AW562)</f>
        <v/>
      </c>
    </row>
    <row r="563">
      <c r="B563" s="123" t="inlineStr">
        <is>
          <t>275/80R22.5</t>
        </is>
      </c>
      <c r="C563" s="177" t="inlineStr">
        <is>
          <t>16PR</t>
        </is>
      </c>
      <c r="D563" s="177" t="inlineStr">
        <is>
          <t>AS86</t>
        </is>
      </c>
      <c r="E563" s="177" t="inlineStr">
        <is>
          <t>ID275/80R22.5-16PR-AS86 C ID</t>
        </is>
      </c>
      <c r="F563" s="131">
        <f>G563-2.539+3.033</f>
        <v/>
      </c>
      <c r="G563" s="131" t="n">
        <v>56.638</v>
      </c>
      <c r="H563" s="131" t="n">
        <v>56.84</v>
      </c>
      <c r="I563" s="130">
        <f>G563-H563</f>
        <v/>
      </c>
      <c r="J563" s="115">
        <f>_xlfn.TEXTJOIN("-",TRUE,B563,C563,D563)</f>
        <v/>
      </c>
      <c r="K563" s="184" t="n"/>
      <c r="L563" s="184" t="n"/>
      <c r="M563" s="184" t="n"/>
      <c r="N563" s="184" t="n"/>
      <c r="O563" s="184" t="n"/>
      <c r="P563" s="184" t="n"/>
      <c r="Q563" s="184" t="n"/>
      <c r="R563" s="210" t="n"/>
      <c r="BB563" s="390">
        <f>_xlfn.TEXTJOIN("-",TRUE,AU563,AW563)</f>
        <v/>
      </c>
    </row>
    <row r="564">
      <c r="B564" s="123" t="inlineStr">
        <is>
          <t>275/80R22.5</t>
        </is>
      </c>
      <c r="C564" s="177" t="inlineStr">
        <is>
          <t>16PR</t>
        </is>
      </c>
      <c r="D564" s="177" t="inlineStr">
        <is>
          <t>AS678</t>
        </is>
      </c>
      <c r="E564" s="177" t="inlineStr">
        <is>
          <t>ID275/80R22.5-16PR-AS678 ID C</t>
        </is>
      </c>
      <c r="F564" s="131">
        <f>G564-2.53+3.02</f>
        <v/>
      </c>
      <c r="G564" s="131" t="n">
        <v>50.643</v>
      </c>
      <c r="H564" s="131" t="n">
        <v>50.75</v>
      </c>
      <c r="I564" s="130">
        <f>G564-H564</f>
        <v/>
      </c>
      <c r="J564" s="115">
        <f>_xlfn.TEXTJOIN("-",TRUE,B564,C564,D564)</f>
        <v/>
      </c>
      <c r="K564" s="184" t="n"/>
      <c r="L564" s="184" t="n"/>
      <c r="M564" s="184" t="n"/>
      <c r="N564" s="184" t="n"/>
      <c r="O564" s="184" t="n"/>
      <c r="P564" s="184" t="n"/>
      <c r="Q564" s="184" t="n"/>
      <c r="R564" s="210" t="n"/>
      <c r="BB564" s="390">
        <f>_xlfn.TEXTJOIN("-",TRUE,AU564,AW564)</f>
        <v/>
      </c>
    </row>
    <row r="565">
      <c r="B565" s="123" t="inlineStr">
        <is>
          <t>275/80R22.5</t>
        </is>
      </c>
      <c r="C565" s="177" t="inlineStr">
        <is>
          <t>16PR</t>
        </is>
      </c>
      <c r="D565" s="177" t="inlineStr">
        <is>
          <t>AS898</t>
        </is>
      </c>
      <c r="E565" s="177" t="inlineStr">
        <is>
          <t>ID275/80R22.5-16PR-AS898 ID C</t>
        </is>
      </c>
      <c r="F565" s="131">
        <f>G565-2.531+3.024</f>
        <v/>
      </c>
      <c r="G565" s="131" t="n">
        <v>54.381</v>
      </c>
      <c r="H565" s="131" t="n">
        <v>53.41</v>
      </c>
      <c r="I565" s="130">
        <f>G565-H565</f>
        <v/>
      </c>
      <c r="J565" s="115">
        <f>_xlfn.TEXTJOIN("-",TRUE,B565,C565,D565)</f>
        <v/>
      </c>
      <c r="K565" s="184" t="n"/>
      <c r="L565" s="184" t="n"/>
      <c r="M565" s="184" t="n"/>
      <c r="N565" s="184" t="n"/>
      <c r="O565" s="184" t="n"/>
      <c r="P565" s="184" t="n"/>
      <c r="Q565" s="184" t="n"/>
      <c r="R565" s="210" t="n"/>
      <c r="BB565" s="390">
        <f>_xlfn.TEXTJOIN("-",TRUE,AU565,AW565)</f>
        <v/>
      </c>
    </row>
    <row r="566">
      <c r="B566" s="123" t="inlineStr">
        <is>
          <t>275/80R22.5</t>
        </is>
      </c>
      <c r="C566" s="177" t="inlineStr">
        <is>
          <t>16PR</t>
        </is>
      </c>
      <c r="D566" s="177" t="inlineStr">
        <is>
          <t>MD777</t>
        </is>
      </c>
      <c r="E566" s="177" t="inlineStr">
        <is>
          <t>ID275/80R22.5-16PR-MGM ID C</t>
        </is>
      </c>
      <c r="F566" s="131">
        <f>G566-2.524+3.029</f>
        <v/>
      </c>
      <c r="G566" s="131" t="n">
        <v>57.581</v>
      </c>
      <c r="H566" s="131" t="n">
        <v>56.6416</v>
      </c>
      <c r="I566" s="130">
        <f>G566-H566</f>
        <v/>
      </c>
      <c r="J566" s="115">
        <f>_xlfn.TEXTJOIN("-",TRUE,B566,C566,D566)</f>
        <v/>
      </c>
      <c r="K566" s="184" t="n"/>
      <c r="L566" s="184" t="n"/>
      <c r="M566" s="184" t="n"/>
      <c r="N566" s="184" t="n"/>
      <c r="O566" s="184" t="n"/>
      <c r="P566" s="184" t="n"/>
      <c r="Q566" s="184" t="n"/>
      <c r="R566" s="210" t="n"/>
      <c r="S566" s="184" t="n"/>
      <c r="BB566" s="390">
        <f>_xlfn.TEXTJOIN("-",TRUE,AU566,AW566)</f>
        <v/>
      </c>
    </row>
    <row r="567">
      <c r="B567" s="123" t="inlineStr">
        <is>
          <t>275/80R22.5</t>
        </is>
      </c>
      <c r="C567" s="177" t="inlineStr">
        <is>
          <t>16PR</t>
        </is>
      </c>
      <c r="D567" s="177" t="inlineStr">
        <is>
          <t>G-PRO MSD</t>
        </is>
      </c>
      <c r="E567" s="177" t="inlineStr">
        <is>
          <t>ID275/80R22.5-16PR-MGM ID C</t>
        </is>
      </c>
      <c r="F567" s="131">
        <f>G567-2.524+3.029</f>
        <v/>
      </c>
      <c r="G567" s="131" t="n">
        <v>57.581</v>
      </c>
      <c r="H567" s="131" t="n">
        <v>56.6416</v>
      </c>
      <c r="I567" s="130">
        <f>G567-H567</f>
        <v/>
      </c>
      <c r="J567" s="115">
        <f>_xlfn.TEXTJOIN("-",TRUE,B567,C567,D567)</f>
        <v/>
      </c>
      <c r="K567" s="184" t="n"/>
      <c r="L567" s="184" t="n"/>
      <c r="M567" s="184" t="n"/>
      <c r="N567" s="184" t="n"/>
      <c r="O567" s="184" t="n"/>
      <c r="P567" s="184" t="n"/>
      <c r="Q567" s="184" t="n"/>
      <c r="R567" s="210" t="n"/>
      <c r="S567" s="184" t="n"/>
      <c r="BB567" s="390">
        <f>_xlfn.TEXTJOIN("-",TRUE,AU567,AW567)</f>
        <v/>
      </c>
    </row>
    <row r="568">
      <c r="B568" s="123" t="inlineStr">
        <is>
          <t>275/80R22.5</t>
        </is>
      </c>
      <c r="C568" s="177" t="inlineStr">
        <is>
          <t>16PR</t>
        </is>
      </c>
      <c r="D568" s="177" t="inlineStr">
        <is>
          <t>BMD06 PRO</t>
        </is>
      </c>
      <c r="E568" s="177" t="inlineStr">
        <is>
          <t>ID275/80R22.5-16PR-MGM ID C</t>
        </is>
      </c>
      <c r="F568" s="131">
        <f>G568-2.524+3.029</f>
        <v/>
      </c>
      <c r="G568" s="131" t="n">
        <v>57.581</v>
      </c>
      <c r="H568" s="131" t="n">
        <v>56.6416</v>
      </c>
      <c r="I568" s="130">
        <f>G568-H568</f>
        <v/>
      </c>
      <c r="J568" s="115">
        <f>_xlfn.TEXTJOIN("-",TRUE,B568,C568,D568)</f>
        <v/>
      </c>
      <c r="K568" s="184" t="n"/>
      <c r="L568" s="184" t="n"/>
      <c r="M568" s="184" t="n"/>
      <c r="N568" s="184" t="n"/>
      <c r="O568" s="184" t="n"/>
      <c r="P568" s="184" t="n"/>
      <c r="Q568" s="184" t="n"/>
      <c r="R568" s="210" t="n"/>
      <c r="BB568" s="390">
        <f>_xlfn.TEXTJOIN("-",TRUE,AU568,AW568)</f>
        <v/>
      </c>
    </row>
    <row r="569">
      <c r="B569" s="123" t="inlineStr">
        <is>
          <t>275/80R22.5</t>
        </is>
      </c>
      <c r="C569" s="177" t="inlineStr">
        <is>
          <t>16PR</t>
        </is>
      </c>
      <c r="D569" s="177" t="inlineStr">
        <is>
          <t>AD818</t>
        </is>
      </c>
      <c r="E569" s="177" t="inlineStr">
        <is>
          <t>ID275/80R22.5-16PR-AD818 ID C</t>
        </is>
      </c>
      <c r="F569" s="131">
        <f>G569-2.524+3.029</f>
        <v/>
      </c>
      <c r="G569" s="131" t="n">
        <v>57.818</v>
      </c>
      <c r="H569" s="131" t="n">
        <v>58.2216</v>
      </c>
      <c r="I569" s="130">
        <f>G569-H569</f>
        <v/>
      </c>
      <c r="J569" s="115">
        <f>_xlfn.TEXTJOIN("-",TRUE,B569,C569,D569)</f>
        <v/>
      </c>
      <c r="K569" s="184" t="n"/>
      <c r="L569" s="184" t="n"/>
      <c r="M569" s="184" t="n"/>
      <c r="N569" s="184" t="n"/>
      <c r="O569" s="184" t="n"/>
      <c r="P569" s="184" t="n"/>
      <c r="Q569" s="184" t="n"/>
      <c r="R569" s="210" t="n"/>
      <c r="BB569" s="390">
        <f>_xlfn.TEXTJOIN("-",TRUE,AU569,AW569)</f>
        <v/>
      </c>
    </row>
    <row r="570">
      <c r="B570" s="123" t="inlineStr">
        <is>
          <t>275/80R22.5</t>
        </is>
      </c>
      <c r="C570" s="177" t="inlineStr">
        <is>
          <t>16PR</t>
        </is>
      </c>
      <c r="D570" s="177" t="inlineStr">
        <is>
          <t>AT196</t>
        </is>
      </c>
      <c r="E570" s="177" t="inlineStr">
        <is>
          <t>ID275/80R22.5-16PR-AT196 ID J</t>
        </is>
      </c>
      <c r="F570" s="131">
        <f>G570-2.524+3.029</f>
        <v/>
      </c>
      <c r="G570" s="131" t="n">
        <v>49.858</v>
      </c>
      <c r="H570" s="131" t="n">
        <v>50.9045</v>
      </c>
      <c r="I570" s="130">
        <f>G570-H570</f>
        <v/>
      </c>
      <c r="J570" s="115">
        <f>_xlfn.TEXTJOIN("-",TRUE,B570,C570,D570)</f>
        <v/>
      </c>
      <c r="K570" s="184" t="n"/>
      <c r="L570" s="184" t="n"/>
      <c r="M570" s="184" t="n"/>
      <c r="N570" s="184" t="n"/>
      <c r="O570" s="184" t="n"/>
      <c r="P570" s="184" t="n"/>
      <c r="Q570" s="184" t="n"/>
      <c r="R570" s="210" t="n"/>
      <c r="BB570" s="390">
        <f>_xlfn.TEXTJOIN("-",TRUE,AU570,AW570)</f>
        <v/>
      </c>
    </row>
    <row r="571">
      <c r="B571" s="123" t="inlineStr">
        <is>
          <t>275/80R22.5</t>
        </is>
      </c>
      <c r="C571" s="177" t="inlineStr">
        <is>
          <t>16PR</t>
        </is>
      </c>
      <c r="D571" s="177" t="inlineStr">
        <is>
          <t>AS589</t>
        </is>
      </c>
      <c r="E571" s="177" t="inlineStr">
        <is>
          <t>ID275/80R22.5-16PR-AS589 ID C</t>
        </is>
      </c>
      <c r="F571" s="131">
        <f>G571-2.524+3.029</f>
        <v/>
      </c>
      <c r="G571" s="131" t="n">
        <v>51.565</v>
      </c>
      <c r="H571" s="131" t="n">
        <v>51.5485</v>
      </c>
      <c r="I571" s="130">
        <f>G571-H571</f>
        <v/>
      </c>
      <c r="J571" s="115">
        <f>_xlfn.TEXTJOIN("-",TRUE,B571,C571,D571)</f>
        <v/>
      </c>
      <c r="K571" s="184" t="n"/>
      <c r="L571" s="184" t="n"/>
      <c r="M571" s="184" t="n"/>
      <c r="N571" s="184" t="n"/>
      <c r="O571" s="184" t="n"/>
      <c r="P571" s="184" t="n"/>
      <c r="Q571" s="184" t="n"/>
      <c r="R571" s="210" t="n"/>
      <c r="BB571" s="390">
        <f>_xlfn.TEXTJOIN("-",TRUE,AU571,AW571)</f>
        <v/>
      </c>
    </row>
    <row r="572">
      <c r="B572" s="123" t="inlineStr">
        <is>
          <t>275/80R22.5</t>
        </is>
      </c>
      <c r="C572" s="177" t="inlineStr">
        <is>
          <t>16PR</t>
        </is>
      </c>
      <c r="D572" s="177" t="inlineStr">
        <is>
          <t>EZ573A</t>
        </is>
      </c>
      <c r="E572" s="177" t="inlineStr">
        <is>
          <t>ID275/80R22.5-16PR-EZ573A ID C</t>
        </is>
      </c>
      <c r="F572" s="131">
        <f>G572-2.53+3.02</f>
        <v/>
      </c>
      <c r="G572" s="131" t="n">
        <v>52.08</v>
      </c>
      <c r="H572" s="131" t="n">
        <v>52.58</v>
      </c>
      <c r="I572" s="130">
        <f>G572-H572</f>
        <v/>
      </c>
      <c r="J572" s="115">
        <f>_xlfn.TEXTJOIN("-",TRUE,B572,C572,D572)</f>
        <v/>
      </c>
      <c r="K572" s="184" t="n"/>
      <c r="L572" s="184" t="n"/>
      <c r="M572" s="184" t="n"/>
      <c r="N572" s="184" t="n"/>
      <c r="O572" s="184" t="n"/>
      <c r="P572" s="184" t="n"/>
      <c r="Q572" s="184" t="n"/>
      <c r="R572" s="210" t="n"/>
      <c r="BB572" s="390">
        <f>_xlfn.TEXTJOIN("-",TRUE,AU572,AW572)</f>
        <v/>
      </c>
    </row>
    <row r="573">
      <c r="B573" s="132" t="n"/>
      <c r="C573" s="178" t="n"/>
      <c r="D573" s="178" t="n"/>
      <c r="E573" s="178" t="n"/>
      <c r="F573" s="135" t="n"/>
      <c r="G573" s="135" t="n"/>
      <c r="H573" s="135" t="n"/>
      <c r="I573" s="136" t="n"/>
      <c r="J573" s="115">
        <f>_xlfn.TEXTJOIN("-",TRUE,B573,C573,D573)</f>
        <v/>
      </c>
      <c r="K573" s="184" t="n"/>
      <c r="L573" s="184" t="n"/>
      <c r="M573" s="184" t="n"/>
      <c r="N573" s="184" t="n"/>
      <c r="O573" s="184" t="n"/>
      <c r="P573" s="184" t="n"/>
      <c r="Q573" s="184" t="n"/>
      <c r="R573" s="210" t="n"/>
      <c r="BB573" s="390">
        <f>_xlfn.TEXTJOIN("-",TRUE,AU573,AW573)</f>
        <v/>
      </c>
    </row>
    <row r="574">
      <c r="B574" s="123" t="inlineStr">
        <is>
          <t>285/70R19.5</t>
        </is>
      </c>
      <c r="C574" s="177" t="inlineStr">
        <is>
          <t>16PR</t>
        </is>
      </c>
      <c r="D574" s="177" t="inlineStr">
        <is>
          <t>CM986</t>
        </is>
      </c>
      <c r="E574" s="177" t="inlineStr">
        <is>
          <t>ID285/70R19.5-16PR-CM986 C ID</t>
        </is>
      </c>
      <c r="F574" s="131">
        <f>G574-2.334+2.546</f>
        <v/>
      </c>
      <c r="G574" s="131" t="n">
        <v>44.37</v>
      </c>
      <c r="H574" s="131" t="n">
        <v>44.3685</v>
      </c>
      <c r="I574" s="130">
        <f>G574-H574</f>
        <v/>
      </c>
      <c r="J574" s="115">
        <f>_xlfn.TEXTJOIN("-",TRUE,B574,C574,D574)</f>
        <v/>
      </c>
      <c r="K574" s="184" t="n"/>
      <c r="L574" s="184" t="n"/>
      <c r="M574" s="184" t="n"/>
      <c r="N574" s="184" t="n"/>
      <c r="O574" s="184" t="n"/>
      <c r="P574" s="184" t="n"/>
      <c r="Q574" s="184" t="n"/>
      <c r="R574" s="210" t="n"/>
      <c r="BB574" s="390">
        <f>_xlfn.TEXTJOIN("-",TRUE,AU574,AW574)</f>
        <v/>
      </c>
    </row>
    <row r="575">
      <c r="B575" s="132" t="n"/>
      <c r="C575" s="178" t="n"/>
      <c r="D575" s="178" t="n"/>
      <c r="E575" s="178" t="n"/>
      <c r="F575" s="135" t="n"/>
      <c r="G575" s="135" t="n"/>
      <c r="H575" s="135" t="n"/>
      <c r="I575" s="136" t="n"/>
      <c r="J575" s="115">
        <f>_xlfn.TEXTJOIN("-",TRUE,B575,C575,D575)</f>
        <v/>
      </c>
      <c r="K575" s="184" t="n"/>
      <c r="L575" s="184" t="n"/>
      <c r="M575" s="184" t="n"/>
      <c r="N575" s="184" t="n"/>
      <c r="O575" s="184" t="n"/>
      <c r="P575" s="184" t="n"/>
      <c r="Q575" s="184" t="n"/>
      <c r="R575" s="210" t="n"/>
      <c r="BB575" s="390">
        <f>_xlfn.TEXTJOIN("-",TRUE,AU575,AW575)</f>
        <v/>
      </c>
    </row>
    <row r="576">
      <c r="B576" s="123" t="inlineStr">
        <is>
          <t>285/75R24.5</t>
        </is>
      </c>
      <c r="C576" s="177" t="inlineStr">
        <is>
          <t>14PR</t>
        </is>
      </c>
      <c r="D576" s="177" t="inlineStr">
        <is>
          <t>W-Elite SL11</t>
        </is>
      </c>
      <c r="E576" s="125" t="inlineStr">
        <is>
          <t>ID285/75R24.5-Q US C ID</t>
        </is>
      </c>
      <c r="F576" s="131">
        <f>G576-3.362+3.909</f>
        <v/>
      </c>
      <c r="G576" s="131" t="n">
        <v>56.574</v>
      </c>
      <c r="H576" s="131" t="n">
        <v>58.1</v>
      </c>
      <c r="I576" s="130">
        <f>G576-H576</f>
        <v/>
      </c>
      <c r="J576" s="115">
        <f>_xlfn.TEXTJOIN("-",TRUE,B576,C576,D576)</f>
        <v/>
      </c>
      <c r="K576" s="184" t="n"/>
      <c r="L576" s="184" t="n"/>
      <c r="M576" s="184" t="n"/>
      <c r="N576" s="184" t="n"/>
      <c r="O576" s="184" t="n"/>
      <c r="P576" s="184" t="n"/>
      <c r="Q576" s="184" t="n"/>
      <c r="R576" s="210" t="n"/>
      <c r="BB576" s="390">
        <f>_xlfn.TEXTJOIN("-",TRUE,AU576,AW576)</f>
        <v/>
      </c>
    </row>
    <row r="577">
      <c r="B577" s="123" t="inlineStr">
        <is>
          <t>285/75R24.5</t>
        </is>
      </c>
      <c r="C577" s="177" t="inlineStr">
        <is>
          <t>14PR</t>
        </is>
      </c>
      <c r="D577" s="177" t="inlineStr">
        <is>
          <t>VA996</t>
        </is>
      </c>
      <c r="E577" s="125" t="inlineStr">
        <is>
          <t>ID285/75R24.5-Q US C ID</t>
        </is>
      </c>
      <c r="F577" s="131">
        <f>G577-3.362+3.909</f>
        <v/>
      </c>
      <c r="G577" s="131" t="n">
        <v>56.574</v>
      </c>
      <c r="H577" s="131" t="n">
        <v>58.1</v>
      </c>
      <c r="I577" s="130">
        <f>G577-H577</f>
        <v/>
      </c>
      <c r="J577" s="115">
        <f>_xlfn.TEXTJOIN("-",TRUE,B577,C577,D577)</f>
        <v/>
      </c>
      <c r="K577" s="184" t="n"/>
      <c r="L577" s="184" t="n"/>
      <c r="M577" s="184" t="n"/>
      <c r="N577" s="184" t="n"/>
      <c r="O577" s="184" t="n"/>
      <c r="P577" s="184" t="n"/>
      <c r="Q577" s="184" t="n"/>
      <c r="R577" s="210" t="n"/>
      <c r="BB577" s="390">
        <f>_xlfn.TEXTJOIN("-",TRUE,AU577,AW577)</f>
        <v/>
      </c>
    </row>
    <row r="578">
      <c r="B578" s="123" t="inlineStr">
        <is>
          <t>285/75R24.5</t>
        </is>
      </c>
      <c r="C578" s="177" t="inlineStr">
        <is>
          <t>16PR</t>
        </is>
      </c>
      <c r="D578" s="177" t="inlineStr">
        <is>
          <t>W-Elite SL11</t>
        </is>
      </c>
      <c r="E578" s="125" t="inlineStr">
        <is>
          <t>ID285/75R24.5-Q US C ID</t>
        </is>
      </c>
      <c r="F578" s="131">
        <f>G578-3.362+3.909</f>
        <v/>
      </c>
      <c r="G578" s="131" t="n">
        <v>56.574</v>
      </c>
      <c r="H578" s="131" t="n">
        <v>58.1</v>
      </c>
      <c r="I578" s="130">
        <f>G578-H578</f>
        <v/>
      </c>
      <c r="J578" s="115">
        <f>_xlfn.TEXTJOIN("-",TRUE,B578,C578,D578)</f>
        <v/>
      </c>
      <c r="K578" s="184" t="n"/>
      <c r="L578" s="184" t="n"/>
      <c r="M578" s="184" t="n"/>
      <c r="N578" s="184" t="n"/>
      <c r="O578" s="184" t="n"/>
      <c r="P578" s="184" t="n"/>
      <c r="Q578" s="184" t="n"/>
      <c r="R578" s="210" t="n"/>
      <c r="BB578" s="390">
        <f>_xlfn.TEXTJOIN("-",TRUE,AU578,AW578)</f>
        <v/>
      </c>
    </row>
    <row r="579">
      <c r="B579" s="123" t="inlineStr">
        <is>
          <t>285/75R24.5</t>
        </is>
      </c>
      <c r="C579" s="177" t="inlineStr">
        <is>
          <t>16PR</t>
        </is>
      </c>
      <c r="D579" s="177" t="inlineStr">
        <is>
          <t>VA996</t>
        </is>
      </c>
      <c r="E579" s="125" t="inlineStr">
        <is>
          <t>ID285/75R24.5-Q US C ID</t>
        </is>
      </c>
      <c r="F579" s="131">
        <f>G579-3.362+3.909</f>
        <v/>
      </c>
      <c r="G579" s="131" t="n">
        <v>56.574</v>
      </c>
      <c r="H579" s="131" t="n">
        <v>58.1</v>
      </c>
      <c r="I579" s="130">
        <f>G579-H579</f>
        <v/>
      </c>
      <c r="J579" s="115">
        <f>_xlfn.TEXTJOIN("-",TRUE,B579,C579,D579)</f>
        <v/>
      </c>
      <c r="K579" s="184" t="n"/>
      <c r="L579" s="184" t="n"/>
      <c r="M579" s="184" t="n"/>
      <c r="N579" s="184" t="n"/>
      <c r="O579" s="184" t="n"/>
      <c r="P579" s="184" t="n"/>
      <c r="Q579" s="184" t="n"/>
      <c r="R579" s="210" t="n"/>
      <c r="BB579" s="390">
        <f>_xlfn.TEXTJOIN("-",TRUE,AU579,AW579)</f>
        <v/>
      </c>
    </row>
    <row r="580">
      <c r="B580" s="123" t="inlineStr">
        <is>
          <t>285/75R24.5</t>
        </is>
      </c>
      <c r="C580" s="177" t="inlineStr">
        <is>
          <t>14PR</t>
        </is>
      </c>
      <c r="D580" s="177" t="inlineStr">
        <is>
          <t>W-Elite DL21</t>
        </is>
      </c>
      <c r="E580" s="125" t="inlineStr">
        <is>
          <t>ID285/75R24.5-14PR-W-Elite DL21 C ID</t>
        </is>
      </c>
      <c r="F580" s="131">
        <f>G580-3.362+3.909</f>
        <v/>
      </c>
      <c r="G580" s="131" t="n">
        <v>64.83499999999999</v>
      </c>
      <c r="H580" s="131" t="n">
        <v>64.8593</v>
      </c>
      <c r="I580" s="130">
        <f>G580-H580</f>
        <v/>
      </c>
      <c r="J580" s="115">
        <f>_xlfn.TEXTJOIN("-",TRUE,B580,C580,D580)</f>
        <v/>
      </c>
      <c r="K580" s="184" t="n"/>
      <c r="L580" s="184" t="n"/>
      <c r="M580" s="184" t="n"/>
      <c r="N580" s="184" t="n"/>
      <c r="O580" s="184" t="n"/>
      <c r="P580" s="184" t="n"/>
      <c r="Q580" s="184" t="n"/>
      <c r="R580" s="210" t="n"/>
      <c r="BB580" s="390">
        <f>_xlfn.TEXTJOIN("-",TRUE,AU580,AW580)</f>
        <v/>
      </c>
    </row>
    <row r="581">
      <c r="B581" s="123" t="inlineStr">
        <is>
          <t>285/75R24.5</t>
        </is>
      </c>
      <c r="C581" s="177" t="inlineStr">
        <is>
          <t>14PR</t>
        </is>
      </c>
      <c r="D581" s="177" t="inlineStr">
        <is>
          <t>W-Elite DL22</t>
        </is>
      </c>
      <c r="E581" s="125" t="inlineStr">
        <is>
          <t>ID285/75R24.5-14PR-DAL C ID</t>
        </is>
      </c>
      <c r="F581" s="131">
        <f>G581-3.362+3.909</f>
        <v/>
      </c>
      <c r="G581" s="131" t="n">
        <v>62.701</v>
      </c>
      <c r="H581" s="131" t="n">
        <v>62.3886</v>
      </c>
      <c r="I581" s="130">
        <f>G581-H581</f>
        <v/>
      </c>
      <c r="J581" s="115">
        <f>_xlfn.TEXTJOIN("-",TRUE,B581,C581,D581)</f>
        <v/>
      </c>
      <c r="K581" s="184" t="n"/>
      <c r="L581" s="184" t="n"/>
      <c r="M581" s="184" t="n"/>
      <c r="N581" s="184" t="n"/>
      <c r="O581" s="184" t="n"/>
      <c r="P581" s="184" t="n"/>
      <c r="Q581" s="184" t="n"/>
      <c r="R581" s="210" t="n"/>
      <c r="BB581" s="390">
        <f>_xlfn.TEXTJOIN("-",TRUE,AU581,AW581)</f>
        <v/>
      </c>
    </row>
    <row r="582">
      <c r="B582" s="123" t="inlineStr">
        <is>
          <t>285/75R24.5</t>
        </is>
      </c>
      <c r="C582" s="177" t="inlineStr">
        <is>
          <t>14PR</t>
        </is>
      </c>
      <c r="D582" s="177" t="inlineStr">
        <is>
          <t>W-Elite DA23</t>
        </is>
      </c>
      <c r="E582" s="125" t="inlineStr">
        <is>
          <t>ID285/75R24.5-14PR-DAL C ID</t>
        </is>
      </c>
      <c r="F582" s="131">
        <f>G582-3.362+3.909</f>
        <v/>
      </c>
      <c r="G582" s="131" t="n">
        <v>62.701</v>
      </c>
      <c r="H582" s="131" t="n">
        <v>61.8003</v>
      </c>
      <c r="I582" s="130">
        <f>G582-H582</f>
        <v/>
      </c>
      <c r="J582" s="115">
        <f>_xlfn.TEXTJOIN("-",TRUE,B582,C582,D582)</f>
        <v/>
      </c>
      <c r="K582" s="184" t="n"/>
      <c r="L582" s="184" t="n"/>
      <c r="M582" s="184" t="n"/>
      <c r="N582" s="184" t="n"/>
      <c r="O582" s="184" t="n"/>
      <c r="P582" s="184" t="n"/>
      <c r="Q582" s="184" t="n"/>
      <c r="R582" s="210" t="n"/>
      <c r="BB582" s="390">
        <f>_xlfn.TEXTJOIN("-",TRUE,AU582,AW582)</f>
        <v/>
      </c>
    </row>
    <row r="583">
      <c r="B583" s="123" t="inlineStr">
        <is>
          <t>285/75R24.5</t>
        </is>
      </c>
      <c r="C583" s="177" t="inlineStr">
        <is>
          <t>14PR</t>
        </is>
      </c>
      <c r="D583" s="177" t="inlineStr">
        <is>
          <t>W-Elite ZA12</t>
        </is>
      </c>
      <c r="E583" s="125" t="inlineStr">
        <is>
          <t>ID285/75R24.5-14PR-W-Elite ZA12 C ID</t>
        </is>
      </c>
      <c r="F583" s="131">
        <f>G583-3.362+3.909</f>
        <v/>
      </c>
      <c r="G583" s="131" t="n">
        <v>57.957</v>
      </c>
      <c r="H583" s="131" t="n">
        <v>57.9804</v>
      </c>
      <c r="I583" s="130">
        <f>G583-H583</f>
        <v/>
      </c>
      <c r="J583" s="115">
        <f>_xlfn.TEXTJOIN("-",TRUE,B583,C583,D583)</f>
        <v/>
      </c>
      <c r="K583" s="184" t="n"/>
      <c r="L583" s="184" t="n"/>
      <c r="M583" s="184" t="n"/>
      <c r="N583" s="184" t="n"/>
      <c r="O583" s="184" t="n"/>
      <c r="P583" s="184" t="n"/>
      <c r="Q583" s="184" t="n"/>
      <c r="R583" s="210" t="n"/>
      <c r="BB583" s="390">
        <f>_xlfn.TEXTJOIN("-",TRUE,AU583,AW583)</f>
        <v/>
      </c>
    </row>
    <row r="584">
      <c r="B584" s="123" t="inlineStr">
        <is>
          <t>285/75R24.5</t>
        </is>
      </c>
      <c r="C584" s="177" t="inlineStr">
        <is>
          <t>16PR</t>
        </is>
      </c>
      <c r="D584" s="177" t="inlineStr">
        <is>
          <t>I-52A</t>
        </is>
      </c>
      <c r="E584" s="125" t="inlineStr">
        <is>
          <t>ID285/75R24.5-16PR-I-52A C ID</t>
        </is>
      </c>
      <c r="F584" s="131">
        <f>G584-3.367+3.91</f>
        <v/>
      </c>
      <c r="G584" s="131" t="n">
        <v>57.571</v>
      </c>
      <c r="H584" s="131" t="n">
        <v>57.4812</v>
      </c>
      <c r="I584" s="130">
        <f>G584-H584</f>
        <v/>
      </c>
      <c r="J584" s="115">
        <f>_xlfn.TEXTJOIN("-",TRUE,B584,C584,D584)</f>
        <v/>
      </c>
      <c r="K584" s="184" t="n"/>
      <c r="L584" s="184" t="n"/>
      <c r="M584" s="184" t="n"/>
      <c r="N584" s="184" t="n"/>
      <c r="O584" s="184" t="n"/>
      <c r="P584" s="184" t="n"/>
      <c r="Q584" s="184" t="n"/>
      <c r="R584" s="210" t="n"/>
      <c r="BB584" s="390">
        <f>_xlfn.TEXTJOIN("-",TRUE,AU584,AW584)</f>
        <v/>
      </c>
    </row>
    <row r="585">
      <c r="B585" s="123" t="inlineStr">
        <is>
          <t>285/75R24.5</t>
        </is>
      </c>
      <c r="C585" s="177" t="inlineStr">
        <is>
          <t>16PR</t>
        </is>
      </c>
      <c r="D585" s="177" t="inlineStr">
        <is>
          <t>I-61S</t>
        </is>
      </c>
      <c r="E585" s="125" t="inlineStr">
        <is>
          <t>ID285/75R24.5-16PR-I-61S C ID</t>
        </is>
      </c>
      <c r="F585" s="131">
        <f>G585-3.367+3.91</f>
        <v/>
      </c>
      <c r="G585" s="131" t="n">
        <v>52.506</v>
      </c>
      <c r="H585" s="131" t="n">
        <v>52.4139</v>
      </c>
      <c r="I585" s="130">
        <f>G585-H585</f>
        <v/>
      </c>
      <c r="J585" s="115">
        <f>_xlfn.TEXTJOIN("-",TRUE,B585,C585,D585)</f>
        <v/>
      </c>
      <c r="K585" s="184" t="n"/>
      <c r="L585" s="184" t="n"/>
      <c r="M585" s="184" t="n"/>
      <c r="N585" s="184" t="n"/>
      <c r="O585" s="184" t="n"/>
      <c r="P585" s="184" t="n"/>
      <c r="Q585" s="184" t="n"/>
      <c r="R585" s="210" t="n"/>
      <c r="BB585" s="390">
        <f>_xlfn.TEXTJOIN("-",TRUE,AU585,AW585)</f>
        <v/>
      </c>
    </row>
    <row r="586">
      <c r="B586" s="123" t="inlineStr">
        <is>
          <t>285/75R24.5</t>
        </is>
      </c>
      <c r="C586" s="177" t="inlineStr">
        <is>
          <t>14PR</t>
        </is>
      </c>
      <c r="D586" s="177" t="inlineStr">
        <is>
          <t>I-48T</t>
        </is>
      </c>
      <c r="E586" s="125" t="inlineStr">
        <is>
          <t>ID285/75R24.5-14PR-I-48T C ID</t>
        </is>
      </c>
      <c r="F586" s="131">
        <f>G586-3.367+3.91</f>
        <v/>
      </c>
      <c r="G586" s="131" t="n">
        <v>50.47</v>
      </c>
      <c r="H586" s="131" t="n">
        <v>50.3752</v>
      </c>
      <c r="I586" s="130">
        <f>G586-H586</f>
        <v/>
      </c>
      <c r="J586" s="115">
        <f>_xlfn.TEXTJOIN("-",TRUE,B586,C586,D586)</f>
        <v/>
      </c>
      <c r="K586" s="184" t="n"/>
      <c r="L586" s="184" t="n"/>
      <c r="M586" s="184" t="n"/>
      <c r="N586" s="184" t="n"/>
      <c r="O586" s="184" t="n"/>
      <c r="P586" s="184" t="n"/>
      <c r="Q586" s="184" t="n"/>
      <c r="R586" s="210" t="n"/>
      <c r="BB586" s="390">
        <f>_xlfn.TEXTJOIN("-",TRUE,AU586,AW586)</f>
        <v/>
      </c>
    </row>
    <row r="587">
      <c r="B587" s="123" t="inlineStr">
        <is>
          <t>285/75R24.5</t>
        </is>
      </c>
      <c r="C587" s="177" t="inlineStr">
        <is>
          <t>14PR</t>
        </is>
      </c>
      <c r="D587" s="177" t="inlineStr">
        <is>
          <t>I-19A</t>
        </is>
      </c>
      <c r="E587" s="125" t="inlineStr">
        <is>
          <t>ID285/75R24.5-14PR-I-19A C ID</t>
        </is>
      </c>
      <c r="F587" s="131">
        <f>G587-3.367+3.91</f>
        <v/>
      </c>
      <c r="G587" s="131" t="n">
        <v>52.28</v>
      </c>
      <c r="H587" s="131" t="n">
        <v>52.187</v>
      </c>
      <c r="I587" s="130">
        <f>G587-H587</f>
        <v/>
      </c>
      <c r="J587" s="115">
        <f>_xlfn.TEXTJOIN("-",TRUE,B587,C587,D587)</f>
        <v/>
      </c>
      <c r="K587" s="184" t="n"/>
      <c r="L587" s="184" t="n"/>
      <c r="M587" s="184" t="n"/>
      <c r="N587" s="184" t="n"/>
      <c r="O587" s="184" t="n"/>
      <c r="P587" s="184" t="n"/>
      <c r="Q587" s="184" t="n"/>
      <c r="R587" s="210" t="n"/>
      <c r="BB587" s="390">
        <f>_xlfn.TEXTJOIN("-",TRUE,AU587,AW587)</f>
        <v/>
      </c>
    </row>
    <row r="588">
      <c r="B588" s="123" t="inlineStr">
        <is>
          <t>285/75R24.5</t>
        </is>
      </c>
      <c r="C588" s="177" t="inlineStr">
        <is>
          <t>14PR</t>
        </is>
      </c>
      <c r="D588" s="177" t="inlineStr">
        <is>
          <t>I-28D</t>
        </is>
      </c>
      <c r="E588" s="125" t="inlineStr">
        <is>
          <t>ID285/75R24.5-14PR-I-28D C ID</t>
        </is>
      </c>
      <c r="F588" s="131">
        <f>G588-3.367+3.91</f>
        <v/>
      </c>
      <c r="G588" s="131" t="n">
        <v>59.61</v>
      </c>
      <c r="H588" s="207" t="n">
        <v>58.87</v>
      </c>
      <c r="I588" s="130">
        <f>G588-H588</f>
        <v/>
      </c>
      <c r="J588" s="115">
        <f>_xlfn.TEXTJOIN("-",TRUE,B588,C588,D588)</f>
        <v/>
      </c>
      <c r="K588" s="184" t="n"/>
      <c r="L588" s="184" t="n"/>
      <c r="M588" s="184" t="n"/>
      <c r="N588" s="184" t="n"/>
      <c r="O588" s="184" t="n"/>
      <c r="P588" s="184" t="n"/>
      <c r="Q588" s="184" t="n"/>
      <c r="R588" s="210" t="n"/>
      <c r="BB588" s="390">
        <f>_xlfn.TEXTJOIN("-",TRUE,AU588,AW588)</f>
        <v/>
      </c>
    </row>
    <row r="589">
      <c r="B589" s="123" t="inlineStr">
        <is>
          <t>285/75R24.5</t>
        </is>
      </c>
      <c r="C589" s="177" t="inlineStr">
        <is>
          <t>14PR</t>
        </is>
      </c>
      <c r="D589" s="177" t="inlineStr">
        <is>
          <t>I-37D</t>
        </is>
      </c>
      <c r="E589" s="125" t="inlineStr">
        <is>
          <t>ID285/75R24.5-14PR-I-37D C ID</t>
        </is>
      </c>
      <c r="F589" s="131">
        <f>G589-3.367+3.91</f>
        <v/>
      </c>
      <c r="G589" s="131" t="n">
        <v>56.71</v>
      </c>
      <c r="H589" s="131" t="n">
        <v>56.6221</v>
      </c>
      <c r="I589" s="130">
        <f>G589-H589</f>
        <v/>
      </c>
      <c r="J589" s="115">
        <f>_xlfn.TEXTJOIN("-",TRUE,B589,C589,D589)</f>
        <v/>
      </c>
      <c r="K589" s="184" t="n"/>
      <c r="L589" s="184" t="n"/>
      <c r="M589" s="184" t="n"/>
      <c r="N589" s="184" t="n"/>
      <c r="O589" s="184" t="n"/>
      <c r="P589" s="184" t="n"/>
      <c r="Q589" s="184" t="n"/>
      <c r="R589" s="210" t="n"/>
      <c r="BB589" s="390">
        <f>_xlfn.TEXTJOIN("-",TRUE,AU589,AW589)</f>
        <v/>
      </c>
    </row>
    <row r="590">
      <c r="B590" s="123" t="inlineStr">
        <is>
          <t>285/75R24.5</t>
        </is>
      </c>
      <c r="C590" s="177" t="inlineStr">
        <is>
          <t>14PR</t>
        </is>
      </c>
      <c r="D590" s="126" t="inlineStr">
        <is>
          <t>HD1 Plus</t>
        </is>
      </c>
      <c r="E590" s="177" t="inlineStr">
        <is>
          <t>ID285/75R24.5-H C ID</t>
        </is>
      </c>
      <c r="F590" s="131">
        <f>G590-3.37+3.91</f>
        <v/>
      </c>
      <c r="G590" s="131" t="n">
        <v>57.158</v>
      </c>
      <c r="H590" s="131" t="n">
        <v>56.83</v>
      </c>
      <c r="I590" s="130">
        <f>G590-H590</f>
        <v/>
      </c>
      <c r="J590" s="115">
        <f>_xlfn.TEXTJOIN("-",TRUE,B590,C590,D590)</f>
        <v/>
      </c>
      <c r="K590" s="184" t="n"/>
      <c r="L590" s="184" t="n"/>
      <c r="M590" s="184" t="n"/>
      <c r="N590" s="184" t="n"/>
      <c r="O590" s="184" t="n"/>
      <c r="P590" s="184" t="n"/>
      <c r="Q590" s="184" t="n"/>
      <c r="R590" s="210" t="n"/>
      <c r="BB590" s="390">
        <f>_xlfn.TEXTJOIN("-",TRUE,AU590,AW590)</f>
        <v/>
      </c>
    </row>
    <row r="591">
      <c r="B591" s="123" t="inlineStr">
        <is>
          <t>285/75R24.5</t>
        </is>
      </c>
      <c r="C591" s="177" t="inlineStr">
        <is>
          <t>14PR</t>
        </is>
      </c>
      <c r="D591" s="177" t="inlineStr">
        <is>
          <t>AD716</t>
        </is>
      </c>
      <c r="E591" s="171" t="inlineStr">
        <is>
          <t>ID285/75R24.5-H C ID</t>
        </is>
      </c>
      <c r="F591" s="131">
        <f>G591-3.37+3.91</f>
        <v/>
      </c>
      <c r="G591" s="131" t="n">
        <v>57.158</v>
      </c>
      <c r="H591" s="131" t="n">
        <v>56.83</v>
      </c>
      <c r="I591" s="130">
        <f>G591-H591</f>
        <v/>
      </c>
      <c r="J591" s="115">
        <f>_xlfn.TEXTJOIN("-",TRUE,B591,C591,D591)</f>
        <v/>
      </c>
      <c r="K591" s="184" t="n"/>
      <c r="L591" s="184" t="n"/>
      <c r="M591" s="184" t="n"/>
      <c r="N591" s="184" t="n"/>
      <c r="O591" s="184" t="n"/>
      <c r="P591" s="184" t="n"/>
      <c r="Q591" s="184" t="n"/>
      <c r="R591" s="210" t="n"/>
      <c r="BB591" s="390">
        <f>_xlfn.TEXTJOIN("-",TRUE,AU591,AW591)</f>
        <v/>
      </c>
    </row>
    <row r="592">
      <c r="B592" s="123" t="inlineStr">
        <is>
          <t>285/75R24.5</t>
        </is>
      </c>
      <c r="C592" s="177" t="inlineStr">
        <is>
          <t>14PR</t>
        </is>
      </c>
      <c r="D592" s="177" t="inlineStr">
        <is>
          <t>CM996</t>
        </is>
      </c>
      <c r="E592" s="125" t="inlineStr">
        <is>
          <t>ID285/75R24.5-H C ID</t>
        </is>
      </c>
      <c r="F592" s="131">
        <f>G592-3.37+3.91</f>
        <v/>
      </c>
      <c r="G592" s="131" t="n">
        <v>57.158</v>
      </c>
      <c r="H592" s="131" t="n">
        <v>56.83</v>
      </c>
      <c r="I592" s="130">
        <f>G592-H592</f>
        <v/>
      </c>
      <c r="J592" s="115">
        <f>_xlfn.TEXTJOIN("-",TRUE,B592,C592,D592)</f>
        <v/>
      </c>
      <c r="K592" s="184" t="n"/>
      <c r="L592" s="184" t="n"/>
      <c r="M592" s="184" t="n"/>
      <c r="N592" s="184" t="n"/>
      <c r="O592" s="184" t="n"/>
      <c r="P592" s="184" t="n"/>
      <c r="Q592" s="184" t="n"/>
      <c r="R592" s="210" t="n"/>
      <c r="BB592" s="390">
        <f>_xlfn.TEXTJOIN("-",TRUE,AU592,AW592)</f>
        <v/>
      </c>
    </row>
    <row r="593">
      <c r="B593" s="123" t="inlineStr">
        <is>
          <t>285/75R24.5</t>
        </is>
      </c>
      <c r="C593" s="177" t="inlineStr">
        <is>
          <t>14PR</t>
        </is>
      </c>
      <c r="D593" s="126" t="inlineStr">
        <is>
          <t>AD757</t>
        </is>
      </c>
      <c r="E593" s="177" t="inlineStr">
        <is>
          <t>ID285/75R24.5-H C ID</t>
        </is>
      </c>
      <c r="F593" s="131">
        <f>G593-3.37+3.91</f>
        <v/>
      </c>
      <c r="G593" s="131" t="n">
        <v>57.158</v>
      </c>
      <c r="H593" s="131" t="n">
        <v>56.83</v>
      </c>
      <c r="I593" s="130">
        <f>G593-H593</f>
        <v/>
      </c>
      <c r="J593" s="115">
        <f>_xlfn.TEXTJOIN("-",TRUE,B593,C593,D593)</f>
        <v/>
      </c>
      <c r="K593" s="184" t="n"/>
      <c r="L593" s="184" t="n"/>
      <c r="M593" s="184" t="n"/>
      <c r="N593" s="184" t="n"/>
      <c r="O593" s="184" t="n"/>
      <c r="P593" s="184" t="n"/>
      <c r="Q593" s="184" t="n"/>
      <c r="R593" s="210" t="n"/>
      <c r="BB593" s="390">
        <f>_xlfn.TEXTJOIN("-",TRUE,AU593,AW593)</f>
        <v/>
      </c>
    </row>
    <row r="594">
      <c r="B594" s="123" t="inlineStr">
        <is>
          <t>285/75R24.5</t>
        </is>
      </c>
      <c r="C594" s="177" t="inlineStr">
        <is>
          <t>14PR</t>
        </is>
      </c>
      <c r="D594" s="177" t="inlineStr">
        <is>
          <t>RLINE-D1</t>
        </is>
      </c>
      <c r="E594" s="171" t="inlineStr">
        <is>
          <t>ID285/75R24.5-H C ID</t>
        </is>
      </c>
      <c r="F594" s="131">
        <f>G594-3.37+3.91</f>
        <v/>
      </c>
      <c r="G594" s="131" t="n">
        <v>57.158</v>
      </c>
      <c r="H594" s="131" t="n">
        <v>56.83</v>
      </c>
      <c r="I594" s="130">
        <f>G594-H594</f>
        <v/>
      </c>
      <c r="J594" s="115">
        <f>_xlfn.TEXTJOIN("-",TRUE,B594,C594,D594)</f>
        <v/>
      </c>
      <c r="K594" s="184" t="n"/>
      <c r="L594" s="184" t="n"/>
      <c r="M594" s="184" t="n"/>
      <c r="N594" s="184" t="n"/>
      <c r="O594" s="184" t="n"/>
      <c r="P594" s="184" t="n"/>
      <c r="Q594" s="184" t="n"/>
      <c r="R594" s="210" t="n"/>
      <c r="BB594" s="390">
        <f>_xlfn.TEXTJOIN("-",TRUE,AU594,AW594)</f>
        <v/>
      </c>
    </row>
    <row r="595">
      <c r="B595" s="123" t="inlineStr">
        <is>
          <t>285/75R24.5</t>
        </is>
      </c>
      <c r="C595" s="177" t="inlineStr">
        <is>
          <t>14PR</t>
        </is>
      </c>
      <c r="D595" s="177" t="inlineStr">
        <is>
          <t>ECO-MILE CSD</t>
        </is>
      </c>
      <c r="E595" s="125" t="inlineStr">
        <is>
          <t>ID285/75R24.5-H C ID</t>
        </is>
      </c>
      <c r="F595" s="131">
        <f>G595-3.37+3.91</f>
        <v/>
      </c>
      <c r="G595" s="131" t="n">
        <v>57.158</v>
      </c>
      <c r="H595" s="131" t="n">
        <v>56.83</v>
      </c>
      <c r="I595" s="130">
        <f>G595-H595</f>
        <v/>
      </c>
      <c r="J595" s="115">
        <f>_xlfn.TEXTJOIN("-",TRUE,B595,C595,D595)</f>
        <v/>
      </c>
      <c r="K595" s="184" t="n"/>
      <c r="L595" s="184" t="n"/>
      <c r="M595" s="184" t="n"/>
      <c r="N595" s="184" t="n"/>
      <c r="O595" s="184" t="n"/>
      <c r="P595" s="184" t="n"/>
      <c r="Q595" s="184" t="n"/>
      <c r="R595" s="210" t="n"/>
      <c r="BB595" s="390">
        <f>_xlfn.TEXTJOIN("-",TRUE,AU595,AW595)</f>
        <v/>
      </c>
    </row>
    <row r="596">
      <c r="B596" s="123" t="inlineStr">
        <is>
          <t>285/75R24.5</t>
        </is>
      </c>
      <c r="C596" s="177" t="inlineStr">
        <is>
          <t>14PR</t>
        </is>
      </c>
      <c r="D596" s="177" t="inlineStr">
        <is>
          <t>M-TRAC CSD</t>
        </is>
      </c>
      <c r="E596" s="125" t="inlineStr">
        <is>
          <t>ID285/75R24.5-H C ID</t>
        </is>
      </c>
      <c r="F596" s="131">
        <f>G596-3.37+3.91</f>
        <v/>
      </c>
      <c r="G596" s="131" t="n">
        <v>57.158</v>
      </c>
      <c r="H596" s="131" t="n">
        <v>56.83</v>
      </c>
      <c r="I596" s="130">
        <f>G596-H596</f>
        <v/>
      </c>
      <c r="J596" s="115">
        <f>_xlfn.TEXTJOIN("-",TRUE,B596,C596,D596)</f>
        <v/>
      </c>
      <c r="K596" s="184" t="n"/>
      <c r="L596" s="184" t="n"/>
      <c r="M596" s="184" t="n"/>
      <c r="N596" s="184" t="n"/>
      <c r="O596" s="184" t="n"/>
      <c r="P596" s="184" t="n"/>
      <c r="Q596" s="184" t="n"/>
      <c r="R596" s="210" t="n"/>
      <c r="BB596" s="390">
        <f>_xlfn.TEXTJOIN("-",TRUE,AU596,AW596)</f>
        <v/>
      </c>
    </row>
    <row r="597">
      <c r="B597" s="123" t="inlineStr">
        <is>
          <t>285/75R24.5</t>
        </is>
      </c>
      <c r="C597" s="177" t="inlineStr">
        <is>
          <t>14PR</t>
        </is>
      </c>
      <c r="D597" s="177" t="inlineStr">
        <is>
          <t>ADL12</t>
        </is>
      </c>
      <c r="E597" s="125" t="inlineStr">
        <is>
          <t>ID285/75R24.5-H C ID</t>
        </is>
      </c>
      <c r="F597" s="131">
        <f>G597-3.37+3.91</f>
        <v/>
      </c>
      <c r="G597" s="131" t="n">
        <v>57.158</v>
      </c>
      <c r="H597" s="131" t="n">
        <v>56.83</v>
      </c>
      <c r="I597" s="130">
        <f>G597-H597</f>
        <v/>
      </c>
      <c r="J597" s="115">
        <f>_xlfn.TEXTJOIN("-",TRUE,B597,C597,D597)</f>
        <v/>
      </c>
      <c r="K597" s="184" t="n"/>
      <c r="L597" s="184" t="n"/>
      <c r="M597" s="184" t="n"/>
      <c r="N597" s="184" t="n"/>
      <c r="O597" s="184" t="n"/>
      <c r="P597" s="184" t="n"/>
      <c r="Q597" s="184" t="n"/>
      <c r="R597" s="210" t="n"/>
      <c r="BB597" s="390">
        <f>_xlfn.TEXTJOIN("-",TRUE,AU597,AW597)</f>
        <v/>
      </c>
    </row>
    <row r="598">
      <c r="B598" s="123" t="inlineStr">
        <is>
          <t>285/75R24.5</t>
        </is>
      </c>
      <c r="C598" s="177" t="inlineStr">
        <is>
          <t>16PR</t>
        </is>
      </c>
      <c r="D598" s="177" t="inlineStr">
        <is>
          <t>HD1 Plus</t>
        </is>
      </c>
      <c r="E598" s="125" t="inlineStr">
        <is>
          <t>ID285/75R24.5-H C ID</t>
        </is>
      </c>
      <c r="F598" s="131">
        <f>G598-3.37+3.91</f>
        <v/>
      </c>
      <c r="G598" s="131" t="n">
        <v>57.158</v>
      </c>
      <c r="H598" s="131" t="n">
        <v>56.8</v>
      </c>
      <c r="I598" s="130">
        <f>G598-H598</f>
        <v/>
      </c>
      <c r="J598" s="115">
        <f>_xlfn.TEXTJOIN("-",TRUE,B598,C598,D598)</f>
        <v/>
      </c>
      <c r="K598" s="184" t="n"/>
      <c r="L598" s="184" t="n"/>
      <c r="M598" s="184" t="n"/>
      <c r="N598" s="184" t="n"/>
      <c r="O598" s="184" t="n"/>
      <c r="P598" s="184" t="n"/>
      <c r="Q598" s="184" t="n"/>
      <c r="R598" s="210" t="n"/>
      <c r="BB598" s="390">
        <f>_xlfn.TEXTJOIN("-",TRUE,AU598,AW598)</f>
        <v/>
      </c>
    </row>
    <row r="599">
      <c r="B599" s="123" t="inlineStr">
        <is>
          <t>285/75R24.5</t>
        </is>
      </c>
      <c r="C599" s="177" t="inlineStr">
        <is>
          <t>16PR</t>
        </is>
      </c>
      <c r="D599" s="177" t="inlineStr">
        <is>
          <t>AD716</t>
        </is>
      </c>
      <c r="E599" s="125" t="inlineStr">
        <is>
          <t>ID285/75R24.5-H C ID</t>
        </is>
      </c>
      <c r="F599" s="131">
        <f>G599-3.37+3.91</f>
        <v/>
      </c>
      <c r="G599" s="131" t="n">
        <v>57.158</v>
      </c>
      <c r="H599" s="131" t="n">
        <v>56.8</v>
      </c>
      <c r="I599" s="130">
        <f>G599-H599</f>
        <v/>
      </c>
      <c r="J599" s="115">
        <f>_xlfn.TEXTJOIN("-",TRUE,B599,C599,D599)</f>
        <v/>
      </c>
      <c r="K599" s="184" t="n"/>
      <c r="L599" s="184" t="n"/>
      <c r="M599" s="184" t="n"/>
      <c r="N599" s="184" t="n"/>
      <c r="O599" s="184" t="n"/>
      <c r="P599" s="184" t="n"/>
      <c r="Q599" s="184" t="n"/>
      <c r="R599" s="210" t="n"/>
      <c r="BB599" s="390">
        <f>_xlfn.TEXTJOIN("-",TRUE,AU599,AW599)</f>
        <v/>
      </c>
    </row>
    <row r="600">
      <c r="B600" s="123" t="inlineStr">
        <is>
          <t>285/75R24.5</t>
        </is>
      </c>
      <c r="C600" s="177" t="inlineStr">
        <is>
          <t>16PR</t>
        </is>
      </c>
      <c r="D600" s="177" t="inlineStr">
        <is>
          <t>CM996</t>
        </is>
      </c>
      <c r="E600" s="125" t="inlineStr">
        <is>
          <t>ID285/75R24.5-H C ID</t>
        </is>
      </c>
      <c r="F600" s="131">
        <f>G600-3.37+3.91</f>
        <v/>
      </c>
      <c r="G600" s="131" t="n">
        <v>57.158</v>
      </c>
      <c r="H600" s="131" t="n">
        <v>56.8</v>
      </c>
      <c r="I600" s="130">
        <f>G600-H600</f>
        <v/>
      </c>
      <c r="J600" s="115">
        <f>_xlfn.TEXTJOIN("-",TRUE,B600,C600,D600)</f>
        <v/>
      </c>
      <c r="K600" s="184" t="n"/>
      <c r="L600" s="184" t="n"/>
      <c r="M600" s="184" t="n"/>
      <c r="N600" s="184" t="n"/>
      <c r="O600" s="184" t="n"/>
      <c r="P600" s="184" t="n"/>
      <c r="Q600" s="184" t="n"/>
      <c r="R600" s="210" t="n"/>
      <c r="BB600" s="390">
        <f>_xlfn.TEXTJOIN("-",TRUE,AU600,AW600)</f>
        <v/>
      </c>
    </row>
    <row r="601">
      <c r="B601" s="123" t="inlineStr">
        <is>
          <t>285/75R24.5</t>
        </is>
      </c>
      <c r="C601" s="177" t="inlineStr">
        <is>
          <t>16PR</t>
        </is>
      </c>
      <c r="D601" s="177" t="inlineStr">
        <is>
          <t>AD757</t>
        </is>
      </c>
      <c r="E601" s="125" t="inlineStr">
        <is>
          <t>ID285/75R24.5-H C ID</t>
        </is>
      </c>
      <c r="F601" s="131">
        <f>G601-3.37+3.91</f>
        <v/>
      </c>
      <c r="G601" s="131" t="n">
        <v>57.158</v>
      </c>
      <c r="H601" s="131" t="n">
        <v>56.8</v>
      </c>
      <c r="I601" s="130">
        <f>G601-H601</f>
        <v/>
      </c>
      <c r="J601" s="115">
        <f>_xlfn.TEXTJOIN("-",TRUE,B601,C601,D601)</f>
        <v/>
      </c>
      <c r="K601" s="184" t="n"/>
      <c r="L601" s="184" t="n"/>
      <c r="M601" s="184" t="n"/>
      <c r="N601" s="184" t="n"/>
      <c r="O601" s="184" t="n"/>
      <c r="P601" s="184" t="n"/>
      <c r="Q601" s="184" t="n"/>
      <c r="R601" s="210" t="n"/>
      <c r="BB601" s="390">
        <f>_xlfn.TEXTJOIN("-",TRUE,AU601,AW601)</f>
        <v/>
      </c>
    </row>
    <row r="602">
      <c r="B602" s="123" t="inlineStr">
        <is>
          <t>285/75R24.5</t>
        </is>
      </c>
      <c r="C602" s="177" t="inlineStr">
        <is>
          <t>16PR</t>
        </is>
      </c>
      <c r="D602" s="177" t="inlineStr">
        <is>
          <t>RLINE-D1</t>
        </is>
      </c>
      <c r="E602" s="125" t="inlineStr">
        <is>
          <t>ID285/75R24.5-H C ID</t>
        </is>
      </c>
      <c r="F602" s="131">
        <f>G602-3.37+3.91</f>
        <v/>
      </c>
      <c r="G602" s="131" t="n">
        <v>57.158</v>
      </c>
      <c r="H602" s="131" t="n">
        <v>56.8</v>
      </c>
      <c r="I602" s="130">
        <f>G602-H602</f>
        <v/>
      </c>
      <c r="J602" s="115">
        <f>_xlfn.TEXTJOIN("-",TRUE,B602,C602,D602)</f>
        <v/>
      </c>
      <c r="K602" s="184" t="n"/>
      <c r="L602" s="184" t="n"/>
      <c r="M602" s="184" t="n"/>
      <c r="N602" s="184" t="n"/>
      <c r="O602" s="184" t="n"/>
      <c r="P602" s="184" t="n"/>
      <c r="Q602" s="184" t="n"/>
      <c r="R602" s="210" t="n"/>
      <c r="BB602" s="390">
        <f>_xlfn.TEXTJOIN("-",TRUE,AU602,AW602)</f>
        <v/>
      </c>
    </row>
    <row r="603">
      <c r="B603" s="123" t="inlineStr">
        <is>
          <t>285/75R24.5</t>
        </is>
      </c>
      <c r="C603" s="177" t="inlineStr">
        <is>
          <t>16PR</t>
        </is>
      </c>
      <c r="D603" s="177" t="inlineStr">
        <is>
          <t>ECO-MILE CSD</t>
        </is>
      </c>
      <c r="E603" s="125" t="inlineStr">
        <is>
          <t>ID285/75R24.5-H C ID</t>
        </is>
      </c>
      <c r="F603" s="131">
        <f>G603-3.37+3.91</f>
        <v/>
      </c>
      <c r="G603" s="131" t="n">
        <v>57.158</v>
      </c>
      <c r="H603" s="131" t="n">
        <v>56.8</v>
      </c>
      <c r="I603" s="130">
        <f>G603-H603</f>
        <v/>
      </c>
      <c r="J603" s="115">
        <f>_xlfn.TEXTJOIN("-",TRUE,B603,C603,D603)</f>
        <v/>
      </c>
      <c r="K603" s="184" t="n"/>
      <c r="L603" s="184" t="n"/>
      <c r="M603" s="184" t="n"/>
      <c r="N603" s="184" t="n"/>
      <c r="O603" s="184" t="n"/>
      <c r="P603" s="184" t="n"/>
      <c r="Q603" s="184" t="n"/>
      <c r="R603" s="210" t="n"/>
      <c r="BB603" s="390">
        <f>_xlfn.TEXTJOIN("-",TRUE,AU603,AW603)</f>
        <v/>
      </c>
    </row>
    <row r="604">
      <c r="B604" s="123" t="inlineStr">
        <is>
          <t>285/75R24.5</t>
        </is>
      </c>
      <c r="C604" s="177" t="inlineStr">
        <is>
          <t>16PR</t>
        </is>
      </c>
      <c r="D604" s="177" t="inlineStr">
        <is>
          <t>M-TRAC CSD</t>
        </is>
      </c>
      <c r="E604" s="125" t="inlineStr">
        <is>
          <t>ID285/75R24.5-H C ID</t>
        </is>
      </c>
      <c r="F604" s="131">
        <f>G604-3.37+3.91</f>
        <v/>
      </c>
      <c r="G604" s="131" t="n">
        <v>57.158</v>
      </c>
      <c r="H604" s="131" t="n">
        <v>56.8</v>
      </c>
      <c r="I604" s="130">
        <f>G604-H604</f>
        <v/>
      </c>
      <c r="J604" s="115">
        <f>_xlfn.TEXTJOIN("-",TRUE,B604,C604,D604)</f>
        <v/>
      </c>
      <c r="K604" s="184" t="n"/>
      <c r="L604" s="184" t="n"/>
      <c r="M604" s="184" t="n"/>
      <c r="N604" s="184" t="n"/>
      <c r="O604" s="184" t="n"/>
      <c r="P604" s="184" t="n"/>
      <c r="Q604" s="184" t="n"/>
      <c r="R604" s="210" t="n"/>
      <c r="BB604" s="390">
        <f>_xlfn.TEXTJOIN("-",TRUE,AU604,AW604)</f>
        <v/>
      </c>
    </row>
    <row r="605">
      <c r="B605" s="123" t="inlineStr">
        <is>
          <t>285/75R24.5</t>
        </is>
      </c>
      <c r="C605" s="177" t="inlineStr">
        <is>
          <t>16PR</t>
        </is>
      </c>
      <c r="D605" s="177" t="inlineStr">
        <is>
          <t>ADL12</t>
        </is>
      </c>
      <c r="E605" s="125" t="inlineStr">
        <is>
          <t>ID285/75R24.5-H C ID</t>
        </is>
      </c>
      <c r="F605" s="131">
        <f>G605-3.37+3.91</f>
        <v/>
      </c>
      <c r="G605" s="131" t="n">
        <v>57.158</v>
      </c>
      <c r="H605" s="131" t="n">
        <v>56.8</v>
      </c>
      <c r="I605" s="130">
        <f>G605-H605</f>
        <v/>
      </c>
      <c r="J605" s="115">
        <f>_xlfn.TEXTJOIN("-",TRUE,B605,C605,D605)</f>
        <v/>
      </c>
      <c r="K605" s="184" t="n"/>
      <c r="L605" s="184" t="n"/>
      <c r="M605" s="184" t="n"/>
      <c r="N605" s="184" t="n"/>
      <c r="O605" s="184" t="n"/>
      <c r="P605" s="184" t="n"/>
      <c r="Q605" s="184" t="n"/>
      <c r="R605" s="210" t="n"/>
      <c r="BB605" s="390">
        <f>_xlfn.TEXTJOIN("-",TRUE,AU605,AW605)</f>
        <v/>
      </c>
    </row>
    <row r="606">
      <c r="B606" s="123" t="inlineStr">
        <is>
          <t>285/75R24.5</t>
        </is>
      </c>
      <c r="C606" s="177" t="inlineStr">
        <is>
          <t>14PR</t>
        </is>
      </c>
      <c r="D606" s="177" t="inlineStr">
        <is>
          <t>HF1 Plus</t>
        </is>
      </c>
      <c r="E606" s="125" t="inlineStr">
        <is>
          <t>ID285/75R24.5-I C ID</t>
        </is>
      </c>
      <c r="F606" s="131">
        <f>G606-3.37+3.91</f>
        <v/>
      </c>
      <c r="G606" s="131" t="n">
        <v>52.82</v>
      </c>
      <c r="H606" s="131" t="n">
        <v>52.74</v>
      </c>
      <c r="I606" s="130">
        <f>G606-H606</f>
        <v/>
      </c>
      <c r="J606" s="115">
        <f>_xlfn.TEXTJOIN("-",TRUE,B606,C606,D606)</f>
        <v/>
      </c>
      <c r="K606" s="184" t="n"/>
      <c r="L606" s="184" t="n"/>
      <c r="M606" s="184" t="n"/>
      <c r="N606" s="184" t="n"/>
      <c r="O606" s="184" t="n"/>
      <c r="P606" s="184" t="n"/>
      <c r="Q606" s="184" t="n"/>
      <c r="R606" s="210" t="n"/>
      <c r="BB606" s="390">
        <f>_xlfn.TEXTJOIN("-",TRUE,AU606,AW606)</f>
        <v/>
      </c>
    </row>
    <row r="607">
      <c r="B607" s="123" t="inlineStr">
        <is>
          <t>285/75R24.5</t>
        </is>
      </c>
      <c r="C607" s="177" t="inlineStr">
        <is>
          <t>14PR</t>
        </is>
      </c>
      <c r="D607" s="177" t="inlineStr">
        <is>
          <t>AZ599</t>
        </is>
      </c>
      <c r="E607" s="125" t="inlineStr">
        <is>
          <t>ID285/75R24.5-I C ID</t>
        </is>
      </c>
      <c r="F607" s="131">
        <f>G607-3.37+3.91</f>
        <v/>
      </c>
      <c r="G607" s="131" t="n">
        <v>52.82</v>
      </c>
      <c r="H607" s="131" t="n">
        <v>52.74</v>
      </c>
      <c r="I607" s="130">
        <f>G607-H607</f>
        <v/>
      </c>
      <c r="J607" s="115">
        <f>_xlfn.TEXTJOIN("-",TRUE,B607,C607,D607)</f>
        <v/>
      </c>
      <c r="K607" s="184" t="n"/>
      <c r="L607" s="184" t="n"/>
      <c r="M607" s="184" t="n"/>
      <c r="N607" s="184" t="n"/>
      <c r="O607" s="184" t="n"/>
      <c r="P607" s="184" t="n"/>
      <c r="Q607" s="184" t="n"/>
      <c r="BB607" s="390">
        <f>_xlfn.TEXTJOIN("-",TRUE,AU607,AW607)</f>
        <v/>
      </c>
    </row>
    <row r="608">
      <c r="B608" s="123" t="inlineStr">
        <is>
          <t>285/75R24.5</t>
        </is>
      </c>
      <c r="C608" s="177" t="inlineStr">
        <is>
          <t>14PR</t>
        </is>
      </c>
      <c r="D608" s="177" t="inlineStr">
        <is>
          <t>AS678</t>
        </is>
      </c>
      <c r="E608" s="125" t="inlineStr">
        <is>
          <t>ID285/75R24.5-I C ID</t>
        </is>
      </c>
      <c r="F608" s="131">
        <f>G608-3.37+3.91</f>
        <v/>
      </c>
      <c r="G608" s="131" t="n">
        <v>52.82</v>
      </c>
      <c r="H608" s="131" t="n">
        <v>52.74</v>
      </c>
      <c r="I608" s="130">
        <f>G608-H608</f>
        <v/>
      </c>
      <c r="J608" s="115">
        <f>_xlfn.TEXTJOIN("-",TRUE,B608,C608,D608)</f>
        <v/>
      </c>
      <c r="K608" s="184" t="n"/>
      <c r="L608" s="184" t="n"/>
      <c r="M608" s="184" t="n"/>
      <c r="N608" s="184" t="n"/>
      <c r="O608" s="184" t="n"/>
      <c r="P608" s="184" t="n"/>
      <c r="Q608" s="184" t="n"/>
      <c r="BB608" s="390">
        <f>_xlfn.TEXTJOIN("-",TRUE,AU608,AW608)</f>
        <v/>
      </c>
    </row>
    <row r="609">
      <c r="B609" s="123" t="inlineStr">
        <is>
          <t>285/75R24.5</t>
        </is>
      </c>
      <c r="C609" s="177" t="inlineStr">
        <is>
          <t>14PR</t>
        </is>
      </c>
      <c r="D609" s="126" t="inlineStr">
        <is>
          <t>CR960A</t>
        </is>
      </c>
      <c r="E609" s="177" t="inlineStr">
        <is>
          <t>ID285/75R24.5-I C ID</t>
        </is>
      </c>
      <c r="F609" s="128">
        <f>G609-3.37+3.91</f>
        <v/>
      </c>
      <c r="G609" s="131" t="n">
        <v>52.82</v>
      </c>
      <c r="H609" s="131" t="n">
        <v>52.74</v>
      </c>
      <c r="I609" s="130">
        <f>G609-H609</f>
        <v/>
      </c>
      <c r="J609" s="115">
        <f>_xlfn.TEXTJOIN("-",TRUE,B609,C609,D609)</f>
        <v/>
      </c>
      <c r="K609" s="184" t="n"/>
      <c r="L609" s="184" t="n"/>
      <c r="M609" s="184" t="n"/>
      <c r="N609" s="184" t="n"/>
      <c r="O609" s="184" t="n"/>
      <c r="P609" s="184" t="n"/>
      <c r="Q609" s="184" t="n"/>
      <c r="BB609" s="390">
        <f>_xlfn.TEXTJOIN("-",TRUE,AU609,AW609)</f>
        <v/>
      </c>
    </row>
    <row r="610">
      <c r="B610" s="123" t="inlineStr">
        <is>
          <t>285/75R24.5</t>
        </is>
      </c>
      <c r="C610" s="177" t="inlineStr">
        <is>
          <t>14PR</t>
        </is>
      </c>
      <c r="D610" s="126" t="inlineStr">
        <is>
          <t>ECO-MILE AP</t>
        </is>
      </c>
      <c r="E610" s="125" t="inlineStr">
        <is>
          <t>ID285/75R24.5-I C ID</t>
        </is>
      </c>
      <c r="F610" s="131">
        <f>G610-3.37+3.91</f>
        <v/>
      </c>
      <c r="G610" s="131" t="n">
        <v>52.82</v>
      </c>
      <c r="H610" s="131" t="n">
        <v>52.74</v>
      </c>
      <c r="I610" s="130">
        <f>G610-H610</f>
        <v/>
      </c>
      <c r="J610" s="115">
        <f>_xlfn.TEXTJOIN("-",TRUE,B610,C610,D610)</f>
        <v/>
      </c>
      <c r="K610" s="184" t="n"/>
      <c r="L610" s="184" t="n"/>
      <c r="M610" s="184" t="n"/>
      <c r="N610" s="184" t="n"/>
      <c r="O610" s="184" t="n"/>
      <c r="P610" s="184" t="n"/>
      <c r="Q610" s="184" t="n"/>
      <c r="BB610" s="390">
        <f>_xlfn.TEXTJOIN("-",TRUE,AU610,AW610)</f>
        <v/>
      </c>
    </row>
    <row r="611">
      <c r="B611" s="123" t="inlineStr">
        <is>
          <t>285/75R24.5</t>
        </is>
      </c>
      <c r="C611" s="177" t="inlineStr">
        <is>
          <t>14PR</t>
        </is>
      </c>
      <c r="D611" s="126" t="inlineStr">
        <is>
          <t>M-TRAC AP</t>
        </is>
      </c>
      <c r="E611" s="125" t="inlineStr">
        <is>
          <t>ID285/75R24.5-I C ID</t>
        </is>
      </c>
      <c r="F611" s="131">
        <f>G611-3.37+3.91</f>
        <v/>
      </c>
      <c r="G611" s="131" t="n">
        <v>52.82</v>
      </c>
      <c r="H611" s="131" t="n">
        <v>52.74</v>
      </c>
      <c r="I611" s="130">
        <f>G611-H611</f>
        <v/>
      </c>
      <c r="J611" s="115">
        <f>_xlfn.TEXTJOIN("-",TRUE,B611,C611,D611)</f>
        <v/>
      </c>
      <c r="K611" s="184" t="n"/>
      <c r="L611" s="184" t="n"/>
      <c r="M611" s="184" t="n"/>
      <c r="N611" s="184" t="n"/>
      <c r="O611" s="184" t="n"/>
      <c r="P611" s="184" t="n"/>
      <c r="Q611" s="184" t="n"/>
      <c r="BB611" s="390">
        <f>_xlfn.TEXTJOIN("-",TRUE,AU611,AW611)</f>
        <v/>
      </c>
    </row>
    <row r="612">
      <c r="B612" s="123" t="inlineStr">
        <is>
          <t>285/75R24.5</t>
        </is>
      </c>
      <c r="C612" s="177" t="inlineStr">
        <is>
          <t>14PR</t>
        </is>
      </c>
      <c r="D612" s="126" t="inlineStr">
        <is>
          <t>AZA02</t>
        </is>
      </c>
      <c r="E612" s="177" t="inlineStr">
        <is>
          <t>ID285/75R24.5-I C ID</t>
        </is>
      </c>
      <c r="F612" s="128">
        <f>G612-3.37+3.91</f>
        <v/>
      </c>
      <c r="G612" s="131" t="n">
        <v>52.82</v>
      </c>
      <c r="H612" s="131" t="n">
        <v>52.74</v>
      </c>
      <c r="I612" s="130">
        <f>G612-H612</f>
        <v/>
      </c>
      <c r="J612" s="115">
        <f>_xlfn.TEXTJOIN("-",TRUE,B612,C612,D612)</f>
        <v/>
      </c>
      <c r="K612" s="184" t="n"/>
      <c r="L612" s="184" t="n"/>
      <c r="M612" s="184" t="n"/>
      <c r="N612" s="184" t="n"/>
      <c r="O612" s="184" t="n"/>
      <c r="P612" s="184" t="n"/>
      <c r="Q612" s="184" t="n"/>
      <c r="BB612" s="390">
        <f>_xlfn.TEXTJOIN("-",TRUE,AU612,AW612)</f>
        <v/>
      </c>
    </row>
    <row r="613">
      <c r="B613" s="123" t="inlineStr">
        <is>
          <t>285/75R24.5</t>
        </is>
      </c>
      <c r="C613" s="177" t="inlineStr">
        <is>
          <t>16PR</t>
        </is>
      </c>
      <c r="D613" s="177" t="inlineStr">
        <is>
          <t>HF1 Plus</t>
        </is>
      </c>
      <c r="E613" s="171" t="inlineStr">
        <is>
          <t>ID285/75R24.5-I C ID</t>
        </is>
      </c>
      <c r="F613" s="131">
        <f>G613-3.37+3.91</f>
        <v/>
      </c>
      <c r="G613" s="131" t="n">
        <v>52.82</v>
      </c>
      <c r="H613" s="131" t="n">
        <v>52.73</v>
      </c>
      <c r="I613" s="130">
        <f>G613-H613</f>
        <v/>
      </c>
      <c r="J613" s="115">
        <f>_xlfn.TEXTJOIN("-",TRUE,B613,C613,D613)</f>
        <v/>
      </c>
      <c r="K613" s="184" t="n"/>
      <c r="L613" s="184" t="n"/>
      <c r="M613" s="184" t="n"/>
      <c r="N613" s="184" t="n"/>
      <c r="O613" s="184" t="n"/>
      <c r="P613" s="184" t="n"/>
      <c r="Q613" s="184" t="n"/>
      <c r="BB613" s="390">
        <f>_xlfn.TEXTJOIN("-",TRUE,AU613,AW613)</f>
        <v/>
      </c>
    </row>
    <row r="614">
      <c r="B614" s="123" t="inlineStr">
        <is>
          <t>285/75R24.5</t>
        </is>
      </c>
      <c r="C614" s="177" t="inlineStr">
        <is>
          <t>16PR</t>
        </is>
      </c>
      <c r="D614" s="177" t="inlineStr">
        <is>
          <t>AZ599</t>
        </is>
      </c>
      <c r="E614" s="125" t="inlineStr">
        <is>
          <t>ID285/75R24.5-I C ID</t>
        </is>
      </c>
      <c r="F614" s="131">
        <f>G614-3.37+3.91</f>
        <v/>
      </c>
      <c r="G614" s="131" t="n">
        <v>52.82</v>
      </c>
      <c r="H614" s="131" t="n">
        <v>52.73</v>
      </c>
      <c r="I614" s="130">
        <f>G614-H614</f>
        <v/>
      </c>
      <c r="J614" s="115">
        <f>_xlfn.TEXTJOIN("-",TRUE,B614,C614,D614)</f>
        <v/>
      </c>
      <c r="K614" s="184" t="n"/>
      <c r="L614" s="184" t="n"/>
      <c r="M614" s="184" t="n"/>
      <c r="N614" s="184" t="n"/>
      <c r="O614" s="184" t="n"/>
      <c r="P614" s="184" t="n"/>
      <c r="Q614" s="184" t="n"/>
      <c r="BB614" s="390">
        <f>_xlfn.TEXTJOIN("-",TRUE,AU614,AW614)</f>
        <v/>
      </c>
    </row>
    <row r="615">
      <c r="B615" s="123" t="inlineStr">
        <is>
          <t>285/75R24.5</t>
        </is>
      </c>
      <c r="C615" s="177" t="inlineStr">
        <is>
          <t>16PR</t>
        </is>
      </c>
      <c r="D615" s="177" t="inlineStr">
        <is>
          <t>AS678</t>
        </is>
      </c>
      <c r="E615" s="125" t="inlineStr">
        <is>
          <t>ID285/75R24.5-I C ID</t>
        </is>
      </c>
      <c r="F615" s="131">
        <f>G615-3.37+3.91</f>
        <v/>
      </c>
      <c r="G615" s="131" t="n">
        <v>52.82</v>
      </c>
      <c r="H615" s="131" t="n">
        <v>52.73</v>
      </c>
      <c r="I615" s="130">
        <f>G615-H615</f>
        <v/>
      </c>
      <c r="J615" s="115">
        <f>_xlfn.TEXTJOIN("-",TRUE,B615,C615,D615)</f>
        <v/>
      </c>
      <c r="K615" s="184" t="n"/>
      <c r="L615" s="184" t="n"/>
      <c r="M615" s="184" t="n"/>
      <c r="N615" s="184" t="n"/>
      <c r="O615" s="184" t="n"/>
      <c r="P615" s="184" t="n"/>
      <c r="Q615" s="184" t="n"/>
      <c r="BB615" s="390">
        <f>_xlfn.TEXTJOIN("-",TRUE,AU615,AW615)</f>
        <v/>
      </c>
    </row>
    <row r="616">
      <c r="B616" s="123" t="inlineStr">
        <is>
          <t>285/75R24.5</t>
        </is>
      </c>
      <c r="C616" s="177" t="inlineStr">
        <is>
          <t>16PR</t>
        </is>
      </c>
      <c r="D616" s="177" t="inlineStr">
        <is>
          <t>CR960A</t>
        </is>
      </c>
      <c r="E616" s="125" t="inlineStr">
        <is>
          <t>ID285/75R24.5-I C ID</t>
        </is>
      </c>
      <c r="F616" s="131">
        <f>G616-3.37+3.91</f>
        <v/>
      </c>
      <c r="G616" s="131" t="n">
        <v>52.82</v>
      </c>
      <c r="H616" s="131" t="n">
        <v>52.73</v>
      </c>
      <c r="I616" s="130">
        <f>G616-H616</f>
        <v/>
      </c>
      <c r="J616" s="115">
        <f>_xlfn.TEXTJOIN("-",TRUE,B616,C616,D616)</f>
        <v/>
      </c>
      <c r="K616" s="184" t="n"/>
      <c r="L616" s="184" t="n"/>
      <c r="M616" s="184" t="n"/>
      <c r="N616" s="184" t="n"/>
      <c r="O616" s="184" t="n"/>
      <c r="P616" s="184" t="n"/>
      <c r="Q616" s="184" t="n"/>
      <c r="BB616" s="390">
        <f>_xlfn.TEXTJOIN("-",TRUE,AU616,AW616)</f>
        <v/>
      </c>
    </row>
    <row r="617">
      <c r="B617" s="123" t="inlineStr">
        <is>
          <t>285/75R24.5</t>
        </is>
      </c>
      <c r="C617" s="177" t="inlineStr">
        <is>
          <t>16PR</t>
        </is>
      </c>
      <c r="D617" s="126" t="inlineStr">
        <is>
          <t>ECO-MILE AP</t>
        </is>
      </c>
      <c r="E617" s="125" t="inlineStr">
        <is>
          <t>ID285/75R24.5-I C ID</t>
        </is>
      </c>
      <c r="F617" s="131">
        <f>G617-3.37+3.91</f>
        <v/>
      </c>
      <c r="G617" s="131" t="n">
        <v>52.82</v>
      </c>
      <c r="H617" s="131" t="n">
        <v>52.73</v>
      </c>
      <c r="I617" s="130">
        <f>G617-H617</f>
        <v/>
      </c>
      <c r="J617" s="115">
        <f>_xlfn.TEXTJOIN("-",TRUE,B617,C617,D617)</f>
        <v/>
      </c>
      <c r="K617" s="184" t="n"/>
      <c r="L617" s="184" t="n"/>
      <c r="M617" s="184" t="n"/>
      <c r="N617" s="184" t="n"/>
      <c r="O617" s="184" t="n"/>
      <c r="P617" s="184" t="n"/>
      <c r="Q617" s="184" t="n"/>
      <c r="BB617" s="390">
        <f>_xlfn.TEXTJOIN("-",TRUE,AU617,AW617)</f>
        <v/>
      </c>
    </row>
    <row r="618">
      <c r="B618" s="123" t="inlineStr">
        <is>
          <t>285/75R24.5</t>
        </is>
      </c>
      <c r="C618" s="177" t="inlineStr">
        <is>
          <t>16PR</t>
        </is>
      </c>
      <c r="D618" s="126" t="inlineStr">
        <is>
          <t>M-TRAC AP</t>
        </is>
      </c>
      <c r="E618" s="125" t="inlineStr">
        <is>
          <t>ID285/75R24.5-I C ID</t>
        </is>
      </c>
      <c r="F618" s="131">
        <f>G618-3.37+3.91</f>
        <v/>
      </c>
      <c r="G618" s="131" t="n">
        <v>52.82</v>
      </c>
      <c r="H618" s="131" t="n">
        <v>52.73</v>
      </c>
      <c r="I618" s="130">
        <f>G618-H618</f>
        <v/>
      </c>
      <c r="J618" s="115">
        <f>_xlfn.TEXTJOIN("-",TRUE,B618,C618,D618)</f>
        <v/>
      </c>
      <c r="K618" s="184" t="n"/>
      <c r="L618" s="184" t="n"/>
      <c r="M618" s="184" t="n"/>
      <c r="N618" s="184" t="n"/>
      <c r="O618" s="184" t="n"/>
      <c r="P618" s="184" t="n"/>
      <c r="Q618" s="184" t="n"/>
      <c r="BB618" s="390">
        <f>_xlfn.TEXTJOIN("-",TRUE,AU618,AW618)</f>
        <v/>
      </c>
    </row>
    <row r="619">
      <c r="B619" s="123" t="inlineStr">
        <is>
          <t>285/75R24.5</t>
        </is>
      </c>
      <c r="C619" s="177" t="inlineStr">
        <is>
          <t>16PR</t>
        </is>
      </c>
      <c r="D619" s="126" t="inlineStr">
        <is>
          <t>AZA02</t>
        </is>
      </c>
      <c r="E619" s="177" t="inlineStr">
        <is>
          <t>ID285/75R24.5-I C ID</t>
        </is>
      </c>
      <c r="F619" s="128">
        <f>G619-3.37+3.91</f>
        <v/>
      </c>
      <c r="G619" s="131" t="n">
        <v>52.82</v>
      </c>
      <c r="H619" s="131" t="n">
        <v>52.73</v>
      </c>
      <c r="I619" s="130">
        <f>G619-H619</f>
        <v/>
      </c>
      <c r="J619" s="115">
        <f>_xlfn.TEXTJOIN("-",TRUE,B619,C619,D619)</f>
        <v/>
      </c>
      <c r="K619" s="184" t="n"/>
      <c r="L619" s="184" t="n"/>
      <c r="M619" s="184" t="n"/>
      <c r="N619" s="184" t="n"/>
      <c r="O619" s="184" t="n"/>
      <c r="P619" s="184" t="n"/>
      <c r="Q619" s="184" t="n"/>
      <c r="BB619" s="390">
        <f>_xlfn.TEXTJOIN("-",TRUE,AU619,AW619)</f>
        <v/>
      </c>
    </row>
    <row r="620">
      <c r="B620" s="123" t="inlineStr">
        <is>
          <t>285/75R24.5</t>
        </is>
      </c>
      <c r="C620" s="177" t="inlineStr">
        <is>
          <t>16PR</t>
        </is>
      </c>
      <c r="D620" s="177" t="inlineStr">
        <is>
          <t>VD998</t>
        </is>
      </c>
      <c r="E620" s="125" t="inlineStr">
        <is>
          <t>ID285/75R24.5-16PR-VD998 US ID</t>
        </is>
      </c>
      <c r="F620" s="131">
        <f>G620-3.37+3.91</f>
        <v/>
      </c>
      <c r="G620" s="131" t="n">
        <v>63.671</v>
      </c>
      <c r="H620" s="131" t="n">
        <v>63.19</v>
      </c>
      <c r="I620" s="130">
        <f>G620-H620</f>
        <v/>
      </c>
      <c r="J620" s="115">
        <f>_xlfn.TEXTJOIN("-",TRUE,B620,C620,D620)</f>
        <v/>
      </c>
      <c r="K620" s="184" t="n"/>
      <c r="L620" s="184" t="n"/>
      <c r="M620" s="184" t="n"/>
      <c r="N620" s="184" t="n"/>
      <c r="O620" s="184" t="n"/>
      <c r="P620" s="184" t="n"/>
      <c r="Q620" s="184" t="n"/>
      <c r="BB620" s="390">
        <f>_xlfn.TEXTJOIN("-",TRUE,AU620,AW620)</f>
        <v/>
      </c>
    </row>
    <row r="621">
      <c r="B621" s="123" t="inlineStr">
        <is>
          <t>285/75R24.5</t>
        </is>
      </c>
      <c r="C621" s="177" t="inlineStr">
        <is>
          <t>14PR</t>
        </is>
      </c>
      <c r="D621" s="177" t="inlineStr">
        <is>
          <t>H-RD</t>
        </is>
      </c>
      <c r="E621" s="125" t="inlineStr">
        <is>
          <t>ID285/75R24.5-14PR-H-RD C ID</t>
        </is>
      </c>
      <c r="F621" s="131">
        <f>G621-3.36+3.91</f>
        <v/>
      </c>
      <c r="G621" s="131" t="n">
        <v>55.991</v>
      </c>
      <c r="H621" s="131" t="n">
        <v>55.93</v>
      </c>
      <c r="I621" s="130">
        <f>G621-H621</f>
        <v/>
      </c>
      <c r="J621" s="115">
        <f>_xlfn.TEXTJOIN("-",TRUE,B621,C621,D621)</f>
        <v/>
      </c>
      <c r="K621" s="184" t="n"/>
      <c r="L621" s="184" t="n"/>
      <c r="M621" s="184" t="n"/>
      <c r="N621" s="184" t="n"/>
      <c r="O621" s="184" t="n"/>
      <c r="P621" s="184" t="n"/>
      <c r="Q621" s="184" t="n"/>
      <c r="BB621" s="390">
        <f>_xlfn.TEXTJOIN("-",TRUE,AU621,AW621)</f>
        <v/>
      </c>
    </row>
    <row r="622">
      <c r="B622" s="123" t="inlineStr">
        <is>
          <t>285/75R24.5</t>
        </is>
      </c>
      <c r="C622" s="177" t="inlineStr">
        <is>
          <t>14PR</t>
        </is>
      </c>
      <c r="D622" s="126" t="inlineStr">
        <is>
          <t>H-TL</t>
        </is>
      </c>
      <c r="E622" s="177" t="inlineStr">
        <is>
          <t>ID285/75R24.5-14PR-H-TL C ID</t>
        </is>
      </c>
      <c r="F622" s="131">
        <f>G622-3.36+3.91</f>
        <v/>
      </c>
      <c r="G622" s="131" t="n">
        <v>49.12</v>
      </c>
      <c r="H622" s="131" t="n">
        <v>48.99</v>
      </c>
      <c r="I622" s="130">
        <f>G622-H622</f>
        <v/>
      </c>
      <c r="J622" s="115">
        <f>_xlfn.TEXTJOIN("-",TRUE,B622,C622,D622)</f>
        <v/>
      </c>
      <c r="K622" s="184" t="n"/>
      <c r="L622" s="184" t="n"/>
      <c r="M622" s="184" t="n"/>
      <c r="N622" s="184" t="n"/>
      <c r="O622" s="184" t="n"/>
      <c r="P622" s="184" t="n"/>
      <c r="Q622" s="184" t="n"/>
      <c r="BB622" s="390">
        <f>_xlfn.TEXTJOIN("-",TRUE,AU622,AW622)</f>
        <v/>
      </c>
    </row>
    <row r="623">
      <c r="B623" s="123" t="inlineStr">
        <is>
          <t>285/75R24.5</t>
        </is>
      </c>
      <c r="C623" s="177" t="inlineStr">
        <is>
          <t>14PR</t>
        </is>
      </c>
      <c r="D623" s="177" t="inlineStr">
        <is>
          <t>AS600</t>
        </is>
      </c>
      <c r="E623" s="177" t="inlineStr">
        <is>
          <t>ID285/75R24.5-14PR-ASL US ID</t>
        </is>
      </c>
      <c r="F623" s="131">
        <f>G623-3.36+3.91</f>
        <v/>
      </c>
      <c r="G623" s="131" t="n">
        <v>54.091</v>
      </c>
      <c r="H623" s="131" t="n">
        <v>54.04</v>
      </c>
      <c r="I623" s="130">
        <f>G623-H623</f>
        <v/>
      </c>
      <c r="J623" s="115">
        <f>_xlfn.TEXTJOIN("-",TRUE,B623,C623,D623)</f>
        <v/>
      </c>
      <c r="K623" s="184" t="n"/>
      <c r="L623" s="184" t="n"/>
      <c r="M623" s="184" t="n"/>
      <c r="N623" s="184" t="n"/>
      <c r="O623" s="184" t="n"/>
      <c r="P623" s="184" t="n"/>
      <c r="Q623" s="184" t="n"/>
      <c r="BB623" s="390">
        <f>_xlfn.TEXTJOIN("-",TRUE,AU623,AW623)</f>
        <v/>
      </c>
    </row>
    <row r="624">
      <c r="B624" s="123" t="inlineStr">
        <is>
          <t>285/75R24.5</t>
        </is>
      </c>
      <c r="C624" s="177" t="inlineStr">
        <is>
          <t>14PR</t>
        </is>
      </c>
      <c r="D624" s="177" t="inlineStr">
        <is>
          <t>ASL01</t>
        </is>
      </c>
      <c r="E624" s="177" t="inlineStr">
        <is>
          <t>ID285/75R24.5-14PR-ASL US ID</t>
        </is>
      </c>
      <c r="F624" s="131">
        <f>G624-3.36+3.91</f>
        <v/>
      </c>
      <c r="G624" s="131" t="n">
        <v>54.091</v>
      </c>
      <c r="H624" s="131" t="n">
        <v>54.04</v>
      </c>
      <c r="I624" s="130">
        <f>G624-H624</f>
        <v/>
      </c>
      <c r="J624" s="115">
        <f>_xlfn.TEXTJOIN("-",TRUE,B624,C624,D624)</f>
        <v/>
      </c>
      <c r="K624" s="184" t="n"/>
      <c r="L624" s="184" t="n"/>
      <c r="M624" s="184" t="n"/>
      <c r="N624" s="184" t="n"/>
      <c r="O624" s="184" t="n"/>
      <c r="P624" s="184" t="n"/>
      <c r="Q624" s="184" t="n"/>
      <c r="BB624" s="390">
        <f>_xlfn.TEXTJOIN("-",TRUE,AU624,AW624)</f>
        <v/>
      </c>
    </row>
    <row r="625">
      <c r="B625" s="123" t="inlineStr">
        <is>
          <t>285/75R24.5</t>
        </is>
      </c>
      <c r="C625" s="177" t="inlineStr">
        <is>
          <t>14PR</t>
        </is>
      </c>
      <c r="D625" s="177" t="inlineStr">
        <is>
          <t>CM983</t>
        </is>
      </c>
      <c r="E625" s="125" t="inlineStr">
        <is>
          <t>ID285/75R24.5-14PR-B US ID</t>
        </is>
      </c>
      <c r="F625" s="131">
        <f>G625-3.36+3.91</f>
        <v/>
      </c>
      <c r="G625" s="131" t="n">
        <v>56.8</v>
      </c>
      <c r="H625" s="131" t="n">
        <v>56.79</v>
      </c>
      <c r="I625" s="130">
        <f>G625-H625</f>
        <v/>
      </c>
      <c r="J625" s="115">
        <f>_xlfn.TEXTJOIN("-",TRUE,B625,C625,D625)</f>
        <v/>
      </c>
      <c r="K625" s="184" t="n"/>
      <c r="L625" s="184" t="n"/>
      <c r="M625" s="184" t="n"/>
      <c r="N625" s="184" t="n"/>
      <c r="O625" s="184" t="n"/>
      <c r="P625" s="184" t="n"/>
      <c r="Q625" s="184" t="n"/>
      <c r="BB625" s="390">
        <f>_xlfn.TEXTJOIN("-",TRUE,AU625,AW625)</f>
        <v/>
      </c>
    </row>
    <row r="626">
      <c r="B626" s="123" t="inlineStr">
        <is>
          <t>285/75R24.5</t>
        </is>
      </c>
      <c r="C626" s="177" t="inlineStr">
        <is>
          <t>14PR</t>
        </is>
      </c>
      <c r="D626" s="126" t="inlineStr">
        <is>
          <t>I-208</t>
        </is>
      </c>
      <c r="E626" s="177" t="inlineStr">
        <is>
          <t>ID285/75R24.5-14PR-B US ID</t>
        </is>
      </c>
      <c r="F626" s="131">
        <f>G626-3.36+3.91</f>
        <v/>
      </c>
      <c r="G626" s="131" t="n">
        <v>56.8</v>
      </c>
      <c r="H626" s="131" t="n">
        <v>56.79</v>
      </c>
      <c r="I626" s="130">
        <f>G626-H626</f>
        <v/>
      </c>
      <c r="J626" s="115">
        <f>_xlfn.TEXTJOIN("-",TRUE,B626,C626,D626)</f>
        <v/>
      </c>
      <c r="K626" s="184" t="n"/>
      <c r="L626" s="184" t="n"/>
      <c r="M626" s="184" t="n"/>
      <c r="N626" s="184" t="n"/>
      <c r="O626" s="184" t="n"/>
      <c r="P626" s="184" t="n"/>
      <c r="Q626" s="184" t="n"/>
      <c r="BB626" s="390">
        <f>_xlfn.TEXTJOIN("-",TRUE,AU626,AW626)</f>
        <v/>
      </c>
    </row>
    <row r="627">
      <c r="B627" s="123" t="inlineStr">
        <is>
          <t>285/75R24.5</t>
        </is>
      </c>
      <c r="C627" s="177" t="inlineStr">
        <is>
          <t>14PR</t>
        </is>
      </c>
      <c r="D627" s="177" t="inlineStr">
        <is>
          <t>R-D2</t>
        </is>
      </c>
      <c r="E627" s="171" t="inlineStr">
        <is>
          <t>ID285/75R24.5-14PR-B US ID</t>
        </is>
      </c>
      <c r="F627" s="131">
        <f>G627-3.36+3.91</f>
        <v/>
      </c>
      <c r="G627" s="131" t="n">
        <v>56.8</v>
      </c>
      <c r="H627" s="131" t="n">
        <v>56.79</v>
      </c>
      <c r="I627" s="130">
        <f>G627-H627</f>
        <v/>
      </c>
      <c r="J627" s="115">
        <f>_xlfn.TEXTJOIN("-",TRUE,B627,C627,D627)</f>
        <v/>
      </c>
      <c r="K627" s="184" t="n"/>
      <c r="L627" s="184" t="n"/>
      <c r="M627" s="184" t="n"/>
      <c r="N627" s="184" t="n"/>
      <c r="O627" s="184" t="n"/>
      <c r="P627" s="184" t="n"/>
      <c r="Q627" s="184" t="n"/>
      <c r="BB627" s="390">
        <f>_xlfn.TEXTJOIN("-",TRUE,AU627,AW627)</f>
        <v/>
      </c>
    </row>
    <row r="628">
      <c r="B628" s="123" t="inlineStr">
        <is>
          <t>285/75R24.5</t>
        </is>
      </c>
      <c r="C628" s="177" t="inlineStr">
        <is>
          <t>14PR</t>
        </is>
      </c>
      <c r="D628" s="177" t="inlineStr">
        <is>
          <t>AS673</t>
        </is>
      </c>
      <c r="E628" s="125" t="inlineStr">
        <is>
          <t>ID285/75R24.5-14PR-AS673 US ID</t>
        </is>
      </c>
      <c r="F628" s="131">
        <f>G628-3.36+3.91</f>
        <v/>
      </c>
      <c r="G628" s="131" t="n">
        <v>57.391</v>
      </c>
      <c r="H628" s="131" t="n">
        <v>57.33</v>
      </c>
      <c r="I628" s="130">
        <f>G628-H628</f>
        <v/>
      </c>
      <c r="J628" s="115">
        <f>_xlfn.TEXTJOIN("-",TRUE,B628,C628,D628)</f>
        <v/>
      </c>
      <c r="K628" s="184" t="n"/>
      <c r="L628" s="184" t="n"/>
      <c r="M628" s="184" t="n"/>
      <c r="N628" s="184" t="n"/>
      <c r="O628" s="184" t="n"/>
      <c r="P628" s="184" t="n"/>
      <c r="Q628" s="184" t="n"/>
      <c r="BB628" s="390">
        <f>_xlfn.TEXTJOIN("-",TRUE,AU628,AW628)</f>
        <v/>
      </c>
    </row>
    <row r="629">
      <c r="B629" s="123" t="inlineStr">
        <is>
          <t>285/75R24.5</t>
        </is>
      </c>
      <c r="C629" s="177" t="inlineStr">
        <is>
          <t>14PR</t>
        </is>
      </c>
      <c r="D629" s="177" t="inlineStr">
        <is>
          <t>AD721</t>
        </is>
      </c>
      <c r="E629" s="125" t="inlineStr">
        <is>
          <t>ID285/75R24.5-14PR-ADA US ID</t>
        </is>
      </c>
      <c r="F629" s="131">
        <f>G629-3.36+3.91</f>
        <v/>
      </c>
      <c r="G629" s="131" t="n">
        <v>57.351</v>
      </c>
      <c r="H629" s="131" t="n">
        <v>57.29</v>
      </c>
      <c r="I629" s="130">
        <f>G629-H629</f>
        <v/>
      </c>
      <c r="J629" s="115">
        <f>_xlfn.TEXTJOIN("-",TRUE,B629,C629,D629)</f>
        <v/>
      </c>
      <c r="K629" s="184" t="n"/>
      <c r="L629" s="184" t="n"/>
      <c r="M629" s="184" t="n"/>
      <c r="N629" s="184" t="n"/>
      <c r="O629" s="184" t="n"/>
      <c r="P629" s="184" t="n"/>
      <c r="Q629" s="184" t="n"/>
      <c r="R629" s="210" t="n"/>
      <c r="BB629" s="390">
        <f>_xlfn.TEXTJOIN("-",TRUE,AU629,AW629)</f>
        <v/>
      </c>
    </row>
    <row r="630">
      <c r="B630" s="123" t="inlineStr">
        <is>
          <t>285/75R24.5</t>
        </is>
      </c>
      <c r="C630" s="177" t="inlineStr">
        <is>
          <t>14PR</t>
        </is>
      </c>
      <c r="D630" s="177" t="inlineStr">
        <is>
          <t>ADR15</t>
        </is>
      </c>
      <c r="E630" s="125" t="inlineStr">
        <is>
          <t>ID285/75R24.5-14PR-ADA US ID</t>
        </is>
      </c>
      <c r="F630" s="131">
        <f>G630-3.36+3.91</f>
        <v/>
      </c>
      <c r="G630" s="131" t="n">
        <v>57.351</v>
      </c>
      <c r="H630" s="131" t="n">
        <v>57.29</v>
      </c>
      <c r="I630" s="130">
        <f>G630-H630</f>
        <v/>
      </c>
      <c r="J630" s="115">
        <f>_xlfn.TEXTJOIN("-",TRUE,B630,C630,D630)</f>
        <v/>
      </c>
      <c r="K630" s="184" t="n"/>
      <c r="L630" s="184" t="n"/>
      <c r="M630" s="184" t="n"/>
      <c r="N630" s="184" t="n"/>
      <c r="O630" s="184" t="n"/>
      <c r="P630" s="184" t="n"/>
      <c r="Q630" s="184" t="n"/>
      <c r="R630" s="210" t="n"/>
      <c r="BB630" s="390">
        <f>_xlfn.TEXTJOIN("-",TRUE,AU630,AW630)</f>
        <v/>
      </c>
    </row>
    <row r="631">
      <c r="B631" s="123" t="inlineStr">
        <is>
          <t>285/75R24.5</t>
        </is>
      </c>
      <c r="C631" s="177" t="inlineStr">
        <is>
          <t>14PR</t>
        </is>
      </c>
      <c r="D631" s="177" t="inlineStr">
        <is>
          <t>AD778</t>
        </is>
      </c>
      <c r="E631" s="125" t="inlineStr">
        <is>
          <t>ID285/75R24.5-14PR-AD778 US ID</t>
        </is>
      </c>
      <c r="F631" s="131">
        <f>G631-3.36+3.91</f>
        <v/>
      </c>
      <c r="G631" s="131" t="n">
        <v>59.941</v>
      </c>
      <c r="H631" s="131" t="n">
        <v>59.88</v>
      </c>
      <c r="I631" s="130">
        <f>G631-H631</f>
        <v/>
      </c>
      <c r="J631" s="115">
        <f>_xlfn.TEXTJOIN("-",TRUE,B631,C631,D631)</f>
        <v/>
      </c>
      <c r="K631" s="184" t="n"/>
      <c r="L631" s="184" t="n"/>
      <c r="M631" s="184" t="n"/>
      <c r="N631" s="184" t="n"/>
      <c r="O631" s="184" t="n"/>
      <c r="P631" s="184" t="n"/>
      <c r="Q631" s="184" t="n"/>
      <c r="R631" s="210" t="n"/>
      <c r="T631" s="184" t="n"/>
      <c r="U631" s="184" t="n"/>
      <c r="BB631" s="390">
        <f>_xlfn.TEXTJOIN("-",TRUE,AU631,AW631)</f>
        <v/>
      </c>
    </row>
    <row r="632">
      <c r="B632" s="123" t="inlineStr">
        <is>
          <t>285/75R24.5</t>
        </is>
      </c>
      <c r="C632" s="177" t="inlineStr">
        <is>
          <t>14PR</t>
        </is>
      </c>
      <c r="D632" s="177" t="inlineStr">
        <is>
          <t>AD759</t>
        </is>
      </c>
      <c r="E632" s="125" t="inlineStr">
        <is>
          <t>ID285/75R24.5-14PR-ADD US ID</t>
        </is>
      </c>
      <c r="F632" s="131">
        <f>G632-3.36+3.91</f>
        <v/>
      </c>
      <c r="G632" s="131" t="n">
        <v>63.62</v>
      </c>
      <c r="H632" s="131" t="n">
        <v>63.63</v>
      </c>
      <c r="I632" s="130">
        <f>G632-H632</f>
        <v/>
      </c>
      <c r="J632" s="115">
        <f>_xlfn.TEXTJOIN("-",TRUE,B632,C632,D632)</f>
        <v/>
      </c>
      <c r="K632" s="184" t="n"/>
      <c r="L632" s="184" t="n"/>
      <c r="M632" s="184" t="n"/>
      <c r="N632" s="184" t="n"/>
      <c r="O632" s="184" t="n"/>
      <c r="P632" s="184" t="n"/>
      <c r="Q632" s="184" t="n"/>
      <c r="R632" s="210" t="n"/>
      <c r="T632" s="184" t="n"/>
      <c r="U632" s="184" t="n"/>
      <c r="BB632" s="390">
        <f>_xlfn.TEXTJOIN("-",TRUE,AU632,AW632)</f>
        <v/>
      </c>
    </row>
    <row r="633">
      <c r="B633" s="123" t="inlineStr">
        <is>
          <t>285/75R24.5</t>
        </is>
      </c>
      <c r="C633" s="177" t="inlineStr">
        <is>
          <t>14PR</t>
        </is>
      </c>
      <c r="D633" s="177" t="inlineStr">
        <is>
          <t>ADL13</t>
        </is>
      </c>
      <c r="E633" s="125" t="inlineStr">
        <is>
          <t>ID285/75R24.5-14PR-ADD US ID</t>
        </is>
      </c>
      <c r="F633" s="131">
        <f>G633-3.36+3.91</f>
        <v/>
      </c>
      <c r="G633" s="131" t="n">
        <v>63.62</v>
      </c>
      <c r="H633" s="131" t="n">
        <v>63.63</v>
      </c>
      <c r="I633" s="130">
        <f>G633-H633</f>
        <v/>
      </c>
      <c r="J633" s="115">
        <f>_xlfn.TEXTJOIN("-",TRUE,B633,C633,D633)</f>
        <v/>
      </c>
      <c r="K633" s="184" t="n"/>
      <c r="L633" s="184" t="n"/>
      <c r="M633" s="184" t="n"/>
      <c r="N633" s="184" t="n"/>
      <c r="O633" s="184" t="n"/>
      <c r="P633" s="184" t="n"/>
      <c r="Q633" s="184" t="n"/>
      <c r="R633" s="210" t="n"/>
      <c r="T633" s="184" t="n"/>
      <c r="U633" s="184" t="n"/>
      <c r="BB633" s="390">
        <f>_xlfn.TEXTJOIN("-",TRUE,AU633,AW633)</f>
        <v/>
      </c>
    </row>
    <row r="634">
      <c r="B634" s="123" t="inlineStr">
        <is>
          <t>285/75R24.5</t>
        </is>
      </c>
      <c r="C634" s="177" t="inlineStr">
        <is>
          <t>14PR</t>
        </is>
      </c>
      <c r="D634" s="177" t="inlineStr">
        <is>
          <t>AS600+</t>
        </is>
      </c>
      <c r="E634" s="125" t="inlineStr">
        <is>
          <t>ID285/75R24.5-14PR-ASA US ID</t>
        </is>
      </c>
      <c r="F634" s="131">
        <f>G634-3.36+3.91</f>
        <v/>
      </c>
      <c r="G634" s="131" t="n">
        <v>54.471</v>
      </c>
      <c r="H634" s="131" t="n">
        <v>54.41</v>
      </c>
      <c r="I634" s="130">
        <f>G634-H634</f>
        <v/>
      </c>
      <c r="J634" s="115">
        <f>_xlfn.TEXTJOIN("-",TRUE,B634,C634,D634)</f>
        <v/>
      </c>
      <c r="K634" s="184" t="n"/>
      <c r="L634" s="184" t="n"/>
      <c r="M634" s="184" t="n"/>
      <c r="N634" s="184" t="n"/>
      <c r="O634" s="184" t="n"/>
      <c r="P634" s="184" t="n"/>
      <c r="Q634" s="184" t="n"/>
      <c r="R634" s="210" t="n"/>
      <c r="T634" s="184" t="n"/>
      <c r="U634" s="184" t="n"/>
      <c r="BB634" s="390">
        <f>_xlfn.TEXTJOIN("-",TRUE,AU634,AW634)</f>
        <v/>
      </c>
    </row>
    <row r="635">
      <c r="B635" s="123" t="inlineStr">
        <is>
          <t>285/75R24.5</t>
        </is>
      </c>
      <c r="C635" s="177" t="inlineStr">
        <is>
          <t>14PR</t>
        </is>
      </c>
      <c r="D635" s="177" t="inlineStr">
        <is>
          <t>ASL01 EX</t>
        </is>
      </c>
      <c r="E635" s="125" t="inlineStr">
        <is>
          <t>ID285/75R24.5-14PR-ASA US ID</t>
        </is>
      </c>
      <c r="F635" s="131">
        <f>G635-3.36+3.91</f>
        <v/>
      </c>
      <c r="G635" s="131" t="n">
        <v>54.471</v>
      </c>
      <c r="H635" s="131" t="n">
        <v>54.41</v>
      </c>
      <c r="I635" s="130">
        <f>G635-H635</f>
        <v/>
      </c>
      <c r="J635" s="115">
        <f>_xlfn.TEXTJOIN("-",TRUE,B635,C635,D635)</f>
        <v/>
      </c>
      <c r="K635" s="184" t="n"/>
      <c r="L635" s="184" t="n"/>
      <c r="M635" s="184" t="n"/>
      <c r="N635" s="184" t="n"/>
      <c r="O635" s="184" t="n"/>
      <c r="P635" s="184" t="n"/>
      <c r="Q635" s="184" t="n"/>
      <c r="R635" s="210" t="n"/>
      <c r="T635" s="184" t="n"/>
      <c r="U635" s="184" t="n"/>
      <c r="BB635" s="390">
        <f>_xlfn.TEXTJOIN("-",TRUE,AU635,AW635)</f>
        <v/>
      </c>
    </row>
    <row r="636">
      <c r="B636" s="132" t="n"/>
      <c r="C636" s="178" t="n"/>
      <c r="D636" s="178" t="n"/>
      <c r="E636" s="178" t="n"/>
      <c r="F636" s="135" t="n"/>
      <c r="G636" s="135" t="n"/>
      <c r="H636" s="178" t="n"/>
      <c r="I636" s="134" t="n"/>
      <c r="J636" s="115">
        <f>_xlfn.TEXTJOIN("-",TRUE,B636,C636,D636)</f>
        <v/>
      </c>
      <c r="K636" s="184" t="n"/>
      <c r="L636" s="184" t="n"/>
      <c r="M636" s="184" t="n"/>
      <c r="N636" s="184" t="n"/>
      <c r="O636" s="184" t="n"/>
      <c r="P636" s="184" t="n"/>
      <c r="Q636" s="184" t="n"/>
      <c r="R636" s="210" t="n"/>
      <c r="T636" s="184" t="n"/>
      <c r="U636" s="184" t="n"/>
      <c r="BB636" s="390">
        <f>_xlfn.TEXTJOIN("-",TRUE,AU636,AW636)</f>
        <v/>
      </c>
    </row>
    <row r="637">
      <c r="B637" s="123" t="inlineStr">
        <is>
          <t>295/75R22.5</t>
        </is>
      </c>
      <c r="C637" s="169" t="inlineStr">
        <is>
          <t>14PR</t>
        </is>
      </c>
      <c r="D637" s="177" t="inlineStr">
        <is>
          <t>CR915</t>
        </is>
      </c>
      <c r="E637" s="177" t="inlineStr">
        <is>
          <t>ID295/75R22.5-14PR-C US ID</t>
        </is>
      </c>
      <c r="F637" s="131">
        <f>G637-2.747+3.132</f>
        <v/>
      </c>
      <c r="G637" s="131" t="n">
        <v>47.832</v>
      </c>
      <c r="H637" s="129" t="n">
        <v>47.6502</v>
      </c>
      <c r="I637" s="130">
        <f>G637-H637</f>
        <v/>
      </c>
      <c r="J637" s="115">
        <f>_xlfn.TEXTJOIN("-",TRUE,B637,C637,D637)</f>
        <v/>
      </c>
      <c r="K637" s="184" t="n"/>
      <c r="L637" s="184" t="n"/>
      <c r="M637" s="184" t="n"/>
      <c r="N637" s="184" t="n"/>
      <c r="O637" s="184" t="n"/>
      <c r="P637" s="184" t="n"/>
      <c r="Q637" s="184" t="n"/>
      <c r="R637" s="210" t="n"/>
      <c r="T637" s="184" t="n"/>
      <c r="U637" s="184" t="n"/>
      <c r="BB637" s="390">
        <f>_xlfn.TEXTJOIN("-",TRUE,AU637,AW637)</f>
        <v/>
      </c>
    </row>
    <row r="638">
      <c r="B638" s="123" t="inlineStr">
        <is>
          <t>295/75R22.5</t>
        </is>
      </c>
      <c r="C638" s="169" t="inlineStr">
        <is>
          <t>14PR</t>
        </is>
      </c>
      <c r="D638" s="177" t="inlineStr">
        <is>
          <t>CR915 eco</t>
        </is>
      </c>
      <c r="E638" s="177" t="inlineStr">
        <is>
          <t>ID295/75R22.5-14PR-CR915 eco C ID</t>
        </is>
      </c>
      <c r="F638" s="131">
        <f>G638-2.747+3.132</f>
        <v/>
      </c>
      <c r="G638" s="131" t="n">
        <v>45.727</v>
      </c>
      <c r="H638" s="129" t="n">
        <v>45.692</v>
      </c>
      <c r="I638" s="130">
        <f>G638-H638</f>
        <v/>
      </c>
      <c r="J638" s="115">
        <f>_xlfn.TEXTJOIN("-",TRUE,B638,C638,D638)</f>
        <v/>
      </c>
      <c r="K638" s="184" t="n"/>
      <c r="L638" s="184" t="n"/>
      <c r="M638" s="184" t="n"/>
      <c r="N638" s="184" t="n"/>
      <c r="O638" s="184" t="n"/>
      <c r="P638" s="184" t="n"/>
      <c r="Q638" s="184" t="n"/>
      <c r="R638" s="210" t="n"/>
      <c r="T638" s="184" t="n"/>
      <c r="U638" s="184" t="n"/>
      <c r="BB638" s="390">
        <f>_xlfn.TEXTJOIN("-",TRUE,AU638,AW638)</f>
        <v/>
      </c>
    </row>
    <row r="639">
      <c r="B639" s="123" t="inlineStr">
        <is>
          <t>295/75R22.5</t>
        </is>
      </c>
      <c r="C639" s="169" t="inlineStr">
        <is>
          <t>14PR</t>
        </is>
      </c>
      <c r="D639" s="177" t="inlineStr">
        <is>
          <t>DL22</t>
        </is>
      </c>
      <c r="E639" s="125" t="inlineStr">
        <is>
          <t>ID295/75R22.5-14PR-A US C ID</t>
        </is>
      </c>
      <c r="F639" s="131">
        <f>G639-2.747+3.132</f>
        <v/>
      </c>
      <c r="G639" s="131" t="n">
        <v>62.59</v>
      </c>
      <c r="H639" s="129" t="n">
        <v>59.1419</v>
      </c>
      <c r="I639" s="130">
        <f>G639-H639</f>
        <v/>
      </c>
      <c r="J639" s="115">
        <f>_xlfn.TEXTJOIN("-",TRUE,B639,C639,D639)</f>
        <v/>
      </c>
      <c r="K639" s="184" t="n"/>
      <c r="L639" s="184" t="n"/>
      <c r="M639" s="184" t="n"/>
      <c r="N639" s="184" t="n"/>
      <c r="O639" s="184" t="n"/>
      <c r="P639" s="184" t="n"/>
      <c r="Q639" s="184" t="n"/>
      <c r="R639" s="210" t="n"/>
      <c r="T639" s="184" t="n"/>
      <c r="U639" s="184" t="n"/>
      <c r="BB639" s="390">
        <f>_xlfn.TEXTJOIN("-",TRUE,AU639,AW639)</f>
        <v/>
      </c>
    </row>
    <row r="640">
      <c r="B640" s="123" t="inlineStr">
        <is>
          <t>295/75R22.5</t>
        </is>
      </c>
      <c r="C640" s="169" t="inlineStr">
        <is>
          <t>14PR</t>
        </is>
      </c>
      <c r="D640" s="177" t="inlineStr">
        <is>
          <t>DA23</t>
        </is>
      </c>
      <c r="E640" s="125" t="inlineStr">
        <is>
          <t>ID295/75R22.5-14PR-A US C ID</t>
        </is>
      </c>
      <c r="F640" s="131">
        <f>G640-2.747+3.132</f>
        <v/>
      </c>
      <c r="G640" s="131" t="n">
        <v>62.59</v>
      </c>
      <c r="H640" s="129" t="n">
        <v>59.1419</v>
      </c>
      <c r="I640" s="130">
        <f>G640-H640</f>
        <v/>
      </c>
      <c r="J640" s="115">
        <f>_xlfn.TEXTJOIN("-",TRUE,B640,C640,D640)</f>
        <v/>
      </c>
      <c r="K640" s="184" t="n"/>
      <c r="L640" s="184" t="n"/>
      <c r="M640" s="184" t="n"/>
      <c r="N640" s="184" t="n"/>
      <c r="O640" s="184" t="n"/>
      <c r="P640" s="184" t="n"/>
      <c r="Q640" s="184" t="n"/>
      <c r="R640" s="210" t="n"/>
      <c r="T640" s="184" t="n"/>
      <c r="U640" s="184" t="n"/>
      <c r="BB640" s="390">
        <f>_xlfn.TEXTJOIN("-",TRUE,AU640,AW640)</f>
        <v/>
      </c>
    </row>
    <row r="641">
      <c r="B641" s="123" t="inlineStr">
        <is>
          <t>295/75R22.5</t>
        </is>
      </c>
      <c r="C641" s="169" t="inlineStr">
        <is>
          <t>14PR</t>
        </is>
      </c>
      <c r="D641" s="177" t="inlineStr">
        <is>
          <t>DL21</t>
        </is>
      </c>
      <c r="E641" s="177" t="inlineStr">
        <is>
          <t>ID295/75R22.5-14PR-DL21 US C ID</t>
        </is>
      </c>
      <c r="F641" s="131">
        <f>G641-2.747+3.132</f>
        <v/>
      </c>
      <c r="G641" s="131" t="n">
        <v>61.594</v>
      </c>
      <c r="H641" s="129" t="n">
        <v>60.6251</v>
      </c>
      <c r="I641" s="130">
        <f>G641-H641</f>
        <v/>
      </c>
      <c r="J641" s="115">
        <f>_xlfn.TEXTJOIN("-",TRUE,B641,C641,D641)</f>
        <v/>
      </c>
      <c r="K641" s="184" t="n"/>
      <c r="L641" s="184" t="n"/>
      <c r="M641" s="184" t="n"/>
      <c r="N641" s="184" t="n"/>
      <c r="O641" s="184" t="n"/>
      <c r="P641" s="184" t="n"/>
      <c r="Q641" s="184" t="n"/>
      <c r="R641" s="210" t="n"/>
      <c r="T641" s="184" t="n"/>
      <c r="U641" s="184" t="n"/>
      <c r="BB641" s="390">
        <f>_xlfn.TEXTJOIN("-",TRUE,AU641,AW641)</f>
        <v/>
      </c>
    </row>
    <row r="642">
      <c r="B642" s="123" t="inlineStr">
        <is>
          <t>295/75R22.5</t>
        </is>
      </c>
      <c r="C642" s="169" t="inlineStr">
        <is>
          <t>14PR</t>
        </is>
      </c>
      <c r="D642" s="177" t="inlineStr">
        <is>
          <t>W-Elite SL11</t>
        </is>
      </c>
      <c r="E642" s="125" t="inlineStr">
        <is>
          <t>ID295/75R22.5-14PR-Q US C ID</t>
        </is>
      </c>
      <c r="F642" s="131">
        <f>G642-2.747+3.14</f>
        <v/>
      </c>
      <c r="G642" s="131" t="n">
        <v>54.84</v>
      </c>
      <c r="H642" s="180" t="n">
        <v>54.29</v>
      </c>
      <c r="I642" s="130">
        <f>G642-H642</f>
        <v/>
      </c>
      <c r="J642" s="115">
        <f>_xlfn.TEXTJOIN("-",TRUE,B642,C642,D642)</f>
        <v/>
      </c>
      <c r="K642" s="184" t="n"/>
      <c r="L642" s="184" t="n"/>
      <c r="M642" s="184" t="n"/>
      <c r="N642" s="184" t="n"/>
      <c r="O642" s="184" t="n"/>
      <c r="P642" s="184" t="n"/>
      <c r="Q642" s="184" t="n"/>
      <c r="R642" s="210" t="n"/>
      <c r="T642" s="184" t="n"/>
      <c r="U642" s="184" t="n"/>
      <c r="BB642" s="390">
        <f>_xlfn.TEXTJOIN("-",TRUE,AU642,AW642)</f>
        <v/>
      </c>
    </row>
    <row r="643">
      <c r="B643" s="123" t="inlineStr">
        <is>
          <t>295/75R22.5</t>
        </is>
      </c>
      <c r="C643" s="169" t="inlineStr">
        <is>
          <t>14PR</t>
        </is>
      </c>
      <c r="D643" s="177" t="inlineStr">
        <is>
          <t>VA996</t>
        </is>
      </c>
      <c r="E643" s="125" t="inlineStr">
        <is>
          <t>ID295/75R22.5-14PR-Q US C ID</t>
        </is>
      </c>
      <c r="F643" s="131">
        <f>G643-2.747+3.14</f>
        <v/>
      </c>
      <c r="G643" s="131" t="n">
        <v>54.84</v>
      </c>
      <c r="H643" s="180" t="n">
        <v>54.29</v>
      </c>
      <c r="I643" s="130">
        <f>G643-H643</f>
        <v/>
      </c>
      <c r="J643" s="115">
        <f>_xlfn.TEXTJOIN("-",TRUE,B643,C643,D643)</f>
        <v/>
      </c>
      <c r="K643" s="184" t="n"/>
      <c r="L643" s="184" t="n"/>
      <c r="M643" s="184" t="n"/>
      <c r="N643" s="184" t="n"/>
      <c r="O643" s="184" t="n"/>
      <c r="P643" s="184" t="n"/>
      <c r="Q643" s="184" t="n"/>
      <c r="R643" s="210" t="n"/>
      <c r="T643" s="184" t="n"/>
      <c r="U643" s="184" t="n"/>
      <c r="BB643" s="390">
        <f>_xlfn.TEXTJOIN("-",TRUE,AU643,AW643)</f>
        <v/>
      </c>
    </row>
    <row r="644">
      <c r="B644" s="123" t="inlineStr">
        <is>
          <t>295/75R22.5</t>
        </is>
      </c>
      <c r="C644" s="169" t="inlineStr">
        <is>
          <t>14PR</t>
        </is>
      </c>
      <c r="D644" s="177" t="inlineStr">
        <is>
          <t>AS200</t>
        </is>
      </c>
      <c r="E644" s="125" t="inlineStr">
        <is>
          <t>ID295/75R22.5-14PR-Q US C ID</t>
        </is>
      </c>
      <c r="F644" s="131">
        <f>G644-2.747+3.14</f>
        <v/>
      </c>
      <c r="G644" s="131" t="n">
        <v>54.84</v>
      </c>
      <c r="H644" s="180" t="n">
        <v>54.29</v>
      </c>
      <c r="I644" s="130">
        <f>G644-H644</f>
        <v/>
      </c>
      <c r="J644" s="115">
        <f>_xlfn.TEXTJOIN("-",TRUE,B644,C644,D644)</f>
        <v/>
      </c>
      <c r="K644" s="184" t="n"/>
      <c r="L644" s="184" t="n"/>
      <c r="M644" s="184" t="n"/>
      <c r="N644" s="184" t="n"/>
      <c r="O644" s="184" t="n"/>
      <c r="P644" s="184" t="n"/>
      <c r="Q644" s="184" t="n"/>
      <c r="R644" s="210" t="n"/>
      <c r="T644" s="184" t="n"/>
      <c r="U644" s="184" t="n"/>
      <c r="BB644" s="390">
        <f>_xlfn.TEXTJOIN("-",TRUE,AU644,AW644)</f>
        <v/>
      </c>
    </row>
    <row r="645">
      <c r="B645" s="123" t="inlineStr">
        <is>
          <t>295/75R22.5</t>
        </is>
      </c>
      <c r="C645" s="169" t="inlineStr">
        <is>
          <t>14PR</t>
        </is>
      </c>
      <c r="D645" s="177" t="inlineStr">
        <is>
          <t>PS221</t>
        </is>
      </c>
      <c r="E645" s="125" t="inlineStr">
        <is>
          <t>ID295/75R22.5-14PR-Q US C ID</t>
        </is>
      </c>
      <c r="F645" s="131">
        <f>G645-2.747+3.14</f>
        <v/>
      </c>
      <c r="G645" s="131" t="n">
        <v>54.84</v>
      </c>
      <c r="H645" s="180" t="n">
        <v>54.29</v>
      </c>
      <c r="I645" s="130">
        <f>G645-H645</f>
        <v/>
      </c>
      <c r="J645" s="115">
        <f>_xlfn.TEXTJOIN("-",TRUE,B645,C645,D645)</f>
        <v/>
      </c>
      <c r="K645" s="184" t="n"/>
      <c r="L645" s="184" t="n"/>
      <c r="M645" s="184" t="n"/>
      <c r="N645" s="184" t="n"/>
      <c r="O645" s="184" t="n"/>
      <c r="P645" s="184" t="n"/>
      <c r="Q645" s="184" t="n"/>
      <c r="R645" s="210" t="n"/>
      <c r="T645" s="184" t="n"/>
      <c r="U645" s="184" t="n"/>
      <c r="BB645" s="390">
        <f>_xlfn.TEXTJOIN("-",TRUE,AU645,AW645)</f>
        <v/>
      </c>
    </row>
    <row r="646">
      <c r="B646" s="123" t="inlineStr">
        <is>
          <t>295/75R22.5</t>
        </is>
      </c>
      <c r="C646" s="169" t="inlineStr">
        <is>
          <t>14PR</t>
        </is>
      </c>
      <c r="D646" s="177" t="inlineStr">
        <is>
          <t>AS201</t>
        </is>
      </c>
      <c r="E646" s="125" t="inlineStr">
        <is>
          <t>ID295/75R22.5-14PR-Q US C ID</t>
        </is>
      </c>
      <c r="F646" s="131">
        <f>G646-2.747+3.14</f>
        <v/>
      </c>
      <c r="G646" s="131" t="n">
        <v>54.84</v>
      </c>
      <c r="H646" s="180" t="n">
        <v>54.29</v>
      </c>
      <c r="I646" s="130">
        <f>G646-H646</f>
        <v/>
      </c>
      <c r="J646" s="115">
        <f>_xlfn.TEXTJOIN("-",TRUE,B646,C646,D646)</f>
        <v/>
      </c>
      <c r="K646" s="184" t="n"/>
      <c r="L646" s="184" t="n"/>
      <c r="M646" s="184" t="n"/>
      <c r="N646" s="184" t="n"/>
      <c r="O646" s="184" t="n"/>
      <c r="P646" s="184" t="n"/>
      <c r="Q646" s="184" t="n"/>
      <c r="R646" s="210" t="n"/>
      <c r="T646" s="184" t="n"/>
      <c r="U646" s="184" t="n"/>
      <c r="BB646" s="390">
        <f>_xlfn.TEXTJOIN("-",TRUE,AU646,AW646)</f>
        <v/>
      </c>
    </row>
    <row r="647">
      <c r="B647" s="123" t="inlineStr">
        <is>
          <t>295/75R22.5</t>
        </is>
      </c>
      <c r="C647" s="169" t="inlineStr">
        <is>
          <t>14PR</t>
        </is>
      </c>
      <c r="D647" s="177" t="inlineStr">
        <is>
          <t>PS210</t>
        </is>
      </c>
      <c r="E647" s="125" t="inlineStr">
        <is>
          <t>ID295/75R22.5-14PR-Q US C ID</t>
        </is>
      </c>
      <c r="F647" s="131">
        <f>G647-2.747+3.14</f>
        <v/>
      </c>
      <c r="G647" s="131" t="n">
        <v>54.84</v>
      </c>
      <c r="H647" s="180" t="n">
        <v>54.29</v>
      </c>
      <c r="I647" s="130">
        <f>G647-H647</f>
        <v/>
      </c>
      <c r="J647" s="115">
        <f>_xlfn.TEXTJOIN("-",TRUE,B647,C647,D647)</f>
        <v/>
      </c>
      <c r="K647" s="184" t="n"/>
      <c r="L647" s="184" t="n"/>
      <c r="M647" s="184" t="n"/>
      <c r="N647" s="184" t="n"/>
      <c r="O647" s="184" t="n"/>
      <c r="P647" s="184" t="n"/>
      <c r="Q647" s="184" t="n"/>
      <c r="R647" s="210" t="n"/>
      <c r="T647" s="184" t="n"/>
      <c r="U647" s="184" t="n"/>
      <c r="BB647" s="390">
        <f>_xlfn.TEXTJOIN("-",TRUE,AU647,AW647)</f>
        <v/>
      </c>
    </row>
    <row r="648">
      <c r="B648" s="123" t="inlineStr">
        <is>
          <t>295/75R22.5</t>
        </is>
      </c>
      <c r="C648" s="169" t="inlineStr">
        <is>
          <t>14PR</t>
        </is>
      </c>
      <c r="D648" s="177" t="inlineStr">
        <is>
          <t>ZA12</t>
        </is>
      </c>
      <c r="E648" s="177" t="inlineStr">
        <is>
          <t>ID295/75R22.5-14PR-ZA12 US C ID</t>
        </is>
      </c>
      <c r="F648" s="131">
        <f>G648-2.747+3.14</f>
        <v/>
      </c>
      <c r="G648" s="131" t="n">
        <v>56.057</v>
      </c>
      <c r="H648" s="180" t="n">
        <v>55.3566</v>
      </c>
      <c r="I648" s="130">
        <f>G648-H648</f>
        <v/>
      </c>
      <c r="J648" s="115">
        <f>_xlfn.TEXTJOIN("-",TRUE,B648,C648,D648)</f>
        <v/>
      </c>
      <c r="K648" s="184" t="n"/>
      <c r="L648" s="184" t="n"/>
      <c r="M648" s="184" t="n"/>
      <c r="N648" s="184" t="n"/>
      <c r="O648" s="184" t="n"/>
      <c r="P648" s="184" t="n"/>
      <c r="Q648" s="184" t="n"/>
      <c r="R648" s="210" t="n"/>
      <c r="T648" s="184" t="n"/>
      <c r="U648" s="184" t="n"/>
      <c r="BB648" s="390">
        <f>_xlfn.TEXTJOIN("-",TRUE,AU648,AW648)</f>
        <v/>
      </c>
    </row>
    <row r="649">
      <c r="B649" s="123" t="inlineStr">
        <is>
          <t>295/75R22.5</t>
        </is>
      </c>
      <c r="C649" s="169" t="inlineStr">
        <is>
          <t>14PR</t>
        </is>
      </c>
      <c r="D649" s="177" t="inlineStr">
        <is>
          <t>I-28D</t>
        </is>
      </c>
      <c r="E649" s="177" t="inlineStr">
        <is>
          <t>ID295/75R22.5-14PR-I-28D US C ID</t>
        </is>
      </c>
      <c r="F649" s="131">
        <f>G649-2.747+3.132</f>
        <v/>
      </c>
      <c r="G649" s="131" t="n">
        <v>56.956</v>
      </c>
      <c r="H649" s="129" t="n">
        <v>56.9552</v>
      </c>
      <c r="I649" s="130">
        <f>G649-H649</f>
        <v/>
      </c>
      <c r="J649" s="115">
        <f>_xlfn.TEXTJOIN("-",TRUE,B649,C649,D649)</f>
        <v/>
      </c>
      <c r="K649" s="184" t="n"/>
      <c r="L649" s="184" t="n"/>
      <c r="M649" s="184" t="n"/>
      <c r="N649" s="184" t="n"/>
      <c r="O649" s="184" t="n"/>
      <c r="P649" s="184" t="n"/>
      <c r="Q649" s="184" t="n"/>
      <c r="R649" s="210" t="n"/>
      <c r="T649" s="184" t="n"/>
      <c r="U649" s="184" t="n"/>
      <c r="BB649" s="390">
        <f>_xlfn.TEXTJOIN("-",TRUE,AU649,AW649)</f>
        <v/>
      </c>
    </row>
    <row r="650">
      <c r="B650" s="123" t="inlineStr">
        <is>
          <t>295/75R22.5</t>
        </is>
      </c>
      <c r="C650" s="169" t="inlineStr">
        <is>
          <t>14PR</t>
        </is>
      </c>
      <c r="D650" s="177" t="inlineStr">
        <is>
          <t>I-48T</t>
        </is>
      </c>
      <c r="E650" s="177" t="inlineStr">
        <is>
          <t>ID295/75R22.5-14PR-I-48T US C ID</t>
        </is>
      </c>
      <c r="F650" s="131">
        <f>G650-2.747+3.132</f>
        <v/>
      </c>
      <c r="G650" s="131" t="n">
        <v>48.25</v>
      </c>
      <c r="H650" s="129" t="n">
        <v>48.0511</v>
      </c>
      <c r="I650" s="130">
        <f>G650-H650</f>
        <v/>
      </c>
      <c r="J650" s="115">
        <f>_xlfn.TEXTJOIN("-",TRUE,B650,C650,D650)</f>
        <v/>
      </c>
      <c r="K650" s="184" t="n"/>
      <c r="L650" s="184" t="n"/>
      <c r="M650" s="184" t="n"/>
      <c r="N650" s="184" t="n"/>
      <c r="O650" s="184" t="n"/>
      <c r="P650" s="184" t="n"/>
      <c r="Q650" s="184" t="n"/>
      <c r="R650" s="210" t="n"/>
      <c r="T650" s="184" t="n"/>
      <c r="U650" s="184" t="n"/>
      <c r="BB650" s="390">
        <f>_xlfn.TEXTJOIN("-",TRUE,AU650,AW650)</f>
        <v/>
      </c>
    </row>
    <row r="651">
      <c r="B651" s="123" t="inlineStr">
        <is>
          <t>295/75R22.5</t>
        </is>
      </c>
      <c r="C651" s="169" t="inlineStr">
        <is>
          <t>14PR</t>
        </is>
      </c>
      <c r="D651" s="177" t="inlineStr">
        <is>
          <t>W-Elite DA25</t>
        </is>
      </c>
      <c r="E651" s="125" t="inlineStr">
        <is>
          <t>ID295/75R22.5-14PR-S US C ID</t>
        </is>
      </c>
      <c r="F651" s="131">
        <f>G651-2.747+3.132</f>
        <v/>
      </c>
      <c r="G651" s="131" t="n">
        <v>58.807</v>
      </c>
      <c r="H651" s="129" t="n">
        <v>58.8074</v>
      </c>
      <c r="I651" s="130">
        <f>G651-H651</f>
        <v/>
      </c>
      <c r="J651" s="115">
        <f>_xlfn.TEXTJOIN("-",TRUE,B651,C651,D651)</f>
        <v/>
      </c>
      <c r="K651" s="184" t="n"/>
      <c r="L651" s="184" t="n"/>
      <c r="M651" s="184" t="n"/>
      <c r="N651" s="184" t="n"/>
      <c r="O651" s="184" t="n"/>
      <c r="P651" s="184" t="n"/>
      <c r="Q651" s="184" t="n"/>
      <c r="R651" s="210" t="n"/>
      <c r="T651" s="184" t="n"/>
      <c r="U651" s="184" t="n"/>
      <c r="BB651" s="390">
        <f>_xlfn.TEXTJOIN("-",TRUE,AU651,AW651)</f>
        <v/>
      </c>
    </row>
    <row r="652">
      <c r="B652" s="123" t="inlineStr">
        <is>
          <t>295/75R22.5</t>
        </is>
      </c>
      <c r="C652" s="169" t="inlineStr">
        <is>
          <t>14PR</t>
        </is>
      </c>
      <c r="D652" s="177" t="inlineStr">
        <is>
          <t>VXD932</t>
        </is>
      </c>
      <c r="E652" s="125" t="inlineStr">
        <is>
          <t>ID295/75R22.5-14PR-S US C ID</t>
        </is>
      </c>
      <c r="F652" s="131">
        <f>G652-2.747+3.132</f>
        <v/>
      </c>
      <c r="G652" s="131" t="n">
        <v>58.807</v>
      </c>
      <c r="H652" s="129" t="n">
        <v>58.8074</v>
      </c>
      <c r="I652" s="130">
        <f>G652-H652</f>
        <v/>
      </c>
      <c r="J652" s="115">
        <f>_xlfn.TEXTJOIN("-",TRUE,B652,C652,D652)</f>
        <v/>
      </c>
      <c r="K652" s="184" t="n"/>
      <c r="L652" s="184" t="n"/>
      <c r="M652" s="184" t="n"/>
      <c r="N652" s="184" t="n"/>
      <c r="O652" s="184" t="n"/>
      <c r="P652" s="184" t="n"/>
      <c r="Q652" s="184" t="n"/>
      <c r="R652" s="210" t="n"/>
      <c r="T652" s="184" t="n"/>
      <c r="U652" s="184" t="n"/>
      <c r="BB652" s="390">
        <f>_xlfn.TEXTJOIN("-",TRUE,AU652,AW652)</f>
        <v/>
      </c>
    </row>
    <row r="653">
      <c r="B653" s="123" t="inlineStr">
        <is>
          <t>295/75R22.5</t>
        </is>
      </c>
      <c r="C653" s="169" t="inlineStr">
        <is>
          <t>14PR</t>
        </is>
      </c>
      <c r="D653" s="177" t="inlineStr">
        <is>
          <t>AT552</t>
        </is>
      </c>
      <c r="E653" s="177" t="inlineStr">
        <is>
          <t>ID295/75R22.5-14PR-AT552 US ID</t>
        </is>
      </c>
      <c r="F653" s="131">
        <f>G653-2.754+3.14</f>
        <v/>
      </c>
      <c r="G653" s="131" t="n">
        <v>46.94</v>
      </c>
      <c r="H653" s="129" t="n">
        <v>46.8109</v>
      </c>
      <c r="I653" s="130">
        <f>G653-H653</f>
        <v/>
      </c>
      <c r="J653" s="115">
        <f>_xlfn.TEXTJOIN("-",TRUE,B653,C653,D653)</f>
        <v/>
      </c>
      <c r="K653" s="184" t="n"/>
      <c r="L653" s="184" t="n"/>
      <c r="M653" s="184" t="n"/>
      <c r="N653" s="184" t="n"/>
      <c r="O653" s="184" t="n"/>
      <c r="P653" s="184" t="n"/>
      <c r="Q653" s="184" t="n"/>
      <c r="R653" s="210" t="n"/>
      <c r="T653" s="184" t="n"/>
      <c r="U653" s="184" t="n"/>
      <c r="BB653" s="390">
        <f>_xlfn.TEXTJOIN("-",TRUE,AU653,AW653)</f>
        <v/>
      </c>
    </row>
    <row r="654">
      <c r="B654" s="123" t="inlineStr">
        <is>
          <t>295/75R22.5</t>
        </is>
      </c>
      <c r="C654" s="169" t="inlineStr">
        <is>
          <t>16PR</t>
        </is>
      </c>
      <c r="D654" s="177" t="inlineStr">
        <is>
          <t>CR960A</t>
        </is>
      </c>
      <c r="E654" s="177" t="inlineStr">
        <is>
          <t>ID295/75R22.5-16PR-CRA US ID</t>
        </is>
      </c>
      <c r="F654" s="131">
        <f>G654-2.754+3.14</f>
        <v/>
      </c>
      <c r="G654" s="131" t="n">
        <v>52.508</v>
      </c>
      <c r="H654" s="129" t="n">
        <v>52.47</v>
      </c>
      <c r="I654" s="130">
        <f>G654-H654</f>
        <v/>
      </c>
      <c r="J654" s="115">
        <f>_xlfn.TEXTJOIN("-",TRUE,B654,C654,D654)</f>
        <v/>
      </c>
      <c r="K654" s="184" t="n"/>
      <c r="L654" s="184" t="n"/>
      <c r="M654" s="184" t="n"/>
      <c r="N654" s="184" t="n"/>
      <c r="O654" s="184" t="n"/>
      <c r="P654" s="184" t="n"/>
      <c r="Q654" s="184" t="n"/>
      <c r="R654" s="210" t="n"/>
      <c r="T654" s="184" t="n"/>
      <c r="U654" s="184" t="n"/>
      <c r="BB654" s="390">
        <f>_xlfn.TEXTJOIN("-",TRUE,AU654,AW654)</f>
        <v/>
      </c>
    </row>
    <row r="655">
      <c r="B655" s="123" t="inlineStr">
        <is>
          <t>295/75R22.5</t>
        </is>
      </c>
      <c r="C655" s="169" t="inlineStr">
        <is>
          <t>16PR</t>
        </is>
      </c>
      <c r="D655" s="177" t="inlineStr">
        <is>
          <t>RLINE-A1</t>
        </is>
      </c>
      <c r="E655" s="177" t="inlineStr">
        <is>
          <t>ID295/75R22.5-16PR-CRA US ID</t>
        </is>
      </c>
      <c r="F655" s="131">
        <f>G655-2.754+3.14</f>
        <v/>
      </c>
      <c r="G655" s="131" t="n">
        <v>52.508</v>
      </c>
      <c r="H655" s="129" t="n">
        <v>52.47</v>
      </c>
      <c r="I655" s="130">
        <f>G655-H655</f>
        <v/>
      </c>
      <c r="J655" s="115">
        <f>_xlfn.TEXTJOIN("-",TRUE,B655,C655,D655)</f>
        <v/>
      </c>
      <c r="K655" s="184" t="n"/>
      <c r="L655" s="184" t="n"/>
      <c r="M655" s="184" t="n"/>
      <c r="N655" s="184" t="n"/>
      <c r="O655" s="184" t="n"/>
      <c r="P655" s="184" t="n"/>
      <c r="Q655" s="184" t="n"/>
      <c r="R655" s="210" t="n"/>
      <c r="T655" s="184" t="n"/>
      <c r="U655" s="184" t="n"/>
      <c r="BB655" s="390">
        <f>_xlfn.TEXTJOIN("-",TRUE,AU655,AW655)</f>
        <v/>
      </c>
    </row>
    <row r="656">
      <c r="B656" s="123" t="inlineStr">
        <is>
          <t>295/75R22.5</t>
        </is>
      </c>
      <c r="C656" s="169" t="inlineStr">
        <is>
          <t>14PR</t>
        </is>
      </c>
      <c r="D656" s="177" t="inlineStr">
        <is>
          <t>AZ599</t>
        </is>
      </c>
      <c r="E656" s="177" t="inlineStr">
        <is>
          <t>ID295/75R22.5-14PR-AZH C ID</t>
        </is>
      </c>
      <c r="F656" s="131">
        <f>G656-2.754+3.14</f>
        <v/>
      </c>
      <c r="G656" s="131" t="n">
        <v>50.486</v>
      </c>
      <c r="H656" s="129" t="n">
        <v>50.52</v>
      </c>
      <c r="I656" s="130">
        <f>G656-H656</f>
        <v/>
      </c>
      <c r="J656" s="115">
        <f>_xlfn.TEXTJOIN("-",TRUE,B656,C656,D656)</f>
        <v/>
      </c>
      <c r="K656" s="184" t="n"/>
      <c r="L656" s="184" t="n"/>
      <c r="M656" s="184" t="n"/>
      <c r="N656" s="184" t="n"/>
      <c r="O656" s="184" t="n"/>
      <c r="P656" s="184" t="n"/>
      <c r="Q656" s="184" t="n"/>
      <c r="R656" s="210" t="n"/>
      <c r="T656" s="184" t="n"/>
      <c r="U656" s="184" t="n"/>
      <c r="BB656" s="390">
        <f>_xlfn.TEXTJOIN("-",TRUE,AU656,AW656)</f>
        <v/>
      </c>
    </row>
    <row r="657">
      <c r="B657" s="123" t="inlineStr">
        <is>
          <t>295/75R22.5</t>
        </is>
      </c>
      <c r="C657" s="169" t="inlineStr">
        <is>
          <t>14PR</t>
        </is>
      </c>
      <c r="D657" s="177" t="inlineStr">
        <is>
          <t>HF1 Plus</t>
        </is>
      </c>
      <c r="E657" s="177" t="inlineStr">
        <is>
          <t>ID295/75R22.5-14PR-AZH C ID</t>
        </is>
      </c>
      <c r="F657" s="131">
        <f>G657-2.754+3.14</f>
        <v/>
      </c>
      <c r="G657" s="131" t="n">
        <v>50.486</v>
      </c>
      <c r="H657" s="129" t="n">
        <v>50.52</v>
      </c>
      <c r="I657" s="130">
        <f>G657-H657</f>
        <v/>
      </c>
      <c r="J657" s="115">
        <f>_xlfn.TEXTJOIN("-",TRUE,B657,C657,D657)</f>
        <v/>
      </c>
      <c r="K657" s="184" t="n"/>
      <c r="L657" s="184" t="n"/>
      <c r="M657" s="184" t="n"/>
      <c r="N657" s="184" t="n"/>
      <c r="O657" s="184" t="n"/>
      <c r="P657" s="184" t="n"/>
      <c r="Q657" s="184" t="n"/>
      <c r="T657" s="184" t="n"/>
      <c r="U657" s="184" t="n"/>
      <c r="BB657" s="390">
        <f>_xlfn.TEXTJOIN("-",TRUE,AU657,AW657)</f>
        <v/>
      </c>
    </row>
    <row r="658">
      <c r="B658" s="123" t="inlineStr">
        <is>
          <t>295/75R22.5</t>
        </is>
      </c>
      <c r="C658" s="169" t="inlineStr">
        <is>
          <t>14PR</t>
        </is>
      </c>
      <c r="D658" s="177" t="inlineStr">
        <is>
          <t>M-TRAC AP</t>
        </is>
      </c>
      <c r="E658" s="177" t="inlineStr">
        <is>
          <t>ID295/75R22.5-14PR-AZH C ID</t>
        </is>
      </c>
      <c r="F658" s="131">
        <f>G658-2.754+3.14</f>
        <v/>
      </c>
      <c r="G658" s="131" t="n">
        <v>50.486</v>
      </c>
      <c r="H658" s="129" t="n">
        <v>50.52</v>
      </c>
      <c r="I658" s="130">
        <f>G658-H658</f>
        <v/>
      </c>
      <c r="J658" s="115">
        <f>_xlfn.TEXTJOIN("-",TRUE,B658,C658,D658)</f>
        <v/>
      </c>
      <c r="K658" s="184" t="n"/>
      <c r="L658" s="184" t="n"/>
      <c r="M658" s="184" t="n"/>
      <c r="N658" s="184" t="n"/>
      <c r="O658" s="184" t="n"/>
      <c r="P658" s="184" t="n"/>
      <c r="Q658" s="184" t="n"/>
      <c r="T658" s="184" t="n"/>
      <c r="U658" s="184" t="n"/>
      <c r="BB658" s="390">
        <f>_xlfn.TEXTJOIN("-",TRUE,AU658,AW658)</f>
        <v/>
      </c>
    </row>
    <row r="659">
      <c r="B659" s="123" t="inlineStr">
        <is>
          <t>295/75R22.5</t>
        </is>
      </c>
      <c r="C659" s="169" t="inlineStr">
        <is>
          <t>14PR</t>
        </is>
      </c>
      <c r="D659" s="177" t="inlineStr">
        <is>
          <t>AD716</t>
        </is>
      </c>
      <c r="E659" s="177" t="inlineStr">
        <is>
          <t>ID295/75R22.5-14PR-ADH C ID</t>
        </is>
      </c>
      <c r="F659" s="131">
        <f>G659-2.747+3.132</f>
        <v/>
      </c>
      <c r="G659" s="131" t="n">
        <v>53.516</v>
      </c>
      <c r="H659" s="129" t="n">
        <v>52.9806</v>
      </c>
      <c r="I659" s="130">
        <f>G659-H659</f>
        <v/>
      </c>
      <c r="J659" s="115">
        <f>_xlfn.TEXTJOIN("-",TRUE,B659,C659,D659)</f>
        <v/>
      </c>
      <c r="K659" s="184" t="n"/>
      <c r="L659" s="184" t="n"/>
      <c r="M659" s="184" t="n"/>
      <c r="N659" s="184" t="n"/>
      <c r="O659" s="184" t="n"/>
      <c r="P659" s="184" t="n"/>
      <c r="Q659" s="184" t="n"/>
      <c r="T659" s="184" t="n"/>
      <c r="U659" s="184" t="n"/>
      <c r="BB659" s="390">
        <f>_xlfn.TEXTJOIN("-",TRUE,AU659,AW659)</f>
        <v/>
      </c>
    </row>
    <row r="660">
      <c r="B660" s="123" t="inlineStr">
        <is>
          <t>295/75R22.5</t>
        </is>
      </c>
      <c r="C660" s="169" t="inlineStr">
        <is>
          <t>14PR</t>
        </is>
      </c>
      <c r="D660" s="177" t="inlineStr">
        <is>
          <t>HD1 Plus</t>
        </is>
      </c>
      <c r="E660" s="177" t="inlineStr">
        <is>
          <t>ID295/75R22.5-14PR-ADH C ID</t>
        </is>
      </c>
      <c r="F660" s="131">
        <f>G660-2.747+3.132</f>
        <v/>
      </c>
      <c r="G660" s="131" t="n">
        <v>53.516</v>
      </c>
      <c r="H660" s="129" t="n">
        <v>52.9806</v>
      </c>
      <c r="I660" s="130">
        <f>G660-H660</f>
        <v/>
      </c>
      <c r="J660" s="115">
        <f>_xlfn.TEXTJOIN("-",TRUE,B660,C660,D660)</f>
        <v/>
      </c>
      <c r="K660" s="184" t="n"/>
      <c r="L660" s="184" t="n"/>
      <c r="M660" s="184" t="n"/>
      <c r="N660" s="184" t="n"/>
      <c r="O660" s="184" t="n"/>
      <c r="P660" s="184" t="n"/>
      <c r="Q660" s="184" t="n"/>
      <c r="T660" s="184" t="n"/>
      <c r="U660" s="184" t="n"/>
      <c r="BB660" s="390">
        <f>_xlfn.TEXTJOIN("-",TRUE,AU660,AW660)</f>
        <v/>
      </c>
    </row>
    <row r="661">
      <c r="B661" s="123" t="inlineStr">
        <is>
          <t>295/75R22.5</t>
        </is>
      </c>
      <c r="C661" s="169" t="inlineStr">
        <is>
          <t>14PR</t>
        </is>
      </c>
      <c r="D661" s="177" t="inlineStr">
        <is>
          <t>TL31</t>
        </is>
      </c>
      <c r="E661" s="125" t="inlineStr">
        <is>
          <t>ID295/75R22.5-14PR-R US C ID</t>
        </is>
      </c>
      <c r="F661" s="131">
        <f>G661-2.747+3.132</f>
        <v/>
      </c>
      <c r="G661" s="131" t="n">
        <v>46.61</v>
      </c>
      <c r="H661" s="129" t="n">
        <v>46.6714</v>
      </c>
      <c r="I661" s="130">
        <f>G661-H661</f>
        <v/>
      </c>
      <c r="J661" s="115">
        <f>_xlfn.TEXTJOIN("-",TRUE,B661,C661,D661)</f>
        <v/>
      </c>
      <c r="K661" s="184" t="n"/>
      <c r="L661" s="184" t="n"/>
      <c r="M661" s="184" t="n"/>
      <c r="N661" s="184" t="n"/>
      <c r="O661" s="184" t="n"/>
      <c r="P661" s="184" t="n"/>
      <c r="Q661" s="184" t="n"/>
      <c r="T661" s="184" t="n"/>
      <c r="U661" s="184" t="n"/>
      <c r="BB661" s="390">
        <f>_xlfn.TEXTJOIN("-",TRUE,AU661,AW661)</f>
        <v/>
      </c>
    </row>
    <row r="662">
      <c r="B662" s="123" t="inlineStr">
        <is>
          <t>295/75R22.5</t>
        </is>
      </c>
      <c r="C662" s="169" t="inlineStr">
        <is>
          <t>14PR</t>
        </is>
      </c>
      <c r="D662" s="177" t="inlineStr">
        <is>
          <t>VT993</t>
        </is>
      </c>
      <c r="E662" s="125" t="inlineStr">
        <is>
          <t>ID295/75R22.5-14PR-R US C ID</t>
        </is>
      </c>
      <c r="F662" s="131">
        <f>G662-2.747+3.132</f>
        <v/>
      </c>
      <c r="G662" s="131" t="n">
        <v>46.61</v>
      </c>
      <c r="H662" s="129" t="n">
        <v>46.6714</v>
      </c>
      <c r="I662" s="130">
        <f>G662-H662</f>
        <v/>
      </c>
      <c r="J662" s="115">
        <f>_xlfn.TEXTJOIN("-",TRUE,B662,C662,D662)</f>
        <v/>
      </c>
      <c r="K662" s="184" t="n"/>
      <c r="L662" s="184" t="n"/>
      <c r="M662" s="184" t="n"/>
      <c r="N662" s="184" t="n"/>
      <c r="O662" s="184" t="n"/>
      <c r="P662" s="184" t="n"/>
      <c r="Q662" s="184" t="n"/>
      <c r="T662" s="184" t="n"/>
      <c r="U662" s="184" t="n"/>
      <c r="BB662" s="390">
        <f>_xlfn.TEXTJOIN("-",TRUE,AU662,AW662)</f>
        <v/>
      </c>
    </row>
    <row r="663">
      <c r="B663" s="123" t="inlineStr">
        <is>
          <t>295/75R22.5</t>
        </is>
      </c>
      <c r="C663" s="169" t="inlineStr">
        <is>
          <t>16PR</t>
        </is>
      </c>
      <c r="D663" s="177" t="inlineStr">
        <is>
          <t>CM980</t>
        </is>
      </c>
      <c r="E663" s="177" t="inlineStr">
        <is>
          <t>ID295/75R22.5-16PR-CMD US ID</t>
        </is>
      </c>
      <c r="F663" s="131">
        <f>G663-2.747+3.132</f>
        <v/>
      </c>
      <c r="G663" s="131" t="n">
        <v>55.234</v>
      </c>
      <c r="H663" s="129" t="n">
        <v>55.2323</v>
      </c>
      <c r="I663" s="130">
        <f>G663-H663</f>
        <v/>
      </c>
      <c r="J663" s="115">
        <f>_xlfn.TEXTJOIN("-",TRUE,B663,C663,D663)</f>
        <v/>
      </c>
      <c r="K663" s="184" t="n"/>
      <c r="L663" s="184" t="n"/>
      <c r="M663" s="184" t="n"/>
      <c r="N663" s="184" t="n"/>
      <c r="O663" s="184" t="n"/>
      <c r="P663" s="184" t="n"/>
      <c r="Q663" s="184" t="n"/>
      <c r="T663" s="184" t="n"/>
      <c r="U663" s="184" t="n"/>
      <c r="BB663" s="390">
        <f>_xlfn.TEXTJOIN("-",TRUE,AU663,AW663)</f>
        <v/>
      </c>
    </row>
    <row r="664">
      <c r="B664" s="123" t="inlineStr">
        <is>
          <t>295/75R22.5</t>
        </is>
      </c>
      <c r="C664" s="169" t="inlineStr">
        <is>
          <t>16PR</t>
        </is>
      </c>
      <c r="D664" s="177" t="inlineStr">
        <is>
          <t>RLINE-D3</t>
        </is>
      </c>
      <c r="E664" s="177" t="inlineStr">
        <is>
          <t>ID295/75R22.5-16PR-CMD US ID</t>
        </is>
      </c>
      <c r="F664" s="131">
        <f>G664-2.747+3.132</f>
        <v/>
      </c>
      <c r="G664" s="131" t="n">
        <v>55.234</v>
      </c>
      <c r="H664" s="129" t="n">
        <v>55.2323</v>
      </c>
      <c r="I664" s="130">
        <f>G664-H664</f>
        <v/>
      </c>
      <c r="J664" s="115">
        <f>_xlfn.TEXTJOIN("-",TRUE,B664,C664,D664)</f>
        <v/>
      </c>
      <c r="K664" s="184" t="n"/>
      <c r="L664" s="184" t="n"/>
      <c r="M664" s="184" t="n"/>
      <c r="N664" s="184" t="n"/>
      <c r="O664" s="184" t="n"/>
      <c r="P664" s="184" t="n"/>
      <c r="Q664" s="184" t="n"/>
      <c r="T664" s="184" t="n"/>
      <c r="U664" s="184" t="n"/>
      <c r="BB664" s="390">
        <f>_xlfn.TEXTJOIN("-",TRUE,AU664,AW664)</f>
        <v/>
      </c>
    </row>
    <row r="665">
      <c r="B665" s="123" t="inlineStr">
        <is>
          <t>295/75R22.5</t>
        </is>
      </c>
      <c r="C665" s="169" t="inlineStr">
        <is>
          <t>14PR</t>
        </is>
      </c>
      <c r="D665" s="177" t="inlineStr">
        <is>
          <t>AT563</t>
        </is>
      </c>
      <c r="E665" s="177" t="inlineStr">
        <is>
          <t>ID295/75R22.5-14PR-AT563 US ID</t>
        </is>
      </c>
      <c r="F665" s="131">
        <f>G665-2.747+3.132</f>
        <v/>
      </c>
      <c r="G665" s="131" t="n">
        <v>49.809</v>
      </c>
      <c r="H665" s="180" t="n">
        <v>49.8</v>
      </c>
      <c r="I665" s="130">
        <f>G665-H665</f>
        <v/>
      </c>
      <c r="J665" s="115">
        <f>_xlfn.TEXTJOIN("-",TRUE,B665,C665,D665)</f>
        <v/>
      </c>
      <c r="K665" s="184" t="n"/>
      <c r="L665" s="184" t="n"/>
      <c r="M665" s="184" t="n"/>
      <c r="N665" s="184" t="n"/>
      <c r="O665" s="184" t="n"/>
      <c r="P665" s="184" t="n"/>
      <c r="Q665" s="184" t="n"/>
      <c r="T665" s="184" t="n"/>
      <c r="U665" s="184" t="n"/>
      <c r="BB665" s="390">
        <f>_xlfn.TEXTJOIN("-",TRUE,AU665,AW665)</f>
        <v/>
      </c>
    </row>
    <row r="666">
      <c r="B666" s="123" t="inlineStr">
        <is>
          <t>295/75R22.5</t>
        </is>
      </c>
      <c r="C666" s="169" t="inlineStr">
        <is>
          <t>14PR</t>
        </is>
      </c>
      <c r="D666" s="177" t="inlineStr">
        <is>
          <t>VD998</t>
        </is>
      </c>
      <c r="E666" s="177" t="inlineStr">
        <is>
          <t>ID295/75R22.5-14PR-VD998 US ID</t>
        </is>
      </c>
      <c r="F666" s="131">
        <f>G666-2.747+3.132</f>
        <v/>
      </c>
      <c r="G666" s="131" t="n">
        <v>60.174</v>
      </c>
      <c r="H666" s="129" t="n">
        <v>59.8747</v>
      </c>
      <c r="I666" s="130">
        <f>G666-H666</f>
        <v/>
      </c>
      <c r="J666" s="115">
        <f>_xlfn.TEXTJOIN("-",TRUE,B666,C666,D666)</f>
        <v/>
      </c>
      <c r="K666" s="184" t="n"/>
      <c r="L666" s="184" t="n"/>
      <c r="M666" s="184" t="n"/>
      <c r="N666" s="184" t="n"/>
      <c r="O666" s="184" t="n"/>
      <c r="P666" s="184" t="n"/>
      <c r="Q666" s="184" t="n"/>
      <c r="T666" s="184" t="n"/>
      <c r="U666" s="184" t="n"/>
      <c r="BB666" s="390">
        <f>_xlfn.TEXTJOIN("-",TRUE,AU666,AW666)</f>
        <v/>
      </c>
    </row>
    <row r="667">
      <c r="B667" s="123" t="inlineStr">
        <is>
          <t>295/75R22.5</t>
        </is>
      </c>
      <c r="C667" s="169" t="inlineStr">
        <is>
          <t>16PR</t>
        </is>
      </c>
      <c r="D667" s="177" t="inlineStr">
        <is>
          <t>VT993</t>
        </is>
      </c>
      <c r="E667" s="177" t="inlineStr">
        <is>
          <t>ID295/75R22.5-16PR-R UC C ID</t>
        </is>
      </c>
      <c r="F667" s="131">
        <f>G667-2.747+3.132</f>
        <v/>
      </c>
      <c r="G667" s="131" t="n">
        <v>46.95</v>
      </c>
      <c r="H667" s="129" t="n">
        <v>46.9441</v>
      </c>
      <c r="I667" s="130">
        <f>G667-H667</f>
        <v/>
      </c>
      <c r="J667" s="115">
        <f>_xlfn.TEXTJOIN("-",TRUE,B667,C667,D667)</f>
        <v/>
      </c>
      <c r="K667" s="184" t="n"/>
      <c r="L667" s="184" t="n"/>
      <c r="M667" s="184" t="n"/>
      <c r="N667" s="184" t="n"/>
      <c r="O667" s="184" t="n"/>
      <c r="P667" s="184" t="n"/>
      <c r="Q667" s="184" t="n"/>
      <c r="T667" s="184" t="n"/>
      <c r="U667" s="184" t="n"/>
      <c r="BB667" s="390">
        <f>_xlfn.TEXTJOIN("-",TRUE,AU667,AW667)</f>
        <v/>
      </c>
    </row>
    <row r="668">
      <c r="B668" s="123" t="inlineStr">
        <is>
          <t>295/75R22.5</t>
        </is>
      </c>
      <c r="C668" s="169" t="inlineStr">
        <is>
          <t>14PR</t>
        </is>
      </c>
      <c r="D668" s="177" t="inlineStr">
        <is>
          <t>AS678</t>
        </is>
      </c>
      <c r="E668" s="177" t="inlineStr">
        <is>
          <t>ID295/75R22.5-14PR-AS678 C ID</t>
        </is>
      </c>
      <c r="F668" s="131">
        <f>G668-2.754+3.14</f>
        <v/>
      </c>
      <c r="G668" s="131" t="n">
        <v>51.837</v>
      </c>
      <c r="H668" s="129" t="n">
        <v>51.839</v>
      </c>
      <c r="I668" s="130">
        <f>G668-H668</f>
        <v/>
      </c>
      <c r="J668" s="115">
        <f>_xlfn.TEXTJOIN("-",TRUE,B668,C668,D668)</f>
        <v/>
      </c>
      <c r="K668" s="184" t="n"/>
      <c r="L668" s="184" t="n"/>
      <c r="M668" s="184" t="n"/>
      <c r="N668" s="184" t="n"/>
      <c r="O668" s="184" t="n"/>
      <c r="P668" s="184" t="n"/>
      <c r="Q668" s="184" t="n"/>
      <c r="T668" s="184" t="n"/>
      <c r="U668" s="184" t="n"/>
      <c r="BB668" s="390">
        <f>_xlfn.TEXTJOIN("-",TRUE,AU668,AW668)</f>
        <v/>
      </c>
    </row>
    <row r="669">
      <c r="B669" s="123" t="inlineStr">
        <is>
          <t>295/75R22.5</t>
        </is>
      </c>
      <c r="C669" s="169" t="inlineStr">
        <is>
          <t>16PR</t>
        </is>
      </c>
      <c r="D669" s="177" t="inlineStr">
        <is>
          <t>AT167</t>
        </is>
      </c>
      <c r="E669" s="177" t="inlineStr">
        <is>
          <t>ID295/75R22.5-16PR-AF J ID</t>
        </is>
      </c>
      <c r="F669" s="131">
        <f>G669-2.799+3.14</f>
        <v/>
      </c>
      <c r="G669" s="131" t="n">
        <v>49.427</v>
      </c>
      <c r="H669" s="129" t="n">
        <v>49.341</v>
      </c>
      <c r="I669" s="130">
        <f>G669-H669</f>
        <v/>
      </c>
      <c r="J669" s="115">
        <f>_xlfn.TEXTJOIN("-",TRUE,B669,C669,D669)</f>
        <v/>
      </c>
      <c r="K669" s="184" t="n"/>
      <c r="L669" s="184" t="n"/>
      <c r="M669" s="184" t="n"/>
      <c r="N669" s="184" t="n"/>
      <c r="O669" s="184" t="n"/>
      <c r="P669" s="184" t="n"/>
      <c r="Q669" s="184" t="n"/>
      <c r="T669" s="184" t="n"/>
      <c r="U669" s="184" t="n"/>
      <c r="BB669" s="390">
        <f>_xlfn.TEXTJOIN("-",TRUE,AU669,AW669)</f>
        <v/>
      </c>
    </row>
    <row r="670">
      <c r="B670" s="123" t="inlineStr">
        <is>
          <t>295/75R22.5</t>
        </is>
      </c>
      <c r="C670" s="169" t="inlineStr">
        <is>
          <t>16PR</t>
        </is>
      </c>
      <c r="D670" s="177" t="inlineStr">
        <is>
          <t>HF1 PlusX</t>
        </is>
      </c>
      <c r="E670" s="177" t="inlineStr">
        <is>
          <t>ID295/75R22.5-16PR-AF J ID</t>
        </is>
      </c>
      <c r="F670" s="131">
        <f>G670-2.799+3.14</f>
        <v/>
      </c>
      <c r="G670" s="131" t="n">
        <v>49.427</v>
      </c>
      <c r="H670" s="129" t="n">
        <v>49.341</v>
      </c>
      <c r="I670" s="130">
        <f>G670-H670</f>
        <v/>
      </c>
      <c r="J670" s="115">
        <f>_xlfn.TEXTJOIN("-",TRUE,B670,C670,D670)</f>
        <v/>
      </c>
      <c r="K670" s="184" t="n"/>
      <c r="L670" s="184" t="n"/>
      <c r="M670" s="184" t="n"/>
      <c r="N670" s="184" t="n"/>
      <c r="O670" s="184" t="n"/>
      <c r="P670" s="184" t="n"/>
      <c r="Q670" s="184" t="n"/>
      <c r="T670" s="184" t="n"/>
      <c r="U670" s="184" t="n"/>
      <c r="BB670" s="390">
        <f>_xlfn.TEXTJOIN("-",TRUE,AU670,AW670)</f>
        <v/>
      </c>
    </row>
    <row r="671">
      <c r="B671" s="123" t="inlineStr">
        <is>
          <t>295/75R22.5</t>
        </is>
      </c>
      <c r="C671" s="169" t="inlineStr">
        <is>
          <t>14PR</t>
        </is>
      </c>
      <c r="D671" s="177" t="inlineStr">
        <is>
          <t>AD721</t>
        </is>
      </c>
      <c r="E671" s="177" t="inlineStr">
        <is>
          <t>ID295/75R22.5-14PR-AD721 C ID</t>
        </is>
      </c>
      <c r="F671" s="131">
        <f>G671-2.754+3.14</f>
        <v/>
      </c>
      <c r="G671" s="131" t="n">
        <v>52.945</v>
      </c>
      <c r="H671" s="129" t="n">
        <v>52.9467</v>
      </c>
      <c r="I671" s="130">
        <f>G671-H671</f>
        <v/>
      </c>
      <c r="J671" s="115">
        <f>_xlfn.TEXTJOIN("-",TRUE,B671,C671,D671)</f>
        <v/>
      </c>
      <c r="K671" s="184" t="n"/>
      <c r="L671" s="184" t="n"/>
      <c r="M671" s="184" t="n"/>
      <c r="N671" s="184" t="n"/>
      <c r="O671" s="184" t="n"/>
      <c r="P671" s="184" t="n"/>
      <c r="Q671" s="184" t="n"/>
      <c r="T671" s="184" t="n"/>
      <c r="U671" s="184" t="n"/>
      <c r="BB671" s="390">
        <f>_xlfn.TEXTJOIN("-",TRUE,AU671,AW671)</f>
        <v/>
      </c>
    </row>
    <row r="672">
      <c r="B672" s="123" t="inlineStr">
        <is>
          <t>295/75R22.5</t>
        </is>
      </c>
      <c r="C672" s="169" t="inlineStr">
        <is>
          <t>16PR</t>
        </is>
      </c>
      <c r="D672" s="177" t="inlineStr">
        <is>
          <t>AD178</t>
        </is>
      </c>
      <c r="E672" s="177" t="inlineStr">
        <is>
          <t>ID295/75R22.5-16PR-ADH 1 J ID</t>
        </is>
      </c>
      <c r="F672" s="131">
        <f>G672-2.799+3.191</f>
        <v/>
      </c>
      <c r="G672" s="131" t="n">
        <v>53.268</v>
      </c>
      <c r="H672" s="129" t="n">
        <v>52.4947</v>
      </c>
      <c r="I672" s="130">
        <f>G672-H672</f>
        <v/>
      </c>
      <c r="J672" s="115">
        <f>_xlfn.TEXTJOIN("-",TRUE,B672,C672,D672)</f>
        <v/>
      </c>
      <c r="K672" s="184" t="n"/>
      <c r="L672" s="184" t="n"/>
      <c r="M672" s="184" t="n"/>
      <c r="N672" s="184" t="n"/>
      <c r="O672" s="184" t="n"/>
      <c r="P672" s="184" t="n"/>
      <c r="Q672" s="184" t="n"/>
      <c r="T672" s="184" t="n"/>
      <c r="U672" s="184" t="n"/>
      <c r="BB672" s="390">
        <f>_xlfn.TEXTJOIN("-",TRUE,AU672,AW672)</f>
        <v/>
      </c>
    </row>
    <row r="673">
      <c r="B673" s="123" t="inlineStr">
        <is>
          <t>295/75R22.5</t>
        </is>
      </c>
      <c r="C673" s="169" t="inlineStr">
        <is>
          <t>16PR</t>
        </is>
      </c>
      <c r="D673" s="177" t="inlineStr">
        <is>
          <t>HD1 PlusX</t>
        </is>
      </c>
      <c r="E673" s="177" t="inlineStr">
        <is>
          <t>ID295/75R22.5-16PR-ADH 1 J ID</t>
        </is>
      </c>
      <c r="F673" s="131">
        <f>G673-2.799+3.191</f>
        <v/>
      </c>
      <c r="G673" s="131" t="n">
        <v>53.268</v>
      </c>
      <c r="H673" s="129" t="n">
        <v>52.4947</v>
      </c>
      <c r="I673" s="130">
        <f>G673-H673</f>
        <v/>
      </c>
      <c r="J673" s="115">
        <f>_xlfn.TEXTJOIN("-",TRUE,B673,C673,D673)</f>
        <v/>
      </c>
      <c r="K673" s="184" t="n"/>
      <c r="L673" s="184" t="n"/>
      <c r="M673" s="184" t="n"/>
      <c r="N673" s="184" t="n"/>
      <c r="O673" s="184" t="n"/>
      <c r="P673" s="184" t="n"/>
      <c r="Q673" s="184" t="n"/>
      <c r="T673" s="184" t="n"/>
      <c r="U673" s="184" t="n"/>
      <c r="BB673" s="390">
        <f>_xlfn.TEXTJOIN("-",TRUE,AU673,AW673)</f>
        <v/>
      </c>
    </row>
    <row r="674">
      <c r="B674" s="123" t="inlineStr">
        <is>
          <t>295/75R22.5</t>
        </is>
      </c>
      <c r="C674" s="169" t="inlineStr">
        <is>
          <t>16PR</t>
        </is>
      </c>
      <c r="D674" s="177" t="inlineStr">
        <is>
          <t>TLD-178</t>
        </is>
      </c>
      <c r="E674" s="177" t="inlineStr">
        <is>
          <t>ID295/75R22.5-16PR-ADH 1 J ID</t>
        </is>
      </c>
      <c r="F674" s="131">
        <f>G674-2.799+3.191</f>
        <v/>
      </c>
      <c r="G674" s="131" t="n">
        <v>53.268</v>
      </c>
      <c r="H674" s="129" t="n">
        <v>52.4947</v>
      </c>
      <c r="I674" s="130">
        <f>G674-H674</f>
        <v/>
      </c>
      <c r="J674" s="115">
        <f>_xlfn.TEXTJOIN("-",TRUE,B674,C674,D674)</f>
        <v/>
      </c>
      <c r="K674" s="184" t="n"/>
      <c r="L674" s="184" t="n"/>
      <c r="M674" s="184" t="n"/>
      <c r="N674" s="184" t="n"/>
      <c r="O674" s="184" t="n"/>
      <c r="P674" s="184" t="n"/>
      <c r="Q674" s="184" t="n"/>
      <c r="T674" s="184" t="n"/>
      <c r="U674" s="184" t="n"/>
      <c r="BB674" s="390">
        <f>_xlfn.TEXTJOIN("-",TRUE,AU674,AW674)</f>
        <v/>
      </c>
    </row>
    <row r="675">
      <c r="B675" s="123" t="inlineStr">
        <is>
          <t>295/75R22.5</t>
        </is>
      </c>
      <c r="C675" s="169" t="inlineStr">
        <is>
          <t>16PR</t>
        </is>
      </c>
      <c r="D675" s="177" t="inlineStr">
        <is>
          <t>MX901 CSD</t>
        </is>
      </c>
      <c r="E675" s="177" t="inlineStr">
        <is>
          <t>ID295/75R22.5-16PR-ADH 1 J ID</t>
        </is>
      </c>
      <c r="F675" s="131">
        <f>G675-2.799+3.191</f>
        <v/>
      </c>
      <c r="G675" s="131" t="n">
        <v>53.268</v>
      </c>
      <c r="H675" s="129" t="n">
        <v>52.4947</v>
      </c>
      <c r="I675" s="130">
        <f>G675-H675</f>
        <v/>
      </c>
      <c r="J675" s="115">
        <f>_xlfn.TEXTJOIN("-",TRUE,B675,C675,D675)</f>
        <v/>
      </c>
      <c r="K675" s="184" t="n"/>
      <c r="L675" s="184" t="n"/>
      <c r="M675" s="184" t="n"/>
      <c r="N675" s="184" t="n"/>
      <c r="O675" s="184" t="n"/>
      <c r="P675" s="184" t="n"/>
      <c r="Q675" s="184" t="n"/>
      <c r="T675" s="184" t="n"/>
      <c r="U675" s="184" t="n"/>
      <c r="BB675" s="390">
        <f>_xlfn.TEXTJOIN("-",TRUE,AU675,AW675)</f>
        <v/>
      </c>
    </row>
    <row r="676">
      <c r="B676" s="123" t="inlineStr">
        <is>
          <t>295/75R22.5</t>
        </is>
      </c>
      <c r="C676" s="169" t="inlineStr">
        <is>
          <t>16PR</t>
        </is>
      </c>
      <c r="D676" s="177" t="inlineStr">
        <is>
          <t>AD184</t>
        </is>
      </c>
      <c r="E676" s="177" t="inlineStr">
        <is>
          <t>ID295/75R22.5-16PR-ADH 2 J ID</t>
        </is>
      </c>
      <c r="F676" s="131">
        <f>G676-2.799+3.191</f>
        <v/>
      </c>
      <c r="G676" s="131" t="n">
        <v>52.35</v>
      </c>
      <c r="H676" s="129" t="n">
        <v>52.2639</v>
      </c>
      <c r="I676" s="130">
        <f>G676-H676</f>
        <v/>
      </c>
      <c r="J676" s="115">
        <f>_xlfn.TEXTJOIN("-",TRUE,B676,C676,D676)</f>
        <v/>
      </c>
      <c r="K676" s="184" t="n"/>
      <c r="L676" s="184" t="n"/>
      <c r="M676" s="184" t="n"/>
      <c r="N676" s="184" t="n"/>
      <c r="O676" s="184" t="n"/>
      <c r="P676" s="184" t="n"/>
      <c r="Q676" s="184" t="n"/>
      <c r="T676" s="184" t="n"/>
      <c r="U676" s="184" t="n"/>
      <c r="BB676" s="390">
        <f>_xlfn.TEXTJOIN("-",TRUE,AU676,AW676)</f>
        <v/>
      </c>
    </row>
    <row r="677">
      <c r="B677" s="123" t="inlineStr">
        <is>
          <t>295/75R22.5</t>
        </is>
      </c>
      <c r="C677" s="169" t="inlineStr">
        <is>
          <t>16PR</t>
        </is>
      </c>
      <c r="D677" s="177" t="inlineStr">
        <is>
          <t>HD2 PlusX</t>
        </is>
      </c>
      <c r="E677" s="177" t="inlineStr">
        <is>
          <t>ID295/75R22.5-16PR-ADH 2 J ID</t>
        </is>
      </c>
      <c r="F677" s="131">
        <f>G677-2.799+3.191</f>
        <v/>
      </c>
      <c r="G677" s="131" t="n">
        <v>52.35</v>
      </c>
      <c r="H677" s="129" t="n">
        <v>52.2639</v>
      </c>
      <c r="I677" s="130">
        <f>G677-H677</f>
        <v/>
      </c>
      <c r="J677" s="115">
        <f>_xlfn.TEXTJOIN("-",TRUE,B677,C677,D677)</f>
        <v/>
      </c>
      <c r="K677" s="184" t="n"/>
      <c r="L677" s="184" t="n"/>
      <c r="M677" s="184" t="n"/>
      <c r="N677" s="184" t="n"/>
      <c r="O677" s="184" t="n"/>
      <c r="P677" s="184" t="n"/>
      <c r="Q677" s="184" t="n"/>
      <c r="T677" s="184" t="n"/>
      <c r="U677" s="184" t="n"/>
      <c r="BB677" s="390">
        <f>_xlfn.TEXTJOIN("-",TRUE,AU677,AW677)</f>
        <v/>
      </c>
    </row>
    <row r="678">
      <c r="B678" s="123" t="inlineStr">
        <is>
          <t>295/75R22.5</t>
        </is>
      </c>
      <c r="C678" s="169" t="inlineStr">
        <is>
          <t>16PR</t>
        </is>
      </c>
      <c r="D678" s="177" t="inlineStr">
        <is>
          <t>TRD-184</t>
        </is>
      </c>
      <c r="E678" s="177" t="inlineStr">
        <is>
          <t>ID295/75R22.5-16PR-ADH 2 J ID</t>
        </is>
      </c>
      <c r="F678" s="131">
        <f>G678-2.799+3.191</f>
        <v/>
      </c>
      <c r="G678" s="131" t="n">
        <v>52.35</v>
      </c>
      <c r="H678" s="129" t="n">
        <v>52.2639</v>
      </c>
      <c r="I678" s="130">
        <f>G678-H678</f>
        <v/>
      </c>
      <c r="J678" s="115">
        <f>_xlfn.TEXTJOIN("-",TRUE,B678,C678,D678)</f>
        <v/>
      </c>
      <c r="K678" s="184" t="n"/>
      <c r="L678" s="184" t="n"/>
      <c r="M678" s="184" t="n"/>
      <c r="N678" s="184" t="n"/>
      <c r="O678" s="184" t="n"/>
      <c r="P678" s="184" t="n"/>
      <c r="Q678" s="184" t="n"/>
      <c r="T678" s="184" t="n"/>
      <c r="U678" s="184" t="n"/>
      <c r="BB678" s="390">
        <f>_xlfn.TEXTJOIN("-",TRUE,AU678,AW678)</f>
        <v/>
      </c>
    </row>
    <row r="679">
      <c r="B679" s="123" t="inlineStr">
        <is>
          <t>295/75R22.5</t>
        </is>
      </c>
      <c r="C679" s="169" t="inlineStr">
        <is>
          <t>16PR</t>
        </is>
      </c>
      <c r="D679" s="177" t="inlineStr">
        <is>
          <t>AT115</t>
        </is>
      </c>
      <c r="E679" s="177" t="inlineStr">
        <is>
          <t>ID295/75R22.5-16PR-ATH J ID</t>
        </is>
      </c>
      <c r="F679" s="131">
        <f>G679-2.799+3.191</f>
        <v/>
      </c>
      <c r="G679" s="131" t="n">
        <v>47.326</v>
      </c>
      <c r="H679" s="129" t="n">
        <v>47.3268</v>
      </c>
      <c r="I679" s="130">
        <f>G679-H679</f>
        <v/>
      </c>
      <c r="J679" s="115">
        <f>_xlfn.TEXTJOIN("-",TRUE,B679,C679,D679)</f>
        <v/>
      </c>
      <c r="K679" s="184" t="n"/>
      <c r="L679" s="184" t="n"/>
      <c r="M679" s="184" t="n"/>
      <c r="N679" s="184" t="n"/>
      <c r="O679" s="184" t="n"/>
      <c r="P679" s="184" t="n"/>
      <c r="Q679" s="184" t="n"/>
      <c r="T679" s="184" t="n"/>
      <c r="U679" s="184" t="n"/>
      <c r="BB679" s="390">
        <f>_xlfn.TEXTJOIN("-",TRUE,AU679,AW679)</f>
        <v/>
      </c>
    </row>
    <row r="680">
      <c r="B680" s="123" t="inlineStr">
        <is>
          <t>295/75R22.5</t>
        </is>
      </c>
      <c r="C680" s="169" t="inlineStr">
        <is>
          <t>16PR</t>
        </is>
      </c>
      <c r="D680" s="177" t="inlineStr">
        <is>
          <t>HT1 PlusX</t>
        </is>
      </c>
      <c r="E680" s="177" t="inlineStr">
        <is>
          <t>ID295/75R22.5-16PR-ATH J ID</t>
        </is>
      </c>
      <c r="F680" s="131">
        <f>G680-2.799+3.191</f>
        <v/>
      </c>
      <c r="G680" s="131" t="n">
        <v>47.326</v>
      </c>
      <c r="H680" s="129" t="n">
        <v>47.3268</v>
      </c>
      <c r="I680" s="130">
        <f>G680-H680</f>
        <v/>
      </c>
      <c r="J680" s="115">
        <f>_xlfn.TEXTJOIN("-",TRUE,B680,C680,D680)</f>
        <v/>
      </c>
      <c r="K680" s="184" t="n"/>
      <c r="L680" s="184" t="n"/>
      <c r="M680" s="184" t="n"/>
      <c r="N680" s="184" t="n"/>
      <c r="O680" s="184" t="n"/>
      <c r="P680" s="184" t="n"/>
      <c r="Q680" s="184" t="n"/>
      <c r="T680" s="184" t="n"/>
      <c r="U680" s="184" t="n"/>
      <c r="BB680" s="390">
        <f>_xlfn.TEXTJOIN("-",TRUE,AU680,AW680)</f>
        <v/>
      </c>
    </row>
    <row r="681">
      <c r="B681" s="123" t="inlineStr">
        <is>
          <t>295/75R22.5</t>
        </is>
      </c>
      <c r="C681" s="169" t="inlineStr">
        <is>
          <t>16PR</t>
        </is>
      </c>
      <c r="D681" s="177" t="inlineStr">
        <is>
          <t>KOBE TPM</t>
        </is>
      </c>
      <c r="E681" s="177" t="inlineStr">
        <is>
          <t>ID295/75R22.5-16PR-ATH J ID</t>
        </is>
      </c>
      <c r="F681" s="131">
        <f>G681-2.799+3.191</f>
        <v/>
      </c>
      <c r="G681" s="131" t="n">
        <v>47.326</v>
      </c>
      <c r="H681" s="129" t="n">
        <v>47.3268</v>
      </c>
      <c r="I681" s="130">
        <f>G681-H681</f>
        <v/>
      </c>
      <c r="J681" s="115">
        <f>_xlfn.TEXTJOIN("-",TRUE,B681,C681,D681)</f>
        <v/>
      </c>
      <c r="K681" s="184" t="n"/>
      <c r="L681" s="184" t="n"/>
      <c r="M681" s="184" t="n"/>
      <c r="N681" s="184" t="n"/>
      <c r="O681" s="184" t="n"/>
      <c r="P681" s="184" t="n"/>
      <c r="Q681" s="184" t="n"/>
      <c r="T681" s="184" t="n"/>
      <c r="U681" s="184" t="n"/>
      <c r="BB681" s="390">
        <f>_xlfn.TEXTJOIN("-",TRUE,AU681,AW681)</f>
        <v/>
      </c>
    </row>
    <row r="682">
      <c r="B682" s="123" t="inlineStr">
        <is>
          <t>295/75R22.5</t>
        </is>
      </c>
      <c r="C682" s="169" t="inlineStr">
        <is>
          <t>14PR</t>
        </is>
      </c>
      <c r="D682" s="177" t="inlineStr">
        <is>
          <t>AD757</t>
        </is>
      </c>
      <c r="E682" s="177" t="inlineStr">
        <is>
          <t>ID295/75R22.5-14PR-AD757 C ID</t>
        </is>
      </c>
      <c r="F682" s="131">
        <f>G682-2.754+3.14</f>
        <v/>
      </c>
      <c r="G682" s="131" t="n">
        <v>53.515</v>
      </c>
      <c r="H682" s="129" t="n">
        <v>53.5179</v>
      </c>
      <c r="I682" s="130">
        <f>G682-H682</f>
        <v/>
      </c>
      <c r="J682" s="115">
        <f>_xlfn.TEXTJOIN("-",TRUE,B682,C682,D682)</f>
        <v/>
      </c>
      <c r="K682" s="184" t="n"/>
      <c r="L682" s="184" t="n"/>
      <c r="M682" s="184" t="n"/>
      <c r="N682" s="184" t="n"/>
      <c r="O682" s="184" t="n"/>
      <c r="P682" s="184" t="n"/>
      <c r="Q682" s="184" t="n"/>
      <c r="T682" s="184" t="n"/>
      <c r="U682" s="184" t="n"/>
      <c r="BB682" s="390">
        <f>_xlfn.TEXTJOIN("-",TRUE,AU682,AW682)</f>
        <v/>
      </c>
    </row>
    <row r="683">
      <c r="B683" s="123" t="inlineStr">
        <is>
          <t>295/75R22.5</t>
        </is>
      </c>
      <c r="C683" s="169" t="inlineStr">
        <is>
          <t>16PR</t>
        </is>
      </c>
      <c r="D683" s="177" t="inlineStr">
        <is>
          <t>AS600</t>
        </is>
      </c>
      <c r="E683" s="177" t="inlineStr">
        <is>
          <t>ID295/75R22.5-16PR-AS600 US ID</t>
        </is>
      </c>
      <c r="F683" s="131">
        <f>G683-2.754+3.14</f>
        <v/>
      </c>
      <c r="G683" s="131" t="n">
        <v>51.23</v>
      </c>
      <c r="H683" s="129" t="n">
        <v>51.2323</v>
      </c>
      <c r="I683" s="130">
        <f>G683-H683</f>
        <v/>
      </c>
      <c r="J683" s="115">
        <f>_xlfn.TEXTJOIN("-",TRUE,B683,C683,D683)</f>
        <v/>
      </c>
      <c r="K683" s="184" t="n"/>
      <c r="L683" s="184" t="n"/>
      <c r="M683" s="184" t="n"/>
      <c r="N683" s="184" t="n"/>
      <c r="O683" s="184" t="n"/>
      <c r="P683" s="184" t="n"/>
      <c r="Q683" s="184" t="n"/>
      <c r="T683" s="184" t="n"/>
      <c r="U683" s="184" t="n"/>
      <c r="BB683" s="390">
        <f>_xlfn.TEXTJOIN("-",TRUE,AU683,AW683)</f>
        <v/>
      </c>
    </row>
    <row r="684">
      <c r="B684" s="123" t="inlineStr">
        <is>
          <t>295/75R22.5</t>
        </is>
      </c>
      <c r="C684" s="169" t="inlineStr">
        <is>
          <t>16PR</t>
        </is>
      </c>
      <c r="D684" s="177" t="inlineStr">
        <is>
          <t>AT194</t>
        </is>
      </c>
      <c r="E684" s="177" t="inlineStr">
        <is>
          <t>ID295/75R22.5-16PR-AKA J ID</t>
        </is>
      </c>
      <c r="F684" s="131">
        <f>G684-2.797+3.199</f>
        <v/>
      </c>
      <c r="G684" s="131" t="n">
        <v>49.623</v>
      </c>
      <c r="H684" s="129" t="n">
        <v>49.56</v>
      </c>
      <c r="I684" s="130">
        <f>G684-H684</f>
        <v/>
      </c>
      <c r="J684" s="115">
        <f>_xlfn.TEXTJOIN("-",TRUE,B684,C684,D684)</f>
        <v/>
      </c>
      <c r="K684" s="184" t="n"/>
      <c r="L684" s="184" t="n"/>
      <c r="M684" s="184" t="n"/>
      <c r="N684" s="184" t="n"/>
      <c r="O684" s="184" t="n"/>
      <c r="P684" s="184" t="n"/>
      <c r="Q684" s="184" t="n"/>
      <c r="T684" s="184" t="n"/>
      <c r="U684" s="184" t="n"/>
      <c r="BB684" s="390">
        <f>_xlfn.TEXTJOIN("-",TRUE,AU684,AW684)</f>
        <v/>
      </c>
    </row>
    <row r="685">
      <c r="B685" s="123" t="inlineStr">
        <is>
          <t>295/75R22.5</t>
        </is>
      </c>
      <c r="C685" s="169" t="inlineStr">
        <is>
          <t>16PR</t>
        </is>
      </c>
      <c r="D685" s="177" t="inlineStr">
        <is>
          <t>KOBE APM</t>
        </is>
      </c>
      <c r="E685" s="177" t="inlineStr">
        <is>
          <t>ID295/75R22.5-16PR-AKA J ID</t>
        </is>
      </c>
      <c r="F685" s="131">
        <f>G685-2.797+3.199</f>
        <v/>
      </c>
      <c r="G685" s="131" t="n">
        <v>49.623</v>
      </c>
      <c r="H685" s="129" t="n">
        <v>49.56</v>
      </c>
      <c r="I685" s="130">
        <f>G685-H685</f>
        <v/>
      </c>
      <c r="J685" s="115">
        <f>_xlfn.TEXTJOIN("-",TRUE,B685,C685,D685)</f>
        <v/>
      </c>
      <c r="K685" s="184" t="n"/>
      <c r="L685" s="184" t="n"/>
      <c r="M685" s="184" t="n"/>
      <c r="N685" s="184" t="n"/>
      <c r="O685" s="184" t="n"/>
      <c r="P685" s="184" t="n"/>
      <c r="Q685" s="184" t="n"/>
      <c r="T685" s="184" t="n"/>
      <c r="U685" s="184" t="n"/>
      <c r="BB685" s="390">
        <f>_xlfn.TEXTJOIN("-",TRUE,AU685,AW685)</f>
        <v/>
      </c>
    </row>
    <row r="686">
      <c r="B686" s="123" t="inlineStr">
        <is>
          <t>295/75R22.5</t>
        </is>
      </c>
      <c r="C686" s="169" t="inlineStr">
        <is>
          <t>16PR</t>
        </is>
      </c>
      <c r="D686" s="177" t="inlineStr">
        <is>
          <t>AD196</t>
        </is>
      </c>
      <c r="E686" s="177" t="inlineStr">
        <is>
          <t>ID295/75R22.5-16PR-AKD J ID</t>
        </is>
      </c>
      <c r="F686" s="131">
        <f>G686-2.797+3.199</f>
        <v/>
      </c>
      <c r="G686" s="131" t="n">
        <v>53.112</v>
      </c>
      <c r="H686" s="129" t="n">
        <v>53.08</v>
      </c>
      <c r="I686" s="130">
        <f>G686-H686</f>
        <v/>
      </c>
      <c r="J686" s="115">
        <f>_xlfn.TEXTJOIN("-",TRUE,B686,C686,D686)</f>
        <v/>
      </c>
      <c r="K686" s="184" t="n"/>
      <c r="L686" s="184" t="n"/>
      <c r="M686" s="184" t="n"/>
      <c r="N686" s="184" t="n"/>
      <c r="O686" s="184" t="n"/>
      <c r="P686" s="184" t="n"/>
      <c r="Q686" s="184" t="n"/>
      <c r="T686" s="184" t="n"/>
      <c r="U686" s="184" t="n"/>
      <c r="BB686" s="390">
        <f>_xlfn.TEXTJOIN("-",TRUE,AU686,AW686)</f>
        <v/>
      </c>
    </row>
    <row r="687">
      <c r="B687" s="123" t="inlineStr">
        <is>
          <t>295/75R22.5</t>
        </is>
      </c>
      <c r="C687" s="169" t="inlineStr">
        <is>
          <t>16PR</t>
        </is>
      </c>
      <c r="D687" s="177" t="inlineStr">
        <is>
          <t>KOBE DPM</t>
        </is>
      </c>
      <c r="E687" s="177" t="inlineStr">
        <is>
          <t>ID295/75R22.5-16PR-AKD J ID</t>
        </is>
      </c>
      <c r="F687" s="131">
        <f>G687-2.797+3.199</f>
        <v/>
      </c>
      <c r="G687" s="131" t="n">
        <v>53.112</v>
      </c>
      <c r="H687" s="129" t="n">
        <v>53.08</v>
      </c>
      <c r="I687" s="130">
        <f>G687-H687</f>
        <v/>
      </c>
      <c r="J687" s="115">
        <f>_xlfn.TEXTJOIN("-",TRUE,B687,C687,D687)</f>
        <v/>
      </c>
      <c r="K687" s="184" t="n"/>
      <c r="L687" s="184" t="n"/>
      <c r="M687" s="184" t="n"/>
      <c r="N687" s="184" t="n"/>
      <c r="O687" s="184" t="n"/>
      <c r="P687" s="184" t="n"/>
      <c r="Q687" s="184" t="n"/>
      <c r="T687" s="184" t="n"/>
      <c r="U687" s="184" t="n"/>
      <c r="BB687" s="390">
        <f>_xlfn.TEXTJOIN("-",TRUE,AU687,AW687)</f>
        <v/>
      </c>
    </row>
    <row r="688">
      <c r="B688" s="123" t="inlineStr">
        <is>
          <t>295/75R22.5</t>
        </is>
      </c>
      <c r="C688" s="169" t="inlineStr">
        <is>
          <t>14PR</t>
        </is>
      </c>
      <c r="D688" s="177" t="inlineStr">
        <is>
          <t>CM983</t>
        </is>
      </c>
      <c r="E688" s="177" t="inlineStr">
        <is>
          <t>ID295/75R22.5-14PR-CM983 US ID</t>
        </is>
      </c>
      <c r="F688" s="131">
        <f>G688-2.747+3.132</f>
        <v/>
      </c>
      <c r="G688" s="131" t="n">
        <v>54.342</v>
      </c>
      <c r="H688" s="129" t="n">
        <v>54.39</v>
      </c>
      <c r="I688" s="130">
        <f>G688-H688</f>
        <v/>
      </c>
      <c r="J688" s="115">
        <f>_xlfn.TEXTJOIN("-",TRUE,B688,C688,D688)</f>
        <v/>
      </c>
      <c r="K688" s="184" t="n"/>
      <c r="L688" s="184" t="n"/>
      <c r="M688" s="184" t="n"/>
      <c r="N688" s="184" t="n"/>
      <c r="O688" s="184" t="n"/>
      <c r="P688" s="184" t="n"/>
      <c r="Q688" s="184" t="n"/>
      <c r="T688" s="184" t="n"/>
      <c r="U688" s="184" t="n"/>
      <c r="BB688" s="390">
        <f>_xlfn.TEXTJOIN("-",TRUE,AU688,AW688)</f>
        <v/>
      </c>
    </row>
    <row r="689">
      <c r="B689" s="123" t="inlineStr">
        <is>
          <t>295/75R22.5</t>
        </is>
      </c>
      <c r="C689" s="169" t="inlineStr">
        <is>
          <t>14PR</t>
        </is>
      </c>
      <c r="D689" s="177" t="inlineStr">
        <is>
          <t>AD737</t>
        </is>
      </c>
      <c r="E689" s="177" t="inlineStr">
        <is>
          <t>ID295/75R22.5-14PR-AD737 US ID</t>
        </is>
      </c>
      <c r="F689" s="131">
        <f>G689-2.747+3.132</f>
        <v/>
      </c>
      <c r="G689" s="131" t="n">
        <v>55.626</v>
      </c>
      <c r="H689" s="129" t="n">
        <v>55.63</v>
      </c>
      <c r="I689" s="130">
        <f>G689-H689</f>
        <v/>
      </c>
      <c r="J689" s="115">
        <f>_xlfn.TEXTJOIN("-",TRUE,B689,C689,D689)</f>
        <v/>
      </c>
      <c r="K689" s="184" t="n"/>
      <c r="L689" s="184" t="n"/>
      <c r="M689" s="184" t="n"/>
      <c r="N689" s="184" t="n"/>
      <c r="O689" s="184" t="n"/>
      <c r="P689" s="184" t="n"/>
      <c r="Q689" s="184" t="n"/>
      <c r="T689" s="184" t="n"/>
      <c r="U689" s="184" t="n"/>
      <c r="BB689" s="390">
        <f>_xlfn.TEXTJOIN("-",TRUE,AU689,AW689)</f>
        <v/>
      </c>
    </row>
    <row r="690">
      <c r="B690" s="123" t="inlineStr">
        <is>
          <t>295/75R22.5</t>
        </is>
      </c>
      <c r="C690" s="169" t="inlineStr">
        <is>
          <t>14PR</t>
        </is>
      </c>
      <c r="D690" s="177" t="inlineStr">
        <is>
          <t>AD778</t>
        </is>
      </c>
      <c r="E690" s="177" t="inlineStr">
        <is>
          <t>ID295/75R22.5-14PR-AD778 US ID</t>
        </is>
      </c>
      <c r="F690" s="131">
        <f>G690-2.747+3.132</f>
        <v/>
      </c>
      <c r="G690" s="131" t="n">
        <v>56.936</v>
      </c>
      <c r="H690" s="129" t="n">
        <v>56.97</v>
      </c>
      <c r="I690" s="130">
        <f>G690-H690</f>
        <v/>
      </c>
      <c r="J690" s="115">
        <f>_xlfn.TEXTJOIN("-",TRUE,B690,C690,D690)</f>
        <v/>
      </c>
      <c r="K690" s="184" t="n"/>
      <c r="L690" s="184" t="n"/>
      <c r="M690" s="184" t="n"/>
      <c r="N690" s="184" t="n"/>
      <c r="O690" s="184" t="n"/>
      <c r="P690" s="184" t="n"/>
      <c r="Q690" s="184" t="n"/>
      <c r="T690" s="184" t="n"/>
      <c r="U690" s="184" t="n"/>
      <c r="BB690" s="390">
        <f>_xlfn.TEXTJOIN("-",TRUE,AU690,AW690)</f>
        <v/>
      </c>
    </row>
    <row r="691">
      <c r="B691" s="123" t="inlineStr">
        <is>
          <t>295/75R22.5</t>
        </is>
      </c>
      <c r="C691" s="169" t="inlineStr">
        <is>
          <t>14PR</t>
        </is>
      </c>
      <c r="D691" s="177" t="inlineStr">
        <is>
          <t>AD759</t>
        </is>
      </c>
      <c r="E691" s="177" t="inlineStr">
        <is>
          <t>ID295/75R22.5-14PR-AD759 US ID</t>
        </is>
      </c>
      <c r="F691" s="131">
        <f>G691-2.747+3.132</f>
        <v/>
      </c>
      <c r="G691" s="131" t="n">
        <v>56.938</v>
      </c>
      <c r="H691" s="129" t="n">
        <v>56.96</v>
      </c>
      <c r="I691" s="130">
        <f>G691-H691</f>
        <v/>
      </c>
      <c r="J691" s="115">
        <f>_xlfn.TEXTJOIN("-",TRUE,B691,C691,D691)</f>
        <v/>
      </c>
      <c r="K691" s="184" t="n"/>
      <c r="L691" s="184" t="n"/>
      <c r="M691" s="184" t="n"/>
      <c r="N691" s="184" t="n"/>
      <c r="O691" s="184" t="n"/>
      <c r="P691" s="184" t="n"/>
      <c r="Q691" s="184" t="n"/>
      <c r="T691" s="184" t="n"/>
      <c r="U691" s="184" t="n"/>
      <c r="V691" s="184" t="n"/>
      <c r="W691" s="184" t="n"/>
      <c r="X691" s="184" t="n"/>
      <c r="Y691" s="184" t="n"/>
      <c r="Z691" s="184" t="n"/>
      <c r="AA691" s="184" t="n"/>
      <c r="BB691" s="390">
        <f>_xlfn.TEXTJOIN("-",TRUE,AU691,AW691)</f>
        <v/>
      </c>
    </row>
    <row r="692">
      <c r="B692" s="123" t="inlineStr">
        <is>
          <t>295/75R22.5</t>
        </is>
      </c>
      <c r="C692" s="169" t="inlineStr">
        <is>
          <t>16PR</t>
        </is>
      </c>
      <c r="D692" s="177" t="inlineStr">
        <is>
          <t>AS600+</t>
        </is>
      </c>
      <c r="E692" s="177" t="inlineStr">
        <is>
          <t>ID295/75R22.5-16PR-K C ID</t>
        </is>
      </c>
      <c r="F692" s="131">
        <f>G692-2.747+3.132</f>
        <v/>
      </c>
      <c r="G692" s="131" t="n">
        <v>52.912</v>
      </c>
      <c r="H692" s="180" t="n">
        <v>53.14</v>
      </c>
      <c r="I692" s="130">
        <f>G692-H692</f>
        <v/>
      </c>
      <c r="J692" s="115">
        <f>_xlfn.TEXTJOIN("-",TRUE,B692,C692,D692)</f>
        <v/>
      </c>
      <c r="K692" s="184" t="n"/>
      <c r="L692" s="184" t="n"/>
      <c r="M692" s="184" t="n"/>
      <c r="N692" s="184" t="n"/>
      <c r="O692" s="184" t="n"/>
      <c r="P692" s="184" t="n"/>
      <c r="Q692" s="184" t="n"/>
      <c r="T692" s="184" t="n"/>
      <c r="U692" s="184" t="n"/>
      <c r="V692" s="184" t="n"/>
      <c r="W692" s="184" t="n"/>
      <c r="X692" s="184" t="n"/>
      <c r="Y692" s="184" t="n"/>
      <c r="Z692" s="184" t="n"/>
      <c r="AA692" s="184" t="n"/>
      <c r="BB692" s="390">
        <f>_xlfn.TEXTJOIN("-",TRUE,AU692,AW692)</f>
        <v/>
      </c>
    </row>
    <row r="693">
      <c r="B693" s="123" t="inlineStr">
        <is>
          <t>295/75R22.5</t>
        </is>
      </c>
      <c r="C693" s="169" t="inlineStr">
        <is>
          <t>16PR</t>
        </is>
      </c>
      <c r="D693" s="177" t="inlineStr">
        <is>
          <t>CR989+</t>
        </is>
      </c>
      <c r="E693" s="177" t="inlineStr">
        <is>
          <t>ID295/75R22.5-16PR-K C ID</t>
        </is>
      </c>
      <c r="F693" s="131">
        <f>G693-2.747+3.132</f>
        <v/>
      </c>
      <c r="G693" s="131" t="n">
        <v>52.912</v>
      </c>
      <c r="H693" s="180" t="n">
        <v>53.14</v>
      </c>
      <c r="I693" s="130">
        <f>G693-H693</f>
        <v/>
      </c>
      <c r="J693" s="115">
        <f>_xlfn.TEXTJOIN("-",TRUE,B693,C693,D693)</f>
        <v/>
      </c>
      <c r="K693" s="184" t="n"/>
      <c r="L693" s="184" t="n"/>
      <c r="M693" s="184" t="n"/>
      <c r="N693" s="184" t="n"/>
      <c r="O693" s="184" t="n"/>
      <c r="P693" s="184" t="n"/>
      <c r="Q693" s="184" t="n"/>
      <c r="V693" s="184" t="n"/>
      <c r="W693" s="184" t="n"/>
      <c r="X693" s="184" t="n"/>
      <c r="Y693" s="184" t="n"/>
      <c r="Z693" s="184" t="n"/>
      <c r="AA693" s="184" t="n"/>
      <c r="BB693" s="390">
        <f>_xlfn.TEXTJOIN("-",TRUE,AU693,AW693)</f>
        <v/>
      </c>
    </row>
    <row r="694">
      <c r="B694" s="123" t="inlineStr">
        <is>
          <t>295/75R22.5</t>
        </is>
      </c>
      <c r="C694" s="169" t="inlineStr">
        <is>
          <t>16PR</t>
        </is>
      </c>
      <c r="D694" s="177" t="inlineStr">
        <is>
          <t>RLINE-S1</t>
        </is>
      </c>
      <c r="E694" s="177" t="inlineStr">
        <is>
          <t>ID295/75R22.5-16PR-K C ID</t>
        </is>
      </c>
      <c r="F694" s="131">
        <f>G694-2.747+3.132</f>
        <v/>
      </c>
      <c r="G694" s="131" t="n">
        <v>52.912</v>
      </c>
      <c r="H694" s="180" t="n">
        <v>53.14</v>
      </c>
      <c r="I694" s="130">
        <f>G694-H694</f>
        <v/>
      </c>
      <c r="J694" s="115">
        <f>_xlfn.TEXTJOIN("-",TRUE,B694,C694,D694)</f>
        <v/>
      </c>
      <c r="K694" s="184" t="n"/>
      <c r="L694" s="184" t="n"/>
      <c r="M694" s="184" t="n"/>
      <c r="N694" s="184" t="n"/>
      <c r="O694" s="184" t="n"/>
      <c r="P694" s="184" t="n"/>
      <c r="Q694" s="184" t="n"/>
      <c r="V694" s="184" t="n"/>
      <c r="W694" s="184" t="n"/>
      <c r="X694" s="184" t="n"/>
      <c r="Y694" s="184" t="n"/>
      <c r="Z694" s="184" t="n"/>
      <c r="AA694" s="184" t="n"/>
      <c r="BB694" s="390">
        <f>_xlfn.TEXTJOIN("-",TRUE,AU694,AW694)</f>
        <v/>
      </c>
    </row>
    <row r="695">
      <c r="B695" s="123" t="inlineStr">
        <is>
          <t>295/75R22.5</t>
        </is>
      </c>
      <c r="C695" s="169" t="inlineStr">
        <is>
          <t>16PR</t>
        </is>
      </c>
      <c r="D695" s="177" t="inlineStr">
        <is>
          <t>STEALTH S01</t>
        </is>
      </c>
      <c r="E695" s="177" t="inlineStr">
        <is>
          <t>ID295/75R22.5-16PR-K C ID</t>
        </is>
      </c>
      <c r="F695" s="131">
        <f>G695-2.747+3.132</f>
        <v/>
      </c>
      <c r="G695" s="131" t="n">
        <v>52.912</v>
      </c>
      <c r="H695" s="180" t="n">
        <v>53.14</v>
      </c>
      <c r="I695" s="130">
        <f>G695-H695</f>
        <v/>
      </c>
      <c r="J695" s="115">
        <f>_xlfn.TEXTJOIN("-",TRUE,B695,C695,D695)</f>
        <v/>
      </c>
      <c r="K695" s="184" t="n"/>
      <c r="L695" s="184" t="n"/>
      <c r="M695" s="184" t="n"/>
      <c r="N695" s="184" t="n"/>
      <c r="O695" s="184" t="n"/>
      <c r="P695" s="184" t="n"/>
      <c r="Q695" s="184" t="n"/>
      <c r="V695" s="184" t="n"/>
      <c r="W695" s="184" t="n"/>
      <c r="X695" s="184" t="n"/>
      <c r="Y695" s="184" t="n"/>
      <c r="Z695" s="184" t="n"/>
      <c r="AA695" s="184" t="n"/>
      <c r="BB695" s="390">
        <f>_xlfn.TEXTJOIN("-",TRUE,AU695,AW695)</f>
        <v/>
      </c>
    </row>
    <row r="696">
      <c r="B696" s="123" t="inlineStr">
        <is>
          <t>295/75R22.5</t>
        </is>
      </c>
      <c r="C696" s="169" t="inlineStr">
        <is>
          <t>16PR</t>
        </is>
      </c>
      <c r="D696" s="177" t="inlineStr">
        <is>
          <t>AS604</t>
        </is>
      </c>
      <c r="E696" s="177" t="inlineStr">
        <is>
          <t>ID295/75R22.5-16PR-K C ID</t>
        </is>
      </c>
      <c r="F696" s="131">
        <f>G696-2.747+3.132</f>
        <v/>
      </c>
      <c r="G696" s="131" t="n">
        <v>52.912</v>
      </c>
      <c r="H696" s="180" t="n">
        <v>53.14</v>
      </c>
      <c r="I696" s="130">
        <f>G696-H696</f>
        <v/>
      </c>
      <c r="J696" s="115">
        <f>_xlfn.TEXTJOIN("-",TRUE,B696,C696,D696)</f>
        <v/>
      </c>
      <c r="K696" s="184" t="n"/>
      <c r="L696" s="184" t="n"/>
      <c r="M696" s="184" t="n"/>
      <c r="N696" s="184" t="n"/>
      <c r="O696" s="184" t="n"/>
      <c r="P696" s="184" t="n"/>
      <c r="Q696" s="184" t="n"/>
      <c r="BB696" s="390">
        <f>_xlfn.TEXTJOIN("-",TRUE,AU696,AW696)</f>
        <v/>
      </c>
    </row>
    <row r="697">
      <c r="B697" s="123" t="inlineStr">
        <is>
          <t>295/75R22.5</t>
        </is>
      </c>
      <c r="C697" s="169" t="inlineStr">
        <is>
          <t>16PR</t>
        </is>
      </c>
      <c r="D697" s="177" t="inlineStr">
        <is>
          <t>ECO-MILE HS+</t>
        </is>
      </c>
      <c r="E697" s="177" t="inlineStr">
        <is>
          <t>ID295/75R22.5-16PR-K C ID</t>
        </is>
      </c>
      <c r="F697" s="131" t="n">
        <v>53.3</v>
      </c>
      <c r="G697" s="131" t="n">
        <v>52.91</v>
      </c>
      <c r="H697" s="180" t="n">
        <v>53.14</v>
      </c>
      <c r="I697" s="130" t="n">
        <v>-0.24</v>
      </c>
      <c r="J697" s="115">
        <f>_xlfn.TEXTJOIN("-",TRUE,B697,C697,D697)</f>
        <v/>
      </c>
      <c r="K697" s="184" t="n"/>
      <c r="L697" s="184" t="n"/>
      <c r="M697" s="184" t="n"/>
      <c r="N697" s="184" t="n"/>
      <c r="O697" s="184" t="n"/>
      <c r="P697" s="184" t="n"/>
      <c r="Q697" s="184" t="n"/>
      <c r="BB697" s="390">
        <f>_xlfn.TEXTJOIN("-",TRUE,AU697,AW697)</f>
        <v/>
      </c>
    </row>
    <row r="698">
      <c r="B698" s="123" t="inlineStr">
        <is>
          <t>295/75R22.5</t>
        </is>
      </c>
      <c r="C698" s="169" t="inlineStr">
        <is>
          <t>16PR</t>
        </is>
      </c>
      <c r="D698" s="177" t="inlineStr">
        <is>
          <t>M-TRAC HS+</t>
        </is>
      </c>
      <c r="E698" s="177" t="inlineStr">
        <is>
          <t>ID295/75R22.5-16PR-K C ID</t>
        </is>
      </c>
      <c r="F698" s="131" t="n">
        <v>53.3</v>
      </c>
      <c r="G698" s="131" t="n">
        <v>52.91</v>
      </c>
      <c r="H698" s="180" t="n">
        <v>53.14</v>
      </c>
      <c r="I698" s="130" t="n">
        <v>-0.24</v>
      </c>
      <c r="J698" s="115">
        <f>_xlfn.TEXTJOIN("-",TRUE,B698,C698,D698)</f>
        <v/>
      </c>
      <c r="K698" s="184" t="n"/>
      <c r="L698" s="184" t="n"/>
      <c r="M698" s="184" t="n"/>
      <c r="N698" s="184" t="n"/>
      <c r="O698" s="184" t="n"/>
      <c r="P698" s="184" t="n"/>
      <c r="Q698" s="184" t="n"/>
      <c r="BB698" s="390">
        <f>_xlfn.TEXTJOIN("-",TRUE,AU698,AW698)</f>
        <v/>
      </c>
    </row>
    <row r="699">
      <c r="B699" s="123" t="inlineStr">
        <is>
          <t>295/75R22.5</t>
        </is>
      </c>
      <c r="C699" s="169" t="inlineStr">
        <is>
          <t>14PR</t>
        </is>
      </c>
      <c r="D699" s="177" t="inlineStr">
        <is>
          <t>AT598</t>
        </is>
      </c>
      <c r="E699" s="177" t="inlineStr">
        <is>
          <t>ID295/75R22.5-ATP US ID</t>
        </is>
      </c>
      <c r="F699" s="131">
        <f>G699-2.747+3.132</f>
        <v/>
      </c>
      <c r="G699" s="131" t="n">
        <v>47.069</v>
      </c>
      <c r="H699" s="129" t="n">
        <v>47.14</v>
      </c>
      <c r="I699" s="130">
        <f>G699-H699</f>
        <v/>
      </c>
      <c r="J699" s="115">
        <f>_xlfn.TEXTJOIN("-",TRUE,B699,C699,D699)</f>
        <v/>
      </c>
      <c r="K699" s="184" t="n"/>
      <c r="L699" s="184" t="n"/>
      <c r="M699" s="184" t="n"/>
      <c r="N699" s="184" t="n"/>
      <c r="O699" s="184" t="n"/>
      <c r="P699" s="184" t="n"/>
      <c r="Q699" s="184" t="n"/>
      <c r="BB699" s="390">
        <f>_xlfn.TEXTJOIN("-",TRUE,AU699,AW699)</f>
        <v/>
      </c>
    </row>
    <row r="700">
      <c r="B700" s="123" t="inlineStr">
        <is>
          <t>295/75R22.5</t>
        </is>
      </c>
      <c r="C700" s="169" t="inlineStr">
        <is>
          <t>14PR</t>
        </is>
      </c>
      <c r="D700" s="177" t="inlineStr">
        <is>
          <t>HT1 Plus</t>
        </is>
      </c>
      <c r="E700" s="177" t="inlineStr">
        <is>
          <t>ID295/75R22.5-ATP US ID</t>
        </is>
      </c>
      <c r="F700" s="131">
        <f>G700-2.747+3.132</f>
        <v/>
      </c>
      <c r="G700" s="131" t="n">
        <v>47.069</v>
      </c>
      <c r="H700" s="129" t="n">
        <v>47.14</v>
      </c>
      <c r="I700" s="130">
        <f>G700-H700</f>
        <v/>
      </c>
      <c r="J700" s="115">
        <f>_xlfn.TEXTJOIN("-",TRUE,B700,C700,D700)</f>
        <v/>
      </c>
      <c r="K700" s="184" t="n"/>
      <c r="L700" s="184" t="n"/>
      <c r="M700" s="184" t="n"/>
      <c r="N700" s="184" t="n"/>
      <c r="O700" s="184" t="n"/>
      <c r="P700" s="184" t="n"/>
      <c r="Q700" s="184" t="n"/>
      <c r="BB700" s="390">
        <f>_xlfn.TEXTJOIN("-",TRUE,AU700,AW700)</f>
        <v/>
      </c>
    </row>
    <row r="701">
      <c r="B701" s="123" t="inlineStr">
        <is>
          <t>295/75R22.5</t>
        </is>
      </c>
      <c r="C701" s="169" t="inlineStr">
        <is>
          <t>14PR</t>
        </is>
      </c>
      <c r="D701" s="177" t="inlineStr">
        <is>
          <t>RLINE-T1</t>
        </is>
      </c>
      <c r="E701" s="177" t="inlineStr">
        <is>
          <t>ID295/75R22.5-ATP US ID</t>
        </is>
      </c>
      <c r="F701" s="131">
        <f>G701-2.747+3.132</f>
        <v/>
      </c>
      <c r="G701" s="131" t="n">
        <v>47.069</v>
      </c>
      <c r="H701" s="129" t="n">
        <v>47.14</v>
      </c>
      <c r="I701" s="130">
        <f>G701-H701</f>
        <v/>
      </c>
      <c r="J701" s="115">
        <f>_xlfn.TEXTJOIN("-",TRUE,B701,C701,D701)</f>
        <v/>
      </c>
      <c r="K701" s="184" t="n"/>
      <c r="L701" s="184" t="n"/>
      <c r="M701" s="184" t="n"/>
      <c r="N701" s="184" t="n"/>
      <c r="O701" s="184" t="n"/>
      <c r="P701" s="184" t="n"/>
      <c r="Q701" s="184" t="n"/>
      <c r="BB701" s="390">
        <f>_xlfn.TEXTJOIN("-",TRUE,AU701,AW701)</f>
        <v/>
      </c>
    </row>
    <row r="702">
      <c r="B702" s="123" t="inlineStr">
        <is>
          <t>295/75R22.5</t>
        </is>
      </c>
      <c r="C702" s="169" t="inlineStr">
        <is>
          <t>16PR</t>
        </is>
      </c>
      <c r="D702" s="177" t="inlineStr">
        <is>
          <t>AT598</t>
        </is>
      </c>
      <c r="E702" s="177" t="inlineStr">
        <is>
          <t>ID295/75R22.5-ATP US ID</t>
        </is>
      </c>
      <c r="F702" s="131">
        <f>G702-2.747+3.132</f>
        <v/>
      </c>
      <c r="G702" s="131" t="n">
        <v>47.069</v>
      </c>
      <c r="H702" s="129" t="n">
        <v>47.14</v>
      </c>
      <c r="I702" s="130">
        <f>G702-H702</f>
        <v/>
      </c>
      <c r="J702" s="115">
        <f>_xlfn.TEXTJOIN("-",TRUE,B702,C702,D702)</f>
        <v/>
      </c>
      <c r="K702" s="184" t="n"/>
      <c r="L702" s="184" t="n"/>
      <c r="M702" s="184" t="n"/>
      <c r="N702" s="184" t="n"/>
      <c r="O702" s="184" t="n"/>
      <c r="P702" s="184" t="n"/>
      <c r="Q702" s="184" t="n"/>
      <c r="BB702" s="390">
        <f>_xlfn.TEXTJOIN("-",TRUE,AU702,AW702)</f>
        <v/>
      </c>
    </row>
    <row r="703">
      <c r="B703" s="123" t="inlineStr">
        <is>
          <t>295/75R22.5</t>
        </is>
      </c>
      <c r="C703" s="169" t="inlineStr">
        <is>
          <t>16PR</t>
        </is>
      </c>
      <c r="D703" s="177" t="inlineStr">
        <is>
          <t>HT1 Plus</t>
        </is>
      </c>
      <c r="E703" s="177" t="inlineStr">
        <is>
          <t>ID295/75R22.5-ATP US ID</t>
        </is>
      </c>
      <c r="F703" s="131">
        <f>G703-2.747+3.132</f>
        <v/>
      </c>
      <c r="G703" s="131" t="n">
        <v>47.069</v>
      </c>
      <c r="H703" s="129" t="n">
        <v>47.14</v>
      </c>
      <c r="I703" s="130">
        <f>G703-H703</f>
        <v/>
      </c>
      <c r="J703" s="115">
        <f>_xlfn.TEXTJOIN("-",TRUE,B703,C703,D703)</f>
        <v/>
      </c>
      <c r="K703" s="184" t="n"/>
      <c r="L703" s="184" t="n"/>
      <c r="M703" s="184" t="n"/>
      <c r="N703" s="184" t="n"/>
      <c r="O703" s="184" t="n"/>
      <c r="P703" s="184" t="n"/>
      <c r="Q703" s="184" t="n"/>
      <c r="BB703" s="390">
        <f>_xlfn.TEXTJOIN("-",TRUE,AU703,AW703)</f>
        <v/>
      </c>
    </row>
    <row r="704">
      <c r="B704" s="123" t="inlineStr">
        <is>
          <t>295/75R22.5</t>
        </is>
      </c>
      <c r="C704" s="169" t="inlineStr">
        <is>
          <t>16PR</t>
        </is>
      </c>
      <c r="D704" s="177" t="inlineStr">
        <is>
          <t>RLINE-T1</t>
        </is>
      </c>
      <c r="E704" s="177" t="inlineStr">
        <is>
          <t>ID295/75R22.5-ATP US ID</t>
        </is>
      </c>
      <c r="F704" s="131">
        <f>G704-2.747+3.132</f>
        <v/>
      </c>
      <c r="G704" s="131" t="n">
        <v>47.069</v>
      </c>
      <c r="H704" s="129" t="n">
        <v>47.14</v>
      </c>
      <c r="I704" s="130">
        <f>G704-H704</f>
        <v/>
      </c>
      <c r="J704" s="115">
        <f>_xlfn.TEXTJOIN("-",TRUE,B704,C704,D704)</f>
        <v/>
      </c>
      <c r="K704" s="184" t="n"/>
      <c r="L704" s="184" t="n"/>
      <c r="M704" s="184" t="n"/>
      <c r="N704" s="184" t="n"/>
      <c r="O704" s="184" t="n"/>
      <c r="P704" s="184" t="n"/>
      <c r="Q704" s="184" t="n"/>
      <c r="BB704" s="390">
        <f>_xlfn.TEXTJOIN("-",TRUE,AU704,AW704)</f>
        <v/>
      </c>
    </row>
    <row r="705">
      <c r="B705" s="123" t="inlineStr">
        <is>
          <t>295/75R22.5</t>
        </is>
      </c>
      <c r="C705" s="169" t="inlineStr">
        <is>
          <t>16PR</t>
        </is>
      </c>
      <c r="D705" s="177" t="inlineStr">
        <is>
          <t>AD600</t>
        </is>
      </c>
      <c r="E705" s="177" t="inlineStr">
        <is>
          <t>ID295/75R22.5-16PR-A US C ID</t>
        </is>
      </c>
      <c r="F705" s="131">
        <f>G705-2.747+3.132</f>
        <v/>
      </c>
      <c r="G705" s="131" t="n">
        <v>59.708</v>
      </c>
      <c r="H705" s="129" t="n">
        <v>59.5866</v>
      </c>
      <c r="I705" s="130">
        <f>G705-H705</f>
        <v/>
      </c>
      <c r="J705" s="115">
        <f>_xlfn.TEXTJOIN("-",TRUE,B705,C705,D705)</f>
        <v/>
      </c>
      <c r="K705" s="184" t="n"/>
      <c r="L705" s="184" t="n"/>
      <c r="M705" s="184" t="n"/>
      <c r="N705" s="184" t="n"/>
      <c r="O705" s="184" t="n"/>
      <c r="P705" s="184" t="n"/>
      <c r="Q705" s="184" t="n"/>
      <c r="BB705" s="390">
        <f>_xlfn.TEXTJOIN("-",TRUE,AU705,AW705)</f>
        <v/>
      </c>
    </row>
    <row r="706">
      <c r="B706" s="123" t="inlineStr">
        <is>
          <t>295/75R22.5</t>
        </is>
      </c>
      <c r="C706" s="169" t="inlineStr">
        <is>
          <t>16PR</t>
        </is>
      </c>
      <c r="D706" s="177" t="inlineStr">
        <is>
          <t>PD211</t>
        </is>
      </c>
      <c r="E706" s="177" t="inlineStr">
        <is>
          <t>ID295/75R22.5-16PR-A US C ID</t>
        </is>
      </c>
      <c r="F706" s="131">
        <f>G706-2.747+3.132</f>
        <v/>
      </c>
      <c r="G706" s="131" t="n">
        <v>59.708</v>
      </c>
      <c r="H706" s="129" t="n">
        <v>59.5866</v>
      </c>
      <c r="I706" s="130">
        <f>G706-H706</f>
        <v/>
      </c>
      <c r="J706" s="115">
        <f>_xlfn.TEXTJOIN("-",TRUE,B706,C706,D706)</f>
        <v/>
      </c>
      <c r="K706" s="184" t="n"/>
      <c r="L706" s="184" t="n"/>
      <c r="M706" s="184" t="n"/>
      <c r="N706" s="184" t="n"/>
      <c r="O706" s="184" t="n"/>
      <c r="P706" s="184" t="n"/>
      <c r="Q706" s="184" t="n"/>
      <c r="BB706" s="390">
        <f>_xlfn.TEXTJOIN("-",TRUE,AU706,AW706)</f>
        <v/>
      </c>
    </row>
    <row r="707">
      <c r="B707" s="123" t="inlineStr">
        <is>
          <t>295/75R22.5</t>
        </is>
      </c>
      <c r="C707" s="169" t="inlineStr">
        <is>
          <t>16PR</t>
        </is>
      </c>
      <c r="D707" s="177" t="inlineStr">
        <is>
          <t>W-Elite SL11</t>
        </is>
      </c>
      <c r="E707" s="177" t="inlineStr">
        <is>
          <t>ID295/75R22.5-16PR-Q US C ID</t>
        </is>
      </c>
      <c r="F707" s="131">
        <f>G707-2.747+3.14</f>
        <v/>
      </c>
      <c r="G707" s="131" t="n">
        <v>55.17</v>
      </c>
      <c r="H707" s="180" t="n">
        <v>54.62</v>
      </c>
      <c r="I707" s="130">
        <f>G707-H707</f>
        <v/>
      </c>
      <c r="J707" s="115">
        <f>_xlfn.TEXTJOIN("-",TRUE,B707,C707,D707)</f>
        <v/>
      </c>
      <c r="K707" s="184" t="n"/>
      <c r="L707" s="184" t="n"/>
      <c r="M707" s="184" t="n"/>
      <c r="N707" s="184" t="n"/>
      <c r="O707" s="184" t="n"/>
      <c r="P707" s="184" t="n"/>
      <c r="Q707" s="184" t="n"/>
      <c r="BB707" s="390">
        <f>_xlfn.TEXTJOIN("-",TRUE,AU707,AW707)</f>
        <v/>
      </c>
    </row>
    <row r="708">
      <c r="B708" s="123" t="inlineStr">
        <is>
          <t>295/75R22.5</t>
        </is>
      </c>
      <c r="C708" s="169" t="inlineStr">
        <is>
          <t>16PR</t>
        </is>
      </c>
      <c r="D708" s="177" t="inlineStr">
        <is>
          <t>VA996</t>
        </is>
      </c>
      <c r="E708" s="177" t="inlineStr">
        <is>
          <t>ID295/75R22.5-16PR-Q US C ID</t>
        </is>
      </c>
      <c r="F708" s="131">
        <f>G708-2.747+3.14</f>
        <v/>
      </c>
      <c r="G708" s="131" t="n">
        <v>55.17</v>
      </c>
      <c r="H708" s="180" t="n">
        <v>54.62</v>
      </c>
      <c r="I708" s="130">
        <f>G708-H708</f>
        <v/>
      </c>
      <c r="J708" s="115">
        <f>_xlfn.TEXTJOIN("-",TRUE,B708,C708,D708)</f>
        <v/>
      </c>
      <c r="K708" s="184" t="n"/>
      <c r="L708" s="184" t="n"/>
      <c r="M708" s="184" t="n"/>
      <c r="N708" s="184" t="n"/>
      <c r="O708" s="184" t="n"/>
      <c r="P708" s="184" t="n"/>
      <c r="Q708" s="184" t="n"/>
      <c r="BB708" s="390">
        <f>_xlfn.TEXTJOIN("-",TRUE,AU708,AW708)</f>
        <v/>
      </c>
    </row>
    <row r="709">
      <c r="B709" s="123" t="inlineStr">
        <is>
          <t>295/75R22.5</t>
        </is>
      </c>
      <c r="C709" s="169" t="inlineStr">
        <is>
          <t>16PR</t>
        </is>
      </c>
      <c r="D709" s="177" t="inlineStr">
        <is>
          <t>AS200</t>
        </is>
      </c>
      <c r="E709" s="177" t="inlineStr">
        <is>
          <t>ID295/75R22.5-16PR-Q US C ID</t>
        </is>
      </c>
      <c r="F709" s="131">
        <f>G709-2.747+3.14</f>
        <v/>
      </c>
      <c r="G709" s="131" t="n">
        <v>55.17</v>
      </c>
      <c r="H709" s="180" t="n">
        <v>54.62</v>
      </c>
      <c r="I709" s="130">
        <f>G709-H709</f>
        <v/>
      </c>
      <c r="J709" s="115">
        <f>_xlfn.TEXTJOIN("-",TRUE,B709,C709,D709)</f>
        <v/>
      </c>
      <c r="K709" s="184" t="n"/>
      <c r="L709" s="184" t="n"/>
      <c r="M709" s="184" t="n"/>
      <c r="N709" s="184" t="n"/>
      <c r="O709" s="184" t="n"/>
      <c r="P709" s="184" t="n"/>
      <c r="Q709" s="184" t="n"/>
      <c r="BB709" s="390">
        <f>_xlfn.TEXTJOIN("-",TRUE,AU709,AW709)</f>
        <v/>
      </c>
    </row>
    <row r="710">
      <c r="B710" s="123" t="inlineStr">
        <is>
          <t>295/75R22.5</t>
        </is>
      </c>
      <c r="C710" s="169" t="inlineStr">
        <is>
          <t>16PR</t>
        </is>
      </c>
      <c r="D710" s="177" t="inlineStr">
        <is>
          <t>PS221</t>
        </is>
      </c>
      <c r="E710" s="177" t="inlineStr">
        <is>
          <t>ID295/75R22.5-16PR-Q US C ID</t>
        </is>
      </c>
      <c r="F710" s="131">
        <f>G710-2.747+3.14</f>
        <v/>
      </c>
      <c r="G710" s="131" t="n">
        <v>55.17</v>
      </c>
      <c r="H710" s="180" t="n">
        <v>54.62</v>
      </c>
      <c r="I710" s="130">
        <f>G710-H710</f>
        <v/>
      </c>
      <c r="J710" s="115">
        <f>_xlfn.TEXTJOIN("-",TRUE,B710,C710,D710)</f>
        <v/>
      </c>
      <c r="K710" s="184" t="n"/>
      <c r="L710" s="184" t="n"/>
      <c r="M710" s="184" t="n"/>
      <c r="N710" s="184" t="n"/>
      <c r="O710" s="184" t="n"/>
      <c r="P710" s="184" t="n"/>
      <c r="Q710" s="184" t="n"/>
      <c r="BB710" s="390">
        <f>_xlfn.TEXTJOIN("-",TRUE,AU710,AW710)</f>
        <v/>
      </c>
    </row>
    <row r="711">
      <c r="B711" s="123" t="inlineStr">
        <is>
          <t>295/75R22.5</t>
        </is>
      </c>
      <c r="C711" s="169" t="inlineStr">
        <is>
          <t>16PR</t>
        </is>
      </c>
      <c r="D711" s="177" t="inlineStr">
        <is>
          <t>AS201</t>
        </is>
      </c>
      <c r="E711" s="177" t="inlineStr">
        <is>
          <t>ID295/75R22.5-16PR-Q US C ID</t>
        </is>
      </c>
      <c r="F711" s="131">
        <f>G711-2.747+3.14</f>
        <v/>
      </c>
      <c r="G711" s="131" t="n">
        <v>55.17</v>
      </c>
      <c r="H711" s="180" t="n">
        <v>54.62</v>
      </c>
      <c r="I711" s="130">
        <f>G711-H711</f>
        <v/>
      </c>
      <c r="J711" s="115">
        <f>_xlfn.TEXTJOIN("-",TRUE,B711,C711,D711)</f>
        <v/>
      </c>
      <c r="K711" s="184" t="n"/>
      <c r="L711" s="184" t="n"/>
      <c r="M711" s="184" t="n"/>
      <c r="N711" s="184" t="n"/>
      <c r="O711" s="184" t="n"/>
      <c r="P711" s="184" t="n"/>
      <c r="Q711" s="184" t="n"/>
      <c r="BB711" s="390">
        <f>_xlfn.TEXTJOIN("-",TRUE,AU711,AW711)</f>
        <v/>
      </c>
    </row>
    <row r="712">
      <c r="B712" s="123" t="inlineStr">
        <is>
          <t>295/75R22.5</t>
        </is>
      </c>
      <c r="C712" s="169" t="inlineStr">
        <is>
          <t>16PR</t>
        </is>
      </c>
      <c r="D712" s="177" t="inlineStr">
        <is>
          <t>PS210</t>
        </is>
      </c>
      <c r="E712" s="177" t="inlineStr">
        <is>
          <t>ID295/75R22.5-16PR-Q US C ID</t>
        </is>
      </c>
      <c r="F712" s="131">
        <f>G712-2.747+3.14</f>
        <v/>
      </c>
      <c r="G712" s="131" t="n">
        <v>55.17</v>
      </c>
      <c r="H712" s="180" t="n">
        <v>54.62</v>
      </c>
      <c r="I712" s="130">
        <f>G712-H712</f>
        <v/>
      </c>
      <c r="J712" s="115">
        <f>_xlfn.TEXTJOIN("-",TRUE,B712,C712,D712)</f>
        <v/>
      </c>
      <c r="K712" s="184" t="n"/>
      <c r="L712" s="184" t="n"/>
      <c r="M712" s="184" t="n"/>
      <c r="N712" s="184" t="n"/>
      <c r="O712" s="184" t="n"/>
      <c r="P712" s="184" t="n"/>
      <c r="Q712" s="184" t="n"/>
      <c r="BB712" s="390">
        <f>_xlfn.TEXTJOIN("-",TRUE,AU712,AW712)</f>
        <v/>
      </c>
    </row>
    <row r="713">
      <c r="B713" s="123" t="inlineStr">
        <is>
          <t>295/75R22.5</t>
        </is>
      </c>
      <c r="C713" s="169" t="inlineStr">
        <is>
          <t>14PR</t>
        </is>
      </c>
      <c r="D713" s="177" t="inlineStr">
        <is>
          <t>I-37D</t>
        </is>
      </c>
      <c r="E713" s="177" t="inlineStr">
        <is>
          <t>ID295/75R22.5-14PR-I-37D US ID</t>
        </is>
      </c>
      <c r="F713" s="131">
        <f>G713-2.747+3.132</f>
        <v/>
      </c>
      <c r="G713" s="131" t="n">
        <v>55.121</v>
      </c>
      <c r="H713" s="129" t="n">
        <v>55.1653</v>
      </c>
      <c r="I713" s="130">
        <f>G713-H713</f>
        <v/>
      </c>
      <c r="J713" s="115">
        <f>_xlfn.TEXTJOIN("-",TRUE,B713,C713,D713)</f>
        <v/>
      </c>
      <c r="K713" s="184" t="n"/>
      <c r="L713" s="184" t="n"/>
      <c r="M713" s="184" t="n"/>
      <c r="N713" s="184" t="n"/>
      <c r="O713" s="184" t="n"/>
      <c r="P713" s="184" t="n"/>
      <c r="Q713" s="184" t="n"/>
      <c r="BB713" s="390">
        <f>_xlfn.TEXTJOIN("-",TRUE,AU713,AW713)</f>
        <v/>
      </c>
    </row>
    <row r="714">
      <c r="B714" s="123" t="inlineStr">
        <is>
          <t>295/75R22.5</t>
        </is>
      </c>
      <c r="C714" s="169" t="inlineStr">
        <is>
          <t>16PR</t>
        </is>
      </c>
      <c r="D714" s="177" t="inlineStr">
        <is>
          <t>W-Elite DA25</t>
        </is>
      </c>
      <c r="E714" s="177" t="inlineStr">
        <is>
          <t>ID295/75R22.5-16PR-DV US ID</t>
        </is>
      </c>
      <c r="F714" s="131">
        <f>G714-2.747+3.132</f>
        <v/>
      </c>
      <c r="G714" s="131" t="n">
        <v>59.143</v>
      </c>
      <c r="H714" s="129" t="n">
        <v>59.27</v>
      </c>
      <c r="I714" s="130">
        <f>G714-H714</f>
        <v/>
      </c>
      <c r="J714" s="115">
        <f>_xlfn.TEXTJOIN("-",TRUE,B714,C714,D714)</f>
        <v/>
      </c>
      <c r="K714" s="184" t="n"/>
      <c r="L714" s="184" t="n"/>
      <c r="M714" s="184" t="n"/>
      <c r="N714" s="184" t="n"/>
      <c r="O714" s="184" t="n"/>
      <c r="P714" s="184" t="n"/>
      <c r="Q714" s="184" t="n"/>
      <c r="BB714" s="390">
        <f>_xlfn.TEXTJOIN("-",TRUE,AU714,AW714)</f>
        <v/>
      </c>
    </row>
    <row r="715">
      <c r="B715" s="123" t="inlineStr">
        <is>
          <t>295/75R22.5</t>
        </is>
      </c>
      <c r="C715" s="169" t="inlineStr">
        <is>
          <t>16PR</t>
        </is>
      </c>
      <c r="D715" s="177" t="inlineStr">
        <is>
          <t>VXD932</t>
        </is>
      </c>
      <c r="E715" s="177" t="inlineStr">
        <is>
          <t>ID295/75R22.5-16PR-DV US ID</t>
        </is>
      </c>
      <c r="F715" s="131">
        <f>G715-2.747+3.132</f>
        <v/>
      </c>
      <c r="G715" s="131" t="n">
        <v>59.143</v>
      </c>
      <c r="H715" s="129" t="n">
        <v>59.27</v>
      </c>
      <c r="I715" s="130">
        <f>G715-H715</f>
        <v/>
      </c>
      <c r="J715" s="115">
        <f>_xlfn.TEXTJOIN("-",TRUE,B715,C715,D715)</f>
        <v/>
      </c>
      <c r="K715" s="184" t="n"/>
      <c r="L715" s="184" t="n"/>
      <c r="M715" s="184" t="n"/>
      <c r="N715" s="184" t="n"/>
      <c r="O715" s="184" t="n"/>
      <c r="P715" s="184" t="n"/>
      <c r="Q715" s="184" t="n"/>
      <c r="BB715" s="390">
        <f>_xlfn.TEXTJOIN("-",TRUE,AU715,AW715)</f>
        <v/>
      </c>
    </row>
    <row r="716">
      <c r="B716" s="123" t="inlineStr">
        <is>
          <t>295/75R22.5</t>
        </is>
      </c>
      <c r="C716" s="169" t="inlineStr">
        <is>
          <t>14PR</t>
        </is>
      </c>
      <c r="D716" s="177" t="inlineStr">
        <is>
          <t>AS673</t>
        </is>
      </c>
      <c r="E716" s="177" t="inlineStr">
        <is>
          <t>ID295/75R22.5-14PR-AS673 US ID</t>
        </is>
      </c>
      <c r="F716" s="131">
        <f>G716-2.747+3.132</f>
        <v/>
      </c>
      <c r="G716" s="131" t="n">
        <v>54.534</v>
      </c>
      <c r="H716" s="129" t="n">
        <v>54.5961</v>
      </c>
      <c r="I716" s="130">
        <f>G716-H716</f>
        <v/>
      </c>
      <c r="J716" s="115">
        <f>_xlfn.TEXTJOIN("-",TRUE,B716,C716,D716)</f>
        <v/>
      </c>
      <c r="K716" s="184" t="n"/>
      <c r="L716" s="184" t="n"/>
      <c r="M716" s="184" t="n"/>
      <c r="N716" s="184" t="n"/>
      <c r="O716" s="184" t="n"/>
      <c r="P716" s="184" t="n"/>
      <c r="Q716" s="184" t="n"/>
      <c r="BB716" s="390">
        <f>_xlfn.TEXTJOIN("-",TRUE,AU716,AW716)</f>
        <v/>
      </c>
    </row>
    <row r="717">
      <c r="B717" s="123" t="inlineStr">
        <is>
          <t>295/75R22.5</t>
        </is>
      </c>
      <c r="C717" s="169" t="inlineStr">
        <is>
          <t>16PR</t>
        </is>
      </c>
      <c r="D717" s="177" t="inlineStr">
        <is>
          <t>I-52A</t>
        </is>
      </c>
      <c r="E717" s="177" t="inlineStr">
        <is>
          <t>ID295/75R22.5-16PR-I-52A US ID</t>
        </is>
      </c>
      <c r="F717" s="131">
        <f>G717-2.747+3.132</f>
        <v/>
      </c>
      <c r="G717" s="131" t="n">
        <v>55.749</v>
      </c>
      <c r="H717" s="129" t="n">
        <v>54.7634</v>
      </c>
      <c r="I717" s="130">
        <f>G717-H717</f>
        <v/>
      </c>
      <c r="J717" s="115">
        <f>_xlfn.TEXTJOIN("-",TRUE,B717,C717,D717)</f>
        <v/>
      </c>
      <c r="K717" s="184" t="n"/>
      <c r="L717" s="184" t="n"/>
      <c r="M717" s="184" t="n"/>
      <c r="N717" s="184" t="n"/>
      <c r="O717" s="184" t="n"/>
      <c r="P717" s="184" t="n"/>
      <c r="Q717" s="184" t="n"/>
      <c r="BB717" s="390">
        <f>_xlfn.TEXTJOIN("-",TRUE,AU717,AW717)</f>
        <v/>
      </c>
    </row>
    <row r="718">
      <c r="B718" s="123" t="inlineStr">
        <is>
          <t>295/75R22.5</t>
        </is>
      </c>
      <c r="C718" s="169" t="inlineStr">
        <is>
          <t>16PR</t>
        </is>
      </c>
      <c r="D718" s="177" t="inlineStr">
        <is>
          <t>I-61S</t>
        </is>
      </c>
      <c r="E718" s="177" t="inlineStr">
        <is>
          <t>ID295/75R22.5-16PR-Z US ID</t>
        </is>
      </c>
      <c r="F718" s="131">
        <f>G718-2.747+3.132</f>
        <v/>
      </c>
      <c r="G718" s="131" t="n">
        <v>51.423</v>
      </c>
      <c r="H718" s="129" t="n">
        <v>51.44</v>
      </c>
      <c r="I718" s="130">
        <f>G718-H718</f>
        <v/>
      </c>
      <c r="J718" s="115">
        <f>_xlfn.TEXTJOIN("-",TRUE,B718,C718,D718)</f>
        <v/>
      </c>
      <c r="K718" s="184" t="n"/>
      <c r="L718" s="184" t="n"/>
      <c r="M718" s="184" t="n"/>
      <c r="N718" s="184" t="n"/>
      <c r="O718" s="184" t="n"/>
      <c r="P718" s="184" t="n"/>
      <c r="Q718" s="184" t="n"/>
      <c r="BB718" s="390">
        <f>_xlfn.TEXTJOIN("-",TRUE,AU718,AW718)</f>
        <v/>
      </c>
    </row>
    <row r="719">
      <c r="B719" s="123" t="inlineStr">
        <is>
          <t>295/75R22.5</t>
        </is>
      </c>
      <c r="C719" s="169" t="inlineStr">
        <is>
          <t>16PR</t>
        </is>
      </c>
      <c r="D719" s="177" t="inlineStr">
        <is>
          <t>I-19A</t>
        </is>
      </c>
      <c r="E719" s="177" t="inlineStr">
        <is>
          <t>ID295/75R22.5-16PR-Z US ID</t>
        </is>
      </c>
      <c r="F719" s="131">
        <f>G719-2.747+3.132</f>
        <v/>
      </c>
      <c r="G719" s="131" t="n">
        <v>51.423</v>
      </c>
      <c r="H719" s="129" t="n">
        <v>51.44</v>
      </c>
      <c r="I719" s="130">
        <f>G719-H719</f>
        <v/>
      </c>
      <c r="J719" s="115">
        <f>_xlfn.TEXTJOIN("-",TRUE,B719,C719,D719)</f>
        <v/>
      </c>
      <c r="K719" s="184" t="n"/>
      <c r="L719" s="184" t="n"/>
      <c r="M719" s="184" t="n"/>
      <c r="N719" s="184" t="n"/>
      <c r="O719" s="184" t="n"/>
      <c r="P719" s="184" t="n"/>
      <c r="Q719" s="184" t="n"/>
      <c r="BB719" s="390">
        <f>_xlfn.TEXTJOIN("-",TRUE,AU719,AW719)</f>
        <v/>
      </c>
    </row>
    <row r="720">
      <c r="B720" s="123" t="inlineStr">
        <is>
          <t>295/75R22.5</t>
        </is>
      </c>
      <c r="C720" s="169" t="inlineStr">
        <is>
          <t>16PR</t>
        </is>
      </c>
      <c r="D720" s="177" t="inlineStr">
        <is>
          <t>AT100</t>
        </is>
      </c>
      <c r="E720" s="177" t="inlineStr">
        <is>
          <t>ID295/75R22.5-16PR-D US ID</t>
        </is>
      </c>
      <c r="F720" s="131">
        <f>G720-2.75+3.13</f>
        <v/>
      </c>
      <c r="G720" s="131" t="n">
        <v>48.05</v>
      </c>
      <c r="H720" s="129" t="n">
        <v>48.11</v>
      </c>
      <c r="I720" s="130">
        <f>G720-H720</f>
        <v/>
      </c>
      <c r="J720" s="115">
        <f>_xlfn.TEXTJOIN("-",TRUE,B720,C720,D720)</f>
        <v/>
      </c>
      <c r="K720" s="184" t="n"/>
      <c r="L720" s="184" t="n"/>
      <c r="M720" s="184" t="n"/>
      <c r="N720" s="184" t="n"/>
      <c r="O720" s="184" t="n"/>
      <c r="P720" s="184" t="n"/>
      <c r="Q720" s="184" t="n"/>
      <c r="BB720" s="390">
        <f>_xlfn.TEXTJOIN("-",TRUE,AU720,AW720)</f>
        <v/>
      </c>
    </row>
    <row r="721">
      <c r="B721" s="123" t="inlineStr">
        <is>
          <t>295/75R22.5</t>
        </is>
      </c>
      <c r="C721" s="169" t="inlineStr">
        <is>
          <t>16PR</t>
        </is>
      </c>
      <c r="D721" s="177" t="inlineStr">
        <is>
          <t>PT101</t>
        </is>
      </c>
      <c r="E721" s="177" t="inlineStr">
        <is>
          <t>ID295/75R22.5-16PR-D US ID</t>
        </is>
      </c>
      <c r="F721" s="131">
        <f>G721-2.75+3.13</f>
        <v/>
      </c>
      <c r="G721" s="131" t="n">
        <v>48.05</v>
      </c>
      <c r="H721" s="129" t="n">
        <v>48.11</v>
      </c>
      <c r="I721" s="130">
        <f>G721-H721</f>
        <v/>
      </c>
      <c r="J721" s="115">
        <f>_xlfn.TEXTJOIN("-",TRUE,B721,C721,D721)</f>
        <v/>
      </c>
      <c r="K721" s="184" t="n"/>
      <c r="L721" s="184" t="n"/>
      <c r="M721" s="184" t="n"/>
      <c r="N721" s="184" t="n"/>
      <c r="O721" s="184" t="n"/>
      <c r="P721" s="184" t="n"/>
      <c r="Q721" s="184" t="n"/>
      <c r="BB721" s="390">
        <f>_xlfn.TEXTJOIN("-",TRUE,AU721,AW721)</f>
        <v/>
      </c>
    </row>
    <row r="722">
      <c r="B722" s="123" t="inlineStr">
        <is>
          <t>295/75R22.5</t>
        </is>
      </c>
      <c r="C722" s="169" t="inlineStr">
        <is>
          <t>16PR</t>
        </is>
      </c>
      <c r="D722" s="177" t="inlineStr">
        <is>
          <t>AD759</t>
        </is>
      </c>
      <c r="E722" s="177" t="inlineStr">
        <is>
          <t>ID295/75R22.5-16PR-DD US ID</t>
        </is>
      </c>
      <c r="F722" s="131">
        <f>G722-2.75+3.13</f>
        <v/>
      </c>
      <c r="G722" s="131" t="n">
        <v>57.417</v>
      </c>
      <c r="H722" s="129" t="n">
        <v>57.63</v>
      </c>
      <c r="I722" s="130">
        <f>G722-H722</f>
        <v/>
      </c>
      <c r="J722" s="115">
        <f>_xlfn.TEXTJOIN("-",TRUE,B722,C722,D722)</f>
        <v/>
      </c>
      <c r="K722" s="184" t="n"/>
      <c r="L722" s="184" t="n"/>
      <c r="M722" s="184" t="n"/>
      <c r="N722" s="184" t="n"/>
      <c r="O722" s="184" t="n"/>
      <c r="P722" s="184" t="n"/>
      <c r="Q722" s="184" t="n"/>
      <c r="BB722" s="390">
        <f>_xlfn.TEXTJOIN("-",TRUE,AU722,AW722)</f>
        <v/>
      </c>
    </row>
    <row r="723">
      <c r="B723" s="123" t="inlineStr">
        <is>
          <t>295/75R22.5</t>
        </is>
      </c>
      <c r="C723" s="169" t="inlineStr">
        <is>
          <t>16PR</t>
        </is>
      </c>
      <c r="D723" s="177" t="inlineStr">
        <is>
          <t>CM996+</t>
        </is>
      </c>
      <c r="E723" s="177" t="inlineStr">
        <is>
          <t>ID295/75R22.5-16PR-DD US ID</t>
        </is>
      </c>
      <c r="F723" s="131">
        <f>G723-2.75+3.13</f>
        <v/>
      </c>
      <c r="G723" s="131" t="n">
        <v>57.417</v>
      </c>
      <c r="H723" s="129" t="n">
        <v>57.63</v>
      </c>
      <c r="I723" s="130">
        <f>G723-H723</f>
        <v/>
      </c>
      <c r="J723" s="115">
        <f>_xlfn.TEXTJOIN("-",TRUE,B723,C723,D723)</f>
        <v/>
      </c>
      <c r="K723" s="184" t="n"/>
      <c r="L723" s="184" t="n"/>
      <c r="M723" s="184" t="n"/>
      <c r="N723" s="184" t="n"/>
      <c r="O723" s="184" t="n"/>
      <c r="P723" s="184" t="n"/>
      <c r="Q723" s="184" t="n"/>
      <c r="BB723" s="390">
        <f>_xlfn.TEXTJOIN("-",TRUE,AU723,AW723)</f>
        <v/>
      </c>
    </row>
    <row r="724">
      <c r="B724" s="123" t="inlineStr">
        <is>
          <t>295/75R22.5</t>
        </is>
      </c>
      <c r="C724" s="169" t="inlineStr">
        <is>
          <t>16PR</t>
        </is>
      </c>
      <c r="D724" s="177" t="inlineStr">
        <is>
          <t>RLINE-D II</t>
        </is>
      </c>
      <c r="E724" s="177" t="inlineStr">
        <is>
          <t>ID295/75R22.5-16PR-DD US ID</t>
        </is>
      </c>
      <c r="F724" s="131">
        <f>G724-2.75+3.13</f>
        <v/>
      </c>
      <c r="G724" s="131" t="n">
        <v>57.417</v>
      </c>
      <c r="H724" s="129" t="n">
        <v>57.63</v>
      </c>
      <c r="I724" s="130">
        <f>G724-H724</f>
        <v/>
      </c>
      <c r="J724" s="115">
        <f>_xlfn.TEXTJOIN("-",TRUE,B724,C724,D724)</f>
        <v/>
      </c>
      <c r="K724" s="184" t="n"/>
      <c r="L724" s="184" t="n"/>
      <c r="M724" s="184" t="n"/>
      <c r="N724" s="184" t="n"/>
      <c r="O724" s="184" t="n"/>
      <c r="P724" s="184" t="n"/>
      <c r="Q724" s="184" t="n"/>
      <c r="BB724" s="390">
        <f>_xlfn.TEXTJOIN("-",TRUE,AU724,AW724)</f>
        <v/>
      </c>
    </row>
    <row r="725">
      <c r="B725" s="123" t="inlineStr">
        <is>
          <t>295/75R22.5</t>
        </is>
      </c>
      <c r="C725" s="169" t="inlineStr">
        <is>
          <t>16PR</t>
        </is>
      </c>
      <c r="D725" s="177" t="inlineStr">
        <is>
          <t>AD716</t>
        </is>
      </c>
      <c r="E725" s="177" t="inlineStr">
        <is>
          <t>ID295/75R22.5-16PR-I C ID</t>
        </is>
      </c>
      <c r="F725" s="131">
        <f>G725-2.75+3.13</f>
        <v/>
      </c>
      <c r="G725" s="131" t="n">
        <v>54.361</v>
      </c>
      <c r="H725" s="129" t="n">
        <v>53.92</v>
      </c>
      <c r="I725" s="130">
        <f>G725-H725</f>
        <v/>
      </c>
      <c r="J725" s="115">
        <f>_xlfn.TEXTJOIN("-",TRUE,B725,C725,D725)</f>
        <v/>
      </c>
      <c r="K725" s="184" t="n"/>
      <c r="L725" s="184" t="n"/>
      <c r="M725" s="184" t="n"/>
      <c r="N725" s="184" t="n"/>
      <c r="O725" s="184" t="n"/>
      <c r="P725" s="184" t="n"/>
      <c r="Q725" s="184" t="n"/>
      <c r="BB725" s="390">
        <f>_xlfn.TEXTJOIN("-",TRUE,AU725,AW725)</f>
        <v/>
      </c>
    </row>
    <row r="726">
      <c r="B726" s="123" t="inlineStr">
        <is>
          <t>295/75R22.5</t>
        </is>
      </c>
      <c r="C726" s="169" t="inlineStr">
        <is>
          <t>16PR</t>
        </is>
      </c>
      <c r="D726" s="177" t="inlineStr">
        <is>
          <t>CM996</t>
        </is>
      </c>
      <c r="E726" s="177" t="inlineStr">
        <is>
          <t>ID295/75R22.5-16PR-I C ID</t>
        </is>
      </c>
      <c r="F726" s="131">
        <f>G726-2.75+3.13</f>
        <v/>
      </c>
      <c r="G726" s="131" t="n">
        <v>54.361</v>
      </c>
      <c r="H726" s="129" t="n">
        <v>53.92</v>
      </c>
      <c r="I726" s="130">
        <f>G726-H726</f>
        <v/>
      </c>
      <c r="J726" s="115">
        <f>_xlfn.TEXTJOIN("-",TRUE,B726,C726,D726)</f>
        <v/>
      </c>
      <c r="K726" s="184" t="n"/>
      <c r="L726" s="184" t="n"/>
      <c r="M726" s="184" t="n"/>
      <c r="N726" s="184" t="n"/>
      <c r="O726" s="184" t="n"/>
      <c r="P726" s="184" t="n"/>
      <c r="Q726" s="184" t="n"/>
      <c r="BB726" s="390">
        <f>_xlfn.TEXTJOIN("-",TRUE,AU726,AW726)</f>
        <v/>
      </c>
    </row>
    <row r="727">
      <c r="B727" s="123" t="inlineStr">
        <is>
          <t>295/75R22.5</t>
        </is>
      </c>
      <c r="C727" s="169" t="inlineStr">
        <is>
          <t>16PR</t>
        </is>
      </c>
      <c r="D727" s="177" t="inlineStr">
        <is>
          <t>RLINE-D2</t>
        </is>
      </c>
      <c r="E727" s="177" t="inlineStr">
        <is>
          <t>ID295/75R22.5-16PR-I C ID</t>
        </is>
      </c>
      <c r="F727" s="131">
        <f>G727-2.75+3.13</f>
        <v/>
      </c>
      <c r="G727" s="131" t="n">
        <v>54.361</v>
      </c>
      <c r="H727" s="129" t="n">
        <v>53.92</v>
      </c>
      <c r="I727" s="130">
        <f>G727-H727</f>
        <v/>
      </c>
      <c r="J727" s="115">
        <f>_xlfn.TEXTJOIN("-",TRUE,B727,C727,D727)</f>
        <v/>
      </c>
      <c r="K727" s="184" t="n"/>
      <c r="L727" s="184" t="n"/>
      <c r="M727" s="184" t="n"/>
      <c r="N727" s="184" t="n"/>
      <c r="O727" s="184" t="n"/>
      <c r="P727" s="184" t="n"/>
      <c r="Q727" s="184" t="n"/>
      <c r="BB727" s="390">
        <f>_xlfn.TEXTJOIN("-",TRUE,AU727,AW727)</f>
        <v/>
      </c>
    </row>
    <row r="728">
      <c r="B728" s="123" t="inlineStr">
        <is>
          <t>295/75R22.5</t>
        </is>
      </c>
      <c r="C728" s="169" t="inlineStr">
        <is>
          <t>16PR</t>
        </is>
      </c>
      <c r="D728" s="177" t="inlineStr">
        <is>
          <t>RLINE-D1</t>
        </is>
      </c>
      <c r="E728" s="177" t="inlineStr">
        <is>
          <t>ID295/75R22.5-16PR-I C ID</t>
        </is>
      </c>
      <c r="F728" s="131">
        <f>G728-2.75+3.13</f>
        <v/>
      </c>
      <c r="G728" s="131" t="n">
        <v>54.361</v>
      </c>
      <c r="H728" s="129" t="n">
        <v>53.92</v>
      </c>
      <c r="I728" s="130">
        <f>G728-H728</f>
        <v/>
      </c>
      <c r="J728" s="115">
        <f>_xlfn.TEXTJOIN("-",TRUE,B728,C728,D728)</f>
        <v/>
      </c>
      <c r="K728" s="184" t="n"/>
      <c r="L728" s="184" t="n"/>
      <c r="M728" s="184" t="n"/>
      <c r="N728" s="184" t="n"/>
      <c r="O728" s="184" t="n"/>
      <c r="P728" s="184" t="n"/>
      <c r="Q728" s="184" t="n"/>
      <c r="BB728" s="390">
        <f>_xlfn.TEXTJOIN("-",TRUE,AU728,AW728)</f>
        <v/>
      </c>
    </row>
    <row r="729">
      <c r="B729" s="123" t="inlineStr">
        <is>
          <t>295/75R22.5</t>
        </is>
      </c>
      <c r="C729" s="169" t="inlineStr">
        <is>
          <t>16PR</t>
        </is>
      </c>
      <c r="D729" s="177" t="inlineStr">
        <is>
          <t>HD1 Plus</t>
        </is>
      </c>
      <c r="E729" s="177" t="inlineStr">
        <is>
          <t>ID295/75R22.5-16PR-I C ID</t>
        </is>
      </c>
      <c r="F729" s="131">
        <f>G729-2.75+3.13</f>
        <v/>
      </c>
      <c r="G729" s="131" t="n">
        <v>54.361</v>
      </c>
      <c r="H729" s="129" t="n">
        <v>53.92</v>
      </c>
      <c r="I729" s="130">
        <f>G729-H729</f>
        <v/>
      </c>
      <c r="J729" s="115">
        <f>_xlfn.TEXTJOIN("-",TRUE,B729,C729,D729)</f>
        <v/>
      </c>
      <c r="K729" s="184" t="n"/>
      <c r="L729" s="184" t="n"/>
      <c r="M729" s="184" t="n"/>
      <c r="N729" s="184" t="n"/>
      <c r="O729" s="184" t="n"/>
      <c r="P729" s="184" t="n"/>
      <c r="Q729" s="184" t="n"/>
      <c r="BB729" s="390">
        <f>_xlfn.TEXTJOIN("-",TRUE,AU729,AW729)</f>
        <v/>
      </c>
    </row>
    <row r="730">
      <c r="B730" s="123" t="inlineStr">
        <is>
          <t>295/75R22.5</t>
        </is>
      </c>
      <c r="C730" s="169" t="inlineStr">
        <is>
          <t>16PR</t>
        </is>
      </c>
      <c r="D730" s="177" t="inlineStr">
        <is>
          <t>CR915</t>
        </is>
      </c>
      <c r="E730" s="177" t="inlineStr">
        <is>
          <t>ID295/75R22.5-16PR-C US ID</t>
        </is>
      </c>
      <c r="F730" s="131">
        <f>G730-2.75+3.14</f>
        <v/>
      </c>
      <c r="G730" s="131" t="n">
        <v>48.17</v>
      </c>
      <c r="H730" s="129" t="n">
        <v>48.16</v>
      </c>
      <c r="I730" s="130">
        <f>G730-H730</f>
        <v/>
      </c>
      <c r="J730" s="115">
        <f>_xlfn.TEXTJOIN("-",TRUE,B730,C730,D730)</f>
        <v/>
      </c>
      <c r="K730" s="184" t="n"/>
      <c r="L730" s="184" t="n"/>
      <c r="M730" s="184" t="n"/>
      <c r="N730" s="184" t="n"/>
      <c r="O730" s="184" t="n"/>
      <c r="P730" s="184" t="n"/>
      <c r="Q730" s="184" t="n"/>
      <c r="BB730" s="390">
        <f>_xlfn.TEXTJOIN("-",TRUE,AU730,AW730)</f>
        <v/>
      </c>
    </row>
    <row r="731">
      <c r="B731" s="123" t="inlineStr">
        <is>
          <t>295/75R22.5</t>
        </is>
      </c>
      <c r="C731" s="169" t="inlineStr">
        <is>
          <t>16PR</t>
        </is>
      </c>
      <c r="D731" s="177" t="inlineStr">
        <is>
          <t>I-460</t>
        </is>
      </c>
      <c r="E731" s="177" t="inlineStr">
        <is>
          <t>ID295/75R22.5-16PR-C US ID</t>
        </is>
      </c>
      <c r="F731" s="131">
        <f>G731-2.75+3.14</f>
        <v/>
      </c>
      <c r="G731" s="131" t="n">
        <v>48.17</v>
      </c>
      <c r="H731" s="129" t="n">
        <v>48.16</v>
      </c>
      <c r="I731" s="130">
        <f>G731-H731</f>
        <v/>
      </c>
      <c r="J731" s="115">
        <f>_xlfn.TEXTJOIN("-",TRUE,B731,C731,D731)</f>
        <v/>
      </c>
      <c r="K731" s="184" t="n"/>
      <c r="L731" s="184" t="n"/>
      <c r="M731" s="184" t="n"/>
      <c r="N731" s="184" t="n"/>
      <c r="O731" s="184" t="n"/>
      <c r="P731" s="184" t="n"/>
      <c r="Q731" s="184" t="n"/>
      <c r="BB731" s="390">
        <f>_xlfn.TEXTJOIN("-",TRUE,AU731,AW731)</f>
        <v/>
      </c>
    </row>
    <row r="732">
      <c r="B732" s="123" t="inlineStr">
        <is>
          <t>295/75R22.5</t>
        </is>
      </c>
      <c r="C732" s="169" t="inlineStr">
        <is>
          <t>16PR</t>
        </is>
      </c>
      <c r="D732" s="177" t="inlineStr">
        <is>
          <t>R-T1</t>
        </is>
      </c>
      <c r="E732" s="177" t="inlineStr">
        <is>
          <t>ID295/75R22.5-16PR-C US ID</t>
        </is>
      </c>
      <c r="F732" s="131">
        <f>G732-2.75+3.14</f>
        <v/>
      </c>
      <c r="G732" s="131" t="n">
        <v>48.17</v>
      </c>
      <c r="H732" s="129" t="n">
        <v>48.16</v>
      </c>
      <c r="I732" s="130">
        <f>G732-H732</f>
        <v/>
      </c>
      <c r="J732" s="115">
        <f>_xlfn.TEXTJOIN("-",TRUE,B732,C732,D732)</f>
        <v/>
      </c>
      <c r="K732" s="184" t="n"/>
      <c r="L732" s="184" t="n"/>
      <c r="M732" s="184" t="n"/>
      <c r="N732" s="184" t="n"/>
      <c r="O732" s="184" t="n"/>
      <c r="P732" s="184" t="n"/>
      <c r="Q732" s="184" t="n"/>
      <c r="BB732" s="390">
        <f>_xlfn.TEXTJOIN("-",TRUE,AU732,AW732)</f>
        <v/>
      </c>
    </row>
    <row r="733">
      <c r="B733" s="123" t="inlineStr">
        <is>
          <t>295/75R22.5</t>
        </is>
      </c>
      <c r="C733" s="169" t="inlineStr">
        <is>
          <t>16PR</t>
        </is>
      </c>
      <c r="D733" s="177" t="inlineStr">
        <is>
          <t>TP100</t>
        </is>
      </c>
      <c r="E733" s="177" t="inlineStr">
        <is>
          <t>ID295/75R22.5-16PR-C US ID</t>
        </is>
      </c>
      <c r="F733" s="131">
        <f>G733-2.75+3.14</f>
        <v/>
      </c>
      <c r="G733" s="131" t="n">
        <v>48.17</v>
      </c>
      <c r="H733" s="129" t="n">
        <v>48.16</v>
      </c>
      <c r="I733" s="130">
        <f>G733-H733</f>
        <v/>
      </c>
      <c r="J733" s="115">
        <f>_xlfn.TEXTJOIN("-",TRUE,B733,C733,D733)</f>
        <v/>
      </c>
      <c r="K733" s="184" t="n"/>
      <c r="L733" s="184" t="n"/>
      <c r="M733" s="184" t="n"/>
      <c r="N733" s="184" t="n"/>
      <c r="O733" s="184" t="n"/>
      <c r="P733" s="184" t="n"/>
      <c r="Q733" s="184" t="n"/>
      <c r="BB733" s="390">
        <f>_xlfn.TEXTJOIN("-",TRUE,AU733,AW733)</f>
        <v/>
      </c>
    </row>
    <row r="734">
      <c r="B734" s="123" t="inlineStr">
        <is>
          <t>295/75R22.5</t>
        </is>
      </c>
      <c r="C734" s="169" t="inlineStr">
        <is>
          <t>16PR</t>
        </is>
      </c>
      <c r="D734" s="177" t="inlineStr">
        <is>
          <t>DT916</t>
        </is>
      </c>
      <c r="E734" s="177" t="inlineStr">
        <is>
          <t>ID295/75R22.5-16PR-C US ID</t>
        </is>
      </c>
      <c r="F734" s="131">
        <f>G734-2.75+3.14</f>
        <v/>
      </c>
      <c r="G734" s="131" t="n">
        <v>48.17</v>
      </c>
      <c r="H734" s="129" t="n">
        <v>48.16</v>
      </c>
      <c r="I734" s="130">
        <f>G734-H734</f>
        <v/>
      </c>
      <c r="J734" s="115">
        <f>_xlfn.TEXTJOIN("-",TRUE,B734,C734,D734)</f>
        <v/>
      </c>
      <c r="K734" s="184" t="n"/>
      <c r="L734" s="184" t="n"/>
      <c r="M734" s="184" t="n"/>
      <c r="N734" s="184" t="n"/>
      <c r="O734" s="184" t="n"/>
      <c r="P734" s="184" t="n"/>
      <c r="Q734" s="184" t="n"/>
      <c r="BB734" s="390">
        <f>_xlfn.TEXTJOIN("-",TRUE,AU734,AW734)</f>
        <v/>
      </c>
    </row>
    <row r="735">
      <c r="B735" s="123" t="inlineStr">
        <is>
          <t>295/75R22.5</t>
        </is>
      </c>
      <c r="C735" s="169" t="inlineStr">
        <is>
          <t>16PR</t>
        </is>
      </c>
      <c r="D735" s="177" t="inlineStr">
        <is>
          <t>MHTL</t>
        </is>
      </c>
      <c r="E735" s="177" t="inlineStr">
        <is>
          <t>ID295/75R22.5-16PR-C US ID</t>
        </is>
      </c>
      <c r="F735" s="131">
        <f>G735-2.75+3.14</f>
        <v/>
      </c>
      <c r="G735" s="131" t="n">
        <v>48.17</v>
      </c>
      <c r="H735" s="129" t="n">
        <v>48.16</v>
      </c>
      <c r="I735" s="130">
        <f>G735-H735</f>
        <v/>
      </c>
      <c r="J735" s="115">
        <f>_xlfn.TEXTJOIN("-",TRUE,B735,C735,D735)</f>
        <v/>
      </c>
      <c r="K735" s="184" t="n"/>
      <c r="L735" s="184" t="n"/>
      <c r="M735" s="184" t="n"/>
      <c r="N735" s="184" t="n"/>
      <c r="O735" s="184" t="n"/>
      <c r="P735" s="184" t="n"/>
      <c r="Q735" s="184" t="n"/>
      <c r="BB735" s="390">
        <f>_xlfn.TEXTJOIN("-",TRUE,AU735,AW735)</f>
        <v/>
      </c>
    </row>
    <row r="736">
      <c r="B736" s="123" t="inlineStr">
        <is>
          <t>295/75R22.5</t>
        </is>
      </c>
      <c r="C736" s="169" t="inlineStr">
        <is>
          <t>16PR</t>
        </is>
      </c>
      <c r="D736" s="177" t="inlineStr">
        <is>
          <t>LHTZ 100</t>
        </is>
      </c>
      <c r="E736" s="177" t="inlineStr">
        <is>
          <t>ID295/75R22.5-16PR-C US ID</t>
        </is>
      </c>
      <c r="F736" s="131">
        <f>G736-2.75+3.14</f>
        <v/>
      </c>
      <c r="G736" s="131" t="n">
        <v>48.17</v>
      </c>
      <c r="H736" s="129" t="n">
        <v>48.16</v>
      </c>
      <c r="I736" s="130">
        <f>G736-H736</f>
        <v/>
      </c>
      <c r="J736" s="115">
        <f>_xlfn.TEXTJOIN("-",TRUE,B736,C736,D736)</f>
        <v/>
      </c>
      <c r="K736" s="184" t="n"/>
      <c r="L736" s="184" t="n"/>
      <c r="M736" s="184" t="n"/>
      <c r="N736" s="184" t="n"/>
      <c r="O736" s="184" t="n"/>
      <c r="P736" s="184" t="n"/>
      <c r="Q736" s="184" t="n"/>
      <c r="BB736" s="390">
        <f>_xlfn.TEXTJOIN("-",TRUE,AU736,AW736)</f>
        <v/>
      </c>
    </row>
    <row r="737">
      <c r="B737" s="123" t="inlineStr">
        <is>
          <t>295/75R22.5</t>
        </is>
      </c>
      <c r="C737" s="169" t="inlineStr">
        <is>
          <t>16PR</t>
        </is>
      </c>
      <c r="D737" s="177" t="inlineStr">
        <is>
          <t>H-RA</t>
        </is>
      </c>
      <c r="E737" s="177" t="inlineStr">
        <is>
          <t>ID295/75R22.5-16PR-H-RA US ID</t>
        </is>
      </c>
      <c r="F737" s="131">
        <f>G737-2.75+3.14</f>
        <v/>
      </c>
      <c r="G737" s="131" t="n">
        <v>51.27</v>
      </c>
      <c r="H737" s="129" t="n">
        <v>51.26</v>
      </c>
      <c r="I737" s="130">
        <f>G737-H737</f>
        <v/>
      </c>
      <c r="J737" s="115">
        <f>_xlfn.TEXTJOIN("-",TRUE,B737,C737,D737)</f>
        <v/>
      </c>
      <c r="K737" s="184" t="n"/>
      <c r="L737" s="184" t="n"/>
      <c r="M737" s="184" t="n"/>
      <c r="N737" s="184" t="n"/>
      <c r="O737" s="184" t="n"/>
      <c r="P737" s="184" t="n"/>
      <c r="Q737" s="184" t="n"/>
      <c r="BB737" s="390">
        <f>_xlfn.TEXTJOIN("-",TRUE,AU737,AW737)</f>
        <v/>
      </c>
    </row>
    <row r="738">
      <c r="B738" s="123" t="inlineStr">
        <is>
          <t>295/75R22.5</t>
        </is>
      </c>
      <c r="C738" s="169" t="inlineStr">
        <is>
          <t>16PR</t>
        </is>
      </c>
      <c r="D738" s="177" t="inlineStr">
        <is>
          <t>AZ599</t>
        </is>
      </c>
      <c r="E738" s="177" t="inlineStr">
        <is>
          <t>ID295/75R22.5-16PR-F C ID</t>
        </is>
      </c>
      <c r="F738" s="131">
        <f>G738-2.75+3.14</f>
        <v/>
      </c>
      <c r="G738" s="131" t="n">
        <v>51.29</v>
      </c>
      <c r="H738" s="129" t="n">
        <v>51.29</v>
      </c>
      <c r="I738" s="130">
        <f>G738-H738</f>
        <v/>
      </c>
      <c r="J738" s="115">
        <f>_xlfn.TEXTJOIN("-",TRUE,B738,C738,D738)</f>
        <v/>
      </c>
      <c r="K738" s="184" t="n"/>
      <c r="L738" s="184" t="n"/>
      <c r="M738" s="184" t="n"/>
      <c r="N738" s="184" t="n"/>
      <c r="O738" s="184" t="n"/>
      <c r="P738" s="184" t="n"/>
      <c r="Q738" s="184" t="n"/>
      <c r="BB738" s="390">
        <f>_xlfn.TEXTJOIN("-",TRUE,AU738,AW738)</f>
        <v/>
      </c>
    </row>
    <row r="739">
      <c r="B739" s="123" t="inlineStr">
        <is>
          <t>295/75R22.5</t>
        </is>
      </c>
      <c r="C739" s="169" t="inlineStr">
        <is>
          <t>16PR</t>
        </is>
      </c>
      <c r="D739" s="177" t="inlineStr">
        <is>
          <t>M-TRAC AP</t>
        </is>
      </c>
      <c r="E739" s="177" t="inlineStr">
        <is>
          <t>ID295/75R22.5-16PR-F C ID</t>
        </is>
      </c>
      <c r="F739" s="131">
        <f>G739-2.75+3.14</f>
        <v/>
      </c>
      <c r="G739" s="131" t="n">
        <v>51.29</v>
      </c>
      <c r="H739" s="129" t="n">
        <v>51.29</v>
      </c>
      <c r="I739" s="130">
        <f>G739-H739</f>
        <v/>
      </c>
      <c r="J739" s="115">
        <f>_xlfn.TEXTJOIN("-",TRUE,B739,C739,D739)</f>
        <v/>
      </c>
      <c r="K739" s="184" t="n"/>
      <c r="L739" s="184" t="n"/>
      <c r="M739" s="184" t="n"/>
      <c r="N739" s="184" t="n"/>
      <c r="O739" s="184" t="n"/>
      <c r="P739" s="184" t="n"/>
      <c r="Q739" s="184" t="n"/>
      <c r="BB739" s="390">
        <f>_xlfn.TEXTJOIN("-",TRUE,AU739,AW739)</f>
        <v/>
      </c>
    </row>
    <row r="740">
      <c r="B740" s="123" t="inlineStr">
        <is>
          <t>295/75R22.5</t>
        </is>
      </c>
      <c r="C740" s="169" t="inlineStr">
        <is>
          <t>16PR</t>
        </is>
      </c>
      <c r="D740" s="177" t="inlineStr">
        <is>
          <t>HF1 Plus</t>
        </is>
      </c>
      <c r="E740" s="177" t="inlineStr">
        <is>
          <t>ID295/75R22.5-16PR-F C ID</t>
        </is>
      </c>
      <c r="F740" s="131">
        <f>G740-2.75+3.14</f>
        <v/>
      </c>
      <c r="G740" s="131" t="n">
        <v>51.29</v>
      </c>
      <c r="H740" s="129" t="n">
        <v>51.29</v>
      </c>
      <c r="I740" s="130">
        <f>G740-H740</f>
        <v/>
      </c>
      <c r="J740" s="115">
        <f>_xlfn.TEXTJOIN("-",TRUE,B740,C740,D740)</f>
        <v/>
      </c>
      <c r="K740" s="184" t="n"/>
      <c r="L740" s="184" t="n"/>
      <c r="M740" s="184" t="n"/>
      <c r="N740" s="184" t="n"/>
      <c r="O740" s="184" t="n"/>
      <c r="P740" s="184" t="n"/>
      <c r="Q740" s="184" t="n"/>
      <c r="BB740" s="390">
        <f>_xlfn.TEXTJOIN("-",TRUE,AU740,AW740)</f>
        <v/>
      </c>
    </row>
    <row r="741">
      <c r="B741" s="123" t="inlineStr">
        <is>
          <t>295/75R22.5</t>
        </is>
      </c>
      <c r="C741" s="169" t="inlineStr">
        <is>
          <t>16PR</t>
        </is>
      </c>
      <c r="D741" s="177" t="inlineStr">
        <is>
          <t>VD998</t>
        </is>
      </c>
      <c r="E741" s="177" t="inlineStr">
        <is>
          <t>ID295/75R22.5-16PR-VD998 US ID</t>
        </is>
      </c>
      <c r="F741" s="131">
        <f>G741-2.75+3.14</f>
        <v/>
      </c>
      <c r="G741" s="131" t="n">
        <v>60.697</v>
      </c>
      <c r="H741" s="129" t="n">
        <v>60.13</v>
      </c>
      <c r="I741" s="130">
        <f>G741-H741</f>
        <v/>
      </c>
      <c r="J741" s="115">
        <f>_xlfn.TEXTJOIN("-",TRUE,B741,C741,D741)</f>
        <v/>
      </c>
      <c r="K741" s="184" t="n"/>
      <c r="L741" s="184" t="n"/>
      <c r="M741" s="184" t="n"/>
      <c r="N741" s="184" t="n"/>
      <c r="O741" s="184" t="n"/>
      <c r="P741" s="184" t="n"/>
      <c r="Q741" s="184" t="n"/>
      <c r="BB741" s="390">
        <f>_xlfn.TEXTJOIN("-",TRUE,AU741,AW741)</f>
        <v/>
      </c>
    </row>
    <row r="742">
      <c r="B742" s="123" t="inlineStr">
        <is>
          <t>295/75R22.5</t>
        </is>
      </c>
      <c r="C742" s="169" t="inlineStr">
        <is>
          <t>16PR</t>
        </is>
      </c>
      <c r="D742" s="177" t="inlineStr">
        <is>
          <t>I-48T</t>
        </is>
      </c>
      <c r="E742" s="177" t="inlineStr">
        <is>
          <t>ID295/75R22.5-16PR-G US C ID</t>
        </is>
      </c>
      <c r="F742" s="131">
        <f>G742-2.747+3.132</f>
        <v/>
      </c>
      <c r="G742" s="131" t="n">
        <v>48.16</v>
      </c>
      <c r="H742" s="129" t="n">
        <v>48.1</v>
      </c>
      <c r="I742" s="130">
        <f>G742-H742</f>
        <v/>
      </c>
      <c r="J742" s="115">
        <f>_xlfn.TEXTJOIN("-",TRUE,B742,C742,D742)</f>
        <v/>
      </c>
      <c r="K742" s="184" t="n"/>
      <c r="L742" s="184" t="n"/>
      <c r="M742" s="184" t="n"/>
      <c r="N742" s="184" t="n"/>
      <c r="O742" s="184" t="n"/>
      <c r="P742" s="184" t="n"/>
      <c r="Q742" s="184" t="n"/>
      <c r="BB742" s="390">
        <f>_xlfn.TEXTJOIN("-",TRUE,AU742,AW742)</f>
        <v/>
      </c>
    </row>
    <row r="743">
      <c r="B743" s="123" t="inlineStr">
        <is>
          <t>295/75R22.5</t>
        </is>
      </c>
      <c r="C743" s="169" t="inlineStr">
        <is>
          <t>16PR</t>
        </is>
      </c>
      <c r="D743" s="177" t="inlineStr">
        <is>
          <t>TRAIL T01</t>
        </is>
      </c>
      <c r="E743" s="177" t="inlineStr">
        <is>
          <t>ID295/75R22.5-16PR-G US C ID</t>
        </is>
      </c>
      <c r="F743" s="131">
        <f>G743-2.747+3.132</f>
        <v/>
      </c>
      <c r="G743" s="131" t="n">
        <v>48.16</v>
      </c>
      <c r="H743" s="129" t="n">
        <v>48.1</v>
      </c>
      <c r="I743" s="130">
        <f>G743-H743</f>
        <v/>
      </c>
      <c r="J743" s="115">
        <f>_xlfn.TEXTJOIN("-",TRUE,B743,C743,D743)</f>
        <v/>
      </c>
      <c r="K743" s="184" t="n"/>
      <c r="L743" s="184" t="n"/>
      <c r="M743" s="184" t="n"/>
      <c r="N743" s="184" t="n"/>
      <c r="O743" s="184" t="n"/>
      <c r="P743" s="184" t="n"/>
      <c r="Q743" s="184" t="n"/>
      <c r="BB743" s="390">
        <f>_xlfn.TEXTJOIN("-",TRUE,AU743,AW743)</f>
        <v/>
      </c>
    </row>
    <row r="744">
      <c r="B744" s="123" t="inlineStr">
        <is>
          <t>295/75R22.5</t>
        </is>
      </c>
      <c r="C744" s="169" t="inlineStr">
        <is>
          <t>14PR</t>
        </is>
      </c>
      <c r="D744" s="177" t="inlineStr">
        <is>
          <t>H-RD</t>
        </is>
      </c>
      <c r="E744" s="177" t="inlineStr">
        <is>
          <t>ID295/75R22.5-14PR-H-RD US ID</t>
        </is>
      </c>
      <c r="F744" s="131">
        <f>G744-2.75+3.14</f>
        <v/>
      </c>
      <c r="G744" s="131" t="n">
        <v>53.67</v>
      </c>
      <c r="H744" s="129" t="n">
        <v>53.66</v>
      </c>
      <c r="I744" s="130">
        <f>G744-H744</f>
        <v/>
      </c>
      <c r="J744" s="115">
        <f>_xlfn.TEXTJOIN("-",TRUE,B744,C744,D744)</f>
        <v/>
      </c>
      <c r="K744" s="184" t="n"/>
      <c r="L744" s="184" t="n"/>
      <c r="M744" s="184" t="n"/>
      <c r="N744" s="184" t="n"/>
      <c r="O744" s="184" t="n"/>
      <c r="P744" s="184" t="n"/>
      <c r="Q744" s="184" t="n"/>
      <c r="BB744" s="390">
        <f>_xlfn.TEXTJOIN("-",TRUE,AU744,AW744)</f>
        <v/>
      </c>
    </row>
    <row r="745">
      <c r="B745" s="123" t="inlineStr">
        <is>
          <t>295/75R22.5</t>
        </is>
      </c>
      <c r="C745" s="169" t="inlineStr">
        <is>
          <t>14PR</t>
        </is>
      </c>
      <c r="D745" s="177" t="inlineStr">
        <is>
          <t>I-61S</t>
        </is>
      </c>
      <c r="E745" s="177" t="inlineStr">
        <is>
          <t>ID295/75R22.5-14PR-Z US ID</t>
        </is>
      </c>
      <c r="F745" s="131">
        <f>G745-2.747+3.132</f>
        <v/>
      </c>
      <c r="G745" s="131" t="n">
        <v>51.099</v>
      </c>
      <c r="H745" s="129" t="n">
        <v>51.11</v>
      </c>
      <c r="I745" s="130">
        <f>G745-H745</f>
        <v/>
      </c>
      <c r="J745" s="115">
        <f>_xlfn.TEXTJOIN("-",TRUE,B745,C745,D745)</f>
        <v/>
      </c>
      <c r="K745" s="184" t="n"/>
      <c r="L745" s="184" t="n"/>
      <c r="M745" s="184" t="n"/>
      <c r="N745" s="184" t="n"/>
      <c r="O745" s="184" t="n"/>
      <c r="P745" s="184" t="n"/>
      <c r="Q745" s="184" t="n"/>
      <c r="BB745" s="390">
        <f>_xlfn.TEXTJOIN("-",TRUE,AU745,AW745)</f>
        <v/>
      </c>
    </row>
    <row r="746">
      <c r="B746" s="123" t="inlineStr">
        <is>
          <t>295/75R22.5</t>
        </is>
      </c>
      <c r="C746" s="169" t="inlineStr">
        <is>
          <t>14PR</t>
        </is>
      </c>
      <c r="D746" s="177" t="inlineStr">
        <is>
          <t>I-19A</t>
        </is>
      </c>
      <c r="E746" s="177" t="inlineStr">
        <is>
          <t>ID295/75R22.5-14PR-Z US ID</t>
        </is>
      </c>
      <c r="F746" s="131">
        <f>G746-2.747+3.132</f>
        <v/>
      </c>
      <c r="G746" s="131" t="n">
        <v>51.099</v>
      </c>
      <c r="H746" s="129" t="n">
        <v>51.11</v>
      </c>
      <c r="I746" s="130">
        <f>G746-H746</f>
        <v/>
      </c>
      <c r="J746" s="115">
        <f>_xlfn.TEXTJOIN("-",TRUE,B746,C746,D746)</f>
        <v/>
      </c>
      <c r="K746" s="184" t="n"/>
      <c r="L746" s="184" t="n"/>
      <c r="M746" s="184" t="n"/>
      <c r="N746" s="184" t="n"/>
      <c r="O746" s="184" t="n"/>
      <c r="P746" s="184" t="n"/>
      <c r="Q746" s="184" t="n"/>
      <c r="BB746" s="390">
        <f>_xlfn.TEXTJOIN("-",TRUE,AU746,AW746)</f>
        <v/>
      </c>
    </row>
    <row r="747">
      <c r="B747" s="123" t="inlineStr">
        <is>
          <t>295/75R22.5</t>
        </is>
      </c>
      <c r="C747" s="169" t="inlineStr">
        <is>
          <t>16PR</t>
        </is>
      </c>
      <c r="D747" s="177" t="inlineStr">
        <is>
          <t>AD716+</t>
        </is>
      </c>
      <c r="E747" s="177" t="inlineStr">
        <is>
          <t>ID295/75R22.5-16PR-AD716+ US ID</t>
        </is>
      </c>
      <c r="F747" s="131">
        <f>G747-2.75+3.14</f>
        <v/>
      </c>
      <c r="G747" s="131" t="n">
        <v>57.68</v>
      </c>
      <c r="H747" s="129" t="n">
        <v>57.68</v>
      </c>
      <c r="I747" s="130">
        <f>G747-H747</f>
        <v/>
      </c>
      <c r="J747" s="115">
        <f>_xlfn.TEXTJOIN("-",TRUE,B747,C747,D747)</f>
        <v/>
      </c>
      <c r="K747" s="184" t="n"/>
      <c r="L747" s="184" t="n"/>
      <c r="M747" s="184" t="n"/>
      <c r="N747" s="184" t="n"/>
      <c r="O747" s="184" t="n"/>
      <c r="P747" s="184" t="n"/>
      <c r="Q747" s="184" t="n"/>
      <c r="BB747" s="390">
        <f>_xlfn.TEXTJOIN("-",TRUE,AU747,AW747)</f>
        <v/>
      </c>
    </row>
    <row r="748">
      <c r="B748" s="123" t="inlineStr">
        <is>
          <t>295/75R22.5</t>
        </is>
      </c>
      <c r="C748" s="169" t="inlineStr">
        <is>
          <t>14PR</t>
        </is>
      </c>
      <c r="D748" s="177" t="inlineStr">
        <is>
          <t>H-TL</t>
        </is>
      </c>
      <c r="E748" s="177" t="inlineStr">
        <is>
          <t>ID295/75R22.5-14PR H-TL US ID</t>
        </is>
      </c>
      <c r="F748" s="131">
        <f>G748-2.75+3.14</f>
        <v/>
      </c>
      <c r="G748" s="131" t="n">
        <v>49.77</v>
      </c>
      <c r="H748" s="129" t="n">
        <v>49.77</v>
      </c>
      <c r="I748" s="130">
        <f>G748-H748</f>
        <v/>
      </c>
      <c r="J748" s="115">
        <f>_xlfn.TEXTJOIN("-",TRUE,B748,C748,D748)</f>
        <v/>
      </c>
      <c r="K748" s="184" t="n"/>
      <c r="L748" s="184" t="n"/>
      <c r="M748" s="184" t="n"/>
      <c r="N748" s="184" t="n"/>
      <c r="O748" s="184" t="n"/>
      <c r="P748" s="184" t="n"/>
      <c r="Q748" s="184" t="n"/>
      <c r="BB748" s="390">
        <f>_xlfn.TEXTJOIN("-",TRUE,AU748,AW748)</f>
        <v/>
      </c>
    </row>
    <row r="749">
      <c r="B749" s="123" t="inlineStr">
        <is>
          <t>295/75R22.5</t>
        </is>
      </c>
      <c r="C749" s="169" t="inlineStr">
        <is>
          <t>16PR</t>
        </is>
      </c>
      <c r="D749" s="125" t="inlineStr">
        <is>
          <t>I-28D</t>
        </is>
      </c>
      <c r="E749" s="177" t="inlineStr">
        <is>
          <t>ID295/75R22.5-16PR-J US C ID</t>
        </is>
      </c>
      <c r="F749" s="131">
        <f>G749-2.75+3.14</f>
        <v/>
      </c>
      <c r="G749" s="165" t="n">
        <v>57.38</v>
      </c>
      <c r="H749" s="211" t="n">
        <v>57.36</v>
      </c>
      <c r="I749" s="130">
        <f>G749-H749</f>
        <v/>
      </c>
      <c r="J749" s="115">
        <f>_xlfn.TEXTJOIN("-",TRUE,B749,C749,D749)</f>
        <v/>
      </c>
      <c r="K749" s="184" t="n"/>
      <c r="L749" s="184" t="n"/>
      <c r="M749" s="184" t="n"/>
      <c r="N749" s="184" t="n"/>
      <c r="O749" s="184" t="n"/>
      <c r="P749" s="184" t="n"/>
      <c r="Q749" s="184" t="n"/>
      <c r="BB749" s="390">
        <f>_xlfn.TEXTJOIN("-",TRUE,AU749,AW749)</f>
        <v/>
      </c>
    </row>
    <row r="750">
      <c r="B750" s="123" t="inlineStr">
        <is>
          <t>295/75R22.5</t>
        </is>
      </c>
      <c r="C750" s="169" t="inlineStr">
        <is>
          <t>16PR</t>
        </is>
      </c>
      <c r="D750" s="125" t="inlineStr">
        <is>
          <t>DOMINATE D01</t>
        </is>
      </c>
      <c r="E750" s="177" t="inlineStr">
        <is>
          <t>ID295/75R22.5-16PR-J US C ID</t>
        </is>
      </c>
      <c r="F750" s="131">
        <f>G750-2.75+3.14</f>
        <v/>
      </c>
      <c r="G750" s="165" t="n">
        <v>57.38</v>
      </c>
      <c r="H750" s="211" t="n">
        <v>57.36</v>
      </c>
      <c r="I750" s="130">
        <f>G750-H750</f>
        <v/>
      </c>
      <c r="J750" s="115">
        <f>_xlfn.TEXTJOIN("-",TRUE,B750,C750,D750)</f>
        <v/>
      </c>
      <c r="K750" s="184" t="n"/>
      <c r="L750" s="184" t="n"/>
      <c r="M750" s="184" t="n"/>
      <c r="N750" s="184" t="n"/>
      <c r="O750" s="184" t="n"/>
      <c r="P750" s="184" t="n"/>
      <c r="Q750" s="184" t="n"/>
      <c r="BB750" s="390">
        <f>_xlfn.TEXTJOIN("-",TRUE,AU750,AW750)</f>
        <v/>
      </c>
    </row>
    <row r="751">
      <c r="B751" s="206" t="n"/>
      <c r="C751" s="185" t="n"/>
      <c r="D751" s="185" t="n"/>
      <c r="E751" s="185" t="n"/>
      <c r="F751" s="212" t="n"/>
      <c r="G751" s="212" t="n"/>
      <c r="H751" s="185" t="n"/>
      <c r="I751" s="213" t="n"/>
      <c r="J751" s="115">
        <f>_xlfn.TEXTJOIN("-",TRUE,B751,C751,D751)</f>
        <v/>
      </c>
      <c r="K751" s="184" t="n"/>
      <c r="L751" s="184" t="n"/>
      <c r="M751" s="184" t="n"/>
      <c r="N751" s="184" t="n"/>
      <c r="O751" s="184" t="n"/>
      <c r="P751" s="184" t="n"/>
      <c r="Q751" s="184" t="n"/>
      <c r="BB751" s="390">
        <f>_xlfn.TEXTJOIN("-",TRUE,AU751,AW751)</f>
        <v/>
      </c>
    </row>
    <row r="752">
      <c r="B752" s="123" t="inlineStr">
        <is>
          <t>295/80R22.5</t>
        </is>
      </c>
      <c r="C752" s="177" t="inlineStr">
        <is>
          <t>18PR</t>
        </is>
      </c>
      <c r="D752" s="177" t="inlineStr">
        <is>
          <t>AS868pro</t>
        </is>
      </c>
      <c r="E752" s="177" t="inlineStr">
        <is>
          <t>295/80R22.5-18PR-A C ID</t>
        </is>
      </c>
      <c r="F752" s="131">
        <f>G752-4.173+5.253</f>
        <v/>
      </c>
      <c r="G752" s="131" t="n">
        <v>62.441</v>
      </c>
      <c r="H752" s="131" t="n">
        <v>62.6552</v>
      </c>
      <c r="I752" s="130">
        <f>G752-H752</f>
        <v/>
      </c>
      <c r="J752" s="115">
        <f>_xlfn.TEXTJOIN("-",TRUE,B752,C752,D752)</f>
        <v/>
      </c>
      <c r="K752" s="184" t="n"/>
      <c r="L752" s="184" t="n"/>
      <c r="M752" s="184" t="n"/>
      <c r="N752" s="184" t="n"/>
      <c r="O752" s="184" t="n"/>
      <c r="P752" s="184" t="n"/>
      <c r="Q752" s="184" t="n"/>
      <c r="BB752" s="390">
        <f>_xlfn.TEXTJOIN("-",TRUE,AU752,AW752)</f>
        <v/>
      </c>
    </row>
    <row r="753">
      <c r="B753" s="123" t="inlineStr">
        <is>
          <t>295/80R22.5</t>
        </is>
      </c>
      <c r="C753" s="177" t="inlineStr">
        <is>
          <t>18PR</t>
        </is>
      </c>
      <c r="D753" s="177" t="inlineStr">
        <is>
          <t>AS858pro</t>
        </is>
      </c>
      <c r="E753" s="177" t="inlineStr">
        <is>
          <t>295/80R22.5-18PR-A C ID</t>
        </is>
      </c>
      <c r="F753" s="131">
        <f>G753-4.173+5.253</f>
        <v/>
      </c>
      <c r="G753" s="131" t="n">
        <v>62.441</v>
      </c>
      <c r="H753" s="131" t="n">
        <v>62.6552</v>
      </c>
      <c r="I753" s="130">
        <f>G753-H753</f>
        <v/>
      </c>
      <c r="J753" s="115">
        <f>_xlfn.TEXTJOIN("-",TRUE,B753,C753,D753)</f>
        <v/>
      </c>
      <c r="K753" s="184" t="n"/>
      <c r="L753" s="184" t="n"/>
      <c r="M753" s="184" t="n"/>
      <c r="N753" s="184" t="n"/>
      <c r="O753" s="184" t="n"/>
      <c r="P753" s="184" t="n"/>
      <c r="Q753" s="184" t="n"/>
      <c r="BB753" s="390">
        <f>_xlfn.TEXTJOIN("-",TRUE,AU753,AW753)</f>
        <v/>
      </c>
    </row>
    <row r="754">
      <c r="B754" s="123" t="inlineStr">
        <is>
          <t>295/80R22.5</t>
        </is>
      </c>
      <c r="C754" s="177" t="inlineStr">
        <is>
          <t>18PR</t>
        </is>
      </c>
      <c r="D754" s="177" t="inlineStr">
        <is>
          <t>WSR1</t>
        </is>
      </c>
      <c r="E754" s="125" t="inlineStr">
        <is>
          <t>ID295/80R22.5-18PR-S C ID</t>
        </is>
      </c>
      <c r="F754" s="131">
        <f>G754-3.093+3.498</f>
        <v/>
      </c>
      <c r="G754" s="131" t="n">
        <v>61.288</v>
      </c>
      <c r="H754" s="131" t="n">
        <v>61.27</v>
      </c>
      <c r="I754" s="130">
        <f>G754-H754</f>
        <v/>
      </c>
      <c r="J754" s="115">
        <f>_xlfn.TEXTJOIN("-",TRUE,B754,C754,D754)</f>
        <v/>
      </c>
      <c r="K754" s="184" t="n"/>
      <c r="L754" s="184" t="n"/>
      <c r="M754" s="184" t="n"/>
      <c r="N754" s="184" t="n"/>
      <c r="O754" s="184" t="n"/>
      <c r="P754" s="184" t="n"/>
      <c r="Q754" s="184" t="n"/>
      <c r="BB754" s="390">
        <f>_xlfn.TEXTJOIN("-",TRUE,AU754,AW754)</f>
        <v/>
      </c>
    </row>
    <row r="755">
      <c r="B755" s="123" t="inlineStr">
        <is>
          <t>295/80R22.5</t>
        </is>
      </c>
      <c r="C755" s="177" t="inlineStr">
        <is>
          <t>18PR</t>
        </is>
      </c>
      <c r="D755" s="177" t="inlineStr">
        <is>
          <t>BRA06 PRO</t>
        </is>
      </c>
      <c r="E755" s="125" t="inlineStr">
        <is>
          <t>ID295/80R22.5-18PR-S C ID</t>
        </is>
      </c>
      <c r="F755" s="131">
        <f>G755-3.093+3.498</f>
        <v/>
      </c>
      <c r="G755" s="131" t="n">
        <v>61.288</v>
      </c>
      <c r="H755" s="131" t="n">
        <v>61.27</v>
      </c>
      <c r="I755" s="130">
        <f>G755-H755</f>
        <v/>
      </c>
      <c r="J755" s="115">
        <f>_xlfn.TEXTJOIN("-",TRUE,B755,C755,D755)</f>
        <v/>
      </c>
      <c r="K755" s="184" t="n"/>
      <c r="L755" s="184" t="n"/>
      <c r="M755" s="184" t="n"/>
      <c r="N755" s="184" t="n"/>
      <c r="O755" s="184" t="n"/>
      <c r="P755" s="184" t="n"/>
      <c r="Q755" s="184" t="n"/>
      <c r="BB755" s="390">
        <f>_xlfn.TEXTJOIN("-",TRUE,AU755,AW755)</f>
        <v/>
      </c>
    </row>
    <row r="756">
      <c r="B756" s="123" t="inlineStr">
        <is>
          <t>295/80R22.5</t>
        </is>
      </c>
      <c r="C756" s="177" t="inlineStr">
        <is>
          <t>18PR</t>
        </is>
      </c>
      <c r="D756" s="177" t="inlineStr">
        <is>
          <t>RF15</t>
        </is>
      </c>
      <c r="E756" s="125" t="inlineStr">
        <is>
          <t>ID295/80R22.5-18PR-S C ID</t>
        </is>
      </c>
      <c r="F756" s="131">
        <f>G756-3.093+3.498</f>
        <v/>
      </c>
      <c r="G756" s="131" t="n">
        <v>61.288</v>
      </c>
      <c r="H756" s="131" t="n">
        <v>61.27</v>
      </c>
      <c r="I756" s="130">
        <f>G756-H756</f>
        <v/>
      </c>
      <c r="J756" s="115">
        <f>_xlfn.TEXTJOIN("-",TRUE,B756,C756,D756)</f>
        <v/>
      </c>
      <c r="K756" s="184" t="n"/>
      <c r="L756" s="184" t="n"/>
      <c r="M756" s="184" t="n"/>
      <c r="N756" s="184" t="n"/>
      <c r="O756" s="184" t="n"/>
      <c r="P756" s="184" t="n"/>
      <c r="Q756" s="184" t="n"/>
      <c r="BB756" s="390">
        <f>_xlfn.TEXTJOIN("-",TRUE,AU756,AW756)</f>
        <v/>
      </c>
    </row>
    <row r="757">
      <c r="B757" s="123" t="inlineStr">
        <is>
          <t>295/80R22.5</t>
        </is>
      </c>
      <c r="C757" s="177" t="inlineStr">
        <is>
          <t>18PR</t>
        </is>
      </c>
      <c r="D757" s="177" t="inlineStr">
        <is>
          <t>GSR1</t>
        </is>
      </c>
      <c r="E757" s="125" t="inlineStr">
        <is>
          <t>ID295/80R22.5-18PR-S C ID</t>
        </is>
      </c>
      <c r="F757" s="131">
        <f>G757-3.093+3.498</f>
        <v/>
      </c>
      <c r="G757" s="131" t="n">
        <v>61.288</v>
      </c>
      <c r="H757" s="131" t="n">
        <v>61.27</v>
      </c>
      <c r="I757" s="130">
        <f>G757-H757</f>
        <v/>
      </c>
      <c r="J757" s="115">
        <f>_xlfn.TEXTJOIN("-",TRUE,B757,C757,D757)</f>
        <v/>
      </c>
      <c r="K757" s="184" t="n"/>
      <c r="L757" s="184" t="n"/>
      <c r="M757" s="184" t="n"/>
      <c r="N757" s="184" t="n"/>
      <c r="O757" s="184" t="n"/>
      <c r="P757" s="184" t="n"/>
      <c r="Q757" s="184" t="n"/>
      <c r="BB757" s="390">
        <f>_xlfn.TEXTJOIN("-",TRUE,AU757,AW757)</f>
        <v/>
      </c>
    </row>
    <row r="758">
      <c r="B758" s="123" t="inlineStr">
        <is>
          <t>295/80R22.5</t>
        </is>
      </c>
      <c r="C758" s="177" t="inlineStr">
        <is>
          <t>18PR</t>
        </is>
      </c>
      <c r="D758" s="177" t="inlineStr">
        <is>
          <t>CM958</t>
        </is>
      </c>
      <c r="E758" s="177" t="inlineStr">
        <is>
          <t>ID295/80R22.5-18PR-CM958 C ID</t>
        </is>
      </c>
      <c r="F758" s="131">
        <f>G758-3.093+3.498</f>
        <v/>
      </c>
      <c r="G758" s="131" t="n">
        <v>63.264</v>
      </c>
      <c r="H758" s="131" t="n">
        <v>63.03</v>
      </c>
      <c r="I758" s="130">
        <f>G758-H758</f>
        <v/>
      </c>
      <c r="J758" s="115">
        <f>_xlfn.TEXTJOIN("-",TRUE,B758,C758,D758)</f>
        <v/>
      </c>
      <c r="K758" s="184" t="n"/>
      <c r="L758" s="184" t="n"/>
      <c r="M758" s="184" t="n"/>
      <c r="N758" s="184" t="n"/>
      <c r="O758" s="184" t="n"/>
      <c r="P758" s="184" t="n"/>
      <c r="Q758" s="184" t="n"/>
      <c r="BB758" s="390">
        <f>_xlfn.TEXTJOIN("-",TRUE,AU758,AW758)</f>
        <v/>
      </c>
    </row>
    <row r="759">
      <c r="B759" s="123" t="inlineStr">
        <is>
          <t>295/80R22.5</t>
        </is>
      </c>
      <c r="C759" s="177" t="inlineStr">
        <is>
          <t>18PR</t>
        </is>
      </c>
      <c r="D759" s="177" t="inlineStr">
        <is>
          <t>AS898</t>
        </is>
      </c>
      <c r="E759" s="125" t="inlineStr">
        <is>
          <t>295/80R22.5-18PR-ASO SE C ID</t>
        </is>
      </c>
      <c r="F759" s="131">
        <f>G759-3.09+3.5</f>
        <v/>
      </c>
      <c r="G759" s="131" t="n">
        <v>63.295</v>
      </c>
      <c r="H759" s="131" t="n">
        <v>63.07</v>
      </c>
      <c r="I759" s="130">
        <f>G759-H759</f>
        <v/>
      </c>
      <c r="J759" s="115">
        <f>_xlfn.TEXTJOIN("-",TRUE,B759,C759,D759)</f>
        <v/>
      </c>
      <c r="K759" s="184" t="n"/>
      <c r="L759" s="184" t="n"/>
      <c r="M759" s="184" t="n"/>
      <c r="N759" s="184" t="n"/>
      <c r="O759" s="184" t="n"/>
      <c r="P759" s="184" t="n"/>
      <c r="Q759" s="184" t="n"/>
      <c r="BB759" s="390">
        <f>_xlfn.TEXTJOIN("-",TRUE,AU759,AW759)</f>
        <v/>
      </c>
    </row>
    <row r="760">
      <c r="B760" s="123" t="inlineStr">
        <is>
          <t>295/80R22.5</t>
        </is>
      </c>
      <c r="C760" s="177" t="inlineStr">
        <is>
          <t>18PR</t>
        </is>
      </c>
      <c r="D760" s="177" t="inlineStr">
        <is>
          <t>CR976A</t>
        </is>
      </c>
      <c r="E760" s="125" t="inlineStr">
        <is>
          <t>295/80R22.5-18PR-CRG C ID</t>
        </is>
      </c>
      <c r="F760" s="207">
        <f>G760-2.688+3.093</f>
        <v/>
      </c>
      <c r="G760" s="207" t="n">
        <v>53.862</v>
      </c>
      <c r="H760" s="207" t="n">
        <v>53.69</v>
      </c>
      <c r="I760" s="130">
        <f>G760-H760</f>
        <v/>
      </c>
      <c r="J760" s="115">
        <f>_xlfn.TEXTJOIN("-",TRUE,B760,C760,D760)</f>
        <v/>
      </c>
      <c r="K760" s="184" t="n"/>
      <c r="L760" s="184" t="n"/>
      <c r="M760" s="184" t="n"/>
      <c r="N760" s="184" t="n"/>
      <c r="O760" s="184" t="n"/>
      <c r="P760" s="184" t="n"/>
      <c r="Q760" s="184" t="n"/>
      <c r="BB760" s="390">
        <f>_xlfn.TEXTJOIN("-",TRUE,AU760,AW760)</f>
        <v/>
      </c>
    </row>
    <row r="761">
      <c r="B761" s="123" t="inlineStr">
        <is>
          <t>295/80R22.5</t>
        </is>
      </c>
      <c r="C761" s="177" t="inlineStr">
        <is>
          <t>18PR</t>
        </is>
      </c>
      <c r="D761" s="177" t="inlineStr">
        <is>
          <t>G-PERFORM S</t>
        </is>
      </c>
      <c r="E761" s="125" t="inlineStr">
        <is>
          <t>295/80R22.5-18PR-CRG C ID</t>
        </is>
      </c>
      <c r="F761" s="207">
        <f>G761-2.688+3.093</f>
        <v/>
      </c>
      <c r="G761" s="207" t="n">
        <v>53.862</v>
      </c>
      <c r="H761" s="207" t="n">
        <v>53.69</v>
      </c>
      <c r="I761" s="130">
        <f>G761-H761</f>
        <v/>
      </c>
      <c r="J761" s="115">
        <f>_xlfn.TEXTJOIN("-",TRUE,B761,C761,D761)</f>
        <v/>
      </c>
      <c r="K761" s="184" t="n"/>
      <c r="L761" s="184" t="n"/>
      <c r="M761" s="184" t="n"/>
      <c r="N761" s="184" t="n"/>
      <c r="O761" s="184" t="n"/>
      <c r="P761" s="184" t="n"/>
      <c r="Q761" s="184" t="n"/>
      <c r="BB761" s="390">
        <f>_xlfn.TEXTJOIN("-",TRUE,AU761,AW761)</f>
        <v/>
      </c>
    </row>
    <row r="762">
      <c r="B762" s="123" t="inlineStr">
        <is>
          <t>295/80R22.5</t>
        </is>
      </c>
      <c r="C762" s="177" t="inlineStr">
        <is>
          <t>18PR</t>
        </is>
      </c>
      <c r="D762" s="126" t="inlineStr">
        <is>
          <t>CM987pro</t>
        </is>
      </c>
      <c r="E762" s="177" t="inlineStr">
        <is>
          <t>295/80R22.5-18PR-CM987pro C ID</t>
        </is>
      </c>
      <c r="F762" s="128">
        <f>G762-3.093+3.498</f>
        <v/>
      </c>
      <c r="G762" s="131" t="n">
        <v>63.663</v>
      </c>
      <c r="H762" s="131" t="n">
        <v>63.16</v>
      </c>
      <c r="I762" s="130">
        <f>G762-H762</f>
        <v/>
      </c>
      <c r="J762" s="115">
        <f>_xlfn.TEXTJOIN("-",TRUE,B762,C762,D762)</f>
        <v/>
      </c>
      <c r="K762" s="184" t="n"/>
      <c r="L762" s="184" t="n"/>
      <c r="M762" s="184" t="n"/>
      <c r="N762" s="184" t="n"/>
      <c r="O762" s="184" t="n"/>
      <c r="P762" s="184" t="n"/>
      <c r="Q762" s="184" t="n"/>
      <c r="BB762" s="390">
        <f>_xlfn.TEXTJOIN("-",TRUE,AU762,AW762)</f>
        <v/>
      </c>
    </row>
    <row r="763">
      <c r="B763" s="123" t="inlineStr">
        <is>
          <t>295/80R22.5</t>
        </is>
      </c>
      <c r="C763" s="177" t="inlineStr">
        <is>
          <t>18PR</t>
        </is>
      </c>
      <c r="D763" s="126" t="inlineStr">
        <is>
          <t>AD733</t>
        </is>
      </c>
      <c r="E763" s="141" t="inlineStr">
        <is>
          <t>295/80R22.5-18PR-AA C ID</t>
        </is>
      </c>
      <c r="F763" s="131">
        <f>G763-3.093+3.498</f>
        <v/>
      </c>
      <c r="G763" s="131" t="n">
        <v>63.549</v>
      </c>
      <c r="H763" s="131" t="n">
        <v>63.36</v>
      </c>
      <c r="I763" s="130">
        <f>G763-H763</f>
        <v/>
      </c>
      <c r="J763" s="115">
        <f>_xlfn.TEXTJOIN("-",TRUE,B763,C763,D763)</f>
        <v/>
      </c>
      <c r="K763" s="184" t="n"/>
      <c r="L763" s="184" t="n"/>
      <c r="M763" s="184" t="n"/>
      <c r="N763" s="184" t="n"/>
      <c r="O763" s="184" t="n"/>
      <c r="P763" s="184" t="n"/>
      <c r="Q763" s="184" t="n"/>
      <c r="R763" s="184" t="n"/>
      <c r="BB763" s="390">
        <f>_xlfn.TEXTJOIN("-",TRUE,AU763,AW763)</f>
        <v/>
      </c>
    </row>
    <row r="764">
      <c r="B764" s="123" t="inlineStr">
        <is>
          <t>295/80R22.5</t>
        </is>
      </c>
      <c r="C764" s="177" t="inlineStr">
        <is>
          <t>18PR</t>
        </is>
      </c>
      <c r="D764" s="177" t="inlineStr">
        <is>
          <t>AD818</t>
        </is>
      </c>
      <c r="E764" s="171" t="inlineStr">
        <is>
          <t>295/80R22.5-18PR-AA C ID</t>
        </is>
      </c>
      <c r="F764" s="131">
        <f>G764-3.093+3.498</f>
        <v/>
      </c>
      <c r="G764" s="131" t="n">
        <v>63.549</v>
      </c>
      <c r="H764" s="131" t="n">
        <v>63.36</v>
      </c>
      <c r="I764" s="130">
        <f>G764-H764</f>
        <v/>
      </c>
      <c r="J764" s="115">
        <f>_xlfn.TEXTJOIN("-",TRUE,B764,C764,D764)</f>
        <v/>
      </c>
      <c r="K764" s="184" t="n"/>
      <c r="L764" s="184" t="n"/>
      <c r="M764" s="184" t="n"/>
      <c r="N764" s="184" t="n"/>
      <c r="O764" s="184" t="n"/>
      <c r="P764" s="184" t="n"/>
      <c r="Q764" s="184" t="n"/>
      <c r="R764" s="184" t="n"/>
      <c r="BB764" s="390">
        <f>_xlfn.TEXTJOIN("-",TRUE,AU764,AW764)</f>
        <v/>
      </c>
    </row>
    <row r="765">
      <c r="B765" s="123" t="inlineStr">
        <is>
          <t>295/80R22.5</t>
        </is>
      </c>
      <c r="C765" s="177" t="inlineStr">
        <is>
          <t>18PR</t>
        </is>
      </c>
      <c r="D765" s="177" t="inlineStr">
        <is>
          <t>G-PRO D</t>
        </is>
      </c>
      <c r="E765" s="125" t="inlineStr">
        <is>
          <t>295/80R22.5-18PR-AA C ID</t>
        </is>
      </c>
      <c r="F765" s="131">
        <f>G765-3.093+3.498</f>
        <v/>
      </c>
      <c r="G765" s="131" t="n">
        <v>63.549</v>
      </c>
      <c r="H765" s="131" t="n">
        <v>63.36</v>
      </c>
      <c r="I765" s="130">
        <f>G765-H765</f>
        <v/>
      </c>
      <c r="J765" s="115">
        <f>_xlfn.TEXTJOIN("-",TRUE,B765,C765,D765)</f>
        <v/>
      </c>
      <c r="K765" s="184" t="n"/>
      <c r="L765" s="184" t="n"/>
      <c r="M765" s="184" t="n"/>
      <c r="N765" s="184" t="n"/>
      <c r="O765" s="184" t="n"/>
      <c r="P765" s="184" t="n"/>
      <c r="Q765" s="184" t="n"/>
      <c r="BB765" s="390">
        <f>_xlfn.TEXTJOIN("-",TRUE,AU765,AW765)</f>
        <v/>
      </c>
    </row>
    <row r="766">
      <c r="B766" s="123" t="inlineStr">
        <is>
          <t>295/80R22.5</t>
        </is>
      </c>
      <c r="C766" s="177" t="inlineStr">
        <is>
          <t>18PR</t>
        </is>
      </c>
      <c r="D766" s="177" t="inlineStr">
        <is>
          <t>MD777</t>
        </is>
      </c>
      <c r="E766" s="125" t="inlineStr">
        <is>
          <t>295/80R22.5-18PR-MDO C ID</t>
        </is>
      </c>
      <c r="F766" s="131">
        <f>G766-2.688+3.093</f>
        <v/>
      </c>
      <c r="G766" s="131" t="n">
        <v>64.244</v>
      </c>
      <c r="H766" s="131" t="n">
        <v>63.59</v>
      </c>
      <c r="I766" s="130">
        <f>G766-H766</f>
        <v/>
      </c>
      <c r="J766" s="115">
        <f>_xlfn.TEXTJOIN("-",TRUE,B766,C766,D766)</f>
        <v/>
      </c>
      <c r="K766" s="184" t="n"/>
      <c r="L766" s="184" t="n"/>
      <c r="M766" s="184" t="n"/>
      <c r="N766" s="184" t="n"/>
      <c r="O766" s="184" t="n"/>
      <c r="P766" s="184" t="n"/>
      <c r="Q766" s="184" t="n"/>
      <c r="BB766" s="390">
        <f>_xlfn.TEXTJOIN("-",TRUE,AU766,AW766)</f>
        <v/>
      </c>
    </row>
    <row r="767">
      <c r="B767" s="123" t="inlineStr">
        <is>
          <t>295/80R22.5</t>
        </is>
      </c>
      <c r="C767" s="177" t="inlineStr">
        <is>
          <t>18PR</t>
        </is>
      </c>
      <c r="D767" s="177" t="inlineStr">
        <is>
          <t>G-PRO MSD</t>
        </is>
      </c>
      <c r="E767" s="125" t="inlineStr">
        <is>
          <t>295/80R22.5-18PR-MDO C ID</t>
        </is>
      </c>
      <c r="F767" s="131">
        <f>G767-2.688+3.093</f>
        <v/>
      </c>
      <c r="G767" s="131" t="n">
        <v>64.244</v>
      </c>
      <c r="H767" s="131" t="n">
        <v>63.59</v>
      </c>
      <c r="I767" s="130">
        <f>G767-H767</f>
        <v/>
      </c>
      <c r="J767" s="115">
        <f>_xlfn.TEXTJOIN("-",TRUE,B767,C767,D767)</f>
        <v/>
      </c>
      <c r="K767" s="184" t="n"/>
      <c r="L767" s="184" t="n"/>
      <c r="M767" s="184" t="n"/>
      <c r="N767" s="184" t="n"/>
      <c r="O767" s="184" t="n"/>
      <c r="P767" s="184" t="n"/>
      <c r="Q767" s="184" t="n"/>
      <c r="BB767" s="390">
        <f>_xlfn.TEXTJOIN("-",TRUE,AU767,AW767)</f>
        <v/>
      </c>
    </row>
    <row r="768">
      <c r="B768" s="123" t="inlineStr">
        <is>
          <t>295/80R22.5</t>
        </is>
      </c>
      <c r="C768" s="177" t="inlineStr">
        <is>
          <t>18PR</t>
        </is>
      </c>
      <c r="D768" s="177" t="inlineStr">
        <is>
          <t>BMD06 PRO</t>
        </is>
      </c>
      <c r="E768" s="125" t="inlineStr">
        <is>
          <t>295/80R22.5-18PR-MDO C ID</t>
        </is>
      </c>
      <c r="F768" s="131">
        <f>G768-2.688+3.093</f>
        <v/>
      </c>
      <c r="G768" s="131" t="n">
        <v>64.244</v>
      </c>
      <c r="H768" s="131" t="n">
        <v>63.59</v>
      </c>
      <c r="I768" s="130">
        <f>G768-H768</f>
        <v/>
      </c>
      <c r="J768" s="115">
        <f>_xlfn.TEXTJOIN("-",TRUE,B768,C768,D768)</f>
        <v/>
      </c>
      <c r="K768" s="184" t="n"/>
      <c r="L768" s="184" t="n"/>
      <c r="M768" s="184" t="n"/>
      <c r="N768" s="184" t="n"/>
      <c r="O768" s="184" t="n"/>
      <c r="P768" s="184" t="n"/>
      <c r="Q768" s="184" t="n"/>
      <c r="BB768" s="390">
        <f>_xlfn.TEXTJOIN("-",TRUE,AU768,AW768)</f>
        <v/>
      </c>
    </row>
    <row r="769">
      <c r="B769" s="123" t="inlineStr">
        <is>
          <t>295/80R22.5</t>
        </is>
      </c>
      <c r="C769" s="177" t="inlineStr">
        <is>
          <t>18PR</t>
        </is>
      </c>
      <c r="D769" s="177" t="inlineStr">
        <is>
          <t>TRAX D-I</t>
        </is>
      </c>
      <c r="E769" s="125" t="inlineStr">
        <is>
          <t>295/80R22.5-18PR-MDO C ID</t>
        </is>
      </c>
      <c r="F769" s="131">
        <f>G769-2.688+3.093</f>
        <v/>
      </c>
      <c r="G769" s="131" t="n">
        <v>64.244</v>
      </c>
      <c r="H769" s="131" t="n">
        <v>63.59</v>
      </c>
      <c r="I769" s="130">
        <f>G769-H769</f>
        <v/>
      </c>
      <c r="J769" s="115">
        <f>_xlfn.TEXTJOIN("-",TRUE,B769,C769,D769)</f>
        <v/>
      </c>
      <c r="K769" s="184" t="n"/>
      <c r="L769" s="184" t="n"/>
      <c r="M769" s="184" t="n"/>
      <c r="N769" s="184" t="n"/>
      <c r="O769" s="184" t="n"/>
      <c r="P769" s="184" t="n"/>
      <c r="Q769" s="184" t="n"/>
      <c r="BB769" s="390">
        <f>_xlfn.TEXTJOIN("-",TRUE,AU769,AW769)</f>
        <v/>
      </c>
    </row>
    <row r="770">
      <c r="B770" s="123" t="inlineStr">
        <is>
          <t>295/80R22.5</t>
        </is>
      </c>
      <c r="C770" s="177" t="inlineStr">
        <is>
          <t>18PR</t>
        </is>
      </c>
      <c r="D770" s="177" t="inlineStr">
        <is>
          <t>EZ573</t>
        </is>
      </c>
      <c r="E770" s="125" t="inlineStr">
        <is>
          <t>295/80R22.5-18PR-EZO C ID</t>
        </is>
      </c>
      <c r="F770" s="131">
        <f>G770-2.69+3.09</f>
        <v/>
      </c>
      <c r="G770" s="131" t="n">
        <v>55.44</v>
      </c>
      <c r="H770" s="131" t="n">
        <v>55.41</v>
      </c>
      <c r="I770" s="130">
        <f>G770-H770</f>
        <v/>
      </c>
      <c r="J770" s="115">
        <f>_xlfn.TEXTJOIN("-",TRUE,B770,C770,D770)</f>
        <v/>
      </c>
      <c r="K770" s="184" t="n"/>
      <c r="L770" s="184" t="n"/>
      <c r="M770" s="184" t="n"/>
      <c r="N770" s="184" t="n"/>
      <c r="O770" s="184" t="n"/>
      <c r="P770" s="184" t="n"/>
      <c r="Q770" s="184" t="n"/>
      <c r="BB770" s="390">
        <f>_xlfn.TEXTJOIN("-",TRUE,AU770,AW770)</f>
        <v/>
      </c>
    </row>
    <row r="771">
      <c r="B771" s="123" t="inlineStr">
        <is>
          <t>295/80R22.5</t>
        </is>
      </c>
      <c r="C771" s="177" t="inlineStr">
        <is>
          <t>18PR</t>
        </is>
      </c>
      <c r="D771" s="177" t="inlineStr">
        <is>
          <t>G-PRO MSA</t>
        </is>
      </c>
      <c r="E771" s="125" t="inlineStr">
        <is>
          <t>295/80R22.5-18PR-EZO C ID</t>
        </is>
      </c>
      <c r="F771" s="131">
        <f>G771-2.69+3.09</f>
        <v/>
      </c>
      <c r="G771" s="131" t="n">
        <v>55.44</v>
      </c>
      <c r="H771" s="131" t="n">
        <v>55.41</v>
      </c>
      <c r="I771" s="130">
        <f>G771-H771</f>
        <v/>
      </c>
      <c r="J771" s="115">
        <f>_xlfn.TEXTJOIN("-",TRUE,B771,C771,D771)</f>
        <v/>
      </c>
      <c r="K771" s="184" t="n"/>
      <c r="L771" s="184" t="n"/>
      <c r="M771" s="184" t="n"/>
      <c r="N771" s="184" t="n"/>
      <c r="O771" s="184" t="n"/>
      <c r="P771" s="184" t="n"/>
      <c r="Q771" s="184" t="n"/>
      <c r="BB771" s="390">
        <f>_xlfn.TEXTJOIN("-",TRUE,AU771,AW771)</f>
        <v/>
      </c>
    </row>
    <row r="772">
      <c r="B772" s="123" t="inlineStr">
        <is>
          <t>295/80R22.5</t>
        </is>
      </c>
      <c r="C772" s="177" t="inlineStr">
        <is>
          <t>18PR</t>
        </is>
      </c>
      <c r="D772" s="177" t="inlineStr">
        <is>
          <t>NMIX Z-II</t>
        </is>
      </c>
      <c r="E772" s="125" t="inlineStr">
        <is>
          <t>295/80R22.5-18PR-EZO C ID</t>
        </is>
      </c>
      <c r="F772" s="131">
        <f>G772-2.69+3.09</f>
        <v/>
      </c>
      <c r="G772" s="131" t="n">
        <v>55.44</v>
      </c>
      <c r="H772" s="131" t="n">
        <v>55.41</v>
      </c>
      <c r="I772" s="130">
        <f>G772-H772</f>
        <v/>
      </c>
      <c r="J772" s="115">
        <f>_xlfn.TEXTJOIN("-",TRUE,B772,C772,D772)</f>
        <v/>
      </c>
      <c r="K772" s="184" t="n"/>
      <c r="L772" s="184" t="n"/>
      <c r="M772" s="184" t="n"/>
      <c r="N772" s="184" t="n"/>
      <c r="O772" s="184" t="n"/>
      <c r="P772" s="184" t="n"/>
      <c r="Q772" s="184" t="n"/>
      <c r="BB772" s="390">
        <f>_xlfn.TEXTJOIN("-",TRUE,AU772,AW772)</f>
        <v/>
      </c>
    </row>
    <row r="773">
      <c r="B773" s="123" t="inlineStr">
        <is>
          <t>295/80R22.5</t>
        </is>
      </c>
      <c r="C773" s="177" t="inlineStr">
        <is>
          <t>18PR</t>
        </is>
      </c>
      <c r="D773" s="177" t="inlineStr">
        <is>
          <t>AD153</t>
        </is>
      </c>
      <c r="E773" s="125" t="inlineStr">
        <is>
          <t>295/80R22.5-18PR-ADM J ID</t>
        </is>
      </c>
      <c r="F773" s="131">
        <f>G773-2.688+3.093</f>
        <v/>
      </c>
      <c r="G773" s="131" t="n">
        <v>56.513</v>
      </c>
      <c r="H773" s="131" t="n">
        <v>56.48</v>
      </c>
      <c r="I773" s="130">
        <f>G773-H773</f>
        <v/>
      </c>
      <c r="J773" s="115">
        <f>_xlfn.TEXTJOIN("-",TRUE,B773,C773,D773)</f>
        <v/>
      </c>
      <c r="K773" s="184" t="n"/>
      <c r="L773" s="184" t="n"/>
      <c r="M773" s="184" t="n"/>
      <c r="N773" s="184" t="n"/>
      <c r="O773" s="184" t="n"/>
      <c r="P773" s="184" t="n"/>
      <c r="Q773" s="184" t="n"/>
      <c r="BB773" s="390">
        <f>_xlfn.TEXTJOIN("-",TRUE,AU773,AW773)</f>
        <v/>
      </c>
    </row>
    <row r="774">
      <c r="B774" s="123" t="inlineStr">
        <is>
          <t>295/80R22.5</t>
        </is>
      </c>
      <c r="C774" s="177" t="inlineStr">
        <is>
          <t>18PR</t>
        </is>
      </c>
      <c r="D774" s="177" t="inlineStr">
        <is>
          <t>G-PERFORM D</t>
        </is>
      </c>
      <c r="E774" s="125" t="inlineStr">
        <is>
          <t>295/80R22.5-18PR-ADM J ID</t>
        </is>
      </c>
      <c r="F774" s="131">
        <f>G774-2.688+3.093</f>
        <v/>
      </c>
      <c r="G774" s="131" t="n">
        <v>56.513</v>
      </c>
      <c r="H774" s="131" t="n">
        <v>56.48</v>
      </c>
      <c r="I774" s="130">
        <f>G774-H774</f>
        <v/>
      </c>
      <c r="J774" s="115">
        <f>_xlfn.TEXTJOIN("-",TRUE,B774,C774,D774)</f>
        <v/>
      </c>
      <c r="K774" s="184" t="n"/>
      <c r="L774" s="184" t="n"/>
      <c r="M774" s="184" t="n"/>
      <c r="N774" s="184" t="n"/>
      <c r="O774" s="184" t="n"/>
      <c r="P774" s="184" t="n"/>
      <c r="Q774" s="184" t="n"/>
      <c r="BB774" s="390">
        <f>_xlfn.TEXTJOIN("-",TRUE,AU774,AW774)</f>
        <v/>
      </c>
    </row>
    <row r="775">
      <c r="B775" s="123" t="inlineStr">
        <is>
          <t>295/80R22.5</t>
        </is>
      </c>
      <c r="C775" s="177" t="inlineStr">
        <is>
          <t>18PR</t>
        </is>
      </c>
      <c r="D775" s="177" t="inlineStr">
        <is>
          <t>BRD02 ECO</t>
        </is>
      </c>
      <c r="E775" s="125" t="inlineStr">
        <is>
          <t>295/80R22.5-18PR-ADM J ID</t>
        </is>
      </c>
      <c r="F775" s="131">
        <f>G775-2.688+3.093</f>
        <v/>
      </c>
      <c r="G775" s="131" t="n">
        <v>56.513</v>
      </c>
      <c r="H775" s="131" t="n">
        <v>56.48</v>
      </c>
      <c r="I775" s="130">
        <f>G775-H775</f>
        <v/>
      </c>
      <c r="J775" s="115">
        <f>_xlfn.TEXTJOIN("-",TRUE,B775,C775,D775)</f>
        <v/>
      </c>
      <c r="K775" s="184" t="n"/>
      <c r="L775" s="184" t="n"/>
      <c r="M775" s="184" t="n"/>
      <c r="N775" s="184" t="n"/>
      <c r="O775" s="184" t="n"/>
      <c r="P775" s="184" t="n"/>
      <c r="Q775" s="184" t="n"/>
      <c r="BB775" s="390">
        <f>_xlfn.TEXTJOIN("-",TRUE,AU775,AW775)</f>
        <v/>
      </c>
    </row>
    <row r="776">
      <c r="B776" s="123" t="inlineStr">
        <is>
          <t>295/80R22.5</t>
        </is>
      </c>
      <c r="C776" s="177" t="inlineStr">
        <is>
          <t>18PR</t>
        </is>
      </c>
      <c r="D776" s="126" t="inlineStr">
        <is>
          <t>CB972</t>
        </is>
      </c>
      <c r="E776" s="177" t="inlineStr">
        <is>
          <t>295/80R22.5-18PR-CBM C ID</t>
        </is>
      </c>
      <c r="F776" s="131">
        <f>G776-2.69+3.09</f>
        <v/>
      </c>
      <c r="G776" s="131" t="n">
        <v>62.052</v>
      </c>
      <c r="H776" s="131" t="n">
        <v>61.7</v>
      </c>
      <c r="I776" s="130">
        <f>G776-H776</f>
        <v/>
      </c>
      <c r="J776" s="115">
        <f>_xlfn.TEXTJOIN("-",TRUE,B776,C776,D776)</f>
        <v/>
      </c>
      <c r="K776" s="184" t="n"/>
      <c r="L776" s="184" t="n"/>
      <c r="M776" s="184" t="n"/>
      <c r="N776" s="184" t="n"/>
      <c r="O776" s="184" t="n"/>
      <c r="P776" s="184" t="n"/>
      <c r="Q776" s="184" t="n"/>
      <c r="BB776" s="390">
        <f>_xlfn.TEXTJOIN("-",TRUE,AU776,AW776)</f>
        <v/>
      </c>
    </row>
    <row r="777">
      <c r="B777" s="123" t="inlineStr">
        <is>
          <t>295/80R22.5</t>
        </is>
      </c>
      <c r="C777" s="177" t="inlineStr">
        <is>
          <t>18PR</t>
        </is>
      </c>
      <c r="D777" s="177" t="inlineStr">
        <is>
          <t>G-PERFORM O</t>
        </is>
      </c>
      <c r="E777" s="171" t="inlineStr">
        <is>
          <t>295/80R22.5-18PR-CBM C ID</t>
        </is>
      </c>
      <c r="F777" s="131">
        <f>G777-2.69+3.09</f>
        <v/>
      </c>
      <c r="G777" s="131" t="n">
        <v>62.052</v>
      </c>
      <c r="H777" s="131" t="n">
        <v>61.7</v>
      </c>
      <c r="I777" s="130">
        <f>G777-H777</f>
        <v/>
      </c>
      <c r="J777" s="115">
        <f>_xlfn.TEXTJOIN("-",TRUE,B777,C777,D777)</f>
        <v/>
      </c>
      <c r="K777" s="184" t="n"/>
      <c r="L777" s="184" t="n"/>
      <c r="M777" s="184" t="n"/>
      <c r="N777" s="184" t="n"/>
      <c r="O777" s="184" t="n"/>
      <c r="P777" s="184" t="n"/>
      <c r="Q777" s="184" t="n"/>
      <c r="BB777" s="390">
        <f>_xlfn.TEXTJOIN("-",TRUE,AU777,AW777)</f>
        <v/>
      </c>
    </row>
    <row r="778">
      <c r="B778" s="123" t="inlineStr">
        <is>
          <t>295/80R22.5</t>
        </is>
      </c>
      <c r="C778" s="177" t="inlineStr">
        <is>
          <t>18PR</t>
        </is>
      </c>
      <c r="D778" s="126" t="inlineStr">
        <is>
          <t>BLOCK D-I</t>
        </is>
      </c>
      <c r="E778" s="177" t="inlineStr">
        <is>
          <t>295/80R22.5-18PR-CBM C ID</t>
        </is>
      </c>
      <c r="F778" s="131">
        <f>G778-2.69+3.09</f>
        <v/>
      </c>
      <c r="G778" s="131" t="n">
        <v>62.052</v>
      </c>
      <c r="H778" s="131" t="n">
        <v>61.7</v>
      </c>
      <c r="I778" s="130">
        <f>G778-H778</f>
        <v/>
      </c>
      <c r="J778" s="115">
        <f>_xlfn.TEXTJOIN("-",TRUE,B778,C778,D778)</f>
        <v/>
      </c>
      <c r="K778" s="184" t="n"/>
      <c r="L778" s="184" t="n"/>
      <c r="M778" s="184" t="n"/>
      <c r="N778" s="184" t="n"/>
      <c r="O778" s="184" t="n"/>
      <c r="P778" s="184" t="n"/>
      <c r="Q778" s="184" t="n"/>
      <c r="BB778" s="390">
        <f>_xlfn.TEXTJOIN("-",TRUE,AU778,AW778)</f>
        <v/>
      </c>
    </row>
    <row r="779">
      <c r="B779" s="123" t="inlineStr">
        <is>
          <t>295/80R22.5</t>
        </is>
      </c>
      <c r="C779" s="177" t="inlineStr">
        <is>
          <t>18PR</t>
        </is>
      </c>
      <c r="D779" s="177" t="inlineStr">
        <is>
          <t>CR906</t>
        </is>
      </c>
      <c r="E779" s="171" t="inlineStr">
        <is>
          <t>295/80R22.5-18PR-CRO C ID</t>
        </is>
      </c>
      <c r="F779" s="131">
        <f>G779-3.09+3.5</f>
        <v/>
      </c>
      <c r="G779" s="131" t="n">
        <v>64.354</v>
      </c>
      <c r="H779" s="131" t="n">
        <v>64.16</v>
      </c>
      <c r="I779" s="130">
        <f>G779-H779</f>
        <v/>
      </c>
      <c r="J779" s="115">
        <f>_xlfn.TEXTJOIN("-",TRUE,B779,C779,D779)</f>
        <v/>
      </c>
      <c r="K779" s="184" t="n"/>
      <c r="L779" s="184" t="n"/>
      <c r="M779" s="184" t="n"/>
      <c r="N779" s="184" t="n"/>
      <c r="O779" s="184" t="n"/>
      <c r="P779" s="184" t="n"/>
      <c r="Q779" s="184" t="n"/>
      <c r="BB779" s="390">
        <f>_xlfn.TEXTJOIN("-",TRUE,AU779,AW779)</f>
        <v/>
      </c>
    </row>
    <row r="780">
      <c r="B780" s="123" t="inlineStr">
        <is>
          <t>295/80R22.5</t>
        </is>
      </c>
      <c r="C780" s="177" t="inlineStr">
        <is>
          <t>18PR</t>
        </is>
      </c>
      <c r="D780" s="177" t="inlineStr">
        <is>
          <t>G-PRO U</t>
        </is>
      </c>
      <c r="E780" s="125" t="inlineStr">
        <is>
          <t>295/80R22.5-18PR-CRO C ID</t>
        </is>
      </c>
      <c r="F780" s="131">
        <f>G780-3.09+3.5</f>
        <v/>
      </c>
      <c r="G780" s="131" t="n">
        <v>64.354</v>
      </c>
      <c r="H780" s="131" t="n">
        <v>64.16</v>
      </c>
      <c r="I780" s="130">
        <f>G780-H780</f>
        <v/>
      </c>
      <c r="J780" s="115">
        <f>_xlfn.TEXTJOIN("-",TRUE,B780,C780,D780)</f>
        <v/>
      </c>
      <c r="K780" s="184" t="n"/>
      <c r="L780" s="184" t="n"/>
      <c r="M780" s="184" t="n"/>
      <c r="N780" s="184" t="n"/>
      <c r="O780" s="184" t="n"/>
      <c r="P780" s="184" t="n"/>
      <c r="Q780" s="184" t="n"/>
      <c r="BB780" s="390">
        <f>_xlfn.TEXTJOIN("-",TRUE,AU780,AW780)</f>
        <v/>
      </c>
    </row>
    <row r="781">
      <c r="B781" s="123" t="inlineStr">
        <is>
          <t>295/80R22.5</t>
        </is>
      </c>
      <c r="C781" s="177" t="inlineStr">
        <is>
          <t>18PR</t>
        </is>
      </c>
      <c r="D781" s="177" t="inlineStr">
        <is>
          <t>CM335</t>
        </is>
      </c>
      <c r="E781" s="125" t="inlineStr">
        <is>
          <t>295/80R22.5-18PR-AM C ID</t>
        </is>
      </c>
      <c r="F781" s="131">
        <f>G781-2.68+3.099</f>
        <v/>
      </c>
      <c r="G781" s="131" t="n">
        <v>58.391</v>
      </c>
      <c r="H781" s="131" t="n">
        <v>58.25</v>
      </c>
      <c r="I781" s="130">
        <f>G781-H781</f>
        <v/>
      </c>
      <c r="J781" s="115">
        <f>_xlfn.TEXTJOIN("-",TRUE,B781,C781,D781)</f>
        <v/>
      </c>
      <c r="K781" s="184" t="n"/>
      <c r="L781" s="184" t="n"/>
      <c r="M781" s="184" t="n"/>
      <c r="N781" s="184" t="n"/>
      <c r="O781" s="184" t="n"/>
      <c r="P781" s="184" t="n"/>
      <c r="Q781" s="184" t="n"/>
      <c r="BB781" s="390">
        <f>_xlfn.TEXTJOIN("-",TRUE,AU781,AW781)</f>
        <v/>
      </c>
    </row>
    <row r="782">
      <c r="B782" s="123" t="inlineStr">
        <is>
          <t>295/80R22.5</t>
        </is>
      </c>
      <c r="C782" s="177" t="inlineStr">
        <is>
          <t>18PR</t>
        </is>
      </c>
      <c r="D782" s="177" t="inlineStr">
        <is>
          <t>AD528</t>
        </is>
      </c>
      <c r="E782" s="125" t="inlineStr">
        <is>
          <t>295/80R22.5-18PR-AM C ID</t>
        </is>
      </c>
      <c r="F782" s="131">
        <f>G782-2.68+3.099</f>
        <v/>
      </c>
      <c r="G782" s="131" t="n">
        <v>58.391</v>
      </c>
      <c r="H782" s="131" t="n">
        <v>58.25</v>
      </c>
      <c r="I782" s="130">
        <f>G782-H782</f>
        <v/>
      </c>
      <c r="J782" s="115">
        <f>_xlfn.TEXTJOIN("-",TRUE,B782,C782,D782)</f>
        <v/>
      </c>
      <c r="K782" s="184" t="n"/>
      <c r="L782" s="184" t="n"/>
      <c r="M782" s="184" t="n"/>
      <c r="N782" s="184" t="n"/>
      <c r="O782" s="184" t="n"/>
      <c r="P782" s="184" t="n"/>
      <c r="Q782" s="184" t="n"/>
      <c r="BB782" s="390">
        <f>_xlfn.TEXTJOIN("-",TRUE,AU782,AW782)</f>
        <v/>
      </c>
    </row>
    <row r="783">
      <c r="B783" s="123" t="inlineStr">
        <is>
          <t>295/80R22.5</t>
        </is>
      </c>
      <c r="C783" s="177" t="inlineStr">
        <is>
          <t>18PR</t>
        </is>
      </c>
      <c r="D783" s="177" t="inlineStr">
        <is>
          <t>WSA2</t>
        </is>
      </c>
      <c r="E783" s="177" t="inlineStr">
        <is>
          <t>295/80R22.5-18PR-WSA2 C ID</t>
        </is>
      </c>
      <c r="F783" s="131">
        <f>G783-3.093+3.498</f>
        <v/>
      </c>
      <c r="G783" s="131" t="n">
        <v>61.557</v>
      </c>
      <c r="H783" s="131" t="n">
        <v>61.67</v>
      </c>
      <c r="I783" s="130">
        <f>G783-H783</f>
        <v/>
      </c>
      <c r="J783" s="115">
        <f>_xlfn.TEXTJOIN("-",TRUE,B783,C783,D783)</f>
        <v/>
      </c>
      <c r="K783" s="184" t="n"/>
      <c r="L783" s="184" t="n"/>
      <c r="M783" s="184" t="n"/>
      <c r="N783" s="184" t="n"/>
      <c r="O783" s="184" t="n"/>
      <c r="P783" s="184" t="n"/>
      <c r="Q783" s="184" t="n"/>
      <c r="BB783" s="390">
        <f>_xlfn.TEXTJOIN("-",TRUE,AU783,AW783)</f>
        <v/>
      </c>
    </row>
    <row r="784">
      <c r="B784" s="123" t="inlineStr">
        <is>
          <t>295/80R22.5</t>
        </is>
      </c>
      <c r="C784" s="177" t="inlineStr">
        <is>
          <t>18PR</t>
        </is>
      </c>
      <c r="D784" s="177" t="inlineStr">
        <is>
          <t>WDA2</t>
        </is>
      </c>
      <c r="E784" s="177" t="inlineStr">
        <is>
          <t>295/80R22.5-18PR-WDA2 C ID</t>
        </is>
      </c>
      <c r="F784" s="131">
        <f>G784-3.093+3.498</f>
        <v/>
      </c>
      <c r="G784" s="131" t="n">
        <v>68.42400000000001</v>
      </c>
      <c r="H784" s="207" t="n">
        <v>68.19889999999999</v>
      </c>
      <c r="I784" s="130">
        <f>G784-H784</f>
        <v/>
      </c>
      <c r="J784" s="115">
        <f>_xlfn.TEXTJOIN("-",TRUE,B784,C784,D784)</f>
        <v/>
      </c>
      <c r="K784" s="184" t="n"/>
      <c r="L784" s="184" t="n"/>
      <c r="M784" s="184" t="n"/>
      <c r="N784" s="184" t="n"/>
      <c r="O784" s="184" t="n"/>
      <c r="P784" s="184" t="n"/>
      <c r="Q784" s="184" t="n"/>
      <c r="BB784" s="390">
        <f>_xlfn.TEXTJOIN("-",TRUE,AU784,AW784)</f>
        <v/>
      </c>
    </row>
    <row r="785">
      <c r="B785" s="123" t="inlineStr">
        <is>
          <t>295/80R22.5</t>
        </is>
      </c>
      <c r="C785" s="177" t="inlineStr">
        <is>
          <t>18PR</t>
        </is>
      </c>
      <c r="D785" s="177" t="inlineStr">
        <is>
          <t>CR926D</t>
        </is>
      </c>
      <c r="E785" s="125" t="inlineStr">
        <is>
          <t>295/80R22.5-18PR-CRB C ID</t>
        </is>
      </c>
      <c r="F785" s="131">
        <f>G785-2.69+3.09</f>
        <v/>
      </c>
      <c r="G785" s="131" t="n">
        <v>55.298</v>
      </c>
      <c r="H785" s="131" t="n">
        <v>55.29</v>
      </c>
      <c r="I785" s="130">
        <f>G785-H785</f>
        <v/>
      </c>
      <c r="J785" s="115">
        <f>_xlfn.TEXTJOIN("-",TRUE,B785,C785,D785)</f>
        <v/>
      </c>
      <c r="K785" s="184" t="n"/>
      <c r="L785" s="184" t="n"/>
      <c r="M785" s="184" t="n"/>
      <c r="N785" s="184" t="n"/>
      <c r="O785" s="184" t="n"/>
      <c r="P785" s="184" t="n"/>
      <c r="Q785" s="184" t="n"/>
      <c r="BB785" s="390">
        <f>_xlfn.TEXTJOIN("-",TRUE,AU785,AW785)</f>
        <v/>
      </c>
    </row>
    <row r="786">
      <c r="B786" s="123" t="inlineStr">
        <is>
          <t>295/80R22.5</t>
        </is>
      </c>
      <c r="C786" s="177" t="inlineStr">
        <is>
          <t>18PR</t>
        </is>
      </c>
      <c r="D786" s="177" t="inlineStr">
        <is>
          <t>BMA07 ECO</t>
        </is>
      </c>
      <c r="E786" s="125" t="inlineStr">
        <is>
          <t>295/80R22.5-18PR-CRB C ID</t>
        </is>
      </c>
      <c r="F786" s="131">
        <f>G786-2.69+3.09</f>
        <v/>
      </c>
      <c r="G786" s="131" t="n">
        <v>55.298</v>
      </c>
      <c r="H786" s="131" t="n">
        <v>55.29</v>
      </c>
      <c r="I786" s="130">
        <f>G786-H786</f>
        <v/>
      </c>
      <c r="J786" s="115">
        <f>_xlfn.TEXTJOIN("-",TRUE,B786,C786,D786)</f>
        <v/>
      </c>
      <c r="K786" s="184" t="n"/>
      <c r="L786" s="184" t="n"/>
      <c r="M786" s="184" t="n"/>
      <c r="N786" s="184" t="n"/>
      <c r="O786" s="184" t="n"/>
      <c r="P786" s="184" t="n"/>
      <c r="Q786" s="184" t="n"/>
      <c r="BB786" s="390">
        <f>_xlfn.TEXTJOIN("-",TRUE,AU786,AW786)</f>
        <v/>
      </c>
    </row>
    <row r="787">
      <c r="B787" s="123" t="inlineStr">
        <is>
          <t>295/80R22.5</t>
        </is>
      </c>
      <c r="C787" s="177" t="inlineStr">
        <is>
          <t>18PR</t>
        </is>
      </c>
      <c r="D787" s="177" t="inlineStr">
        <is>
          <t>NMIX Z-I</t>
        </is>
      </c>
      <c r="E787" s="125" t="inlineStr">
        <is>
          <t>295/80R22.5-18PR-CRB C ID</t>
        </is>
      </c>
      <c r="F787" s="131">
        <f>G787-2.69+3.09</f>
        <v/>
      </c>
      <c r="G787" s="131" t="n">
        <v>55.298</v>
      </c>
      <c r="H787" s="131" t="n">
        <v>55.29</v>
      </c>
      <c r="I787" s="130">
        <f>G787-H787</f>
        <v/>
      </c>
      <c r="J787" s="115">
        <f>_xlfn.TEXTJOIN("-",TRUE,B787,C787,D787)</f>
        <v/>
      </c>
      <c r="K787" s="184" t="n"/>
      <c r="L787" s="184" t="n"/>
      <c r="M787" s="184" t="n"/>
      <c r="N787" s="184" t="n"/>
      <c r="O787" s="184" t="n"/>
      <c r="P787" s="184" t="n"/>
      <c r="Q787" s="184" t="n"/>
      <c r="BB787" s="390">
        <f>_xlfn.TEXTJOIN("-",TRUE,AU787,AW787)</f>
        <v/>
      </c>
    </row>
    <row r="788">
      <c r="B788" s="123" t="inlineStr">
        <is>
          <t>295/80R22.5</t>
        </is>
      </c>
      <c r="C788" s="177" t="inlineStr">
        <is>
          <t>18PR</t>
        </is>
      </c>
      <c r="D788" s="177" t="inlineStr">
        <is>
          <t>AS567</t>
        </is>
      </c>
      <c r="E788" s="177" t="inlineStr">
        <is>
          <t>ID295/80R22.5-18PR-AS567 C ID</t>
        </is>
      </c>
      <c r="F788" s="131">
        <f>G788-2.688+3.093</f>
        <v/>
      </c>
      <c r="G788" s="131" t="n">
        <v>56.745</v>
      </c>
      <c r="H788" s="131" t="n">
        <v>56.86</v>
      </c>
      <c r="I788" s="130">
        <f>G788-H788</f>
        <v/>
      </c>
      <c r="J788" s="115">
        <f>_xlfn.TEXTJOIN("-",TRUE,B788,C788,D788)</f>
        <v/>
      </c>
      <c r="K788" s="184" t="n"/>
      <c r="L788" s="184" t="n"/>
      <c r="M788" s="184" t="n"/>
      <c r="N788" s="184" t="n"/>
      <c r="O788" s="184" t="n"/>
      <c r="P788" s="184" t="n"/>
      <c r="Q788" s="184" t="n"/>
      <c r="BB788" s="390">
        <f>_xlfn.TEXTJOIN("-",TRUE,AU788,AW788)</f>
        <v/>
      </c>
    </row>
    <row r="789">
      <c r="B789" s="123" t="inlineStr">
        <is>
          <t>295/80R22.5</t>
        </is>
      </c>
      <c r="C789" s="177" t="inlineStr">
        <is>
          <t>18PR</t>
        </is>
      </c>
      <c r="D789" s="177" t="inlineStr">
        <is>
          <t>AS668</t>
        </is>
      </c>
      <c r="E789" s="177" t="inlineStr">
        <is>
          <t>ID295/80R22.5-18PR-AS668 C ID</t>
        </is>
      </c>
      <c r="F789" s="131">
        <f>G789-2.68+3.099</f>
        <v/>
      </c>
      <c r="G789" s="131" t="n">
        <v>56.721</v>
      </c>
      <c r="H789" s="131" t="n">
        <v>56.82</v>
      </c>
      <c r="I789" s="130">
        <f>G789-H789</f>
        <v/>
      </c>
      <c r="J789" s="115">
        <f>_xlfn.TEXTJOIN("-",TRUE,B789,C789,D789)</f>
        <v/>
      </c>
      <c r="K789" s="184" t="n"/>
      <c r="L789" s="184" t="n"/>
      <c r="M789" s="184" t="n"/>
      <c r="N789" s="184" t="n"/>
      <c r="O789" s="184" t="n"/>
      <c r="P789" s="184" t="n"/>
      <c r="Q789" s="184" t="n"/>
      <c r="BB789" s="390">
        <f>_xlfn.TEXTJOIN("-",TRUE,AU789,AW789)</f>
        <v/>
      </c>
    </row>
    <row r="790">
      <c r="B790" s="123" t="inlineStr">
        <is>
          <t>295/80R22.5</t>
        </is>
      </c>
      <c r="C790" s="177" t="inlineStr">
        <is>
          <t>18PR</t>
        </is>
      </c>
      <c r="D790" s="177" t="inlineStr">
        <is>
          <t>AS589</t>
        </is>
      </c>
      <c r="E790" s="177" t="inlineStr">
        <is>
          <t>ID295/80R22.5-18PR-AS589 C ID</t>
        </is>
      </c>
      <c r="F790" s="131">
        <f>G790-2.688+3.093</f>
        <v/>
      </c>
      <c r="G790" s="131" t="n">
        <v>54.84</v>
      </c>
      <c r="H790" s="131" t="n">
        <v>55.0957</v>
      </c>
      <c r="I790" s="130">
        <f>G790-H790</f>
        <v/>
      </c>
      <c r="J790" s="115">
        <f>_xlfn.TEXTJOIN("-",TRUE,B790,C790,D790)</f>
        <v/>
      </c>
      <c r="K790" s="184" t="n"/>
      <c r="L790" s="184" t="n"/>
      <c r="M790" s="184" t="n"/>
      <c r="N790" s="184" t="n"/>
      <c r="O790" s="184" t="n"/>
      <c r="P790" s="184" t="n"/>
      <c r="Q790" s="184" t="n"/>
      <c r="AC790" s="184" t="n"/>
      <c r="AD790" s="184" t="n"/>
      <c r="AE790" s="184" t="n"/>
      <c r="AF790" s="184" t="n"/>
      <c r="AG790" s="184" t="n"/>
      <c r="AH790" s="184" t="n"/>
      <c r="AI790" s="184" t="n"/>
      <c r="BB790" s="390">
        <f>_xlfn.TEXTJOIN("-",TRUE,AU790,AW790)</f>
        <v/>
      </c>
    </row>
    <row r="791">
      <c r="B791" s="123" t="inlineStr">
        <is>
          <t>295/80R22.5</t>
        </is>
      </c>
      <c r="C791" s="177" t="inlineStr">
        <is>
          <t>18PR</t>
        </is>
      </c>
      <c r="D791" s="177" t="inlineStr">
        <is>
          <t>AT196</t>
        </is>
      </c>
      <c r="E791" s="125" t="inlineStr">
        <is>
          <t>ID295/80R22.5-18PR-Z J ID</t>
        </is>
      </c>
      <c r="F791" s="131">
        <f>G791-2.688+3.093</f>
        <v/>
      </c>
      <c r="G791" s="131" t="n">
        <v>52.88</v>
      </c>
      <c r="H791" s="131" t="n">
        <v>52.72</v>
      </c>
      <c r="I791" s="130">
        <f>G791-H791</f>
        <v/>
      </c>
      <c r="J791" s="115">
        <f>_xlfn.TEXTJOIN("-",TRUE,B791,C791,D791)</f>
        <v/>
      </c>
      <c r="K791" s="184" t="n"/>
      <c r="L791" s="184" t="n"/>
      <c r="M791" s="184" t="n"/>
      <c r="N791" s="184" t="n"/>
      <c r="O791" s="184" t="n"/>
      <c r="P791" s="184" t="n"/>
      <c r="Q791" s="184" t="n"/>
      <c r="AC791" s="184" t="n"/>
      <c r="AD791" s="184" t="n"/>
      <c r="AE791" s="184" t="n"/>
      <c r="AF791" s="184" t="n"/>
      <c r="AG791" s="184" t="n"/>
      <c r="AH791" s="184" t="n"/>
      <c r="AI791" s="184" t="n"/>
      <c r="BB791" s="390">
        <f>_xlfn.TEXTJOIN("-",TRUE,AU791,AW791)</f>
        <v/>
      </c>
    </row>
    <row r="792">
      <c r="B792" s="123" t="inlineStr">
        <is>
          <t>295/80R22.5</t>
        </is>
      </c>
      <c r="C792" s="177" t="inlineStr">
        <is>
          <t>18PR</t>
        </is>
      </c>
      <c r="D792" s="177" t="inlineStr">
        <is>
          <t>AT186</t>
        </is>
      </c>
      <c r="E792" s="125" t="inlineStr">
        <is>
          <t>ID295/80R22.5-18PR-Z J ID</t>
        </is>
      </c>
      <c r="F792" s="131">
        <f>G792-2.688+3.093</f>
        <v/>
      </c>
      <c r="G792" s="131" t="n">
        <v>52.88</v>
      </c>
      <c r="H792" s="131" t="n">
        <v>52.72</v>
      </c>
      <c r="I792" s="130">
        <f>G792-H792</f>
        <v/>
      </c>
      <c r="J792" s="115">
        <f>_xlfn.TEXTJOIN("-",TRUE,B792,C792,D792)</f>
        <v/>
      </c>
      <c r="K792" s="184" t="n"/>
      <c r="L792" s="184" t="n"/>
      <c r="M792" s="184" t="n"/>
      <c r="N792" s="184" t="n"/>
      <c r="O792" s="184" t="n"/>
      <c r="P792" s="184" t="n"/>
      <c r="Q792" s="184" t="n"/>
      <c r="AC792" s="184" t="n"/>
      <c r="AD792" s="184" t="n"/>
      <c r="AE792" s="184" t="n"/>
      <c r="AF792" s="184" t="n"/>
      <c r="AG792" s="184" t="n"/>
      <c r="AH792" s="184" t="n"/>
      <c r="AI792" s="184" t="n"/>
      <c r="BB792" s="390">
        <f>_xlfn.TEXTJOIN("-",TRUE,AU792,AW792)</f>
        <v/>
      </c>
    </row>
    <row r="793">
      <c r="B793" s="123" t="inlineStr">
        <is>
          <t>295/80R22.5</t>
        </is>
      </c>
      <c r="C793" s="177" t="inlineStr">
        <is>
          <t>18PR</t>
        </is>
      </c>
      <c r="D793" s="177" t="inlineStr">
        <is>
          <t>TUCSON A</t>
        </is>
      </c>
      <c r="E793" s="125" t="inlineStr">
        <is>
          <t>ID295/80R22.5-18PR-Z J ID</t>
        </is>
      </c>
      <c r="F793" s="131">
        <f>G793-2.688+3.093</f>
        <v/>
      </c>
      <c r="G793" s="131" t="n">
        <v>52.88</v>
      </c>
      <c r="H793" s="131" t="n">
        <v>52.72</v>
      </c>
      <c r="I793" s="130">
        <f>G793-H793</f>
        <v/>
      </c>
      <c r="J793" s="115">
        <f>_xlfn.TEXTJOIN("-",TRUE,B793,C793,D793)</f>
        <v/>
      </c>
      <c r="K793" s="184" t="n"/>
      <c r="L793" s="184" t="n"/>
      <c r="M793" s="184" t="n"/>
      <c r="N793" s="184" t="n"/>
      <c r="O793" s="184" t="n"/>
      <c r="P793" s="184" t="n"/>
      <c r="Q793" s="184" t="n"/>
      <c r="AC793" s="184" t="n"/>
      <c r="AD793" s="184" t="n"/>
      <c r="AE793" s="184" t="n"/>
      <c r="AF793" s="184" t="n"/>
      <c r="AG793" s="184" t="n"/>
      <c r="AH793" s="184" t="n"/>
      <c r="AI793" s="184" t="n"/>
      <c r="BB793" s="390">
        <f>_xlfn.TEXTJOIN("-",TRUE,AU793,AW793)</f>
        <v/>
      </c>
    </row>
    <row r="794">
      <c r="B794" s="123" t="inlineStr">
        <is>
          <t>295/80R22.5</t>
        </is>
      </c>
      <c r="C794" s="177" t="inlineStr">
        <is>
          <t>18PR</t>
        </is>
      </c>
      <c r="D794" s="126" t="inlineStr">
        <is>
          <t>BRA07 ECO</t>
        </is>
      </c>
      <c r="E794" s="177" t="inlineStr">
        <is>
          <t>ID295/80R22.5-18PR-Z J ID</t>
        </is>
      </c>
      <c r="F794" s="131">
        <f>G794-2.688+3.093</f>
        <v/>
      </c>
      <c r="G794" s="131" t="n">
        <v>52.88</v>
      </c>
      <c r="H794" s="131" t="n">
        <v>52.72</v>
      </c>
      <c r="I794" s="130">
        <f>G794-H794</f>
        <v/>
      </c>
      <c r="J794" s="115">
        <f>_xlfn.TEXTJOIN("-",TRUE,B794,C794,D794)</f>
        <v/>
      </c>
      <c r="K794" s="184" t="n"/>
      <c r="L794" s="184" t="n"/>
      <c r="M794" s="184" t="n"/>
      <c r="N794" s="184" t="n"/>
      <c r="O794" s="184" t="n"/>
      <c r="P794" s="184" t="n"/>
      <c r="Q794" s="184" t="n"/>
      <c r="BB794" s="390">
        <f>_xlfn.TEXTJOIN("-",TRUE,AU794,AW794)</f>
        <v/>
      </c>
    </row>
    <row r="795">
      <c r="B795" s="123" t="inlineStr">
        <is>
          <t>295/80R22.5</t>
        </is>
      </c>
      <c r="C795" s="177" t="inlineStr">
        <is>
          <t>18PR</t>
        </is>
      </c>
      <c r="D795" s="177" t="inlineStr">
        <is>
          <t>ECOLINE A-I</t>
        </is>
      </c>
      <c r="E795" s="171" t="inlineStr">
        <is>
          <t>ID295/80R22.5-18PR-Z J ID</t>
        </is>
      </c>
      <c r="F795" s="131">
        <f>G795-2.688+3.093</f>
        <v/>
      </c>
      <c r="G795" s="131" t="n">
        <v>52.88</v>
      </c>
      <c r="H795" s="131" t="n">
        <v>52.72</v>
      </c>
      <c r="I795" s="130">
        <f>G795-H795</f>
        <v/>
      </c>
      <c r="J795" s="115">
        <f>_xlfn.TEXTJOIN("-",TRUE,B795,C795,D795)</f>
        <v/>
      </c>
      <c r="K795" s="184" t="n"/>
      <c r="L795" s="184" t="n"/>
      <c r="M795" s="184" t="n"/>
      <c r="N795" s="184" t="n"/>
      <c r="O795" s="184" t="n"/>
      <c r="P795" s="184" t="n"/>
      <c r="Q795" s="184" t="n"/>
      <c r="BB795" s="390">
        <f>_xlfn.TEXTJOIN("-",TRUE,AU795,AW795)</f>
        <v/>
      </c>
    </row>
    <row r="796">
      <c r="B796" s="123" t="inlineStr">
        <is>
          <t>295/80R22.5</t>
        </is>
      </c>
      <c r="C796" s="177" t="inlineStr">
        <is>
          <t>18PR</t>
        </is>
      </c>
      <c r="D796" s="177" t="inlineStr">
        <is>
          <t>AD156A</t>
        </is>
      </c>
      <c r="E796" s="125" t="inlineStr">
        <is>
          <t>ID295/80R22.5-18PR-ADN J ID</t>
        </is>
      </c>
      <c r="F796" s="131">
        <f>G796-2.688+3.093</f>
        <v/>
      </c>
      <c r="G796" s="131" t="n">
        <v>53.594</v>
      </c>
      <c r="H796" s="131" t="n">
        <v>52.91</v>
      </c>
      <c r="I796" s="130">
        <f>G796-H796</f>
        <v/>
      </c>
      <c r="J796" s="115">
        <f>_xlfn.TEXTJOIN("-",TRUE,B796,C796,D796)</f>
        <v/>
      </c>
      <c r="K796" s="184" t="n"/>
      <c r="L796" s="184" t="n"/>
      <c r="M796" s="184" t="n"/>
      <c r="N796" s="184" t="n"/>
      <c r="O796" s="184" t="n"/>
      <c r="P796" s="184" t="n"/>
      <c r="Q796" s="184" t="n"/>
      <c r="BB796" s="390">
        <f>_xlfn.TEXTJOIN("-",TRUE,AU796,AW796)</f>
        <v/>
      </c>
    </row>
    <row r="797">
      <c r="B797" s="123" t="inlineStr">
        <is>
          <t>295/80R22.5</t>
        </is>
      </c>
      <c r="C797" s="177" t="inlineStr">
        <is>
          <t>18PR</t>
        </is>
      </c>
      <c r="D797" s="177" t="inlineStr">
        <is>
          <t>TUCSON D</t>
        </is>
      </c>
      <c r="E797" s="125" t="inlineStr">
        <is>
          <t>ID295/80R22.5-18PR-ADN J ID</t>
        </is>
      </c>
      <c r="F797" s="131">
        <f>G797-2.688+3.093</f>
        <v/>
      </c>
      <c r="G797" s="131" t="n">
        <v>53.594</v>
      </c>
      <c r="H797" s="131" t="n">
        <v>52.91</v>
      </c>
      <c r="I797" s="130">
        <f>G797-H797</f>
        <v/>
      </c>
      <c r="J797" s="115">
        <f>_xlfn.TEXTJOIN("-",TRUE,B797,C797,D797)</f>
        <v/>
      </c>
      <c r="K797" s="184" t="n"/>
      <c r="L797" s="184" t="n"/>
      <c r="M797" s="184" t="n"/>
      <c r="N797" s="184" t="n"/>
      <c r="O797" s="184" t="n"/>
      <c r="P797" s="184" t="n"/>
      <c r="Q797" s="184" t="n"/>
      <c r="BB797" s="390">
        <f>_xlfn.TEXTJOIN("-",TRUE,AU797,AW797)</f>
        <v/>
      </c>
    </row>
    <row r="798">
      <c r="B798" s="123" t="inlineStr">
        <is>
          <t>295/80R22.5</t>
        </is>
      </c>
      <c r="C798" s="177" t="inlineStr">
        <is>
          <t>18PR</t>
        </is>
      </c>
      <c r="D798" s="177" t="inlineStr">
        <is>
          <t>ECOTRAX D-I</t>
        </is>
      </c>
      <c r="E798" s="125" t="inlineStr">
        <is>
          <t>ID295/80R22.5-18PR-ADN J ID</t>
        </is>
      </c>
      <c r="F798" s="131">
        <f>G798-2.688+3.093</f>
        <v/>
      </c>
      <c r="G798" s="131" t="n">
        <v>53.594</v>
      </c>
      <c r="H798" s="131" t="n">
        <v>52.91</v>
      </c>
      <c r="I798" s="130">
        <f>G798-H798</f>
        <v/>
      </c>
      <c r="J798" s="115">
        <f>_xlfn.TEXTJOIN("-",TRUE,B798,C798,D798)</f>
        <v/>
      </c>
      <c r="K798" s="184" t="n"/>
      <c r="L798" s="184" t="n"/>
      <c r="M798" s="184" t="n"/>
      <c r="N798" s="184" t="n"/>
      <c r="O798" s="184" t="n"/>
      <c r="P798" s="184" t="n"/>
      <c r="Q798" s="184" t="n"/>
      <c r="BB798" s="390">
        <f>_xlfn.TEXTJOIN("-",TRUE,AU798,AW798)</f>
        <v/>
      </c>
    </row>
    <row r="799">
      <c r="B799" s="123" t="inlineStr">
        <is>
          <t>295/80R22.5</t>
        </is>
      </c>
      <c r="C799" s="177" t="inlineStr">
        <is>
          <t>18PR</t>
        </is>
      </c>
      <c r="D799" s="177" t="inlineStr">
        <is>
          <t>WDR1</t>
        </is>
      </c>
      <c r="E799" s="125" t="inlineStr">
        <is>
          <t>ID295/80R22.5-18PR-WD C ID</t>
        </is>
      </c>
      <c r="F799" s="131">
        <f>G799-3.093+3.498</f>
        <v/>
      </c>
      <c r="G799" s="131" t="n">
        <v>63.389</v>
      </c>
      <c r="H799" s="131" t="n">
        <v>63.36</v>
      </c>
      <c r="I799" s="130">
        <f>G799-H799</f>
        <v/>
      </c>
      <c r="J799" s="115">
        <f>_xlfn.TEXTJOIN("-",TRUE,B799,C799,D799)</f>
        <v/>
      </c>
      <c r="K799" s="184" t="n"/>
      <c r="L799" s="184" t="n"/>
      <c r="M799" s="184" t="n"/>
      <c r="N799" s="184" t="n"/>
      <c r="O799" s="184" t="n"/>
      <c r="P799" s="184" t="n"/>
      <c r="Q799" s="184" t="n"/>
      <c r="BB799" s="390">
        <f>_xlfn.TEXTJOIN("-",TRUE,AU799,AW799)</f>
        <v/>
      </c>
    </row>
    <row r="800">
      <c r="B800" s="123" t="inlineStr">
        <is>
          <t>295/80R22.5</t>
        </is>
      </c>
      <c r="C800" s="177" t="inlineStr">
        <is>
          <t>18PR</t>
        </is>
      </c>
      <c r="D800" s="177" t="inlineStr">
        <is>
          <t>BRD06 PRO</t>
        </is>
      </c>
      <c r="E800" s="125" t="inlineStr">
        <is>
          <t>ID295/80R22.5-18PR-WD C ID</t>
        </is>
      </c>
      <c r="F800" s="131">
        <f>G800-3.093+3.498</f>
        <v/>
      </c>
      <c r="G800" s="131" t="n">
        <v>63.389</v>
      </c>
      <c r="H800" s="131" t="n">
        <v>63.36</v>
      </c>
      <c r="I800" s="130">
        <f>G800-H800</f>
        <v/>
      </c>
      <c r="J800" s="115">
        <f>_xlfn.TEXTJOIN("-",TRUE,B800,C800,D800)</f>
        <v/>
      </c>
      <c r="K800" s="184" t="n"/>
      <c r="L800" s="184" t="n"/>
      <c r="M800" s="184" t="n"/>
      <c r="N800" s="184" t="n"/>
      <c r="O800" s="184" t="n"/>
      <c r="P800" s="184" t="n"/>
      <c r="Q800" s="184" t="n"/>
      <c r="BB800" s="390">
        <f>_xlfn.TEXTJOIN("-",TRUE,AU800,AW800)</f>
        <v/>
      </c>
    </row>
    <row r="801">
      <c r="B801" s="123" t="inlineStr">
        <is>
          <t>295/80R22.5</t>
        </is>
      </c>
      <c r="C801" s="177" t="inlineStr">
        <is>
          <t>18PR</t>
        </is>
      </c>
      <c r="D801" s="177" t="inlineStr">
        <is>
          <t>RF45</t>
        </is>
      </c>
      <c r="E801" s="125" t="inlineStr">
        <is>
          <t>ID295/80R22.5-18PR-WD C ID</t>
        </is>
      </c>
      <c r="F801" s="131">
        <f>G801-3.093+3.498</f>
        <v/>
      </c>
      <c r="G801" s="131" t="n">
        <v>63.389</v>
      </c>
      <c r="H801" s="131" t="n">
        <v>63.36</v>
      </c>
      <c r="I801" s="130">
        <f>G801-H801</f>
        <v/>
      </c>
      <c r="J801" s="115">
        <f>_xlfn.TEXTJOIN("-",TRUE,B801,C801,D801)</f>
        <v/>
      </c>
      <c r="K801" s="184" t="n"/>
      <c r="L801" s="184" t="n"/>
      <c r="M801" s="184" t="n"/>
      <c r="N801" s="184" t="n"/>
      <c r="O801" s="184" t="n"/>
      <c r="P801" s="184" t="n"/>
      <c r="Q801" s="184" t="n"/>
      <c r="BB801" s="390">
        <f>_xlfn.TEXTJOIN("-",TRUE,AU801,AW801)</f>
        <v/>
      </c>
    </row>
    <row r="802">
      <c r="B802" s="123" t="inlineStr">
        <is>
          <t>295/80R22.5</t>
        </is>
      </c>
      <c r="C802" s="177" t="inlineStr">
        <is>
          <t>18PR</t>
        </is>
      </c>
      <c r="D802" s="177" t="inlineStr">
        <is>
          <t>GDR1</t>
        </is>
      </c>
      <c r="E802" s="125" t="inlineStr">
        <is>
          <t>ID295/80R22.5-18PR-WD C ID</t>
        </is>
      </c>
      <c r="F802" s="131">
        <f>G802-3.093+3.498</f>
        <v/>
      </c>
      <c r="G802" s="131" t="n">
        <v>63.389</v>
      </c>
      <c r="H802" s="131" t="n">
        <v>63.36</v>
      </c>
      <c r="I802" s="130">
        <f>G802-H802</f>
        <v/>
      </c>
      <c r="J802" s="115">
        <f>_xlfn.TEXTJOIN("-",TRUE,B802,C802,D802)</f>
        <v/>
      </c>
      <c r="K802" s="184" t="n"/>
      <c r="L802" s="184" t="n"/>
      <c r="M802" s="184" t="n"/>
      <c r="N802" s="184" t="n"/>
      <c r="O802" s="184" t="n"/>
      <c r="P802" s="184" t="n"/>
      <c r="Q802" s="184" t="n"/>
      <c r="BB802" s="390">
        <f>_xlfn.TEXTJOIN("-",TRUE,AU802,AW802)</f>
        <v/>
      </c>
    </row>
    <row r="803">
      <c r="B803" s="123" t="inlineStr">
        <is>
          <t>295/80R22.5</t>
        </is>
      </c>
      <c r="C803" s="177" t="inlineStr">
        <is>
          <t>18PR</t>
        </is>
      </c>
      <c r="D803" s="177" t="inlineStr">
        <is>
          <t>AD733pro</t>
        </is>
      </c>
      <c r="E803" s="177" t="inlineStr">
        <is>
          <t>ID295/80R22.5-18PR-AD733pro C ID</t>
        </is>
      </c>
      <c r="F803" s="131">
        <f>G803-3.093+3.498</f>
        <v/>
      </c>
      <c r="G803" s="131" t="n">
        <v>68.86</v>
      </c>
      <c r="H803" s="131" t="n">
        <v>68.23309999999999</v>
      </c>
      <c r="I803" s="130">
        <f>G803-H803</f>
        <v/>
      </c>
      <c r="J803" s="115">
        <f>_xlfn.TEXTJOIN("-",TRUE,B803,C803,D803)</f>
        <v/>
      </c>
      <c r="K803" s="184" t="n"/>
      <c r="L803" s="184" t="n"/>
      <c r="M803" s="184" t="n"/>
      <c r="N803" s="184" t="n"/>
      <c r="O803" s="184" t="n"/>
      <c r="P803" s="184" t="n"/>
      <c r="Q803" s="184" t="n"/>
      <c r="BB803" s="390">
        <f>_xlfn.TEXTJOIN("-",TRUE,AU803,AW803)</f>
        <v/>
      </c>
    </row>
    <row r="804">
      <c r="B804" s="123" t="inlineStr">
        <is>
          <t>295/80R22.5</t>
        </is>
      </c>
      <c r="C804" s="177" t="inlineStr">
        <is>
          <t>18PR</t>
        </is>
      </c>
      <c r="D804" s="177" t="inlineStr">
        <is>
          <t>AT167</t>
        </is>
      </c>
      <c r="E804" s="177" t="inlineStr">
        <is>
          <t>ID295/80R22.5-18PR-J J ID</t>
        </is>
      </c>
      <c r="F804" s="131">
        <f>G804-2.68+3.099</f>
        <v/>
      </c>
      <c r="G804" s="131" t="n">
        <v>51.991</v>
      </c>
      <c r="H804" s="131" t="n">
        <v>51.82</v>
      </c>
      <c r="I804" s="130">
        <f>G804-H804</f>
        <v/>
      </c>
      <c r="J804" s="115">
        <f>_xlfn.TEXTJOIN("-",TRUE,B804,C804,D804)</f>
        <v/>
      </c>
      <c r="K804" s="184" t="n"/>
      <c r="L804" s="184" t="n"/>
      <c r="M804" s="184" t="n"/>
      <c r="N804" s="184" t="n"/>
      <c r="O804" s="184" t="n"/>
      <c r="P804" s="184" t="n"/>
      <c r="Q804" s="184" t="n"/>
      <c r="BB804" s="390">
        <f>_xlfn.TEXTJOIN("-",TRUE,AU804,AW804)</f>
        <v/>
      </c>
    </row>
    <row r="805">
      <c r="B805" s="123" t="inlineStr">
        <is>
          <t>295/80R22.5</t>
        </is>
      </c>
      <c r="C805" s="177" t="inlineStr">
        <is>
          <t>18PR</t>
        </is>
      </c>
      <c r="D805" s="177" t="inlineStr">
        <is>
          <t>BRA02 ECO</t>
        </is>
      </c>
      <c r="E805" s="177" t="inlineStr">
        <is>
          <t>ID295/80R22.5-18PR-J J ID</t>
        </is>
      </c>
      <c r="F805" s="131">
        <f>G805-2.68+3.099</f>
        <v/>
      </c>
      <c r="G805" s="131" t="n">
        <v>51.991</v>
      </c>
      <c r="H805" s="131" t="n">
        <v>51.82</v>
      </c>
      <c r="I805" s="130">
        <f>G805-H805</f>
        <v/>
      </c>
      <c r="J805" s="115">
        <f>_xlfn.TEXTJOIN("-",TRUE,B805,C805,D805)</f>
        <v/>
      </c>
      <c r="K805" s="184" t="n"/>
      <c r="L805" s="184" t="n"/>
      <c r="M805" s="184" t="n"/>
      <c r="N805" s="184" t="n"/>
      <c r="O805" s="184" t="n"/>
      <c r="P805" s="184" t="n"/>
      <c r="Q805" s="184" t="n"/>
      <c r="BB805" s="390">
        <f>_xlfn.TEXTJOIN("-",TRUE,AU805,AW805)</f>
        <v/>
      </c>
    </row>
    <row r="806">
      <c r="B806" s="123" t="inlineStr">
        <is>
          <t>295/80R22.5</t>
        </is>
      </c>
      <c r="C806" s="177" t="inlineStr">
        <is>
          <t>18PR</t>
        </is>
      </c>
      <c r="D806" s="177" t="inlineStr">
        <is>
          <t>CM997</t>
        </is>
      </c>
      <c r="E806" s="177" t="inlineStr">
        <is>
          <t>ID295/80R22.5-18PR-CM997 C ID</t>
        </is>
      </c>
      <c r="F806" s="131">
        <f>G806-2.68+3.099</f>
        <v/>
      </c>
      <c r="G806" s="131" t="n">
        <v>62.284</v>
      </c>
      <c r="H806" s="131" t="n">
        <v>61.91</v>
      </c>
      <c r="I806" s="130">
        <f>G806-H806</f>
        <v/>
      </c>
      <c r="J806" s="115">
        <f>_xlfn.TEXTJOIN("-",TRUE,B806,C806,D806)</f>
        <v/>
      </c>
      <c r="K806" s="184" t="n"/>
      <c r="L806" s="184" t="n"/>
      <c r="M806" s="184" t="n"/>
      <c r="N806" s="184" t="n"/>
      <c r="O806" s="184" t="n"/>
      <c r="P806" s="184" t="n"/>
      <c r="Q806" s="184" t="n"/>
      <c r="BB806" s="390">
        <f>_xlfn.TEXTJOIN("-",TRUE,AU806,AW806)</f>
        <v/>
      </c>
    </row>
    <row r="807">
      <c r="B807" s="123" t="inlineStr">
        <is>
          <t>295/80R22.5</t>
        </is>
      </c>
      <c r="C807" s="177" t="inlineStr">
        <is>
          <t>18PR</t>
        </is>
      </c>
      <c r="D807" s="177" t="inlineStr">
        <is>
          <t>EZ177</t>
        </is>
      </c>
      <c r="E807" s="177" t="inlineStr">
        <is>
          <t>ID295/80R22.5-18PR-EZ177 J ID</t>
        </is>
      </c>
      <c r="F807" s="131">
        <f>G807-2.69+3.09</f>
        <v/>
      </c>
      <c r="G807" s="131" t="n">
        <v>55.076</v>
      </c>
      <c r="H807" s="131" t="n">
        <v>55.04</v>
      </c>
      <c r="I807" s="130">
        <f>G807-H807</f>
        <v/>
      </c>
      <c r="J807" s="115">
        <f>_xlfn.TEXTJOIN("-",TRUE,B807,C807,D807)</f>
        <v/>
      </c>
      <c r="K807" s="184" t="n"/>
      <c r="L807" s="184" t="n"/>
      <c r="M807" s="184" t="n"/>
      <c r="N807" s="184" t="n"/>
      <c r="O807" s="184" t="n"/>
      <c r="P807" s="184" t="n"/>
      <c r="Q807" s="184" t="n"/>
      <c r="BB807" s="390">
        <f>_xlfn.TEXTJOIN("-",TRUE,AU807,AW807)</f>
        <v/>
      </c>
    </row>
    <row r="808">
      <c r="B808" s="123" t="inlineStr">
        <is>
          <t>295/80R22.5</t>
        </is>
      </c>
      <c r="C808" s="177" t="inlineStr">
        <is>
          <t>18PR</t>
        </is>
      </c>
      <c r="D808" s="177" t="inlineStr">
        <is>
          <t>AS678</t>
        </is>
      </c>
      <c r="E808" s="177" t="inlineStr">
        <is>
          <t>ID295/80R22.5-18PR-R C ID</t>
        </is>
      </c>
      <c r="F808" s="131">
        <f>G808-2.68+3.099</f>
        <v/>
      </c>
      <c r="G808" s="131" t="n">
        <v>53.667</v>
      </c>
      <c r="H808" s="131" t="n">
        <v>53.63</v>
      </c>
      <c r="I808" s="130">
        <f>G808-H808</f>
        <v/>
      </c>
      <c r="J808" s="115">
        <f>_xlfn.TEXTJOIN("-",TRUE,B808,C808,D808)</f>
        <v/>
      </c>
      <c r="K808" s="184" t="n"/>
      <c r="L808" s="184" t="n"/>
      <c r="M808" s="184" t="n"/>
      <c r="N808" s="184" t="n"/>
      <c r="O808" s="184" t="n"/>
      <c r="P808" s="184" t="n"/>
      <c r="Q808" s="184" t="n"/>
      <c r="BB808" s="390">
        <f>_xlfn.TEXTJOIN("-",TRUE,AU808,AW808)</f>
        <v/>
      </c>
    </row>
    <row r="809">
      <c r="B809" s="123" t="inlineStr">
        <is>
          <t>295/80R22.5</t>
        </is>
      </c>
      <c r="C809" s="177" t="inlineStr">
        <is>
          <t>18PR</t>
        </is>
      </c>
      <c r="D809" s="177" t="inlineStr">
        <is>
          <t>RF35</t>
        </is>
      </c>
      <c r="E809" s="177" t="inlineStr">
        <is>
          <t>ID295/80R22.5-18PR-R C ID</t>
        </is>
      </c>
      <c r="F809" s="131">
        <f>G809-2.68+3.099</f>
        <v/>
      </c>
      <c r="G809" s="131" t="n">
        <v>53.667</v>
      </c>
      <c r="H809" s="131" t="n">
        <v>53.63</v>
      </c>
      <c r="I809" s="130">
        <f>G809-H809</f>
        <v/>
      </c>
      <c r="J809" s="115">
        <f>_xlfn.TEXTJOIN("-",TRUE,B809,C809,D809)</f>
        <v/>
      </c>
      <c r="K809" s="184" t="n"/>
      <c r="L809" s="184" t="n"/>
      <c r="M809" s="184" t="n"/>
      <c r="N809" s="184" t="n"/>
      <c r="O809" s="184" t="n"/>
      <c r="P809" s="184" t="n"/>
      <c r="Q809" s="184" t="n"/>
      <c r="BB809" s="390">
        <f>_xlfn.TEXTJOIN("-",TRUE,AU809,AW809)</f>
        <v/>
      </c>
    </row>
    <row r="810">
      <c r="B810" s="123" t="inlineStr">
        <is>
          <t>295/80R22.5</t>
        </is>
      </c>
      <c r="C810" s="177" t="inlineStr">
        <is>
          <t>18PR</t>
        </is>
      </c>
      <c r="D810" s="177" t="inlineStr">
        <is>
          <t>CB919</t>
        </is>
      </c>
      <c r="E810" s="177" t="inlineStr">
        <is>
          <t>ID295/80R22.5-18PR-CB919 C ID</t>
        </is>
      </c>
      <c r="F810" s="131">
        <f>G810-2.688+3.093</f>
        <v/>
      </c>
      <c r="G810" s="131" t="n">
        <v>60.608</v>
      </c>
      <c r="H810" s="131" t="n">
        <v>60.26</v>
      </c>
      <c r="I810" s="130">
        <f>G810-H810</f>
        <v/>
      </c>
      <c r="J810" s="115">
        <f>_xlfn.TEXTJOIN("-",TRUE,B810,C810,D810)</f>
        <v/>
      </c>
      <c r="K810" s="184" t="n"/>
      <c r="L810" s="184" t="n"/>
      <c r="M810" s="184" t="n"/>
      <c r="N810" s="184" t="n"/>
      <c r="O810" s="184" t="n"/>
      <c r="P810" s="184" t="n"/>
      <c r="Q810" s="184" t="n"/>
      <c r="BB810" s="390">
        <f>_xlfn.TEXTJOIN("-",TRUE,AU810,AW810)</f>
        <v/>
      </c>
    </row>
    <row r="811">
      <c r="B811" s="123" t="inlineStr">
        <is>
          <t>295/80R22.5</t>
        </is>
      </c>
      <c r="C811" s="177" t="inlineStr">
        <is>
          <t>18PR</t>
        </is>
      </c>
      <c r="D811" s="177" t="inlineStr">
        <is>
          <t>AZ183</t>
        </is>
      </c>
      <c r="E811" s="177" t="inlineStr">
        <is>
          <t>ID295/80R22.5-18PR-D J ID</t>
        </is>
      </c>
      <c r="F811" s="131">
        <f>G811-2.69+3.09</f>
        <v/>
      </c>
      <c r="G811" s="131" t="n">
        <v>53.01</v>
      </c>
      <c r="H811" s="131" t="n">
        <v>52.97</v>
      </c>
      <c r="I811" s="130">
        <f>G811-H811</f>
        <v/>
      </c>
      <c r="J811" s="115">
        <f>_xlfn.TEXTJOIN("-",TRUE,B811,C811,D811)</f>
        <v/>
      </c>
      <c r="K811" s="184" t="n"/>
      <c r="L811" s="184" t="n"/>
      <c r="M811" s="184" t="n"/>
      <c r="N811" s="184" t="n"/>
      <c r="O811" s="184" t="n"/>
      <c r="P811" s="184" t="n"/>
      <c r="Q811" s="184" t="n"/>
      <c r="BB811" s="390">
        <f>_xlfn.TEXTJOIN("-",TRUE,AU811,AW811)</f>
        <v/>
      </c>
    </row>
    <row r="812">
      <c r="B812" s="123" t="inlineStr">
        <is>
          <t>295/80R22.5</t>
        </is>
      </c>
      <c r="C812" s="177" t="inlineStr">
        <is>
          <t>18PR</t>
        </is>
      </c>
      <c r="D812" s="177" t="inlineStr">
        <is>
          <t>BMA02 ECO</t>
        </is>
      </c>
      <c r="E812" s="177" t="inlineStr">
        <is>
          <t>ID295/80R22.5-18PR-D J ID</t>
        </is>
      </c>
      <c r="F812" s="131">
        <f>G812-2.69+3.09</f>
        <v/>
      </c>
      <c r="G812" s="131" t="n">
        <v>53.01</v>
      </c>
      <c r="H812" s="131" t="n">
        <v>52.97</v>
      </c>
      <c r="I812" s="130">
        <f>G812-H812</f>
        <v/>
      </c>
      <c r="J812" s="115">
        <f>_xlfn.TEXTJOIN("-",TRUE,B812,C812,D812)</f>
        <v/>
      </c>
      <c r="K812" s="184" t="n"/>
      <c r="L812" s="184" t="n"/>
      <c r="M812" s="184" t="n"/>
      <c r="N812" s="184" t="n"/>
      <c r="O812" s="184" t="n"/>
      <c r="P812" s="184" t="n"/>
      <c r="Q812" s="184" t="n"/>
      <c r="BB812" s="390">
        <f>_xlfn.TEXTJOIN("-",TRUE,AU812,AW812)</f>
        <v/>
      </c>
    </row>
    <row r="813">
      <c r="B813" s="123" t="inlineStr">
        <is>
          <t>295/80R22.5</t>
        </is>
      </c>
      <c r="C813" s="177" t="inlineStr">
        <is>
          <t>18PR</t>
        </is>
      </c>
      <c r="D813" s="177" t="inlineStr">
        <is>
          <t>AT167T</t>
        </is>
      </c>
      <c r="E813" s="177" t="inlineStr">
        <is>
          <t>ID295/80R22.5-18PR-AT167T J ID</t>
        </is>
      </c>
      <c r="F813" s="131">
        <f>G813-2.688+3.093</f>
        <v/>
      </c>
      <c r="G813" s="131" t="n">
        <v>49.961</v>
      </c>
      <c r="H813" s="131" t="n">
        <v>49.3842</v>
      </c>
      <c r="I813" s="130">
        <f>G813-H813</f>
        <v/>
      </c>
      <c r="J813" s="115">
        <f>_xlfn.TEXTJOIN("-",TRUE,B813,C813,D813)</f>
        <v/>
      </c>
      <c r="K813" s="184" t="n"/>
      <c r="L813" s="184" t="n"/>
      <c r="M813" s="184" t="n"/>
      <c r="N813" s="184" t="n"/>
      <c r="O813" s="184" t="n"/>
      <c r="P813" s="184" t="n"/>
      <c r="Q813" s="184" t="n"/>
      <c r="BB813" s="390">
        <f>_xlfn.TEXTJOIN("-",TRUE,AU813,AW813)</f>
        <v/>
      </c>
    </row>
    <row r="814">
      <c r="B814" s="123" t="inlineStr">
        <is>
          <t>295/80R22.5</t>
        </is>
      </c>
      <c r="C814" s="177" t="inlineStr">
        <is>
          <t>18PR</t>
        </is>
      </c>
      <c r="D814" s="177" t="inlineStr">
        <is>
          <t>AZ126T</t>
        </is>
      </c>
      <c r="E814" s="177" t="inlineStr">
        <is>
          <t>ID295/80R22.5-18PR-AZ126T J ID</t>
        </is>
      </c>
      <c r="F814" s="131">
        <f>G814-2.69+3.09</f>
        <v/>
      </c>
      <c r="G814" s="131" t="n">
        <v>53.97</v>
      </c>
      <c r="H814" s="131" t="n">
        <v>53.97</v>
      </c>
      <c r="I814" s="130">
        <f>G814-H814</f>
        <v/>
      </c>
      <c r="J814" s="115">
        <f>_xlfn.TEXTJOIN("-",TRUE,B814,C814,D814)</f>
        <v/>
      </c>
      <c r="K814" s="184" t="n"/>
      <c r="L814" s="184" t="n"/>
      <c r="M814" s="184" t="n"/>
      <c r="N814" s="184" t="n"/>
      <c r="O814" s="184" t="n"/>
      <c r="P814" s="184" t="n"/>
      <c r="Q814" s="184" t="n"/>
      <c r="BB814" s="390">
        <f>_xlfn.TEXTJOIN("-",TRUE,AU814,AW814)</f>
        <v/>
      </c>
    </row>
    <row r="815">
      <c r="B815" s="123" t="inlineStr">
        <is>
          <t>295/80R22.5</t>
        </is>
      </c>
      <c r="C815" s="177" t="inlineStr">
        <is>
          <t>18PR</t>
        </is>
      </c>
      <c r="D815" s="177" t="inlineStr">
        <is>
          <t>ECOPLUS</t>
        </is>
      </c>
      <c r="E815" s="177" t="inlineStr">
        <is>
          <t>ID295/80R22.5-18PR-ECOPLUS PR ID</t>
        </is>
      </c>
      <c r="F815" s="207">
        <f>G815-2.68+3.099</f>
        <v/>
      </c>
      <c r="G815" s="207" t="n">
        <v>53.159</v>
      </c>
      <c r="H815" s="207" t="n">
        <v>52.26</v>
      </c>
      <c r="I815" s="130">
        <f>G815-H815</f>
        <v/>
      </c>
      <c r="J815" s="115">
        <f>_xlfn.TEXTJOIN("-",TRUE,B815,C815,D815)</f>
        <v/>
      </c>
      <c r="K815" s="184" t="n"/>
      <c r="L815" s="184" t="n"/>
      <c r="M815" s="184" t="n"/>
      <c r="N815" s="184" t="n"/>
      <c r="O815" s="184" t="n"/>
      <c r="P815" s="184" t="n"/>
      <c r="Q815" s="184" t="n"/>
      <c r="BB815" s="390">
        <f>_xlfn.TEXTJOIN("-",TRUE,AU815,AW815)</f>
        <v/>
      </c>
    </row>
    <row r="816">
      <c r="B816" s="123" t="inlineStr">
        <is>
          <t>295/80R22.5</t>
        </is>
      </c>
      <c r="C816" s="177" t="inlineStr">
        <is>
          <t>18PR</t>
        </is>
      </c>
      <c r="D816" s="177" t="inlineStr">
        <is>
          <t>AD150</t>
        </is>
      </c>
      <c r="E816" s="177" t="inlineStr">
        <is>
          <t>ID295/80R22.5-18PR-AD150 J ID</t>
        </is>
      </c>
      <c r="F816" s="131">
        <f>G816-2.688+3.093</f>
        <v/>
      </c>
      <c r="G816" s="131" t="n">
        <v>52.878</v>
      </c>
      <c r="H816" s="131" t="n">
        <v>52.2936</v>
      </c>
      <c r="I816" s="130">
        <f>G816-H816</f>
        <v/>
      </c>
      <c r="J816" s="115">
        <f>_xlfn.TEXTJOIN("-",TRUE,B816,C816,D816)</f>
        <v/>
      </c>
      <c r="K816" s="184" t="n"/>
      <c r="L816" s="184" t="n"/>
      <c r="M816" s="184" t="n"/>
      <c r="N816" s="184" t="n"/>
      <c r="O816" s="184" t="n"/>
      <c r="P816" s="184" t="n"/>
      <c r="Q816" s="184" t="n"/>
      <c r="BB816" s="390">
        <f>_xlfn.TEXTJOIN("-",TRUE,AU816,AW816)</f>
        <v/>
      </c>
    </row>
    <row r="817">
      <c r="B817" s="123" t="inlineStr">
        <is>
          <t>295/80R22.5</t>
        </is>
      </c>
      <c r="C817" s="177" t="inlineStr">
        <is>
          <t>18PR</t>
        </is>
      </c>
      <c r="D817" s="177" t="inlineStr">
        <is>
          <t>AS898</t>
        </is>
      </c>
      <c r="E817" s="125" t="inlineStr">
        <is>
          <t>ID295/80R22.5-18PR-ASO C ID</t>
        </is>
      </c>
      <c r="F817" s="131">
        <f>G817-3.09+3.5</f>
        <v/>
      </c>
      <c r="G817" s="131" t="n">
        <v>61.554</v>
      </c>
      <c r="H817" s="131" t="n">
        <v>61.67</v>
      </c>
      <c r="I817" s="130">
        <f>G817-H817</f>
        <v/>
      </c>
      <c r="J817" s="115">
        <f>_xlfn.TEXTJOIN("-",TRUE,B817,C817,D817)</f>
        <v/>
      </c>
      <c r="K817" s="184" t="n"/>
      <c r="L817" s="184" t="n"/>
      <c r="M817" s="184" t="n"/>
      <c r="N817" s="184" t="n"/>
      <c r="O817" s="184" t="n"/>
      <c r="P817" s="184" t="n"/>
      <c r="Q817" s="184" t="n"/>
      <c r="BB817" s="390">
        <f>_xlfn.TEXTJOIN("-",TRUE,AU817,AW817)</f>
        <v/>
      </c>
    </row>
    <row r="818">
      <c r="B818" s="123" t="inlineStr">
        <is>
          <t>295/80R22.5</t>
        </is>
      </c>
      <c r="C818" s="177" t="inlineStr">
        <is>
          <t>18PR</t>
        </is>
      </c>
      <c r="D818" s="177" t="inlineStr">
        <is>
          <t>G-PRO S</t>
        </is>
      </c>
      <c r="E818" s="125" t="inlineStr">
        <is>
          <t>ID295/80R22.5-18PR-ASO C ID</t>
        </is>
      </c>
      <c r="F818" s="131">
        <f>G818-3.09+3.5</f>
        <v/>
      </c>
      <c r="G818" s="131" t="n">
        <v>61.554</v>
      </c>
      <c r="H818" s="131" t="n">
        <v>61.67</v>
      </c>
      <c r="I818" s="130">
        <f>G818-H818</f>
        <v/>
      </c>
      <c r="J818" s="115">
        <f>_xlfn.TEXTJOIN("-",TRUE,B818,C818,D818)</f>
        <v/>
      </c>
      <c r="K818" s="184" t="n"/>
      <c r="L818" s="184" t="n"/>
      <c r="M818" s="184" t="n"/>
      <c r="N818" s="184" t="n"/>
      <c r="O818" s="184" t="n"/>
      <c r="P818" s="184" t="n"/>
      <c r="Q818" s="184" t="n"/>
      <c r="BB818" s="390">
        <f>_xlfn.TEXTJOIN("-",TRUE,AU818,AW818)</f>
        <v/>
      </c>
    </row>
    <row r="819">
      <c r="B819" s="123" t="inlineStr">
        <is>
          <t>295/80R22.5</t>
        </is>
      </c>
      <c r="C819" s="177" t="inlineStr">
        <is>
          <t>18PR</t>
        </is>
      </c>
      <c r="D819" s="177" t="inlineStr">
        <is>
          <t>NEOLINE A-I</t>
        </is>
      </c>
      <c r="E819" s="125" t="inlineStr">
        <is>
          <t>ID295/80R22.5-18PR-ASO C ID</t>
        </is>
      </c>
      <c r="F819" s="131">
        <f>G819-3.09+3.5</f>
        <v/>
      </c>
      <c r="G819" s="131" t="n">
        <v>61.554</v>
      </c>
      <c r="H819" s="131" t="n">
        <v>61.67</v>
      </c>
      <c r="I819" s="130">
        <f>G819-H819</f>
        <v/>
      </c>
      <c r="J819" s="115">
        <f>_xlfn.TEXTJOIN("-",TRUE,B819,C819,D819)</f>
        <v/>
      </c>
      <c r="K819" s="184" t="n"/>
      <c r="L819" s="184" t="n"/>
      <c r="M819" s="184" t="n"/>
      <c r="N819" s="184" t="n"/>
      <c r="O819" s="184" t="n"/>
      <c r="P819" s="184" t="n"/>
      <c r="Q819" s="184" t="n"/>
      <c r="BB819" s="390">
        <f>_xlfn.TEXTJOIN("-",TRUE,AU819,AW819)</f>
        <v/>
      </c>
    </row>
    <row r="820">
      <c r="B820" s="123" t="inlineStr">
        <is>
          <t>295/80R22.5</t>
        </is>
      </c>
      <c r="C820" s="177" t="inlineStr">
        <is>
          <t>18PR</t>
        </is>
      </c>
      <c r="D820" s="177" t="inlineStr">
        <is>
          <t>AD818pro</t>
        </is>
      </c>
      <c r="E820" s="125" t="inlineStr">
        <is>
          <t>ID295/80R22.5-18PR-AD818pro C ID</t>
        </is>
      </c>
      <c r="F820" s="131">
        <f>G820-3.1+3.5</f>
        <v/>
      </c>
      <c r="G820" s="131" t="n">
        <v>68.806</v>
      </c>
      <c r="H820" s="131" t="n">
        <v>68.2</v>
      </c>
      <c r="I820" s="130">
        <f>G820-H820</f>
        <v/>
      </c>
      <c r="J820" s="115">
        <f>_xlfn.TEXTJOIN("-",TRUE,B820,C820,D820)</f>
        <v/>
      </c>
      <c r="K820" s="184" t="n"/>
      <c r="L820" s="184" t="n"/>
      <c r="M820" s="184" t="n"/>
      <c r="N820" s="184" t="n"/>
      <c r="O820" s="184" t="n"/>
      <c r="P820" s="184" t="n"/>
      <c r="Q820" s="184" t="n"/>
      <c r="BB820" s="390">
        <f>_xlfn.TEXTJOIN("-",TRUE,AU820,AW820)</f>
        <v/>
      </c>
    </row>
    <row r="821">
      <c r="B821" s="123" t="inlineStr">
        <is>
          <t>295/80R22.5</t>
        </is>
      </c>
      <c r="C821" s="177" t="inlineStr">
        <is>
          <t>18PR</t>
        </is>
      </c>
      <c r="D821" s="126" t="inlineStr">
        <is>
          <t>AT194</t>
        </is>
      </c>
      <c r="E821" s="177" t="inlineStr">
        <is>
          <t>ID295/80R22.5-18PR-AT194 J ID</t>
        </is>
      </c>
      <c r="F821" s="128">
        <f>G821-2.68+3.1</f>
        <v/>
      </c>
      <c r="G821" s="131" t="n">
        <v>52.485</v>
      </c>
      <c r="H821" s="131" t="n">
        <v>52.73</v>
      </c>
      <c r="I821" s="130">
        <f>G821-H821</f>
        <v/>
      </c>
      <c r="J821" s="115">
        <f>_xlfn.TEXTJOIN("-",TRUE,B821,C821,D821)</f>
        <v/>
      </c>
      <c r="K821" s="184" t="n"/>
      <c r="L821" s="184" t="n"/>
      <c r="M821" s="184" t="n"/>
      <c r="N821" s="184" t="n"/>
      <c r="O821" s="184" t="n"/>
      <c r="P821" s="184" t="n"/>
      <c r="Q821" s="184" t="n"/>
      <c r="BB821" s="390">
        <f>_xlfn.TEXTJOIN("-",TRUE,AU821,AW821)</f>
        <v/>
      </c>
    </row>
    <row r="822">
      <c r="B822" s="123" t="inlineStr">
        <is>
          <t>295/80R22.5</t>
        </is>
      </c>
      <c r="C822" s="177" t="inlineStr">
        <is>
          <t>18PR</t>
        </is>
      </c>
      <c r="D822" s="126" t="inlineStr">
        <is>
          <t>AZ170A</t>
        </is>
      </c>
      <c r="E822" s="177" t="inlineStr">
        <is>
          <t>ID295/80R22.5-18PR-AZ170A J ID</t>
        </is>
      </c>
      <c r="F822" s="128">
        <f>G822-2.69+3.09</f>
        <v/>
      </c>
      <c r="G822" s="131" t="n">
        <v>51.515</v>
      </c>
      <c r="H822" s="131" t="n">
        <v>51.73</v>
      </c>
      <c r="I822" s="130">
        <f>G822-H822</f>
        <v/>
      </c>
      <c r="J822" s="115">
        <f>_xlfn.TEXTJOIN("-",TRUE,B822,C822,D822)</f>
        <v/>
      </c>
      <c r="K822" s="184" t="n"/>
      <c r="L822" s="184" t="n"/>
      <c r="M822" s="184" t="n"/>
      <c r="N822" s="184" t="n"/>
      <c r="O822" s="184" t="n"/>
      <c r="P822" s="184" t="n"/>
      <c r="Q822" s="184" t="n"/>
      <c r="BB822" s="390">
        <f>_xlfn.TEXTJOIN("-",TRUE,AU822,AW822)</f>
        <v/>
      </c>
    </row>
    <row r="823">
      <c r="B823" s="123" t="inlineStr">
        <is>
          <t>295/80R22.5</t>
        </is>
      </c>
      <c r="C823" s="177" t="inlineStr">
        <is>
          <t>18PR</t>
        </is>
      </c>
      <c r="D823" s="126" t="inlineStr">
        <is>
          <t>H-RA</t>
        </is>
      </c>
      <c r="E823" s="177" t="inlineStr">
        <is>
          <t>ID295/80R22.5-18PR-H-RA US C ID</t>
        </is>
      </c>
      <c r="F823" s="128">
        <f>G823-3.09+3.5</f>
        <v/>
      </c>
      <c r="G823" s="131" t="n">
        <v>56.955</v>
      </c>
      <c r="H823" s="131" t="n">
        <v>57.16</v>
      </c>
      <c r="I823" s="130">
        <f>G823-H823</f>
        <v/>
      </c>
      <c r="J823" s="115">
        <f>_xlfn.TEXTJOIN("-",TRUE,B823,C823,D823)</f>
        <v/>
      </c>
      <c r="K823" s="184" t="n"/>
      <c r="L823" s="184" t="n"/>
      <c r="M823" s="184" t="n"/>
      <c r="N823" s="184" t="n"/>
      <c r="O823" s="184" t="n"/>
      <c r="P823" s="184" t="n"/>
      <c r="Q823" s="184" t="n"/>
      <c r="BB823" s="390">
        <f>_xlfn.TEXTJOIN("-",TRUE,AU823,AW823)</f>
        <v/>
      </c>
    </row>
    <row r="824">
      <c r="B824" s="123" t="inlineStr">
        <is>
          <t>295/80R22.5</t>
        </is>
      </c>
      <c r="C824" s="177" t="inlineStr">
        <is>
          <t>18PR</t>
        </is>
      </c>
      <c r="D824" s="126" t="inlineStr">
        <is>
          <t>AZ137</t>
        </is>
      </c>
      <c r="E824" s="177" t="inlineStr">
        <is>
          <t>ID295/80R22.5-18PR-AZ137 J ID</t>
        </is>
      </c>
      <c r="F824" s="128">
        <f>G824-2.69+3.09</f>
        <v/>
      </c>
      <c r="G824" s="131" t="n">
        <v>52.945</v>
      </c>
      <c r="H824" s="131" t="n">
        <v>53.16</v>
      </c>
      <c r="I824" s="130">
        <f>G824-H824</f>
        <v/>
      </c>
      <c r="J824" s="115">
        <f>_xlfn.TEXTJOIN("-",TRUE,B824,C824,D824)</f>
        <v/>
      </c>
      <c r="K824" s="184" t="n"/>
      <c r="L824" s="184" t="n"/>
      <c r="M824" s="184" t="n"/>
      <c r="N824" s="184" t="n"/>
      <c r="O824" s="184" t="n"/>
      <c r="P824" s="184" t="n"/>
      <c r="Q824" s="184" t="n"/>
      <c r="BB824" s="390">
        <f>_xlfn.TEXTJOIN("-",TRUE,AU824,AW824)</f>
        <v/>
      </c>
    </row>
    <row r="825">
      <c r="B825" s="123" t="inlineStr">
        <is>
          <t>295/80R22.5</t>
        </is>
      </c>
      <c r="C825" s="177" t="inlineStr">
        <is>
          <t>18PR</t>
        </is>
      </c>
      <c r="D825" s="177" t="inlineStr">
        <is>
          <t>AT161</t>
        </is>
      </c>
      <c r="E825" s="125" t="inlineStr">
        <is>
          <t>295/80R22.5-18PR-B J ID</t>
        </is>
      </c>
      <c r="F825" s="207">
        <f>G825-2.688+3.093</f>
        <v/>
      </c>
      <c r="G825" s="207" t="n">
        <v>53.75</v>
      </c>
      <c r="H825" s="131" t="n">
        <v>53.58</v>
      </c>
      <c r="I825" s="130">
        <f>G825-H825</f>
        <v/>
      </c>
      <c r="J825" s="115">
        <f>_xlfn.TEXTJOIN("-",TRUE,B825,C825,D825)</f>
        <v/>
      </c>
      <c r="K825" s="184" t="n"/>
      <c r="L825" s="184" t="n"/>
      <c r="M825" s="184" t="n"/>
      <c r="N825" s="184" t="n"/>
      <c r="O825" s="184" t="n"/>
      <c r="P825" s="184" t="n"/>
      <c r="Q825" s="184" t="n"/>
      <c r="BB825" s="390">
        <f>_xlfn.TEXTJOIN("-",TRUE,AU825,AW825)</f>
        <v/>
      </c>
    </row>
    <row r="826">
      <c r="B826" s="123" t="inlineStr">
        <is>
          <t>295/80R22.5</t>
        </is>
      </c>
      <c r="C826" s="177" t="inlineStr">
        <is>
          <t>18PR</t>
        </is>
      </c>
      <c r="D826" s="126" t="inlineStr">
        <is>
          <t>ECOPLUS</t>
        </is>
      </c>
      <c r="E826" s="177" t="inlineStr">
        <is>
          <t>295/80R22.5-18PR-B J ID</t>
        </is>
      </c>
      <c r="F826" s="207">
        <f>G826-2.688+3.093</f>
        <v/>
      </c>
      <c r="G826" s="207" t="n">
        <v>53.75</v>
      </c>
      <c r="H826" s="131" t="n">
        <v>53.58</v>
      </c>
      <c r="I826" s="130">
        <f>G826-H826</f>
        <v/>
      </c>
      <c r="J826" s="115">
        <f>_xlfn.TEXTJOIN("-",TRUE,B826,C826,D826)</f>
        <v/>
      </c>
      <c r="K826" s="184" t="n"/>
      <c r="L826" s="184" t="n"/>
      <c r="M826" s="184" t="n"/>
      <c r="N826" s="184" t="n"/>
      <c r="O826" s="184" t="n"/>
      <c r="P826" s="184" t="n"/>
      <c r="Q826" s="184" t="n"/>
      <c r="BB826" s="390">
        <f>_xlfn.TEXTJOIN("-",TRUE,AU826,AW826)</f>
        <v/>
      </c>
    </row>
    <row r="827">
      <c r="B827" s="214" t="n"/>
      <c r="C827" s="147" t="n"/>
      <c r="D827" s="147" t="n"/>
      <c r="E827" s="147" t="n"/>
      <c r="F827" s="215" t="n"/>
      <c r="G827" s="215" t="n"/>
      <c r="H827" s="137" t="n"/>
      <c r="I827" s="216" t="n"/>
      <c r="J827" s="115">
        <f>_xlfn.TEXTJOIN("-",TRUE,B827,C827,D827)</f>
        <v/>
      </c>
      <c r="K827" s="184" t="n"/>
      <c r="L827" s="184" t="n"/>
      <c r="M827" s="184" t="n"/>
      <c r="N827" s="184" t="n"/>
      <c r="O827" s="184" t="n"/>
      <c r="P827" s="184" t="n"/>
      <c r="Q827" s="184" t="n"/>
      <c r="BB827" s="390">
        <f>_xlfn.TEXTJOIN("-",TRUE,AU827,AW827)</f>
        <v/>
      </c>
    </row>
    <row r="828">
      <c r="B828" s="123" t="inlineStr">
        <is>
          <t>315/80R22.5</t>
        </is>
      </c>
      <c r="C828" s="177" t="inlineStr">
        <is>
          <t>20PR</t>
        </is>
      </c>
      <c r="D828" s="177" t="inlineStr">
        <is>
          <t>AD710A</t>
        </is>
      </c>
      <c r="E828" s="177" t="inlineStr">
        <is>
          <t>ID315/80R22.5-20PR-AD710A C ID</t>
        </is>
      </c>
      <c r="F828" s="131">
        <f>G828-2.771+3.487</f>
        <v/>
      </c>
      <c r="G828" s="131" t="n">
        <v>71.97</v>
      </c>
      <c r="H828" s="131" t="n">
        <v>72.08</v>
      </c>
      <c r="I828" s="130">
        <f>G828-H828</f>
        <v/>
      </c>
      <c r="J828" s="115">
        <f>_xlfn.TEXTJOIN("-",TRUE,B828,C828,D828)</f>
        <v/>
      </c>
      <c r="K828" s="184" t="n"/>
      <c r="L828" s="184" t="n"/>
      <c r="M828" s="184" t="n"/>
      <c r="N828" s="184" t="n"/>
      <c r="O828" s="184" t="n"/>
      <c r="P828" s="184" t="n"/>
      <c r="Q828" s="184" t="n"/>
      <c r="BB828" s="390">
        <f>_xlfn.TEXTJOIN("-",TRUE,AU828,AW828)</f>
        <v/>
      </c>
    </row>
    <row r="829">
      <c r="B829" s="123" t="inlineStr">
        <is>
          <t>315/80R22.5</t>
        </is>
      </c>
      <c r="C829" s="177" t="inlineStr">
        <is>
          <t>20PR</t>
        </is>
      </c>
      <c r="D829" s="177" t="inlineStr">
        <is>
          <t>AS668</t>
        </is>
      </c>
      <c r="E829" s="177" t="inlineStr">
        <is>
          <t>ID315/80R22.5-20PR-AS668 C ID</t>
        </is>
      </c>
      <c r="F829" s="131">
        <f>G829-2.771+3.487</f>
        <v/>
      </c>
      <c r="G829" s="131" t="n">
        <v>68.32299999999999</v>
      </c>
      <c r="H829" s="131" t="n">
        <v>69.3897</v>
      </c>
      <c r="I829" s="130">
        <f>G829-H829</f>
        <v/>
      </c>
      <c r="J829" s="115">
        <f>_xlfn.TEXTJOIN("-",TRUE,B829,C829,D829)</f>
        <v/>
      </c>
      <c r="K829" s="184" t="n"/>
      <c r="L829" s="184" t="n"/>
      <c r="M829" s="184" t="n"/>
      <c r="N829" s="184" t="n"/>
      <c r="O829" s="184" t="n"/>
      <c r="P829" s="184" t="n"/>
      <c r="Q829" s="184" t="n"/>
      <c r="BB829" s="390">
        <f>_xlfn.TEXTJOIN("-",TRUE,AU829,AW829)</f>
        <v/>
      </c>
    </row>
    <row r="830">
      <c r="B830" s="123" t="inlineStr">
        <is>
          <t>315/80R22.5</t>
        </is>
      </c>
      <c r="C830" s="177" t="inlineStr">
        <is>
          <t>20PR</t>
        </is>
      </c>
      <c r="D830" s="177" t="inlineStr">
        <is>
          <t>AS578</t>
        </is>
      </c>
      <c r="E830" s="177" t="inlineStr">
        <is>
          <t>ID315/80R22.5-20PR-AS578 C ID</t>
        </is>
      </c>
      <c r="F830" s="131">
        <f>G830-2.74+3.441</f>
        <v/>
      </c>
      <c r="G830" s="131" t="n">
        <v>65.768</v>
      </c>
      <c r="H830" s="131" t="n">
        <v>65.79000000000001</v>
      </c>
      <c r="I830" s="130">
        <f>G830-H830</f>
        <v/>
      </c>
      <c r="J830" s="115">
        <f>_xlfn.TEXTJOIN("-",TRUE,B830,C830,D830)</f>
        <v/>
      </c>
      <c r="K830" s="184" t="n"/>
      <c r="L830" s="184" t="n"/>
      <c r="M830" s="184" t="n"/>
      <c r="N830" s="184" t="n"/>
      <c r="O830" s="184" t="n"/>
      <c r="P830" s="184" t="n"/>
      <c r="Q830" s="184" t="n"/>
      <c r="BB830" s="390">
        <f>_xlfn.TEXTJOIN("-",TRUE,AU830,AW830)</f>
        <v/>
      </c>
    </row>
    <row r="831">
      <c r="B831" s="123" t="inlineStr">
        <is>
          <t>315/80R22.5</t>
        </is>
      </c>
      <c r="C831" s="177" t="inlineStr">
        <is>
          <t>20PR</t>
        </is>
      </c>
      <c r="D831" s="177" t="inlineStr">
        <is>
          <t>CM958</t>
        </is>
      </c>
      <c r="E831" s="177" t="inlineStr">
        <is>
          <t>ID315/80R22.5-20PR-CM958 C ID</t>
        </is>
      </c>
      <c r="F831" s="131">
        <f>G831-2.771+3.487</f>
        <v/>
      </c>
      <c r="G831" s="131" t="n">
        <v>69.679</v>
      </c>
      <c r="H831" s="131" t="n">
        <v>70.1191</v>
      </c>
      <c r="I831" s="130">
        <f>G831-H831</f>
        <v/>
      </c>
      <c r="J831" s="115">
        <f>_xlfn.TEXTJOIN("-",TRUE,B831,C831,D831)</f>
        <v/>
      </c>
      <c r="K831" s="184" t="n"/>
      <c r="L831" s="184" t="n"/>
      <c r="M831" s="184" t="n"/>
      <c r="N831" s="184" t="n"/>
      <c r="O831" s="184" t="n"/>
      <c r="P831" s="184" t="n"/>
      <c r="Q831" s="184" t="n"/>
      <c r="BB831" s="390">
        <f>_xlfn.TEXTJOIN("-",TRUE,AU831,AW831)</f>
        <v/>
      </c>
    </row>
    <row r="832">
      <c r="B832" s="123" t="inlineStr">
        <is>
          <t>315/80R22.5</t>
        </is>
      </c>
      <c r="C832" s="177" t="inlineStr">
        <is>
          <t>20PR</t>
        </is>
      </c>
      <c r="D832" s="177" t="inlineStr">
        <is>
          <t>CM913A</t>
        </is>
      </c>
      <c r="E832" s="177" t="inlineStr">
        <is>
          <t>ID315/80R22.5-20PR-CM913A C ID</t>
        </is>
      </c>
      <c r="F832" s="131">
        <f>G832-2.771+3.487</f>
        <v/>
      </c>
      <c r="G832" s="131" t="n">
        <v>68.62</v>
      </c>
      <c r="H832" s="131" t="n">
        <v>68.5219</v>
      </c>
      <c r="I832" s="130">
        <f>G832-H832</f>
        <v/>
      </c>
      <c r="J832" s="115">
        <f>_xlfn.TEXTJOIN("-",TRUE,B832,C832,D832)</f>
        <v/>
      </c>
      <c r="K832" s="184" t="n"/>
      <c r="L832" s="184" t="n"/>
      <c r="M832" s="184" t="n"/>
      <c r="N832" s="184" t="n"/>
      <c r="O832" s="184" t="n"/>
      <c r="P832" s="184" t="n"/>
      <c r="Q832" s="184" t="n"/>
      <c r="BB832" s="390">
        <f>_xlfn.TEXTJOIN("-",TRUE,AU832,AW832)</f>
        <v/>
      </c>
    </row>
    <row r="833">
      <c r="B833" s="123" t="inlineStr">
        <is>
          <t>315/80R22.5</t>
        </is>
      </c>
      <c r="C833" s="177" t="inlineStr">
        <is>
          <t>20PR</t>
        </is>
      </c>
      <c r="D833" s="177" t="inlineStr">
        <is>
          <t>CM923</t>
        </is>
      </c>
      <c r="E833" s="177" t="inlineStr">
        <is>
          <t>ID315/80R22.5-20PR-CM923 C ID</t>
        </is>
      </c>
      <c r="F833" s="131">
        <f>G833-2.771+3.487</f>
        <v/>
      </c>
      <c r="G833" s="131" t="n">
        <v>68.379</v>
      </c>
      <c r="H833" s="131" t="n">
        <v>68.60760000000001</v>
      </c>
      <c r="I833" s="130">
        <f>G833-H833</f>
        <v/>
      </c>
      <c r="J833" s="115">
        <f>_xlfn.TEXTJOIN("-",TRUE,B833,C833,D833)</f>
        <v/>
      </c>
      <c r="K833" s="184" t="n"/>
      <c r="L833" s="184" t="n"/>
      <c r="M833" s="184" t="n"/>
      <c r="N833" s="184" t="n"/>
      <c r="O833" s="184" t="n"/>
      <c r="P833" s="184" t="n"/>
      <c r="Q833" s="184" t="n"/>
      <c r="BB833" s="390">
        <f>_xlfn.TEXTJOIN("-",TRUE,AU833,AW833)</f>
        <v/>
      </c>
    </row>
    <row r="834">
      <c r="B834" s="123" t="inlineStr">
        <is>
          <t>315/80R22.5</t>
        </is>
      </c>
      <c r="C834" s="177" t="inlineStr">
        <is>
          <t>20PR</t>
        </is>
      </c>
      <c r="D834" s="177" t="inlineStr">
        <is>
          <t>CR926B</t>
        </is>
      </c>
      <c r="E834" s="177" t="inlineStr">
        <is>
          <t>ID315/80R22.5-20PR-CR926B C ID</t>
        </is>
      </c>
      <c r="F834" s="131">
        <f>G834-2.771+3.487</f>
        <v/>
      </c>
      <c r="G834" s="131" t="n">
        <v>66.104</v>
      </c>
      <c r="H834" s="131" t="n">
        <v>66.33</v>
      </c>
      <c r="I834" s="130">
        <f>G834-H834</f>
        <v/>
      </c>
      <c r="J834" s="115">
        <f>_xlfn.TEXTJOIN("-",TRUE,B834,C834,D834)</f>
        <v/>
      </c>
      <c r="K834" s="184" t="n"/>
      <c r="L834" s="184" t="n"/>
      <c r="M834" s="184" t="n"/>
      <c r="N834" s="184" t="n"/>
      <c r="O834" s="184" t="n"/>
      <c r="P834" s="184" t="n"/>
      <c r="Q834" s="184" t="n"/>
      <c r="BB834" s="390">
        <f>_xlfn.TEXTJOIN("-",TRUE,AU834,AW834)</f>
        <v/>
      </c>
    </row>
    <row r="835">
      <c r="B835" s="123" t="inlineStr">
        <is>
          <t>315/80R22.5</t>
        </is>
      </c>
      <c r="C835" s="177" t="inlineStr">
        <is>
          <t>20PR</t>
        </is>
      </c>
      <c r="D835" s="177" t="inlineStr">
        <is>
          <t>ZM41</t>
        </is>
      </c>
      <c r="E835" s="177" t="inlineStr">
        <is>
          <t>ID315/80R22.5-20PR-W-Elite ZM41 C ID</t>
        </is>
      </c>
      <c r="F835" s="131">
        <f>G835-2.771+3.487</f>
        <v/>
      </c>
      <c r="G835" s="131" t="n">
        <v>73.139</v>
      </c>
      <c r="H835" s="131" t="n">
        <v>72.95</v>
      </c>
      <c r="I835" s="130">
        <f>G835-H835</f>
        <v/>
      </c>
      <c r="J835" s="115">
        <f>_xlfn.TEXTJOIN("-",TRUE,B835,C835,D835)</f>
        <v/>
      </c>
      <c r="K835" s="184" t="n"/>
      <c r="L835" s="184" t="n"/>
      <c r="M835" s="184" t="n"/>
      <c r="N835" s="184" t="n"/>
      <c r="O835" s="184" t="n"/>
      <c r="P835" s="184" t="n"/>
      <c r="Q835" s="184" t="n"/>
      <c r="BB835" s="390">
        <f>_xlfn.TEXTJOIN("-",TRUE,AU835,AW835)</f>
        <v/>
      </c>
    </row>
    <row r="836">
      <c r="B836" s="123" t="inlineStr">
        <is>
          <t>315/80R22.5</t>
        </is>
      </c>
      <c r="C836" s="177" t="inlineStr">
        <is>
          <t>20PR</t>
        </is>
      </c>
      <c r="D836" s="177" t="inlineStr">
        <is>
          <t>WSR1</t>
        </is>
      </c>
      <c r="E836" s="177" t="inlineStr">
        <is>
          <t>ID315/80R22.5-20PR-WHA C ID</t>
        </is>
      </c>
      <c r="F836" s="131">
        <f>G836-2.771+3.487</f>
        <v/>
      </c>
      <c r="G836" s="131" t="n">
        <v>70.755</v>
      </c>
      <c r="H836" s="131" t="n">
        <v>73.0333</v>
      </c>
      <c r="I836" s="130">
        <f>G836-H836</f>
        <v/>
      </c>
      <c r="J836" s="115">
        <f>_xlfn.TEXTJOIN("-",TRUE,B836,C836,D836)</f>
        <v/>
      </c>
      <c r="K836" s="184" t="n"/>
      <c r="L836" s="184" t="n"/>
      <c r="M836" s="184" t="n"/>
      <c r="N836" s="184" t="n"/>
      <c r="O836" s="184" t="n"/>
      <c r="P836" s="184" t="n"/>
      <c r="Q836" s="184" t="n"/>
      <c r="BB836" s="390">
        <f>_xlfn.TEXTJOIN("-",TRUE,AU836,AW836)</f>
        <v/>
      </c>
    </row>
    <row r="837">
      <c r="B837" s="123" t="inlineStr">
        <is>
          <t>315/80R22.5</t>
        </is>
      </c>
      <c r="C837" s="177" t="inlineStr">
        <is>
          <t>20PR</t>
        </is>
      </c>
      <c r="D837" s="177" t="inlineStr">
        <is>
          <t>HA3 Plus</t>
        </is>
      </c>
      <c r="E837" s="177" t="inlineStr">
        <is>
          <t>ID315/80R22.5-20PR-WHA C ID</t>
        </is>
      </c>
      <c r="F837" s="131">
        <f>G837-2.771+3.487</f>
        <v/>
      </c>
      <c r="G837" s="131" t="n">
        <v>70.755</v>
      </c>
      <c r="H837" s="131" t="n">
        <v>73.0333</v>
      </c>
      <c r="I837" s="130">
        <f>G837-H837</f>
        <v/>
      </c>
      <c r="J837" s="115">
        <f>_xlfn.TEXTJOIN("-",TRUE,B837,C837,D837)</f>
        <v/>
      </c>
      <c r="K837" s="184" t="n"/>
      <c r="L837" s="184" t="n"/>
      <c r="M837" s="184" t="n"/>
      <c r="N837" s="184" t="n"/>
      <c r="O837" s="184" t="n"/>
      <c r="P837" s="184" t="n"/>
      <c r="Q837" s="184" t="n"/>
      <c r="BB837" s="390">
        <f>_xlfn.TEXTJOIN("-",TRUE,AU837,AW837)</f>
        <v/>
      </c>
    </row>
    <row r="838">
      <c r="B838" s="123" t="inlineStr">
        <is>
          <t>315/80R22.5</t>
        </is>
      </c>
      <c r="C838" s="177" t="inlineStr">
        <is>
          <t>20PR</t>
        </is>
      </c>
      <c r="D838" s="177" t="inlineStr">
        <is>
          <t>AZ692</t>
        </is>
      </c>
      <c r="E838" s="177" t="inlineStr">
        <is>
          <t>ID315/80R22.5-20PR-AZ692 C ID</t>
        </is>
      </c>
      <c r="F838" s="131">
        <f>G838-2.771+3.487</f>
        <v/>
      </c>
      <c r="G838" s="131" t="n">
        <v>67.997</v>
      </c>
      <c r="H838" s="131" t="n">
        <v>68.0421</v>
      </c>
      <c r="I838" s="130">
        <f>G838-H838</f>
        <v/>
      </c>
      <c r="J838" s="115">
        <f>_xlfn.TEXTJOIN("-",TRUE,B838,C838,D838)</f>
        <v/>
      </c>
      <c r="K838" s="184" t="n"/>
      <c r="L838" s="184" t="n"/>
      <c r="M838" s="184" t="n"/>
      <c r="N838" s="184" t="n"/>
      <c r="O838" s="184" t="n"/>
      <c r="P838" s="184" t="n"/>
      <c r="Q838" s="184" t="n"/>
      <c r="BB838" s="390">
        <f>_xlfn.TEXTJOIN("-",TRUE,AU838,AW838)</f>
        <v/>
      </c>
    </row>
    <row r="839">
      <c r="B839" s="123" t="inlineStr">
        <is>
          <t>315/80R22.5</t>
        </is>
      </c>
      <c r="C839" s="177" t="inlineStr">
        <is>
          <t>20PR</t>
        </is>
      </c>
      <c r="D839" s="177" t="inlineStr">
        <is>
          <t>VDM924</t>
        </is>
      </c>
      <c r="E839" s="177" t="inlineStr">
        <is>
          <t>ID315/80R22.5-20PR-VDM924 C ID</t>
        </is>
      </c>
      <c r="F839" s="131">
        <f>G839-2.771+3.487</f>
        <v/>
      </c>
      <c r="G839" s="131" t="n">
        <v>71.56100000000001</v>
      </c>
      <c r="H839" s="207" t="n">
        <v>71.8</v>
      </c>
      <c r="I839" s="130">
        <f>G839-H839</f>
        <v/>
      </c>
      <c r="J839" s="115">
        <f>_xlfn.TEXTJOIN("-",TRUE,B839,C839,D839)</f>
        <v/>
      </c>
      <c r="K839" s="184" t="n"/>
      <c r="L839" s="184" t="n"/>
      <c r="M839" s="184" t="n"/>
      <c r="N839" s="184" t="n"/>
      <c r="O839" s="184" t="n"/>
      <c r="P839" s="184" t="n"/>
      <c r="Q839" s="184" t="n"/>
      <c r="BB839" s="390">
        <f>_xlfn.TEXTJOIN("-",TRUE,AU839,AW839)</f>
        <v/>
      </c>
    </row>
    <row r="840">
      <c r="B840" s="123" t="inlineStr">
        <is>
          <t>315/80R22.5</t>
        </is>
      </c>
      <c r="C840" s="177" t="inlineStr">
        <is>
          <t>20PR</t>
        </is>
      </c>
      <c r="D840" s="177" t="inlineStr">
        <is>
          <t>CR960A</t>
        </is>
      </c>
      <c r="E840" s="125" t="inlineStr">
        <is>
          <t>ID315/80R22.5-20PR-KK C ID</t>
        </is>
      </c>
      <c r="F840" s="131">
        <f>G840-2.764+3.484</f>
        <v/>
      </c>
      <c r="G840" s="131" t="n">
        <v>64.988</v>
      </c>
      <c r="H840" s="131" t="n">
        <v>64.52</v>
      </c>
      <c r="I840" s="130">
        <f>G840-H840</f>
        <v/>
      </c>
      <c r="J840" s="115">
        <f>_xlfn.TEXTJOIN("-",TRUE,B840,C840,D840)</f>
        <v/>
      </c>
      <c r="K840" s="184" t="n"/>
      <c r="L840" s="184" t="n"/>
      <c r="M840" s="184" t="n"/>
      <c r="N840" s="184" t="n"/>
      <c r="O840" s="184" t="n"/>
      <c r="P840" s="184" t="n"/>
      <c r="Q840" s="184" t="n"/>
      <c r="BB840" s="390">
        <f>_xlfn.TEXTJOIN("-",TRUE,AU840,AW840)</f>
        <v/>
      </c>
    </row>
    <row r="841">
      <c r="B841" s="123" t="inlineStr">
        <is>
          <t>315/80R22.5</t>
        </is>
      </c>
      <c r="C841" s="177" t="inlineStr">
        <is>
          <t>20PR</t>
        </is>
      </c>
      <c r="D841" s="177" t="inlineStr">
        <is>
          <t>AZ599</t>
        </is>
      </c>
      <c r="E841" s="125" t="inlineStr">
        <is>
          <t>ID315/80R22.5-20PR-KK C ID</t>
        </is>
      </c>
      <c r="F841" s="131">
        <f>G841-2.764+3.484</f>
        <v/>
      </c>
      <c r="G841" s="131" t="n">
        <v>64.988</v>
      </c>
      <c r="H841" s="131" t="n">
        <v>64.52</v>
      </c>
      <c r="I841" s="130">
        <f>G841-H841</f>
        <v/>
      </c>
      <c r="J841" s="115">
        <f>_xlfn.TEXTJOIN("-",TRUE,B841,C841,D841)</f>
        <v/>
      </c>
      <c r="K841" s="184" t="n"/>
      <c r="L841" s="184" t="n"/>
      <c r="M841" s="184" t="n"/>
      <c r="N841" s="184" t="n"/>
      <c r="O841" s="184" t="n"/>
      <c r="P841" s="184" t="n"/>
      <c r="Q841" s="184" t="n"/>
      <c r="BB841" s="390">
        <f>_xlfn.TEXTJOIN("-",TRUE,AU841,AW841)</f>
        <v/>
      </c>
    </row>
    <row r="842">
      <c r="B842" s="123" t="inlineStr">
        <is>
          <t>315/80R22.5</t>
        </is>
      </c>
      <c r="C842" s="177" t="inlineStr">
        <is>
          <t>20PR</t>
        </is>
      </c>
      <c r="D842" s="177" t="inlineStr">
        <is>
          <t>AZ126T</t>
        </is>
      </c>
      <c r="E842" s="177" t="inlineStr">
        <is>
          <t>ID315/80R22.5-20PR-AZH J ID</t>
        </is>
      </c>
      <c r="F842" s="131">
        <f>G842-2.747+3.434</f>
        <v/>
      </c>
      <c r="G842" s="131" t="n">
        <v>62.322</v>
      </c>
      <c r="H842" s="131" t="n">
        <v>62.33</v>
      </c>
      <c r="I842" s="130">
        <f>G842-H842</f>
        <v/>
      </c>
      <c r="J842" s="115">
        <f>_xlfn.TEXTJOIN("-",TRUE,B842,C842,D842)</f>
        <v/>
      </c>
      <c r="K842" s="184" t="n">
        <v>49.065</v>
      </c>
      <c r="L842" s="184" t="n"/>
      <c r="M842" s="184" t="n"/>
      <c r="N842" s="184" t="inlineStr">
        <is>
          <t>11R22.5-14PR-Strong Guard H-TL</t>
        </is>
      </c>
      <c r="O842" s="184" t="n"/>
      <c r="P842" s="184" t="n"/>
      <c r="Q842" s="184" t="n"/>
      <c r="BB842" s="390">
        <f>_xlfn.TEXTJOIN("-",TRUE,AU842,AW842)</f>
        <v/>
      </c>
    </row>
    <row r="843">
      <c r="B843" s="123" t="inlineStr">
        <is>
          <t>315/80R22.5</t>
        </is>
      </c>
      <c r="C843" s="177" t="inlineStr">
        <is>
          <t>20PR</t>
        </is>
      </c>
      <c r="D843" s="177" t="inlineStr">
        <is>
          <t>HCC1 PlusX</t>
        </is>
      </c>
      <c r="E843" s="177" t="inlineStr">
        <is>
          <t>ID315/80R22.5-20PR-AZH J ID</t>
        </is>
      </c>
      <c r="F843" s="131">
        <f>G843-2.747+3.434</f>
        <v/>
      </c>
      <c r="G843" s="131" t="n">
        <v>62.322</v>
      </c>
      <c r="H843" s="131" t="n">
        <v>62.33</v>
      </c>
      <c r="I843" s="130">
        <f>G843-H843</f>
        <v/>
      </c>
      <c r="J843" s="115">
        <f>_xlfn.TEXTJOIN("-",TRUE,B843,C843,D843)</f>
        <v/>
      </c>
      <c r="K843" s="184" t="n">
        <v>54.244</v>
      </c>
      <c r="L843" s="184" t="n"/>
      <c r="M843" s="184" t="n"/>
      <c r="N843" s="184" t="inlineStr">
        <is>
          <t>11R22.5-16PR-Strong Guard H-RD</t>
        </is>
      </c>
      <c r="O843" s="184" t="n"/>
      <c r="P843" s="184" t="n"/>
      <c r="Q843" s="184" t="n"/>
      <c r="BB843" s="390">
        <f>_xlfn.TEXTJOIN("-",TRUE,AU843,AW843)</f>
        <v/>
      </c>
    </row>
    <row r="844">
      <c r="B844" s="123" t="inlineStr">
        <is>
          <t>315/80R22.5</t>
        </is>
      </c>
      <c r="C844" s="177" t="inlineStr">
        <is>
          <t>18PR</t>
        </is>
      </c>
      <c r="D844" s="177" t="inlineStr">
        <is>
          <t>AZ170</t>
        </is>
      </c>
      <c r="E844" s="177" t="inlineStr">
        <is>
          <t>ID315/80R22.5-18PR-AZ170 J ID</t>
        </is>
      </c>
      <c r="F844" s="131">
        <f>G844-2.747+3.434</f>
        <v/>
      </c>
      <c r="G844" s="131" t="n">
        <v>59.655</v>
      </c>
      <c r="H844" s="131" t="n">
        <v>59.74</v>
      </c>
      <c r="I844" s="130">
        <f>G844-H844</f>
        <v/>
      </c>
      <c r="J844" s="115">
        <f>_xlfn.TEXTJOIN("-",TRUE,B844,C844,D844)</f>
        <v/>
      </c>
      <c r="K844" s="184" t="n">
        <v>51.024</v>
      </c>
      <c r="L844" s="184" t="n"/>
      <c r="M844" s="184" t="n"/>
      <c r="N844" s="184" t="inlineStr">
        <is>
          <t>11R22.5-16PR-Strong Guard H-RA</t>
        </is>
      </c>
      <c r="O844" s="184" t="n"/>
      <c r="P844" s="184" t="n"/>
      <c r="Q844" s="184" t="n"/>
      <c r="BB844" s="390">
        <f>_xlfn.TEXTJOIN("-",TRUE,AU844,AW844)</f>
        <v/>
      </c>
    </row>
    <row r="845">
      <c r="B845" s="123" t="inlineStr">
        <is>
          <t>315/80R22.5</t>
        </is>
      </c>
      <c r="C845" s="177" t="inlineStr">
        <is>
          <t>20PR</t>
        </is>
      </c>
      <c r="D845" s="177" t="inlineStr">
        <is>
          <t>AZ579</t>
        </is>
      </c>
      <c r="E845" s="177" t="inlineStr">
        <is>
          <t>ID315/80R22.5-20PR-AZ579 C ID</t>
        </is>
      </c>
      <c r="F845" s="131">
        <f>G845-2.764+3.484</f>
        <v/>
      </c>
      <c r="G845" s="131" t="n">
        <v>66.22</v>
      </c>
      <c r="H845" s="131" t="n">
        <v>66</v>
      </c>
      <c r="I845" s="130">
        <f>G845-H845</f>
        <v/>
      </c>
      <c r="J845" s="115">
        <f>_xlfn.TEXTJOIN("-",TRUE,B845,C845,D845)</f>
        <v/>
      </c>
      <c r="K845" s="184" t="n">
        <v>60.324</v>
      </c>
      <c r="L845" s="184" t="n"/>
      <c r="M845" s="184" t="n"/>
      <c r="N845" s="184" t="inlineStr">
        <is>
          <t>11R22.5-16PR-Strong Guard H-MD</t>
        </is>
      </c>
      <c r="O845" s="184" t="n"/>
      <c r="P845" s="184" t="n"/>
      <c r="Q845" s="184" t="n"/>
      <c r="BB845" s="390">
        <f>_xlfn.TEXTJOIN("-",TRUE,AU845,AW845)</f>
        <v/>
      </c>
    </row>
    <row r="846">
      <c r="B846" s="123" t="inlineStr">
        <is>
          <t>315/80R22.5</t>
        </is>
      </c>
      <c r="C846" s="177" t="inlineStr">
        <is>
          <t>20PR</t>
        </is>
      </c>
      <c r="D846" s="177" t="inlineStr">
        <is>
          <t>VA996</t>
        </is>
      </c>
      <c r="E846" s="177" t="inlineStr">
        <is>
          <t>ID315/80R22.5-20PR-VA996 C ID</t>
        </is>
      </c>
      <c r="F846" s="131">
        <f>G846-2.764+3.484</f>
        <v/>
      </c>
      <c r="G846" s="131" t="n">
        <v>69.32299999999999</v>
      </c>
      <c r="H846" s="131" t="n">
        <v>67.91</v>
      </c>
      <c r="I846" s="130">
        <f>G846-H846</f>
        <v/>
      </c>
      <c r="J846" s="115">
        <f>_xlfn.TEXTJOIN("-",TRUE,B846,C846,D846)</f>
        <v/>
      </c>
      <c r="K846" s="184" t="n">
        <v>53.218</v>
      </c>
      <c r="L846" s="184" t="n"/>
      <c r="M846" s="184" t="n"/>
      <c r="N846" s="184" t="inlineStr">
        <is>
          <t>11R24.5-14PR-Strong Guard H-TL</t>
        </is>
      </c>
      <c r="O846" s="184" t="n"/>
      <c r="P846" s="184" t="n"/>
      <c r="Q846" s="184" t="n"/>
      <c r="BB846" s="390">
        <f>_xlfn.TEXTJOIN("-",TRUE,AU846,AW846)</f>
        <v/>
      </c>
    </row>
    <row r="847">
      <c r="B847" s="123" t="inlineStr">
        <is>
          <t>315/80R22.5</t>
        </is>
      </c>
      <c r="C847" s="177" t="inlineStr">
        <is>
          <t>20PR</t>
        </is>
      </c>
      <c r="D847" s="177" t="inlineStr">
        <is>
          <t>I-52A</t>
        </is>
      </c>
      <c r="E847" s="177" t="inlineStr">
        <is>
          <t>ID315/80R22.5-20PR-I-52A C ID</t>
        </is>
      </c>
      <c r="F847" s="131">
        <f>G847-2.764+3.484</f>
        <v/>
      </c>
      <c r="G847" s="131" t="n">
        <v>68.11799999999999</v>
      </c>
      <c r="H847" s="131" t="n">
        <v>67.70999999999999</v>
      </c>
      <c r="I847" s="130">
        <f>G847-H847</f>
        <v/>
      </c>
      <c r="J847" s="115">
        <f>_xlfn.TEXTJOIN("-",TRUE,B847,C847,D847)</f>
        <v/>
      </c>
      <c r="K847" s="184" t="n">
        <v>64.86799999999999</v>
      </c>
      <c r="L847" s="184" t="n"/>
      <c r="M847" s="184" t="n"/>
      <c r="N847" s="184" t="inlineStr">
        <is>
          <t>11R24.5-16PR-Strong Guard H-MD</t>
        </is>
      </c>
      <c r="O847" s="184" t="n"/>
      <c r="P847" s="184" t="n"/>
      <c r="Q847" s="184" t="n"/>
      <c r="BB847" s="390">
        <f>_xlfn.TEXTJOIN("-",TRUE,AU847,AW847)</f>
        <v/>
      </c>
    </row>
    <row r="848">
      <c r="B848" s="123" t="inlineStr">
        <is>
          <t>315/80R22.5</t>
        </is>
      </c>
      <c r="C848" s="177" t="inlineStr">
        <is>
          <t>20PR</t>
        </is>
      </c>
      <c r="D848" s="177" t="inlineStr">
        <is>
          <t>I-31M</t>
        </is>
      </c>
      <c r="E848" s="177" t="inlineStr">
        <is>
          <t>ID315/80R22.5-20PR-I-31M C ID</t>
        </is>
      </c>
      <c r="F848" s="131">
        <f>G848-2.764+3.484</f>
        <v/>
      </c>
      <c r="G848" s="131" t="n">
        <v>68.18300000000001</v>
      </c>
      <c r="H848" s="131" t="n">
        <v>67.5</v>
      </c>
      <c r="I848" s="130">
        <f>G848-H848</f>
        <v/>
      </c>
      <c r="J848" s="115">
        <f>_xlfn.TEXTJOIN("-",TRUE,B848,C848,D848)</f>
        <v/>
      </c>
      <c r="K848" s="184" t="n">
        <v>57.716</v>
      </c>
      <c r="L848" s="184" t="n"/>
      <c r="M848" s="184" t="n"/>
      <c r="N848" s="184" t="inlineStr">
        <is>
          <t>11R24.5-16PR-Strong Guard H-RD</t>
        </is>
      </c>
      <c r="O848" s="184" t="n"/>
      <c r="P848" s="184" t="n"/>
      <c r="Q848" s="184" t="n"/>
      <c r="BB848" s="390">
        <f>_xlfn.TEXTJOIN("-",TRUE,AU848,AW848)</f>
        <v/>
      </c>
    </row>
    <row r="849">
      <c r="B849" s="140" t="inlineStr">
        <is>
          <t>315/80R22.5</t>
        </is>
      </c>
      <c r="C849" s="141" t="inlineStr">
        <is>
          <t>20PR</t>
        </is>
      </c>
      <c r="D849" s="141" t="inlineStr">
        <is>
          <t>H-RD</t>
        </is>
      </c>
      <c r="E849" s="141" t="inlineStr">
        <is>
          <t>ID315/80R22.5-20PR-HRD US ID</t>
        </is>
      </c>
      <c r="F849" s="217" t="n">
        <v>63.58</v>
      </c>
      <c r="G849" s="217" t="n">
        <v>62.86</v>
      </c>
      <c r="H849" s="171" t="n">
        <v>62.57</v>
      </c>
      <c r="I849" s="142" t="n">
        <v>0.28</v>
      </c>
      <c r="J849" s="115">
        <f>_xlfn.TEXTJOIN("-",TRUE,B849,C849,D849)</f>
        <v/>
      </c>
      <c r="K849" s="184" t="n">
        <v>49.12</v>
      </c>
      <c r="L849" s="184" t="n"/>
      <c r="M849" s="184" t="n"/>
      <c r="N849" s="184" t="inlineStr">
        <is>
          <t>285/75R24.5-14PR-Strong Guard H-TL</t>
        </is>
      </c>
      <c r="O849" s="184" t="n"/>
      <c r="P849" s="184" t="n"/>
      <c r="Q849" s="184" t="n"/>
      <c r="BB849" s="390">
        <f>_xlfn.TEXTJOIN("-",TRUE,AU849,AW849)</f>
        <v/>
      </c>
    </row>
    <row r="850">
      <c r="B850" s="214" t="n"/>
      <c r="C850" s="147" t="n"/>
      <c r="D850" s="147" t="n"/>
      <c r="E850" s="147" t="n"/>
      <c r="F850" s="215" t="n"/>
      <c r="G850" s="215" t="n"/>
      <c r="H850" s="137" t="n"/>
      <c r="I850" s="216" t="n"/>
      <c r="J850" s="115">
        <f>_xlfn.TEXTJOIN("-",TRUE,B850,C850,D850)</f>
        <v/>
      </c>
      <c r="K850" s="184" t="n">
        <v>68.72</v>
      </c>
      <c r="L850" s="184" t="n"/>
      <c r="M850" s="184" t="n"/>
      <c r="N850" s="184" t="inlineStr">
        <is>
          <t>12R22.5-18PR-Strong Guard H-MD</t>
        </is>
      </c>
      <c r="O850" s="184" t="n"/>
      <c r="P850" s="184" t="n"/>
      <c r="Q850" s="184" t="n"/>
      <c r="BB850" s="390">
        <f>_xlfn.TEXTJOIN("-",TRUE,AU850,AW850)</f>
        <v/>
      </c>
    </row>
    <row r="851">
      <c r="B851" s="123" t="inlineStr">
        <is>
          <t>325/95R24</t>
        </is>
      </c>
      <c r="C851" s="177" t="inlineStr">
        <is>
          <t>22PR</t>
        </is>
      </c>
      <c r="D851" s="177" t="inlineStr">
        <is>
          <t>CB972E</t>
        </is>
      </c>
      <c r="E851" s="186" t="inlineStr">
        <is>
          <t>325/95R24-22PR-BA C ID</t>
        </is>
      </c>
      <c r="F851" s="129">
        <f>G851-5.19+6.02</f>
        <v/>
      </c>
      <c r="G851" s="129" t="n">
        <v>93.212</v>
      </c>
      <c r="H851" s="131" t="n">
        <v>93.31</v>
      </c>
      <c r="I851" s="203">
        <f>G851-H851</f>
        <v/>
      </c>
      <c r="J851" s="115">
        <f>_xlfn.TEXTJOIN("-",TRUE,B851,C851,D851)</f>
        <v/>
      </c>
      <c r="K851" s="184" t="n">
        <v>28.65</v>
      </c>
      <c r="L851" s="184" t="n"/>
      <c r="M851" s="184" t="n"/>
      <c r="N851" s="184" t="inlineStr">
        <is>
          <t>215/75R17.5-16PR-Strong Guard H-RA</t>
        </is>
      </c>
      <c r="O851" s="184" t="n"/>
      <c r="P851" s="184" t="n"/>
      <c r="Q851" s="184" t="n"/>
      <c r="BB851" s="390">
        <f>_xlfn.TEXTJOIN("-",TRUE,AU851,AW851)</f>
        <v/>
      </c>
    </row>
    <row r="852">
      <c r="B852" s="123" t="inlineStr">
        <is>
          <t>325/95R24</t>
        </is>
      </c>
      <c r="C852" s="177" t="inlineStr">
        <is>
          <t>22PR</t>
        </is>
      </c>
      <c r="D852" s="125" t="inlineStr">
        <is>
          <t>CB919</t>
        </is>
      </c>
      <c r="E852" s="186" t="inlineStr">
        <is>
          <t>325/95R24-22PR-BA C ID</t>
        </is>
      </c>
      <c r="F852" s="129">
        <f>G852-5.19+6.02</f>
        <v/>
      </c>
      <c r="G852" s="129" t="n">
        <v>93.212</v>
      </c>
      <c r="H852" s="131" t="n">
        <v>93.31</v>
      </c>
      <c r="I852" s="203">
        <f>G852-H852</f>
        <v/>
      </c>
      <c r="J852" s="115">
        <f>_xlfn.TEXTJOIN("-",TRUE,B852,C852,D852)</f>
        <v/>
      </c>
      <c r="K852" s="184" t="n">
        <v>29.488</v>
      </c>
      <c r="L852" s="184" t="n"/>
      <c r="M852" s="184" t="n"/>
      <c r="N852" s="184" t="inlineStr">
        <is>
          <t>235/75R17.5-18PR-Strong Guard H-RA</t>
        </is>
      </c>
      <c r="O852" s="184" t="n"/>
      <c r="P852" s="184" t="n"/>
      <c r="Q852" s="184" t="n"/>
      <c r="BB852" s="390">
        <f>_xlfn.TEXTJOIN("-",TRUE,AU852,AW852)</f>
        <v/>
      </c>
    </row>
    <row r="853">
      <c r="B853" s="123" t="inlineStr">
        <is>
          <t>325/95R24</t>
        </is>
      </c>
      <c r="C853" s="126" t="inlineStr">
        <is>
          <t>22PR</t>
        </is>
      </c>
      <c r="D853" s="177" t="inlineStr">
        <is>
          <t>AZ272</t>
        </is>
      </c>
      <c r="E853" s="209" t="inlineStr">
        <is>
          <t>325/95R24-22PR-AZ272 C ID</t>
        </is>
      </c>
      <c r="F853" s="129">
        <f>G853-5.187+6.024</f>
        <v/>
      </c>
      <c r="G853" s="172" t="n">
        <v>80.833</v>
      </c>
      <c r="H853" s="172" t="n">
        <v>80.1639</v>
      </c>
      <c r="I853" s="203">
        <f>G853-H853</f>
        <v/>
      </c>
      <c r="J853" s="115">
        <f>_xlfn.TEXTJOIN("-",TRUE,B853,C853,D853)</f>
        <v/>
      </c>
      <c r="K853" s="184" t="n">
        <v>33.283</v>
      </c>
      <c r="L853" s="184" t="n"/>
      <c r="M853" s="184" t="n"/>
      <c r="N853" s="184" t="inlineStr">
        <is>
          <t>245/70R19.5-14PR-Strong Guard H-RA</t>
        </is>
      </c>
      <c r="O853" s="184" t="n"/>
      <c r="P853" s="184" t="n"/>
      <c r="Q853" s="184" t="n"/>
      <c r="BB853" s="390">
        <f>_xlfn.TEXTJOIN("-",TRUE,AU853,AW853)</f>
        <v/>
      </c>
    </row>
    <row r="854">
      <c r="B854" s="123" t="inlineStr">
        <is>
          <t>325/95R24</t>
        </is>
      </c>
      <c r="C854" s="177" t="inlineStr">
        <is>
          <t>22PR</t>
        </is>
      </c>
      <c r="D854" s="171" t="inlineStr">
        <is>
          <t>AZ691</t>
        </is>
      </c>
      <c r="E854" s="126" t="inlineStr">
        <is>
          <t>325/95R24-22PR-AZ691 C ID</t>
        </is>
      </c>
      <c r="F854" s="129">
        <f>G854-5.187+6.024</f>
        <v/>
      </c>
      <c r="G854" s="131" t="n">
        <v>87.05200000000001</v>
      </c>
      <c r="H854" s="131" t="n">
        <v>85.66070000000001</v>
      </c>
      <c r="I854" s="203">
        <f>G854-H854</f>
        <v/>
      </c>
      <c r="J854" s="115">
        <f>_xlfn.TEXTJOIN("-",TRUE,B854,C854,D854)</f>
        <v/>
      </c>
      <c r="K854" s="184" t="n">
        <v>41.378</v>
      </c>
      <c r="L854" s="184" t="n"/>
      <c r="M854" s="184" t="n"/>
      <c r="N854" s="184" t="inlineStr">
        <is>
          <t>255/70R22.5-16PR-Strong Guard H-RA</t>
        </is>
      </c>
      <c r="O854" s="184" t="n"/>
      <c r="P854" s="184" t="n"/>
      <c r="Q854" s="184" t="n"/>
      <c r="BB854" s="390">
        <f>_xlfn.TEXTJOIN("-",TRUE,AU854,AW854)</f>
        <v/>
      </c>
    </row>
    <row r="855">
      <c r="B855" s="123" t="inlineStr">
        <is>
          <t>325/95R24</t>
        </is>
      </c>
      <c r="C855" s="177" t="inlineStr">
        <is>
          <t>22PR</t>
        </is>
      </c>
      <c r="D855" s="125" t="inlineStr">
        <is>
          <t>AZ828</t>
        </is>
      </c>
      <c r="E855" s="177" t="inlineStr">
        <is>
          <t>325/95R24-22PR-AZ828 C ID</t>
        </is>
      </c>
      <c r="F855" s="129">
        <f>G855-5.184+6.019</f>
        <v/>
      </c>
      <c r="G855" s="217" t="n">
        <v>86.43000000000001</v>
      </c>
      <c r="H855" s="131" t="n">
        <v>86.34999999999999</v>
      </c>
      <c r="I855" s="203">
        <f>G855-H855</f>
        <v/>
      </c>
      <c r="J855" s="115">
        <f>_xlfn.TEXTJOIN("-",TRUE,B855,C855,D855)</f>
        <v/>
      </c>
      <c r="K855" s="184" t="n">
        <v>47.43</v>
      </c>
      <c r="L855" s="184" t="n"/>
      <c r="M855" s="184" t="n"/>
      <c r="N855" s="184" t="inlineStr">
        <is>
          <t>275/70R22.5-16PR-Strong Guard H-RA</t>
        </is>
      </c>
      <c r="O855" s="184" t="n"/>
      <c r="P855" s="184" t="n"/>
      <c r="Q855" s="184" t="n"/>
      <c r="BB855" s="390">
        <f>_xlfn.TEXTJOIN("-",TRUE,AU855,AW855)</f>
        <v/>
      </c>
    </row>
    <row r="856">
      <c r="B856" s="123" t="inlineStr">
        <is>
          <t>325/95R24</t>
        </is>
      </c>
      <c r="C856" s="177" t="inlineStr">
        <is>
          <t>22PR</t>
        </is>
      </c>
      <c r="D856" s="125" t="inlineStr">
        <is>
          <t>CB332</t>
        </is>
      </c>
      <c r="E856" s="177" t="inlineStr">
        <is>
          <t>325/95R24-22PR-CB332 C ID</t>
        </is>
      </c>
      <c r="F856" s="129">
        <f>G856-5.187+6.024</f>
        <v/>
      </c>
      <c r="G856" s="165" t="n">
        <v>93.709</v>
      </c>
      <c r="H856" s="131" t="n">
        <v>93.0394</v>
      </c>
      <c r="I856" s="203">
        <f>G856-H856</f>
        <v/>
      </c>
      <c r="J856" s="115">
        <f>_xlfn.TEXTJOIN("-",TRUE,B856,C856,D856)</f>
        <v/>
      </c>
      <c r="K856" s="184" t="n">
        <v>55.991</v>
      </c>
      <c r="L856" s="184" t="n"/>
      <c r="M856" s="184" t="n"/>
      <c r="N856" s="184" t="inlineStr">
        <is>
          <t>315/80R22.5-20PR-Strong Guard H-RD</t>
        </is>
      </c>
      <c r="O856" s="184" t="n"/>
      <c r="P856" s="184" t="n"/>
      <c r="Q856" s="184" t="n"/>
      <c r="BB856" s="390">
        <f>_xlfn.TEXTJOIN("-",TRUE,AU856,AW856)</f>
        <v/>
      </c>
    </row>
    <row r="857">
      <c r="B857" s="123" t="inlineStr">
        <is>
          <t>325/95R24</t>
        </is>
      </c>
      <c r="C857" s="177" t="inlineStr">
        <is>
          <t>22PR</t>
        </is>
      </c>
      <c r="D857" s="125" t="inlineStr">
        <is>
          <t>CB972</t>
        </is>
      </c>
      <c r="E857" s="177" t="inlineStr">
        <is>
          <t>325/95R24-22PR-CB972 C ID</t>
        </is>
      </c>
      <c r="F857" s="129">
        <f>G857-5.187+6.024</f>
        <v/>
      </c>
      <c r="G857" s="165" t="n">
        <v>88.425</v>
      </c>
      <c r="H857" s="131" t="n">
        <v>89.9588</v>
      </c>
      <c r="I857" s="203">
        <f>G857-H857</f>
        <v/>
      </c>
      <c r="J857" s="115">
        <f>_xlfn.TEXTJOIN("-",TRUE,B857,C857,D857)</f>
        <v/>
      </c>
      <c r="K857" s="184" t="n">
        <v>78.87</v>
      </c>
      <c r="L857" s="184" t="n"/>
      <c r="M857" s="184" t="n"/>
      <c r="N857" s="184" t="inlineStr">
        <is>
          <t>385/65R22.5-20PR-Strong Guard H-MW</t>
        </is>
      </c>
      <c r="O857" s="184" t="n"/>
      <c r="P857" s="184" t="n"/>
      <c r="Q857" s="184" t="n"/>
      <c r="BB857" s="390">
        <f>_xlfn.TEXTJOIN("-",TRUE,AU857,AW857)</f>
        <v/>
      </c>
    </row>
    <row r="858">
      <c r="B858" s="123" t="inlineStr">
        <is>
          <t>325/95R24</t>
        </is>
      </c>
      <c r="C858" s="177" t="inlineStr">
        <is>
          <t>22PR</t>
        </is>
      </c>
      <c r="D858" s="125" t="inlineStr">
        <is>
          <t>CM912A</t>
        </is>
      </c>
      <c r="E858" s="177" t="inlineStr">
        <is>
          <t>325/95R24-22PR-CM912A C ID</t>
        </is>
      </c>
      <c r="F858" s="129">
        <f>G858-5.187+6.024</f>
        <v/>
      </c>
      <c r="G858" s="165" t="n">
        <v>83.824</v>
      </c>
      <c r="H858" s="131" t="n">
        <v>83.1537</v>
      </c>
      <c r="I858" s="203">
        <f>G858-H858</f>
        <v/>
      </c>
      <c r="J858" s="115">
        <f>_xlfn.TEXTJOIN("-",TRUE,B858,C858,D858)</f>
        <v/>
      </c>
      <c r="K858" s="184" t="n">
        <v>93.68000000000001</v>
      </c>
      <c r="L858" s="184" t="n"/>
      <c r="M858" s="184" t="n"/>
      <c r="N858" s="184" t="inlineStr">
        <is>
          <t>425/65R22.5-20PR-Strong Guard H-MW</t>
        </is>
      </c>
      <c r="O858" s="184" t="n"/>
      <c r="P858" s="184" t="n"/>
      <c r="Q858" s="184" t="n"/>
      <c r="BB858" s="390">
        <f>_xlfn.TEXTJOIN("-",TRUE,AU858,AW858)</f>
        <v/>
      </c>
    </row>
    <row r="859">
      <c r="B859" s="123" t="inlineStr">
        <is>
          <t>325/95R24</t>
        </is>
      </c>
      <c r="C859" s="177" t="inlineStr">
        <is>
          <t>22PR</t>
        </is>
      </c>
      <c r="D859" s="125" t="inlineStr">
        <is>
          <t>CM913A</t>
        </is>
      </c>
      <c r="E859" s="177" t="inlineStr">
        <is>
          <t>325/95R24-22PR-CM913A C ID</t>
        </is>
      </c>
      <c r="F859" s="129">
        <f>G859-5.187+6.024</f>
        <v/>
      </c>
      <c r="G859" s="165" t="n">
        <v>82.996</v>
      </c>
      <c r="H859" s="131" t="n">
        <v>82.3262</v>
      </c>
      <c r="I859" s="203">
        <f>G859-H859</f>
        <v/>
      </c>
      <c r="J859" s="115">
        <f>_xlfn.TEXTJOIN("-",TRUE,B859,C859,D859)</f>
        <v/>
      </c>
      <c r="K859" s="184" t="n">
        <v>99.52</v>
      </c>
      <c r="L859" s="184" t="n"/>
      <c r="M859" s="184" t="n"/>
      <c r="N859" s="184" t="inlineStr">
        <is>
          <t>445/65R22.5-20PR-Strong Guard H-MW</t>
        </is>
      </c>
      <c r="O859" s="184" t="n"/>
      <c r="P859" s="184" t="n"/>
      <c r="Q859" s="184" t="n"/>
      <c r="BB859" s="390">
        <f>_xlfn.TEXTJOIN("-",TRUE,AU859,AW859)</f>
        <v/>
      </c>
    </row>
    <row r="860">
      <c r="B860" s="123" t="inlineStr">
        <is>
          <t>325/95R24</t>
        </is>
      </c>
      <c r="C860" s="177" t="inlineStr">
        <is>
          <t>22PR</t>
        </is>
      </c>
      <c r="D860" s="125" t="inlineStr">
        <is>
          <t>EZ336</t>
        </is>
      </c>
      <c r="E860" s="177" t="inlineStr">
        <is>
          <t>325/95R24-22PR-EZ336 C ID</t>
        </is>
      </c>
      <c r="F860" s="129">
        <f>G860-5.187+6.024</f>
        <v/>
      </c>
      <c r="G860" s="165" t="n">
        <v>93.354</v>
      </c>
      <c r="H860" s="131" t="n">
        <v>92.6849</v>
      </c>
      <c r="I860" s="203">
        <f>G860-H860</f>
        <v/>
      </c>
      <c r="J860" s="115">
        <f>_xlfn.TEXTJOIN("-",TRUE,B860,C860,D860)</f>
        <v/>
      </c>
      <c r="K860" s="184" t="n">
        <v>67.872</v>
      </c>
      <c r="L860" s="184" t="n"/>
      <c r="M860" s="184" t="n"/>
      <c r="N860" s="184" t="inlineStr">
        <is>
          <t>315/80R22.5-20PR-HCC1 PlusX</t>
        </is>
      </c>
      <c r="O860" s="184" t="n"/>
      <c r="P860" s="184" t="n"/>
      <c r="Q860" s="184" t="n"/>
      <c r="BB860" s="390">
        <f>_xlfn.TEXTJOIN("-",TRUE,AU860,AW860)</f>
        <v/>
      </c>
    </row>
    <row r="861">
      <c r="B861" s="143" t="inlineStr">
        <is>
          <t>325/95R24</t>
        </is>
      </c>
      <c r="C861" s="125" t="inlineStr">
        <is>
          <t>22PR</t>
        </is>
      </c>
      <c r="D861" s="125" t="inlineStr">
        <is>
          <t>MD752</t>
        </is>
      </c>
      <c r="E861" s="125" t="inlineStr">
        <is>
          <t>325/95R24-22PR-MD752 C ID</t>
        </is>
      </c>
      <c r="F861" s="129">
        <f>G861-5.184+6.019</f>
        <v/>
      </c>
      <c r="G861" s="165" t="n">
        <v>81.407</v>
      </c>
      <c r="H861" s="131" t="n">
        <v>81.25</v>
      </c>
      <c r="I861" s="203">
        <f>G861-H861</f>
        <v/>
      </c>
      <c r="J861" s="115">
        <f>_xlfn.TEXTJOIN("-",TRUE,B861,C861,D861)</f>
        <v/>
      </c>
      <c r="K861" s="184" t="n">
        <v>68.91</v>
      </c>
      <c r="L861" s="184" t="n"/>
      <c r="M861" s="184" t="n"/>
      <c r="N861" s="184" t="inlineStr">
        <is>
          <t>12R22.5-20PR-AZ850M</t>
        </is>
      </c>
      <c r="O861" s="184" t="n"/>
      <c r="P861" s="184" t="n"/>
      <c r="Q861" s="184" t="n"/>
      <c r="BB861" s="390">
        <f>_xlfn.TEXTJOIN("-",TRUE,AU861,AW861)</f>
        <v/>
      </c>
    </row>
    <row r="862">
      <c r="B862" s="123" t="inlineStr">
        <is>
          <t>325/95R24</t>
        </is>
      </c>
      <c r="C862" s="177" t="inlineStr">
        <is>
          <t>22PR</t>
        </is>
      </c>
      <c r="D862" s="177" t="inlineStr">
        <is>
          <t>EZ865</t>
        </is>
      </c>
      <c r="E862" s="177" t="inlineStr">
        <is>
          <t>325/95R24-22PR-EA W C</t>
        </is>
      </c>
      <c r="F862" s="129">
        <f>G862-5.19+6.02</f>
        <v/>
      </c>
      <c r="G862" s="131" t="n">
        <v>87.667</v>
      </c>
      <c r="H862" s="131" t="n">
        <v>87.84</v>
      </c>
      <c r="I862" s="203">
        <f>G862-H862</f>
        <v/>
      </c>
      <c r="J862" s="115">
        <f>_xlfn.TEXTJOIN("-",TRUE,B862,C862,D862)</f>
        <v/>
      </c>
      <c r="K862" s="184" t="n">
        <v>25.523</v>
      </c>
      <c r="L862" s="184" t="n"/>
      <c r="M862" s="184" t="n"/>
      <c r="N862" s="184" t="inlineStr">
        <is>
          <t>215/75R17.5-16PR-AP-7318</t>
        </is>
      </c>
      <c r="O862" s="184" t="n"/>
      <c r="P862" s="184" t="n"/>
      <c r="Q862" s="184" t="n"/>
      <c r="BB862" s="390">
        <f>_xlfn.TEXTJOIN("-",TRUE,AU862,AW862)</f>
        <v/>
      </c>
    </row>
    <row r="863">
      <c r="B863" s="123" t="inlineStr">
        <is>
          <t>325/95R24</t>
        </is>
      </c>
      <c r="C863" s="177" t="inlineStr">
        <is>
          <t>22PR</t>
        </is>
      </c>
      <c r="D863" s="177" t="inlineStr">
        <is>
          <t>EZ509</t>
        </is>
      </c>
      <c r="E863" s="177" t="inlineStr">
        <is>
          <t>325/95R24-22PR-EZ509 W C</t>
        </is>
      </c>
      <c r="F863" s="129">
        <f>G863-5.187+6.024</f>
        <v/>
      </c>
      <c r="G863" s="131" t="n">
        <v>84.607</v>
      </c>
      <c r="H863" s="131" t="n">
        <v>84.69</v>
      </c>
      <c r="I863" s="203">
        <f>G863-H863</f>
        <v/>
      </c>
      <c r="J863" s="115">
        <f>_xlfn.TEXTJOIN("-",TRUE,B863,C863,D863)</f>
        <v/>
      </c>
      <c r="K863" s="184" t="n">
        <v>29.488</v>
      </c>
      <c r="L863" s="184" t="n"/>
      <c r="M863" s="184" t="n"/>
      <c r="N863" s="184" t="inlineStr">
        <is>
          <t>235/75R17.5-18PR-AP-7318</t>
        </is>
      </c>
      <c r="O863" s="184" t="n"/>
      <c r="P863" s="184" t="n"/>
      <c r="Q863" s="184" t="n"/>
      <c r="BB863" s="390">
        <f>_xlfn.TEXTJOIN("-",TRUE,AU863,AW863)</f>
        <v/>
      </c>
    </row>
    <row r="864">
      <c r="B864" s="218" t="n"/>
      <c r="C864" s="137" t="n"/>
      <c r="D864" s="137" t="n"/>
      <c r="E864" s="137" t="n"/>
      <c r="F864" s="215" t="n"/>
      <c r="G864" s="215" t="n"/>
      <c r="H864" s="219" t="n"/>
      <c r="I864" s="220" t="n"/>
      <c r="J864" s="115">
        <f>_xlfn.TEXTJOIN("-",TRUE,B864,C864,D864)</f>
        <v/>
      </c>
      <c r="K864" s="184" t="n">
        <v>34.45</v>
      </c>
      <c r="L864" s="184" t="n"/>
      <c r="M864" s="184" t="n"/>
      <c r="N864" s="184" t="inlineStr">
        <is>
          <t>245/70R17.5-18PR-AP-7318</t>
        </is>
      </c>
      <c r="O864" s="184" t="n"/>
      <c r="P864" s="184" t="n"/>
      <c r="Q864" s="184" t="n"/>
      <c r="BB864" s="390">
        <f>_xlfn.TEXTJOIN("-",TRUE,AU864,AW864)</f>
        <v/>
      </c>
    </row>
    <row r="865">
      <c r="B865" s="123" t="inlineStr">
        <is>
          <t>385/55R22.5</t>
        </is>
      </c>
      <c r="C865" s="169" t="inlineStr">
        <is>
          <t>20PR</t>
        </is>
      </c>
      <c r="D865" s="177" t="inlineStr">
        <is>
          <t>AT502</t>
        </is>
      </c>
      <c r="E865" s="177" t="inlineStr">
        <is>
          <t>ID385/55R22.5-20PR-D EU ID</t>
        </is>
      </c>
      <c r="F865" s="129">
        <f>G865-3.08+3.37</f>
        <v/>
      </c>
      <c r="G865" s="131" t="n">
        <v>67.09</v>
      </c>
      <c r="H865" s="131" t="n">
        <v>67.09</v>
      </c>
      <c r="I865" s="166">
        <f>G865-H865</f>
        <v/>
      </c>
      <c r="J865" s="115">
        <f>_xlfn.TEXTJOIN("-",TRUE,B865,C865,D865)</f>
        <v/>
      </c>
      <c r="K865" s="184" t="n">
        <v>35.03</v>
      </c>
      <c r="L865" s="184" t="n"/>
      <c r="M865" s="184" t="n"/>
      <c r="N865" s="184" t="inlineStr">
        <is>
          <t>245/70R19.5-16PR-AP-7318</t>
        </is>
      </c>
      <c r="O865" s="184" t="n"/>
      <c r="P865" s="184" t="n"/>
      <c r="Q865" s="184" t="n"/>
      <c r="BB865" s="390">
        <f>_xlfn.TEXTJOIN("-",TRUE,AU865,AW865)</f>
        <v/>
      </c>
    </row>
    <row r="866">
      <c r="B866" s="123" t="inlineStr">
        <is>
          <t>385/55R22.5</t>
        </is>
      </c>
      <c r="C866" s="169" t="inlineStr">
        <is>
          <t>20PR</t>
        </is>
      </c>
      <c r="D866" s="177" t="inlineStr">
        <is>
          <t>MultiAp T1</t>
        </is>
      </c>
      <c r="E866" s="177" t="inlineStr">
        <is>
          <t>ID385/55R22.5-20PR-D EU ID</t>
        </is>
      </c>
      <c r="F866" s="129">
        <f>G866-3.08+3.37</f>
        <v/>
      </c>
      <c r="G866" s="131" t="n">
        <v>67.09</v>
      </c>
      <c r="H866" s="131" t="n">
        <v>67.09</v>
      </c>
      <c r="I866" s="166">
        <f>G866-H866</f>
        <v/>
      </c>
      <c r="J866" s="115">
        <f>_xlfn.TEXTJOIN("-",TRUE,B866,C866,D866)</f>
        <v/>
      </c>
      <c r="K866" s="184" t="n">
        <v>35.701</v>
      </c>
      <c r="L866" s="184" t="n"/>
      <c r="M866" s="184" t="n"/>
      <c r="N866" s="184" t="inlineStr">
        <is>
          <t>245/70R19.5-16PR-DR-7318</t>
        </is>
      </c>
      <c r="O866" s="184" t="n"/>
      <c r="P866" s="184" t="n"/>
      <c r="Q866" s="184" t="n"/>
      <c r="BB866" s="390">
        <f>_xlfn.TEXTJOIN("-",TRUE,AU866,AW866)</f>
        <v/>
      </c>
    </row>
    <row r="867">
      <c r="B867" s="123" t="inlineStr">
        <is>
          <t>385/55R22.5</t>
        </is>
      </c>
      <c r="C867" s="169" t="inlineStr">
        <is>
          <t>20PR</t>
        </is>
      </c>
      <c r="D867" s="177" t="inlineStr">
        <is>
          <t>Novo Trans T47</t>
        </is>
      </c>
      <c r="E867" s="177" t="inlineStr">
        <is>
          <t>ID385/55R22.5-20PR-D EU ID</t>
        </is>
      </c>
      <c r="F867" s="129">
        <f>G867-3.08+3.37</f>
        <v/>
      </c>
      <c r="G867" s="131" t="n">
        <v>67.09</v>
      </c>
      <c r="H867" s="131" t="n">
        <v>67.09</v>
      </c>
      <c r="I867" s="166">
        <f>G867-H867</f>
        <v/>
      </c>
      <c r="J867" s="115">
        <f>_xlfn.TEXTJOIN("-",TRUE,B867,C867,D867)</f>
        <v/>
      </c>
      <c r="K867" s="184" t="n">
        <v>29.461</v>
      </c>
      <c r="L867" s="184" t="n"/>
      <c r="M867" s="184" t="n"/>
      <c r="N867" s="184" t="inlineStr">
        <is>
          <t>225/70R19.5-14PR-AP-7318</t>
        </is>
      </c>
      <c r="O867" s="184" t="n"/>
      <c r="P867" s="184" t="n"/>
      <c r="Q867" s="184" t="n"/>
      <c r="BB867" s="390">
        <f>_xlfn.TEXTJOIN("-",TRUE,AU867,AW867)</f>
        <v/>
      </c>
    </row>
    <row r="868">
      <c r="B868" s="123" t="inlineStr">
        <is>
          <t>385/55R22.5</t>
        </is>
      </c>
      <c r="C868" s="169" t="inlineStr">
        <is>
          <t>20PR</t>
        </is>
      </c>
      <c r="D868" s="177" t="inlineStr">
        <is>
          <t>AZ170</t>
        </is>
      </c>
      <c r="E868" s="177" t="inlineStr">
        <is>
          <t>ID385/55R22.5-20PR-C EU ID</t>
        </is>
      </c>
      <c r="F868" s="129">
        <f>G868-3.08+3.37</f>
        <v/>
      </c>
      <c r="G868" s="131" t="n">
        <v>61.67</v>
      </c>
      <c r="H868" s="131" t="n">
        <v>61.65</v>
      </c>
      <c r="I868" s="166">
        <f>G868-H868</f>
        <v/>
      </c>
      <c r="J868" s="115">
        <f>_xlfn.TEXTJOIN("-",TRUE,B868,C868,D868)</f>
        <v/>
      </c>
      <c r="K868" s="184" t="n">
        <v>30.795</v>
      </c>
      <c r="L868" s="184" t="n"/>
      <c r="M868" s="184" t="n"/>
      <c r="N868" s="184" t="inlineStr">
        <is>
          <t>225/70R19.5-14PR-DR-7318</t>
        </is>
      </c>
      <c r="O868" s="184" t="n"/>
      <c r="P868" s="184" t="n"/>
      <c r="Q868" s="184" t="n"/>
      <c r="BB868" s="390">
        <f>_xlfn.TEXTJOIN("-",TRUE,AU868,AW868)</f>
        <v/>
      </c>
    </row>
    <row r="869">
      <c r="B869" s="218" t="n"/>
      <c r="C869" s="137" t="n"/>
      <c r="D869" s="137" t="n"/>
      <c r="E869" s="137" t="n"/>
      <c r="F869" s="215" t="n"/>
      <c r="G869" s="215" t="n"/>
      <c r="H869" s="219" t="n"/>
      <c r="I869" s="221" t="n"/>
      <c r="J869" s="115">
        <f>_xlfn.TEXTJOIN("-",TRUE,B869,C869,D869)</f>
        <v/>
      </c>
      <c r="K869" s="184" t="n">
        <v>28.65</v>
      </c>
      <c r="L869" s="184" t="n"/>
      <c r="M869" s="184" t="n"/>
      <c r="N869" s="184" t="inlineStr">
        <is>
          <t>225/70R19.5-14PR-Strong Guard H-RA</t>
        </is>
      </c>
      <c r="O869" s="184" t="n"/>
      <c r="P869" s="184" t="n"/>
      <c r="Q869" s="184" t="n"/>
      <c r="BB869" s="390">
        <f>_xlfn.TEXTJOIN("-",TRUE,AU869,AW869)</f>
        <v/>
      </c>
    </row>
    <row r="870">
      <c r="B870" s="123" t="inlineStr">
        <is>
          <t>385/65R22.5</t>
        </is>
      </c>
      <c r="C870" s="169" t="inlineStr">
        <is>
          <t>20PR</t>
        </is>
      </c>
      <c r="D870" s="177" t="inlineStr">
        <is>
          <t>ZM42</t>
        </is>
      </c>
      <c r="E870" s="177" t="inlineStr">
        <is>
          <t>ID385/65R22.5-20PR-ZAV C ID</t>
        </is>
      </c>
      <c r="F870" s="131">
        <f>G870-4.41+4.92</f>
        <v/>
      </c>
      <c r="G870" s="131" t="n">
        <v>75.09</v>
      </c>
      <c r="H870" s="129" t="n">
        <v>74.75020000000001</v>
      </c>
      <c r="I870" s="166">
        <f>G870-H870</f>
        <v/>
      </c>
      <c r="J870" s="115">
        <f>_xlfn.TEXTJOIN("-",TRUE,B870,C870,D870)</f>
        <v/>
      </c>
      <c r="K870" s="184" t="n">
        <v>57.19</v>
      </c>
      <c r="L870" s="184" t="n"/>
      <c r="M870" s="184" t="n"/>
      <c r="N870" s="184" t="inlineStr">
        <is>
          <t>295/80R22.5-18PR-Strong Guard H-RA</t>
        </is>
      </c>
      <c r="O870" s="184" t="n"/>
      <c r="P870" s="184" t="n"/>
      <c r="Q870" s="184" t="n"/>
      <c r="BB870" s="390">
        <f>_xlfn.TEXTJOIN("-",TRUE,AU870,AW870)</f>
        <v/>
      </c>
    </row>
    <row r="871">
      <c r="B871" s="123" t="inlineStr">
        <is>
          <t>385/65R22.5</t>
        </is>
      </c>
      <c r="C871" s="169" t="inlineStr">
        <is>
          <t>20PR</t>
        </is>
      </c>
      <c r="D871" s="177" t="inlineStr">
        <is>
          <t>VA916</t>
        </is>
      </c>
      <c r="E871" s="177" t="inlineStr">
        <is>
          <t>ID385/65R22.5-20PR-ZAV C ID</t>
        </is>
      </c>
      <c r="F871" s="131">
        <f>G871-4.41+4.92</f>
        <v/>
      </c>
      <c r="G871" s="131" t="n">
        <v>75.09</v>
      </c>
      <c r="H871" s="129" t="n">
        <v>74.90000000000001</v>
      </c>
      <c r="I871" s="166">
        <f>G871-H871</f>
        <v/>
      </c>
      <c r="J871" s="115">
        <f>_xlfn.TEXTJOIN("-",TRUE,B871,C871,D871)</f>
        <v/>
      </c>
      <c r="K871" s="184" t="n">
        <v>80.414</v>
      </c>
      <c r="L871" s="184" t="n"/>
      <c r="M871" s="184" t="n"/>
      <c r="N871" s="184" t="inlineStr">
        <is>
          <t>12.00R24-☆☆PR-XC809</t>
        </is>
      </c>
      <c r="O871" s="184" t="n"/>
      <c r="P871" s="184" t="n"/>
      <c r="Q871" s="184" t="n"/>
      <c r="BB871" s="390">
        <f>_xlfn.TEXTJOIN("-",TRUE,AU871,AW871)</f>
        <v/>
      </c>
    </row>
    <row r="872">
      <c r="B872" s="123" t="inlineStr">
        <is>
          <t>385/65R22.5</t>
        </is>
      </c>
      <c r="C872" s="169" t="inlineStr">
        <is>
          <t>20PR</t>
        </is>
      </c>
      <c r="D872" s="177" t="inlineStr">
        <is>
          <t>AZ577</t>
        </is>
      </c>
      <c r="E872" s="177" t="inlineStr">
        <is>
          <t>ID385/65R22.5-20PR-ZAV C ID</t>
        </is>
      </c>
      <c r="F872" s="131">
        <f>G872-4.41+4.92</f>
        <v/>
      </c>
      <c r="G872" s="131" t="n">
        <v>75.09</v>
      </c>
      <c r="H872" s="129" t="n">
        <v>74.90000000000001</v>
      </c>
      <c r="I872" s="166">
        <f>G872-H872</f>
        <v/>
      </c>
      <c r="J872" s="115">
        <f>_xlfn.TEXTJOIN("-",TRUE,B872,C872,D872)</f>
        <v/>
      </c>
      <c r="K872" s="184" t="n">
        <v>70.11799999999999</v>
      </c>
      <c r="L872" s="184" t="n"/>
      <c r="M872" s="184" t="n"/>
      <c r="N872" s="184" t="inlineStr">
        <is>
          <t>12.00R20-☆☆PR-XC809</t>
        </is>
      </c>
      <c r="O872" s="184" t="n"/>
      <c r="P872" s="184" t="n"/>
      <c r="Q872" s="184" t="n"/>
      <c r="BB872" s="390">
        <f>_xlfn.TEXTJOIN("-",TRUE,AU872,AW872)</f>
        <v/>
      </c>
    </row>
    <row r="873">
      <c r="B873" s="123" t="inlineStr">
        <is>
          <t>385/65R22.5</t>
        </is>
      </c>
      <c r="C873" s="169" t="inlineStr">
        <is>
          <t>20PR</t>
        </is>
      </c>
      <c r="D873" s="177" t="inlineStr">
        <is>
          <t>AT557</t>
        </is>
      </c>
      <c r="E873" s="177" t="inlineStr">
        <is>
          <t>ID385/65R22.5-20PR-AT557 C ID</t>
        </is>
      </c>
      <c r="F873" s="131">
        <f>G873-3.78+4.269</f>
        <v/>
      </c>
      <c r="G873" s="131" t="n">
        <v>74.807</v>
      </c>
      <c r="H873" s="129" t="n">
        <v>74.8946</v>
      </c>
      <c r="I873" s="166">
        <f>G873-H873</f>
        <v/>
      </c>
      <c r="J873" s="115">
        <f>_xlfn.TEXTJOIN("-",TRUE,B873,C873,D873)</f>
        <v/>
      </c>
      <c r="K873" s="184" t="n">
        <v>50.496</v>
      </c>
      <c r="L873" s="184" t="n"/>
      <c r="M873" s="184" t="n"/>
      <c r="N873" s="184" t="inlineStr">
        <is>
          <t>275/80R22.5-16PR-ECOLINE A-II</t>
        </is>
      </c>
      <c r="O873" s="184" t="n"/>
      <c r="P873" s="184" t="n"/>
      <c r="Q873" s="184" t="n"/>
      <c r="BB873" s="390">
        <f>_xlfn.TEXTJOIN("-",TRUE,AU873,AW873)</f>
        <v/>
      </c>
    </row>
    <row r="874">
      <c r="B874" s="123" t="inlineStr">
        <is>
          <t>385/65R22.5</t>
        </is>
      </c>
      <c r="C874" s="169" t="inlineStr">
        <is>
          <t>20PR</t>
        </is>
      </c>
      <c r="D874" s="177" t="inlineStr">
        <is>
          <t>AT532</t>
        </is>
      </c>
      <c r="E874" s="177" t="inlineStr">
        <is>
          <t>ID385/65R22.5-20PR-AT532 C ID</t>
        </is>
      </c>
      <c r="F874" s="131">
        <f>G874-4.104+4.925</f>
        <v/>
      </c>
      <c r="G874" s="131" t="n">
        <v>71.782</v>
      </c>
      <c r="H874" s="129" t="n">
        <v>71.8837</v>
      </c>
      <c r="I874" s="166">
        <f>G874-H874</f>
        <v/>
      </c>
      <c r="J874" s="115">
        <f>_xlfn.TEXTJOIN("-",TRUE,B874,C874,D874)</f>
        <v/>
      </c>
      <c r="K874" s="184" t="n">
        <v>53.185</v>
      </c>
      <c r="L874" s="184" t="n"/>
      <c r="M874" s="184" t="n"/>
      <c r="N874" s="184" t="inlineStr">
        <is>
          <t>275/80R22.5-16PR-ECOTRAX D-I</t>
        </is>
      </c>
      <c r="O874" s="184" t="n"/>
      <c r="P874" s="184" t="n"/>
      <c r="Q874" s="184" t="n"/>
      <c r="BB874" s="390">
        <f>_xlfn.TEXTJOIN("-",TRUE,AU874,AW874)</f>
        <v/>
      </c>
    </row>
    <row r="875">
      <c r="B875" s="123" t="inlineStr">
        <is>
          <t>385/65R22.5</t>
        </is>
      </c>
      <c r="C875" s="169" t="inlineStr">
        <is>
          <t>20PR</t>
        </is>
      </c>
      <c r="D875" s="177" t="inlineStr">
        <is>
          <t>WSR1</t>
        </is>
      </c>
      <c r="E875" s="177" t="inlineStr">
        <is>
          <t>ID385/65R22.5-20PR-WSR1 C ID</t>
        </is>
      </c>
      <c r="F875" s="131">
        <f>G875-3.78+4.269</f>
        <v/>
      </c>
      <c r="G875" s="131" t="n">
        <v>72.5</v>
      </c>
      <c r="H875" s="129" t="n">
        <v>72.62</v>
      </c>
      <c r="I875" s="166">
        <f>G875-H875</f>
        <v/>
      </c>
      <c r="J875" s="115">
        <f>_xlfn.TEXTJOIN("-",TRUE,B875,C875,D875)</f>
        <v/>
      </c>
      <c r="K875" s="184" t="n">
        <v>53.67</v>
      </c>
      <c r="L875" s="184" t="n"/>
      <c r="M875" s="184" t="n"/>
      <c r="N875" s="184" t="inlineStr">
        <is>
          <t>295/75R22.5-14PR-Strong Guard H-RD</t>
        </is>
      </c>
      <c r="O875" s="184" t="n"/>
      <c r="P875" s="184" t="n"/>
      <c r="Q875" s="184" t="n"/>
      <c r="BB875" s="390">
        <f>_xlfn.TEXTJOIN("-",TRUE,AU875,AW875)</f>
        <v/>
      </c>
    </row>
    <row r="876">
      <c r="B876" s="123" t="inlineStr">
        <is>
          <t>385/65R22.5</t>
        </is>
      </c>
      <c r="C876" s="169" t="inlineStr">
        <is>
          <t>20PR</t>
        </is>
      </c>
      <c r="D876" s="177" t="inlineStr">
        <is>
          <t>I-42W</t>
        </is>
      </c>
      <c r="E876" s="177" t="inlineStr">
        <is>
          <t>ID385/65R22.5-20PR-I-42W C ID</t>
        </is>
      </c>
      <c r="F876" s="131">
        <f>G876-4.104+4.925</f>
        <v/>
      </c>
      <c r="G876" s="131" t="n">
        <v>73.929</v>
      </c>
      <c r="H876" s="129" t="n">
        <v>74.0314</v>
      </c>
      <c r="I876" s="166">
        <f>G876-H876</f>
        <v/>
      </c>
      <c r="J876" s="115">
        <f>_xlfn.TEXTJOIN("-",TRUE,B876,C876,D876)</f>
        <v/>
      </c>
      <c r="K876" s="184" t="n">
        <v>53.67</v>
      </c>
      <c r="L876" s="184" t="n"/>
      <c r="M876" s="184" t="n"/>
      <c r="N876" s="184" t="inlineStr">
        <is>
          <t>295/75R22.5-14PR-Strong Guard H-TL</t>
        </is>
      </c>
      <c r="O876" s="184" t="n"/>
      <c r="P876" s="184" t="n"/>
      <c r="Q876" s="184" t="n"/>
      <c r="BB876" s="390">
        <f>_xlfn.TEXTJOIN("-",TRUE,AU876,AW876)</f>
        <v/>
      </c>
    </row>
    <row r="877">
      <c r="B877" s="123" t="inlineStr">
        <is>
          <t>385/65R22.5</t>
        </is>
      </c>
      <c r="C877" s="169" t="inlineStr">
        <is>
          <t>20PR</t>
        </is>
      </c>
      <c r="D877" s="177" t="inlineStr">
        <is>
          <t>H-MW</t>
        </is>
      </c>
      <c r="E877" s="177" t="inlineStr">
        <is>
          <t>ID385/65R22.5-20PR-H-MW C ID</t>
        </is>
      </c>
      <c r="F877" s="131">
        <f>G877-4.11+4.92</f>
        <v/>
      </c>
      <c r="G877" s="131" t="n">
        <v>78.87</v>
      </c>
      <c r="H877" s="129" t="n">
        <v>78.84999999999999</v>
      </c>
      <c r="I877" s="166">
        <f>G877-H877</f>
        <v/>
      </c>
      <c r="J877" s="115">
        <f>_xlfn.TEXTJOIN("-",TRUE,B877,C877,D877)</f>
        <v/>
      </c>
      <c r="K877" s="184" t="n"/>
      <c r="L877" s="184" t="n"/>
      <c r="M877" s="184" t="n"/>
      <c r="N877" s="184" t="n"/>
      <c r="O877" s="184" t="n"/>
      <c r="P877" s="184" t="n"/>
      <c r="Q877" s="184" t="n"/>
      <c r="BB877" s="390">
        <f>_xlfn.TEXTJOIN("-",TRUE,AU877,AW877)</f>
        <v/>
      </c>
    </row>
    <row r="878">
      <c r="B878" s="123" t="inlineStr">
        <is>
          <t>385/65R22.5</t>
        </is>
      </c>
      <c r="C878" s="169" t="inlineStr">
        <is>
          <t>20PR</t>
        </is>
      </c>
      <c r="D878" s="177" t="inlineStr">
        <is>
          <t>CR976A</t>
        </is>
      </c>
      <c r="E878" s="177" t="inlineStr">
        <is>
          <t>ID385/65R22.5-20PR-A C ID</t>
        </is>
      </c>
      <c r="F878" s="131">
        <f>G878-3.39+4.18</f>
        <v/>
      </c>
      <c r="G878" s="131" t="n">
        <v>71.92</v>
      </c>
      <c r="H878" s="129" t="n">
        <v>71.88</v>
      </c>
      <c r="I878" s="166">
        <f>G878-H878</f>
        <v/>
      </c>
      <c r="J878" s="115">
        <f>_xlfn.TEXTJOIN("-",TRUE,B878,C878,D878)</f>
        <v/>
      </c>
      <c r="K878" s="184" t="n"/>
      <c r="L878" s="184" t="n"/>
      <c r="M878" s="184" t="n"/>
      <c r="N878" s="184" t="n"/>
      <c r="O878" s="184" t="n"/>
      <c r="P878" s="184" t="n"/>
      <c r="Q878" s="184" t="n"/>
      <c r="BB878" s="390">
        <f>_xlfn.TEXTJOIN("-",TRUE,AU878,AW878)</f>
        <v/>
      </c>
    </row>
    <row r="879">
      <c r="B879" s="123" t="inlineStr">
        <is>
          <t>385/65R22.5</t>
        </is>
      </c>
      <c r="C879" s="169" t="inlineStr">
        <is>
          <t>20PR</t>
        </is>
      </c>
      <c r="D879" s="177" t="inlineStr">
        <is>
          <t>HA4 Plus</t>
        </is>
      </c>
      <c r="E879" s="177" t="inlineStr">
        <is>
          <t>ID385/65R22.5-20PR-A C ID</t>
        </is>
      </c>
      <c r="F879" s="131">
        <f>G879-3.39+4.18</f>
        <v/>
      </c>
      <c r="G879" s="131" t="n">
        <v>71.92</v>
      </c>
      <c r="H879" s="129" t="n">
        <v>71.88</v>
      </c>
      <c r="I879" s="166">
        <f>G879-H879</f>
        <v/>
      </c>
      <c r="J879" s="115">
        <f>_xlfn.TEXTJOIN("-",TRUE,B879,C879,D879)</f>
        <v/>
      </c>
      <c r="K879" s="184" t="n"/>
      <c r="L879" s="184" t="n"/>
      <c r="M879" s="184" t="n"/>
      <c r="N879" s="184" t="n"/>
      <c r="O879" s="184" t="n"/>
      <c r="P879" s="184" t="n"/>
      <c r="Q879" s="184" t="n"/>
      <c r="BB879" s="390">
        <f>_xlfn.TEXTJOIN("-",TRUE,AU879,AW879)</f>
        <v/>
      </c>
    </row>
    <row r="880">
      <c r="B880" s="123" t="inlineStr">
        <is>
          <t>385/65R22.5</t>
        </is>
      </c>
      <c r="C880" s="169" t="inlineStr">
        <is>
          <t>24PR</t>
        </is>
      </c>
      <c r="D880" s="177" t="inlineStr">
        <is>
          <t>WTR1</t>
        </is>
      </c>
      <c r="E880" s="177" t="inlineStr">
        <is>
          <t>ID385/65R22.5-24PR-WTR1 C ID</t>
        </is>
      </c>
      <c r="F880" s="131" t="inlineStr">
        <is>
          <t>/</t>
        </is>
      </c>
      <c r="G880" s="131" t="n">
        <v>79.34999999999999</v>
      </c>
      <c r="H880" s="129" t="n">
        <v>79.34999999999999</v>
      </c>
      <c r="I880" s="166">
        <f>G880-H880</f>
        <v/>
      </c>
      <c r="J880" s="115">
        <f>_xlfn.TEXTJOIN("-",TRUE,B880,C880,D880)</f>
        <v/>
      </c>
      <c r="K880" s="184" t="n"/>
      <c r="L880" s="184" t="n"/>
      <c r="M880" s="184" t="n"/>
      <c r="N880" s="184" t="n"/>
      <c r="O880" s="184" t="n"/>
      <c r="P880" s="184" t="n"/>
      <c r="Q880" s="184" t="n"/>
      <c r="BB880" s="390">
        <f>_xlfn.TEXTJOIN("-",TRUE,AU880,AW880)</f>
        <v/>
      </c>
    </row>
    <row r="881">
      <c r="B881" s="132" t="n"/>
      <c r="C881" s="208" t="n"/>
      <c r="D881" s="178" t="n"/>
      <c r="E881" s="178" t="n"/>
      <c r="F881" s="135" t="n"/>
      <c r="G881" s="135" t="n"/>
      <c r="H881" s="138" t="n"/>
      <c r="I881" s="220" t="n"/>
      <c r="J881" s="115">
        <f>_xlfn.TEXTJOIN("-",TRUE,B881,C881,D881)</f>
        <v/>
      </c>
      <c r="K881" s="184" t="n"/>
      <c r="L881" s="184" t="n"/>
      <c r="M881" s="184" t="n"/>
      <c r="N881" s="184" t="n"/>
      <c r="O881" s="184" t="n"/>
      <c r="P881" s="184" t="n"/>
      <c r="Q881" s="184" t="n"/>
      <c r="BB881" s="390">
        <f>_xlfn.TEXTJOIN("-",TRUE,AU881,AW881)</f>
        <v/>
      </c>
    </row>
    <row r="882">
      <c r="B882" s="123" t="inlineStr">
        <is>
          <t>425/65R22.5</t>
        </is>
      </c>
      <c r="C882" s="169" t="inlineStr">
        <is>
          <t>20PR</t>
        </is>
      </c>
      <c r="D882" s="177" t="inlineStr">
        <is>
          <t>W-Elite ZM42</t>
        </is>
      </c>
      <c r="E882" s="125" t="inlineStr">
        <is>
          <t>425/65R22.5-20PR-ZMA C ID</t>
        </is>
      </c>
      <c r="F882" s="131">
        <f>G882-4.893+5.782</f>
        <v/>
      </c>
      <c r="G882" s="131" t="n">
        <v>89.78100000000001</v>
      </c>
      <c r="H882" s="129" t="n">
        <v>89.97</v>
      </c>
      <c r="I882" s="166">
        <f>G882-H882</f>
        <v/>
      </c>
      <c r="J882" s="115">
        <f>_xlfn.TEXTJOIN("-",TRUE,B882,C882,D882)</f>
        <v/>
      </c>
      <c r="K882" s="184" t="n"/>
      <c r="L882" s="184" t="n"/>
      <c r="M882" s="184" t="n"/>
      <c r="N882" s="184" t="n"/>
      <c r="O882" s="184" t="n"/>
      <c r="P882" s="184" t="n"/>
      <c r="Q882" s="184" t="n"/>
      <c r="BB882" s="390">
        <f>_xlfn.TEXTJOIN("-",TRUE,AU882,AW882)</f>
        <v/>
      </c>
    </row>
    <row r="883">
      <c r="B883" s="123" t="inlineStr">
        <is>
          <t>425/65R22.5</t>
        </is>
      </c>
      <c r="C883" s="169" t="inlineStr">
        <is>
          <t>20PR</t>
        </is>
      </c>
      <c r="D883" s="177" t="inlineStr">
        <is>
          <t>VA916</t>
        </is>
      </c>
      <c r="E883" s="125" t="inlineStr">
        <is>
          <t>425/65R22.5-20PR-ZMA C ID</t>
        </is>
      </c>
      <c r="F883" s="131">
        <f>G883-4.893+5.782</f>
        <v/>
      </c>
      <c r="G883" s="131" t="n">
        <v>89.78100000000001</v>
      </c>
      <c r="H883" s="129" t="n">
        <v>89.97</v>
      </c>
      <c r="I883" s="166">
        <f>G883-H883</f>
        <v/>
      </c>
      <c r="J883" s="115">
        <f>_xlfn.TEXTJOIN("-",TRUE,B883,C883,D883)</f>
        <v/>
      </c>
      <c r="K883" s="184" t="n"/>
      <c r="L883" s="184" t="n"/>
      <c r="M883" s="184" t="n"/>
      <c r="N883" s="184" t="n"/>
      <c r="O883" s="184" t="n"/>
      <c r="P883" s="184" t="n"/>
      <c r="Q883" s="184" t="n"/>
      <c r="BB883" s="390">
        <f>_xlfn.TEXTJOIN("-",TRUE,AU883,AW883)</f>
        <v/>
      </c>
    </row>
    <row r="884">
      <c r="B884" s="123" t="inlineStr">
        <is>
          <t>425/65R22.5</t>
        </is>
      </c>
      <c r="C884" s="169" t="inlineStr">
        <is>
          <t>20PR</t>
        </is>
      </c>
      <c r="D884" s="177" t="inlineStr">
        <is>
          <t>AZ577</t>
        </is>
      </c>
      <c r="E884" s="125" t="inlineStr">
        <is>
          <t>425/65R22.5-20PR-ZMA C ID</t>
        </is>
      </c>
      <c r="F884" s="131">
        <f>G884-4.893+5.782</f>
        <v/>
      </c>
      <c r="G884" s="131" t="n">
        <v>89.78100000000001</v>
      </c>
      <c r="H884" s="129" t="n">
        <v>89.97</v>
      </c>
      <c r="I884" s="166">
        <f>G884-H884</f>
        <v/>
      </c>
      <c r="J884" s="115">
        <f>_xlfn.TEXTJOIN("-",TRUE,B884,C884,D884)</f>
        <v/>
      </c>
      <c r="K884" s="184" t="n"/>
      <c r="L884" s="184" t="n"/>
      <c r="M884" s="184" t="n"/>
      <c r="N884" s="184" t="n"/>
      <c r="O884" s="184" t="n"/>
      <c r="P884" s="184" t="n"/>
      <c r="Q884" s="184" t="n"/>
      <c r="BB884" s="390">
        <f>_xlfn.TEXTJOIN("-",TRUE,AU884,AW884)</f>
        <v/>
      </c>
    </row>
    <row r="885">
      <c r="B885" s="123" t="inlineStr">
        <is>
          <t>425/65R22.5</t>
        </is>
      </c>
      <c r="C885" s="169" t="inlineStr">
        <is>
          <t>20PR</t>
        </is>
      </c>
      <c r="D885" s="177" t="inlineStr">
        <is>
          <t>TMA-134</t>
        </is>
      </c>
      <c r="E885" s="125" t="inlineStr">
        <is>
          <t>425/65R22.5-20PR-ZMA C ID</t>
        </is>
      </c>
      <c r="F885" s="131">
        <f>G885-4.893+5.782</f>
        <v/>
      </c>
      <c r="G885" s="131" t="n">
        <v>89.78100000000001</v>
      </c>
      <c r="H885" s="129" t="n">
        <v>89.97</v>
      </c>
      <c r="I885" s="166">
        <f>G885-H885</f>
        <v/>
      </c>
      <c r="J885" s="115">
        <f>_xlfn.TEXTJOIN("-",TRUE,B885,C885,D885)</f>
        <v/>
      </c>
      <c r="K885" s="184" t="n"/>
      <c r="L885" s="184" t="n"/>
      <c r="M885" s="184" t="n"/>
      <c r="N885" s="184" t="n"/>
      <c r="O885" s="184" t="n"/>
      <c r="P885" s="184" t="n"/>
      <c r="Q885" s="184" t="n"/>
      <c r="R885" s="184" t="n"/>
      <c r="BB885" s="390">
        <f>_xlfn.TEXTJOIN("-",TRUE,AU885,AW885)</f>
        <v/>
      </c>
    </row>
    <row r="886">
      <c r="B886" s="123" t="inlineStr">
        <is>
          <t>425/65R22.5</t>
        </is>
      </c>
      <c r="C886" s="169" t="inlineStr">
        <is>
          <t>20PR</t>
        </is>
      </c>
      <c r="D886" s="177" t="inlineStr">
        <is>
          <t>AT557</t>
        </is>
      </c>
      <c r="E886" s="125" t="inlineStr">
        <is>
          <t>ID425/65R22.5-20PR-ATM C ID</t>
        </is>
      </c>
      <c r="F886" s="131">
        <f>G886-4.891+5.779</f>
        <v/>
      </c>
      <c r="G886" s="131" t="n">
        <v>88.98</v>
      </c>
      <c r="H886" s="129" t="n">
        <v>89.05</v>
      </c>
      <c r="I886" s="166">
        <f>G886-H886</f>
        <v/>
      </c>
      <c r="J886" s="115">
        <f>_xlfn.TEXTJOIN("-",TRUE,B886,C886,D886)</f>
        <v/>
      </c>
      <c r="K886" s="184" t="n"/>
      <c r="L886" s="184" t="n"/>
      <c r="M886" s="184" t="n"/>
      <c r="N886" s="184" t="n"/>
      <c r="O886" s="184" t="n"/>
      <c r="P886" s="184" t="n"/>
      <c r="Q886" s="184" t="n"/>
      <c r="R886" s="184" t="n"/>
      <c r="BB886" s="390">
        <f>_xlfn.TEXTJOIN("-",TRUE,AU886,AW886)</f>
        <v/>
      </c>
    </row>
    <row r="887">
      <c r="B887" s="123" t="inlineStr">
        <is>
          <t>425/65R22.5</t>
        </is>
      </c>
      <c r="C887" s="169" t="inlineStr">
        <is>
          <t>20PR</t>
        </is>
      </c>
      <c r="D887" s="177" t="inlineStr">
        <is>
          <t>I-42W</t>
        </is>
      </c>
      <c r="E887" s="125" t="inlineStr">
        <is>
          <t>ID425/65R22.5-20PR-ATM C ID</t>
        </is>
      </c>
      <c r="F887" s="131">
        <f>G887-4.891+5.779</f>
        <v/>
      </c>
      <c r="G887" s="131" t="n">
        <v>88.98</v>
      </c>
      <c r="H887" s="129" t="n">
        <v>89.05</v>
      </c>
      <c r="I887" s="166">
        <f>G887-H887</f>
        <v/>
      </c>
      <c r="J887" s="115">
        <f>_xlfn.TEXTJOIN("-",TRUE,B887,C887,D887)</f>
        <v/>
      </c>
      <c r="K887" s="184" t="n"/>
      <c r="L887" s="184" t="n"/>
      <c r="M887" s="184" t="n"/>
      <c r="N887" s="184" t="n"/>
      <c r="O887" s="184" t="n"/>
      <c r="P887" s="184" t="n"/>
      <c r="Q887" s="184" t="n"/>
      <c r="R887" s="184" t="n"/>
      <c r="BB887" s="390">
        <f>_xlfn.TEXTJOIN("-",TRUE,AU887,AW887)</f>
        <v/>
      </c>
    </row>
    <row r="888">
      <c r="B888" s="123" t="inlineStr">
        <is>
          <t>425/65R22.5</t>
        </is>
      </c>
      <c r="C888" s="169" t="inlineStr">
        <is>
          <t>20PR</t>
        </is>
      </c>
      <c r="D888" s="177" t="inlineStr">
        <is>
          <t>RLINE-M2</t>
        </is>
      </c>
      <c r="E888" s="125" t="inlineStr">
        <is>
          <t>ID425/65R22.5-20PR-ATM C ID</t>
        </is>
      </c>
      <c r="F888" s="131">
        <f>G888-4.891+5.779</f>
        <v/>
      </c>
      <c r="G888" s="131" t="n">
        <v>88.98</v>
      </c>
      <c r="H888" s="129" t="n">
        <v>89.05</v>
      </c>
      <c r="I888" s="166">
        <f>G888-H888</f>
        <v/>
      </c>
      <c r="J888" s="115">
        <f>_xlfn.TEXTJOIN("-",TRUE,B888,C888,D888)</f>
        <v/>
      </c>
      <c r="K888" s="184" t="n"/>
      <c r="L888" s="184" t="n"/>
      <c r="M888" s="184" t="n"/>
      <c r="N888" s="184" t="n"/>
      <c r="O888" s="184" t="n"/>
      <c r="P888" s="184" t="n"/>
      <c r="Q888" s="184" t="n"/>
      <c r="R888" s="184" t="n"/>
      <c r="BB888" s="390">
        <f>_xlfn.TEXTJOIN("-",TRUE,AU888,AW888)</f>
        <v/>
      </c>
    </row>
    <row r="889">
      <c r="B889" s="123" t="inlineStr">
        <is>
          <t>425/65R22.5</t>
        </is>
      </c>
      <c r="C889" s="169" t="inlineStr">
        <is>
          <t>20PR</t>
        </is>
      </c>
      <c r="D889" s="177" t="inlineStr">
        <is>
          <t>H-MW</t>
        </is>
      </c>
      <c r="E889" s="125" t="inlineStr">
        <is>
          <t>ID425/65R22.5-20PR-H-MW C ID</t>
        </is>
      </c>
      <c r="F889" s="131">
        <f>G889-4.89+5.78</f>
        <v/>
      </c>
      <c r="G889" s="131" t="n">
        <v>93.68000000000001</v>
      </c>
      <c r="H889" s="129" t="n">
        <v>93.69</v>
      </c>
      <c r="I889" s="166">
        <f>G889-H889</f>
        <v/>
      </c>
      <c r="J889" s="115">
        <f>_xlfn.TEXTJOIN("-",TRUE,B889,C889,D889)</f>
        <v/>
      </c>
      <c r="K889" s="184" t="n"/>
      <c r="L889" s="184" t="n"/>
      <c r="M889" s="184" t="n"/>
      <c r="N889" s="184" t="n"/>
      <c r="O889" s="184" t="n"/>
      <c r="P889" s="184" t="n"/>
      <c r="Q889" s="184" t="n"/>
      <c r="R889" s="184" t="n"/>
      <c r="BB889" s="390">
        <f>_xlfn.TEXTJOIN("-",TRUE,AU889,AW889)</f>
        <v/>
      </c>
    </row>
    <row r="890">
      <c r="B890" s="123" t="inlineStr">
        <is>
          <t>425/65R22.5</t>
        </is>
      </c>
      <c r="C890" s="169" t="inlineStr">
        <is>
          <t>20PR</t>
        </is>
      </c>
      <c r="D890" s="177" t="inlineStr">
        <is>
          <t>CR976A</t>
        </is>
      </c>
      <c r="E890" s="125" t="inlineStr">
        <is>
          <t>ID425/65R22.5-20PR-A C ID</t>
        </is>
      </c>
      <c r="F890" s="131">
        <f>G890-4.89+5.78</f>
        <v/>
      </c>
      <c r="G890" s="131" t="n">
        <v>83.23</v>
      </c>
      <c r="H890" s="129" t="n">
        <v>83.23</v>
      </c>
      <c r="I890" s="166">
        <f>G890-H890</f>
        <v/>
      </c>
      <c r="J890" s="115">
        <f>_xlfn.TEXTJOIN("-",TRUE,B890,C890,D890)</f>
        <v/>
      </c>
      <c r="K890" s="184" t="n"/>
      <c r="L890" s="184" t="n"/>
      <c r="M890" s="184" t="n"/>
      <c r="N890" s="184" t="n"/>
      <c r="O890" s="184" t="n"/>
      <c r="P890" s="184" t="n"/>
      <c r="Q890" s="184" t="n"/>
      <c r="R890" s="184" t="n"/>
      <c r="BB890" s="390">
        <f>_xlfn.TEXTJOIN("-",TRUE,AU890,AW890)</f>
        <v/>
      </c>
    </row>
    <row r="891">
      <c r="B891" s="123" t="inlineStr">
        <is>
          <t>425/65R22.5</t>
        </is>
      </c>
      <c r="C891" s="169" t="inlineStr">
        <is>
          <t>20PR</t>
        </is>
      </c>
      <c r="D891" s="177" t="inlineStr">
        <is>
          <t>HA4 Plus</t>
        </is>
      </c>
      <c r="E891" s="125" t="inlineStr">
        <is>
          <t>ID425/65R22.5-20PR-A C ID</t>
        </is>
      </c>
      <c r="F891" s="131">
        <f>G891-4.89+5.78</f>
        <v/>
      </c>
      <c r="G891" s="131" t="n">
        <v>83.23</v>
      </c>
      <c r="H891" s="129" t="n">
        <v>83.23</v>
      </c>
      <c r="I891" s="166">
        <f>G891-H891</f>
        <v/>
      </c>
      <c r="J891" s="115">
        <f>_xlfn.TEXTJOIN("-",TRUE,B891,C891,D891)</f>
        <v/>
      </c>
      <c r="K891" s="184" t="n"/>
      <c r="L891" s="184" t="n"/>
      <c r="M891" s="184" t="n"/>
      <c r="N891" s="184" t="n"/>
      <c r="O891" s="184" t="n"/>
      <c r="P891" s="184" t="n"/>
      <c r="Q891" s="184" t="n"/>
      <c r="R891" s="184" t="n"/>
      <c r="BB891" s="390">
        <f>_xlfn.TEXTJOIN("-",TRUE,AU891,AW891)</f>
        <v/>
      </c>
    </row>
    <row r="892">
      <c r="B892" s="132" t="n"/>
      <c r="C892" s="208" t="n"/>
      <c r="D892" s="178" t="n"/>
      <c r="E892" s="178" t="n"/>
      <c r="F892" s="135" t="n"/>
      <c r="G892" s="135" t="n"/>
      <c r="H892" s="138" t="n"/>
      <c r="I892" s="136" t="n"/>
      <c r="J892" s="115">
        <f>_xlfn.TEXTJOIN("-",TRUE,B892,C892,D892)</f>
        <v/>
      </c>
      <c r="K892" s="184" t="n"/>
      <c r="L892" s="184" t="n"/>
      <c r="M892" s="184" t="n"/>
      <c r="N892" s="184" t="n"/>
      <c r="O892" s="184" t="n"/>
      <c r="P892" s="184" t="n"/>
      <c r="Q892" s="184" t="n"/>
      <c r="R892" s="184" t="n"/>
      <c r="BB892" s="390">
        <f>_xlfn.TEXTJOIN("-",TRUE,AU892,AW892)</f>
        <v/>
      </c>
    </row>
    <row r="893">
      <c r="B893" s="123" t="inlineStr">
        <is>
          <t>445/50R22.5</t>
        </is>
      </c>
      <c r="C893" s="169" t="inlineStr">
        <is>
          <t>20PR</t>
        </is>
      </c>
      <c r="D893" s="177" t="inlineStr">
        <is>
          <t>AD781</t>
        </is>
      </c>
      <c r="E893" s="177" t="inlineStr">
        <is>
          <t>ID445/50R22.5-20PR-DA C ID</t>
        </is>
      </c>
      <c r="F893" s="131">
        <f>G893-3.768+4.578</f>
        <v/>
      </c>
      <c r="G893" s="131" t="n">
        <v>91.434</v>
      </c>
      <c r="H893" s="129" t="n">
        <v>91.39879999999999</v>
      </c>
      <c r="I893" s="130">
        <f>G893-H893</f>
        <v/>
      </c>
      <c r="J893" s="115">
        <f>_xlfn.TEXTJOIN("-",TRUE,B893,C893,D893)</f>
        <v/>
      </c>
      <c r="K893" s="184" t="n"/>
      <c r="L893" s="184" t="n"/>
      <c r="M893" s="184" t="n"/>
      <c r="N893" s="184" t="n"/>
      <c r="O893" s="184" t="n"/>
      <c r="P893" s="184" t="n"/>
      <c r="Q893" s="184" t="n"/>
      <c r="R893" s="184" t="n"/>
      <c r="BB893" s="390">
        <f>_xlfn.TEXTJOIN("-",TRUE,AU893,AW893)</f>
        <v/>
      </c>
    </row>
    <row r="894">
      <c r="B894" s="123" t="inlineStr">
        <is>
          <t>445/50R22.5</t>
        </is>
      </c>
      <c r="C894" s="169" t="inlineStr">
        <is>
          <t>20PR</t>
        </is>
      </c>
      <c r="D894" s="177" t="inlineStr">
        <is>
          <t>HD4 Plus</t>
        </is>
      </c>
      <c r="E894" s="177" t="inlineStr">
        <is>
          <t>ID445/50R22.5-20PR-DA C ID</t>
        </is>
      </c>
      <c r="F894" s="131">
        <f>G894-3.768+4.578</f>
        <v/>
      </c>
      <c r="G894" s="131" t="n">
        <v>91.434</v>
      </c>
      <c r="H894" s="129" t="n">
        <v>91.39879999999999</v>
      </c>
      <c r="I894" s="130">
        <f>G894-H894</f>
        <v/>
      </c>
      <c r="J894" s="115">
        <f>_xlfn.TEXTJOIN("-",TRUE,B894,C894,D894)</f>
        <v/>
      </c>
      <c r="K894" s="184" t="n"/>
      <c r="L894" s="184" t="n"/>
      <c r="M894" s="184" t="n"/>
      <c r="N894" s="184" t="n"/>
      <c r="O894" s="184" t="n"/>
      <c r="P894" s="184" t="n"/>
      <c r="Q894" s="184" t="n"/>
      <c r="R894" s="184" t="n"/>
      <c r="BB894" s="390">
        <f>_xlfn.TEXTJOIN("-",TRUE,AU894,AW894)</f>
        <v/>
      </c>
    </row>
    <row r="895">
      <c r="B895" s="123" t="inlineStr">
        <is>
          <t>445/50R22.5</t>
        </is>
      </c>
      <c r="C895" s="169" t="inlineStr">
        <is>
          <t>20PR</t>
        </is>
      </c>
      <c r="D895" s="177" t="inlineStr">
        <is>
          <t>AD755</t>
        </is>
      </c>
      <c r="E895" s="177" t="inlineStr">
        <is>
          <t>ID445/50R22.5-20PR-DA C ID</t>
        </is>
      </c>
      <c r="F895" s="131">
        <f>G895-3.768+4.578</f>
        <v/>
      </c>
      <c r="G895" s="131" t="n">
        <v>91.434</v>
      </c>
      <c r="H895" s="129" t="n">
        <v>91.39879999999999</v>
      </c>
      <c r="I895" s="130">
        <f>G895-H895</f>
        <v/>
      </c>
      <c r="J895" s="115">
        <f>_xlfn.TEXTJOIN("-",TRUE,B895,C895,D895)</f>
        <v/>
      </c>
      <c r="K895" s="184" t="n"/>
      <c r="L895" s="184" t="n"/>
      <c r="M895" s="184" t="n"/>
      <c r="N895" s="184" t="n"/>
      <c r="O895" s="184" t="n"/>
      <c r="P895" s="184" t="n"/>
      <c r="Q895" s="184" t="n"/>
      <c r="R895" s="184" t="n"/>
      <c r="BB895" s="390">
        <f>_xlfn.TEXTJOIN("-",TRUE,AU895,AW895)</f>
        <v/>
      </c>
    </row>
    <row r="896">
      <c r="B896" s="123" t="inlineStr">
        <is>
          <t>445/50R22.5</t>
        </is>
      </c>
      <c r="C896" s="169" t="inlineStr">
        <is>
          <t>20PR</t>
        </is>
      </c>
      <c r="D896" s="177" t="inlineStr">
        <is>
          <t>RLINE-WD1</t>
        </is>
      </c>
      <c r="E896" s="177" t="inlineStr">
        <is>
          <t>ID445/50R22.5-20PR-DA C ID</t>
        </is>
      </c>
      <c r="F896" s="131">
        <f>G896-3.768+4.578</f>
        <v/>
      </c>
      <c r="G896" s="131" t="n">
        <v>91.434</v>
      </c>
      <c r="H896" s="129" t="n">
        <v>91.39879999999999</v>
      </c>
      <c r="I896" s="130">
        <f>G896-H896</f>
        <v/>
      </c>
      <c r="J896" s="115">
        <f>_xlfn.TEXTJOIN("-",TRUE,B896,C896,D896)</f>
        <v/>
      </c>
      <c r="K896" s="184" t="n"/>
      <c r="L896" s="184" t="n"/>
      <c r="M896" s="184" t="n"/>
      <c r="N896" s="184" t="n"/>
      <c r="O896" s="184" t="n"/>
      <c r="P896" s="184" t="n"/>
      <c r="Q896" s="184" t="n"/>
      <c r="R896" s="184" t="n"/>
      <c r="BB896" s="390">
        <f>_xlfn.TEXTJOIN("-",TRUE,AU896,AW896)</f>
        <v/>
      </c>
    </row>
    <row r="897">
      <c r="B897" s="143" t="inlineStr">
        <is>
          <t>445/50R22.5</t>
        </is>
      </c>
      <c r="C897" s="222" t="inlineStr">
        <is>
          <t>20PR</t>
        </is>
      </c>
      <c r="D897" s="125" t="inlineStr">
        <is>
          <t>TL32</t>
        </is>
      </c>
      <c r="E897" s="125" t="inlineStr">
        <is>
          <t>ID445/50R22.5-20PR-TA C ID</t>
        </is>
      </c>
      <c r="F897" s="165">
        <f>G897-3.768+4.578</f>
        <v/>
      </c>
      <c r="G897" s="165" t="n">
        <v>75.55800000000001</v>
      </c>
      <c r="H897" s="223" t="n">
        <v>75.63</v>
      </c>
      <c r="I897" s="130">
        <f>G897-H897</f>
        <v/>
      </c>
      <c r="J897" s="115">
        <f>_xlfn.TEXTJOIN("-",TRUE,B897,C897,D897)</f>
        <v/>
      </c>
      <c r="K897" s="184" t="n"/>
      <c r="L897" s="184" t="n"/>
      <c r="M897" s="184" t="n"/>
      <c r="N897" s="184" t="n"/>
      <c r="O897" s="184" t="n"/>
      <c r="P897" s="184" t="n"/>
      <c r="Q897" s="184" t="n"/>
      <c r="R897" s="184" t="n"/>
      <c r="BB897" s="390">
        <f>_xlfn.TEXTJOIN("-",TRUE,AU897,AW897)</f>
        <v/>
      </c>
    </row>
    <row r="898">
      <c r="B898" s="143" t="inlineStr">
        <is>
          <t>445/50R22.5</t>
        </is>
      </c>
      <c r="C898" s="222" t="inlineStr">
        <is>
          <t>20PR</t>
        </is>
      </c>
      <c r="D898" s="186" t="inlineStr">
        <is>
          <t>AT566</t>
        </is>
      </c>
      <c r="E898" s="177" t="inlineStr">
        <is>
          <t>ID445/50R22.5-20PR-TA C ID</t>
        </is>
      </c>
      <c r="F898" s="187">
        <f>G898-3.768+4.578</f>
        <v/>
      </c>
      <c r="G898" s="165" t="n">
        <v>75.55800000000001</v>
      </c>
      <c r="H898" s="223" t="n">
        <v>75.63</v>
      </c>
      <c r="I898" s="130">
        <f>G898-H898</f>
        <v/>
      </c>
      <c r="J898" s="115">
        <f>_xlfn.TEXTJOIN("-",TRUE,B898,C898,D898)</f>
        <v/>
      </c>
      <c r="K898" s="184" t="n"/>
      <c r="L898" s="184" t="n"/>
      <c r="M898" s="184" t="n"/>
      <c r="N898" s="184" t="n"/>
      <c r="O898" s="184" t="n"/>
      <c r="P898" s="184" t="n"/>
      <c r="Q898" s="184" t="n"/>
      <c r="R898" s="184" t="n"/>
      <c r="BB898" s="390">
        <f>_xlfn.TEXTJOIN("-",TRUE,AU898,AW898)</f>
        <v/>
      </c>
    </row>
    <row r="899">
      <c r="B899" s="143" t="inlineStr">
        <is>
          <t>445/50R22.5</t>
        </is>
      </c>
      <c r="C899" s="222" t="inlineStr">
        <is>
          <t>20PR</t>
        </is>
      </c>
      <c r="D899" s="125" t="inlineStr">
        <is>
          <t>VA905</t>
        </is>
      </c>
      <c r="E899" s="171" t="inlineStr">
        <is>
          <t>ID445/50R22.5-20PR-TA C ID</t>
        </is>
      </c>
      <c r="F899" s="165">
        <f>G899-3.768+4.578</f>
        <v/>
      </c>
      <c r="G899" s="165" t="n">
        <v>75.55800000000001</v>
      </c>
      <c r="H899" s="223" t="n">
        <v>75.63</v>
      </c>
      <c r="I899" s="130">
        <f>G899-H899</f>
        <v/>
      </c>
      <c r="J899" s="115">
        <f>_xlfn.TEXTJOIN("-",TRUE,B899,C899,D899)</f>
        <v/>
      </c>
      <c r="K899" s="184" t="n"/>
      <c r="L899" s="184" t="n"/>
      <c r="M899" s="184" t="n"/>
      <c r="N899" s="184" t="n"/>
      <c r="O899" s="184" t="n"/>
      <c r="P899" s="184" t="n"/>
      <c r="Q899" s="184" t="n"/>
      <c r="R899" s="184" t="n"/>
      <c r="BB899" s="390">
        <f>_xlfn.TEXTJOIN("-",TRUE,AU899,AW899)</f>
        <v/>
      </c>
    </row>
    <row r="900">
      <c r="B900" s="143" t="inlineStr">
        <is>
          <t>445/50R22.5</t>
        </is>
      </c>
      <c r="C900" s="222" t="inlineStr">
        <is>
          <t>20PR</t>
        </is>
      </c>
      <c r="D900" s="125" t="inlineStr">
        <is>
          <t>HT2 Plus</t>
        </is>
      </c>
      <c r="E900" s="125" t="inlineStr">
        <is>
          <t>ID445/50R22.5-20PR-TA C ID</t>
        </is>
      </c>
      <c r="F900" s="165">
        <f>G900-3.768+4.578</f>
        <v/>
      </c>
      <c r="G900" s="165" t="n">
        <v>75.55800000000001</v>
      </c>
      <c r="H900" s="223" t="n">
        <v>75.63</v>
      </c>
      <c r="I900" s="130">
        <f>G900-H900</f>
        <v/>
      </c>
      <c r="J900" s="115">
        <f>_xlfn.TEXTJOIN("-",TRUE,B900,C900,D900)</f>
        <v/>
      </c>
      <c r="K900" s="184" t="n"/>
      <c r="L900" s="184" t="n"/>
      <c r="M900" s="184" t="n"/>
      <c r="N900" s="184" t="n"/>
      <c r="O900" s="184" t="n"/>
      <c r="P900" s="184" t="n"/>
      <c r="Q900" s="184" t="n"/>
      <c r="R900" s="184" t="n"/>
      <c r="BB900" s="390">
        <f>_xlfn.TEXTJOIN("-",TRUE,AU900,AW900)</f>
        <v/>
      </c>
    </row>
    <row r="901">
      <c r="B901" s="143" t="inlineStr">
        <is>
          <t>445/50R22.5</t>
        </is>
      </c>
      <c r="C901" s="222" t="inlineStr">
        <is>
          <t>20PR</t>
        </is>
      </c>
      <c r="D901" s="125" t="inlineStr">
        <is>
          <t>AT570</t>
        </is>
      </c>
      <c r="E901" s="125" t="inlineStr">
        <is>
          <t>ID445/50R22.5-20PR-TA C ID</t>
        </is>
      </c>
      <c r="F901" s="165">
        <f>G901-3.768+4.578</f>
        <v/>
      </c>
      <c r="G901" s="165" t="n">
        <v>75.55800000000001</v>
      </c>
      <c r="H901" s="223" t="n">
        <v>75.63</v>
      </c>
      <c r="I901" s="130">
        <f>G901-H901</f>
        <v/>
      </c>
      <c r="J901" s="115">
        <f>_xlfn.TEXTJOIN("-",TRUE,B901,C901,D901)</f>
        <v/>
      </c>
      <c r="K901" s="184" t="n"/>
      <c r="L901" s="184" t="n"/>
      <c r="M901" s="184" t="n"/>
      <c r="N901" s="184" t="n"/>
      <c r="O901" s="184" t="n"/>
      <c r="P901" s="184" t="n"/>
      <c r="Q901" s="184" t="n"/>
      <c r="R901" s="184" t="n"/>
      <c r="BB901" s="390">
        <f>_xlfn.TEXTJOIN("-",TRUE,AU901,AW901)</f>
        <v/>
      </c>
    </row>
    <row r="902">
      <c r="B902" s="143" t="inlineStr">
        <is>
          <t>445/50R22.5</t>
        </is>
      </c>
      <c r="C902" s="222" t="inlineStr">
        <is>
          <t>20PR</t>
        </is>
      </c>
      <c r="D902" s="125" t="inlineStr">
        <is>
          <t>RLINE WA1</t>
        </is>
      </c>
      <c r="E902" s="125" t="inlineStr">
        <is>
          <t>ID445/50R22.5-20PR-TA C ID</t>
        </is>
      </c>
      <c r="F902" s="165">
        <f>G902-3.768+4.578</f>
        <v/>
      </c>
      <c r="G902" s="165" t="n">
        <v>75.55800000000001</v>
      </c>
      <c r="H902" s="223" t="n">
        <v>75.63</v>
      </c>
      <c r="I902" s="130">
        <f>G902-H902</f>
        <v/>
      </c>
      <c r="J902" s="115">
        <f>_xlfn.TEXTJOIN("-",TRUE,B902,C902,D902)</f>
        <v/>
      </c>
      <c r="K902" s="184" t="n"/>
      <c r="L902" s="184" t="n"/>
      <c r="M902" s="184" t="n"/>
      <c r="N902" s="184" t="n"/>
      <c r="O902" s="184" t="n"/>
      <c r="P902" s="184" t="n"/>
      <c r="Q902" s="184" t="n"/>
      <c r="R902" s="184" t="n"/>
      <c r="BB902" s="390">
        <f>_xlfn.TEXTJOIN("-",TRUE,AU902,AW902)</f>
        <v/>
      </c>
    </row>
    <row r="903">
      <c r="B903" s="143" t="inlineStr">
        <is>
          <t>445/50R22.5</t>
        </is>
      </c>
      <c r="C903" s="222" t="inlineStr">
        <is>
          <t>20PR</t>
        </is>
      </c>
      <c r="D903" s="125" t="inlineStr">
        <is>
          <t>M-TRAC WBT</t>
        </is>
      </c>
      <c r="E903" s="125" t="inlineStr">
        <is>
          <t>ID445/50R22.5-20PR-TA C ID</t>
        </is>
      </c>
      <c r="F903" s="165">
        <f>G903-3.768+4.578</f>
        <v/>
      </c>
      <c r="G903" s="165" t="n">
        <v>75.55800000000001</v>
      </c>
      <c r="H903" s="223" t="n">
        <v>75.63</v>
      </c>
      <c r="I903" s="130">
        <f>G903-H903</f>
        <v/>
      </c>
      <c r="J903" s="115">
        <f>_xlfn.TEXTJOIN("-",TRUE,B903,C903,D903)</f>
        <v/>
      </c>
      <c r="K903" s="184" t="n"/>
      <c r="L903" s="184" t="n"/>
      <c r="M903" s="184" t="n"/>
      <c r="N903" s="184" t="n"/>
      <c r="O903" s="184" t="n"/>
      <c r="P903" s="184" t="n"/>
      <c r="Q903" s="184" t="n"/>
      <c r="R903" s="184" t="n"/>
      <c r="BB903" s="390">
        <f>_xlfn.TEXTJOIN("-",TRUE,AU903,AW903)</f>
        <v/>
      </c>
    </row>
    <row r="904">
      <c r="B904" s="143" t="inlineStr">
        <is>
          <t>445/50R22.5</t>
        </is>
      </c>
      <c r="C904" s="222" t="inlineStr">
        <is>
          <t>20PR</t>
        </is>
      </c>
      <c r="D904" s="125" t="inlineStr">
        <is>
          <t>TL32</t>
        </is>
      </c>
      <c r="E904" s="125" t="inlineStr">
        <is>
          <t>ID445/50R22.5-20PR-TA C ID</t>
        </is>
      </c>
      <c r="F904" s="165">
        <f>G904-3.768+4.578</f>
        <v/>
      </c>
      <c r="G904" s="165" t="n">
        <v>75.55800000000001</v>
      </c>
      <c r="H904" s="223" t="n">
        <v>75.63</v>
      </c>
      <c r="I904" s="130">
        <f>G904-H904</f>
        <v/>
      </c>
      <c r="J904" s="115">
        <f>_xlfn.TEXTJOIN("-",TRUE,B904,C904,D904)</f>
        <v/>
      </c>
      <c r="K904" s="184" t="n"/>
      <c r="L904" s="184" t="n"/>
      <c r="M904" s="184" t="n"/>
      <c r="N904" s="184" t="n"/>
      <c r="O904" s="184" t="n"/>
      <c r="P904" s="184" t="n"/>
      <c r="Q904" s="184" t="n"/>
      <c r="R904" s="184" t="n"/>
      <c r="BB904" s="390">
        <f>_xlfn.TEXTJOIN("-",TRUE,AU904,AW904)</f>
        <v/>
      </c>
    </row>
    <row r="905">
      <c r="B905" s="143" t="inlineStr">
        <is>
          <t>445/50R22.5</t>
        </is>
      </c>
      <c r="C905" s="222" t="inlineStr">
        <is>
          <t>20PR</t>
        </is>
      </c>
      <c r="D905" s="125" t="inlineStr">
        <is>
          <t>ATL21</t>
        </is>
      </c>
      <c r="E905" s="125" t="inlineStr">
        <is>
          <t>ID445/50R22.5-20PR-TA C ID</t>
        </is>
      </c>
      <c r="F905" s="165">
        <f>G905-3.768+4.578</f>
        <v/>
      </c>
      <c r="G905" s="165" t="n">
        <v>75.55800000000001</v>
      </c>
      <c r="H905" s="223" t="n">
        <v>75.63</v>
      </c>
      <c r="I905" s="130">
        <f>G905-H905</f>
        <v/>
      </c>
      <c r="J905" s="115">
        <f>_xlfn.TEXTJOIN("-",TRUE,B905,C905,D905)</f>
        <v/>
      </c>
      <c r="K905" s="184" t="n"/>
      <c r="L905" s="184" t="n"/>
      <c r="M905" s="184" t="n"/>
      <c r="N905" s="184" t="n"/>
      <c r="O905" s="184" t="n"/>
      <c r="P905" s="184" t="n"/>
      <c r="Q905" s="184" t="n"/>
      <c r="R905" s="184" t="n"/>
      <c r="BB905" s="390">
        <f>_xlfn.TEXTJOIN("-",TRUE,AU905,AW905)</f>
        <v/>
      </c>
    </row>
    <row r="906">
      <c r="B906" s="181" t="n"/>
      <c r="C906" s="178" t="n"/>
      <c r="D906" s="178" t="n"/>
      <c r="E906" s="178" t="n"/>
      <c r="F906" s="135" t="n"/>
      <c r="G906" s="135" t="n"/>
      <c r="H906" s="178" t="n"/>
      <c r="I906" s="134" t="n"/>
      <c r="J906" s="115">
        <f>_xlfn.TEXTJOIN("-",TRUE,B906,C906,D906)</f>
        <v/>
      </c>
      <c r="K906" s="184" t="n"/>
      <c r="L906" s="184" t="n"/>
      <c r="M906" s="184" t="n"/>
      <c r="N906" s="184" t="n"/>
      <c r="O906" s="184" t="n"/>
      <c r="P906" s="184" t="n"/>
      <c r="Q906" s="184" t="n"/>
      <c r="R906" s="184" t="n"/>
      <c r="BB906" s="390">
        <f>_xlfn.TEXTJOIN("-",TRUE,AU906,AW906)</f>
        <v/>
      </c>
    </row>
    <row r="907">
      <c r="B907" s="224" t="inlineStr">
        <is>
          <t>445/65R22.5</t>
        </is>
      </c>
      <c r="C907" s="177" t="inlineStr">
        <is>
          <t>20PR</t>
        </is>
      </c>
      <c r="D907" s="177" t="inlineStr">
        <is>
          <t>W-Elite ZM42</t>
        </is>
      </c>
      <c r="E907" s="125" t="inlineStr">
        <is>
          <t>ID445/65R22.5-20PR-ZMA C ID</t>
        </is>
      </c>
      <c r="F907" s="131">
        <f>G907-5.45+6.198</f>
        <v/>
      </c>
      <c r="G907" s="131" t="n">
        <v>91.279</v>
      </c>
      <c r="H907" s="131" t="n">
        <v>91.2801</v>
      </c>
      <c r="I907" s="130">
        <f>G907-H907</f>
        <v/>
      </c>
      <c r="J907" s="115">
        <f>_xlfn.TEXTJOIN("-",TRUE,B907,C907,D907)</f>
        <v/>
      </c>
      <c r="K907" s="184" t="n"/>
      <c r="L907" s="184" t="n"/>
      <c r="M907" s="184" t="n"/>
      <c r="N907" s="184" t="n"/>
      <c r="O907" s="184" t="n"/>
      <c r="P907" s="184" t="n"/>
      <c r="Q907" s="184" t="n"/>
      <c r="R907" s="184" t="n"/>
      <c r="BB907" s="390">
        <f>_xlfn.TEXTJOIN("-",TRUE,AU907,AW907)</f>
        <v/>
      </c>
    </row>
    <row r="908">
      <c r="B908" s="224" t="inlineStr">
        <is>
          <t>445/65R22.5</t>
        </is>
      </c>
      <c r="C908" s="177" t="inlineStr">
        <is>
          <t>20PR</t>
        </is>
      </c>
      <c r="D908" s="177" t="inlineStr">
        <is>
          <t>AZ577</t>
        </is>
      </c>
      <c r="E908" s="125" t="inlineStr">
        <is>
          <t>ID445/65R22.5-20PR-ZMA C ID</t>
        </is>
      </c>
      <c r="F908" s="131">
        <f>G908-5.45+6.198</f>
        <v/>
      </c>
      <c r="G908" s="131" t="n">
        <v>91.279</v>
      </c>
      <c r="H908" s="131" t="n">
        <v>91.2801</v>
      </c>
      <c r="I908" s="130">
        <f>G908-H908</f>
        <v/>
      </c>
      <c r="J908" s="115">
        <f>_xlfn.TEXTJOIN("-",TRUE,B908,C908,D908)</f>
        <v/>
      </c>
      <c r="K908" s="184" t="n"/>
      <c r="L908" s="184" t="n"/>
      <c r="M908" s="184" t="n"/>
      <c r="N908" s="184" t="n"/>
      <c r="O908" s="184" t="n"/>
      <c r="P908" s="184" t="n"/>
      <c r="Q908" s="184" t="n"/>
      <c r="R908" s="184" t="n"/>
      <c r="BB908" s="390">
        <f>_xlfn.TEXTJOIN("-",TRUE,AU908,AW908)</f>
        <v/>
      </c>
    </row>
    <row r="909">
      <c r="B909" s="224" t="inlineStr">
        <is>
          <t>445/65R22.5</t>
        </is>
      </c>
      <c r="C909" s="177" t="inlineStr">
        <is>
          <t>20PR</t>
        </is>
      </c>
      <c r="D909" s="177" t="inlineStr">
        <is>
          <t>I-42W</t>
        </is>
      </c>
      <c r="E909" s="125" t="inlineStr">
        <is>
          <t>ID445/65R22.5-20PR-ZMA C ID</t>
        </is>
      </c>
      <c r="F909" s="131">
        <f>G909-5.45+6.198</f>
        <v/>
      </c>
      <c r="G909" s="131" t="n">
        <v>91.279</v>
      </c>
      <c r="H909" s="131" t="n">
        <v>91.2801</v>
      </c>
      <c r="I909" s="130">
        <f>G909-H909</f>
        <v/>
      </c>
      <c r="J909" s="115">
        <f>_xlfn.TEXTJOIN("-",TRUE,B909,C909,D909)</f>
        <v/>
      </c>
      <c r="K909" s="184" t="n"/>
      <c r="L909" s="184" t="n"/>
      <c r="M909" s="184" t="n"/>
      <c r="N909" s="184" t="n"/>
      <c r="O909" s="184" t="n"/>
      <c r="P909" s="184" t="n"/>
      <c r="Q909" s="184" t="n"/>
      <c r="R909" s="184" t="n"/>
      <c r="BB909" s="390">
        <f>_xlfn.TEXTJOIN("-",TRUE,AU909,AW909)</f>
        <v/>
      </c>
    </row>
    <row r="910">
      <c r="B910" s="224" t="inlineStr">
        <is>
          <t>445/65R22.5</t>
        </is>
      </c>
      <c r="C910" s="177" t="inlineStr">
        <is>
          <t>20PR</t>
        </is>
      </c>
      <c r="D910" s="177" t="inlineStr">
        <is>
          <t>H-MW</t>
        </is>
      </c>
      <c r="E910" s="125" t="inlineStr">
        <is>
          <t>ID445/65R22.5-20PR-H-MW C ID</t>
        </is>
      </c>
      <c r="F910" s="131">
        <f>G910-5.45+6.2</f>
        <v/>
      </c>
      <c r="G910" s="131" t="n">
        <v>99.52</v>
      </c>
      <c r="H910" s="131" t="n">
        <v>99.5</v>
      </c>
      <c r="I910" s="130">
        <f>G910-H910</f>
        <v/>
      </c>
      <c r="J910" s="115">
        <f>_xlfn.TEXTJOIN("-",TRUE,B910,C910,D910)</f>
        <v/>
      </c>
      <c r="K910" s="184" t="n"/>
      <c r="L910" s="184" t="n"/>
      <c r="M910" s="184" t="n"/>
      <c r="N910" s="184" t="n"/>
      <c r="O910" s="184" t="n"/>
      <c r="P910" s="184" t="n"/>
      <c r="Q910" s="184" t="n"/>
      <c r="R910" s="184" t="n"/>
      <c r="BB910" s="390">
        <f>_xlfn.TEXTJOIN("-",TRUE,AU910,AW910)</f>
        <v/>
      </c>
    </row>
    <row r="911">
      <c r="B911" s="224" t="inlineStr">
        <is>
          <t>445/65R22.5</t>
        </is>
      </c>
      <c r="C911" s="177" t="inlineStr">
        <is>
          <t>20PR</t>
        </is>
      </c>
      <c r="D911" s="177" t="inlineStr">
        <is>
          <t>CR976A</t>
        </is>
      </c>
      <c r="E911" s="125" t="inlineStr">
        <is>
          <t>445/65R22.5-20PR-A C ID</t>
        </is>
      </c>
      <c r="F911" s="131">
        <f>G911-5.45+6.2</f>
        <v/>
      </c>
      <c r="G911" s="131" t="n">
        <v>85.42</v>
      </c>
      <c r="H911" s="131" t="n">
        <v>85.41</v>
      </c>
      <c r="I911" s="130">
        <f>G911-H911</f>
        <v/>
      </c>
      <c r="J911" s="115">
        <f>_xlfn.TEXTJOIN("-",TRUE,B911,C911,D911)</f>
        <v/>
      </c>
      <c r="K911" s="184" t="n"/>
      <c r="L911" s="184" t="n"/>
      <c r="M911" s="184" t="n"/>
      <c r="N911" s="184" t="n"/>
      <c r="O911" s="184" t="n"/>
      <c r="P911" s="184" t="n"/>
      <c r="Q911" s="184" t="n"/>
      <c r="R911" s="184" t="n"/>
      <c r="BB911" s="390">
        <f>_xlfn.TEXTJOIN("-",TRUE,AU911,AW911)</f>
        <v/>
      </c>
    </row>
    <row r="912">
      <c r="B912" s="224" t="inlineStr">
        <is>
          <t>445/65R22.5</t>
        </is>
      </c>
      <c r="C912" s="177" t="inlineStr">
        <is>
          <t>20PR</t>
        </is>
      </c>
      <c r="D912" s="177" t="inlineStr">
        <is>
          <t>HA4 Plus</t>
        </is>
      </c>
      <c r="E912" s="125" t="inlineStr">
        <is>
          <t>445/65R22.5-20PR-A C ID</t>
        </is>
      </c>
      <c r="F912" s="131">
        <f>G912-5.45+6.2</f>
        <v/>
      </c>
      <c r="G912" s="131" t="n">
        <v>85.42</v>
      </c>
      <c r="H912" s="131" t="n">
        <v>85.41</v>
      </c>
      <c r="I912" s="130">
        <f>G912-H912</f>
        <v/>
      </c>
      <c r="J912" s="115">
        <f>_xlfn.TEXTJOIN("-",TRUE,B912,C912,D912)</f>
        <v/>
      </c>
      <c r="K912" s="184" t="n"/>
      <c r="L912" s="184" t="n"/>
      <c r="M912" s="184" t="n"/>
      <c r="N912" s="184" t="n"/>
      <c r="O912" s="184" t="n"/>
      <c r="P912" s="184" t="n"/>
      <c r="Q912" s="184" t="n"/>
      <c r="R912" s="184" t="n"/>
      <c r="BB912" s="390">
        <f>_xlfn.TEXTJOIN("-",TRUE,AU912,AW912)</f>
        <v/>
      </c>
    </row>
    <row r="913">
      <c r="B913" s="181" t="n"/>
      <c r="C913" s="178" t="n"/>
      <c r="D913" s="178" t="n"/>
      <c r="E913" s="178" t="n"/>
      <c r="F913" s="135" t="n"/>
      <c r="G913" s="135" t="n"/>
      <c r="H913" s="178" t="n"/>
      <c r="I913" s="134" t="n"/>
      <c r="J913" s="115">
        <f>_xlfn.TEXTJOIN("-",TRUE,B913,C913,D913)</f>
        <v/>
      </c>
      <c r="K913" s="184" t="n"/>
      <c r="L913" s="184" t="n"/>
      <c r="M913" s="184" t="n"/>
      <c r="N913" s="184" t="n"/>
      <c r="O913" s="184" t="n"/>
      <c r="P913" s="184" t="n"/>
      <c r="Q913" s="184" t="n"/>
      <c r="R913" s="184" t="n"/>
      <c r="BB913" s="390">
        <f>_xlfn.TEXTJOIN("-",TRUE,AU913,AW913)</f>
        <v/>
      </c>
    </row>
    <row r="914">
      <c r="B914" s="224" t="inlineStr">
        <is>
          <t>ST225/75R15</t>
        </is>
      </c>
      <c r="C914" s="177" t="inlineStr">
        <is>
          <t>14PR</t>
        </is>
      </c>
      <c r="D914" s="177" t="inlineStr">
        <is>
          <t>CR960A</t>
        </is>
      </c>
      <c r="E914" s="125" t="inlineStr">
        <is>
          <t>IDST225/75R15-14PR-CR960A ID EA823</t>
        </is>
      </c>
      <c r="F914" s="131">
        <f>G914-1.44+1.68</f>
        <v/>
      </c>
      <c r="G914" s="131" t="n">
        <v>21.05</v>
      </c>
      <c r="H914" s="131" t="n">
        <v>21.05</v>
      </c>
      <c r="I914" s="130">
        <f>G914-H914</f>
        <v/>
      </c>
      <c r="J914" s="115">
        <f>_xlfn.TEXTJOIN("-",TRUE,B914,C914,D914)</f>
        <v/>
      </c>
      <c r="K914" s="184" t="n"/>
      <c r="L914" s="184" t="n"/>
      <c r="M914" s="184" t="n"/>
      <c r="N914" s="184" t="n"/>
      <c r="O914" s="184" t="n"/>
      <c r="P914" s="184" t="n"/>
      <c r="Q914" s="184" t="n"/>
      <c r="R914" s="184" t="n"/>
      <c r="BB914" s="390">
        <f>_xlfn.TEXTJOIN("-",TRUE,AU914,AW914)</f>
        <v/>
      </c>
    </row>
    <row r="915">
      <c r="B915" s="224" t="inlineStr">
        <is>
          <t>ST235/80R16</t>
        </is>
      </c>
      <c r="C915" s="177" t="inlineStr">
        <is>
          <t>16PR</t>
        </is>
      </c>
      <c r="D915" s="126" t="inlineStr">
        <is>
          <t>CR960A</t>
        </is>
      </c>
      <c r="E915" s="177" t="inlineStr">
        <is>
          <t>IDST235/80R16-16PR-CR960A ID EA823</t>
        </is>
      </c>
      <c r="F915" s="131" t="inlineStr">
        <is>
          <t>/</t>
        </is>
      </c>
      <c r="G915" s="131" t="n">
        <v>24.786</v>
      </c>
      <c r="H915" s="131" t="n">
        <v>24.709</v>
      </c>
      <c r="I915" s="130">
        <f>G915-H915</f>
        <v/>
      </c>
      <c r="J915" s="115">
        <f>_xlfn.TEXTJOIN("-",TRUE,B915,C915,D915)</f>
        <v/>
      </c>
      <c r="K915" s="184" t="n"/>
      <c r="L915" s="184" t="n"/>
      <c r="M915" s="184" t="n"/>
      <c r="N915" s="184" t="n"/>
      <c r="O915" s="184" t="n"/>
      <c r="P915" s="184" t="n"/>
      <c r="Q915" s="184" t="n"/>
      <c r="R915" s="184" t="n"/>
      <c r="BB915" s="390">
        <f>_xlfn.TEXTJOIN("-",TRUE,AU915,AW915)</f>
        <v/>
      </c>
    </row>
    <row r="916">
      <c r="B916" s="224" t="inlineStr">
        <is>
          <t>ST235/85R16</t>
        </is>
      </c>
      <c r="C916" s="177" t="inlineStr">
        <is>
          <t>16PR</t>
        </is>
      </c>
      <c r="D916" s="177" t="inlineStr">
        <is>
          <t>CR960A</t>
        </is>
      </c>
      <c r="E916" s="171" t="inlineStr">
        <is>
          <t>IDST235/85R16-16PR-CRT ID EA823</t>
        </is>
      </c>
      <c r="F916" s="131" t="inlineStr">
        <is>
          <t>/</t>
        </is>
      </c>
      <c r="G916" s="131" t="n">
        <v>25.362</v>
      </c>
      <c r="H916" s="131" t="n">
        <v>25.28</v>
      </c>
      <c r="I916" s="130">
        <f>G916-H916</f>
        <v/>
      </c>
      <c r="J916" s="115">
        <f>_xlfn.TEXTJOIN("-",TRUE,B916,C916,D916)</f>
        <v/>
      </c>
      <c r="K916" s="184" t="n"/>
      <c r="L916" s="184" t="n"/>
      <c r="M916" s="184" t="n"/>
      <c r="N916" s="184" t="n"/>
      <c r="O916" s="184" t="n"/>
      <c r="P916" s="184" t="n"/>
      <c r="Q916" s="184" t="n"/>
      <c r="R916" s="184" t="n"/>
      <c r="BB916" s="390">
        <f>_xlfn.TEXTJOIN("-",TRUE,AU916,AW916)</f>
        <v/>
      </c>
    </row>
    <row r="917">
      <c r="B917" s="224" t="inlineStr">
        <is>
          <t>ST235/85R16</t>
        </is>
      </c>
      <c r="C917" s="177" t="inlineStr">
        <is>
          <t>16PR</t>
        </is>
      </c>
      <c r="D917" s="126" t="inlineStr">
        <is>
          <t>RT809</t>
        </is>
      </c>
      <c r="E917" s="177" t="inlineStr">
        <is>
          <t>IDST235/85R16-16PR-CRT ID EA823</t>
        </is>
      </c>
      <c r="F917" s="131" t="inlineStr">
        <is>
          <t>/</t>
        </is>
      </c>
      <c r="G917" s="131" t="n">
        <v>25.362</v>
      </c>
      <c r="H917" s="131" t="n">
        <v>25.28</v>
      </c>
      <c r="I917" s="130">
        <f>G917-H917</f>
        <v/>
      </c>
      <c r="J917" s="115">
        <f>_xlfn.TEXTJOIN("-",TRUE,B917,C917,D917)</f>
        <v/>
      </c>
      <c r="K917" s="184" t="n"/>
      <c r="L917" s="184" t="n"/>
      <c r="M917" s="184" t="n"/>
      <c r="N917" s="184" t="n"/>
      <c r="O917" s="184" t="n"/>
      <c r="P917" s="184" t="n"/>
      <c r="Q917" s="184" t="n"/>
      <c r="R917" s="184" t="n"/>
      <c r="BB917" s="390">
        <f>_xlfn.TEXTJOIN("-",TRUE,AU917,AW917)</f>
        <v/>
      </c>
    </row>
    <row r="918">
      <c r="B918" s="181" t="n"/>
      <c r="C918" s="178" t="n"/>
      <c r="D918" s="178" t="n"/>
      <c r="E918" s="178" t="n"/>
      <c r="F918" s="135" t="n"/>
      <c r="G918" s="135" t="n"/>
      <c r="H918" s="178" t="n"/>
      <c r="I918" s="134" t="n"/>
      <c r="J918" s="115">
        <f>_xlfn.TEXTJOIN("-",TRUE,B918,C918,D918)</f>
        <v/>
      </c>
      <c r="K918" s="184" t="n"/>
      <c r="L918" s="184" t="n"/>
      <c r="M918" s="184" t="n"/>
      <c r="N918" s="184" t="n"/>
      <c r="O918" s="184" t="n"/>
      <c r="P918" s="184" t="n"/>
      <c r="Q918" s="184" t="n"/>
      <c r="R918" s="184" t="n"/>
      <c r="BB918" s="390">
        <f>_xlfn.TEXTJOIN("-",TRUE,AU918,AW918)</f>
        <v/>
      </c>
    </row>
    <row r="919">
      <c r="B919" s="123" t="inlineStr">
        <is>
          <t>41x13R20</t>
        </is>
      </c>
      <c r="C919" s="177" t="inlineStr">
        <is>
          <t>22PR</t>
        </is>
      </c>
      <c r="D919" s="177" t="inlineStr">
        <is>
          <t>AR97</t>
        </is>
      </c>
      <c r="E919" s="125" t="inlineStr">
        <is>
          <t>41x13R20-22PR-AR97</t>
        </is>
      </c>
      <c r="F919" s="131" t="inlineStr">
        <is>
          <t>/</t>
        </is>
      </c>
      <c r="G919" s="131" t="n">
        <v>55.56</v>
      </c>
      <c r="H919" s="131" t="n">
        <v>57.02</v>
      </c>
      <c r="I919" s="130">
        <f>G919-H919</f>
        <v/>
      </c>
      <c r="J919" s="115">
        <f>_xlfn.TEXTJOIN("-",TRUE,B919,C919,D919)</f>
        <v/>
      </c>
      <c r="K919" s="184" t="n"/>
      <c r="L919" s="184" t="n"/>
      <c r="M919" s="184" t="n"/>
      <c r="N919" s="184" t="n"/>
      <c r="O919" s="184" t="n"/>
      <c r="P919" s="184" t="n"/>
      <c r="Q919" s="184" t="n"/>
      <c r="R919" s="184" t="n"/>
      <c r="BB919" s="390">
        <f>_xlfn.TEXTJOIN("-",TRUE,AU919,AW919)</f>
        <v/>
      </c>
    </row>
    <row r="920">
      <c r="B920" s="199" t="n"/>
      <c r="C920" s="200" t="n"/>
      <c r="D920" s="200" t="n"/>
      <c r="E920" s="200" t="n"/>
      <c r="F920" s="201" t="n"/>
      <c r="G920" s="201" t="n"/>
      <c r="H920" s="200" t="n"/>
      <c r="I920" s="202" t="n"/>
      <c r="J920" s="115">
        <f>_xlfn.TEXTJOIN("-",TRUE,B920,C920,D920)</f>
        <v/>
      </c>
      <c r="K920" s="184" t="n"/>
      <c r="L920" s="184" t="n"/>
      <c r="M920" s="184" t="n"/>
      <c r="N920" s="184" t="n"/>
      <c r="O920" s="184" t="n"/>
      <c r="P920" s="184" t="n"/>
      <c r="Q920" s="184" t="n"/>
      <c r="R920" s="184" t="n"/>
      <c r="BB920" s="390">
        <f>_xlfn.TEXTJOIN("-",TRUE,AU920,AW920)</f>
        <v/>
      </c>
    </row>
    <row r="921">
      <c r="J921" s="115">
        <f>_xlfn.TEXTJOIN("-",TRUE,B921,C921,D921)</f>
        <v/>
      </c>
      <c r="K921" s="184" t="n"/>
      <c r="L921" s="184" t="n"/>
      <c r="M921" s="184" t="n"/>
      <c r="N921" s="184" t="n"/>
      <c r="O921" s="184" t="n"/>
      <c r="P921" s="184" t="n"/>
      <c r="Q921" s="184" t="n"/>
      <c r="R921" s="184" t="n"/>
      <c r="BB921" s="390">
        <f>_xlfn.TEXTJOIN("-",TRUE,AU921,AW921)</f>
        <v/>
      </c>
    </row>
    <row r="922">
      <c r="B922" s="184" t="n"/>
      <c r="C922" s="184" t="n"/>
      <c r="D922" s="184" t="n"/>
      <c r="E922" s="184" t="n"/>
      <c r="F922" s="184" t="n"/>
      <c r="G922" s="184" t="n"/>
      <c r="H922" s="184" t="n"/>
      <c r="I922" s="184" t="n"/>
      <c r="J922" s="115">
        <f>_xlfn.TEXTJOIN("-",TRUE,B922,C922,D922)</f>
        <v/>
      </c>
      <c r="K922" s="184" t="n"/>
      <c r="L922" s="184" t="n"/>
      <c r="M922" s="184" t="n"/>
      <c r="N922" s="184" t="n"/>
      <c r="O922" s="184" t="n"/>
      <c r="P922" s="184" t="n"/>
      <c r="Q922" s="184" t="n"/>
      <c r="R922" s="184" t="n"/>
      <c r="BB922" s="390">
        <f>_xlfn.TEXTJOIN("-",TRUE,AU922,AW922)</f>
        <v/>
      </c>
    </row>
    <row r="923">
      <c r="B923" s="184" t="n"/>
      <c r="C923" s="184" t="n"/>
      <c r="D923" s="184" t="n"/>
      <c r="E923" s="184" t="n"/>
      <c r="F923" s="184" t="n"/>
      <c r="G923" s="184" t="n"/>
      <c r="H923" s="184" t="n"/>
      <c r="I923" s="184" t="n"/>
      <c r="J923" s="115">
        <f>_xlfn.TEXTJOIN("-",TRUE,B923,C923,D923)</f>
        <v/>
      </c>
      <c r="K923" s="184" t="n"/>
      <c r="L923" s="184" t="n"/>
      <c r="M923" s="184" t="n"/>
      <c r="N923" s="184" t="n"/>
      <c r="O923" s="184" t="n"/>
      <c r="P923" s="184" t="n"/>
      <c r="Q923" s="184" t="n"/>
      <c r="R923" s="184" t="n"/>
      <c r="BB923" s="390">
        <f>_xlfn.TEXTJOIN("-",TRUE,AU923,AW923)</f>
        <v/>
      </c>
    </row>
    <row r="924">
      <c r="B924" s="184" t="n"/>
      <c r="C924" s="184" t="n"/>
      <c r="D924" s="184" t="n"/>
      <c r="E924" s="184" t="n"/>
      <c r="F924" s="184" t="n"/>
      <c r="G924" s="184" t="n"/>
      <c r="H924" s="184" t="n"/>
      <c r="I924" s="184" t="n"/>
      <c r="J924" s="115">
        <f>_xlfn.TEXTJOIN("-",TRUE,B924,C924,D924)</f>
        <v/>
      </c>
      <c r="K924" s="184" t="n"/>
      <c r="L924" s="184" t="n"/>
      <c r="M924" s="184" t="n"/>
      <c r="N924" s="184" t="n"/>
      <c r="O924" s="184" t="n"/>
      <c r="P924" s="184" t="n"/>
      <c r="Q924" s="184" t="n"/>
      <c r="R924" s="184" t="n"/>
      <c r="BB924" s="390">
        <f>_xlfn.TEXTJOIN("-",TRUE,AU924,AW924)</f>
        <v/>
      </c>
    </row>
    <row r="925">
      <c r="B925" s="184" t="n"/>
      <c r="C925" s="184" t="n"/>
      <c r="D925" s="184" t="n"/>
      <c r="E925" s="184" t="n"/>
      <c r="F925" s="184" t="n"/>
      <c r="G925" s="184" t="n">
        <v>49.065</v>
      </c>
      <c r="H925" s="184" t="n"/>
      <c r="I925" s="184" t="n"/>
      <c r="J925" s="115" t="inlineStr">
        <is>
          <t>11R22.5-14PR-Strong Guard H-TL</t>
        </is>
      </c>
      <c r="K925" s="184" t="n"/>
      <c r="L925" s="184" t="n"/>
      <c r="M925" s="184" t="n"/>
      <c r="N925" s="184" t="n"/>
      <c r="O925" s="184" t="n"/>
      <c r="P925" s="184" t="n"/>
      <c r="Q925" s="184" t="n"/>
      <c r="R925" s="184" t="n"/>
      <c r="BB925" s="390">
        <f>_xlfn.TEXTJOIN("-",TRUE,AU925,AW925)</f>
        <v/>
      </c>
    </row>
    <row r="926">
      <c r="B926" s="184" t="n"/>
      <c r="C926" s="184" t="n"/>
      <c r="D926" s="184" t="n"/>
      <c r="E926" s="184" t="n"/>
      <c r="F926" s="184" t="n"/>
      <c r="G926" s="184" t="n">
        <v>54.244</v>
      </c>
      <c r="H926" s="184" t="n"/>
      <c r="I926" s="184" t="n"/>
      <c r="J926" s="115" t="inlineStr">
        <is>
          <t>11R22.5-16PR-Strong Guard H-RD</t>
        </is>
      </c>
      <c r="K926" s="184" t="n"/>
      <c r="L926" s="184" t="n"/>
      <c r="M926" s="184" t="n"/>
      <c r="N926" s="184" t="n"/>
      <c r="O926" s="184" t="n"/>
      <c r="P926" s="184" t="n"/>
      <c r="Q926" s="184" t="n"/>
      <c r="R926" s="184" t="n"/>
      <c r="BB926" s="390">
        <f>_xlfn.TEXTJOIN("-",TRUE,AU926,AW926)</f>
        <v/>
      </c>
    </row>
    <row r="927">
      <c r="B927" s="184" t="n"/>
      <c r="C927" s="184" t="n"/>
      <c r="D927" s="184" t="n"/>
      <c r="E927" s="184" t="n"/>
      <c r="F927" s="184" t="n"/>
      <c r="G927" s="184" t="n">
        <v>51.024</v>
      </c>
      <c r="H927" s="184" t="n"/>
      <c r="I927" s="184" t="n"/>
      <c r="J927" s="115" t="inlineStr">
        <is>
          <t>11R22.5-16PR-Strong Guard H-RA</t>
        </is>
      </c>
      <c r="K927" s="184" t="n"/>
      <c r="L927" s="184" t="n"/>
      <c r="M927" s="184" t="n"/>
      <c r="N927" s="184" t="n"/>
      <c r="O927" s="184" t="n"/>
      <c r="P927" s="184" t="n"/>
      <c r="Q927" s="184" t="n"/>
      <c r="R927" s="184" t="n"/>
      <c r="BB927" s="390">
        <f>_xlfn.TEXTJOIN("-",TRUE,AU927,AW927)</f>
        <v/>
      </c>
    </row>
    <row r="928">
      <c r="B928" s="184" t="n"/>
      <c r="C928" s="184" t="n"/>
      <c r="D928" s="184" t="n"/>
      <c r="E928" s="184" t="n"/>
      <c r="F928" s="184" t="n"/>
      <c r="G928" s="184" t="n">
        <v>60.324</v>
      </c>
      <c r="H928" s="184" t="n"/>
      <c r="I928" s="184" t="n"/>
      <c r="J928" s="115" t="inlineStr">
        <is>
          <t>11R22.5-16PR-Strong Guard H-MD</t>
        </is>
      </c>
      <c r="K928" s="184" t="n"/>
      <c r="L928" s="184" t="n"/>
      <c r="M928" s="184" t="n"/>
      <c r="N928" s="184" t="n"/>
      <c r="O928" s="184" t="n"/>
      <c r="P928" s="184" t="n"/>
      <c r="Q928" s="184" t="n"/>
      <c r="R928" s="184" t="n"/>
      <c r="BB928" s="390">
        <f>_xlfn.TEXTJOIN("-",TRUE,AU928,AW928)</f>
        <v/>
      </c>
    </row>
    <row r="929">
      <c r="B929" s="184" t="n"/>
      <c r="C929" s="184" t="n"/>
      <c r="D929" s="184" t="n"/>
      <c r="E929" s="184" t="n"/>
      <c r="F929" s="184" t="n"/>
      <c r="G929" s="184" t="n">
        <v>53.218</v>
      </c>
      <c r="H929" s="184" t="n"/>
      <c r="I929" s="184" t="n"/>
      <c r="J929" s="115" t="inlineStr">
        <is>
          <t>11R24.5-14PR-Strong Guard H-TL</t>
        </is>
      </c>
      <c r="K929" s="184" t="n"/>
      <c r="L929" s="184" t="n"/>
      <c r="M929" s="184" t="n"/>
      <c r="N929" s="184" t="n"/>
      <c r="O929" s="184" t="n"/>
      <c r="P929" s="184" t="n"/>
      <c r="Q929" s="184" t="n"/>
      <c r="R929" s="184" t="n"/>
      <c r="BB929" s="390">
        <f>_xlfn.TEXTJOIN("-",TRUE,AU929,AW929)</f>
        <v/>
      </c>
    </row>
    <row r="930">
      <c r="B930" s="184" t="n"/>
      <c r="C930" s="184" t="n"/>
      <c r="D930" s="184" t="n"/>
      <c r="E930" s="184" t="n"/>
      <c r="F930" s="184" t="n"/>
      <c r="G930" s="184" t="n">
        <v>64.86799999999999</v>
      </c>
      <c r="H930" s="184" t="n"/>
      <c r="I930" s="184" t="n"/>
      <c r="J930" s="115" t="inlineStr">
        <is>
          <t>11R24.5-16PR-Strong Guard H-MD</t>
        </is>
      </c>
      <c r="K930" s="184" t="n"/>
      <c r="L930" s="184" t="n"/>
      <c r="M930" s="184" t="n"/>
      <c r="N930" s="184" t="n"/>
      <c r="O930" s="184" t="n"/>
      <c r="P930" s="184" t="n"/>
      <c r="Q930" s="184" t="n"/>
      <c r="R930" s="184" t="n"/>
      <c r="BB930" s="390">
        <f>_xlfn.TEXTJOIN("-",TRUE,AU930,AW930)</f>
        <v/>
      </c>
    </row>
    <row r="931">
      <c r="B931" s="184" t="n"/>
      <c r="C931" s="184" t="n"/>
      <c r="D931" s="184" t="n"/>
      <c r="E931" s="184" t="n"/>
      <c r="F931" s="184" t="n"/>
      <c r="G931" s="184" t="n">
        <v>57.716</v>
      </c>
      <c r="H931" s="184" t="n"/>
      <c r="I931" s="184" t="n"/>
      <c r="J931" s="115" t="inlineStr">
        <is>
          <t>11R24.5-16PR-Strong Guard H-RD</t>
        </is>
      </c>
      <c r="K931" s="184" t="n"/>
      <c r="L931" s="184" t="n"/>
      <c r="M931" s="184" t="n"/>
      <c r="N931" s="184" t="n"/>
      <c r="O931" s="184" t="n"/>
      <c r="P931" s="184" t="n"/>
      <c r="Q931" s="184" t="n"/>
      <c r="R931" s="184" t="n"/>
      <c r="BB931" s="390">
        <f>_xlfn.TEXTJOIN("-",TRUE,AU931,AW931)</f>
        <v/>
      </c>
    </row>
    <row r="932">
      <c r="B932" s="184" t="n"/>
      <c r="C932" s="184" t="n"/>
      <c r="D932" s="184" t="n"/>
      <c r="E932" s="184" t="n"/>
      <c r="F932" s="184" t="n"/>
      <c r="G932" s="184" t="n">
        <v>49.12</v>
      </c>
      <c r="H932" s="184" t="n"/>
      <c r="I932" s="184" t="n"/>
      <c r="J932" s="115" t="inlineStr">
        <is>
          <t>285/75R24.5-14PR-Strong Guard H-TL</t>
        </is>
      </c>
      <c r="K932" s="184" t="n"/>
      <c r="L932" s="184" t="n"/>
      <c r="M932" s="184" t="n"/>
      <c r="N932" s="184" t="n"/>
      <c r="O932" s="184" t="n"/>
      <c r="P932" s="184" t="n"/>
      <c r="Q932" s="184" t="n"/>
      <c r="R932" s="184" t="n"/>
      <c r="BB932" s="390">
        <f>_xlfn.TEXTJOIN("-",TRUE,AU932,AW932)</f>
        <v/>
      </c>
    </row>
    <row r="933">
      <c r="B933" s="184" t="n"/>
      <c r="C933" s="184" t="n"/>
      <c r="D933" s="184" t="n"/>
      <c r="E933" s="184" t="n"/>
      <c r="F933" s="184" t="n"/>
      <c r="G933" s="184" t="n">
        <v>68.72</v>
      </c>
      <c r="H933" s="184" t="n"/>
      <c r="I933" s="184" t="n"/>
      <c r="J933" s="115" t="inlineStr">
        <is>
          <t>12R22.5-18PR-Strong Guard H-MD</t>
        </is>
      </c>
      <c r="K933" s="184" t="n"/>
      <c r="L933" s="184" t="n"/>
      <c r="M933" s="184" t="n"/>
      <c r="N933" s="184" t="n"/>
      <c r="O933" s="184" t="n"/>
      <c r="P933" s="184" t="n"/>
      <c r="Q933" s="184" t="n"/>
      <c r="R933" s="184" t="n"/>
      <c r="BB933" s="390">
        <f>_xlfn.TEXTJOIN("-",TRUE,AU933,AW933)</f>
        <v/>
      </c>
    </row>
    <row r="934">
      <c r="B934" s="184" t="n"/>
      <c r="C934" s="184" t="n"/>
      <c r="D934" s="184" t="n"/>
      <c r="E934" s="184" t="n"/>
      <c r="F934" s="184" t="n"/>
      <c r="G934" s="184" t="n">
        <v>28.65</v>
      </c>
      <c r="H934" s="184" t="n"/>
      <c r="I934" s="184" t="n"/>
      <c r="J934" s="115" t="inlineStr">
        <is>
          <t>215/75R17.5-16PR-Strong Guard H-RA</t>
        </is>
      </c>
      <c r="K934" s="184" t="n"/>
      <c r="L934" s="184" t="n"/>
      <c r="M934" s="184" t="n"/>
      <c r="N934" s="184" t="n"/>
      <c r="O934" s="184" t="n"/>
      <c r="P934" s="184" t="n"/>
      <c r="Q934" s="184" t="n"/>
      <c r="R934" s="184" t="n"/>
      <c r="BB934" s="390">
        <f>_xlfn.TEXTJOIN("-",TRUE,AU934,AW934)</f>
        <v/>
      </c>
    </row>
    <row r="935">
      <c r="B935" s="184" t="n"/>
      <c r="C935" s="184" t="n"/>
      <c r="D935" s="184" t="n"/>
      <c r="E935" s="184" t="n"/>
      <c r="F935" s="184" t="n"/>
      <c r="G935" s="184" t="n">
        <v>29.488</v>
      </c>
      <c r="H935" s="184" t="n"/>
      <c r="I935" s="184" t="n"/>
      <c r="J935" s="115" t="inlineStr">
        <is>
          <t>235/75R17.5-18PR-Strong Guard H-RA</t>
        </is>
      </c>
      <c r="K935" s="184" t="n"/>
      <c r="L935" s="184" t="n"/>
      <c r="M935" s="184" t="n"/>
      <c r="N935" s="184" t="n"/>
      <c r="O935" s="184" t="n"/>
      <c r="P935" s="184" t="n"/>
      <c r="Q935" s="184" t="n"/>
      <c r="R935" s="184" t="n"/>
      <c r="BB935" s="390">
        <f>_xlfn.TEXTJOIN("-",TRUE,AU935,AW935)</f>
        <v/>
      </c>
    </row>
    <row r="936">
      <c r="B936" s="184" t="n"/>
      <c r="C936" s="184" t="n"/>
      <c r="D936" s="184" t="n"/>
      <c r="E936" s="184" t="n"/>
      <c r="F936" s="184" t="n"/>
      <c r="G936" s="184" t="n">
        <v>33.283</v>
      </c>
      <c r="H936" s="184" t="n"/>
      <c r="I936" s="184" t="n"/>
      <c r="J936" s="115" t="inlineStr">
        <is>
          <t>245/70R19.5-14PR-Strong Guard H-RA</t>
        </is>
      </c>
      <c r="K936" s="184" t="n"/>
      <c r="L936" s="184" t="n"/>
      <c r="M936" s="184" t="n"/>
      <c r="N936" s="184" t="n"/>
      <c r="O936" s="184" t="n"/>
      <c r="P936" s="184" t="n"/>
      <c r="Q936" s="184" t="n"/>
      <c r="R936" s="184" t="n"/>
      <c r="BB936" s="390">
        <f>_xlfn.TEXTJOIN("-",TRUE,AU936,AW936)</f>
        <v/>
      </c>
    </row>
    <row r="937">
      <c r="B937" s="184" t="n"/>
      <c r="C937" s="184" t="n"/>
      <c r="D937" s="184" t="n"/>
      <c r="E937" s="184" t="n"/>
      <c r="F937" s="184" t="n"/>
      <c r="G937" s="184" t="n">
        <v>41.378</v>
      </c>
      <c r="H937" s="184" t="n"/>
      <c r="I937" s="184" t="n"/>
      <c r="J937" s="115" t="inlineStr">
        <is>
          <t>255/70R22.5-16PR-Strong Guard H-RA</t>
        </is>
      </c>
      <c r="K937" s="184" t="n"/>
      <c r="L937" s="184" t="n"/>
      <c r="M937" s="184" t="n"/>
      <c r="N937" s="184" t="n"/>
      <c r="O937" s="184" t="n"/>
      <c r="P937" s="184" t="n"/>
      <c r="Q937" s="184" t="n"/>
      <c r="R937" s="184" t="n"/>
      <c r="BB937" s="390">
        <f>_xlfn.TEXTJOIN("-",TRUE,AU937,AW937)</f>
        <v/>
      </c>
    </row>
    <row r="938">
      <c r="B938" s="184" t="n"/>
      <c r="C938" s="184" t="n"/>
      <c r="D938" s="184" t="n"/>
      <c r="E938" s="184" t="n"/>
      <c r="F938" s="184" t="n"/>
      <c r="G938" s="184" t="n">
        <v>47.43</v>
      </c>
      <c r="H938" s="184" t="n"/>
      <c r="I938" s="184" t="n"/>
      <c r="J938" s="115" t="inlineStr">
        <is>
          <t>275/70R22.5-16PR-Strong Guard H-RA</t>
        </is>
      </c>
      <c r="K938" s="184" t="n"/>
      <c r="L938" s="184" t="n"/>
      <c r="M938" s="184" t="n"/>
      <c r="N938" s="184" t="n"/>
      <c r="O938" s="184" t="n"/>
      <c r="P938" s="184" t="n"/>
      <c r="Q938" s="184" t="n"/>
      <c r="R938" s="184" t="n"/>
      <c r="BB938" s="390">
        <f>_xlfn.TEXTJOIN("-",TRUE,AU938,AW938)</f>
        <v/>
      </c>
    </row>
    <row r="939">
      <c r="B939" s="184" t="n"/>
      <c r="C939" s="184" t="n"/>
      <c r="D939" s="184" t="n"/>
      <c r="E939" s="184" t="n"/>
      <c r="F939" s="184" t="n"/>
      <c r="G939" s="184" t="n">
        <v>55.991</v>
      </c>
      <c r="H939" s="184" t="n"/>
      <c r="I939" s="184" t="n"/>
      <c r="J939" s="115" t="inlineStr">
        <is>
          <t>315/80R22.5-20PR-Strong Guard H-RD</t>
        </is>
      </c>
      <c r="K939" s="184" t="n"/>
      <c r="L939" s="184" t="n"/>
      <c r="M939" s="184" t="n"/>
      <c r="N939" s="184" t="n"/>
      <c r="O939" s="184" t="n"/>
      <c r="P939" s="184" t="n"/>
      <c r="Q939" s="184" t="n"/>
      <c r="R939" s="184" t="n"/>
      <c r="BB939" s="390">
        <f>_xlfn.TEXTJOIN("-",TRUE,AU939,AW939)</f>
        <v/>
      </c>
    </row>
    <row r="940">
      <c r="B940" s="184" t="n"/>
      <c r="C940" s="184" t="n"/>
      <c r="D940" s="184" t="n"/>
      <c r="E940" s="184" t="n"/>
      <c r="F940" s="184" t="n"/>
      <c r="G940" s="184" t="n">
        <v>78.87</v>
      </c>
      <c r="H940" s="184" t="n"/>
      <c r="I940" s="184" t="n"/>
      <c r="J940" s="115" t="inlineStr">
        <is>
          <t>385/65R22.5-20PR-Strong Guard H-MW</t>
        </is>
      </c>
      <c r="K940" s="184" t="n"/>
      <c r="L940" s="184" t="n"/>
      <c r="M940" s="184" t="n"/>
      <c r="N940" s="184" t="n"/>
      <c r="O940" s="184" t="n"/>
      <c r="P940" s="184" t="n"/>
      <c r="Q940" s="184" t="n"/>
      <c r="R940" s="184" t="n"/>
      <c r="BB940" s="390">
        <f>_xlfn.TEXTJOIN("-",TRUE,AU940,AW940)</f>
        <v/>
      </c>
    </row>
    <row r="941">
      <c r="B941" s="184" t="n"/>
      <c r="C941" s="184" t="n"/>
      <c r="D941" s="184" t="n"/>
      <c r="E941" s="184" t="n"/>
      <c r="F941" s="184" t="n"/>
      <c r="G941" s="184" t="n">
        <v>93.68000000000001</v>
      </c>
      <c r="H941" s="184" t="n"/>
      <c r="I941" s="184" t="n"/>
      <c r="J941" s="115" t="inlineStr">
        <is>
          <t>425/65R22.5-20PR-Strong Guard H-MW</t>
        </is>
      </c>
      <c r="K941" s="184" t="n"/>
      <c r="L941" s="184" t="n"/>
      <c r="M941" s="184" t="n"/>
      <c r="N941" s="184" t="n"/>
      <c r="O941" s="184" t="n"/>
      <c r="P941" s="184" t="n"/>
      <c r="Q941" s="184" t="n"/>
      <c r="R941" s="184" t="n"/>
      <c r="BB941" s="390">
        <f>_xlfn.TEXTJOIN("-",TRUE,AU941,AW941)</f>
        <v/>
      </c>
    </row>
    <row r="942">
      <c r="B942" s="184" t="n"/>
      <c r="C942" s="184" t="n"/>
      <c r="D942" s="184" t="n"/>
      <c r="E942" s="184" t="n"/>
      <c r="F942" s="184" t="n"/>
      <c r="G942" s="184" t="n">
        <v>99.52</v>
      </c>
      <c r="H942" s="184" t="n"/>
      <c r="I942" s="184" t="n"/>
      <c r="J942" s="115" t="inlineStr">
        <is>
          <t>445/65R22.5-20PR-Strong Guard H-MW</t>
        </is>
      </c>
      <c r="K942" s="184" t="n"/>
      <c r="L942" s="184" t="n"/>
      <c r="M942" s="184" t="n"/>
      <c r="N942" s="184" t="n"/>
      <c r="O942" s="184" t="n"/>
      <c r="P942" s="184" t="n"/>
      <c r="Q942" s="184" t="n"/>
      <c r="R942" s="184" t="n"/>
      <c r="BB942" s="390">
        <f>_xlfn.TEXTJOIN("-",TRUE,AU942,AW942)</f>
        <v/>
      </c>
    </row>
    <row r="943">
      <c r="B943" s="184" t="n"/>
      <c r="C943" s="184" t="n"/>
      <c r="D943" s="184" t="n"/>
      <c r="E943" s="184" t="n"/>
      <c r="F943" s="184" t="n"/>
      <c r="G943" s="184" t="n">
        <v>67.872</v>
      </c>
      <c r="H943" s="184" t="n"/>
      <c r="I943" s="184" t="n"/>
      <c r="J943" s="115" t="inlineStr">
        <is>
          <t>315/80R22.5-20PR-HCC1 PlusX</t>
        </is>
      </c>
      <c r="K943" s="184" t="n"/>
      <c r="L943" s="184" t="n"/>
      <c r="M943" s="184" t="n"/>
      <c r="N943" s="184" t="n"/>
      <c r="O943" s="184" t="n"/>
      <c r="P943" s="184" t="n"/>
      <c r="Q943" s="184" t="n"/>
      <c r="R943" s="184" t="n"/>
      <c r="BB943" s="390">
        <f>_xlfn.TEXTJOIN("-",TRUE,AU943,AW943)</f>
        <v/>
      </c>
    </row>
    <row r="944">
      <c r="B944" s="184" t="n"/>
      <c r="C944" s="184" t="n"/>
      <c r="D944" s="184" t="n"/>
      <c r="E944" s="184" t="n"/>
      <c r="F944" s="184" t="n"/>
      <c r="G944" s="184" t="n">
        <v>68.91</v>
      </c>
      <c r="H944" s="184" t="n"/>
      <c r="I944" s="184" t="n"/>
      <c r="J944" s="115" t="inlineStr">
        <is>
          <t>12R22.5-20PR-AZ850M</t>
        </is>
      </c>
      <c r="K944" s="184" t="n"/>
      <c r="L944" s="184" t="n"/>
      <c r="M944" s="184" t="n"/>
      <c r="N944" s="184" t="n"/>
      <c r="O944" s="184" t="n"/>
      <c r="P944" s="184" t="n"/>
      <c r="Q944" s="184" t="n"/>
      <c r="R944" s="184" t="n"/>
      <c r="BB944" s="390">
        <f>_xlfn.TEXTJOIN("-",TRUE,AU944,AW944)</f>
        <v/>
      </c>
    </row>
    <row r="945">
      <c r="B945" s="184" t="n"/>
      <c r="C945" s="184" t="n"/>
      <c r="D945" s="184" t="n"/>
      <c r="E945" s="184" t="n"/>
      <c r="F945" s="184" t="n"/>
      <c r="G945" s="184" t="n">
        <v>25.523</v>
      </c>
      <c r="H945" s="184" t="n"/>
      <c r="I945" s="184" t="n"/>
      <c r="J945" s="115" t="inlineStr">
        <is>
          <t>215/75R17.5-16PR-AP-7318</t>
        </is>
      </c>
      <c r="K945" s="184" t="n"/>
      <c r="L945" s="184" t="n"/>
      <c r="M945" s="184" t="n"/>
      <c r="N945" s="184" t="n"/>
      <c r="O945" s="184" t="n"/>
      <c r="P945" s="184" t="n"/>
      <c r="Q945" s="184" t="n"/>
      <c r="R945" s="184" t="n"/>
      <c r="BB945" s="390">
        <f>_xlfn.TEXTJOIN("-",TRUE,AU945,AW945)</f>
        <v/>
      </c>
    </row>
    <row r="946">
      <c r="B946" s="184" t="n"/>
      <c r="C946" s="184" t="n"/>
      <c r="D946" s="184" t="n"/>
      <c r="E946" s="184" t="n"/>
      <c r="F946" s="184" t="n"/>
      <c r="G946" s="184" t="n">
        <v>29.488</v>
      </c>
      <c r="H946" s="184" t="n"/>
      <c r="I946" s="184" t="n"/>
      <c r="J946" s="115" t="inlineStr">
        <is>
          <t>235/75R17.5-18PR-AP-7318</t>
        </is>
      </c>
      <c r="K946" s="184" t="n"/>
      <c r="L946" s="184" t="n"/>
      <c r="M946" s="184" t="n"/>
      <c r="N946" s="184" t="n"/>
      <c r="O946" s="184" t="n"/>
      <c r="P946" s="184" t="n"/>
      <c r="Q946" s="184" t="n"/>
      <c r="R946" s="184" t="n"/>
      <c r="BB946" s="390">
        <f>_xlfn.TEXTJOIN("-",TRUE,AU946,AW946)</f>
        <v/>
      </c>
    </row>
    <row r="947">
      <c r="B947" s="184" t="n"/>
      <c r="C947" s="184" t="n"/>
      <c r="D947" s="184" t="n"/>
      <c r="E947" s="184" t="n"/>
      <c r="F947" s="184" t="n"/>
      <c r="G947" s="184" t="n">
        <v>34.45</v>
      </c>
      <c r="H947" s="184" t="n"/>
      <c r="I947" s="184" t="n"/>
      <c r="J947" s="115" t="inlineStr">
        <is>
          <t>245/70R17.5-18PR-AP-7318</t>
        </is>
      </c>
      <c r="K947" s="184" t="n"/>
      <c r="L947" s="184" t="n"/>
      <c r="M947" s="184" t="n"/>
      <c r="N947" s="184" t="n"/>
      <c r="O947" s="184" t="n"/>
      <c r="P947" s="184" t="n"/>
      <c r="Q947" s="184" t="n"/>
      <c r="R947" s="184" t="n"/>
      <c r="BB947" s="390">
        <f>_xlfn.TEXTJOIN("-",TRUE,AU947,AW947)</f>
        <v/>
      </c>
    </row>
    <row r="948">
      <c r="B948" s="184" t="n"/>
      <c r="C948" s="184" t="n"/>
      <c r="D948" s="184" t="n"/>
      <c r="E948" s="184" t="n"/>
      <c r="F948" s="184" t="n"/>
      <c r="G948" s="184" t="n">
        <v>35.03</v>
      </c>
      <c r="H948" s="184" t="n"/>
      <c r="I948" s="184" t="n"/>
      <c r="J948" s="115" t="inlineStr">
        <is>
          <t>245/70R19.5-16PR-AP-7318</t>
        </is>
      </c>
      <c r="K948" s="184" t="n"/>
      <c r="L948" s="184" t="n"/>
      <c r="M948" s="184" t="n"/>
      <c r="N948" s="184" t="n"/>
      <c r="O948" s="184" t="n"/>
      <c r="P948" s="184" t="n"/>
      <c r="Q948" s="184" t="n"/>
      <c r="R948" s="184" t="n"/>
      <c r="BB948" s="390">
        <f>_xlfn.TEXTJOIN("-",TRUE,AU948,AW948)</f>
        <v/>
      </c>
    </row>
    <row r="949">
      <c r="B949" s="184" t="n"/>
      <c r="C949" s="184" t="n"/>
      <c r="D949" s="184" t="n"/>
      <c r="E949" s="184" t="n"/>
      <c r="F949" s="184" t="n"/>
      <c r="G949" s="184" t="n">
        <v>35.701</v>
      </c>
      <c r="H949" s="184" t="n"/>
      <c r="I949" s="184" t="n"/>
      <c r="J949" s="115" t="inlineStr">
        <is>
          <t>245/70R19.5-16PR-DR-7318</t>
        </is>
      </c>
      <c r="K949" s="184" t="n"/>
      <c r="L949" s="184" t="n"/>
      <c r="M949" s="184" t="n"/>
      <c r="N949" s="184" t="n"/>
      <c r="O949" s="184" t="n"/>
      <c r="P949" s="184" t="n"/>
      <c r="Q949" s="184" t="n"/>
      <c r="R949" s="184" t="n"/>
      <c r="BB949" s="390">
        <f>_xlfn.TEXTJOIN("-",TRUE,AU949,AW949)</f>
        <v/>
      </c>
    </row>
    <row r="950">
      <c r="B950" s="184" t="n"/>
      <c r="C950" s="184" t="n"/>
      <c r="D950" s="184" t="n"/>
      <c r="E950" s="184" t="n"/>
      <c r="F950" s="184" t="n"/>
      <c r="G950" s="184" t="n">
        <v>29.461</v>
      </c>
      <c r="H950" s="184" t="n"/>
      <c r="I950" s="184" t="n"/>
      <c r="J950" s="115" t="inlineStr">
        <is>
          <t>225/70R19.5-14PR-AP-7318</t>
        </is>
      </c>
      <c r="K950" s="184" t="n"/>
      <c r="L950" s="184" t="n"/>
      <c r="M950" s="184" t="n"/>
      <c r="N950" s="184" t="n"/>
      <c r="O950" s="184" t="n"/>
      <c r="P950" s="184" t="n"/>
      <c r="Q950" s="184" t="n"/>
      <c r="R950" s="184" t="n"/>
      <c r="BB950" s="390">
        <f>_xlfn.TEXTJOIN("-",TRUE,AU950,AW950)</f>
        <v/>
      </c>
    </row>
    <row r="951">
      <c r="B951" s="184" t="n"/>
      <c r="C951" s="184" t="n"/>
      <c r="D951" s="184" t="n"/>
      <c r="E951" s="184" t="n"/>
      <c r="F951" s="184" t="n"/>
      <c r="G951" s="184" t="n">
        <v>30.795</v>
      </c>
      <c r="H951" s="184" t="n"/>
      <c r="I951" s="184" t="n"/>
      <c r="J951" s="115" t="inlineStr">
        <is>
          <t>225/70R19.5-14PR-DR-7318</t>
        </is>
      </c>
      <c r="K951" s="184" t="n"/>
      <c r="L951" s="184" t="n"/>
      <c r="M951" s="184" t="n"/>
      <c r="N951" s="184" t="n"/>
      <c r="O951" s="184" t="n"/>
      <c r="P951" s="184" t="n"/>
      <c r="Q951" s="184" t="n"/>
      <c r="R951" s="184" t="n"/>
      <c r="BB951" s="390">
        <f>_xlfn.TEXTJOIN("-",TRUE,AU951,AW951)</f>
        <v/>
      </c>
    </row>
    <row r="952">
      <c r="B952" s="184" t="n"/>
      <c r="C952" s="184" t="n"/>
      <c r="D952" s="184" t="n"/>
      <c r="E952" s="184" t="n"/>
      <c r="F952" s="184" t="n"/>
      <c r="G952" s="184" t="n">
        <v>28.65</v>
      </c>
      <c r="H952" s="184" t="n"/>
      <c r="I952" s="184" t="n"/>
      <c r="J952" s="115" t="inlineStr">
        <is>
          <t>225/70R19.5-14PR-Strong Guard H-RA</t>
        </is>
      </c>
      <c r="K952" s="184" t="n"/>
      <c r="L952" s="184" t="n"/>
      <c r="M952" s="184" t="n"/>
      <c r="N952" s="184" t="n"/>
      <c r="O952" s="184" t="n"/>
      <c r="P952" s="184" t="n"/>
      <c r="Q952" s="184" t="n"/>
      <c r="R952" s="184" t="n"/>
      <c r="BB952" s="390">
        <f>_xlfn.TEXTJOIN("-",TRUE,AU952,AW952)</f>
        <v/>
      </c>
    </row>
    <row r="953">
      <c r="B953" s="184" t="n"/>
      <c r="C953" s="184" t="n"/>
      <c r="D953" s="184" t="n"/>
      <c r="E953" s="184" t="n"/>
      <c r="F953" s="184" t="n"/>
      <c r="G953" s="184" t="n">
        <v>57.19</v>
      </c>
      <c r="H953" s="184" t="n"/>
      <c r="I953" s="184" t="n"/>
      <c r="J953" s="115" t="inlineStr">
        <is>
          <t>295/80R22.5-18PR-Strong Guard H-RA</t>
        </is>
      </c>
      <c r="K953" s="184" t="n"/>
      <c r="L953" s="184" t="n"/>
      <c r="M953" s="184" t="n"/>
      <c r="N953" s="184" t="n"/>
      <c r="O953" s="184" t="n"/>
      <c r="P953" s="184" t="n"/>
      <c r="Q953" s="184" t="n"/>
      <c r="R953" s="184" t="n"/>
      <c r="BB953" s="390">
        <f>_xlfn.TEXTJOIN("-",TRUE,AU953,AW953)</f>
        <v/>
      </c>
    </row>
    <row r="954">
      <c r="B954" s="184" t="n"/>
      <c r="C954" s="184" t="n"/>
      <c r="D954" s="184" t="n"/>
      <c r="E954" s="184" t="n"/>
      <c r="F954" s="184" t="n"/>
      <c r="G954" s="184" t="n">
        <v>80.414</v>
      </c>
      <c r="H954" s="184" t="n"/>
      <c r="I954" s="184" t="n"/>
      <c r="J954" s="115" t="inlineStr">
        <is>
          <t>12.00R24-☆☆PR-XC809</t>
        </is>
      </c>
      <c r="K954" s="184" t="n"/>
      <c r="L954" s="184" t="n"/>
      <c r="M954" s="184" t="n"/>
      <c r="N954" s="184" t="n"/>
      <c r="O954" s="184" t="n"/>
      <c r="P954" s="184" t="n"/>
      <c r="Q954" s="184" t="n"/>
      <c r="R954" s="184" t="n"/>
      <c r="BB954" s="390">
        <f>_xlfn.TEXTJOIN("-",TRUE,AU954,AW954)</f>
        <v/>
      </c>
    </row>
    <row r="955">
      <c r="B955" s="184" t="n"/>
      <c r="C955" s="184" t="n"/>
      <c r="D955" s="184" t="n"/>
      <c r="E955" s="184" t="n"/>
      <c r="F955" s="184" t="n"/>
      <c r="G955" s="184" t="n">
        <v>70.11799999999999</v>
      </c>
      <c r="H955" s="184" t="n"/>
      <c r="I955" s="184" t="n"/>
      <c r="J955" s="115" t="inlineStr">
        <is>
          <t>12.00R20-☆☆PR-XC809</t>
        </is>
      </c>
      <c r="K955" s="184" t="n"/>
      <c r="L955" s="184" t="n"/>
      <c r="M955" s="184" t="n"/>
      <c r="N955" s="184" t="n"/>
      <c r="O955" s="184" t="n"/>
      <c r="P955" s="184" t="n"/>
      <c r="Q955" s="184" t="n"/>
      <c r="R955" s="184" t="n"/>
      <c r="BB955" s="390">
        <f>_xlfn.TEXTJOIN("-",TRUE,AU955,AW955)</f>
        <v/>
      </c>
    </row>
    <row r="956">
      <c r="B956" s="184" t="n"/>
      <c r="C956" s="184" t="n"/>
      <c r="D956" s="184" t="n"/>
      <c r="E956" s="184" t="n"/>
      <c r="F956" s="184" t="n"/>
      <c r="G956" s="184" t="n">
        <v>50.496</v>
      </c>
      <c r="H956" s="184" t="n"/>
      <c r="I956" s="184" t="n"/>
      <c r="J956" s="115" t="inlineStr">
        <is>
          <t>275/80R22.5-16PR-ECOLINE A-II</t>
        </is>
      </c>
      <c r="K956" s="184" t="n"/>
      <c r="L956" s="184" t="n"/>
      <c r="M956" s="184" t="n"/>
      <c r="N956" s="184" t="n"/>
      <c r="O956" s="184" t="n"/>
      <c r="P956" s="184" t="n"/>
      <c r="Q956" s="184" t="n"/>
      <c r="R956" s="184" t="n"/>
      <c r="BB956" s="390">
        <f>_xlfn.TEXTJOIN("-",TRUE,AU956,AW956)</f>
        <v/>
      </c>
    </row>
    <row r="957">
      <c r="B957" s="184" t="n"/>
      <c r="C957" s="184" t="n"/>
      <c r="D957" s="184" t="n"/>
      <c r="E957" s="184" t="n"/>
      <c r="F957" s="184" t="n"/>
      <c r="G957" s="184" t="n">
        <v>53.185</v>
      </c>
      <c r="H957" s="184" t="n"/>
      <c r="I957" s="184" t="n"/>
      <c r="J957" s="115" t="inlineStr">
        <is>
          <t>275/80R22.5-16PR-ECOTRAX D-I</t>
        </is>
      </c>
      <c r="K957" s="184" t="n"/>
      <c r="L957" s="184" t="n"/>
      <c r="M957" s="184" t="n"/>
      <c r="N957" s="184" t="n"/>
      <c r="O957" s="184" t="n"/>
      <c r="P957" s="184" t="n"/>
      <c r="Q957" s="184" t="n"/>
      <c r="R957" s="184" t="n"/>
      <c r="BB957" s="390">
        <f>_xlfn.TEXTJOIN("-",TRUE,AU957,AW957)</f>
        <v/>
      </c>
    </row>
    <row r="958">
      <c r="B958" s="184" t="n"/>
      <c r="C958" s="184" t="n"/>
      <c r="D958" s="184" t="n"/>
      <c r="E958" s="184" t="n"/>
      <c r="F958" s="184" t="n"/>
      <c r="G958" s="184" t="n">
        <v>53.67</v>
      </c>
      <c r="H958" s="184" t="n"/>
      <c r="I958" s="184" t="n"/>
      <c r="J958" s="115" t="inlineStr">
        <is>
          <t>295/75R22.5-14PR-Strong Guard H-RD</t>
        </is>
      </c>
      <c r="K958" s="184" t="n"/>
      <c r="L958" s="184" t="n"/>
      <c r="M958" s="184" t="n"/>
      <c r="N958" s="184" t="n"/>
      <c r="O958" s="184" t="n"/>
      <c r="P958" s="184" t="n"/>
      <c r="Q958" s="184" t="n"/>
      <c r="R958" s="184" t="n"/>
      <c r="BB958" s="390">
        <f>_xlfn.TEXTJOIN("-",TRUE,AU958,AW958)</f>
        <v/>
      </c>
    </row>
    <row r="959">
      <c r="B959" s="184" t="n"/>
      <c r="C959" s="184" t="n"/>
      <c r="D959" s="184" t="n"/>
      <c r="E959" s="184" t="n"/>
      <c r="F959" s="184" t="n"/>
      <c r="G959" s="184" t="n">
        <v>53.67</v>
      </c>
      <c r="H959" s="184" t="n"/>
      <c r="I959" s="184" t="n"/>
      <c r="J959" s="115" t="inlineStr">
        <is>
          <t>295/75R22.5-14PR-Strong Guard H-TL</t>
        </is>
      </c>
      <c r="K959" s="184" t="n"/>
      <c r="L959" s="184" t="n"/>
      <c r="M959" s="184" t="n"/>
      <c r="N959" s="184" t="n"/>
      <c r="O959" s="184" t="n"/>
      <c r="P959" s="184" t="n"/>
      <c r="Q959" s="184" t="n"/>
      <c r="R959" s="184" t="n"/>
      <c r="BB959" s="390">
        <f>_xlfn.TEXTJOIN("-",TRUE,AU959,AW959)</f>
        <v/>
      </c>
    </row>
    <row r="960">
      <c r="B960" s="184" t="n"/>
      <c r="C960" s="184" t="n"/>
      <c r="D960" s="184" t="n"/>
      <c r="E960" s="184" t="n"/>
      <c r="F960" s="184" t="n"/>
      <c r="G960" s="184" t="n">
        <v>30.86</v>
      </c>
      <c r="H960" s="184" t="n"/>
      <c r="I960" s="184" t="n"/>
      <c r="J960" s="115" t="inlineStr">
        <is>
          <t>7.50R16-14PR-FOLO.R109</t>
        </is>
      </c>
      <c r="K960" s="184" t="n"/>
      <c r="L960" s="184" t="n"/>
      <c r="M960" s="184" t="n"/>
      <c r="N960" s="184" t="n"/>
      <c r="O960" s="184" t="n"/>
      <c r="P960" s="184" t="n"/>
      <c r="Q960" s="184" t="n"/>
      <c r="R960" s="184" t="n"/>
      <c r="BB960" s="390">
        <f>_xlfn.TEXTJOIN("-",TRUE,AU960,AW960)</f>
        <v/>
      </c>
    </row>
    <row r="961">
      <c r="B961" s="184" t="n"/>
      <c r="C961" s="184" t="n"/>
      <c r="D961" s="184" t="n"/>
      <c r="E961" s="184" t="n"/>
      <c r="F961" s="184" t="n"/>
      <c r="G961" s="184" t="n">
        <v>74.807</v>
      </c>
      <c r="H961" s="184" t="n"/>
      <c r="I961" s="184" t="n"/>
      <c r="J961" s="115" t="inlineStr">
        <is>
          <t>385/65R22.5-20PR-M-TRAC MSF</t>
        </is>
      </c>
      <c r="K961" s="184" t="n"/>
      <c r="L961" s="184" t="n"/>
      <c r="M961" s="184" t="n"/>
      <c r="N961" s="184" t="n"/>
      <c r="O961" s="184" t="n"/>
      <c r="P961" s="184" t="n"/>
      <c r="Q961" s="184" t="n"/>
      <c r="R961" s="184" t="n"/>
      <c r="BB961" s="390">
        <f>_xlfn.TEXTJOIN("-",TRUE,AU961,AW961)</f>
        <v/>
      </c>
    </row>
    <row r="962">
      <c r="B962" s="184" t="n"/>
      <c r="C962" s="184" t="n"/>
      <c r="D962" s="184" t="n"/>
      <c r="E962" s="184" t="n"/>
      <c r="F962" s="184" t="n"/>
      <c r="G962" s="184" t="n">
        <v>93.68000000000001</v>
      </c>
      <c r="H962" s="184" t="n"/>
      <c r="I962" s="184" t="n"/>
      <c r="J962" s="115" t="inlineStr">
        <is>
          <t>425/65R22.5-20PR-Strong Guard H-MW</t>
        </is>
      </c>
      <c r="K962" s="184" t="n"/>
      <c r="L962" s="184" t="n"/>
      <c r="M962" s="184" t="n"/>
      <c r="N962" s="184" t="n"/>
      <c r="O962" s="184" t="n"/>
      <c r="P962" s="184" t="n"/>
      <c r="Q962" s="184" t="n"/>
      <c r="R962" s="184" t="n"/>
      <c r="BB962" s="390">
        <f>_xlfn.TEXTJOIN("-",TRUE,AU962,AW962)</f>
        <v/>
      </c>
    </row>
    <row r="963">
      <c r="B963" s="184" t="n"/>
      <c r="C963" s="184" t="n"/>
      <c r="D963" s="184" t="n"/>
      <c r="E963" s="184" t="n"/>
      <c r="F963" s="184" t="n"/>
      <c r="G963" s="184" t="n">
        <v>93.68000000000001</v>
      </c>
      <c r="H963" s="184" t="n"/>
      <c r="I963" s="184" t="n"/>
      <c r="J963" s="115" t="inlineStr">
        <is>
          <t>425/65R22.5-20PR-M-TRAC MSF</t>
        </is>
      </c>
      <c r="K963" s="184" t="n"/>
      <c r="L963" s="184" t="n"/>
      <c r="M963" s="184" t="n"/>
      <c r="N963" s="184" t="n"/>
      <c r="O963" s="184" t="n"/>
      <c r="P963" s="184" t="n"/>
      <c r="Q963" s="184" t="n"/>
      <c r="R963" s="184" t="n"/>
      <c r="BB963" s="390">
        <f>_xlfn.TEXTJOIN("-",TRUE,AU963,AW963)</f>
        <v/>
      </c>
    </row>
    <row r="964">
      <c r="B964" s="184" t="n"/>
      <c r="C964" s="184" t="n"/>
      <c r="D964" s="184" t="n"/>
      <c r="E964" s="184" t="n"/>
      <c r="F964" s="184" t="n"/>
      <c r="G964" s="184" t="n">
        <v>62.322</v>
      </c>
      <c r="H964" s="184" t="n"/>
      <c r="I964" s="184" t="n"/>
      <c r="J964" s="115" t="inlineStr">
        <is>
          <t>315/80R22.5-20PR-M-TRAC MS</t>
        </is>
      </c>
      <c r="K964" s="184" t="n"/>
      <c r="L964" s="184" t="n"/>
      <c r="M964" s="184" t="n"/>
      <c r="N964" s="184" t="n"/>
      <c r="O964" s="184" t="n"/>
      <c r="P964" s="184" t="n"/>
      <c r="Q964" s="184" t="n"/>
      <c r="R964" s="184" t="n"/>
      <c r="BB964" s="390">
        <f>_xlfn.TEXTJOIN("-",TRUE,AU964,AW964)</f>
        <v/>
      </c>
    </row>
    <row r="965">
      <c r="B965" s="184" t="n"/>
      <c r="C965" s="184" t="n"/>
      <c r="D965" s="184" t="n"/>
      <c r="E965" s="184" t="n"/>
      <c r="F965" s="184" t="n"/>
      <c r="G965" s="184" t="n">
        <v>59.57</v>
      </c>
      <c r="H965" s="184" t="n"/>
      <c r="I965" s="184" t="n"/>
      <c r="J965" s="115" t="inlineStr">
        <is>
          <t>11R22.5-14PR-M-TRAC TR</t>
        </is>
      </c>
      <c r="K965" s="184" t="n"/>
      <c r="L965" s="184" t="n"/>
      <c r="M965" s="184" t="n"/>
      <c r="N965" s="184" t="n"/>
      <c r="O965" s="184" t="n"/>
      <c r="P965" s="184" t="n"/>
      <c r="Q965" s="184" t="n"/>
      <c r="R965" s="184" t="n"/>
      <c r="BB965" s="390">
        <f>_xlfn.TEXTJOIN("-",TRUE,AU965,AW965)</f>
        <v/>
      </c>
    </row>
    <row r="966">
      <c r="B966" s="184" t="n"/>
      <c r="C966" s="184" t="n"/>
      <c r="D966" s="184" t="n"/>
      <c r="E966" s="184" t="n"/>
      <c r="F966" s="184" t="n"/>
      <c r="G966" s="184" t="n">
        <v>59.57</v>
      </c>
      <c r="H966" s="184" t="n"/>
      <c r="I966" s="184" t="n"/>
      <c r="J966" s="115" t="inlineStr">
        <is>
          <t>11R22.5-16PR-M-TRAC MS</t>
        </is>
      </c>
      <c r="K966" s="184" t="n"/>
      <c r="L966" s="184" t="n"/>
      <c r="M966" s="184" t="n"/>
      <c r="N966" s="184" t="n"/>
      <c r="O966" s="184" t="n"/>
      <c r="P966" s="184" t="n"/>
      <c r="Q966" s="184" t="n"/>
      <c r="R966" s="184" t="n"/>
      <c r="BB966" s="390">
        <f>_xlfn.TEXTJOIN("-",TRUE,AU966,AW966)</f>
        <v/>
      </c>
    </row>
    <row r="967">
      <c r="B967" s="184" t="n"/>
      <c r="C967" s="184" t="n"/>
      <c r="D967" s="184" t="n"/>
      <c r="E967" s="184" t="n"/>
      <c r="F967" s="184" t="n"/>
      <c r="G967" s="184" t="n">
        <v>59.57</v>
      </c>
      <c r="H967" s="184" t="n"/>
      <c r="I967" s="184" t="n"/>
      <c r="J967" s="115" t="inlineStr">
        <is>
          <t>11R22.5-16PR-M-TRAC OSD</t>
        </is>
      </c>
      <c r="K967" s="184" t="n"/>
      <c r="L967" s="184" t="n"/>
      <c r="M967" s="184" t="n"/>
      <c r="N967" s="184" t="n"/>
      <c r="O967" s="184" t="n"/>
      <c r="P967" s="184" t="n"/>
      <c r="Q967" s="184" t="n"/>
      <c r="R967" s="184" t="n"/>
      <c r="BB967" s="390">
        <f>_xlfn.TEXTJOIN("-",TRUE,AU967,AW967)</f>
        <v/>
      </c>
    </row>
    <row r="968">
      <c r="B968" s="184" t="n"/>
      <c r="C968" s="184" t="n"/>
      <c r="D968" s="184" t="n"/>
      <c r="E968" s="184" t="n"/>
      <c r="F968" s="184" t="n"/>
      <c r="G968" s="184" t="n">
        <v>59.57</v>
      </c>
      <c r="H968" s="184" t="n"/>
      <c r="I968" s="184" t="n"/>
      <c r="J968" s="115" t="inlineStr">
        <is>
          <t>11R22.5-16PR-ECO-MILE CSD</t>
        </is>
      </c>
      <c r="K968" s="184" t="n"/>
      <c r="L968" s="184" t="n"/>
      <c r="M968" s="184" t="n"/>
      <c r="N968" s="184" t="n"/>
      <c r="O968" s="184" t="n"/>
      <c r="P968" s="184" t="n"/>
      <c r="Q968" s="184" t="n"/>
      <c r="R968" s="184" t="n"/>
      <c r="BB968" s="390">
        <f>_xlfn.TEXTJOIN("-",TRUE,AU968,AW968)</f>
        <v/>
      </c>
    </row>
    <row r="969">
      <c r="B969" s="184" t="n"/>
      <c r="C969" s="184" t="n"/>
      <c r="D969" s="184" t="n"/>
      <c r="E969" s="184" t="n"/>
      <c r="F969" s="184" t="n"/>
      <c r="G969" s="184" t="n">
        <v>59.57</v>
      </c>
      <c r="H969" s="184" t="n"/>
      <c r="I969" s="184" t="n"/>
      <c r="J969" s="115" t="inlineStr">
        <is>
          <t>11R22.5-16PR-M-TRAC MST</t>
        </is>
      </c>
      <c r="K969" s="184" t="n"/>
      <c r="L969" s="184" t="n"/>
      <c r="M969" s="184" t="n"/>
      <c r="N969" s="184" t="n"/>
      <c r="O969" s="184" t="n"/>
      <c r="P969" s="184" t="n"/>
      <c r="Q969" s="184" t="n"/>
      <c r="R969" s="184" t="n"/>
      <c r="BB969" s="390">
        <f>_xlfn.TEXTJOIN("-",TRUE,AU969,AW969)</f>
        <v/>
      </c>
    </row>
    <row r="970">
      <c r="B970" s="184" t="n"/>
      <c r="C970" s="184" t="n"/>
      <c r="D970" s="184" t="n"/>
      <c r="E970" s="184" t="n"/>
      <c r="F970" s="184" t="n"/>
      <c r="G970" s="184" t="n">
        <v>61.2</v>
      </c>
      <c r="H970" s="184" t="n"/>
      <c r="I970" s="184" t="n"/>
      <c r="J970" s="115" t="inlineStr">
        <is>
          <t>11R24.5-16PR-M-TRAC AP</t>
        </is>
      </c>
      <c r="K970" s="184" t="n"/>
      <c r="L970" s="184" t="n"/>
      <c r="M970" s="184" t="n"/>
      <c r="N970" s="184" t="n"/>
      <c r="O970" s="184" t="n"/>
      <c r="P970" s="184" t="n"/>
      <c r="Q970" s="184" t="n"/>
      <c r="R970" s="184" t="n"/>
      <c r="BB970" s="390">
        <f>_xlfn.TEXTJOIN("-",TRUE,AU970,AW970)</f>
        <v/>
      </c>
    </row>
    <row r="971">
      <c r="B971" s="184" t="n"/>
      <c r="C971" s="184" t="n"/>
      <c r="D971" s="184" t="n"/>
      <c r="E971" s="184" t="n"/>
      <c r="F971" s="184" t="n"/>
      <c r="G971" s="184" t="n">
        <v>61.2</v>
      </c>
      <c r="H971" s="184" t="n"/>
      <c r="I971" s="184" t="n"/>
      <c r="J971" s="115" t="inlineStr">
        <is>
          <t>11R24.5-16PR-M-TRAC CSD</t>
        </is>
      </c>
      <c r="K971" s="184" t="n"/>
      <c r="L971" s="184" t="n"/>
      <c r="M971" s="184" t="n"/>
      <c r="N971" s="184" t="n"/>
      <c r="O971" s="184" t="n"/>
      <c r="P971" s="184" t="n"/>
      <c r="Q971" s="184" t="n"/>
      <c r="R971" s="184" t="n"/>
      <c r="BB971" s="390">
        <f>_xlfn.TEXTJOIN("-",TRUE,AU971,AW971)</f>
        <v/>
      </c>
    </row>
    <row r="972">
      <c r="B972" s="184" t="n"/>
      <c r="C972" s="184" t="n"/>
      <c r="D972" s="184" t="n"/>
      <c r="E972" s="184" t="n"/>
      <c r="F972" s="184" t="n"/>
      <c r="G972" s="184" t="n">
        <v>61.2</v>
      </c>
      <c r="H972" s="184" t="n"/>
      <c r="I972" s="184" t="n"/>
      <c r="J972" s="115" t="inlineStr">
        <is>
          <t>11R24.5-16PR-M-TRAC MS</t>
        </is>
      </c>
      <c r="K972" s="184" t="n"/>
      <c r="L972" s="184" t="n"/>
      <c r="M972" s="184" t="n"/>
      <c r="N972" s="184" t="n"/>
      <c r="O972" s="184" t="n"/>
      <c r="P972" s="184" t="n"/>
      <c r="Q972" s="184" t="n"/>
      <c r="R972" s="184" t="n"/>
      <c r="BB972" s="390">
        <f>_xlfn.TEXTJOIN("-",TRUE,AU972,AW972)</f>
        <v/>
      </c>
    </row>
    <row r="973">
      <c r="B973" s="184" t="n"/>
      <c r="C973" s="184" t="n"/>
      <c r="D973" s="184" t="n"/>
      <c r="E973" s="184" t="n"/>
      <c r="F973" s="184" t="n"/>
      <c r="G973" s="184" t="n">
        <v>61.2</v>
      </c>
      <c r="H973" s="184" t="n"/>
      <c r="I973" s="184" t="n"/>
      <c r="J973" s="115" t="inlineStr">
        <is>
          <t>11R24.5-16PR-M-TRAC MST</t>
        </is>
      </c>
      <c r="K973" s="184" t="n"/>
      <c r="L973" s="184" t="n"/>
      <c r="M973" s="184" t="n"/>
      <c r="N973" s="184" t="n"/>
      <c r="O973" s="184" t="n"/>
      <c r="P973" s="184" t="n"/>
      <c r="Q973" s="184" t="n"/>
      <c r="R973" s="184" t="n"/>
      <c r="BB973" s="390">
        <f>_xlfn.TEXTJOIN("-",TRUE,AU973,AW973)</f>
        <v/>
      </c>
    </row>
    <row r="974">
      <c r="B974" s="184" t="n"/>
      <c r="C974" s="184" t="n"/>
      <c r="D974" s="184" t="n"/>
      <c r="E974" s="184" t="n"/>
      <c r="F974" s="184" t="n"/>
      <c r="G974" s="184" t="n">
        <v>61.2</v>
      </c>
      <c r="H974" s="184" t="n"/>
      <c r="I974" s="184" t="n"/>
      <c r="J974" s="115" t="inlineStr">
        <is>
          <t>11R24.5-16PR-M-TRAC OSD</t>
        </is>
      </c>
      <c r="K974" s="184" t="n"/>
      <c r="L974" s="184" t="n"/>
      <c r="M974" s="184" t="n"/>
      <c r="N974" s="184" t="n"/>
      <c r="O974" s="184" t="n"/>
      <c r="P974" s="184" t="n"/>
      <c r="Q974" s="184" t="n"/>
      <c r="R974" s="184" t="n"/>
      <c r="BB974" s="390">
        <f>_xlfn.TEXTJOIN("-",TRUE,AU974,AW974)</f>
        <v/>
      </c>
    </row>
    <row r="975">
      <c r="B975" s="184" t="n"/>
      <c r="C975" s="184" t="n"/>
      <c r="D975" s="184" t="n"/>
      <c r="E975" s="184" t="n"/>
      <c r="F975" s="184" t="n"/>
      <c r="G975" s="184" t="n">
        <v>30.2</v>
      </c>
      <c r="H975" s="184" t="n"/>
      <c r="I975" s="184" t="n"/>
      <c r="J975" s="115" t="inlineStr">
        <is>
          <t>225/70R19.5-14PR-ECO-MILE AP</t>
        </is>
      </c>
      <c r="K975" s="184" t="n"/>
      <c r="L975" s="184" t="n"/>
      <c r="M975" s="184" t="n"/>
      <c r="N975" s="184" t="n"/>
      <c r="O975" s="184" t="n"/>
      <c r="P975" s="184" t="n"/>
      <c r="Q975" s="184" t="n"/>
      <c r="R975" s="184" t="n"/>
      <c r="BB975" s="390">
        <f>_xlfn.TEXTJOIN("-",TRUE,AU975,AW975)</f>
        <v/>
      </c>
    </row>
    <row r="976">
      <c r="B976" s="184" t="n"/>
      <c r="C976" s="184" t="n"/>
      <c r="D976" s="184" t="n"/>
      <c r="E976" s="184" t="n"/>
      <c r="F976" s="184" t="n"/>
      <c r="G976" s="184" t="n">
        <v>30.2</v>
      </c>
      <c r="H976" s="184" t="n"/>
      <c r="I976" s="184" t="n"/>
      <c r="J976" s="115" t="inlineStr">
        <is>
          <t>225/70R19.5-14PR-ECO-MILE HTD</t>
        </is>
      </c>
      <c r="K976" s="184" t="n"/>
      <c r="L976" s="184" t="n"/>
      <c r="M976" s="184" t="n"/>
      <c r="N976" s="184" t="n"/>
      <c r="O976" s="184" t="n"/>
      <c r="P976" s="184" t="n"/>
      <c r="Q976" s="184" t="n"/>
      <c r="R976" s="184" t="n"/>
      <c r="BB976" s="390">
        <f>_xlfn.TEXTJOIN("-",TRUE,AU976,AW976)</f>
        <v/>
      </c>
    </row>
    <row r="977">
      <c r="G977" s="114" t="n">
        <v>29.5</v>
      </c>
      <c r="J977" s="115" t="inlineStr">
        <is>
          <t>235/75R17.5-18PR-M-TRAC AP</t>
        </is>
      </c>
      <c r="K977" s="184" t="n"/>
      <c r="L977" s="184" t="n"/>
      <c r="M977" s="184" t="n"/>
      <c r="N977" s="184" t="n"/>
      <c r="O977" s="184" t="n"/>
      <c r="P977" s="184" t="n"/>
      <c r="Q977" s="184" t="n"/>
      <c r="R977" s="184" t="n"/>
      <c r="BB977" s="390">
        <f>_xlfn.TEXTJOIN("-",TRUE,AU977,AW977)</f>
        <v/>
      </c>
    </row>
    <row r="978">
      <c r="G978" s="114" t="n">
        <v>34.6</v>
      </c>
      <c r="J978" s="115" t="inlineStr">
        <is>
          <t>245/70R19.5-16PR-ECO-MILE AP</t>
        </is>
      </c>
      <c r="K978" s="184" t="n"/>
      <c r="L978" s="184" t="n"/>
      <c r="M978" s="184" t="n"/>
      <c r="N978" s="184" t="n"/>
      <c r="O978" s="184" t="n"/>
      <c r="P978" s="184" t="n"/>
      <c r="Q978" s="184" t="n"/>
      <c r="R978" s="184" t="n"/>
      <c r="BB978" s="390">
        <f>_xlfn.TEXTJOIN("-",TRUE,AU978,AW978)</f>
        <v/>
      </c>
    </row>
    <row r="979">
      <c r="G979" s="114" t="n">
        <v>34.6</v>
      </c>
      <c r="J979" s="115" t="inlineStr">
        <is>
          <t>245/70R19.5-16PR-ECO-MILE HTD</t>
        </is>
      </c>
      <c r="K979" s="184" t="n"/>
      <c r="L979" s="184" t="n"/>
      <c r="M979" s="184" t="n"/>
      <c r="N979" s="184" t="n"/>
      <c r="O979" s="184" t="n"/>
      <c r="P979" s="184" t="n"/>
      <c r="Q979" s="184" t="n"/>
      <c r="R979" s="184" t="n"/>
      <c r="BB979" s="390">
        <f>_xlfn.TEXTJOIN("-",TRUE,AU979,AW979)</f>
        <v/>
      </c>
    </row>
    <row r="980">
      <c r="G980" s="114" t="n">
        <v>34.6</v>
      </c>
      <c r="J980" s="115" t="inlineStr">
        <is>
          <t>245/70R19.5-16PR-M-TRAC AP</t>
        </is>
      </c>
      <c r="K980" s="184" t="n"/>
      <c r="L980" s="184" t="n"/>
      <c r="M980" s="184" t="n"/>
      <c r="N980" s="184" t="n"/>
      <c r="O980" s="184" t="n"/>
      <c r="P980" s="184" t="n"/>
      <c r="Q980" s="184" t="n"/>
      <c r="R980" s="184" t="n"/>
      <c r="BB980" s="390">
        <f>_xlfn.TEXTJOIN("-",TRUE,AU980,AW980)</f>
        <v/>
      </c>
    </row>
    <row r="981">
      <c r="G981" s="114" t="n">
        <v>34.6</v>
      </c>
      <c r="J981" s="115" t="inlineStr">
        <is>
          <t>245/70R19.5-16PR-M-TRAC HTD</t>
        </is>
      </c>
      <c r="K981" s="184" t="n"/>
      <c r="L981" s="184" t="n"/>
      <c r="M981" s="184" t="n"/>
      <c r="N981" s="184" t="n"/>
      <c r="O981" s="184" t="n"/>
      <c r="P981" s="184" t="n"/>
      <c r="Q981" s="184" t="n"/>
      <c r="R981" s="184" t="n"/>
      <c r="BB981" s="390">
        <f>_xlfn.TEXTJOIN("-",TRUE,AU981,AW981)</f>
        <v/>
      </c>
    </row>
    <row r="982">
      <c r="G982" s="114" t="n">
        <v>39.33</v>
      </c>
      <c r="J982" s="115" t="inlineStr">
        <is>
          <t>245/75R22.5-14PR-Strong Guard H-RA</t>
        </is>
      </c>
      <c r="K982" s="184" t="n"/>
      <c r="L982" s="184" t="n"/>
      <c r="M982" s="184" t="n"/>
      <c r="N982" s="184" t="n"/>
      <c r="O982" s="184" t="n"/>
      <c r="P982" s="184" t="n"/>
      <c r="Q982" s="184" t="n"/>
      <c r="R982" s="184" t="n"/>
      <c r="BB982" s="390">
        <f>_xlfn.TEXTJOIN("-",TRUE,AU982,AW982)</f>
        <v/>
      </c>
    </row>
    <row r="983">
      <c r="G983" s="114" t="n">
        <v>41.34</v>
      </c>
      <c r="J983" s="115" t="inlineStr">
        <is>
          <t>255/70R22.5-16PR-ECO-MILE AP</t>
        </is>
      </c>
      <c r="K983" s="184" t="n"/>
      <c r="L983" s="184" t="n"/>
      <c r="M983" s="184" t="n"/>
      <c r="N983" s="184" t="n"/>
      <c r="O983" s="184" t="n"/>
      <c r="P983" s="184" t="n"/>
      <c r="Q983" s="184" t="n"/>
      <c r="R983" s="184" t="n"/>
      <c r="BB983" s="390">
        <f>_xlfn.TEXTJOIN("-",TRUE,AU983,AW983)</f>
        <v/>
      </c>
    </row>
    <row r="984">
      <c r="G984" s="114" t="n">
        <v>47.04</v>
      </c>
      <c r="J984" s="115" t="inlineStr">
        <is>
          <t>275/70R22.5-16PR-M-TRAC AP</t>
        </is>
      </c>
      <c r="K984" s="184" t="n"/>
      <c r="L984" s="184" t="n"/>
      <c r="M984" s="184" t="n"/>
      <c r="N984" s="184" t="n"/>
      <c r="O984" s="184" t="n"/>
      <c r="P984" s="184" t="n"/>
      <c r="Q984" s="184" t="n"/>
      <c r="R984" s="184" t="n"/>
      <c r="BB984" s="390">
        <f>_xlfn.TEXTJOIN("-",TRUE,AU984,AW984)</f>
        <v/>
      </c>
    </row>
    <row r="985">
      <c r="G985" s="114" t="n">
        <v>52.95</v>
      </c>
      <c r="J985" s="115" t="inlineStr">
        <is>
          <t>295/75R22.5-14PR-M-TRAC CSD</t>
        </is>
      </c>
      <c r="K985" s="184" t="n"/>
      <c r="L985" s="184" t="n"/>
      <c r="M985" s="184" t="n"/>
      <c r="N985" s="184" t="n"/>
      <c r="O985" s="184" t="n"/>
      <c r="P985" s="184" t="n"/>
      <c r="Q985" s="184" t="n"/>
      <c r="R985" s="184" t="n"/>
      <c r="BB985" s="390">
        <f>_xlfn.TEXTJOIN("-",TRUE,AU985,AW985)</f>
        <v/>
      </c>
    </row>
    <row r="986">
      <c r="G986" s="114" t="n">
        <v>52.95</v>
      </c>
      <c r="J986" s="115" t="inlineStr">
        <is>
          <t>295/75R22.5-14PR-M-TRAC OSD</t>
        </is>
      </c>
      <c r="K986" s="184" t="n"/>
      <c r="L986" s="184" t="n"/>
      <c r="M986" s="184" t="n"/>
      <c r="N986" s="184" t="n"/>
      <c r="O986" s="184" t="n"/>
      <c r="P986" s="184" t="n"/>
      <c r="Q986" s="184" t="n"/>
      <c r="R986" s="184" t="n"/>
      <c r="BB986" s="390">
        <f>_xlfn.TEXTJOIN("-",TRUE,AU986,AW986)</f>
        <v/>
      </c>
    </row>
    <row r="987">
      <c r="G987" s="114" t="n">
        <v>52.95</v>
      </c>
      <c r="J987" s="115" t="inlineStr">
        <is>
          <t>295/75R22.5-14PR-M-TRAC TR</t>
        </is>
      </c>
      <c r="K987" s="184" t="n"/>
      <c r="L987" s="184" t="n"/>
      <c r="M987" s="184" t="n"/>
      <c r="N987" s="184" t="n"/>
      <c r="O987" s="184" t="n"/>
      <c r="P987" s="184" t="n"/>
      <c r="Q987" s="184" t="n"/>
      <c r="R987" s="184" t="n"/>
      <c r="BB987" s="390">
        <f>_xlfn.TEXTJOIN("-",TRUE,AU987,AW987)</f>
        <v/>
      </c>
    </row>
    <row r="988">
      <c r="G988" s="114" t="n">
        <v>52.95</v>
      </c>
      <c r="J988" s="115" t="inlineStr">
        <is>
          <t>295/75R22.5-16PR-AT563</t>
        </is>
      </c>
      <c r="BB988" s="390">
        <f>_xlfn.TEXTJOIN("-",TRUE,AU988,AW988)</f>
        <v/>
      </c>
    </row>
    <row r="989">
      <c r="G989" s="114" t="n">
        <v>52.95</v>
      </c>
      <c r="J989" s="115" t="inlineStr">
        <is>
          <t>295/75R22.5-16PR-ECO-MILE CSD</t>
        </is>
      </c>
      <c r="BB989" s="390">
        <f>_xlfn.TEXTJOIN("-",TRUE,AU989,AW989)</f>
        <v/>
      </c>
    </row>
    <row r="990">
      <c r="G990" s="114" t="n">
        <v>52.95</v>
      </c>
      <c r="J990" s="115" t="inlineStr">
        <is>
          <t>295/75R22.5-16PR-M-TRAC CSD</t>
        </is>
      </c>
      <c r="BB990" s="390">
        <f>_xlfn.TEXTJOIN("-",TRUE,AU990,AW990)</f>
        <v/>
      </c>
    </row>
    <row r="991">
      <c r="G991" s="114" t="n">
        <v>52.95</v>
      </c>
      <c r="J991" s="115" t="inlineStr">
        <is>
          <t>295/75R22.5-16PR-Strong Guard H-RA</t>
        </is>
      </c>
      <c r="BB991" s="390">
        <f>_xlfn.TEXTJOIN("-",TRUE,AU991,AW991)</f>
        <v/>
      </c>
    </row>
    <row r="992">
      <c r="G992" s="114" t="n">
        <v>59.57</v>
      </c>
      <c r="J992" s="115" t="inlineStr">
        <is>
          <t>11R22.5-16PR-M-TRAC CSD+</t>
        </is>
      </c>
    </row>
    <row r="993">
      <c r="G993" s="114" t="n">
        <v>59.57</v>
      </c>
      <c r="J993" s="115" t="inlineStr">
        <is>
          <t>11R22.5-16PR-M-TRAC HS+</t>
        </is>
      </c>
    </row>
    <row r="994">
      <c r="G994" s="114" t="n">
        <v>59.57</v>
      </c>
      <c r="J994" s="115" t="inlineStr">
        <is>
          <t>11R22.5-18PR-YTB-50</t>
        </is>
      </c>
    </row>
    <row r="995">
      <c r="G995" s="114" t="n">
        <v>51.992</v>
      </c>
      <c r="J995" s="115" t="inlineStr">
        <is>
          <t>295/75R22.5-14PR-AS600</t>
        </is>
      </c>
    </row>
    <row r="996">
      <c r="G996" s="114" t="n">
        <v>59.57</v>
      </c>
      <c r="J996" s="115" t="inlineStr">
        <is>
          <t>295/75R22.5-16PR-M-TRAC CSD+</t>
        </is>
      </c>
    </row>
    <row r="997">
      <c r="G997" s="114" t="n">
        <v>59.57</v>
      </c>
      <c r="J997" s="115" t="inlineStr">
        <is>
          <t>295/75R22.5-16PR-RLINE-TⅡ</t>
        </is>
      </c>
    </row>
    <row r="998">
      <c r="G998" s="114" t="n">
        <v>60.01</v>
      </c>
      <c r="J998" s="115" t="inlineStr">
        <is>
          <t>10.00R20-18PR-MT200</t>
        </is>
      </c>
    </row>
    <row r="999">
      <c r="G999" s="114" t="n">
        <v>64.622</v>
      </c>
      <c r="J999" s="115" t="inlineStr">
        <is>
          <t>11.00R20-18PR-MT200</t>
        </is>
      </c>
    </row>
    <row r="1000">
      <c r="G1000" s="114" t="n">
        <v>91.295</v>
      </c>
      <c r="J1000" s="115" t="inlineStr">
        <is>
          <t>12.00R24-☆☆PR-XC819</t>
        </is>
      </c>
    </row>
    <row r="1001">
      <c r="G1001" s="114" t="n">
        <v>70.11799999999999</v>
      </c>
      <c r="J1001" s="115" t="inlineStr">
        <is>
          <t>12.00R20-☆☆-XC809</t>
        </is>
      </c>
    </row>
    <row r="1002">
      <c r="G1002" s="114" t="n">
        <v>91.295</v>
      </c>
      <c r="J1002" s="115" t="inlineStr">
        <is>
          <t>12.00R24-☆☆-XC819</t>
        </is>
      </c>
    </row>
    <row r="1003">
      <c r="G1003" s="114" t="n">
        <v>88.39</v>
      </c>
      <c r="J1003" s="115" t="inlineStr">
        <is>
          <t>12.00R20-22PR-TRD-79</t>
        </is>
      </c>
    </row>
    <row r="1004">
      <c r="G1004" s="114" t="n">
        <v>92.56</v>
      </c>
      <c r="J1004" s="115" t="inlineStr">
        <is>
          <t>12.00R24-20PR-TRD-79</t>
        </is>
      </c>
    </row>
    <row r="1037">
      <c r="T1037" s="184" t="n"/>
      <c r="U1037" s="184" t="n"/>
    </row>
    <row r="1038">
      <c r="T1038" s="184" t="n"/>
      <c r="U1038" s="184" t="n"/>
    </row>
    <row r="1040">
      <c r="T1040" s="184" t="n"/>
      <c r="U1040" s="184" t="n"/>
      <c r="V1040" s="184" t="n"/>
      <c r="W1040" s="184" t="n"/>
      <c r="X1040" s="184" t="n"/>
      <c r="Y1040" s="184" t="n"/>
      <c r="Z1040" s="184" t="n"/>
      <c r="AA1040" s="184" t="n"/>
    </row>
    <row r="1041">
      <c r="T1041" s="184" t="n"/>
      <c r="U1041" s="184" t="n"/>
      <c r="V1041" s="184" t="n"/>
      <c r="W1041" s="184" t="n"/>
      <c r="X1041" s="184" t="n"/>
      <c r="Y1041" s="184" t="n"/>
      <c r="Z1041" s="184" t="n"/>
      <c r="AA1041" s="184" t="n"/>
    </row>
    <row r="1042">
      <c r="T1042" s="184" t="n"/>
      <c r="U1042" s="184" t="n"/>
      <c r="V1042" s="184" t="n"/>
      <c r="W1042" s="184" t="n"/>
      <c r="X1042" s="184" t="n"/>
      <c r="Y1042" s="184" t="n"/>
      <c r="Z1042" s="184" t="n"/>
      <c r="AA1042" s="184" t="n"/>
    </row>
    <row r="1043">
      <c r="T1043" s="184" t="n"/>
      <c r="U1043" s="184" t="n"/>
      <c r="V1043" s="184" t="n"/>
      <c r="W1043" s="184" t="n"/>
      <c r="X1043" s="184" t="n"/>
      <c r="Y1043" s="184" t="n"/>
      <c r="Z1043" s="184" t="n"/>
      <c r="AA1043" s="184" t="n"/>
    </row>
    <row r="1044">
      <c r="T1044" s="184" t="n"/>
      <c r="U1044" s="184" t="n"/>
      <c r="V1044" s="184" t="n"/>
      <c r="W1044" s="184" t="n"/>
      <c r="X1044" s="184" t="n"/>
      <c r="Y1044" s="184" t="n"/>
      <c r="Z1044" s="184" t="n"/>
      <c r="AA1044" s="184" t="n"/>
    </row>
    <row r="1045">
      <c r="T1045" s="184" t="n"/>
      <c r="U1045" s="184" t="n"/>
      <c r="V1045" s="184" t="n"/>
      <c r="W1045" s="184" t="n"/>
      <c r="X1045" s="184" t="n"/>
      <c r="Y1045" s="184" t="n"/>
      <c r="Z1045" s="184" t="n"/>
      <c r="AA1045" s="184" t="n"/>
    </row>
    <row r="1046">
      <c r="T1046" s="184" t="n"/>
      <c r="U1046" s="184" t="n"/>
      <c r="V1046" s="184" t="n"/>
      <c r="W1046" s="184" t="n"/>
      <c r="X1046" s="184" t="n"/>
      <c r="Y1046" s="184" t="n"/>
      <c r="Z1046" s="184" t="n"/>
      <c r="AA1046" s="184" t="n"/>
    </row>
    <row r="1047">
      <c r="T1047" s="184" t="n"/>
      <c r="U1047" s="184" t="n"/>
      <c r="V1047" s="184" t="n"/>
      <c r="W1047" s="184" t="n"/>
      <c r="X1047" s="184" t="n"/>
      <c r="Y1047" s="184" t="n"/>
      <c r="Z1047" s="184" t="n"/>
      <c r="AA1047" s="184" t="n"/>
    </row>
    <row r="1048">
      <c r="T1048" s="184" t="n"/>
      <c r="U1048" s="184" t="n"/>
      <c r="V1048" s="184" t="n"/>
      <c r="W1048" s="184" t="n"/>
      <c r="X1048" s="184" t="n"/>
      <c r="Y1048" s="184" t="n"/>
      <c r="Z1048" s="184" t="n"/>
      <c r="AA1048" s="184" t="n"/>
    </row>
    <row r="1049">
      <c r="T1049" s="184" t="n"/>
      <c r="U1049" s="184" t="n"/>
      <c r="V1049" s="184" t="n"/>
      <c r="W1049" s="184" t="n"/>
      <c r="X1049" s="184" t="n"/>
      <c r="Y1049" s="184" t="n"/>
      <c r="Z1049" s="184" t="n"/>
      <c r="AA1049" s="184" t="n"/>
    </row>
    <row r="1050">
      <c r="T1050" s="184" t="n"/>
      <c r="U1050" s="184" t="n"/>
      <c r="V1050" s="184" t="n"/>
      <c r="W1050" s="184" t="n"/>
      <c r="X1050" s="184" t="n"/>
      <c r="Y1050" s="184" t="n"/>
      <c r="Z1050" s="184" t="n"/>
      <c r="AA1050" s="184" t="n"/>
    </row>
    <row r="1051">
      <c r="T1051" s="184" t="n"/>
      <c r="U1051" s="184" t="n"/>
      <c r="V1051" s="184" t="n"/>
      <c r="W1051" s="184" t="n"/>
      <c r="X1051" s="184" t="n"/>
      <c r="Y1051" s="184" t="n"/>
      <c r="Z1051" s="184" t="n"/>
      <c r="AA1051" s="184" t="n"/>
    </row>
    <row r="1052">
      <c r="T1052" s="184" t="n"/>
      <c r="U1052" s="184" t="n"/>
      <c r="V1052" s="184" t="n"/>
      <c r="W1052" s="184" t="n"/>
      <c r="X1052" s="184" t="n"/>
      <c r="Y1052" s="184" t="n"/>
      <c r="Z1052" s="184" t="n"/>
      <c r="AA1052" s="184" t="n"/>
    </row>
    <row r="1053">
      <c r="T1053" s="184" t="n"/>
      <c r="U1053" s="184" t="n"/>
      <c r="V1053" s="184" t="n"/>
      <c r="W1053" s="184" t="n"/>
      <c r="X1053" s="184" t="n"/>
      <c r="Y1053" s="184" t="n"/>
      <c r="Z1053" s="184" t="n"/>
      <c r="AA1053" s="184" t="n"/>
    </row>
    <row r="1054">
      <c r="T1054" s="184" t="n"/>
      <c r="U1054" s="184" t="n"/>
      <c r="V1054" s="184" t="n"/>
      <c r="W1054" s="184" t="n"/>
      <c r="X1054" s="184" t="n"/>
      <c r="Y1054" s="184" t="n"/>
      <c r="Z1054" s="184" t="n"/>
      <c r="AA1054" s="184" t="n"/>
    </row>
    <row r="1055">
      <c r="T1055" s="184" t="n"/>
      <c r="U1055" s="184" t="n"/>
      <c r="V1055" s="184" t="n"/>
      <c r="W1055" s="184" t="n"/>
      <c r="X1055" s="184" t="n"/>
      <c r="Y1055" s="184" t="n"/>
      <c r="Z1055" s="184" t="n"/>
      <c r="AA1055" s="184" t="n"/>
    </row>
    <row r="1056">
      <c r="T1056" s="184" t="n"/>
      <c r="U1056" s="184" t="n"/>
      <c r="V1056" s="184" t="n"/>
      <c r="W1056" s="184" t="n"/>
      <c r="X1056" s="184" t="n"/>
      <c r="Y1056" s="184" t="n"/>
      <c r="Z1056" s="184" t="n"/>
      <c r="AA1056" s="184" t="n"/>
    </row>
    <row r="1057">
      <c r="T1057" s="184" t="n"/>
      <c r="U1057" s="184" t="n"/>
      <c r="V1057" s="184" t="n"/>
      <c r="W1057" s="184" t="n"/>
      <c r="X1057" s="184" t="n"/>
      <c r="Y1057" s="184" t="n"/>
      <c r="Z1057" s="184" t="n"/>
      <c r="AA1057" s="184" t="n"/>
    </row>
    <row r="1058">
      <c r="T1058" s="184" t="n"/>
      <c r="U1058" s="184" t="n"/>
      <c r="V1058" s="184" t="n"/>
      <c r="W1058" s="184" t="n"/>
      <c r="X1058" s="184" t="n"/>
      <c r="Y1058" s="184" t="n"/>
      <c r="Z1058" s="184" t="n"/>
      <c r="AA1058" s="184" t="n"/>
    </row>
    <row r="1059">
      <c r="T1059" s="184" t="n"/>
      <c r="U1059" s="184" t="n"/>
      <c r="V1059" s="184" t="n"/>
      <c r="W1059" s="184" t="n"/>
      <c r="X1059" s="184" t="n"/>
      <c r="Y1059" s="184" t="n"/>
      <c r="Z1059" s="184" t="n"/>
      <c r="AA1059" s="184" t="n"/>
    </row>
    <row r="1060">
      <c r="T1060" s="184" t="n"/>
      <c r="U1060" s="184" t="n"/>
      <c r="V1060" s="184" t="n"/>
      <c r="W1060" s="184" t="n"/>
      <c r="X1060" s="184" t="n"/>
      <c r="Y1060" s="184" t="n"/>
      <c r="Z1060" s="184" t="n"/>
      <c r="AA1060" s="184" t="n"/>
    </row>
    <row r="1061">
      <c r="T1061" s="184" t="n"/>
      <c r="U1061" s="184" t="n"/>
      <c r="V1061" s="184" t="n"/>
      <c r="W1061" s="184" t="n"/>
      <c r="X1061" s="184" t="n"/>
      <c r="Y1061" s="184" t="n"/>
      <c r="Z1061" s="184" t="n"/>
      <c r="AA1061" s="184" t="n"/>
    </row>
    <row r="1062">
      <c r="T1062" s="184" t="n"/>
      <c r="U1062" s="184" t="n"/>
      <c r="V1062" s="184" t="n"/>
      <c r="W1062" s="184" t="n"/>
      <c r="X1062" s="184" t="n"/>
      <c r="Y1062" s="184" t="n"/>
      <c r="Z1062" s="184" t="n"/>
      <c r="AA1062" s="184" t="n"/>
    </row>
    <row r="1063">
      <c r="T1063" s="184" t="n"/>
      <c r="U1063" s="184" t="n"/>
      <c r="V1063" s="184" t="n"/>
      <c r="W1063" s="184" t="n"/>
      <c r="X1063" s="184" t="n"/>
      <c r="Y1063" s="184" t="n"/>
      <c r="Z1063" s="184" t="n"/>
      <c r="AA1063" s="184" t="n"/>
    </row>
    <row r="1064">
      <c r="T1064" s="184" t="n"/>
      <c r="U1064" s="184" t="n"/>
      <c r="V1064" s="184" t="n"/>
      <c r="W1064" s="184" t="n"/>
      <c r="X1064" s="184" t="n"/>
      <c r="Y1064" s="184" t="n"/>
      <c r="Z1064" s="184" t="n"/>
      <c r="AA1064" s="184" t="n"/>
    </row>
    <row r="1065">
      <c r="T1065" s="184" t="n"/>
      <c r="U1065" s="184" t="n"/>
      <c r="V1065" s="184" t="n"/>
      <c r="W1065" s="184" t="n"/>
      <c r="X1065" s="184" t="n"/>
      <c r="Y1065" s="184" t="n"/>
      <c r="Z1065" s="184" t="n"/>
      <c r="AA1065" s="184" t="n"/>
    </row>
    <row r="1066">
      <c r="T1066" s="184" t="n"/>
      <c r="U1066" s="184" t="n"/>
      <c r="V1066" s="184" t="n"/>
      <c r="W1066" s="184" t="n"/>
      <c r="X1066" s="184" t="n"/>
      <c r="Y1066" s="184" t="n"/>
      <c r="Z1066" s="184" t="n"/>
      <c r="AA1066" s="184" t="n"/>
    </row>
    <row r="1067">
      <c r="T1067" s="184" t="n"/>
      <c r="U1067" s="184" t="n"/>
      <c r="V1067" s="184" t="n"/>
      <c r="W1067" s="184" t="n"/>
      <c r="X1067" s="184" t="n"/>
      <c r="Y1067" s="184" t="n"/>
      <c r="Z1067" s="184" t="n"/>
      <c r="AA1067" s="184" t="n"/>
    </row>
    <row r="1068">
      <c r="T1068" s="184" t="n"/>
      <c r="U1068" s="184" t="n"/>
      <c r="V1068" s="184" t="n"/>
      <c r="W1068" s="184" t="n"/>
      <c r="X1068" s="184" t="n"/>
      <c r="Y1068" s="184" t="n"/>
      <c r="Z1068" s="184" t="n"/>
      <c r="AA1068" s="184" t="n"/>
    </row>
    <row r="1069">
      <c r="T1069" s="184" t="n"/>
      <c r="U1069" s="184" t="n"/>
      <c r="V1069" s="184" t="n"/>
      <c r="W1069" s="184" t="n"/>
      <c r="X1069" s="184" t="n"/>
      <c r="Y1069" s="184" t="n"/>
      <c r="Z1069" s="184" t="n"/>
      <c r="AA1069" s="184" t="n"/>
    </row>
    <row r="1070">
      <c r="T1070" s="184" t="n"/>
      <c r="U1070" s="184" t="n"/>
      <c r="V1070" s="184" t="n"/>
      <c r="W1070" s="184" t="n"/>
      <c r="X1070" s="184" t="n"/>
      <c r="Y1070" s="184" t="n"/>
      <c r="Z1070" s="184" t="n"/>
      <c r="AA1070" s="184" t="n"/>
    </row>
    <row r="1071">
      <c r="T1071" s="184" t="n"/>
      <c r="U1071" s="184" t="n"/>
      <c r="V1071" s="184" t="n"/>
      <c r="W1071" s="184" t="n"/>
      <c r="X1071" s="184" t="n"/>
      <c r="Y1071" s="184" t="n"/>
      <c r="Z1071" s="184" t="n"/>
      <c r="AA1071" s="184" t="n"/>
    </row>
    <row r="1072">
      <c r="T1072" s="184" t="n"/>
      <c r="U1072" s="184" t="n"/>
      <c r="V1072" s="184" t="n"/>
      <c r="W1072" s="184" t="n"/>
      <c r="X1072" s="184" t="n"/>
      <c r="Y1072" s="184" t="n"/>
      <c r="Z1072" s="184" t="n"/>
      <c r="AA1072" s="184" t="n"/>
    </row>
    <row r="1073">
      <c r="T1073" s="184" t="n"/>
      <c r="U1073" s="184" t="n"/>
      <c r="V1073" s="184" t="n"/>
      <c r="W1073" s="184" t="n"/>
      <c r="X1073" s="184" t="n"/>
      <c r="Y1073" s="184" t="n"/>
      <c r="Z1073" s="184" t="n"/>
      <c r="AA1073" s="184" t="n"/>
    </row>
    <row r="1074">
      <c r="T1074" s="184" t="n"/>
      <c r="U1074" s="184" t="n"/>
      <c r="V1074" s="184" t="n"/>
      <c r="W1074" s="184" t="n"/>
      <c r="X1074" s="184" t="n"/>
      <c r="Y1074" s="184" t="n"/>
      <c r="Z1074" s="184" t="n"/>
      <c r="AA1074" s="184" t="n"/>
    </row>
    <row r="1075">
      <c r="T1075" s="184" t="n"/>
      <c r="U1075" s="184" t="n"/>
      <c r="V1075" s="184" t="n"/>
      <c r="W1075" s="184" t="n"/>
      <c r="X1075" s="184" t="n"/>
      <c r="Y1075" s="184" t="n"/>
      <c r="Z1075" s="184" t="n"/>
      <c r="AA1075" s="184" t="n"/>
    </row>
    <row r="1076">
      <c r="B1076" s="184" t="n"/>
      <c r="C1076" s="184" t="n"/>
      <c r="D1076" s="184" t="n"/>
      <c r="E1076" s="184" t="n"/>
      <c r="F1076" s="184" t="n"/>
      <c r="G1076" s="184" t="n"/>
      <c r="H1076" s="184" t="n"/>
      <c r="I1076" s="184" t="n"/>
      <c r="T1076" s="184" t="n"/>
      <c r="U1076" s="184" t="n"/>
      <c r="V1076" s="184" t="n"/>
      <c r="W1076" s="184" t="n"/>
      <c r="X1076" s="184" t="n"/>
      <c r="Y1076" s="184" t="n"/>
      <c r="Z1076" s="184" t="n"/>
      <c r="AA1076" s="184" t="n"/>
    </row>
    <row r="1077">
      <c r="B1077" s="184" t="n"/>
      <c r="C1077" s="184" t="n"/>
      <c r="D1077" s="184" t="n"/>
      <c r="E1077" s="184" t="n"/>
      <c r="F1077" s="184" t="n"/>
      <c r="G1077" s="184" t="n"/>
      <c r="H1077" s="184" t="n"/>
      <c r="I1077" s="184" t="n"/>
      <c r="T1077" s="184" t="n"/>
      <c r="U1077" s="184" t="n"/>
      <c r="V1077" s="184" t="n"/>
      <c r="W1077" s="184" t="n"/>
      <c r="X1077" s="184" t="n"/>
      <c r="Y1077" s="184" t="n"/>
      <c r="Z1077" s="184" t="n"/>
      <c r="AA1077" s="184" t="n"/>
    </row>
    <row r="1078">
      <c r="B1078" s="184" t="n"/>
      <c r="C1078" s="184" t="n"/>
      <c r="D1078" s="184" t="n"/>
      <c r="E1078" s="184" t="n"/>
      <c r="F1078" s="184" t="n"/>
      <c r="G1078" s="184" t="n"/>
      <c r="H1078" s="184" t="n"/>
      <c r="I1078" s="184" t="n"/>
      <c r="T1078" s="184" t="n"/>
      <c r="U1078" s="184" t="n"/>
      <c r="V1078" s="184" t="n"/>
      <c r="W1078" s="184" t="n"/>
      <c r="X1078" s="184" t="n"/>
      <c r="Y1078" s="184" t="n"/>
      <c r="Z1078" s="184" t="n"/>
      <c r="AA1078" s="184" t="n"/>
    </row>
    <row r="1079">
      <c r="B1079" s="184" t="n"/>
      <c r="C1079" s="184" t="n"/>
      <c r="D1079" s="184" t="n"/>
      <c r="E1079" s="184" t="n"/>
      <c r="F1079" s="184" t="n"/>
      <c r="G1079" s="184" t="n"/>
      <c r="H1079" s="184" t="n"/>
      <c r="I1079" s="184" t="n"/>
      <c r="T1079" s="184" t="n"/>
      <c r="U1079" s="184" t="n"/>
      <c r="V1079" s="184" t="n"/>
      <c r="W1079" s="184" t="n"/>
      <c r="X1079" s="184" t="n"/>
      <c r="Y1079" s="184" t="n"/>
      <c r="Z1079" s="184" t="n"/>
      <c r="AA1079" s="184" t="n"/>
    </row>
    <row r="1080">
      <c r="T1080" s="184" t="n"/>
      <c r="U1080" s="184" t="n"/>
      <c r="V1080" s="184" t="n"/>
      <c r="W1080" s="184" t="n"/>
      <c r="X1080" s="184" t="n"/>
      <c r="Y1080" s="184" t="n"/>
      <c r="Z1080" s="184" t="n"/>
      <c r="AA1080" s="184" t="n"/>
    </row>
    <row r="1081">
      <c r="T1081" s="184" t="n"/>
      <c r="U1081" s="184" t="n"/>
      <c r="V1081" s="184" t="n"/>
      <c r="W1081" s="184" t="n"/>
      <c r="X1081" s="184" t="n"/>
      <c r="Y1081" s="184" t="n"/>
      <c r="Z1081" s="184" t="n"/>
      <c r="AA1081" s="184" t="n"/>
    </row>
    <row r="1082">
      <c r="T1082" s="184" t="n"/>
      <c r="U1082" s="184" t="n"/>
      <c r="V1082" s="184" t="n"/>
      <c r="W1082" s="184" t="n"/>
      <c r="X1082" s="184" t="n"/>
      <c r="Y1082" s="184" t="n"/>
      <c r="Z1082" s="184" t="n"/>
      <c r="AA1082" s="184" t="n"/>
    </row>
    <row r="1083">
      <c r="T1083" s="184" t="n"/>
      <c r="U1083" s="184" t="n"/>
      <c r="V1083" s="184" t="n"/>
      <c r="W1083" s="184" t="n"/>
      <c r="X1083" s="184" t="n"/>
      <c r="Y1083" s="184" t="n"/>
      <c r="Z1083" s="184" t="n"/>
      <c r="AA1083" s="184" t="n"/>
    </row>
    <row r="1084">
      <c r="T1084" s="184" t="n"/>
      <c r="U1084" s="184" t="n"/>
      <c r="V1084" s="184" t="n"/>
      <c r="W1084" s="184" t="n"/>
      <c r="X1084" s="184" t="n"/>
      <c r="Y1084" s="184" t="n"/>
      <c r="Z1084" s="184" t="n"/>
      <c r="AA1084" s="184" t="n"/>
    </row>
    <row r="1085">
      <c r="T1085" s="184" t="n"/>
      <c r="U1085" s="184" t="n"/>
      <c r="V1085" s="184" t="n"/>
      <c r="W1085" s="184" t="n"/>
      <c r="X1085" s="184" t="n"/>
      <c r="Y1085" s="184" t="n"/>
      <c r="Z1085" s="184" t="n"/>
      <c r="AA1085" s="184" t="n"/>
    </row>
    <row r="1086">
      <c r="T1086" s="184" t="n"/>
      <c r="U1086" s="184" t="n"/>
      <c r="V1086" s="184" t="n"/>
      <c r="W1086" s="184" t="n"/>
      <c r="X1086" s="184" t="n"/>
      <c r="Y1086" s="184" t="n"/>
      <c r="Z1086" s="184" t="n"/>
      <c r="AA1086" s="184" t="n"/>
    </row>
    <row r="1087">
      <c r="T1087" s="184" t="n"/>
      <c r="U1087" s="184" t="n"/>
      <c r="V1087" s="184" t="n"/>
      <c r="W1087" s="184" t="n"/>
      <c r="X1087" s="184" t="n"/>
      <c r="Y1087" s="184" t="n"/>
      <c r="Z1087" s="184" t="n"/>
      <c r="AA1087" s="184" t="n"/>
    </row>
    <row r="1088">
      <c r="T1088" s="184" t="n"/>
      <c r="U1088" s="184" t="n"/>
      <c r="V1088" s="184" t="n"/>
      <c r="W1088" s="184" t="n"/>
      <c r="X1088" s="184" t="n"/>
      <c r="Y1088" s="184" t="n"/>
      <c r="Z1088" s="184" t="n"/>
      <c r="AA1088" s="184" t="n"/>
    </row>
    <row r="1089">
      <c r="T1089" s="184" t="n"/>
      <c r="U1089" s="184" t="n"/>
      <c r="V1089" s="184" t="n"/>
      <c r="W1089" s="184" t="n"/>
      <c r="X1089" s="184" t="n"/>
      <c r="Y1089" s="184" t="n"/>
      <c r="Z1089" s="184" t="n"/>
      <c r="AA1089" s="184" t="n"/>
    </row>
    <row r="1090">
      <c r="T1090" s="184" t="n"/>
      <c r="U1090" s="184" t="n"/>
      <c r="V1090" s="184" t="n"/>
      <c r="W1090" s="184" t="n"/>
      <c r="X1090" s="184" t="n"/>
      <c r="Y1090" s="184" t="n"/>
      <c r="Z1090" s="184" t="n"/>
      <c r="AA1090" s="184" t="n"/>
    </row>
    <row r="1091">
      <c r="T1091" s="184" t="n"/>
      <c r="U1091" s="184" t="n"/>
      <c r="V1091" s="184" t="n"/>
      <c r="W1091" s="184" t="n"/>
      <c r="X1091" s="184" t="n"/>
      <c r="Y1091" s="184" t="n"/>
      <c r="Z1091" s="184" t="n"/>
      <c r="AA1091" s="184" t="n"/>
    </row>
    <row r="1092">
      <c r="T1092" s="184" t="n"/>
      <c r="U1092" s="184" t="n"/>
      <c r="V1092" s="184" t="n"/>
      <c r="W1092" s="184" t="n"/>
      <c r="X1092" s="184" t="n"/>
      <c r="Y1092" s="184" t="n"/>
      <c r="Z1092" s="184" t="n"/>
      <c r="AA1092" s="184" t="n"/>
    </row>
    <row r="1093">
      <c r="T1093" s="184" t="n"/>
      <c r="U1093" s="184" t="n"/>
      <c r="V1093" s="184" t="n"/>
      <c r="W1093" s="184" t="n"/>
      <c r="X1093" s="184" t="n"/>
      <c r="Y1093" s="184" t="n"/>
      <c r="Z1093" s="184" t="n"/>
      <c r="AA1093" s="184" t="n"/>
    </row>
    <row r="1094">
      <c r="T1094" s="184" t="n"/>
      <c r="U1094" s="184" t="n"/>
      <c r="V1094" s="184" t="n"/>
      <c r="W1094" s="184" t="n"/>
      <c r="X1094" s="184" t="n"/>
      <c r="Y1094" s="184" t="n"/>
      <c r="Z1094" s="184" t="n"/>
      <c r="AA1094" s="184" t="n"/>
    </row>
    <row r="1095">
      <c r="T1095" s="184" t="n"/>
      <c r="U1095" s="184" t="n"/>
      <c r="V1095" s="184" t="n"/>
      <c r="W1095" s="184" t="n"/>
      <c r="X1095" s="184" t="n"/>
      <c r="Y1095" s="184" t="n"/>
      <c r="Z1095" s="184" t="n"/>
      <c r="AA1095" s="184" t="n"/>
    </row>
    <row r="1096">
      <c r="T1096" s="184" t="n"/>
      <c r="U1096" s="184" t="n"/>
      <c r="V1096" s="184" t="n"/>
      <c r="W1096" s="184" t="n"/>
      <c r="X1096" s="184" t="n"/>
      <c r="Y1096" s="184" t="n"/>
      <c r="Z1096" s="184" t="n"/>
      <c r="AA1096" s="184" t="n"/>
    </row>
    <row r="1097">
      <c r="T1097" s="184" t="n"/>
      <c r="U1097" s="184" t="n"/>
      <c r="V1097" s="184" t="n"/>
      <c r="W1097" s="184" t="n"/>
      <c r="X1097" s="184" t="n"/>
      <c r="Y1097" s="184" t="n"/>
      <c r="Z1097" s="184" t="n"/>
      <c r="AA1097" s="184" t="n"/>
    </row>
    <row r="1098">
      <c r="T1098" s="184" t="n"/>
      <c r="U1098" s="184" t="n"/>
      <c r="V1098" s="184" t="n"/>
      <c r="W1098" s="184" t="n"/>
      <c r="X1098" s="184" t="n"/>
      <c r="Y1098" s="184" t="n"/>
      <c r="Z1098" s="184" t="n"/>
      <c r="AA1098" s="184" t="n"/>
    </row>
    <row r="1099">
      <c r="T1099" s="184" t="n"/>
      <c r="U1099" s="184" t="n"/>
      <c r="V1099" s="184" t="n"/>
      <c r="W1099" s="184" t="n"/>
      <c r="X1099" s="184" t="n"/>
      <c r="Y1099" s="184" t="n"/>
      <c r="Z1099" s="184" t="n"/>
      <c r="AA1099" s="184" t="n"/>
    </row>
    <row r="1100">
      <c r="T1100" s="184" t="n"/>
      <c r="U1100" s="184" t="n"/>
      <c r="V1100" s="184" t="n"/>
      <c r="W1100" s="184" t="n"/>
      <c r="X1100" s="184" t="n"/>
      <c r="Y1100" s="184" t="n"/>
      <c r="Z1100" s="184" t="n"/>
      <c r="AA1100" s="184" t="n"/>
    </row>
    <row r="1101">
      <c r="T1101" s="184" t="n"/>
      <c r="U1101" s="184" t="n"/>
      <c r="V1101" s="184" t="n"/>
      <c r="W1101" s="184" t="n"/>
      <c r="X1101" s="184" t="n"/>
      <c r="Y1101" s="184" t="n"/>
      <c r="Z1101" s="184" t="n"/>
      <c r="AA1101" s="184" t="n"/>
    </row>
    <row r="1102">
      <c r="T1102" s="184" t="n"/>
      <c r="U1102" s="184" t="n"/>
      <c r="V1102" s="184" t="n"/>
      <c r="W1102" s="184" t="n"/>
      <c r="X1102" s="184" t="n"/>
      <c r="Y1102" s="184" t="n"/>
      <c r="Z1102" s="184" t="n"/>
      <c r="AA1102" s="184" t="n"/>
    </row>
    <row r="1103">
      <c r="T1103" s="184" t="n"/>
      <c r="U1103" s="184" t="n"/>
      <c r="V1103" s="184" t="n"/>
      <c r="W1103" s="184" t="n"/>
      <c r="X1103" s="184" t="n"/>
      <c r="Y1103" s="184" t="n"/>
      <c r="Z1103" s="184" t="n"/>
      <c r="AA1103" s="184" t="n"/>
    </row>
    <row r="1104">
      <c r="T1104" s="184" t="n"/>
      <c r="U1104" s="184" t="n"/>
      <c r="V1104" s="184" t="n"/>
      <c r="W1104" s="184" t="n"/>
      <c r="X1104" s="184" t="n"/>
      <c r="Y1104" s="184" t="n"/>
      <c r="Z1104" s="184" t="n"/>
      <c r="AA1104" s="184" t="n"/>
    </row>
    <row r="1105">
      <c r="T1105" s="184" t="n"/>
      <c r="U1105" s="184" t="n"/>
      <c r="V1105" s="184" t="n"/>
      <c r="W1105" s="184" t="n"/>
      <c r="X1105" s="184" t="n"/>
      <c r="Y1105" s="184" t="n"/>
      <c r="Z1105" s="184" t="n"/>
      <c r="AA1105" s="184" t="n"/>
    </row>
    <row r="1106">
      <c r="T1106" s="184" t="n"/>
      <c r="U1106" s="184" t="n"/>
      <c r="V1106" s="184" t="n"/>
      <c r="W1106" s="184" t="n"/>
      <c r="X1106" s="184" t="n"/>
      <c r="Y1106" s="184" t="n"/>
      <c r="Z1106" s="184" t="n"/>
      <c r="AA1106" s="184" t="n"/>
    </row>
    <row r="1107">
      <c r="T1107" s="184" t="n"/>
      <c r="U1107" s="184" t="n"/>
      <c r="V1107" s="184" t="n"/>
      <c r="W1107" s="184" t="n"/>
      <c r="X1107" s="184" t="n"/>
      <c r="Y1107" s="184" t="n"/>
      <c r="Z1107" s="184" t="n"/>
      <c r="AA1107" s="184" t="n"/>
    </row>
    <row r="1108">
      <c r="T1108" s="184" t="n"/>
      <c r="U1108" s="184" t="n"/>
      <c r="V1108" s="184" t="n"/>
      <c r="W1108" s="184" t="n"/>
      <c r="X1108" s="184" t="n"/>
      <c r="Y1108" s="184" t="n"/>
      <c r="Z1108" s="184" t="n"/>
      <c r="AA1108" s="184" t="n"/>
    </row>
    <row r="1109">
      <c r="T1109" s="184" t="n"/>
      <c r="U1109" s="184" t="n"/>
      <c r="V1109" s="184" t="n"/>
      <c r="W1109" s="184" t="n"/>
      <c r="X1109" s="184" t="n"/>
      <c r="Y1109" s="184" t="n"/>
      <c r="Z1109" s="184" t="n"/>
      <c r="AA1109" s="184" t="n"/>
    </row>
    <row r="1110">
      <c r="T1110" s="184" t="n"/>
      <c r="U1110" s="184" t="n"/>
      <c r="V1110" s="184" t="n"/>
      <c r="W1110" s="184" t="n"/>
      <c r="X1110" s="184" t="n"/>
      <c r="Y1110" s="184" t="n"/>
      <c r="Z1110" s="184" t="n"/>
      <c r="AA1110" s="184" t="n"/>
    </row>
    <row r="1111">
      <c r="T1111" s="184" t="n"/>
      <c r="U1111" s="184" t="n"/>
      <c r="V1111" s="184" t="n"/>
      <c r="W1111" s="184" t="n"/>
      <c r="X1111" s="184" t="n"/>
      <c r="Y1111" s="184" t="n"/>
      <c r="Z1111" s="184" t="n"/>
      <c r="AA1111" s="184" t="n"/>
    </row>
    <row r="1112">
      <c r="T1112" s="184" t="n"/>
      <c r="U1112" s="184" t="n"/>
      <c r="V1112" s="184" t="n"/>
      <c r="W1112" s="184" t="n"/>
      <c r="X1112" s="184" t="n"/>
      <c r="Y1112" s="184" t="n"/>
      <c r="Z1112" s="184" t="n"/>
      <c r="AA1112" s="184" t="n"/>
    </row>
    <row r="1113">
      <c r="T1113" s="184" t="n"/>
      <c r="U1113" s="184" t="n"/>
      <c r="V1113" s="184" t="n"/>
      <c r="W1113" s="184" t="n"/>
      <c r="X1113" s="184" t="n"/>
      <c r="Y1113" s="184" t="n"/>
      <c r="Z1113" s="184" t="n"/>
      <c r="AA1113" s="184" t="n"/>
    </row>
    <row r="1114">
      <c r="T1114" s="184" t="n"/>
      <c r="U1114" s="184" t="n"/>
      <c r="V1114" s="184" t="n"/>
      <c r="W1114" s="184" t="n"/>
      <c r="X1114" s="184" t="n"/>
      <c r="Y1114" s="184" t="n"/>
      <c r="Z1114" s="184" t="n"/>
      <c r="AA1114" s="184" t="n"/>
    </row>
    <row r="1115">
      <c r="T1115" s="184" t="n"/>
      <c r="U1115" s="184" t="n"/>
      <c r="V1115" s="184" t="n"/>
      <c r="W1115" s="184" t="n"/>
      <c r="X1115" s="184" t="n"/>
      <c r="Y1115" s="184" t="n"/>
      <c r="Z1115" s="184" t="n"/>
      <c r="AA1115" s="184" t="n"/>
    </row>
    <row r="1116">
      <c r="T1116" s="184" t="n"/>
      <c r="U1116" s="184" t="n"/>
      <c r="V1116" s="184" t="n"/>
      <c r="W1116" s="184" t="n"/>
      <c r="X1116" s="184" t="n"/>
      <c r="Y1116" s="184" t="n"/>
      <c r="Z1116" s="184" t="n"/>
      <c r="AA1116" s="184" t="n"/>
    </row>
    <row r="1117">
      <c r="T1117" s="184" t="n"/>
      <c r="U1117" s="184" t="n"/>
      <c r="V1117" s="184" t="n"/>
      <c r="W1117" s="184" t="n"/>
      <c r="X1117" s="184" t="n"/>
      <c r="Y1117" s="184" t="n"/>
      <c r="Z1117" s="184" t="n"/>
      <c r="AA1117" s="184" t="n"/>
    </row>
    <row r="1118">
      <c r="T1118" s="184" t="n"/>
      <c r="U1118" s="184" t="n"/>
      <c r="V1118" s="184" t="n"/>
      <c r="W1118" s="184" t="n"/>
      <c r="X1118" s="184" t="n"/>
      <c r="Y1118" s="184" t="n"/>
      <c r="Z1118" s="184" t="n"/>
      <c r="AA1118" s="184" t="n"/>
    </row>
    <row r="1119">
      <c r="T1119" s="184" t="n"/>
      <c r="U1119" s="184" t="n"/>
      <c r="V1119" s="184" t="n"/>
      <c r="W1119" s="184" t="n"/>
      <c r="X1119" s="184" t="n"/>
      <c r="Y1119" s="184" t="n"/>
      <c r="Z1119" s="184" t="n"/>
      <c r="AA1119" s="184" t="n"/>
    </row>
    <row r="1120">
      <c r="T1120" s="184" t="n"/>
      <c r="U1120" s="184" t="n"/>
      <c r="V1120" s="184" t="n"/>
      <c r="W1120" s="184" t="n"/>
      <c r="X1120" s="184" t="n"/>
      <c r="Y1120" s="184" t="n"/>
      <c r="Z1120" s="184" t="n"/>
      <c r="AA1120" s="184" t="n"/>
    </row>
    <row r="1121">
      <c r="T1121" s="184" t="n"/>
      <c r="U1121" s="184" t="n"/>
      <c r="V1121" s="184" t="n"/>
      <c r="W1121" s="184" t="n"/>
      <c r="X1121" s="184" t="n"/>
      <c r="Y1121" s="184" t="n"/>
      <c r="Z1121" s="184" t="n"/>
      <c r="AA1121" s="184" t="n"/>
    </row>
    <row r="1122">
      <c r="T1122" s="184" t="n"/>
      <c r="U1122" s="184" t="n"/>
      <c r="V1122" s="184" t="n"/>
      <c r="W1122" s="184" t="n"/>
      <c r="X1122" s="184" t="n"/>
      <c r="Y1122" s="184" t="n"/>
      <c r="Z1122" s="184" t="n"/>
      <c r="AA1122" s="184" t="n"/>
    </row>
    <row r="1123">
      <c r="T1123" s="184" t="n"/>
      <c r="U1123" s="184" t="n"/>
      <c r="V1123" s="184" t="n"/>
      <c r="W1123" s="184" t="n"/>
      <c r="X1123" s="184" t="n"/>
      <c r="Y1123" s="184" t="n"/>
      <c r="Z1123" s="184" t="n"/>
      <c r="AA1123" s="184" t="n"/>
    </row>
    <row r="1124">
      <c r="T1124" s="184" t="n"/>
      <c r="U1124" s="184" t="n"/>
      <c r="V1124" s="184" t="n"/>
      <c r="W1124" s="184" t="n"/>
      <c r="X1124" s="184" t="n"/>
      <c r="Y1124" s="184" t="n"/>
      <c r="Z1124" s="184" t="n"/>
      <c r="AA1124" s="184" t="n"/>
    </row>
    <row r="1125">
      <c r="T1125" s="184" t="n"/>
      <c r="U1125" s="184" t="n"/>
      <c r="V1125" s="184" t="n"/>
      <c r="W1125" s="184" t="n"/>
      <c r="X1125" s="184" t="n"/>
      <c r="Y1125" s="184" t="n"/>
      <c r="Z1125" s="184" t="n"/>
      <c r="AA1125" s="184" t="n"/>
    </row>
    <row r="1126">
      <c r="T1126" s="184" t="n"/>
      <c r="U1126" s="184" t="n"/>
      <c r="V1126" s="184" t="n"/>
      <c r="W1126" s="184" t="n"/>
      <c r="X1126" s="184" t="n"/>
      <c r="Y1126" s="184" t="n"/>
      <c r="Z1126" s="184" t="n"/>
      <c r="AA1126" s="184" t="n"/>
    </row>
    <row r="1127">
      <c r="T1127" s="184" t="n"/>
      <c r="U1127" s="184" t="n"/>
      <c r="V1127" s="184" t="n"/>
      <c r="W1127" s="184" t="n"/>
      <c r="X1127" s="184" t="n"/>
      <c r="Y1127" s="184" t="n"/>
      <c r="Z1127" s="184" t="n"/>
      <c r="AA1127" s="184" t="n"/>
    </row>
    <row r="1128">
      <c r="T1128" s="184" t="n"/>
      <c r="U1128" s="184" t="n"/>
      <c r="V1128" s="184" t="n"/>
      <c r="W1128" s="184" t="n"/>
      <c r="X1128" s="184" t="n"/>
      <c r="Y1128" s="184" t="n"/>
      <c r="Z1128" s="184" t="n"/>
      <c r="AA1128" s="184" t="n"/>
    </row>
    <row r="1129">
      <c r="T1129" s="184" t="n"/>
      <c r="U1129" s="184" t="n"/>
      <c r="V1129" s="184" t="n"/>
      <c r="W1129" s="184" t="n"/>
      <c r="X1129" s="184" t="n"/>
      <c r="Y1129" s="184" t="n"/>
      <c r="Z1129" s="184" t="n"/>
      <c r="AA1129" s="184" t="n"/>
    </row>
    <row r="1130">
      <c r="T1130" s="184" t="n"/>
      <c r="U1130" s="184" t="n"/>
      <c r="V1130" s="184" t="n"/>
      <c r="W1130" s="184" t="n"/>
      <c r="X1130" s="184" t="n"/>
      <c r="Y1130" s="184" t="n"/>
      <c r="Z1130" s="184" t="n"/>
      <c r="AA1130" s="184" t="n"/>
    </row>
    <row r="1131">
      <c r="T1131" s="184" t="n"/>
      <c r="U1131" s="184" t="n"/>
      <c r="V1131" s="184" t="n"/>
      <c r="W1131" s="184" t="n"/>
      <c r="X1131" s="184" t="n"/>
      <c r="Y1131" s="184" t="n"/>
      <c r="Z1131" s="184" t="n"/>
      <c r="AA1131" s="184" t="n"/>
    </row>
    <row r="1132">
      <c r="T1132" s="184" t="n"/>
      <c r="U1132" s="184" t="n"/>
      <c r="V1132" s="184" t="n"/>
      <c r="W1132" s="184" t="n"/>
      <c r="X1132" s="184" t="n"/>
      <c r="Y1132" s="184" t="n"/>
      <c r="Z1132" s="184" t="n"/>
      <c r="AA1132" s="184" t="n"/>
    </row>
    <row r="1133">
      <c r="T1133" s="184" t="n"/>
      <c r="U1133" s="184" t="n"/>
      <c r="V1133" s="184" t="n"/>
      <c r="W1133" s="184" t="n"/>
      <c r="X1133" s="184" t="n"/>
      <c r="Y1133" s="184" t="n"/>
      <c r="Z1133" s="184" t="n"/>
      <c r="AA1133" s="184" t="n"/>
    </row>
    <row r="1134">
      <c r="T1134" s="184" t="n"/>
      <c r="U1134" s="184" t="n"/>
      <c r="V1134" s="184" t="n"/>
      <c r="W1134" s="184" t="n"/>
      <c r="X1134" s="184" t="n"/>
      <c r="Y1134" s="184" t="n"/>
      <c r="Z1134" s="184" t="n"/>
      <c r="AA1134" s="184" t="n"/>
    </row>
    <row r="1135">
      <c r="T1135" s="184" t="n"/>
      <c r="U1135" s="184" t="n"/>
      <c r="V1135" s="184" t="n"/>
      <c r="W1135" s="184" t="n"/>
      <c r="X1135" s="184" t="n"/>
      <c r="Y1135" s="184" t="n"/>
      <c r="Z1135" s="184" t="n"/>
      <c r="AA1135" s="184" t="n"/>
    </row>
    <row r="1136">
      <c r="T1136" s="184" t="n"/>
      <c r="U1136" s="184" t="n"/>
      <c r="V1136" s="184" t="n"/>
      <c r="W1136" s="184" t="n"/>
      <c r="X1136" s="184" t="n"/>
      <c r="Y1136" s="184" t="n"/>
      <c r="Z1136" s="184" t="n"/>
      <c r="AA1136" s="184" t="n"/>
    </row>
    <row r="1137">
      <c r="T1137" s="184" t="n"/>
      <c r="U1137" s="184" t="n"/>
      <c r="V1137" s="184" t="n"/>
      <c r="W1137" s="184" t="n"/>
      <c r="X1137" s="184" t="n"/>
      <c r="Y1137" s="184" t="n"/>
      <c r="Z1137" s="184" t="n"/>
      <c r="AA1137" s="184" t="n"/>
    </row>
    <row r="1138">
      <c r="T1138" s="184" t="n"/>
      <c r="U1138" s="184" t="n"/>
      <c r="V1138" s="184" t="n"/>
      <c r="W1138" s="184" t="n"/>
      <c r="X1138" s="184" t="n"/>
      <c r="Y1138" s="184" t="n"/>
      <c r="Z1138" s="184" t="n"/>
      <c r="AA1138" s="184" t="n"/>
    </row>
    <row r="1139">
      <c r="T1139" s="184" t="n"/>
      <c r="U1139" s="184" t="n"/>
      <c r="V1139" s="184" t="n"/>
      <c r="W1139" s="184" t="n"/>
      <c r="X1139" s="184" t="n"/>
      <c r="Y1139" s="184" t="n"/>
      <c r="Z1139" s="184" t="n"/>
      <c r="AA1139" s="184" t="n"/>
    </row>
    <row r="1140">
      <c r="T1140" s="184" t="n"/>
      <c r="U1140" s="184" t="n"/>
      <c r="V1140" s="184" t="n"/>
      <c r="W1140" s="184" t="n"/>
      <c r="X1140" s="184" t="n"/>
      <c r="Y1140" s="184" t="n"/>
      <c r="Z1140" s="184" t="n"/>
      <c r="AA1140" s="184" t="n"/>
    </row>
    <row r="1141">
      <c r="T1141" s="184" t="n"/>
      <c r="U1141" s="184" t="n"/>
      <c r="V1141" s="184" t="n"/>
      <c r="W1141" s="184" t="n"/>
      <c r="X1141" s="184" t="n"/>
      <c r="Y1141" s="184" t="n"/>
      <c r="Z1141" s="184" t="n"/>
      <c r="AA1141" s="184" t="n"/>
    </row>
    <row r="1142">
      <c r="T1142" s="184" t="n"/>
      <c r="U1142" s="184" t="n"/>
      <c r="V1142" s="184" t="n"/>
      <c r="W1142" s="184" t="n"/>
      <c r="X1142" s="184" t="n"/>
      <c r="Y1142" s="184" t="n"/>
      <c r="Z1142" s="184" t="n"/>
      <c r="AA1142" s="184" t="n"/>
    </row>
    <row r="1143">
      <c r="T1143" s="184" t="n"/>
      <c r="U1143" s="184" t="n"/>
      <c r="V1143" s="184" t="n"/>
      <c r="W1143" s="184" t="n"/>
      <c r="X1143" s="184" t="n"/>
      <c r="Y1143" s="184" t="n"/>
      <c r="Z1143" s="184" t="n"/>
      <c r="AA1143" s="184" t="n"/>
    </row>
    <row r="1144">
      <c r="T1144" s="184" t="n"/>
      <c r="U1144" s="184" t="n"/>
      <c r="V1144" s="184" t="n"/>
      <c r="W1144" s="184" t="n"/>
      <c r="X1144" s="184" t="n"/>
      <c r="Y1144" s="184" t="n"/>
      <c r="Z1144" s="184" t="n"/>
      <c r="AA1144" s="184" t="n"/>
    </row>
    <row r="1145">
      <c r="T1145" s="184" t="n"/>
      <c r="U1145" s="184" t="n"/>
      <c r="V1145" s="184" t="n"/>
      <c r="W1145" s="184" t="n"/>
      <c r="X1145" s="184" t="n"/>
      <c r="Y1145" s="184" t="n"/>
      <c r="Z1145" s="184" t="n"/>
      <c r="AA1145" s="184" t="n"/>
    </row>
    <row r="1146">
      <c r="T1146" s="184" t="n"/>
      <c r="U1146" s="184" t="n"/>
      <c r="V1146" s="184" t="n"/>
      <c r="W1146" s="184" t="n"/>
      <c r="X1146" s="184" t="n"/>
      <c r="Y1146" s="184" t="n"/>
      <c r="Z1146" s="184" t="n"/>
      <c r="AA1146" s="184" t="n"/>
    </row>
    <row r="1147">
      <c r="T1147" s="184" t="n"/>
      <c r="U1147" s="184" t="n"/>
      <c r="V1147" s="184" t="n"/>
      <c r="W1147" s="184" t="n"/>
      <c r="X1147" s="184" t="n"/>
      <c r="Y1147" s="184" t="n"/>
      <c r="Z1147" s="184" t="n"/>
      <c r="AA1147" s="184" t="n"/>
    </row>
    <row r="1148">
      <c r="T1148" s="184" t="n"/>
      <c r="U1148" s="184" t="n"/>
      <c r="V1148" s="184" t="n"/>
      <c r="W1148" s="184" t="n"/>
      <c r="X1148" s="184" t="n"/>
      <c r="Y1148" s="184" t="n"/>
      <c r="Z1148" s="184" t="n"/>
      <c r="AA1148" s="184" t="n"/>
    </row>
    <row r="1149">
      <c r="T1149" s="184" t="n"/>
      <c r="U1149" s="184" t="n"/>
      <c r="V1149" s="184" t="n"/>
      <c r="W1149" s="184" t="n"/>
      <c r="X1149" s="184" t="n"/>
      <c r="Y1149" s="184" t="n"/>
      <c r="Z1149" s="184" t="n"/>
      <c r="AA1149" s="184" t="n"/>
    </row>
    <row r="1150">
      <c r="T1150" s="184" t="n"/>
      <c r="U1150" s="184" t="n"/>
      <c r="V1150" s="184" t="n"/>
      <c r="W1150" s="184" t="n"/>
      <c r="X1150" s="184" t="n"/>
      <c r="Y1150" s="184" t="n"/>
      <c r="Z1150" s="184" t="n"/>
      <c r="AA1150" s="184" t="n"/>
    </row>
    <row r="1151">
      <c r="T1151" s="184" t="n"/>
      <c r="U1151" s="184" t="n"/>
      <c r="V1151" s="184" t="n"/>
      <c r="W1151" s="184" t="n"/>
      <c r="X1151" s="184" t="n"/>
      <c r="Y1151" s="184" t="n"/>
      <c r="Z1151" s="184" t="n"/>
      <c r="AA1151" s="184" t="n"/>
    </row>
    <row r="1152">
      <c r="T1152" s="184" t="n"/>
      <c r="U1152" s="184" t="n"/>
      <c r="V1152" s="184" t="n"/>
      <c r="W1152" s="184" t="n"/>
      <c r="X1152" s="184" t="n"/>
      <c r="Y1152" s="184" t="n"/>
      <c r="Z1152" s="184" t="n"/>
      <c r="AA1152" s="184" t="n"/>
    </row>
    <row r="1153">
      <c r="T1153" s="184" t="n"/>
      <c r="U1153" s="184" t="n"/>
      <c r="V1153" s="184" t="n"/>
      <c r="W1153" s="184" t="n"/>
      <c r="X1153" s="184" t="n"/>
      <c r="Y1153" s="184" t="n"/>
      <c r="Z1153" s="184" t="n"/>
      <c r="AA1153" s="184" t="n"/>
    </row>
    <row r="1154">
      <c r="T1154" s="184" t="n"/>
      <c r="U1154" s="184" t="n"/>
      <c r="V1154" s="184" t="n"/>
      <c r="W1154" s="184" t="n"/>
      <c r="X1154" s="184" t="n"/>
      <c r="Y1154" s="184" t="n"/>
      <c r="Z1154" s="184" t="n"/>
      <c r="AA1154" s="184" t="n"/>
    </row>
    <row r="1155">
      <c r="T1155" s="184" t="n"/>
      <c r="U1155" s="184" t="n"/>
      <c r="V1155" s="184" t="n"/>
      <c r="W1155" s="184" t="n"/>
      <c r="X1155" s="184" t="n"/>
      <c r="Y1155" s="184" t="n"/>
      <c r="Z1155" s="184" t="n"/>
      <c r="AA1155" s="184" t="n"/>
    </row>
    <row r="1156">
      <c r="T1156" s="184" t="n"/>
      <c r="U1156" s="184" t="n"/>
      <c r="V1156" s="184" t="n"/>
      <c r="W1156" s="184" t="n"/>
      <c r="X1156" s="184" t="n"/>
      <c r="Y1156" s="184" t="n"/>
      <c r="Z1156" s="184" t="n"/>
      <c r="AA1156" s="184" t="n"/>
    </row>
    <row r="1157">
      <c r="T1157" s="184" t="n"/>
      <c r="U1157" s="184" t="n"/>
      <c r="V1157" s="184" t="n"/>
      <c r="W1157" s="184" t="n"/>
      <c r="X1157" s="184" t="n"/>
      <c r="Y1157" s="184" t="n"/>
      <c r="Z1157" s="184" t="n"/>
      <c r="AA1157" s="184" t="n"/>
    </row>
    <row r="1158">
      <c r="T1158" s="184" t="n"/>
      <c r="U1158" s="184" t="n"/>
      <c r="V1158" s="184" t="n"/>
      <c r="W1158" s="184" t="n"/>
      <c r="X1158" s="184" t="n"/>
      <c r="Y1158" s="184" t="n"/>
      <c r="Z1158" s="184" t="n"/>
      <c r="AA1158" s="184" t="n"/>
    </row>
    <row r="1159">
      <c r="T1159" s="184" t="n"/>
      <c r="U1159" s="184" t="n"/>
      <c r="V1159" s="184" t="n"/>
      <c r="W1159" s="184" t="n"/>
      <c r="X1159" s="184" t="n"/>
      <c r="Y1159" s="184" t="n"/>
      <c r="Z1159" s="184" t="n"/>
      <c r="AA1159" s="184" t="n"/>
    </row>
    <row r="1160">
      <c r="T1160" s="184" t="n"/>
      <c r="U1160" s="184" t="n"/>
      <c r="V1160" s="184" t="n"/>
      <c r="W1160" s="184" t="n"/>
      <c r="X1160" s="184" t="n"/>
      <c r="Y1160" s="184" t="n"/>
      <c r="Z1160" s="184" t="n"/>
      <c r="AA1160" s="184" t="n"/>
    </row>
    <row r="1161">
      <c r="T1161" s="184" t="n"/>
      <c r="U1161" s="184" t="n"/>
      <c r="V1161" s="184" t="n"/>
      <c r="W1161" s="184" t="n"/>
      <c r="X1161" s="184" t="n"/>
      <c r="Y1161" s="184" t="n"/>
      <c r="Z1161" s="184" t="n"/>
      <c r="AA1161" s="184" t="n"/>
    </row>
    <row r="1162">
      <c r="T1162" s="184" t="n"/>
      <c r="U1162" s="184" t="n"/>
      <c r="V1162" s="184" t="n"/>
      <c r="W1162" s="184" t="n"/>
      <c r="X1162" s="184" t="n"/>
      <c r="Y1162" s="184" t="n"/>
      <c r="Z1162" s="184" t="n"/>
      <c r="AA1162" s="184" t="n"/>
    </row>
    <row r="1163">
      <c r="T1163" s="184" t="n"/>
      <c r="U1163" s="184" t="n"/>
      <c r="V1163" s="184" t="n"/>
      <c r="W1163" s="184" t="n"/>
      <c r="X1163" s="184" t="n"/>
      <c r="Y1163" s="184" t="n"/>
      <c r="Z1163" s="184" t="n"/>
      <c r="AA1163" s="184" t="n"/>
    </row>
    <row r="1164">
      <c r="T1164" s="184" t="n"/>
      <c r="U1164" s="184" t="n"/>
      <c r="V1164" s="184" t="n"/>
      <c r="W1164" s="184" t="n"/>
      <c r="X1164" s="184" t="n"/>
      <c r="Y1164" s="184" t="n"/>
      <c r="Z1164" s="184" t="n"/>
      <c r="AA1164" s="184" t="n"/>
    </row>
    <row r="1165">
      <c r="T1165" s="184" t="n"/>
      <c r="U1165" s="184" t="n"/>
      <c r="V1165" s="184" t="n"/>
      <c r="W1165" s="184" t="n"/>
      <c r="X1165" s="184" t="n"/>
      <c r="Y1165" s="184" t="n"/>
      <c r="Z1165" s="184" t="n"/>
      <c r="AA1165" s="184" t="n"/>
    </row>
    <row r="1166">
      <c r="T1166" s="184" t="n"/>
      <c r="U1166" s="184" t="n"/>
      <c r="V1166" s="184" t="n"/>
      <c r="W1166" s="184" t="n"/>
      <c r="X1166" s="184" t="n"/>
      <c r="Y1166" s="184" t="n"/>
      <c r="Z1166" s="184" t="n"/>
      <c r="AA1166" s="184" t="n"/>
    </row>
    <row r="1167">
      <c r="T1167" s="184" t="n"/>
      <c r="U1167" s="184" t="n"/>
      <c r="V1167" s="184" t="n"/>
      <c r="W1167" s="184" t="n"/>
      <c r="X1167" s="184" t="n"/>
      <c r="Y1167" s="184" t="n"/>
      <c r="Z1167" s="184" t="n"/>
      <c r="AA1167" s="184" t="n"/>
    </row>
    <row r="1168">
      <c r="T1168" s="184" t="n"/>
      <c r="U1168" s="184" t="n"/>
      <c r="V1168" s="184" t="n"/>
      <c r="W1168" s="184" t="n"/>
      <c r="X1168" s="184" t="n"/>
      <c r="Y1168" s="184" t="n"/>
      <c r="Z1168" s="184" t="n"/>
      <c r="AA1168" s="184" t="n"/>
    </row>
    <row r="1169">
      <c r="T1169" s="184" t="n"/>
      <c r="U1169" s="184" t="n"/>
      <c r="V1169" s="184" t="n"/>
      <c r="W1169" s="184" t="n"/>
      <c r="X1169" s="184" t="n"/>
      <c r="Y1169" s="184" t="n"/>
      <c r="Z1169" s="184" t="n"/>
      <c r="AA1169" s="184" t="n"/>
    </row>
    <row r="1170">
      <c r="T1170" s="184" t="n"/>
      <c r="U1170" s="184" t="n"/>
      <c r="V1170" s="184" t="n"/>
      <c r="W1170" s="184" t="n"/>
      <c r="X1170" s="184" t="n"/>
      <c r="Y1170" s="184" t="n"/>
      <c r="Z1170" s="184" t="n"/>
      <c r="AA1170" s="184" t="n"/>
    </row>
    <row r="1171">
      <c r="T1171" s="184" t="n"/>
      <c r="U1171" s="184" t="n"/>
      <c r="V1171" s="184" t="n"/>
      <c r="W1171" s="184" t="n"/>
      <c r="X1171" s="184" t="n"/>
      <c r="Y1171" s="184" t="n"/>
      <c r="Z1171" s="184" t="n"/>
      <c r="AA1171" s="184" t="n"/>
    </row>
    <row r="1172">
      <c r="T1172" s="184" t="n"/>
      <c r="U1172" s="184" t="n"/>
      <c r="V1172" s="184" t="n"/>
      <c r="W1172" s="184" t="n"/>
      <c r="X1172" s="184" t="n"/>
      <c r="Y1172" s="184" t="n"/>
      <c r="Z1172" s="184" t="n"/>
      <c r="AA1172" s="184" t="n"/>
    </row>
    <row r="1173">
      <c r="T1173" s="184" t="n"/>
      <c r="U1173" s="184" t="n"/>
      <c r="V1173" s="184" t="n"/>
      <c r="W1173" s="184" t="n"/>
      <c r="X1173" s="184" t="n"/>
      <c r="Y1173" s="184" t="n"/>
      <c r="Z1173" s="184" t="n"/>
      <c r="AA1173" s="184" t="n"/>
    </row>
    <row r="1174">
      <c r="T1174" s="184" t="n"/>
      <c r="U1174" s="184" t="n"/>
      <c r="V1174" s="184" t="n"/>
      <c r="W1174" s="184" t="n"/>
      <c r="X1174" s="184" t="n"/>
      <c r="Y1174" s="184" t="n"/>
      <c r="Z1174" s="184" t="n"/>
      <c r="AA1174" s="184" t="n"/>
    </row>
    <row r="1175">
      <c r="T1175" s="184" t="n"/>
      <c r="U1175" s="184" t="n"/>
      <c r="V1175" s="184" t="n"/>
      <c r="W1175" s="184" t="n"/>
      <c r="X1175" s="184" t="n"/>
      <c r="Y1175" s="184" t="n"/>
      <c r="Z1175" s="184" t="n"/>
      <c r="AA1175" s="184" t="n"/>
    </row>
    <row r="1176">
      <c r="T1176" s="184" t="n"/>
      <c r="U1176" s="184" t="n"/>
      <c r="V1176" s="184" t="n"/>
      <c r="W1176" s="184" t="n"/>
      <c r="X1176" s="184" t="n"/>
      <c r="Y1176" s="184" t="n"/>
      <c r="Z1176" s="184" t="n"/>
      <c r="AA1176" s="184" t="n"/>
    </row>
    <row r="1177">
      <c r="T1177" s="184" t="n"/>
      <c r="U1177" s="184" t="n"/>
      <c r="V1177" s="184" t="n"/>
      <c r="W1177" s="184" t="n"/>
      <c r="X1177" s="184" t="n"/>
      <c r="Y1177" s="184" t="n"/>
      <c r="Z1177" s="184" t="n"/>
      <c r="AA1177" s="184" t="n"/>
    </row>
    <row r="1178">
      <c r="T1178" s="184" t="n"/>
      <c r="U1178" s="184" t="n"/>
      <c r="V1178" s="184" t="n"/>
      <c r="W1178" s="184" t="n"/>
      <c r="X1178" s="184" t="n"/>
      <c r="Y1178" s="184" t="n"/>
      <c r="Z1178" s="184" t="n"/>
      <c r="AA1178" s="184" t="n"/>
    </row>
    <row r="1179">
      <c r="T1179" s="184" t="n"/>
      <c r="U1179" s="184" t="n"/>
      <c r="V1179" s="184" t="n"/>
      <c r="W1179" s="184" t="n"/>
      <c r="X1179" s="184" t="n"/>
      <c r="Y1179" s="184" t="n"/>
      <c r="Z1179" s="184" t="n"/>
      <c r="AA1179" s="184" t="n"/>
    </row>
    <row r="1180">
      <c r="T1180" s="184" t="n"/>
      <c r="U1180" s="184" t="n"/>
      <c r="V1180" s="184" t="n"/>
      <c r="W1180" s="184" t="n"/>
      <c r="X1180" s="184" t="n"/>
      <c r="Y1180" s="184" t="n"/>
      <c r="Z1180" s="184" t="n"/>
      <c r="AA1180" s="184" t="n"/>
    </row>
    <row r="1181">
      <c r="T1181" s="184" t="n"/>
      <c r="U1181" s="184" t="n"/>
      <c r="V1181" s="184" t="n"/>
      <c r="W1181" s="184" t="n"/>
      <c r="X1181" s="184" t="n"/>
      <c r="Y1181" s="184" t="n"/>
      <c r="Z1181" s="184" t="n"/>
      <c r="AA1181" s="184" t="n"/>
    </row>
    <row r="1182">
      <c r="T1182" s="184" t="n"/>
      <c r="U1182" s="184" t="n"/>
      <c r="V1182" s="184" t="n"/>
      <c r="W1182" s="184" t="n"/>
      <c r="X1182" s="184" t="n"/>
      <c r="Y1182" s="184" t="n"/>
      <c r="Z1182" s="184" t="n"/>
      <c r="AA1182" s="184" t="n"/>
    </row>
  </sheetData>
  <autoFilter ref="B3:H750"/>
  <mergeCells count="12">
    <mergeCell ref="AU2:BA2"/>
    <mergeCell ref="N128:N129"/>
    <mergeCell ref="B2:I2"/>
    <mergeCell ref="T2:AA2"/>
    <mergeCell ref="N126:N127"/>
    <mergeCell ref="N140:N143"/>
    <mergeCell ref="K2:R2"/>
    <mergeCell ref="AL2:AS2"/>
    <mergeCell ref="N138:N139"/>
    <mergeCell ref="AC2:AJ2"/>
    <mergeCell ref="N130:N131"/>
    <mergeCell ref="N136:N137"/>
  </mergeCells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>
  <sheetPr codeName="Sheet11">
    <outlinePr summaryBelow="1" summaryRight="1"/>
    <pageSetUpPr/>
  </sheetPr>
  <dimension ref="B1:M1921"/>
  <sheetViews>
    <sheetView workbookViewId="0">
      <pane ySplit="1" topLeftCell="A558" activePane="bottomLeft" state="frozen"/>
      <selection activeCell="A1" sqref="A1"/>
      <selection pane="bottomLeft" activeCell="C581" sqref="C581"/>
    </sheetView>
  </sheetViews>
  <sheetFormatPr baseColWidth="8" defaultColWidth="8" defaultRowHeight="15.6"/>
  <cols>
    <col width="8" customWidth="1" style="69" min="1" max="1"/>
    <col width="46.1" customWidth="1" style="70" min="2" max="2"/>
    <col width="7.325" customWidth="1" style="71" min="3" max="3"/>
    <col width="7.325" customWidth="1" style="491" min="4" max="4"/>
    <col width="7.325" customWidth="1" style="73" min="5" max="5"/>
    <col width="7.325" customWidth="1" style="71" min="6" max="7"/>
    <col width="13.3" customWidth="1" style="74" min="8" max="8"/>
    <col width="26.9" customWidth="1" style="75" min="9" max="9"/>
    <col width="11.6" customWidth="1" style="76" min="10" max="10"/>
    <col width="8" customWidth="1" style="69" min="11" max="11"/>
    <col width="26.2" customWidth="1" style="77" min="12" max="12"/>
    <col width="8.800000000000001" customWidth="1" style="77" min="13" max="13"/>
    <col width="8" customWidth="1" style="69" min="14" max="16384"/>
  </cols>
  <sheetData>
    <row r="1" ht="16.35" customFormat="1" customHeight="1" s="69">
      <c r="B1" s="70" t="n"/>
      <c r="C1" s="71" t="n">
        <v>500</v>
      </c>
      <c r="D1" s="491" t="n"/>
      <c r="E1" s="73" t="n"/>
      <c r="F1" s="71" t="n"/>
      <c r="G1" s="71" t="n"/>
      <c r="H1" s="74" t="n"/>
      <c r="I1" s="75" t="n"/>
      <c r="J1" s="76" t="n"/>
      <c r="L1" s="77" t="n"/>
      <c r="M1" s="77">
        <f>SUM(M3:M6000)</f>
        <v/>
      </c>
    </row>
    <row r="2" ht="16.35" customFormat="1" customHeight="1" s="69">
      <c r="B2" s="78" t="inlineStr">
        <is>
          <t>规格-花纹</t>
        </is>
      </c>
      <c r="C2" s="79" t="inlineStr">
        <is>
          <t>min</t>
        </is>
      </c>
      <c r="D2" s="492" t="inlineStr">
        <is>
          <t>运转率</t>
        </is>
      </c>
      <c r="E2" s="81" t="inlineStr">
        <is>
          <t>单机产量</t>
        </is>
      </c>
      <c r="F2" s="82" t="inlineStr">
        <is>
          <t>模具</t>
        </is>
      </c>
      <c r="G2" s="83" t="inlineStr">
        <is>
          <t>备注</t>
        </is>
      </c>
      <c r="H2" s="74">
        <f>_xlfn.XLOOKUP(G2,I:I,J:J)</f>
        <v/>
      </c>
      <c r="I2" s="84" t="inlineStr">
        <is>
          <t>12.00R24-20PR-CB972E</t>
        </is>
      </c>
      <c r="J2" s="493" t="n">
        <v>1286.120703</v>
      </c>
      <c r="L2" s="77" t="n"/>
      <c r="M2" s="77" t="n"/>
    </row>
    <row r="3" customFormat="1" s="69">
      <c r="B3" s="86" t="inlineStr">
        <is>
          <t>7.50R16-14PR-AZ676</t>
        </is>
      </c>
      <c r="C3" s="87" t="n">
        <v>26</v>
      </c>
      <c r="D3" s="494">
        <f>IF(C3="","",C3/(C3+$C$1/60))</f>
        <v/>
      </c>
      <c r="E3" s="89">
        <f>IFERROR(ROUND(1440/C3*2*D3,0),"")</f>
        <v/>
      </c>
      <c r="F3" s="90" t="n">
        <v>2</v>
      </c>
      <c r="G3" s="91" t="n"/>
      <c r="H3" s="74">
        <f>_xlfn.XLOOKUP(G3,I:I,J:J)</f>
        <v/>
      </c>
      <c r="I3" s="84" t="inlineStr">
        <is>
          <t>7.50R16-14PR-CB972</t>
        </is>
      </c>
      <c r="J3" s="493" t="n">
        <v>422.515688</v>
      </c>
      <c r="L3" s="77" t="inlineStr">
        <is>
          <t>6.50R16-AZ686</t>
        </is>
      </c>
      <c r="M3" s="77" t="n">
        <v>2</v>
      </c>
    </row>
    <row r="4" customFormat="1" s="69">
      <c r="B4" s="92" t="inlineStr">
        <is>
          <t>7.50R16-14PR-CR926</t>
        </is>
      </c>
      <c r="C4" s="93" t="n">
        <v>26</v>
      </c>
      <c r="D4" s="495">
        <f>IF(C4="","",C4/(C4+$C$1/60))</f>
        <v/>
      </c>
      <c r="E4" s="95">
        <f>IFERROR(ROUND(1440/C4*2*D4,0),"")</f>
        <v/>
      </c>
      <c r="F4" s="96" t="n">
        <v>6</v>
      </c>
      <c r="G4" s="97" t="n"/>
      <c r="H4" s="74">
        <f>_xlfn.XLOOKUP(G4,I:I,J:J)</f>
        <v/>
      </c>
      <c r="I4" s="84" t="inlineStr">
        <is>
          <t>7.50R16-14PR-CR926</t>
        </is>
      </c>
      <c r="J4" s="493" t="n">
        <v>419.988009</v>
      </c>
      <c r="L4" s="77" t="inlineStr">
        <is>
          <t>7.00R16-AZ686</t>
        </is>
      </c>
      <c r="M4" s="77" t="n">
        <v>2</v>
      </c>
    </row>
    <row r="5" customFormat="1" s="69">
      <c r="B5" s="92" t="inlineStr">
        <is>
          <t>7.50R16-14PR-CB981</t>
        </is>
      </c>
      <c r="C5" s="93" t="n">
        <v>27</v>
      </c>
      <c r="D5" s="495">
        <f>IF(C5="","",C5/(C5+$C$1/60))</f>
        <v/>
      </c>
      <c r="E5" s="95">
        <f>IFERROR(ROUND(1440/C5*2*D5,0),"")</f>
        <v/>
      </c>
      <c r="F5" s="96" t="n">
        <v>2</v>
      </c>
      <c r="G5" s="97" t="n"/>
      <c r="H5" s="74">
        <f>_xlfn.XLOOKUP(G5,I:I,J:J)</f>
        <v/>
      </c>
      <c r="I5" s="84" t="inlineStr">
        <is>
          <t>7.50R16-14PR-AZ686</t>
        </is>
      </c>
      <c r="J5" s="493" t="n">
        <v>410.5381</v>
      </c>
      <c r="L5" s="77" t="inlineStr">
        <is>
          <t>7.50R16-AZ601</t>
        </is>
      </c>
      <c r="M5" s="77" t="n">
        <v>4</v>
      </c>
    </row>
    <row r="6" customFormat="1" s="69">
      <c r="B6" s="92" t="inlineStr">
        <is>
          <t>7.50R16-14PR-AZ601</t>
        </is>
      </c>
      <c r="C6" s="93" t="n">
        <v>26.5</v>
      </c>
      <c r="D6" s="495">
        <f>IF(C6="","",C6/(C6+$C$1/60))</f>
        <v/>
      </c>
      <c r="E6" s="95">
        <f>IFERROR(ROUND(1440/C6*2*D6,0),"")</f>
        <v/>
      </c>
      <c r="F6" s="96" t="n">
        <v>4</v>
      </c>
      <c r="G6" s="97" t="n"/>
      <c r="H6" s="74">
        <f>_xlfn.XLOOKUP(G6,I:I,J:J)</f>
        <v/>
      </c>
      <c r="I6" s="84" t="inlineStr">
        <is>
          <t>7.50R16-14PR-AZ697</t>
        </is>
      </c>
      <c r="J6" s="493" t="n">
        <v>450.1651</v>
      </c>
      <c r="L6" s="77" t="inlineStr">
        <is>
          <t>7.50R16-CM988</t>
        </is>
      </c>
      <c r="M6" s="77" t="n">
        <v>2</v>
      </c>
    </row>
    <row r="7" customFormat="1" s="69">
      <c r="B7" s="92" t="inlineStr">
        <is>
          <t>7.50R16-14PR-CM988</t>
        </is>
      </c>
      <c r="C7" s="93" t="n">
        <v>28</v>
      </c>
      <c r="D7" s="495">
        <f>IF(C7="","",C7/(C7+$C$1/60))</f>
        <v/>
      </c>
      <c r="E7" s="95">
        <f>IFERROR(ROUND(1440/C7*2*D7,0),"")</f>
        <v/>
      </c>
      <c r="F7" s="96" t="n">
        <v>2</v>
      </c>
      <c r="G7" s="97" t="n"/>
      <c r="H7" s="74">
        <f>_xlfn.XLOOKUP(G7,I:I,J:J)</f>
        <v/>
      </c>
      <c r="I7" s="84" t="inlineStr">
        <is>
          <t>7.50R16-14PR-AZ850S</t>
        </is>
      </c>
      <c r="J7" s="493" t="n">
        <v>419.988009</v>
      </c>
      <c r="L7" s="77" t="inlineStr">
        <is>
          <t>7.50R16-EZ369</t>
        </is>
      </c>
      <c r="M7" s="77" t="n">
        <v>2</v>
      </c>
    </row>
    <row r="8" customFormat="1" s="69">
      <c r="B8" s="92" t="inlineStr">
        <is>
          <t>7.50R16-14PR-AZ686</t>
        </is>
      </c>
      <c r="C8" s="93" t="n">
        <v>27.5</v>
      </c>
      <c r="D8" s="495">
        <f>IF(C8="","",C8/(C8+$C$1/60))</f>
        <v/>
      </c>
      <c r="E8" s="95">
        <f>IFERROR(ROUND(1440/C8*2*D8,0),"")</f>
        <v/>
      </c>
      <c r="F8" s="96" t="n">
        <v>2</v>
      </c>
      <c r="G8" s="97" t="n"/>
      <c r="H8" s="74">
        <f>_xlfn.XLOOKUP(G8,I:I,J:J)</f>
        <v/>
      </c>
      <c r="I8" s="84" t="inlineStr">
        <is>
          <t>7.50R16-14PR-CB981</t>
        </is>
      </c>
      <c r="J8" s="493" t="n">
        <v>437.655582</v>
      </c>
      <c r="L8" s="77" t="inlineStr">
        <is>
          <t>7.50R16-CB981</t>
        </is>
      </c>
      <c r="M8" s="77" t="n">
        <v>6</v>
      </c>
    </row>
    <row r="9" customFormat="1" s="69">
      <c r="B9" s="92" t="inlineStr">
        <is>
          <t>7.50R16-14PR-AZ697</t>
        </is>
      </c>
      <c r="C9" s="93" t="n">
        <v>27.5</v>
      </c>
      <c r="D9" s="495">
        <f>IF(C9="","",C9/(C9+$C$1/60))</f>
        <v/>
      </c>
      <c r="E9" s="95">
        <f>IFERROR(ROUND(1440/C9*2*D9,0),"")</f>
        <v/>
      </c>
      <c r="F9" s="96" t="n">
        <v>2</v>
      </c>
      <c r="G9" s="97" t="n"/>
      <c r="H9" s="74">
        <f>_xlfn.XLOOKUP(G9,I:I,J:J)</f>
        <v/>
      </c>
      <c r="I9" s="84" t="inlineStr">
        <is>
          <t>7.50R16-14PR-CM913</t>
        </is>
      </c>
      <c r="J9" s="493" t="n">
        <v>419.988009</v>
      </c>
      <c r="L9" s="77" t="inlineStr">
        <is>
          <t>7.50R16-CR926</t>
        </is>
      </c>
      <c r="M9" s="77" t="n">
        <v>6</v>
      </c>
    </row>
    <row r="10" customFormat="1" s="69">
      <c r="B10" s="92" t="inlineStr">
        <is>
          <t>7.50R16-14PR-EZ369</t>
        </is>
      </c>
      <c r="C10" s="93" t="n">
        <v>30</v>
      </c>
      <c r="D10" s="495">
        <f>IF(C10="","",C10/(C10+$C$1/60))</f>
        <v/>
      </c>
      <c r="E10" s="95">
        <f>IFERROR(ROUND(1440/C10*2*D10,0),"")</f>
        <v/>
      </c>
      <c r="F10" s="96" t="n">
        <v>2</v>
      </c>
      <c r="G10" s="97" t="n"/>
      <c r="H10" s="74">
        <f>_xlfn.XLOOKUP(G10,I:I,J:J)</f>
        <v/>
      </c>
      <c r="I10" s="84" t="inlineStr">
        <is>
          <t>7.50R16-14PR-AZ601</t>
        </is>
      </c>
      <c r="J10" s="493" t="n">
        <v>419.92958</v>
      </c>
      <c r="L10" s="77" t="inlineStr">
        <is>
          <t>7.50R16-AZ676</t>
        </is>
      </c>
      <c r="M10" s="77" t="n">
        <v>2</v>
      </c>
    </row>
    <row r="11" customFormat="1" s="69">
      <c r="B11" s="92" t="inlineStr">
        <is>
          <t>7.50R16-14PR-CM913</t>
        </is>
      </c>
      <c r="C11" s="93" t="n">
        <v>27</v>
      </c>
      <c r="D11" s="495">
        <f>IF(C11="","",C11/(C11+$C$1/60))</f>
        <v/>
      </c>
      <c r="E11" s="95">
        <f>IFERROR(ROUND(1440/C11*2*D11,0),"")</f>
        <v/>
      </c>
      <c r="F11" s="96" t="n">
        <v>2</v>
      </c>
      <c r="G11" s="97" t="n"/>
      <c r="H11" s="74">
        <f>_xlfn.XLOOKUP(G11,I:I,J:J)</f>
        <v/>
      </c>
      <c r="I11" s="84" t="inlineStr">
        <is>
          <t>12.00R24-20PR-CB919</t>
        </is>
      </c>
      <c r="J11" s="493" t="n">
        <v>1292.7208</v>
      </c>
      <c r="L11" s="77" t="inlineStr">
        <is>
          <t>8.25R16-AZ850</t>
        </is>
      </c>
      <c r="M11" s="77" t="n">
        <v>2</v>
      </c>
    </row>
    <row r="12" customFormat="1" s="69">
      <c r="B12" s="92" t="inlineStr">
        <is>
          <t>7.50R16-14PR-CB972</t>
        </is>
      </c>
      <c r="C12" s="93" t="n">
        <v>30</v>
      </c>
      <c r="D12" s="495">
        <f>IF(C12="","",C12/(C12+$C$1/60))</f>
        <v/>
      </c>
      <c r="E12" s="95">
        <f>IFERROR(ROUND(1440/C12*2*D12,0),"")</f>
        <v/>
      </c>
      <c r="F12" s="96" t="n">
        <v>4</v>
      </c>
      <c r="G12" s="97" t="n"/>
      <c r="H12" s="74">
        <f>_xlfn.XLOOKUP(G12,I:I,J:J)</f>
        <v/>
      </c>
      <c r="I12" s="84" t="inlineStr">
        <is>
          <t>10.00R20-18PR-CB972</t>
        </is>
      </c>
      <c r="J12" s="493" t="n">
        <v>949.263</v>
      </c>
      <c r="L12" s="77" t="inlineStr">
        <is>
          <t>8.25R16-AZ686</t>
        </is>
      </c>
      <c r="M12" s="77" t="n">
        <v>2</v>
      </c>
    </row>
    <row r="13" customFormat="1" s="69">
      <c r="B13" s="92" t="inlineStr">
        <is>
          <t>7.50R16-14PR-AZ850S</t>
        </is>
      </c>
      <c r="C13" s="93" t="n">
        <v>29.5</v>
      </c>
      <c r="D13" s="495">
        <f>IF(C13="","",C13/(C13+$C$1/60))</f>
        <v/>
      </c>
      <c r="E13" s="95">
        <f>IFERROR(ROUND(1440/C13*2*D13,0),"")</f>
        <v/>
      </c>
      <c r="F13" s="96" t="n">
        <v>2</v>
      </c>
      <c r="G13" s="97" t="n"/>
      <c r="H13" s="74">
        <f>_xlfn.XLOOKUP(G13,I:I,J:J)</f>
        <v/>
      </c>
      <c r="I13" s="84" t="inlineStr">
        <is>
          <t>10.00R20-18PR-CM913</t>
        </is>
      </c>
      <c r="J13" s="493" t="n">
        <v>841.9964</v>
      </c>
      <c r="L13" s="77" t="inlineStr">
        <is>
          <t>8.25R16-CM988</t>
        </is>
      </c>
      <c r="M13" s="77" t="n">
        <v>2</v>
      </c>
    </row>
    <row r="14" customFormat="1" s="69">
      <c r="B14" s="92" t="inlineStr">
        <is>
          <t>7.50R16-14PR-EZ377</t>
        </is>
      </c>
      <c r="C14" s="93" t="n">
        <v>29</v>
      </c>
      <c r="D14" s="495">
        <f>IF(C14="","",C14/(C14+$C$1/60))</f>
        <v/>
      </c>
      <c r="E14" s="95">
        <f>IFERROR(ROUND(1440/C14*2*D14,0),"")</f>
        <v/>
      </c>
      <c r="F14" s="96" t="n">
        <v>2</v>
      </c>
      <c r="G14" s="97" t="n"/>
      <c r="H14" s="74">
        <f>_xlfn.XLOOKUP(G14,I:I,J:J)</f>
        <v/>
      </c>
      <c r="I14" s="84" t="inlineStr">
        <is>
          <t>295/80R22.5-18PR-AD153</t>
        </is>
      </c>
      <c r="J14" s="493" t="n">
        <v>842.3805</v>
      </c>
      <c r="L14" s="77" t="inlineStr">
        <is>
          <t>10.00R20-AZ601</t>
        </is>
      </c>
      <c r="M14" s="77" t="n">
        <v>2</v>
      </c>
    </row>
    <row r="15" customFormat="1" s="69">
      <c r="B15" s="92" t="inlineStr">
        <is>
          <t>7.50R16-14PR-SUPER AM S</t>
        </is>
      </c>
      <c r="C15" s="93" t="n">
        <v>26</v>
      </c>
      <c r="D15" s="495">
        <f>IF(C15="","",C15/(C15+$C$1/60))</f>
        <v/>
      </c>
      <c r="E15" s="95">
        <f>IFERROR(ROUND(1440/C15*2*D15,0),"")</f>
        <v/>
      </c>
      <c r="F15" s="96" t="n">
        <v>2</v>
      </c>
      <c r="G15" s="97" t="n"/>
      <c r="H15" s="74">
        <f>_xlfn.XLOOKUP(G15,I:I,J:J)</f>
        <v/>
      </c>
      <c r="I15" s="84" t="inlineStr">
        <is>
          <t>295/80R22.5-18PR-CM335</t>
        </is>
      </c>
      <c r="J15" s="493" t="n">
        <v>883.751</v>
      </c>
      <c r="L15" s="77" t="inlineStr">
        <is>
          <t>10.00R20-AZ686</t>
        </is>
      </c>
      <c r="M15" s="77" t="n">
        <v>2</v>
      </c>
    </row>
    <row r="16" customFormat="1" s="69">
      <c r="B16" s="92" t="inlineStr">
        <is>
          <t>7.50R16-14PR-MOBY.R856X</t>
        </is>
      </c>
      <c r="C16" s="93" t="n">
        <v>26</v>
      </c>
      <c r="D16" s="495">
        <f>IF(C16="","",C16/(C16+$C$1/60))</f>
        <v/>
      </c>
      <c r="E16" s="95">
        <f>IFERROR(ROUND(1440/C16*2*D16,0),"")</f>
        <v/>
      </c>
      <c r="F16" s="96" t="n">
        <v>2</v>
      </c>
      <c r="G16" s="97" t="n"/>
      <c r="H16" s="74">
        <f>_xlfn.XLOOKUP(G16,I:I,J:J)</f>
        <v/>
      </c>
      <c r="I16" s="84" t="inlineStr">
        <is>
          <t>10.00R20-18PR-EZ330</t>
        </is>
      </c>
      <c r="J16" s="493" t="n">
        <v>959.854</v>
      </c>
      <c r="L16" s="77" t="inlineStr">
        <is>
          <t>10.00R20-AZ697</t>
        </is>
      </c>
      <c r="M16" s="77" t="n">
        <v>2</v>
      </c>
    </row>
    <row r="17" customFormat="1" s="69">
      <c r="B17" s="92" t="inlineStr">
        <is>
          <t>7.50R16-14PR-ETOD</t>
        </is>
      </c>
      <c r="C17" s="93" t="n">
        <v>30</v>
      </c>
      <c r="D17" s="495">
        <f>IF(C17="","",C17/(C17+$C$1/60))</f>
        <v/>
      </c>
      <c r="E17" s="95">
        <f>IFERROR(ROUND(1440/C17*2*D17,0),"")</f>
        <v/>
      </c>
      <c r="F17" s="96" t="n">
        <v>2</v>
      </c>
      <c r="G17" s="97" t="n"/>
      <c r="H17" s="74">
        <f>_xlfn.XLOOKUP(G17,I:I,J:J)</f>
        <v/>
      </c>
      <c r="I17" s="84" t="inlineStr">
        <is>
          <t>10.00R20-18PR-AZ850</t>
        </is>
      </c>
      <c r="J17" s="493" t="n">
        <v>899.759</v>
      </c>
      <c r="L17" s="77" t="inlineStr">
        <is>
          <t>10.00R20-AZ676</t>
        </is>
      </c>
      <c r="M17" s="77" t="n">
        <v>2</v>
      </c>
    </row>
    <row r="18" customFormat="1" s="69">
      <c r="B18" s="92" t="inlineStr">
        <is>
          <t>7.50R16-14PR-AM4S.Q669</t>
        </is>
      </c>
      <c r="C18" s="93" t="n">
        <v>30</v>
      </c>
      <c r="D18" s="495">
        <f>IF(C18="","",C18/(C18+$C$1/60))</f>
        <v/>
      </c>
      <c r="E18" s="95">
        <f>IFERROR(ROUND(1440/C18*2*D18,0),"")</f>
        <v/>
      </c>
      <c r="F18" s="96" t="n">
        <v>2</v>
      </c>
      <c r="G18" s="97" t="n"/>
      <c r="H18" s="74">
        <f>_xlfn.XLOOKUP(G18,I:I,J:J)</f>
        <v/>
      </c>
      <c r="I18" s="84" t="inlineStr">
        <is>
          <t>10.00R20-18PR-CR926</t>
        </is>
      </c>
      <c r="J18" s="493" t="n">
        <v>864.6183</v>
      </c>
      <c r="L18" s="77" t="inlineStr">
        <is>
          <t>10.00R20-EZ369</t>
        </is>
      </c>
      <c r="M18" s="77" t="n">
        <v>4</v>
      </c>
    </row>
    <row r="19" customFormat="1" s="69">
      <c r="B19" s="92" t="inlineStr">
        <is>
          <t>8.25R16-14PR-CR926</t>
        </is>
      </c>
      <c r="C19" s="93" t="n">
        <v>28.5</v>
      </c>
      <c r="D19" s="495">
        <f>IF(C19="","",C19/(C19+$C$1/60))</f>
        <v/>
      </c>
      <c r="E19" s="95">
        <f>IFERROR(ROUND(1440/C19*2*D19,0),"")</f>
        <v/>
      </c>
      <c r="F19" s="96" t="n">
        <v>2</v>
      </c>
      <c r="G19" s="97" t="n"/>
      <c r="H19" s="74">
        <f>_xlfn.XLOOKUP(G19,I:I,J:J)</f>
        <v/>
      </c>
      <c r="I19" s="84" t="inlineStr">
        <is>
          <t>11R22.5-16PR-AS858</t>
        </is>
      </c>
      <c r="J19" s="493" t="n">
        <v>828.597</v>
      </c>
      <c r="L19" s="77" t="inlineStr">
        <is>
          <t>10.00R20-MD758</t>
        </is>
      </c>
      <c r="M19" s="77" t="n">
        <v>4</v>
      </c>
    </row>
    <row r="20" customFormat="1" s="69">
      <c r="B20" s="92" t="inlineStr">
        <is>
          <t>10.00R20-18PR-CR926</t>
        </is>
      </c>
      <c r="C20" s="93" t="n">
        <v>39</v>
      </c>
      <c r="D20" s="495">
        <f>IF(C20="","",C20/(C20+$C$1/60))</f>
        <v/>
      </c>
      <c r="E20" s="95">
        <f>IFERROR(ROUND(1440/C20*2*D20,0),"")</f>
        <v/>
      </c>
      <c r="F20" s="96" t="n">
        <v>8</v>
      </c>
      <c r="G20" s="97" t="n"/>
      <c r="H20" s="74">
        <f>_xlfn.XLOOKUP(G20,I:I,J:J)</f>
        <v/>
      </c>
      <c r="I20" s="84" t="inlineStr">
        <is>
          <t>11R22.5-16PR-AS868</t>
        </is>
      </c>
      <c r="J20" s="493" t="n">
        <v>828.597</v>
      </c>
      <c r="L20" s="77" t="inlineStr">
        <is>
          <t>10.00R20-CB981</t>
        </is>
      </c>
      <c r="M20" s="77" t="n">
        <v>2</v>
      </c>
    </row>
    <row r="21" customFormat="1" s="69">
      <c r="B21" s="92" t="inlineStr">
        <is>
          <t>10.00R20-18PR-AZ676</t>
        </is>
      </c>
      <c r="C21" s="93" t="n">
        <v>38.5</v>
      </c>
      <c r="D21" s="495">
        <f>IF(C21="","",C21/(C21+$C$1/60))</f>
        <v/>
      </c>
      <c r="E21" s="95">
        <f>IFERROR(ROUND(1440/C21*2*D21,0),"")</f>
        <v/>
      </c>
      <c r="F21" s="96" t="n">
        <v>2</v>
      </c>
      <c r="G21" s="97" t="n"/>
      <c r="H21" s="74">
        <f>_xlfn.XLOOKUP(G21,I:I,J:J)</f>
        <v/>
      </c>
      <c r="I21" s="84" t="inlineStr">
        <is>
          <t>295/80R22.5-18PR-CR976A</t>
        </is>
      </c>
      <c r="J21" s="493" t="n">
        <v>859.1783339999999</v>
      </c>
      <c r="L21" s="77" t="inlineStr">
        <is>
          <t>10.00R20-CM958</t>
        </is>
      </c>
      <c r="M21" s="77" t="n">
        <v>2</v>
      </c>
    </row>
    <row r="22" customFormat="1" s="69">
      <c r="B22" s="92" t="inlineStr">
        <is>
          <t>10.00R20-16PR/18PR-SUPER AM S</t>
        </is>
      </c>
      <c r="C22" s="93" t="n">
        <v>41</v>
      </c>
      <c r="D22" s="495">
        <f>IF(C22="","",C22/(C22+$C$1/60))</f>
        <v/>
      </c>
      <c r="E22" s="95">
        <f>IFERROR(ROUND(1440/C22*2*D22,0),"")</f>
        <v/>
      </c>
      <c r="F22" s="96" t="n">
        <v>2</v>
      </c>
      <c r="G22" s="97" t="n"/>
      <c r="H22" s="74">
        <f>_xlfn.XLOOKUP(G22,I:I,J:J)</f>
        <v/>
      </c>
      <c r="I22" s="84" t="inlineStr">
        <is>
          <t>10.00R20-18PR-MD758</t>
        </is>
      </c>
      <c r="J22" s="493" t="n">
        <v>896.5579</v>
      </c>
      <c r="L22" s="77" t="inlineStr">
        <is>
          <t>10.00R20-CM988</t>
        </is>
      </c>
      <c r="M22" s="77" t="n">
        <v>2</v>
      </c>
    </row>
    <row r="23" customFormat="1" s="69">
      <c r="B23" s="92" t="inlineStr">
        <is>
          <t>10.00R20-16PR/18PR-MOBY.R856X</t>
        </is>
      </c>
      <c r="C23" s="93" t="n">
        <v>41</v>
      </c>
      <c r="D23" s="495">
        <f>IF(C23="","",C23/(C23+$C$1/60))</f>
        <v/>
      </c>
      <c r="E23" s="95">
        <f>IFERROR(ROUND(1440/C23*2*D23,0),"")</f>
        <v/>
      </c>
      <c r="F23" s="96" t="n">
        <v>2</v>
      </c>
      <c r="G23" s="97" t="n"/>
      <c r="H23" s="74">
        <f>_xlfn.XLOOKUP(G23,I:I,J:J)</f>
        <v/>
      </c>
      <c r="I23" s="84" t="inlineStr">
        <is>
          <t>10.00R20-18PR-EZ369</t>
        </is>
      </c>
      <c r="J23" s="493" t="n">
        <v>896.5579</v>
      </c>
      <c r="L23" s="77" t="inlineStr">
        <is>
          <t>10.00R20-CM998</t>
        </is>
      </c>
      <c r="M23" s="77" t="n">
        <v>2</v>
      </c>
    </row>
    <row r="24" customFormat="1" s="69">
      <c r="B24" s="92" t="inlineStr">
        <is>
          <t>10.00R20-16PR/18PR-AZ850</t>
        </is>
      </c>
      <c r="C24" s="93" t="n">
        <v>41</v>
      </c>
      <c r="D24" s="495">
        <f>IF(C24="","",C24/(C24+$C$1/60))</f>
        <v/>
      </c>
      <c r="E24" s="95">
        <f>IFERROR(ROUND(1440/C24*2*D24,0),"")</f>
        <v/>
      </c>
      <c r="F24" s="96" t="n">
        <v>2</v>
      </c>
      <c r="G24" s="97" t="n"/>
      <c r="H24" s="74">
        <f>_xlfn.XLOOKUP(G24,I:I,J:J)</f>
        <v/>
      </c>
      <c r="I24" s="84" t="inlineStr">
        <is>
          <t>11.00R20-18PR-AZ850</t>
        </is>
      </c>
      <c r="J24" s="493" t="n">
        <v>1065.044</v>
      </c>
      <c r="L24" s="77" t="inlineStr">
        <is>
          <t>10.00R20-EZ330</t>
        </is>
      </c>
      <c r="M24" s="77" t="n">
        <v>2</v>
      </c>
    </row>
    <row r="25" customFormat="1" s="69">
      <c r="B25" s="92" t="inlineStr">
        <is>
          <t>10.00R20-18PR-CM958</t>
        </is>
      </c>
      <c r="C25" s="93" t="n">
        <v>41</v>
      </c>
      <c r="D25" s="495">
        <f>IF(C25="","",C25/(C25+$C$1/60))</f>
        <v/>
      </c>
      <c r="E25" s="95">
        <f>IFERROR(ROUND(1440/C25*2*D25,0),"")</f>
        <v/>
      </c>
      <c r="F25" s="96" t="n">
        <v>2</v>
      </c>
      <c r="G25" s="97" t="n"/>
      <c r="H25" s="74">
        <f>_xlfn.XLOOKUP(G25,I:I,J:J)</f>
        <v/>
      </c>
      <c r="I25" s="84" t="inlineStr">
        <is>
          <t>295/80R22.5-18PR-CR926D</t>
        </is>
      </c>
      <c r="J25" s="493" t="n">
        <v>831.5165</v>
      </c>
      <c r="L25" s="77" t="inlineStr">
        <is>
          <t>10.00R20-CB332</t>
        </is>
      </c>
      <c r="M25" s="77" t="n">
        <v>2</v>
      </c>
    </row>
    <row r="26" customFormat="1" s="69">
      <c r="B26" s="92" t="inlineStr">
        <is>
          <t>10.00R20-18PR-AZ686</t>
        </is>
      </c>
      <c r="C26" s="93" t="n">
        <v>41</v>
      </c>
      <c r="D26" s="495">
        <f>IF(C26="","",C26/(C26+$C$1/60))</f>
        <v/>
      </c>
      <c r="E26" s="95">
        <f>IFERROR(ROUND(1440/C26*2*D26,0),"")</f>
        <v/>
      </c>
      <c r="F26" s="96" t="n">
        <v>2</v>
      </c>
      <c r="G26" s="97" t="n"/>
      <c r="H26" s="74">
        <f>_xlfn.XLOOKUP(G26,I:I,J:J)</f>
        <v/>
      </c>
      <c r="I26" s="84" t="inlineStr">
        <is>
          <t>11.00R20-18PR-CB332A</t>
        </is>
      </c>
      <c r="J26" s="493" t="n">
        <v>1047.4618</v>
      </c>
      <c r="L26" s="77" t="inlineStr">
        <is>
          <t>10.00R20-CB905</t>
        </is>
      </c>
      <c r="M26" s="77" t="n">
        <v>2</v>
      </c>
    </row>
    <row r="27" customFormat="1" s="69">
      <c r="B27" s="92" t="inlineStr">
        <is>
          <t>10.00R20-18PR-AZ601</t>
        </is>
      </c>
      <c r="C27" s="93" t="n">
        <v>41</v>
      </c>
      <c r="D27" s="495">
        <f>IF(C27="","",C27/(C27+$C$1/60))</f>
        <v/>
      </c>
      <c r="E27" s="95">
        <f>IFERROR(ROUND(1440/C27*2*D27,0),"")</f>
        <v/>
      </c>
      <c r="F27" s="96" t="n">
        <v>2</v>
      </c>
      <c r="G27" s="97" t="n"/>
      <c r="H27" s="74">
        <f>_xlfn.XLOOKUP(G27,I:I,J:J)</f>
        <v/>
      </c>
      <c r="I27" s="84" t="inlineStr">
        <is>
          <t>11R22.5-14PR-CR915</t>
        </is>
      </c>
      <c r="J27" s="493" t="n">
        <v>708.6732029999999</v>
      </c>
      <c r="L27" s="77" t="inlineStr">
        <is>
          <t>10.00R20-EZ835</t>
        </is>
      </c>
      <c r="M27" s="77" t="n">
        <v>2</v>
      </c>
    </row>
    <row r="28" customFormat="1" s="69">
      <c r="B28" s="92" t="inlineStr">
        <is>
          <t>10.00R20-18PR-AZ697</t>
        </is>
      </c>
      <c r="C28" s="93" t="n">
        <v>41</v>
      </c>
      <c r="D28" s="495">
        <f>IF(C28="","",C28/(C28+$C$1/60))</f>
        <v/>
      </c>
      <c r="E28" s="95">
        <f>IFERROR(ROUND(1440/C28*2*D28,0),"")</f>
        <v/>
      </c>
      <c r="F28" s="96" t="n">
        <v>2</v>
      </c>
      <c r="G28" s="97" t="n"/>
      <c r="H28" s="74">
        <f>_xlfn.XLOOKUP(G28,I:I,J:J)</f>
        <v/>
      </c>
      <c r="I28" s="84" t="inlineStr">
        <is>
          <t>295/80R22.5-18PR-AD733</t>
        </is>
      </c>
      <c r="J28" s="493" t="n">
        <v>948.0784</v>
      </c>
      <c r="L28" s="77" t="inlineStr">
        <is>
          <t>10.00R20-AZ183</t>
        </is>
      </c>
      <c r="M28" s="77" t="n">
        <v>2</v>
      </c>
    </row>
    <row r="29" customFormat="1" s="69">
      <c r="B29" s="92" t="inlineStr">
        <is>
          <t>10.00R20-18PR-CB981</t>
        </is>
      </c>
      <c r="C29" s="93" t="n">
        <v>40.5</v>
      </c>
      <c r="D29" s="495">
        <f>IF(C29="","",C29/(C29+$C$1/60))</f>
        <v/>
      </c>
      <c r="E29" s="95">
        <f>IFERROR(ROUND(1440/C29*2*D29,0),"")</f>
        <v/>
      </c>
      <c r="F29" s="96" t="n">
        <v>2</v>
      </c>
      <c r="G29" s="97" t="n"/>
      <c r="H29" s="74">
        <f>_xlfn.XLOOKUP(G29,I:I,J:J)</f>
        <v/>
      </c>
      <c r="I29" s="84" t="inlineStr">
        <is>
          <t>295/80R22.5-18PR-MD777</t>
        </is>
      </c>
      <c r="J29" s="493" t="n">
        <v>940.3603000000001</v>
      </c>
      <c r="L29" s="77" t="inlineStr">
        <is>
          <t>10.00R20-EZ175</t>
        </is>
      </c>
      <c r="M29" s="77" t="n">
        <v>2</v>
      </c>
    </row>
    <row r="30" customFormat="1" s="69">
      <c r="B30" s="92" t="inlineStr">
        <is>
          <t>10.00R20-18PR-EZ369</t>
        </is>
      </c>
      <c r="C30" s="93" t="n">
        <v>42</v>
      </c>
      <c r="D30" s="495">
        <f>IF(C30="","",C30/(C30+$C$1/60))</f>
        <v/>
      </c>
      <c r="E30" s="95">
        <f>IFERROR(ROUND(1440/C30*2*D30,0),"")</f>
        <v/>
      </c>
      <c r="F30" s="96" t="n">
        <v>4</v>
      </c>
      <c r="G30" s="97" t="n"/>
      <c r="H30" s="74">
        <f>_xlfn.XLOOKUP(G30,I:I,J:J)</f>
        <v/>
      </c>
      <c r="I30" s="84" t="inlineStr">
        <is>
          <t>11.00R20-18PR-CB972</t>
        </is>
      </c>
      <c r="J30" s="493" t="n">
        <v>896.5579</v>
      </c>
      <c r="L30" s="77" t="inlineStr">
        <is>
          <t>10.00R20-EZ865</t>
        </is>
      </c>
      <c r="M30" s="77" t="n">
        <v>2</v>
      </c>
    </row>
    <row r="31" customFormat="1" s="69">
      <c r="B31" s="92" t="inlineStr">
        <is>
          <t>10.00R20-18PR-MD758</t>
        </is>
      </c>
      <c r="C31" s="93" t="n">
        <v>42</v>
      </c>
      <c r="D31" s="495">
        <f>IF(C31="","",C31/(C31+$C$1/60))</f>
        <v/>
      </c>
      <c r="E31" s="95">
        <f>IFERROR(ROUND(1440/C31*2*D31,0),"")</f>
        <v/>
      </c>
      <c r="F31" s="96" t="n">
        <v>4</v>
      </c>
      <c r="G31" s="97" t="n"/>
      <c r="H31" s="74">
        <f>_xlfn.XLOOKUP(G31,I:I,J:J)</f>
        <v/>
      </c>
      <c r="I31" s="84" t="inlineStr">
        <is>
          <t>12.00R20-18PR-CB972</t>
        </is>
      </c>
      <c r="J31" s="493" t="n">
        <v>1097.5727</v>
      </c>
      <c r="L31" s="77" t="inlineStr">
        <is>
          <t>11.00R20-AZ183</t>
        </is>
      </c>
      <c r="M31" s="77" t="n">
        <v>2</v>
      </c>
    </row>
    <row r="32" customFormat="1" s="69">
      <c r="B32" s="92" t="inlineStr">
        <is>
          <t>10.00R20-18PR-CM913</t>
        </is>
      </c>
      <c r="C32" s="93" t="n">
        <v>40.5</v>
      </c>
      <c r="D32" s="495">
        <f>IF(C32="","",C32/(C32+$C$1/60))</f>
        <v/>
      </c>
      <c r="E32" s="95">
        <f>IFERROR(ROUND(1440/C32*2*D32,0),"")</f>
        <v/>
      </c>
      <c r="F32" s="96" t="n">
        <v>4</v>
      </c>
      <c r="G32" s="97" t="n"/>
      <c r="H32" s="74">
        <f>_xlfn.XLOOKUP(G32,I:I,J:J)</f>
        <v/>
      </c>
      <c r="I32" s="84" t="inlineStr">
        <is>
          <t>10.00R20-18PR-AZ601</t>
        </is>
      </c>
      <c r="J32" s="493" t="n">
        <v>841.9964</v>
      </c>
      <c r="L32" s="77" t="inlineStr">
        <is>
          <t>11.00R20-EZ033</t>
        </is>
      </c>
      <c r="M32" s="77" t="n">
        <v>2</v>
      </c>
    </row>
    <row r="33" customFormat="1" s="69">
      <c r="B33" s="92" t="inlineStr">
        <is>
          <t>10.00R20-18PR-CM988</t>
        </is>
      </c>
      <c r="C33" s="93" t="n">
        <v>41</v>
      </c>
      <c r="D33" s="495">
        <f>IF(C33="","",C33/(C33+$C$1/60))</f>
        <v/>
      </c>
      <c r="E33" s="95">
        <f>IFERROR(ROUND(1440/C33*2*D33,0),"")</f>
        <v/>
      </c>
      <c r="F33" s="96" t="n">
        <v>2</v>
      </c>
      <c r="G33" s="97" t="n"/>
      <c r="H33" s="74">
        <f>_xlfn.XLOOKUP(G33,I:I,J:J)</f>
        <v/>
      </c>
      <c r="I33" s="84" t="inlineStr">
        <is>
          <t>10.00R20-18PR-AZ686</t>
        </is>
      </c>
      <c r="J33" s="493" t="n">
        <v>841.9964</v>
      </c>
      <c r="L33" s="77" t="inlineStr">
        <is>
          <t>11.00R20-EZ175</t>
        </is>
      </c>
      <c r="M33" s="77" t="n">
        <v>2</v>
      </c>
    </row>
    <row r="34" customFormat="1" s="69">
      <c r="B34" s="92" t="inlineStr">
        <is>
          <t>10.00R20-18PR-CB972</t>
        </is>
      </c>
      <c r="C34" s="93" t="n">
        <v>47.5</v>
      </c>
      <c r="D34" s="495">
        <f>IF(C34="","",C34/(C34+$C$1/60))</f>
        <v/>
      </c>
      <c r="E34" s="95">
        <f>IFERROR(ROUND(1440/C34*2*D34,0),"")</f>
        <v/>
      </c>
      <c r="F34" s="96" t="n">
        <v>4</v>
      </c>
      <c r="G34" s="97" t="n"/>
      <c r="H34" s="74">
        <f>_xlfn.XLOOKUP(G34,I:I,J:J)</f>
        <v/>
      </c>
      <c r="I34" s="84" t="inlineStr">
        <is>
          <t>10.00R20-18PR-AZ697</t>
        </is>
      </c>
      <c r="J34" s="493" t="n">
        <v>841.9964</v>
      </c>
      <c r="L34" s="77" t="inlineStr">
        <is>
          <t>11.00R20-EZ865</t>
        </is>
      </c>
      <c r="M34" s="77" t="n">
        <v>2</v>
      </c>
    </row>
    <row r="35" customFormat="1" s="69">
      <c r="B35" s="92" t="inlineStr">
        <is>
          <t>10.00R20-18PR-CB905</t>
        </is>
      </c>
      <c r="C35" s="93" t="n">
        <v>48.5</v>
      </c>
      <c r="D35" s="495">
        <f>IF(C35="","",C35/(C35+$C$1/60))</f>
        <v/>
      </c>
      <c r="E35" s="95">
        <f>IFERROR(ROUND(1440/C35*2*D35,0),"")</f>
        <v/>
      </c>
      <c r="F35" s="96" t="n">
        <v>2</v>
      </c>
      <c r="G35" s="97" t="n"/>
      <c r="H35" s="74">
        <f>_xlfn.XLOOKUP(G35,I:I,J:J)</f>
        <v/>
      </c>
      <c r="I35" s="84" t="inlineStr">
        <is>
          <t>12.00R20-18PR-EZ345</t>
        </is>
      </c>
      <c r="J35" s="493" t="n">
        <v>951.7501</v>
      </c>
      <c r="L35" s="77" t="inlineStr">
        <is>
          <t>11.00R20-CR926+</t>
        </is>
      </c>
      <c r="M35" s="77" t="n">
        <v>4</v>
      </c>
    </row>
    <row r="36" customFormat="1" s="69">
      <c r="B36" s="92" t="inlineStr">
        <is>
          <t>10.00R20-18PR-EZ330</t>
        </is>
      </c>
      <c r="C36" s="93" t="n">
        <v>50.5</v>
      </c>
      <c r="D36" s="495">
        <f>IF(C36="","",C36/(C36+$C$1/60))</f>
        <v/>
      </c>
      <c r="E36" s="95">
        <f>IFERROR(ROUND(1440/C36*2*D36,0),"")</f>
        <v/>
      </c>
      <c r="F36" s="96" t="n">
        <v>2</v>
      </c>
      <c r="G36" s="97" t="n"/>
      <c r="H36" s="74">
        <f>_xlfn.XLOOKUP(G36,I:I,J:J)</f>
        <v/>
      </c>
      <c r="I36" s="84" t="inlineStr">
        <is>
          <t>12.00R20-18PR-EZ336</t>
        </is>
      </c>
      <c r="J36" s="493" t="n">
        <v>1220.0356</v>
      </c>
      <c r="L36" s="77" t="inlineStr">
        <is>
          <t>11.00R20-AZ676</t>
        </is>
      </c>
      <c r="M36" s="77" t="n">
        <v>2</v>
      </c>
    </row>
    <row r="37" customFormat="1" s="69">
      <c r="B37" s="92" t="inlineStr">
        <is>
          <t>10.00R20-18PR-CB332</t>
        </is>
      </c>
      <c r="C37" s="93" t="n">
        <v>50.5</v>
      </c>
      <c r="D37" s="495">
        <f>IF(C37="","",C37/(C37+$C$1/60))</f>
        <v/>
      </c>
      <c r="E37" s="95">
        <f>IFERROR(ROUND(1440/C37*2*D37,0),"")</f>
        <v/>
      </c>
      <c r="F37" s="96" t="n">
        <v>2</v>
      </c>
      <c r="G37" s="97" t="n"/>
      <c r="H37" s="74">
        <f>_xlfn.XLOOKUP(G37,I:I,J:J)</f>
        <v/>
      </c>
      <c r="I37" s="84" t="inlineStr">
        <is>
          <t>295/80R22.5-18PR-WDA2</t>
        </is>
      </c>
      <c r="J37" s="493" t="n">
        <v>973.0940000000001</v>
      </c>
      <c r="L37" s="77" t="inlineStr">
        <is>
          <t>11.00R20-EZ369</t>
        </is>
      </c>
      <c r="M37" s="77" t="n">
        <v>6</v>
      </c>
    </row>
    <row r="38" customFormat="1" s="69">
      <c r="B38" s="92" t="inlineStr">
        <is>
          <t>10.00R20-18PR-EZ835</t>
        </is>
      </c>
      <c r="C38" s="93" t="n">
        <v>58</v>
      </c>
      <c r="D38" s="495">
        <f>IF(C38="","",C38/(C38+$C$1/60))</f>
        <v/>
      </c>
      <c r="E38" s="95">
        <f>IFERROR(ROUND(1440/C38*2*D38,0),"")</f>
        <v/>
      </c>
      <c r="F38" s="96" t="n">
        <v>2</v>
      </c>
      <c r="G38" s="97" t="n"/>
      <c r="H38" s="74">
        <f>_xlfn.XLOOKUP(G38,I:I,J:J)</f>
        <v/>
      </c>
      <c r="I38" s="84" t="inlineStr">
        <is>
          <t>295/75R22.5-14PR-CR915</t>
        </is>
      </c>
      <c r="J38" s="493" t="n">
        <v>733.3493999999999</v>
      </c>
      <c r="L38" s="77" t="inlineStr">
        <is>
          <t>11.00R20-AZ850</t>
        </is>
      </c>
      <c r="M38" s="77" t="n">
        <v>2</v>
      </c>
    </row>
    <row r="39" customFormat="1" s="69">
      <c r="B39" s="92" t="inlineStr">
        <is>
          <t>10.00R20-16PR-TKAL III</t>
        </is>
      </c>
      <c r="C39" s="93" t="n">
        <v>41</v>
      </c>
      <c r="D39" s="495">
        <f>IF(C39="","",C39/(C39+$C$1/60))</f>
        <v/>
      </c>
      <c r="E39" s="95">
        <f>IFERROR(ROUND(1440/C39*2*D39,0),"")</f>
        <v/>
      </c>
      <c r="F39" s="96" t="n">
        <v>2</v>
      </c>
      <c r="G39" s="97" t="n"/>
      <c r="H39" s="74">
        <f>_xlfn.XLOOKUP(G39,I:I,J:J)</f>
        <v/>
      </c>
      <c r="I39" s="84" t="inlineStr">
        <is>
          <t>295/80R22.5-18PR-AS898</t>
        </is>
      </c>
      <c r="J39" s="493" t="n">
        <v>958.537</v>
      </c>
      <c r="L39" s="77" t="inlineStr">
        <is>
          <t>11.00R20-CM988</t>
        </is>
      </c>
      <c r="M39" s="77" t="n">
        <v>2</v>
      </c>
    </row>
    <row r="40" customFormat="1" s="69">
      <c r="B40" s="92" t="inlineStr">
        <is>
          <t>10.00R20-16PR-FOLO.R109</t>
        </is>
      </c>
      <c r="C40" s="93" t="n">
        <v>41</v>
      </c>
      <c r="D40" s="495">
        <f>IF(C40="","",C40/(C40+$C$1/60))</f>
        <v/>
      </c>
      <c r="E40" s="95">
        <f>IFERROR(ROUND(1440/C40*2*D40,0),"")</f>
        <v/>
      </c>
      <c r="F40" s="96" t="n">
        <v>2</v>
      </c>
      <c r="G40" s="97" t="n"/>
      <c r="H40" s="74">
        <f>_xlfn.XLOOKUP(G40,I:I,J:J)</f>
        <v/>
      </c>
      <c r="I40" s="84" t="inlineStr">
        <is>
          <t>295/80R22.5-18PR-WSA2</t>
        </is>
      </c>
      <c r="J40" s="493" t="n">
        <v>938.482</v>
      </c>
      <c r="L40" s="77" t="inlineStr">
        <is>
          <t>11.00R20-CM998</t>
        </is>
      </c>
      <c r="M40" s="77" t="n">
        <v>2</v>
      </c>
    </row>
    <row r="41" customFormat="1" s="69">
      <c r="B41" s="92" t="inlineStr">
        <is>
          <t>11.00R20-18PR-CB972</t>
        </is>
      </c>
      <c r="C41" s="93" t="n">
        <v>48.5</v>
      </c>
      <c r="D41" s="495">
        <f>IF(C41="","",C41/(C41+$C$1/60))</f>
        <v/>
      </c>
      <c r="E41" s="95">
        <f>IFERROR(ROUND(1440/C41*2*D41,0),"")</f>
        <v/>
      </c>
      <c r="F41" s="96" t="n">
        <v>8</v>
      </c>
      <c r="G41" s="97" t="n"/>
      <c r="H41" s="74">
        <f>_xlfn.XLOOKUP(G41,I:I,J:J)</f>
        <v/>
      </c>
      <c r="I41" s="84" t="inlineStr">
        <is>
          <t>325/95R24-22PR-EZ336</t>
        </is>
      </c>
      <c r="J41" s="493" t="n">
        <v>1418.123</v>
      </c>
      <c r="L41" s="77" t="inlineStr">
        <is>
          <t>11.00R20-CB332A</t>
        </is>
      </c>
      <c r="M41" s="77" t="n">
        <v>2</v>
      </c>
    </row>
    <row r="42" customFormat="1" s="69">
      <c r="B42" s="92" t="inlineStr">
        <is>
          <t>11.00R20-18PR-AS578</t>
        </is>
      </c>
      <c r="C42" s="93" t="n">
        <v>42</v>
      </c>
      <c r="D42" s="495">
        <f>IF(C42="","",C42/(C42+$C$1/60))</f>
        <v/>
      </c>
      <c r="E42" s="95">
        <f>IFERROR(ROUND(1440/C42*2*D42,0),"")</f>
        <v/>
      </c>
      <c r="F42" s="96" t="n">
        <v>2</v>
      </c>
      <c r="G42" s="97" t="n"/>
      <c r="H42" s="74">
        <f>_xlfn.XLOOKUP(G42,I:I,J:J)</f>
        <v/>
      </c>
      <c r="I42" s="84" t="inlineStr">
        <is>
          <t>325/95R24-22PR-CB919</t>
        </is>
      </c>
      <c r="J42" s="493" t="n">
        <v>1418.123</v>
      </c>
      <c r="L42" s="77" t="inlineStr">
        <is>
          <t>11.00R20-CB905A</t>
        </is>
      </c>
      <c r="M42" s="77" t="n">
        <v>2</v>
      </c>
    </row>
    <row r="43" customFormat="1" s="69">
      <c r="B43" s="92" t="inlineStr">
        <is>
          <t>11.00R20-18PR-AS678</t>
        </is>
      </c>
      <c r="C43" s="93" t="n">
        <v>42</v>
      </c>
      <c r="D43" s="495">
        <f>IF(C43="","",C43/(C43+$C$1/60))</f>
        <v/>
      </c>
      <c r="E43" s="95">
        <f>IFERROR(ROUND(1440/C43*2*D43,0),"")</f>
        <v/>
      </c>
      <c r="F43" s="96" t="n">
        <v>2</v>
      </c>
      <c r="G43" s="97" t="n"/>
      <c r="H43" s="74">
        <f>_xlfn.XLOOKUP(G43,I:I,J:J)</f>
        <v/>
      </c>
      <c r="I43" s="84" t="inlineStr">
        <is>
          <t>7.50R16-14PR-EZ369</t>
        </is>
      </c>
      <c r="J43" s="493" t="n">
        <v>444.822</v>
      </c>
      <c r="L43" s="77" t="inlineStr">
        <is>
          <t>11.00R20-CB972</t>
        </is>
      </c>
      <c r="M43" s="77" t="n">
        <v>8</v>
      </c>
    </row>
    <row r="44" customFormat="1" s="69">
      <c r="B44" s="92" t="inlineStr">
        <is>
          <t>11.00R20-18PR-CR926+</t>
        </is>
      </c>
      <c r="C44" s="93" t="n">
        <v>44</v>
      </c>
      <c r="D44" s="495">
        <f>IF(C44="","",C44/(C44+$C$1/60))</f>
        <v/>
      </c>
      <c r="E44" s="95">
        <f>IFERROR(ROUND(1440/C44*2*D44,0),"")</f>
        <v/>
      </c>
      <c r="F44" s="96" t="n">
        <v>4</v>
      </c>
      <c r="G44" s="97" t="n"/>
      <c r="H44" s="74">
        <f>_xlfn.XLOOKUP(G44,I:I,J:J)</f>
        <v/>
      </c>
      <c r="I44" s="84" t="inlineStr">
        <is>
          <t>325/95R24-22PR-CB972</t>
        </is>
      </c>
      <c r="J44" s="493" t="n">
        <v>1418.123</v>
      </c>
      <c r="L44" s="77" t="inlineStr">
        <is>
          <t>11.00R20-EZ330A</t>
        </is>
      </c>
      <c r="M44" s="77" t="n">
        <v>2</v>
      </c>
    </row>
    <row r="45" customFormat="1" s="69">
      <c r="B45" s="92" t="inlineStr">
        <is>
          <t>11.00R20-18PR-CB332A</t>
        </is>
      </c>
      <c r="C45" s="93" t="n">
        <v>55</v>
      </c>
      <c r="D45" s="495">
        <f>IF(C45="","",C45/(C45+$C$1/60))</f>
        <v/>
      </c>
      <c r="E45" s="95">
        <f>IFERROR(ROUND(1440/C45*2*D45,0),"")</f>
        <v/>
      </c>
      <c r="F45" s="96" t="n">
        <v>2</v>
      </c>
      <c r="G45" s="97" t="n"/>
      <c r="H45" s="74">
        <f>_xlfn.XLOOKUP(G45,I:I,J:J)</f>
        <v/>
      </c>
      <c r="I45" s="84" t="inlineStr">
        <is>
          <t>295/75R22.5-14PR-AT552</t>
        </is>
      </c>
      <c r="J45" s="493" t="n">
        <v>711.2962</v>
      </c>
      <c r="L45" s="77" t="inlineStr">
        <is>
          <t>11.00R20-EZ336</t>
        </is>
      </c>
      <c r="M45" s="77" t="n">
        <v>2</v>
      </c>
    </row>
    <row r="46" customFormat="1" s="69">
      <c r="B46" s="92" t="inlineStr">
        <is>
          <t>11.00R20-18PR-CB905A</t>
        </is>
      </c>
      <c r="C46" s="93" t="n">
        <v>55</v>
      </c>
      <c r="D46" s="495">
        <f>IF(C46="","",C46/(C46+$C$1/60))</f>
        <v/>
      </c>
      <c r="E46" s="95">
        <f>IFERROR(ROUND(1440/C46*2*D46,0),"")</f>
        <v/>
      </c>
      <c r="F46" s="96" t="n">
        <v>2</v>
      </c>
      <c r="G46" s="97" t="n"/>
      <c r="H46" s="74">
        <f>_xlfn.XLOOKUP(G46,I:I,J:J)</f>
        <v/>
      </c>
      <c r="I46" s="84" t="inlineStr">
        <is>
          <t>11R22.5-14PR-AT552</t>
        </is>
      </c>
      <c r="J46" s="493" t="n">
        <v>711.224</v>
      </c>
      <c r="L46" s="77" t="inlineStr">
        <is>
          <t>11.00R20-AS578</t>
        </is>
      </c>
      <c r="M46" s="77" t="n">
        <v>2</v>
      </c>
    </row>
    <row r="47" customFormat="1" s="69">
      <c r="B47" s="92" t="inlineStr">
        <is>
          <t>11.00R20-18PR-CB330A</t>
        </is>
      </c>
      <c r="C47" s="93" t="n">
        <v>55</v>
      </c>
      <c r="D47" s="495">
        <f>IF(C47="","",C47/(C47+$C$1/60))</f>
        <v/>
      </c>
      <c r="E47" s="95">
        <f>IFERROR(ROUND(1440/C47*2*D47,0),"")</f>
        <v/>
      </c>
      <c r="F47" s="96" t="n">
        <v>2</v>
      </c>
      <c r="G47" s="97" t="n"/>
      <c r="H47" s="74">
        <f>_xlfn.XLOOKUP(G47,I:I,J:J)</f>
        <v/>
      </c>
      <c r="I47" s="84" t="inlineStr">
        <is>
          <t>11.00R20-18PR-CB905A</t>
        </is>
      </c>
      <c r="J47" s="493" t="n">
        <v>1170.9481</v>
      </c>
      <c r="L47" s="77" t="inlineStr">
        <is>
          <t>11.00R20-AS678</t>
        </is>
      </c>
      <c r="M47" s="77" t="n">
        <v>2</v>
      </c>
    </row>
    <row r="48" customFormat="1" s="69">
      <c r="B48" s="92" t="inlineStr">
        <is>
          <t>11.00R20-18PR-AZ850</t>
        </is>
      </c>
      <c r="C48" s="93" t="n">
        <v>54</v>
      </c>
      <c r="D48" s="495">
        <f>IF(C48="","",C48/(C48+$C$1/60))</f>
        <v/>
      </c>
      <c r="E48" s="95">
        <f>IFERROR(ROUND(1440/C48*2*D48,0),"")</f>
        <v/>
      </c>
      <c r="F48" s="96" t="n">
        <v>2</v>
      </c>
      <c r="G48" s="97" t="n"/>
      <c r="H48" s="74">
        <f>_xlfn.XLOOKUP(G48,I:I,J:J)</f>
        <v/>
      </c>
      <c r="I48" s="84" t="inlineStr">
        <is>
          <t>325/95R24-22PR-CB332</t>
        </is>
      </c>
      <c r="J48" s="493" t="n">
        <v>1418.123</v>
      </c>
      <c r="L48" s="77" t="inlineStr">
        <is>
          <t>11.00R20-EZ867</t>
        </is>
      </c>
      <c r="M48" s="77" t="n">
        <v>2</v>
      </c>
    </row>
    <row r="49" customFormat="1" s="69">
      <c r="B49" s="92" t="inlineStr">
        <is>
          <t>11.00R20-18PR-EZ369</t>
        </is>
      </c>
      <c r="C49" s="93" t="n">
        <v>54.5</v>
      </c>
      <c r="D49" s="495">
        <f>IF(C49="","",C49/(C49+$C$1/60))</f>
        <v/>
      </c>
      <c r="E49" s="95">
        <f>IFERROR(ROUND(1440/C49*2*D49,0),"")</f>
        <v/>
      </c>
      <c r="F49" s="96" t="n">
        <v>6</v>
      </c>
      <c r="G49" s="97" t="n"/>
      <c r="H49" s="74">
        <f>_xlfn.XLOOKUP(G49,I:I,J:J)</f>
        <v/>
      </c>
      <c r="I49" s="84" t="inlineStr">
        <is>
          <t>11.00R20-18PR-CR926+</t>
        </is>
      </c>
      <c r="J49" s="493" t="n">
        <v>985.5699</v>
      </c>
      <c r="L49" s="77" t="inlineStr">
        <is>
          <t>11.00R20-EZ870</t>
        </is>
      </c>
      <c r="M49" s="77" t="n">
        <v>2</v>
      </c>
    </row>
    <row r="50" customFormat="1" s="69">
      <c r="B50" s="92" t="inlineStr">
        <is>
          <t>11R22.5-16PR-CR906Ⅱ</t>
        </is>
      </c>
      <c r="C50" s="93" t="n">
        <v>41.5</v>
      </c>
      <c r="D50" s="495">
        <f>IF(C50="","",C50/(C50+$C$1/60))</f>
        <v/>
      </c>
      <c r="E50" s="95">
        <f>IFERROR(ROUND(1440/C50*2*D50,0),"")</f>
        <v/>
      </c>
      <c r="F50" s="96" t="n">
        <v>2</v>
      </c>
      <c r="G50" s="97" t="n"/>
      <c r="H50" s="74">
        <f>_xlfn.XLOOKUP(G50,I:I,J:J)</f>
        <v/>
      </c>
      <c r="I50" s="84" t="inlineStr">
        <is>
          <t>295/80R22.5-18PR-AS868pro</t>
        </is>
      </c>
      <c r="J50" s="493" t="n">
        <v>929.9017</v>
      </c>
      <c r="L50" s="77" t="inlineStr">
        <is>
          <t>12.00R20-CB332</t>
        </is>
      </c>
      <c r="M50" s="77" t="n">
        <v>4</v>
      </c>
    </row>
    <row r="51" customFormat="1" s="69">
      <c r="B51" s="92" t="inlineStr">
        <is>
          <t>11R22.5-14PR-CR915</t>
        </is>
      </c>
      <c r="C51" s="93" t="n">
        <v>33.5</v>
      </c>
      <c r="D51" s="495">
        <f>IF(C51="","",C51/(C51+$C$1/60))</f>
        <v/>
      </c>
      <c r="E51" s="95">
        <f>IFERROR(ROUND(1440/C51*2*D51,0),"")</f>
        <v/>
      </c>
      <c r="F51" s="96" t="n">
        <v>8</v>
      </c>
      <c r="G51" s="97" t="n"/>
      <c r="H51" s="74">
        <f>_xlfn.XLOOKUP(G51,I:I,J:J)</f>
        <v/>
      </c>
      <c r="I51" s="84" t="inlineStr">
        <is>
          <t>295/80R22.5-18PR-AS858pro</t>
        </is>
      </c>
      <c r="J51" s="493" t="n">
        <v>929.9017</v>
      </c>
      <c r="L51" s="77" t="inlineStr">
        <is>
          <t>12.00R20-CB919</t>
        </is>
      </c>
      <c r="M51" s="77" t="n">
        <v>2</v>
      </c>
    </row>
    <row r="52" customFormat="1" s="69">
      <c r="B52" s="92" t="inlineStr">
        <is>
          <t>11R22.5-16PR-AS858</t>
        </is>
      </c>
      <c r="C52" s="93" t="n">
        <v>41.5</v>
      </c>
      <c r="D52" s="495">
        <f>IF(C52="","",C52/(C52+$C$1/60))</f>
        <v/>
      </c>
      <c r="E52" s="95">
        <f>IFERROR(ROUND(1440/C52*2*D52,0),"")</f>
        <v/>
      </c>
      <c r="F52" s="96" t="n">
        <v>4</v>
      </c>
      <c r="G52" s="97" t="n"/>
      <c r="H52" s="74">
        <f>_xlfn.XLOOKUP(G52,I:I,J:J)</f>
        <v/>
      </c>
      <c r="I52" s="84" t="inlineStr">
        <is>
          <t>295/80R22.5-18PR-CM987pro</t>
        </is>
      </c>
      <c r="J52" s="493" t="n">
        <v>969.648</v>
      </c>
      <c r="L52" s="77" t="inlineStr">
        <is>
          <t>12.00R20-EZ310</t>
        </is>
      </c>
      <c r="M52" s="77" t="n">
        <v>8</v>
      </c>
    </row>
    <row r="53" customFormat="1" s="69">
      <c r="B53" s="92" t="inlineStr">
        <is>
          <t>11R22.5-16PR-AS868</t>
        </is>
      </c>
      <c r="C53" s="93" t="n">
        <v>41.5</v>
      </c>
      <c r="D53" s="495">
        <f>IF(C53="","",C53/(C53+$C$1/60))</f>
        <v/>
      </c>
      <c r="E53" s="95">
        <f>IFERROR(ROUND(1440/C53*2*D53,0),"")</f>
        <v/>
      </c>
      <c r="F53" s="96" t="n">
        <v>4</v>
      </c>
      <c r="G53" s="97" t="n"/>
      <c r="H53" s="74">
        <f>_xlfn.XLOOKUP(G53,I:I,J:J)</f>
        <v/>
      </c>
      <c r="I53" s="84" t="inlineStr">
        <is>
          <t>12.00R20-18PR-CB919</t>
        </is>
      </c>
      <c r="J53" s="493" t="n">
        <v>1282.9526</v>
      </c>
      <c r="L53" s="77" t="inlineStr">
        <is>
          <t>12.00R20-EZ336</t>
        </is>
      </c>
      <c r="M53" s="77" t="n">
        <v>18</v>
      </c>
    </row>
    <row r="54" customFormat="1" s="69">
      <c r="B54" s="92" t="inlineStr">
        <is>
          <t>11R22.5-16PR-AZ850</t>
        </is>
      </c>
      <c r="C54" s="93" t="n">
        <v>38</v>
      </c>
      <c r="D54" s="495">
        <f>IF(C54="","",C54/(C54+$C$1/60))</f>
        <v/>
      </c>
      <c r="E54" s="95">
        <f>IFERROR(ROUND(1440/C54*2*D54,0),"")</f>
        <v/>
      </c>
      <c r="F54" s="96" t="n">
        <v>2</v>
      </c>
      <c r="G54" s="97" t="n"/>
      <c r="H54" s="74">
        <f>_xlfn.XLOOKUP(G54,I:I,J:J)</f>
        <v/>
      </c>
      <c r="I54" s="84" t="inlineStr">
        <is>
          <t>12.00R20-18PR-CB332</t>
        </is>
      </c>
      <c r="J54" s="493" t="n">
        <v>1274.3931</v>
      </c>
      <c r="L54" s="77" t="inlineStr">
        <is>
          <t>12.00R20-EZ345</t>
        </is>
      </c>
      <c r="M54" s="77" t="n">
        <v>6</v>
      </c>
    </row>
    <row r="55" customFormat="1" s="69">
      <c r="B55" s="92" t="inlineStr">
        <is>
          <t>11R22.5-16PR-DA25</t>
        </is>
      </c>
      <c r="C55" s="93" t="n">
        <v>44.5</v>
      </c>
      <c r="D55" s="495">
        <f>IF(C55="","",C55/(C55+$C$1/60))</f>
        <v/>
      </c>
      <c r="E55" s="95">
        <f>IFERROR(ROUND(1440/C55*2*D55,0),"")</f>
        <v/>
      </c>
      <c r="F55" s="96" t="n">
        <v>2</v>
      </c>
      <c r="G55" s="97" t="n"/>
      <c r="H55" s="74">
        <f>_xlfn.XLOOKUP(G55,I:I,J:J)</f>
        <v/>
      </c>
      <c r="I55" s="84" t="inlineStr">
        <is>
          <t>11R22.5-14PR-AT563</t>
        </is>
      </c>
      <c r="J55" s="493" t="n">
        <v>752.439</v>
      </c>
      <c r="L55" s="77" t="inlineStr">
        <is>
          <t>12.00R20-EZ535</t>
        </is>
      </c>
      <c r="M55" s="77" t="n">
        <v>2</v>
      </c>
    </row>
    <row r="56" customFormat="1" s="69">
      <c r="B56" s="92" t="inlineStr">
        <is>
          <t>11R22.5-16PR-SL11</t>
        </is>
      </c>
      <c r="C56" s="93" t="n">
        <v>39</v>
      </c>
      <c r="D56" s="495">
        <f>IF(C56="","",C56/(C56+$C$1/60))</f>
        <v/>
      </c>
      <c r="E56" s="95">
        <f>IFERROR(ROUND(1440/C56*2*D56,0),"")</f>
        <v/>
      </c>
      <c r="F56" s="96" t="n">
        <v>2</v>
      </c>
      <c r="G56" s="97" t="n"/>
      <c r="H56" s="74">
        <f>_xlfn.XLOOKUP(G56,I:I,J:J)</f>
        <v/>
      </c>
      <c r="I56" s="84" t="inlineStr">
        <is>
          <t>11.00R20-18PR-EZ330A</t>
        </is>
      </c>
      <c r="J56" s="493" t="n">
        <v>1047.4618</v>
      </c>
      <c r="L56" s="77" t="inlineStr">
        <is>
          <t>12.00R20-EZ309</t>
        </is>
      </c>
      <c r="M56" s="77" t="n">
        <v>8</v>
      </c>
    </row>
    <row r="57" customFormat="1" s="69">
      <c r="B57" s="92" t="inlineStr">
        <is>
          <t>11R22.5-16PR-DL21</t>
        </is>
      </c>
      <c r="C57" s="93" t="n">
        <v>46.5</v>
      </c>
      <c r="D57" s="495">
        <f>IF(C57="","",C57/(C57+$C$1/60))</f>
        <v/>
      </c>
      <c r="E57" s="95">
        <f>IFERROR(ROUND(1440/C57*2*D57,0),"")</f>
        <v/>
      </c>
      <c r="F57" s="96" t="n">
        <v>2</v>
      </c>
      <c r="G57" s="97" t="n"/>
      <c r="H57" s="74">
        <f>_xlfn.XLOOKUP(G57,I:I,J:J)</f>
        <v/>
      </c>
      <c r="I57" s="84" t="inlineStr">
        <is>
          <t>295/80R22.5-18PR-AT161</t>
        </is>
      </c>
      <c r="J57" s="493" t="n">
        <v>796.729</v>
      </c>
      <c r="L57" s="77" t="inlineStr">
        <is>
          <t>12.00R20-AZ850</t>
        </is>
      </c>
      <c r="M57" s="77" t="n">
        <v>2</v>
      </c>
    </row>
    <row r="58" customFormat="1" s="69">
      <c r="B58" s="92" t="inlineStr">
        <is>
          <t>11R22.5-16PR-DL22</t>
        </is>
      </c>
      <c r="C58" s="93" t="n">
        <v>44.5</v>
      </c>
      <c r="D58" s="495">
        <f>IF(C58="","",C58/(C58+$C$1/60))</f>
        <v/>
      </c>
      <c r="E58" s="95">
        <f>IFERROR(ROUND(1440/C58*2*D58,0),"")</f>
        <v/>
      </c>
      <c r="F58" s="96" t="n">
        <v>2</v>
      </c>
      <c r="G58" s="97" t="n"/>
      <c r="H58" s="74">
        <f>_xlfn.XLOOKUP(G58,I:I,J:J)</f>
        <v/>
      </c>
      <c r="I58" s="84" t="inlineStr">
        <is>
          <t>295/80R22.5-18PR-AD818</t>
        </is>
      </c>
      <c r="J58" s="493" t="n">
        <v>976.4426</v>
      </c>
      <c r="L58" s="77" t="inlineStr">
        <is>
          <t>12.00R20-EZ865</t>
        </is>
      </c>
      <c r="M58" s="77" t="n">
        <v>2</v>
      </c>
    </row>
    <row r="59" customFormat="1" s="69">
      <c r="B59" s="92" t="inlineStr">
        <is>
          <t>11R22.5-16PR-DA23</t>
        </is>
      </c>
      <c r="C59" s="93" t="n">
        <v>44.5</v>
      </c>
      <c r="D59" s="495">
        <f>IF(C59="","",C59/(C59+$C$1/60))</f>
        <v/>
      </c>
      <c r="E59" s="95">
        <f>IFERROR(ROUND(1440/C59*2*D59,0),"")</f>
        <v/>
      </c>
      <c r="F59" s="96" t="n">
        <v>2</v>
      </c>
      <c r="G59" s="97" t="n"/>
      <c r="H59" s="74">
        <f>_xlfn.XLOOKUP(G59,I:I,J:J)</f>
        <v/>
      </c>
      <c r="I59" s="84" t="inlineStr">
        <is>
          <t>295/80R22.5-18PR-AT186</t>
        </is>
      </c>
      <c r="J59" s="493" t="n">
        <v>735.896</v>
      </c>
      <c r="L59" s="77" t="inlineStr">
        <is>
          <t>12.00R20-EZ867</t>
        </is>
      </c>
      <c r="M59" s="77" t="n">
        <v>2</v>
      </c>
    </row>
    <row r="60" customFormat="1" s="69">
      <c r="B60" s="92" t="inlineStr">
        <is>
          <t>11R22.5-14PR-TL31</t>
        </is>
      </c>
      <c r="C60" s="93" t="n">
        <v>33</v>
      </c>
      <c r="D60" s="495">
        <f>IF(C60="","",C60/(C60+$C$1/60))</f>
        <v/>
      </c>
      <c r="E60" s="95">
        <f>IFERROR(ROUND(1440/C60*2*D60,0),"")</f>
        <v/>
      </c>
      <c r="F60" s="96" t="n">
        <v>2</v>
      </c>
      <c r="G60" s="97" t="n"/>
      <c r="H60" s="74">
        <f>_xlfn.XLOOKUP(G60,I:I,J:J)</f>
        <v/>
      </c>
      <c r="I60" s="84" t="inlineStr">
        <is>
          <t>295/80R22.5-18PR-AT196</t>
        </is>
      </c>
      <c r="J60" s="493" t="n">
        <v>792.6114</v>
      </c>
      <c r="L60" s="77" t="inlineStr">
        <is>
          <t>12.00R20-CB905</t>
        </is>
      </c>
      <c r="M60" s="77" t="n">
        <v>2</v>
      </c>
    </row>
    <row r="61" customFormat="1" s="69">
      <c r="B61" s="92" t="inlineStr">
        <is>
          <t>11R22.5-16PR-ZA12</t>
        </is>
      </c>
      <c r="C61" s="93" t="n">
        <v>40</v>
      </c>
      <c r="D61" s="495">
        <f>IF(C61="","",C61/(C61+$C$1/60))</f>
        <v/>
      </c>
      <c r="E61" s="95">
        <f>IFERROR(ROUND(1440/C61*2*D61,0),"")</f>
        <v/>
      </c>
      <c r="F61" s="96" t="n">
        <v>2</v>
      </c>
      <c r="G61" s="97" t="n"/>
      <c r="H61" s="74">
        <f>_xlfn.XLOOKUP(G61,I:I,J:J)</f>
        <v/>
      </c>
      <c r="I61" s="84" t="inlineStr">
        <is>
          <t>295/75R22.5-14PR-AT563</t>
        </is>
      </c>
      <c r="J61" s="493" t="n">
        <v>757.803</v>
      </c>
      <c r="L61" s="77" t="inlineStr">
        <is>
          <t>12.00R20-CB972新</t>
        </is>
      </c>
      <c r="M61" s="77" t="n">
        <v>8</v>
      </c>
    </row>
    <row r="62" customFormat="1" s="69">
      <c r="B62" s="92" t="inlineStr">
        <is>
          <t>11R22.5-16PR-ZM41</t>
        </is>
      </c>
      <c r="C62" s="93" t="n">
        <v>44</v>
      </c>
      <c r="D62" s="495">
        <f>IF(C62="","",C62/(C62+$C$1/60))</f>
        <v/>
      </c>
      <c r="E62" s="95">
        <f>IFERROR(ROUND(1440/C62*2*D62,0),"")</f>
        <v/>
      </c>
      <c r="F62" s="96" t="n">
        <v>2</v>
      </c>
      <c r="G62" s="97" t="n"/>
      <c r="H62" s="74">
        <f>_xlfn.XLOOKUP(G62,I:I,J:J)</f>
        <v/>
      </c>
      <c r="I62" s="84" t="inlineStr">
        <is>
          <t>10.00R20-18PR-AZ676</t>
        </is>
      </c>
      <c r="J62" s="493" t="n">
        <v>881.1236</v>
      </c>
      <c r="L62" s="77" t="inlineStr">
        <is>
          <t>12.00R24-CB972</t>
        </is>
      </c>
      <c r="M62" s="77" t="n">
        <v>4</v>
      </c>
    </row>
    <row r="63" customFormat="1" s="69">
      <c r="B63" s="92" t="inlineStr">
        <is>
          <t>11R22.5-14PR-CR915 eco</t>
        </is>
      </c>
      <c r="C63" s="93" t="n">
        <v>33.5</v>
      </c>
      <c r="D63" s="495">
        <f>IF(C63="","",C63/(C63+$C$1/60))</f>
        <v/>
      </c>
      <c r="E63" s="95">
        <f>IFERROR(ROUND(1440/C63*2*D63,0),"")</f>
        <v/>
      </c>
      <c r="F63" s="96" t="n">
        <v>4</v>
      </c>
      <c r="G63" s="97" t="n"/>
      <c r="H63" s="74">
        <f>_xlfn.XLOOKUP(G63,I:I,J:J)</f>
        <v/>
      </c>
      <c r="I63" s="84" t="inlineStr">
        <is>
          <t>10.00R20-18PR-CB905</t>
        </is>
      </c>
      <c r="J63" s="493" t="n">
        <v>979.5485</v>
      </c>
      <c r="L63" s="77" t="inlineStr">
        <is>
          <t>12.00R24-CB972E</t>
        </is>
      </c>
      <c r="M63" s="77" t="n">
        <v>10</v>
      </c>
    </row>
    <row r="64" customFormat="1" s="69">
      <c r="B64" s="92" t="inlineStr">
        <is>
          <t>11R22.5-16PR-AD716</t>
        </is>
      </c>
      <c r="C64" s="93" t="n">
        <v>38.5</v>
      </c>
      <c r="D64" s="495">
        <f>IF(C64="","",C64/(C64+$C$1/60))</f>
        <v/>
      </c>
      <c r="E64" s="95">
        <f>IFERROR(ROUND(1440/C64*2*D64,0),"")</f>
        <v/>
      </c>
      <c r="F64" s="96" t="n">
        <v>2</v>
      </c>
      <c r="G64" s="97" t="n"/>
      <c r="H64" s="74">
        <f>_xlfn.XLOOKUP(G64,I:I,J:J)</f>
        <v/>
      </c>
      <c r="I64" s="84" t="inlineStr">
        <is>
          <t>10.00R20-18PR-CB332</t>
        </is>
      </c>
      <c r="J64" s="493" t="n">
        <v>959.854</v>
      </c>
      <c r="L64" s="77" t="inlineStr">
        <is>
          <t>12.00R24-EZ336</t>
        </is>
      </c>
      <c r="M64" s="77" t="n">
        <v>8</v>
      </c>
    </row>
    <row r="65" customFormat="1" s="69">
      <c r="B65" s="92" t="inlineStr">
        <is>
          <t>11R22.5-14PR-AT563</t>
        </is>
      </c>
      <c r="C65" s="93" t="n">
        <v>38.5</v>
      </c>
      <c r="D65" s="495">
        <f>IF(C65="","",C65/(C65+$C$1/60))</f>
        <v/>
      </c>
      <c r="E65" s="95">
        <f>IFERROR(ROUND(1440/C65*2*D65,0),"")</f>
        <v/>
      </c>
      <c r="F65" s="96" t="n">
        <v>2</v>
      </c>
      <c r="G65" s="97" t="n"/>
      <c r="H65" s="74">
        <f>_xlfn.XLOOKUP(G65,I:I,J:J)</f>
        <v/>
      </c>
      <c r="I65" s="84" t="inlineStr">
        <is>
          <t>12.00R24-20PR-CB972</t>
        </is>
      </c>
      <c r="J65" s="493" t="n">
        <v>1172.1857</v>
      </c>
      <c r="L65" s="77" t="inlineStr">
        <is>
          <t>295/80R22.5-WSR1</t>
        </is>
      </c>
      <c r="M65" s="77" t="n">
        <v>2</v>
      </c>
    </row>
    <row r="66" customFormat="1" s="69">
      <c r="B66" s="92" t="inlineStr">
        <is>
          <t>11R22.5-14PR-AT552</t>
        </is>
      </c>
      <c r="C66" s="93" t="n">
        <v>36.5</v>
      </c>
      <c r="D66" s="495">
        <f>IF(C66="","",C66/(C66+$C$1/60))</f>
        <v/>
      </c>
      <c r="E66" s="95">
        <f>IFERROR(ROUND(1440/C66*2*D66,0),"")</f>
        <v/>
      </c>
      <c r="F66" s="96" t="n">
        <v>12</v>
      </c>
      <c r="G66" s="97" t="n"/>
      <c r="H66" s="74">
        <f>_xlfn.XLOOKUP(G66,I:I,J:J)</f>
        <v/>
      </c>
      <c r="I66" s="84" t="inlineStr">
        <is>
          <t>12.00R24-20PR-EZ336</t>
        </is>
      </c>
      <c r="J66" s="493" t="n">
        <v>1283.534</v>
      </c>
      <c r="L66" s="77" t="inlineStr">
        <is>
          <t>295/80R22.5-CM958</t>
        </is>
      </c>
      <c r="M66" s="77" t="n">
        <v>2</v>
      </c>
    </row>
    <row r="67" customFormat="1" s="69">
      <c r="B67" s="92" t="inlineStr">
        <is>
          <t>11R22.5-16PR-CM958</t>
        </is>
      </c>
      <c r="C67" s="93" t="n">
        <v>38</v>
      </c>
      <c r="D67" s="495">
        <f>IF(C67="","",C67/(C67+$C$1/60))</f>
        <v/>
      </c>
      <c r="E67" s="95">
        <f>IFERROR(ROUND(1440/C67*2*D67,0),"")</f>
        <v/>
      </c>
      <c r="F67" s="96" t="n">
        <v>2</v>
      </c>
      <c r="G67" s="97" t="n"/>
      <c r="H67" s="74">
        <f>_xlfn.XLOOKUP(G67,I:I,J:J)</f>
        <v/>
      </c>
      <c r="I67" s="84" t="inlineStr">
        <is>
          <t>7.50R16-14PR-AZ676</t>
        </is>
      </c>
      <c r="J67" s="493" t="n">
        <v>422.515688</v>
      </c>
      <c r="L67" s="77" t="inlineStr">
        <is>
          <t>11R22.5-CM958</t>
        </is>
      </c>
      <c r="M67" s="77" t="n">
        <v>2</v>
      </c>
    </row>
    <row r="68" customFormat="1" s="69">
      <c r="B68" s="92" t="inlineStr">
        <is>
          <t>11R22.5-16PR-I-19A</t>
        </is>
      </c>
      <c r="C68" s="93" t="n">
        <v>37</v>
      </c>
      <c r="D68" s="495">
        <f>IF(C68="","",C68/(C68+$C$1/60))</f>
        <v/>
      </c>
      <c r="E68" s="95">
        <f>IFERROR(ROUND(1440/C68*2*D68,0),"")</f>
        <v/>
      </c>
      <c r="F68" s="96" t="n">
        <v>2</v>
      </c>
      <c r="G68" s="97" t="n"/>
      <c r="H68" s="74">
        <f>_xlfn.XLOOKUP(G68,I:I,J:J)</f>
        <v/>
      </c>
      <c r="I68" s="84" t="inlineStr">
        <is>
          <t>7.50R16-14PR-SUPER AM S</t>
        </is>
      </c>
      <c r="J68" s="493" t="n">
        <v>429.2687</v>
      </c>
      <c r="L68" s="77" t="inlineStr">
        <is>
          <t>11R22.5-CR915</t>
        </is>
      </c>
      <c r="M68" s="77" t="n">
        <v>20</v>
      </c>
    </row>
    <row r="69" customFormat="1" s="69">
      <c r="B69" s="92" t="inlineStr">
        <is>
          <t>11R22.5-16PR-CM980</t>
        </is>
      </c>
      <c r="C69" s="93" t="n">
        <v>38</v>
      </c>
      <c r="D69" s="495">
        <f>IF(C69="","",C69/(C69+$C$1/60))</f>
        <v/>
      </c>
      <c r="E69" s="95">
        <f>IFERROR(ROUND(1440/C69*2*D69,0),"")</f>
        <v/>
      </c>
      <c r="F69" s="96" t="n">
        <v>2</v>
      </c>
      <c r="G69" s="97" t="n"/>
      <c r="H69" s="74">
        <f>_xlfn.XLOOKUP(G69,I:I,J:J)</f>
        <v/>
      </c>
      <c r="I69" s="84" t="inlineStr">
        <is>
          <t>7.50R16-14PR-MOBY.R856X</t>
        </is>
      </c>
      <c r="J69" s="493" t="n">
        <v>429.2687</v>
      </c>
      <c r="L69" s="77" t="inlineStr">
        <is>
          <t>11R22.5-AD716</t>
        </is>
      </c>
      <c r="M69" s="77" t="n">
        <v>4</v>
      </c>
    </row>
    <row r="70" customFormat="1" s="69">
      <c r="B70" s="92" t="inlineStr">
        <is>
          <t>12.00R20-18PR-EZ336</t>
        </is>
      </c>
      <c r="C70" s="93" t="n">
        <v>55.5</v>
      </c>
      <c r="D70" s="495">
        <f>IF(C70="","",C70/(C70+$C$1/60))</f>
        <v/>
      </c>
      <c r="E70" s="95">
        <f>IFERROR(ROUND(1440/C70*2*D70,0),"")</f>
        <v/>
      </c>
      <c r="F70" s="96" t="n">
        <v>10</v>
      </c>
      <c r="G70" s="97" t="n"/>
      <c r="H70" s="74">
        <f>_xlfn.XLOOKUP(G70,I:I,J:J)</f>
        <v/>
      </c>
      <c r="I70" s="84" t="inlineStr">
        <is>
          <t>7.50R16-14PR-AM4S.Q669</t>
        </is>
      </c>
      <c r="J70" s="493" t="n">
        <v>429.2687</v>
      </c>
      <c r="L70" s="77" t="inlineStr">
        <is>
          <t>11R22.5-AT552</t>
        </is>
      </c>
      <c r="M70" s="77" t="n">
        <v>14</v>
      </c>
    </row>
    <row r="71" customFormat="1" s="69">
      <c r="B71" s="92" t="inlineStr">
        <is>
          <t>12.00R20-18PR-CB972</t>
        </is>
      </c>
      <c r="C71" s="93" t="n">
        <v>53.5</v>
      </c>
      <c r="D71" s="495">
        <f>IF(C71="","",C71/(C71+$C$1/60))</f>
        <v/>
      </c>
      <c r="E71" s="95">
        <f>IFERROR(ROUND(1440/C71*2*D71,0),"")</f>
        <v/>
      </c>
      <c r="F71" s="96" t="n">
        <v>4</v>
      </c>
      <c r="G71" s="97" t="n"/>
      <c r="H71" s="74">
        <f>_xlfn.XLOOKUP(G71,I:I,J:J)</f>
        <v/>
      </c>
      <c r="I71" s="84" t="inlineStr">
        <is>
          <t>7.50R16-14PR-ETOD</t>
        </is>
      </c>
      <c r="J71" s="493" t="n">
        <v>429.2687</v>
      </c>
      <c r="L71" s="77" t="inlineStr">
        <is>
          <t>11R22.5-CM983</t>
        </is>
      </c>
      <c r="M71" s="77" t="n">
        <v>2</v>
      </c>
    </row>
    <row r="72" customFormat="1" s="69">
      <c r="B72" s="92" t="inlineStr">
        <is>
          <t>12.00R20-18PR-EZ345</t>
        </is>
      </c>
      <c r="C72" s="93" t="n">
        <v>48</v>
      </c>
      <c r="D72" s="495">
        <f>IF(C72="","",C72/(C72+$C$1/60))</f>
        <v/>
      </c>
      <c r="E72" s="95">
        <f>IFERROR(ROUND(1440/C72*2*D72,0),"")</f>
        <v/>
      </c>
      <c r="F72" s="96" t="n">
        <v>6</v>
      </c>
      <c r="G72" s="97" t="n"/>
      <c r="H72" s="74">
        <f>_xlfn.XLOOKUP(G72,I:I,J:J)</f>
        <v/>
      </c>
      <c r="I72" s="84" t="inlineStr">
        <is>
          <t>10.00-20-18PR-L9057</t>
        </is>
      </c>
      <c r="J72" s="493" t="n">
        <v>884.404073</v>
      </c>
      <c r="L72" s="77" t="inlineStr">
        <is>
          <t>11R22.5-AD757</t>
        </is>
      </c>
      <c r="M72" s="77" t="n">
        <v>2</v>
      </c>
    </row>
    <row r="73" customFormat="1" s="69">
      <c r="B73" s="92" t="inlineStr">
        <is>
          <t>12.00R20-18PR-EZ310</t>
        </is>
      </c>
      <c r="C73" s="93" t="n">
        <v>66.5</v>
      </c>
      <c r="D73" s="495">
        <f>IF(C73="","",C73/(C73+$C$1/60))</f>
        <v/>
      </c>
      <c r="E73" s="95">
        <f>IFERROR(ROUND(1440/C73*2*D73,0),"")</f>
        <v/>
      </c>
      <c r="F73" s="96" t="n">
        <v>8</v>
      </c>
      <c r="G73" s="97" t="n"/>
      <c r="H73" s="74">
        <f>_xlfn.XLOOKUP(G73,I:I,J:J)</f>
        <v/>
      </c>
      <c r="I73" s="84" t="inlineStr">
        <is>
          <t>10.00-20-18PR-AB316</t>
        </is>
      </c>
      <c r="J73" s="493" t="n">
        <v>884.404073</v>
      </c>
      <c r="L73" s="77" t="inlineStr">
        <is>
          <t>11R22.5-AS678</t>
        </is>
      </c>
      <c r="M73" s="77" t="n">
        <v>2</v>
      </c>
    </row>
    <row r="74" customFormat="1" s="69">
      <c r="B74" s="92" t="inlineStr">
        <is>
          <t>12.00R20-18PR-EZ535</t>
        </is>
      </c>
      <c r="C74" s="93" t="n">
        <v>57.5</v>
      </c>
      <c r="D74" s="495">
        <f>IF(C74="","",C74/(C74+$C$1/60))</f>
        <v/>
      </c>
      <c r="E74" s="95">
        <f>IFERROR(ROUND(1440/C74*2*D74,0),"")</f>
        <v/>
      </c>
      <c r="F74" s="96" t="n">
        <v>2</v>
      </c>
      <c r="G74" s="97" t="n"/>
      <c r="H74" s="74">
        <f>_xlfn.XLOOKUP(G74,I:I,J:J)</f>
        <v/>
      </c>
      <c r="I74" s="84" t="inlineStr">
        <is>
          <t>295/80R22.5-18PR-RF35</t>
        </is>
      </c>
      <c r="J74" s="493" t="n">
        <v>789.2913</v>
      </c>
      <c r="L74" s="77" t="inlineStr">
        <is>
          <t>11R22.5-AT598</t>
        </is>
      </c>
      <c r="M74" s="77" t="n">
        <v>2</v>
      </c>
    </row>
    <row r="75" customFormat="1" s="69">
      <c r="B75" s="92" t="inlineStr">
        <is>
          <t>12.00R20-18PR-CB332</t>
        </is>
      </c>
      <c r="C75" s="93" t="n">
        <v>54</v>
      </c>
      <c r="D75" s="495">
        <f>IF(C75="","",C75/(C75+$C$1/60))</f>
        <v/>
      </c>
      <c r="E75" s="95">
        <f>IFERROR(ROUND(1440/C75*2*D75,0),"")</f>
        <v/>
      </c>
      <c r="F75" s="96" t="n">
        <v>4</v>
      </c>
      <c r="G75" s="97" t="n"/>
      <c r="H75" s="74">
        <f>_xlfn.XLOOKUP(G75,I:I,J:J)</f>
        <v/>
      </c>
      <c r="I75" s="84" t="inlineStr">
        <is>
          <t>295/80R22.5-18PR-ECOPLUS</t>
        </is>
      </c>
      <c r="J75" s="493" t="n">
        <v>788.6249</v>
      </c>
      <c r="L75" s="77" t="inlineStr">
        <is>
          <t>11R22.5-AD759</t>
        </is>
      </c>
      <c r="M75" s="77" t="n">
        <v>2</v>
      </c>
    </row>
    <row r="76" customFormat="1" s="69">
      <c r="B76" s="92" t="inlineStr">
        <is>
          <t>12.00R20-18PR-CB919</t>
        </is>
      </c>
      <c r="C76" s="93" t="n">
        <v>54</v>
      </c>
      <c r="D76" s="495">
        <f>IF(C76="","",C76/(C76+$C$1/60))</f>
        <v/>
      </c>
      <c r="E76" s="95">
        <f>IFERROR(ROUND(1440/C76*2*D76,0),"")</f>
        <v/>
      </c>
      <c r="F76" s="96" t="n">
        <v>2</v>
      </c>
      <c r="G76" s="97" t="n"/>
      <c r="H76" s="74">
        <f>_xlfn.XLOOKUP(G76,I:I,J:J)</f>
        <v/>
      </c>
      <c r="I76" s="84" t="inlineStr">
        <is>
          <t>295/80R22.5-18PR-CM997</t>
        </is>
      </c>
      <c r="J76" s="493" t="n">
        <v>925.1298</v>
      </c>
      <c r="L76" s="77" t="inlineStr">
        <is>
          <t>11R22.5-AZ599</t>
        </is>
      </c>
      <c r="M76" s="77" t="n">
        <v>2</v>
      </c>
    </row>
    <row r="77" customFormat="1" s="69">
      <c r="B77" s="92" t="inlineStr">
        <is>
          <t>12.00R24-20PR-CB972E</t>
        </is>
      </c>
      <c r="C77" s="93" t="n">
        <v>56.5</v>
      </c>
      <c r="D77" s="495">
        <f>IF(C77="","",C77/(C77+$C$1/60))</f>
        <v/>
      </c>
      <c r="E77" s="95">
        <f>IFERROR(ROUND(1440/C77*2*D77,0),"")</f>
        <v/>
      </c>
      <c r="F77" s="96" t="n">
        <v>10</v>
      </c>
      <c r="G77" s="97" t="n"/>
      <c r="H77" s="74">
        <f>_xlfn.XLOOKUP(G77,I:I,J:J)</f>
        <v/>
      </c>
      <c r="I77" s="84" t="inlineStr">
        <is>
          <t>合计</t>
        </is>
      </c>
      <c r="J77" s="493" t="n"/>
      <c r="L77" s="77" t="inlineStr">
        <is>
          <t>11R22.5-AT563</t>
        </is>
      </c>
      <c r="M77" s="77" t="n">
        <v>6</v>
      </c>
    </row>
    <row r="78" customFormat="1" s="69">
      <c r="B78" s="92" t="inlineStr">
        <is>
          <t>12.00R24-20PR-CB919</t>
        </is>
      </c>
      <c r="C78" s="93" t="n">
        <v>56.5</v>
      </c>
      <c r="D78" s="495">
        <f>IF(C78="","",C78/(C78+$C$1/60))</f>
        <v/>
      </c>
      <c r="E78" s="95">
        <f>IFERROR(ROUND(1440/C78*2*D78,0),"")</f>
        <v/>
      </c>
      <c r="F78" s="96" t="n">
        <v>6</v>
      </c>
      <c r="G78" s="97" t="n"/>
      <c r="H78" s="74">
        <f>_xlfn.XLOOKUP(G78,I:I,J:J)</f>
        <v/>
      </c>
      <c r="I78" s="98" t="inlineStr">
        <is>
          <t>规格花纹</t>
        </is>
      </c>
      <c r="J78" s="99" t="inlineStr">
        <is>
          <t>单条中策价</t>
        </is>
      </c>
      <c r="L78" s="77" t="inlineStr">
        <is>
          <t>12R22.5-AS898H</t>
        </is>
      </c>
      <c r="M78" s="77" t="n">
        <v>2</v>
      </c>
    </row>
    <row r="79" customFormat="1" s="69">
      <c r="B79" s="92" t="inlineStr">
        <is>
          <t>12.00R24-20PR-EZ336</t>
        </is>
      </c>
      <c r="C79" s="93" t="n">
        <v>56.5</v>
      </c>
      <c r="D79" s="495">
        <f>IF(C79="","",C79/(C79+$C$1/60))</f>
        <v/>
      </c>
      <c r="E79" s="95">
        <f>IFERROR(ROUND(1440/C79*2*D79,0),"")</f>
        <v/>
      </c>
      <c r="F79" s="96" t="n">
        <v>8</v>
      </c>
      <c r="G79" s="97" t="n"/>
      <c r="H79" s="74">
        <f>_xlfn.XLOOKUP(G79,I:I,J:J)</f>
        <v/>
      </c>
      <c r="I79" s="98" t="inlineStr">
        <is>
          <t>7.50-16-14PR-R8037</t>
        </is>
      </c>
      <c r="J79" s="493" t="n">
        <v>356.493893</v>
      </c>
      <c r="L79" s="77" t="inlineStr">
        <is>
          <t>12R22.5-AZ850M</t>
        </is>
      </c>
      <c r="M79" s="77" t="n">
        <v>2</v>
      </c>
    </row>
    <row r="80" customFormat="1" s="69">
      <c r="B80" s="92" t="inlineStr">
        <is>
          <t>12.00R24-20PR-ETOT</t>
        </is>
      </c>
      <c r="C80" s="93" t="n">
        <v>63</v>
      </c>
      <c r="D80" s="495">
        <f>IF(C80="","",C80/(C80+$C$1/60))</f>
        <v/>
      </c>
      <c r="E80" s="95">
        <f>IFERROR(ROUND(1440/C80*2*D80,0),"")</f>
        <v/>
      </c>
      <c r="F80" s="96" t="n">
        <v>2</v>
      </c>
      <c r="G80" s="97" t="n"/>
      <c r="H80" s="74">
        <f>_xlfn.XLOOKUP(G80,I:I,J:J)</f>
        <v/>
      </c>
      <c r="I80" s="98" t="inlineStr">
        <is>
          <t>7.50-16-14PR-R8038</t>
        </is>
      </c>
      <c r="J80" s="493" t="n">
        <v>369.758704</v>
      </c>
      <c r="L80" s="77" t="inlineStr">
        <is>
          <t>295/75R22.5-AT552</t>
        </is>
      </c>
      <c r="M80" s="77" t="n">
        <v>6</v>
      </c>
    </row>
    <row r="81" customFormat="1" s="69">
      <c r="B81" s="92" t="inlineStr">
        <is>
          <t>12.00R24-20PR-CB332</t>
        </is>
      </c>
      <c r="C81" s="93" t="n">
        <v>56.5</v>
      </c>
      <c r="D81" s="495">
        <f>IF(C81="","",C81/(C81+$C$1/60))</f>
        <v/>
      </c>
      <c r="E81" s="95">
        <f>IFERROR(ROUND(1440/C81*2*D81,0),"")</f>
        <v/>
      </c>
      <c r="F81" s="96" t="n">
        <v>6</v>
      </c>
      <c r="G81" s="97" t="n"/>
      <c r="H81" s="74">
        <f>_xlfn.XLOOKUP(G81,I:I,J:J)</f>
        <v/>
      </c>
      <c r="I81" s="98" t="inlineStr">
        <is>
          <t>7.50-16-14PR-M8086</t>
        </is>
      </c>
      <c r="J81" s="493" t="n">
        <v>405.031494</v>
      </c>
      <c r="L81" s="77" t="inlineStr">
        <is>
          <t>295/75R22.5-CR915</t>
        </is>
      </c>
      <c r="M81" s="77" t="n">
        <v>12</v>
      </c>
    </row>
    <row r="82" customFormat="1" s="69">
      <c r="B82" s="92" t="inlineStr">
        <is>
          <t>12.00R24-20PR-CB972</t>
        </is>
      </c>
      <c r="C82" s="93" t="n">
        <v>51.5</v>
      </c>
      <c r="D82" s="495">
        <f>IF(C82="","",C82/(C82+$C$1/60))</f>
        <v/>
      </c>
      <c r="E82" s="95">
        <f>IFERROR(ROUND(1440/C82*2*D82,0),"")</f>
        <v/>
      </c>
      <c r="F82" s="96" t="n">
        <v>2</v>
      </c>
      <c r="G82" s="97" t="n"/>
      <c r="H82" s="74">
        <f>_xlfn.XLOOKUP(G82,I:I,J:J)</f>
        <v/>
      </c>
      <c r="I82" s="98" t="inlineStr">
        <is>
          <t>7.50-16-14PR-M8087</t>
        </is>
      </c>
      <c r="J82" s="493" t="n">
        <v>442.8823</v>
      </c>
      <c r="L82" s="77" t="inlineStr">
        <is>
          <t>295/75R22.5-AZ599</t>
        </is>
      </c>
      <c r="M82" s="77" t="n">
        <v>6</v>
      </c>
    </row>
    <row r="83" customFormat="1" s="69">
      <c r="B83" s="92" t="inlineStr">
        <is>
          <t>295/80R22.5-18PR-AS868pro</t>
        </is>
      </c>
      <c r="C83" s="93" t="n">
        <v>58</v>
      </c>
      <c r="D83" s="495">
        <f>IF(C83="","",C83/(C83+$C$1/60))</f>
        <v/>
      </c>
      <c r="E83" s="95">
        <f>IFERROR(ROUND(1440/C83*2*D83,0),"")</f>
        <v/>
      </c>
      <c r="F83" s="96" t="n">
        <v>2</v>
      </c>
      <c r="G83" s="97" t="n"/>
      <c r="H83" s="74">
        <f>_xlfn.XLOOKUP(G83,I:I,J:J)</f>
        <v/>
      </c>
      <c r="I83" s="98" t="inlineStr">
        <is>
          <t>7.50-16-14PR-L8056</t>
        </is>
      </c>
      <c r="J83" s="493" t="n">
        <v>367.795</v>
      </c>
      <c r="L83" s="77" t="inlineStr">
        <is>
          <t>295/75R22.5-AD716</t>
        </is>
      </c>
      <c r="M83" s="77" t="n">
        <v>6</v>
      </c>
    </row>
    <row r="84" customFormat="1" s="69">
      <c r="B84" s="92" t="inlineStr">
        <is>
          <t>295/80R22.5-18PR-AS858pro</t>
        </is>
      </c>
      <c r="C84" s="93" t="n">
        <v>58</v>
      </c>
      <c r="D84" s="495">
        <f>IF(C84="","",C84/(C84+$C$1/60))</f>
        <v/>
      </c>
      <c r="E84" s="95">
        <f>IFERROR(ROUND(1440/C84*2*D84,0),"")</f>
        <v/>
      </c>
      <c r="F84" s="96" t="n">
        <v>2</v>
      </c>
      <c r="G84" s="97" t="n"/>
      <c r="H84" s="74">
        <f>_xlfn.XLOOKUP(G84,I:I,J:J)</f>
        <v/>
      </c>
      <c r="I84" s="98" t="inlineStr">
        <is>
          <t>10.00-20-18PR-R9037</t>
        </is>
      </c>
      <c r="J84" s="493" t="n">
        <v>1014.086</v>
      </c>
      <c r="L84" s="77" t="inlineStr">
        <is>
          <t>295/75R22.5-AT563</t>
        </is>
      </c>
      <c r="M84" s="77" t="n">
        <v>4</v>
      </c>
    </row>
    <row r="85" customFormat="1" s="69">
      <c r="B85" s="92" t="inlineStr">
        <is>
          <t>295/80R22.5-18PR-WSR1</t>
        </is>
      </c>
      <c r="C85" s="93" t="n">
        <v>41.5</v>
      </c>
      <c r="D85" s="495">
        <f>IF(C85="","",C85/(C85+$C$1/60))</f>
        <v/>
      </c>
      <c r="E85" s="95">
        <f>IFERROR(ROUND(1440/C85*2*D85,0),"")</f>
        <v/>
      </c>
      <c r="F85" s="96" t="n">
        <v>2</v>
      </c>
      <c r="G85" s="97" t="n"/>
      <c r="H85" s="74">
        <f>_xlfn.XLOOKUP(G85,I:I,J:J)</f>
        <v/>
      </c>
      <c r="I85" s="98" t="inlineStr">
        <is>
          <t>10.00-20-18PR-M9096</t>
        </is>
      </c>
      <c r="J85" s="493" t="n">
        <v>1034.449745</v>
      </c>
      <c r="L85" s="77" t="inlineStr">
        <is>
          <t>295/75R22.5-AS600</t>
        </is>
      </c>
      <c r="M85" s="77" t="n">
        <v>2</v>
      </c>
    </row>
    <row r="86" customFormat="1" s="69">
      <c r="B86" s="92" t="inlineStr">
        <is>
          <t>295/80R22.5-18PR-CM958</t>
        </is>
      </c>
      <c r="C86" s="93" t="n">
        <v>39.5</v>
      </c>
      <c r="D86" s="495">
        <f>IF(C86="","",C86/(C86+$C$1/60))</f>
        <v/>
      </c>
      <c r="E86" s="95">
        <f>IFERROR(ROUND(1440/C86*2*D86,0),"")</f>
        <v/>
      </c>
      <c r="F86" s="96" t="n">
        <v>2</v>
      </c>
      <c r="G86" s="97" t="n"/>
      <c r="H86" s="74">
        <f>_xlfn.XLOOKUP(G86,I:I,J:J)</f>
        <v/>
      </c>
      <c r="I86" s="98" t="inlineStr">
        <is>
          <t>10.00-20-18PR-M9097</t>
        </is>
      </c>
      <c r="J86" s="493" t="n">
        <v>1034.449745</v>
      </c>
      <c r="L86" s="77" t="inlineStr">
        <is>
          <t>295/75R22.5-CM983</t>
        </is>
      </c>
      <c r="M86" s="77" t="n">
        <v>4</v>
      </c>
    </row>
    <row r="87" customFormat="1" s="69">
      <c r="B87" s="92" t="inlineStr">
        <is>
          <t>295/80R22.5-18PR-CR976A</t>
        </is>
      </c>
      <c r="C87" s="93" t="n">
        <v>34.7</v>
      </c>
      <c r="D87" s="495">
        <f>IF(C87="","",C87/(C87+$C$1/60))</f>
        <v/>
      </c>
      <c r="E87" s="95">
        <f>IFERROR(ROUND(1440/C87*2*D87,0),"")</f>
        <v/>
      </c>
      <c r="F87" s="96" t="n">
        <v>8</v>
      </c>
      <c r="G87" s="97" t="n"/>
      <c r="H87" s="74">
        <f>_xlfn.XLOOKUP(G87,I:I,J:J)</f>
        <v/>
      </c>
      <c r="I87" s="98" t="inlineStr">
        <is>
          <t>10.00-20-18PR-CR952</t>
        </is>
      </c>
      <c r="J87" s="493" t="n">
        <v>866.4032999999999</v>
      </c>
      <c r="L87" s="77" t="inlineStr">
        <is>
          <t>295/75R22.5-AS678</t>
        </is>
      </c>
      <c r="M87" s="77" t="n">
        <v>2</v>
      </c>
    </row>
    <row r="88" customFormat="1" s="69">
      <c r="B88" s="92" t="inlineStr">
        <is>
          <t>295/80R22.5-18PR-AT161</t>
        </is>
      </c>
      <c r="C88" s="93" t="n">
        <v>34.7</v>
      </c>
      <c r="D88" s="495">
        <f>IF(C88="","",C88/(C88+$C$1/60))</f>
        <v/>
      </c>
      <c r="E88" s="95">
        <f>IFERROR(ROUND(1440/C88*2*D88,0),"")</f>
        <v/>
      </c>
      <c r="F88" s="96" t="n">
        <v>10</v>
      </c>
      <c r="G88" s="97" t="n"/>
      <c r="H88" s="74">
        <f>_xlfn.XLOOKUP(G88,I:I,J:J)</f>
        <v/>
      </c>
      <c r="I88" s="98" t="inlineStr">
        <is>
          <t>10.00-20-16PR-R9037</t>
        </is>
      </c>
      <c r="J88" s="493" t="n">
        <v>1014.086</v>
      </c>
      <c r="L88" s="77" t="inlineStr">
        <is>
          <t>295/75R22.5-AD737</t>
        </is>
      </c>
      <c r="M88" s="77" t="n">
        <v>2</v>
      </c>
    </row>
    <row r="89" customFormat="1" s="69">
      <c r="B89" s="92" t="inlineStr">
        <is>
          <t>295/80R22.5-18PR-AS898</t>
        </is>
      </c>
      <c r="C89" s="93" t="n">
        <v>46</v>
      </c>
      <c r="D89" s="495">
        <f>IF(C89="","",C89/(C89+$C$1/60))</f>
        <v/>
      </c>
      <c r="E89" s="95">
        <f>IFERROR(ROUND(1440/C89*2*D89,0),"")</f>
        <v/>
      </c>
      <c r="F89" s="96" t="n">
        <v>2</v>
      </c>
      <c r="G89" s="97" t="n"/>
      <c r="H89" s="74">
        <f>_xlfn.XLOOKUP(G89,I:I,J:J)</f>
        <v/>
      </c>
      <c r="I89" s="98" t="inlineStr">
        <is>
          <t>10.00-20-18PR-CL956</t>
        </is>
      </c>
      <c r="J89" s="493" t="n">
        <v>857.4783</v>
      </c>
      <c r="L89" s="77" t="inlineStr">
        <is>
          <t>295/75R22.5-AD778</t>
        </is>
      </c>
      <c r="M89" s="77" t="n">
        <v>2</v>
      </c>
    </row>
    <row r="90" customFormat="1" s="69">
      <c r="B90" s="92" t="inlineStr">
        <is>
          <t>295/80R22.5-18PR-AD818</t>
        </is>
      </c>
      <c r="C90" s="93" t="n">
        <v>45.5</v>
      </c>
      <c r="D90" s="495">
        <f>IF(C90="","",C90/(C90+$C$1/60))</f>
        <v/>
      </c>
      <c r="E90" s="95">
        <f>IFERROR(ROUND(1440/C90*2*D90,0),"")</f>
        <v/>
      </c>
      <c r="F90" s="96" t="n">
        <v>2</v>
      </c>
      <c r="G90" s="97" t="n"/>
      <c r="H90" s="74">
        <f>_xlfn.XLOOKUP(G90,I:I,J:J)</f>
        <v/>
      </c>
      <c r="I90" s="98" t="inlineStr">
        <is>
          <t>10.00-20-16PR-M9097</t>
        </is>
      </c>
      <c r="J90" s="493" t="n">
        <v>1034.449745</v>
      </c>
      <c r="L90" s="77" t="inlineStr">
        <is>
          <t>295/75R22.5-AD759</t>
        </is>
      </c>
      <c r="M90" s="77" t="n">
        <v>2</v>
      </c>
    </row>
    <row r="91" customFormat="1" s="69">
      <c r="B91" s="92" t="inlineStr">
        <is>
          <t>295/80R22.5-18PR-AD733</t>
        </is>
      </c>
      <c r="C91" s="93" t="n">
        <v>45.5</v>
      </c>
      <c r="D91" s="495">
        <f>IF(C91="","",C91/(C91+$C$1/60))</f>
        <v/>
      </c>
      <c r="E91" s="95">
        <f>IFERROR(ROUND(1440/C91*2*D91,0),"")</f>
        <v/>
      </c>
      <c r="F91" s="96" t="n">
        <v>2</v>
      </c>
      <c r="G91" s="97" t="n"/>
      <c r="H91" s="74">
        <f>_xlfn.XLOOKUP(G91,I:I,J:J)</f>
        <v/>
      </c>
      <c r="I91" s="98" t="inlineStr">
        <is>
          <t>7.50R16-14PR-TZ202</t>
        </is>
      </c>
      <c r="J91" s="493" t="n">
        <v>425.068</v>
      </c>
      <c r="L91" s="77" t="inlineStr">
        <is>
          <t>295/75R22.5-AS600+</t>
        </is>
      </c>
      <c r="M91" s="77" t="n">
        <v>2</v>
      </c>
    </row>
    <row r="92" customFormat="1" s="69">
      <c r="B92" s="92" t="inlineStr">
        <is>
          <t>295/80R22.5-18PR-MD777</t>
        </is>
      </c>
      <c r="C92" s="93" t="n">
        <v>44.5</v>
      </c>
      <c r="D92" s="495">
        <f>IF(C92="","",C92/(C92+$C$1/60))</f>
        <v/>
      </c>
      <c r="E92" s="95">
        <f>IFERROR(ROUND(1440/C92*2*D92,0),"")</f>
        <v/>
      </c>
      <c r="F92" s="96" t="n">
        <v>4</v>
      </c>
      <c r="G92" s="97" t="n"/>
      <c r="H92" s="74">
        <f>_xlfn.XLOOKUP(G92,I:I,J:J)</f>
        <v/>
      </c>
      <c r="I92" s="98" t="inlineStr">
        <is>
          <t>ST205/75D15-6PR-ST600</t>
        </is>
      </c>
      <c r="J92" s="493" t="n">
        <v>130.0006</v>
      </c>
      <c r="L92" s="77" t="inlineStr">
        <is>
          <t>295/80R22.5-AS898</t>
        </is>
      </c>
      <c r="M92" s="77" t="n">
        <v>2</v>
      </c>
    </row>
    <row r="93" customFormat="1" s="69">
      <c r="B93" s="92" t="inlineStr">
        <is>
          <t>295/80R22.5-18PR-EZ573</t>
        </is>
      </c>
      <c r="C93" s="93" t="n">
        <v>37</v>
      </c>
      <c r="D93" s="495">
        <f>IF(C93="","",C93/(C93+$C$1/60))</f>
        <v/>
      </c>
      <c r="E93" s="95">
        <f>IFERROR(ROUND(1440/C93*2*D93,0),"")</f>
        <v/>
      </c>
      <c r="F93" s="96" t="n">
        <v>2</v>
      </c>
      <c r="G93" s="97" t="n"/>
      <c r="H93" s="74">
        <f>_xlfn.XLOOKUP(G93,I:I,J:J)</f>
        <v/>
      </c>
      <c r="I93" s="98" t="inlineStr">
        <is>
          <t>ST225/75D15-8PR-ST600</t>
        </is>
      </c>
      <c r="J93" s="493" t="n">
        <v>153.879</v>
      </c>
      <c r="L93" s="77" t="inlineStr">
        <is>
          <t>295/80R22.5-EZ573</t>
        </is>
      </c>
      <c r="M93" s="77" t="n">
        <v>2</v>
      </c>
    </row>
    <row r="94" customFormat="1" s="69">
      <c r="B94" s="92" t="inlineStr">
        <is>
          <t>295/80R22.5-18PR-AD153</t>
        </is>
      </c>
      <c r="C94" s="93" t="n">
        <v>37</v>
      </c>
      <c r="D94" s="495">
        <f>IF(C94="","",C94/(C94+$C$1/60))</f>
        <v/>
      </c>
      <c r="E94" s="95">
        <f>IFERROR(ROUND(1440/C94*2*D94,0),"")</f>
        <v/>
      </c>
      <c r="F94" s="96" t="n">
        <v>6</v>
      </c>
      <c r="G94" s="97" t="n"/>
      <c r="H94" s="74">
        <f>_xlfn.XLOOKUP(G94,I:I,J:J)</f>
        <v/>
      </c>
      <c r="I94" s="98" t="inlineStr">
        <is>
          <t>ST175/80D13-6PR-ST600</t>
        </is>
      </c>
      <c r="J94" s="493" t="n">
        <v>98.6806</v>
      </c>
      <c r="L94" s="77" t="inlineStr">
        <is>
          <t>295/80R22.5-CR976A</t>
        </is>
      </c>
      <c r="M94" s="77" t="n">
        <v>8</v>
      </c>
    </row>
    <row r="95" customFormat="1" s="69">
      <c r="B95" s="92" t="inlineStr">
        <is>
          <t>295/80R22.5-18PR-CB972</t>
        </is>
      </c>
      <c r="C95" s="93" t="n">
        <v>41.5</v>
      </c>
      <c r="D95" s="495">
        <f>IF(C95="","",C95/(C95+$C$1/60))</f>
        <v/>
      </c>
      <c r="E95" s="95">
        <f>IFERROR(ROUND(1440/C95*2*D95,0),"")</f>
        <v/>
      </c>
      <c r="F95" s="96" t="n">
        <v>2</v>
      </c>
      <c r="G95" s="97" t="n"/>
      <c r="H95" s="74">
        <f>_xlfn.XLOOKUP(G95,I:I,J:J)</f>
        <v/>
      </c>
      <c r="I95" s="98" t="inlineStr">
        <is>
          <t>295/80R22.5-18PR-WDR1</t>
        </is>
      </c>
      <c r="J95" s="493" t="n">
        <v>851.5884</v>
      </c>
      <c r="L95" s="77" t="inlineStr">
        <is>
          <t>295/80R22.5-AD153</t>
        </is>
      </c>
      <c r="M95" s="77" t="n">
        <v>6</v>
      </c>
    </row>
    <row r="96" customFormat="1" s="69">
      <c r="B96" s="92" t="inlineStr">
        <is>
          <t>295/80R22.5-18PR-CR906</t>
        </is>
      </c>
      <c r="C96" s="93" t="n">
        <v>43.5</v>
      </c>
      <c r="D96" s="495">
        <f>IF(C96="","",C96/(C96+$C$1/60))</f>
        <v/>
      </c>
      <c r="E96" s="95">
        <f>IFERROR(ROUND(1440/C96*2*D96,0),"")</f>
        <v/>
      </c>
      <c r="F96" s="96" t="n">
        <v>2</v>
      </c>
      <c r="G96" s="97" t="n"/>
      <c r="H96" s="74">
        <f>_xlfn.XLOOKUP(G96,I:I,J:J)</f>
        <v/>
      </c>
      <c r="I96" s="98" t="inlineStr">
        <is>
          <t>23.5-25-20PR-EL36</t>
        </is>
      </c>
      <c r="J96" s="493" t="n">
        <v>3082.7351</v>
      </c>
      <c r="L96" s="77" t="inlineStr">
        <is>
          <t>295/80R22.5-MD777</t>
        </is>
      </c>
      <c r="M96" s="77" t="n">
        <v>4</v>
      </c>
    </row>
    <row r="97" customFormat="1" s="69">
      <c r="B97" s="92" t="inlineStr">
        <is>
          <t>295/80R22.5-18PR-CM335</t>
        </is>
      </c>
      <c r="C97" s="93" t="n">
        <v>38.7</v>
      </c>
      <c r="D97" s="495">
        <f>IF(C97="","",C97/(C97+$C$1/60))</f>
        <v/>
      </c>
      <c r="E97" s="95">
        <f>IFERROR(ROUND(1440/C97*2*D97,0),"")</f>
        <v/>
      </c>
      <c r="F97" s="96" t="n">
        <v>4</v>
      </c>
      <c r="G97" s="97" t="n"/>
      <c r="H97" s="74">
        <f>_xlfn.XLOOKUP(G97,I:I,J:J)</f>
        <v/>
      </c>
      <c r="I97" s="75" t="inlineStr">
        <is>
          <t>23.5-25-24PR-EL36A</t>
        </is>
      </c>
      <c r="J97" s="493" t="n">
        <v>3138.852</v>
      </c>
      <c r="L97" s="77" t="inlineStr">
        <is>
          <t>295/80R22.5-CB972</t>
        </is>
      </c>
      <c r="M97" s="77" t="n">
        <v>2</v>
      </c>
    </row>
    <row r="98" customFormat="1" s="69">
      <c r="B98" s="92" t="inlineStr">
        <is>
          <t>295/80R22.5-18PR-WSA2</t>
        </is>
      </c>
      <c r="C98" s="93" t="n">
        <v>46</v>
      </c>
      <c r="D98" s="495">
        <f>IF(C98="","",C98/(C98+$C$1/60))</f>
        <v/>
      </c>
      <c r="E98" s="95">
        <f>IFERROR(ROUND(1440/C98*2*D98,0),"")</f>
        <v/>
      </c>
      <c r="F98" s="96" t="n">
        <v>2</v>
      </c>
      <c r="G98" s="97" t="n"/>
      <c r="H98" s="74">
        <f>_xlfn.XLOOKUP(G98,I:I,J:J)</f>
        <v/>
      </c>
      <c r="I98" s="98" t="inlineStr">
        <is>
          <t>23.5-25-24PR-CL728</t>
        </is>
      </c>
      <c r="J98" s="493" t="n">
        <v>3726.2449</v>
      </c>
      <c r="L98" s="77" t="inlineStr">
        <is>
          <t>295/80R22.5-CR906</t>
        </is>
      </c>
      <c r="M98" s="77" t="n">
        <v>2</v>
      </c>
    </row>
    <row r="99" customFormat="1" s="69">
      <c r="B99" s="92" t="inlineStr">
        <is>
          <t>295/80R22.5-18PR-WDA2</t>
        </is>
      </c>
      <c r="C99" s="93" t="n">
        <v>44.5</v>
      </c>
      <c r="D99" s="495">
        <f>IF(C99="","",C99/(C99+$C$1/60))</f>
        <v/>
      </c>
      <c r="E99" s="95">
        <f>IFERROR(ROUND(1440/C99*2*D99,0),"")</f>
        <v/>
      </c>
      <c r="F99" s="96" t="n">
        <v>2</v>
      </c>
      <c r="G99" s="97" t="n"/>
      <c r="H99" s="74">
        <f>_xlfn.XLOOKUP(G99,I:I,J:J)</f>
        <v/>
      </c>
      <c r="I99" s="98" t="inlineStr">
        <is>
          <t>23.5-25-16PR-EL36</t>
        </is>
      </c>
      <c r="J99" s="493" t="n">
        <v>2873.6494</v>
      </c>
      <c r="L99" s="77" t="inlineStr">
        <is>
          <t>295/80R22.5-CM335</t>
        </is>
      </c>
      <c r="M99" s="77" t="n">
        <v>4</v>
      </c>
    </row>
    <row r="100" customFormat="1" s="69">
      <c r="B100" s="92" t="inlineStr">
        <is>
          <t>295/80R22.5-18PR-CR926D</t>
        </is>
      </c>
      <c r="C100" s="93" t="n">
        <v>37</v>
      </c>
      <c r="D100" s="495">
        <f>IF(C100="","",C100/(C100+$C$1/60))</f>
        <v/>
      </c>
      <c r="E100" s="95">
        <f>IFERROR(ROUND(1440/C100*2*D100,0),"")</f>
        <v/>
      </c>
      <c r="F100" s="96" t="n">
        <v>2</v>
      </c>
      <c r="G100" s="97" t="n"/>
      <c r="H100" s="74">
        <f>_xlfn.XLOOKUP(G100,I:I,J:J)</f>
        <v/>
      </c>
      <c r="I100" s="98" t="inlineStr">
        <is>
          <t>295/80R22.5-18PR-CM958</t>
        </is>
      </c>
      <c r="J100" s="493" t="n">
        <v>893.3568</v>
      </c>
      <c r="L100" s="77" t="inlineStr">
        <is>
          <t>295/80R22.5-AD733</t>
        </is>
      </c>
      <c r="M100" s="77" t="n">
        <v>2</v>
      </c>
    </row>
    <row r="101" customFormat="1" s="69">
      <c r="B101" s="92" t="inlineStr">
        <is>
          <t>295/80R22.5-18PR-CM987pro</t>
        </is>
      </c>
      <c r="C101" s="93" t="n">
        <v>44</v>
      </c>
      <c r="D101" s="495">
        <f>IF(C101="","",C101/(C101+$C$1/60))</f>
        <v/>
      </c>
      <c r="E101" s="95">
        <f>IFERROR(ROUND(1440/C101*2*D101,0),"")</f>
        <v/>
      </c>
      <c r="F101" s="96" t="n">
        <v>2</v>
      </c>
      <c r="G101" s="97" t="n"/>
      <c r="H101" s="74">
        <f>_xlfn.XLOOKUP(G101,I:I,J:J)</f>
        <v/>
      </c>
      <c r="I101" s="98" t="inlineStr">
        <is>
          <t>25 X 10-12-6PR-WL6A</t>
        </is>
      </c>
      <c r="J101" s="493" t="n">
        <v>147.700063</v>
      </c>
      <c r="L101" s="77" t="inlineStr">
        <is>
          <t>295/80R22.5-AT161</t>
        </is>
      </c>
      <c r="M101" s="77" t="n">
        <v>28</v>
      </c>
    </row>
    <row r="102" customFormat="1" s="69">
      <c r="B102" s="92" t="inlineStr">
        <is>
          <t>295/80R22.5-18PR-AT196</t>
        </is>
      </c>
      <c r="C102" s="93" t="n">
        <v>35</v>
      </c>
      <c r="D102" s="495">
        <f>IF(C102="","",C102/(C102+$C$1/60))</f>
        <v/>
      </c>
      <c r="E102" s="95">
        <f>IFERROR(ROUND(1440/C102*2*D102,0),"")</f>
        <v/>
      </c>
      <c r="F102" s="96" t="n">
        <v>4</v>
      </c>
      <c r="G102" s="97" t="n"/>
      <c r="H102" s="74">
        <f>_xlfn.XLOOKUP(G102,I:I,J:J)</f>
        <v/>
      </c>
      <c r="I102" s="98" t="inlineStr">
        <is>
          <t>25 X 10-12-6PR-AT12</t>
        </is>
      </c>
      <c r="J102" s="493" t="n">
        <v>147.700063</v>
      </c>
      <c r="L102" s="77" t="inlineStr">
        <is>
          <t>295/80R22.5-WSA2</t>
        </is>
      </c>
      <c r="M102" s="77" t="n">
        <v>2</v>
      </c>
    </row>
    <row r="103" customFormat="1" s="69">
      <c r="B103" s="92" t="inlineStr">
        <is>
          <t>295/80R22.5-18PR-AT186</t>
        </is>
      </c>
      <c r="C103" s="93" t="n">
        <v>35</v>
      </c>
      <c r="D103" s="495">
        <f>IF(C103="","",C103/(C103+$C$1/60))</f>
        <v/>
      </c>
      <c r="E103" s="95">
        <f>IFERROR(ROUND(1440/C103*2*D103,0),"")</f>
        <v/>
      </c>
      <c r="F103" s="96" t="n">
        <v>4</v>
      </c>
      <c r="G103" s="97" t="n"/>
      <c r="H103" s="74">
        <f>_xlfn.XLOOKUP(G103,I:I,J:J)</f>
        <v/>
      </c>
      <c r="I103" s="98" t="inlineStr">
        <is>
          <t>25 X 8-12-6PR-WL6A</t>
        </is>
      </c>
      <c r="J103" s="493" t="n">
        <v>134.13442</v>
      </c>
      <c r="L103" s="77" t="inlineStr">
        <is>
          <t>295/80R22.5-WDA2</t>
        </is>
      </c>
      <c r="M103" s="77" t="n">
        <v>2</v>
      </c>
    </row>
    <row r="104" customFormat="1" s="69">
      <c r="B104" s="92" t="inlineStr">
        <is>
          <t>325/95R24-22PR-AZ691</t>
        </is>
      </c>
      <c r="C104" s="93" t="n">
        <v>42</v>
      </c>
      <c r="D104" s="495">
        <f>IF(C104="","",C104/(C104+$C$1/60))</f>
        <v/>
      </c>
      <c r="E104" s="95">
        <f>IFERROR(ROUND(1440/C104*2*D104,0),"")</f>
        <v/>
      </c>
      <c r="F104" s="96" t="n">
        <v>4</v>
      </c>
      <c r="G104" s="97" t="n"/>
      <c r="H104" s="74">
        <f>_xlfn.XLOOKUP(G104,I:I,J:J)</f>
        <v/>
      </c>
      <c r="I104" s="98" t="inlineStr">
        <is>
          <t>25 X 8-12-6PR-AT12</t>
        </is>
      </c>
      <c r="J104" s="493" t="n">
        <v>134.13442</v>
      </c>
      <c r="L104" s="77" t="inlineStr">
        <is>
          <t>295/80R22.5-CR926D</t>
        </is>
      </c>
      <c r="M104" s="77" t="n">
        <v>4</v>
      </c>
    </row>
    <row r="105" customFormat="1" s="69">
      <c r="B105" s="92" t="inlineStr">
        <is>
          <t>325/95R24-22PR-CB972E</t>
        </is>
      </c>
      <c r="C105" s="93" t="n">
        <v>56.5</v>
      </c>
      <c r="D105" s="495">
        <f>IF(C105="","",C105/(C105+$C$1/60))</f>
        <v/>
      </c>
      <c r="E105" s="95">
        <f>IFERROR(ROUND(1440/C105*2*D105,0),"")</f>
        <v/>
      </c>
      <c r="F105" s="96" t="n">
        <v>10</v>
      </c>
      <c r="G105" s="97" t="n"/>
      <c r="H105" s="74">
        <f>_xlfn.XLOOKUP(G105,I:I,J:J)</f>
        <v/>
      </c>
      <c r="I105" s="98" t="inlineStr">
        <is>
          <t>规格</t>
        </is>
      </c>
      <c r="J105" s="99" t="inlineStr">
        <is>
          <t>单条中策价</t>
        </is>
      </c>
      <c r="L105" s="77" t="inlineStr">
        <is>
          <t>295/80R22.5-CM987 pro</t>
        </is>
      </c>
      <c r="M105" s="77" t="n">
        <v>2</v>
      </c>
    </row>
    <row r="106" customFormat="1" s="69">
      <c r="B106" s="92" t="inlineStr">
        <is>
          <t>325/95R24-22PR-AZ828</t>
        </is>
      </c>
      <c r="C106" s="93" t="n">
        <v>52</v>
      </c>
      <c r="D106" s="495">
        <f>IF(C106="","",C106/(C106+$C$1/60))</f>
        <v/>
      </c>
      <c r="E106" s="95">
        <f>IFERROR(ROUND(1440/C106*2*D106,0),"")</f>
        <v/>
      </c>
      <c r="F106" s="96" t="n">
        <v>2</v>
      </c>
      <c r="G106" s="97" t="n"/>
      <c r="H106" s="74">
        <f>_xlfn.XLOOKUP(G106,I:I,J:J)</f>
        <v/>
      </c>
      <c r="I106" s="98" t="inlineStr">
        <is>
          <t>12.00R24</t>
        </is>
      </c>
      <c r="J106" s="493" t="n">
        <v>70.80666600000001</v>
      </c>
      <c r="L106" s="77" t="inlineStr">
        <is>
          <t>275/80R22.5-CR976A</t>
        </is>
      </c>
      <c r="M106" s="77" t="n">
        <v>6</v>
      </c>
    </row>
    <row r="107" customFormat="1" s="69">
      <c r="B107" s="92" t="inlineStr">
        <is>
          <t>325/95R24-22PR-MD752</t>
        </is>
      </c>
      <c r="C107" s="93" t="n">
        <v>43</v>
      </c>
      <c r="D107" s="495">
        <f>IF(C107="","",C107/(C107+$C$1/60))</f>
        <v/>
      </c>
      <c r="E107" s="95">
        <f>IFERROR(ROUND(1440/C107*2*D107,0),"")</f>
        <v/>
      </c>
      <c r="F107" s="96" t="n">
        <v>2</v>
      </c>
      <c r="G107" s="97" t="n"/>
      <c r="H107" s="74">
        <f>_xlfn.XLOOKUP(G107,I:I,J:J)</f>
        <v/>
      </c>
      <c r="I107" s="98" t="inlineStr">
        <is>
          <t>12.00R20</t>
        </is>
      </c>
      <c r="J107" s="493" t="n">
        <v>70.80666600000001</v>
      </c>
      <c r="L107" s="77" t="inlineStr">
        <is>
          <t>275/80R22.5-EZ573</t>
        </is>
      </c>
      <c r="M107" s="77" t="n">
        <v>8</v>
      </c>
    </row>
    <row r="108" customFormat="1" s="69">
      <c r="B108" s="92" t="inlineStr">
        <is>
          <t>325/95R24-22PR-CM912A</t>
        </is>
      </c>
      <c r="C108" s="93" t="n">
        <v>41</v>
      </c>
      <c r="D108" s="495">
        <f>IF(C108="","",C108/(C108+$C$1/60))</f>
        <v/>
      </c>
      <c r="E108" s="95">
        <f>IFERROR(ROUND(1440/C108*2*D108,0),"")</f>
        <v/>
      </c>
      <c r="F108" s="96" t="n">
        <v>4</v>
      </c>
      <c r="G108" s="97" t="n"/>
      <c r="H108" s="74">
        <f>_xlfn.XLOOKUP(G108,I:I,J:J)</f>
        <v/>
      </c>
      <c r="I108" s="98" t="inlineStr">
        <is>
          <t>11.00R20</t>
        </is>
      </c>
      <c r="J108" s="493" t="n">
        <v>59.922926</v>
      </c>
      <c r="L108" s="77" t="inlineStr">
        <is>
          <t>275/80R22.5-AD153</t>
        </is>
      </c>
      <c r="M108" s="77" t="n">
        <v>8</v>
      </c>
    </row>
    <row r="109" customFormat="1" s="69">
      <c r="B109" s="92" t="inlineStr">
        <is>
          <t>325/95R24-22PR-AZ272</t>
        </is>
      </c>
      <c r="C109" s="93" t="n">
        <v>40</v>
      </c>
      <c r="D109" s="495">
        <f>IF(C109="","",C109/(C109+$C$1/60))</f>
        <v/>
      </c>
      <c r="E109" s="95">
        <f>IFERROR(ROUND(1440/C109*2*D109,0),"")</f>
        <v/>
      </c>
      <c r="F109" s="96" t="n">
        <v>2</v>
      </c>
      <c r="G109" s="97" t="n"/>
      <c r="H109" s="74">
        <f>_xlfn.XLOOKUP(G109,I:I,J:J)</f>
        <v/>
      </c>
      <c r="I109" s="98" t="inlineStr">
        <is>
          <t>10.00R20</t>
        </is>
      </c>
      <c r="J109" s="493" t="n">
        <v>53.727667</v>
      </c>
      <c r="L109" s="77" t="inlineStr">
        <is>
          <t>275/80R22.5-CR906</t>
        </is>
      </c>
      <c r="M109" s="77" t="n">
        <v>2</v>
      </c>
    </row>
    <row r="110" customFormat="1" s="69">
      <c r="B110" s="92" t="inlineStr">
        <is>
          <t>295/75R22.5-14PR-CR915</t>
        </is>
      </c>
      <c r="C110" s="93" t="n">
        <v>34</v>
      </c>
      <c r="D110" s="495">
        <f>IF(C110="","",C110/(C110+$C$1/60))</f>
        <v/>
      </c>
      <c r="E110" s="95">
        <f>IFERROR(ROUND(1440/C110*2*D110,0),"")</f>
        <v/>
      </c>
      <c r="F110" s="96" t="n">
        <v>4</v>
      </c>
      <c r="G110" s="97" t="n"/>
      <c r="H110" s="74">
        <f>_xlfn.XLOOKUP(G110,I:I,J:J)</f>
        <v/>
      </c>
      <c r="I110" s="98" t="inlineStr">
        <is>
          <t>7.50R16</t>
        </is>
      </c>
      <c r="J110" s="493" t="n">
        <v>31.310447</v>
      </c>
      <c r="L110" s="77" t="inlineStr">
        <is>
          <t>325/95R24-CB972E</t>
        </is>
      </c>
      <c r="M110" s="77" t="n">
        <v>10</v>
      </c>
    </row>
    <row r="111" customFormat="1" s="69">
      <c r="B111" s="92" t="inlineStr">
        <is>
          <t>295/75R22.5-14PR-AT552</t>
        </is>
      </c>
      <c r="C111" s="93" t="n">
        <v>34.5</v>
      </c>
      <c r="D111" s="495">
        <f>IF(C111="","",C111/(C111+$C$1/60))</f>
        <v/>
      </c>
      <c r="E111" s="95">
        <f>IFERROR(ROUND(1440/C111*2*D111,0),"")</f>
        <v/>
      </c>
      <c r="F111" s="96" t="n">
        <v>2</v>
      </c>
      <c r="G111" s="97" t="n"/>
      <c r="H111" s="74">
        <f>_xlfn.XLOOKUP(G111,I:I,J:J)</f>
        <v/>
      </c>
      <c r="I111" s="98" t="inlineStr">
        <is>
          <t>7.50-15</t>
        </is>
      </c>
      <c r="J111" s="493" t="n">
        <v>26.491542</v>
      </c>
      <c r="L111" s="77" t="inlineStr">
        <is>
          <t>215/75R17.5-CR960A</t>
        </is>
      </c>
      <c r="M111" s="77" t="n">
        <v>10</v>
      </c>
    </row>
    <row r="112" customFormat="1" s="69">
      <c r="B112" s="92" t="inlineStr">
        <is>
          <t>295/75R22.5-14PR-AT563</t>
        </is>
      </c>
      <c r="C112" s="93" t="n">
        <v>36</v>
      </c>
      <c r="D112" s="495">
        <f>IF(C112="","",C112/(C112+$C$1/60))</f>
        <v/>
      </c>
      <c r="E112" s="95">
        <f>IFERROR(ROUND(1440/C112*2*D112,0),"")</f>
        <v/>
      </c>
      <c r="F112" s="96" t="n">
        <v>2</v>
      </c>
      <c r="G112" s="97" t="n"/>
      <c r="H112" s="74">
        <f>_xlfn.XLOOKUP(G112,I:I,J:J)</f>
        <v/>
      </c>
      <c r="I112" s="98" t="inlineStr">
        <is>
          <t>7.00R16</t>
        </is>
      </c>
      <c r="J112" s="493" t="n">
        <v>28.779317</v>
      </c>
      <c r="L112" s="77" t="inlineStr">
        <is>
          <t>225/70R19.5-CR960A</t>
        </is>
      </c>
      <c r="M112" s="77" t="n">
        <v>8</v>
      </c>
    </row>
    <row r="113" customFormat="1" s="69">
      <c r="B113" s="92" t="inlineStr">
        <is>
          <t>295/75R22.5-14PR-CR915 eco</t>
        </is>
      </c>
      <c r="C113" s="93" t="n">
        <v>32.5</v>
      </c>
      <c r="D113" s="495">
        <f>IF(C113="","",C113/(C113+$C$1/60))</f>
        <v/>
      </c>
      <c r="E113" s="95">
        <f>IFERROR(ROUND(1440/C113*2*D113,0),"")</f>
        <v/>
      </c>
      <c r="F113" s="96" t="n">
        <v>4</v>
      </c>
      <c r="G113" s="97" t="n"/>
      <c r="H113" s="74">
        <f>_xlfn.XLOOKUP(G113,I:I,J:J)</f>
        <v/>
      </c>
      <c r="I113" s="98" t="inlineStr">
        <is>
          <t>7.00-15</t>
        </is>
      </c>
      <c r="J113" s="493" t="n">
        <v>26.491542</v>
      </c>
      <c r="L113" s="77" t="inlineStr">
        <is>
          <t>225/70R19.5-CM986</t>
        </is>
      </c>
      <c r="M113" s="77" t="n">
        <v>4</v>
      </c>
    </row>
    <row r="114" customFormat="1" s="69">
      <c r="B114" s="92" t="inlineStr">
        <is>
          <t>295/75R22.5-14PR-DA25</t>
        </is>
      </c>
      <c r="C114" s="93" t="n">
        <v>43.5</v>
      </c>
      <c r="D114" s="495">
        <f>IF(C114="","",C114/(C114+$C$1/60))</f>
        <v/>
      </c>
      <c r="E114" s="95">
        <f>IFERROR(ROUND(1440/C114*2*D114,0),"")</f>
        <v/>
      </c>
      <c r="F114" s="96" t="n">
        <v>2</v>
      </c>
      <c r="G114" s="97" t="n"/>
      <c r="H114" s="74">
        <f>_xlfn.XLOOKUP(G114,I:I,J:J)</f>
        <v/>
      </c>
      <c r="I114" s="98" t="inlineStr">
        <is>
          <t>合计</t>
        </is>
      </c>
      <c r="J114" s="493" t="n"/>
      <c r="L114" s="77" t="inlineStr">
        <is>
          <t>235/75R17.5-CR960A</t>
        </is>
      </c>
      <c r="M114" s="77" t="n">
        <v>4</v>
      </c>
    </row>
    <row r="115" customFormat="1" s="69">
      <c r="B115" s="92" t="inlineStr">
        <is>
          <t>295/75R22.5-14PR-DL21</t>
        </is>
      </c>
      <c r="C115" s="93" t="n">
        <v>46</v>
      </c>
      <c r="D115" s="495">
        <f>IF(C115="","",C115/(C115+$C$1/60))</f>
        <v/>
      </c>
      <c r="E115" s="95">
        <f>IFERROR(ROUND(1440/C115*2*D115,0),"")</f>
        <v/>
      </c>
      <c r="F115" s="96" t="n">
        <v>2</v>
      </c>
      <c r="G115" s="97" t="n"/>
      <c r="H115" s="74">
        <f>_xlfn.XLOOKUP(G115,I:I,J:J)</f>
        <v/>
      </c>
      <c r="I115" s="100" t="n"/>
      <c r="J115" s="101" t="n"/>
      <c r="L115" s="77" t="inlineStr">
        <is>
          <t>235/75R17.5-AS673</t>
        </is>
      </c>
      <c r="M115" s="77" t="n">
        <v>2</v>
      </c>
    </row>
    <row r="116" customFormat="1" s="69">
      <c r="B116" s="92" t="inlineStr">
        <is>
          <t>295/75R22.5-14PR-DL22</t>
        </is>
      </c>
      <c r="C116" s="93" t="n">
        <v>43</v>
      </c>
      <c r="D116" s="495">
        <f>IF(C116="","",C116/(C116+$C$1/60))</f>
        <v/>
      </c>
      <c r="E116" s="95">
        <f>IFERROR(ROUND(1440/C116*2*D116,0),"")</f>
        <v/>
      </c>
      <c r="F116" s="96" t="n">
        <v>2</v>
      </c>
      <c r="G116" s="97" t="n"/>
      <c r="H116" s="74">
        <f>_xlfn.XLOOKUP(G116,I:I,J:J)</f>
        <v/>
      </c>
      <c r="I116" s="98" t="inlineStr">
        <is>
          <t>11R22.5-16PR-I-19A</t>
        </is>
      </c>
      <c r="J116" s="102" t="n">
        <v>769.3920000000001</v>
      </c>
      <c r="L116" s="77" t="inlineStr">
        <is>
          <t>245/70R19.5-AS673</t>
        </is>
      </c>
      <c r="M116" s="77" t="n">
        <v>2</v>
      </c>
    </row>
    <row r="117" customFormat="1" s="69">
      <c r="B117" s="92" t="inlineStr">
        <is>
          <t>295/75R22.5-14PR-DA23</t>
        </is>
      </c>
      <c r="C117" s="93" t="n">
        <v>43</v>
      </c>
      <c r="D117" s="495">
        <f>IF(C117="","",C117/(C117+$C$1/60))</f>
        <v/>
      </c>
      <c r="E117" s="95">
        <f>IFERROR(ROUND(1440/C117*2*D117,0),"")</f>
        <v/>
      </c>
      <c r="F117" s="96" t="n">
        <v>2</v>
      </c>
      <c r="G117" s="97" t="n"/>
      <c r="H117" s="74">
        <f>_xlfn.XLOOKUP(G117,I:I,J:J)</f>
        <v/>
      </c>
      <c r="I117" s="98" t="inlineStr">
        <is>
          <t>275/80R22.5-16PR-CR906</t>
        </is>
      </c>
      <c r="J117" s="102" t="n">
        <v>913.956</v>
      </c>
      <c r="L117" s="77" t="inlineStr">
        <is>
          <t>245/70R19.5-AD778</t>
        </is>
      </c>
      <c r="M117" s="77" t="n">
        <v>2</v>
      </c>
    </row>
    <row r="118" customFormat="1" s="69">
      <c r="B118" s="92" t="inlineStr">
        <is>
          <t>295/75R22.5-14PR-I-28D</t>
        </is>
      </c>
      <c r="C118" s="93" t="n">
        <v>43.5</v>
      </c>
      <c r="D118" s="495">
        <f>IF(C118="","",C118/(C118+$C$1/60))</f>
        <v/>
      </c>
      <c r="E118" s="95">
        <f>IFERROR(ROUND(1440/C118*2*D118,0),"")</f>
        <v/>
      </c>
      <c r="F118" s="96" t="n">
        <v>2</v>
      </c>
      <c r="G118" s="97" t="n"/>
      <c r="H118" s="74">
        <f>_xlfn.XLOOKUP(G118,I:I,J:J)</f>
        <v/>
      </c>
      <c r="I118" s="98" t="inlineStr">
        <is>
          <t>275/80R22.5-16PR-CR976A</t>
        </is>
      </c>
      <c r="J118" s="102" t="n">
        <v>722.2743</v>
      </c>
      <c r="L118" s="77" t="inlineStr">
        <is>
          <t>245/70R19.5-CM986</t>
        </is>
      </c>
      <c r="M118" s="77" t="n">
        <v>2</v>
      </c>
    </row>
    <row r="119" customFormat="1" s="69">
      <c r="B119" s="92" t="inlineStr">
        <is>
          <t>295/75R22.5-14PR-I-48T</t>
        </is>
      </c>
      <c r="C119" s="93" t="n">
        <v>34.5</v>
      </c>
      <c r="D119" s="495">
        <f>IF(C119="","",C119/(C119+$C$1/60))</f>
        <v/>
      </c>
      <c r="E119" s="95">
        <f>IFERROR(ROUND(1440/C119*2*D119,0),"")</f>
        <v/>
      </c>
      <c r="F119" s="96" t="n">
        <v>2</v>
      </c>
      <c r="G119" s="97" t="n"/>
      <c r="H119" s="74">
        <f>_xlfn.XLOOKUP(G119,I:I,J:J)</f>
        <v/>
      </c>
      <c r="I119" s="98" t="inlineStr">
        <is>
          <t>295/80R22.5-18PR-EZ573</t>
        </is>
      </c>
      <c r="J119" s="102" t="n">
        <v>602.0091</v>
      </c>
      <c r="L119" s="77" t="inlineStr">
        <is>
          <t>255/70R22.5-CR976A</t>
        </is>
      </c>
      <c r="M119" s="77" t="n">
        <v>2</v>
      </c>
    </row>
    <row r="120" customFormat="1" s="69">
      <c r="B120" s="92" t="inlineStr">
        <is>
          <t>295/75R22.5-14PR-SL11</t>
        </is>
      </c>
      <c r="C120" s="93" t="n">
        <v>39</v>
      </c>
      <c r="D120" s="495">
        <f>IF(C120="","",C120/(C120+$C$1/60))</f>
        <v/>
      </c>
      <c r="E120" s="95">
        <f>IFERROR(ROUND(1440/C120*2*D120,0),"")</f>
        <v/>
      </c>
      <c r="F120" s="96" t="n">
        <v>2</v>
      </c>
      <c r="G120" s="97" t="n"/>
      <c r="H120" s="74">
        <f>_xlfn.XLOOKUP(G120,I:I,J:J)</f>
        <v/>
      </c>
      <c r="I120" s="98" t="inlineStr">
        <is>
          <t>325/95R24-22PR-MD752</t>
        </is>
      </c>
      <c r="J120" s="102" t="n">
        <v>1175.735</v>
      </c>
      <c r="L120" s="77" t="inlineStr">
        <is>
          <t>255/70R22.5-AZ599</t>
        </is>
      </c>
      <c r="M120" s="77" t="n">
        <v>4</v>
      </c>
    </row>
    <row r="121" customFormat="1" s="69">
      <c r="B121" s="92" t="inlineStr">
        <is>
          <t>295/75R22.5-14PR-ZA12</t>
        </is>
      </c>
      <c r="C121" s="93" t="n">
        <v>41.5</v>
      </c>
      <c r="D121" s="495">
        <f>IF(C121="","",C121/(C121+$C$1/60))</f>
        <v/>
      </c>
      <c r="E121" s="95">
        <f>IFERROR(ROUND(1440/C121*2*D121,0),"")</f>
        <v/>
      </c>
      <c r="F121" s="96" t="n">
        <v>2</v>
      </c>
      <c r="G121" s="97" t="n"/>
      <c r="H121" s="74">
        <f>_xlfn.XLOOKUP(G121,I:I,J:J)</f>
        <v/>
      </c>
      <c r="I121" s="98" t="inlineStr">
        <is>
          <t>325/95R24-22PR-AZ272</t>
        </is>
      </c>
      <c r="J121" s="102" t="n">
        <v>1175.735</v>
      </c>
      <c r="L121" s="77" t="inlineStr">
        <is>
          <t>255/70R22.5-CR926D</t>
        </is>
      </c>
      <c r="M121" s="77" t="n">
        <v>2</v>
      </c>
    </row>
    <row r="122" customFormat="1" s="69">
      <c r="B122" s="92" t="inlineStr">
        <is>
          <t>265/70R19.5-18PR-DA24</t>
        </is>
      </c>
      <c r="C122" s="93" t="n">
        <v>36</v>
      </c>
      <c r="D122" s="495">
        <f>IF(C122="","",C122/(C122+$C$1/60))</f>
        <v/>
      </c>
      <c r="E122" s="95">
        <f>IFERROR(ROUND(1440/C122*2*D122,0),"")</f>
        <v/>
      </c>
      <c r="F122" s="96" t="n">
        <v>2</v>
      </c>
      <c r="G122" s="97" t="n"/>
      <c r="H122" s="74">
        <f>_xlfn.XLOOKUP(G122,I:I,J:J)</f>
        <v/>
      </c>
      <c r="I122" s="98" t="inlineStr">
        <is>
          <t>295/75R22.5-16PR-CR960A</t>
        </is>
      </c>
      <c r="J122" s="102" t="n">
        <v>763.352</v>
      </c>
      <c r="L122" s="77" t="inlineStr">
        <is>
          <t>325/95R24-MD752</t>
        </is>
      </c>
      <c r="M122" s="77" t="n">
        <v>6</v>
      </c>
    </row>
    <row r="123" customFormat="1" s="69">
      <c r="B123" s="92" t="inlineStr">
        <is>
          <t>265/70R19.5-18PR-ZA15</t>
        </is>
      </c>
      <c r="C123" s="93" t="n">
        <v>34.5</v>
      </c>
      <c r="D123" s="495">
        <f>IF(C123="","",C123/(C123+$C$1/60))</f>
        <v/>
      </c>
      <c r="E123" s="95">
        <f>IFERROR(ROUND(1440/C123*2*D123,0),"")</f>
        <v/>
      </c>
      <c r="F123" s="96" t="n">
        <v>2</v>
      </c>
      <c r="G123" s="97" t="n"/>
      <c r="H123" s="74">
        <f>_xlfn.XLOOKUP(G123,I:I,J:J)</f>
        <v/>
      </c>
      <c r="I123" s="98" t="inlineStr">
        <is>
          <t>11R22.5-14PR-TL31</t>
        </is>
      </c>
      <c r="J123" s="102" t="n">
        <v>763.352</v>
      </c>
      <c r="L123" s="77" t="inlineStr">
        <is>
          <t>295/80R22.5-GSR1</t>
        </is>
      </c>
      <c r="M123" s="77" t="n">
        <v>2</v>
      </c>
    </row>
    <row r="124" customFormat="1" s="69">
      <c r="B124" s="92" t="inlineStr">
        <is>
          <t>225/70R19.5-14PR-AZ599</t>
        </is>
      </c>
      <c r="C124" s="93" t="n">
        <v>30.3</v>
      </c>
      <c r="D124" s="495">
        <f>IF(C124="","",C124/(C124+$C$1/60))</f>
        <v/>
      </c>
      <c r="E124" s="95">
        <f>IFERROR(ROUND(1440/C124*2*D124,0),"")</f>
        <v/>
      </c>
      <c r="F124" s="96" t="n">
        <v>2</v>
      </c>
      <c r="G124" s="97" t="n"/>
      <c r="H124" s="74">
        <f>_xlfn.XLOOKUP(G124,I:I,J:J)</f>
        <v/>
      </c>
      <c r="I124" s="98" t="inlineStr">
        <is>
          <t>295/75R22.5-14PR-AD716</t>
        </is>
      </c>
      <c r="J124" s="102" t="n">
        <v>777.657</v>
      </c>
      <c r="L124" s="77" t="inlineStr">
        <is>
          <t>315/80R22.5-AD710A</t>
        </is>
      </c>
      <c r="M124" s="77" t="n">
        <v>2</v>
      </c>
    </row>
    <row r="125" customFormat="1" s="69">
      <c r="B125" s="92" t="inlineStr">
        <is>
          <t>225/70R19.5-14PR-I-19A</t>
        </is>
      </c>
      <c r="C125" s="93" t="n">
        <v>30.3</v>
      </c>
      <c r="D125" s="495">
        <f>IF(C125="","",C125/(C125+$C$1/60))</f>
        <v/>
      </c>
      <c r="E125" s="95">
        <f>IFERROR(ROUND(1440/C125*2*D125,0),"")</f>
        <v/>
      </c>
      <c r="F125" s="96" t="n">
        <v>2</v>
      </c>
      <c r="G125" s="97" t="n"/>
      <c r="H125" s="74">
        <f>_xlfn.XLOOKUP(G125,I:I,J:J)</f>
        <v/>
      </c>
      <c r="I125" s="98" t="inlineStr">
        <is>
          <t>295/75R22.5-14PR-CR915 eco</t>
        </is>
      </c>
      <c r="J125" s="102" t="n">
        <v>713.564</v>
      </c>
      <c r="L125" s="77" t="inlineStr">
        <is>
          <t>315/80R22.5-AS668</t>
        </is>
      </c>
      <c r="M125" s="77" t="n">
        <v>2</v>
      </c>
    </row>
    <row r="126" customFormat="1" s="69">
      <c r="B126" s="92" t="inlineStr">
        <is>
          <t>225/70R19.5-14PR-CM986</t>
        </is>
      </c>
      <c r="C126" s="93" t="n">
        <v>30</v>
      </c>
      <c r="D126" s="495">
        <f>IF(C126="","",C126/(C126+$C$1/60))</f>
        <v/>
      </c>
      <c r="E126" s="95">
        <f>IFERROR(ROUND(1440/C126*2*D126,0),"")</f>
        <v/>
      </c>
      <c r="F126" s="96" t="n">
        <v>2</v>
      </c>
      <c r="G126" s="97" t="n"/>
      <c r="H126" s="74">
        <f>_xlfn.XLOOKUP(G126,I:I,J:J)</f>
        <v/>
      </c>
      <c r="I126" s="98" t="inlineStr">
        <is>
          <t>7.50R16-14PR-R856X</t>
        </is>
      </c>
      <c r="J126" s="102" t="n">
        <v>429.2687</v>
      </c>
      <c r="L126" s="77" t="inlineStr">
        <is>
          <t>315/80R22.5-AS578</t>
        </is>
      </c>
      <c r="M126" s="77" t="n">
        <v>2</v>
      </c>
    </row>
    <row r="127" customFormat="1" s="69">
      <c r="B127" s="92" t="inlineStr">
        <is>
          <t>225/70R19.5-14PR-CR960A</t>
        </is>
      </c>
      <c r="C127" s="93" t="n">
        <v>29.5</v>
      </c>
      <c r="D127" s="495">
        <f>IF(C127="","",C127/(C127+$C$1/60))</f>
        <v/>
      </c>
      <c r="E127" s="95">
        <f>IFERROR(ROUND(1440/C127*2*D127,0),"")</f>
        <v/>
      </c>
      <c r="F127" s="96" t="n">
        <v>2</v>
      </c>
      <c r="G127" s="97" t="n"/>
      <c r="H127" s="74">
        <f>_xlfn.XLOOKUP(G127,I:I,J:J)</f>
        <v/>
      </c>
      <c r="I127" s="98" t="inlineStr">
        <is>
          <t>11R22.5-16PR-CR960A</t>
        </is>
      </c>
      <c r="J127" s="102" t="n">
        <v>758.7747000000001</v>
      </c>
      <c r="L127" s="77" t="inlineStr">
        <is>
          <t>315/80R22.5-CM958</t>
        </is>
      </c>
      <c r="M127" s="77" t="n">
        <v>2</v>
      </c>
    </row>
    <row r="128" customFormat="1" s="69">
      <c r="B128" s="92" t="inlineStr">
        <is>
          <t>225/70R19.5-14PR-CR976A</t>
        </is>
      </c>
      <c r="C128" s="93" t="n">
        <v>29.5</v>
      </c>
      <c r="D128" s="495">
        <f>IF(C128="","",C128/(C128+$C$1/60))</f>
        <v/>
      </c>
      <c r="E128" s="95">
        <f>IFERROR(ROUND(1440/C128*2*D128,0),"")</f>
        <v/>
      </c>
      <c r="F128" s="96" t="n">
        <v>2</v>
      </c>
      <c r="G128" s="97" t="n"/>
      <c r="H128" s="74">
        <f>_xlfn.XLOOKUP(G128,I:I,J:J)</f>
        <v/>
      </c>
      <c r="I128" s="98" t="inlineStr">
        <is>
          <t>325/95R24-22PR-CM913A</t>
        </is>
      </c>
      <c r="J128" s="102" t="n">
        <v>1163.8081</v>
      </c>
      <c r="L128" s="77" t="inlineStr">
        <is>
          <t>315/80R22.5-CM913A</t>
        </is>
      </c>
      <c r="M128" s="77" t="n">
        <v>2</v>
      </c>
    </row>
    <row r="129" customFormat="1" s="69">
      <c r="B129" s="92" t="inlineStr">
        <is>
          <t>225/70R19.5-14PR-DA24</t>
        </is>
      </c>
      <c r="C129" s="93" t="n">
        <v>32.5</v>
      </c>
      <c r="D129" s="495">
        <f>IF(C129="","",C129/(C129+$C$1/60))</f>
        <v/>
      </c>
      <c r="E129" s="95">
        <f>IFERROR(ROUND(1440/C129*2*D129,0),"")</f>
        <v/>
      </c>
      <c r="F129" s="96" t="n">
        <v>2</v>
      </c>
      <c r="G129" s="97" t="n"/>
      <c r="H129" s="74">
        <f>_xlfn.XLOOKUP(G129,I:I,J:J)</f>
        <v/>
      </c>
      <c r="I129" s="98" t="inlineStr">
        <is>
          <t>325/95R24-22PR-CM912A</t>
        </is>
      </c>
      <c r="J129" s="102" t="n">
        <v>1175.735</v>
      </c>
      <c r="L129" s="77" t="inlineStr">
        <is>
          <t>315/80R22.5-CM923</t>
        </is>
      </c>
      <c r="M129" s="77" t="n">
        <v>2</v>
      </c>
    </row>
    <row r="130" customFormat="1" s="69">
      <c r="B130" s="92" t="inlineStr">
        <is>
          <t>225/70R19.5-14PR-H-RA</t>
        </is>
      </c>
      <c r="C130" s="93" t="n">
        <v>31.9</v>
      </c>
      <c r="D130" s="495">
        <f>IF(C130="","",C130/(C130+$C$1/60))</f>
        <v/>
      </c>
      <c r="E130" s="95">
        <f>IFERROR(ROUND(1440/C130*2*D130,0),"")</f>
        <v/>
      </c>
      <c r="F130" s="96" t="n">
        <v>2</v>
      </c>
      <c r="G130" s="97" t="n"/>
      <c r="H130" s="74">
        <f>_xlfn.XLOOKUP(G130,I:I,J:J)</f>
        <v/>
      </c>
      <c r="I130" s="98" t="inlineStr">
        <is>
          <t>12.00R24-20PR-MT100 MAX</t>
        </is>
      </c>
      <c r="J130" s="102" t="n">
        <v>1300.0988</v>
      </c>
      <c r="L130" s="77" t="inlineStr">
        <is>
          <t>315/80R22.5-AZ599</t>
        </is>
      </c>
      <c r="M130" s="77" t="n">
        <v>2</v>
      </c>
    </row>
    <row r="131" customFormat="1" s="69">
      <c r="B131" s="92" t="inlineStr">
        <is>
          <t>225/70R19.5-14PR-I-37D</t>
        </is>
      </c>
      <c r="C131" s="93" t="n">
        <v>30</v>
      </c>
      <c r="D131" s="495">
        <f>IF(C131="","",C131/(C131+$C$1/60))</f>
        <v/>
      </c>
      <c r="E131" s="95">
        <f>IFERROR(ROUND(1440/C131*2*D131,0),"")</f>
        <v/>
      </c>
      <c r="F131" s="96" t="n">
        <v>2</v>
      </c>
      <c r="G131" s="97" t="n"/>
      <c r="H131" s="74">
        <f>_xlfn.XLOOKUP(G131,I:I,J:J)</f>
        <v/>
      </c>
      <c r="I131" s="98" t="inlineStr">
        <is>
          <t>295/80R22.5-18PR-AD528</t>
        </is>
      </c>
      <c r="J131" s="102" t="n">
        <v>859.9654</v>
      </c>
      <c r="L131" s="77" t="inlineStr">
        <is>
          <t>385/65R22.5-AT532</t>
        </is>
      </c>
      <c r="M131" s="77" t="n">
        <v>2</v>
      </c>
    </row>
    <row r="132" customFormat="1" s="69">
      <c r="B132" s="92" t="inlineStr">
        <is>
          <t>225/70R19.5-14PR-ZA15</t>
        </is>
      </c>
      <c r="C132" s="93" t="n">
        <v>30</v>
      </c>
      <c r="D132" s="495">
        <f>IF(C132="","",C132/(C132+$C$1/60))</f>
        <v/>
      </c>
      <c r="E132" s="95">
        <f>IFERROR(ROUND(1440/C132*2*D132,0),"")</f>
        <v/>
      </c>
      <c r="F132" s="96" t="n">
        <v>2</v>
      </c>
      <c r="G132" s="97" t="n"/>
      <c r="H132" s="74">
        <f>_xlfn.XLOOKUP(G132,I:I,J:J)</f>
        <v/>
      </c>
      <c r="I132" s="98" t="inlineStr">
        <is>
          <t>7.50R16-14PR-CM988</t>
        </is>
      </c>
      <c r="J132" s="102" t="n">
        <v>444.43644</v>
      </c>
      <c r="L132" s="77" t="inlineStr">
        <is>
          <t>385/65R22.5-WSR1</t>
        </is>
      </c>
      <c r="M132" s="77" t="n">
        <v>2</v>
      </c>
    </row>
    <row r="133" customFormat="1" s="69">
      <c r="B133" s="92" t="inlineStr">
        <is>
          <t>245/70R19.5-16PR-CM986</t>
        </is>
      </c>
      <c r="C133" s="93" t="n">
        <v>32</v>
      </c>
      <c r="D133" s="495">
        <f>IF(C133="","",C133/(C133+$C$1/60))</f>
        <v/>
      </c>
      <c r="E133" s="95">
        <f>IFERROR(ROUND(1440/C133*2*D133,0),"")</f>
        <v/>
      </c>
      <c r="F133" s="96" t="n">
        <v>2</v>
      </c>
      <c r="G133" s="97" t="n"/>
      <c r="H133" s="74">
        <f>_xlfn.XLOOKUP(G133,I:I,J:J)</f>
        <v/>
      </c>
      <c r="I133" s="98" t="inlineStr">
        <is>
          <t>10.00R20-18PR-CM988</t>
        </is>
      </c>
      <c r="J133" s="102" t="n">
        <v>923.8208</v>
      </c>
      <c r="L133" s="77" t="inlineStr">
        <is>
          <t>385/65R22.5-TSR1</t>
        </is>
      </c>
      <c r="M133" s="77" t="n">
        <v>2</v>
      </c>
    </row>
    <row r="134" customFormat="1" s="69">
      <c r="B134" s="92" t="inlineStr">
        <is>
          <t>245/70R19.5-16PR-DA24</t>
        </is>
      </c>
      <c r="C134" s="93" t="n">
        <v>34</v>
      </c>
      <c r="D134" s="495">
        <f>IF(C134="","",C134/(C134+$C$1/60))</f>
        <v/>
      </c>
      <c r="E134" s="95">
        <f>IFERROR(ROUND(1440/C134*2*D134,0),"")</f>
        <v/>
      </c>
      <c r="F134" s="96" t="n">
        <v>2</v>
      </c>
      <c r="G134" s="97" t="n"/>
      <c r="H134" s="74">
        <f>_xlfn.XLOOKUP(G134,I:I,J:J)</f>
        <v/>
      </c>
      <c r="I134" s="98" t="inlineStr">
        <is>
          <t>275/80R22.5-16PR-AD153</t>
        </is>
      </c>
      <c r="J134" s="102" t="n">
        <v>783.496</v>
      </c>
      <c r="L134" s="77" t="inlineStr">
        <is>
          <t>385/65R22.5-CTR1</t>
        </is>
      </c>
      <c r="M134" s="77" t="n">
        <v>2</v>
      </c>
    </row>
    <row r="135" customFormat="1" s="69">
      <c r="B135" s="92" t="inlineStr">
        <is>
          <t>245/70R19.5-16PR-I-19A</t>
        </is>
      </c>
      <c r="C135" s="93" t="n">
        <v>33.5</v>
      </c>
      <c r="D135" s="495">
        <f>IF(C135="","",C135/(C135+$C$1/60))</f>
        <v/>
      </c>
      <c r="E135" s="95">
        <f>IFERROR(ROUND(1440/C135*2*D135,0),"")</f>
        <v/>
      </c>
      <c r="F135" s="96" t="n">
        <v>2</v>
      </c>
      <c r="G135" s="97" t="n"/>
      <c r="H135" s="74">
        <f>_xlfn.XLOOKUP(G135,I:I,J:J)</f>
        <v/>
      </c>
      <c r="I135" s="98" t="inlineStr">
        <is>
          <t>11R22.5-16PR-AZ850</t>
        </is>
      </c>
      <c r="J135" s="102" t="n">
        <v>803.4285</v>
      </c>
      <c r="L135" s="77" t="inlineStr">
        <is>
          <t>385/65R22.5-WTR1</t>
        </is>
      </c>
      <c r="M135" s="77" t="n">
        <v>2</v>
      </c>
    </row>
    <row r="136" customFormat="1" s="69">
      <c r="B136" s="92" t="inlineStr">
        <is>
          <t>245/70R19.5-16PR-ZA15</t>
        </is>
      </c>
      <c r="C136" s="93" t="n">
        <v>32.5</v>
      </c>
      <c r="D136" s="495">
        <f>IF(C136="","",C136/(C136+$C$1/60))</f>
        <v/>
      </c>
      <c r="E136" s="95">
        <f>IFERROR(ROUND(1440/C136*2*D136,0),"")</f>
        <v/>
      </c>
      <c r="F136" s="96" t="n">
        <v>2</v>
      </c>
      <c r="G136" s="97" t="n"/>
      <c r="H136" s="74">
        <f>_xlfn.XLOOKUP(G136,I:I,J:J)</f>
        <v/>
      </c>
      <c r="I136" s="98" t="inlineStr">
        <is>
          <t>275/80R22.5-16PR-EZ573</t>
        </is>
      </c>
      <c r="J136" s="102" t="n">
        <v>810.6042</v>
      </c>
      <c r="L136" s="77" t="inlineStr">
        <is>
          <t>295/80R22.5-WDR1</t>
        </is>
      </c>
      <c r="M136" s="77" t="n">
        <v>2</v>
      </c>
    </row>
    <row r="137" customFormat="1" s="69">
      <c r="B137" s="92" t="inlineStr">
        <is>
          <t>255/70R22.5-16PR-AZ599</t>
        </is>
      </c>
      <c r="C137" s="93" t="n">
        <v>34</v>
      </c>
      <c r="D137" s="495">
        <f>IF(C137="","",C137/(C137+$C$1/60))</f>
        <v/>
      </c>
      <c r="E137" s="95">
        <f>IFERROR(ROUND(1440/C137*2*D137,0),"")</f>
        <v/>
      </c>
      <c r="F137" s="96" t="n">
        <v>2</v>
      </c>
      <c r="G137" s="97" t="n"/>
      <c r="H137" s="74">
        <f>_xlfn.XLOOKUP(G137,I:I,J:J)</f>
        <v/>
      </c>
      <c r="I137" s="98" t="inlineStr">
        <is>
          <t>295/75R22.5-14PR-I-48T</t>
        </is>
      </c>
      <c r="J137" s="102" t="n">
        <v>707.931</v>
      </c>
      <c r="L137" s="77" t="inlineStr">
        <is>
          <t>295/80R22.5-GDR1</t>
        </is>
      </c>
      <c r="M137" s="77" t="n">
        <v>2</v>
      </c>
    </row>
    <row r="138" customFormat="1" s="69">
      <c r="B138" s="92" t="inlineStr">
        <is>
          <t>255/70R22.5-16PR-CR976A</t>
        </is>
      </c>
      <c r="C138" s="93" t="n">
        <v>34</v>
      </c>
      <c r="D138" s="495">
        <f>IF(C138="","",C138/(C138+$C$1/60))</f>
        <v/>
      </c>
      <c r="E138" s="95">
        <f>IFERROR(ROUND(1440/C138*2*D138,0),"")</f>
        <v/>
      </c>
      <c r="F138" s="96" t="n">
        <v>2</v>
      </c>
      <c r="G138" s="97" t="n"/>
      <c r="H138" s="74">
        <f>_xlfn.XLOOKUP(G138,I:I,J:J)</f>
        <v/>
      </c>
      <c r="I138" s="98" t="inlineStr">
        <is>
          <t>295/75R22.5-14PR-I-28D</t>
        </is>
      </c>
      <c r="J138" s="102" t="n">
        <v>839.2474999999999</v>
      </c>
      <c r="L138" s="77" t="inlineStr">
        <is>
          <t>295/80R22.5-AD528</t>
        </is>
      </c>
      <c r="M138" s="77" t="n">
        <v>4</v>
      </c>
    </row>
    <row r="139" customFormat="1" s="69">
      <c r="B139" s="92" t="inlineStr">
        <is>
          <t>255/70R22.5-16PR-I-19A</t>
        </is>
      </c>
      <c r="C139" s="93" t="n">
        <v>34</v>
      </c>
      <c r="D139" s="495">
        <f>IF(C139="","",C139/(C139+$C$1/60))</f>
        <v/>
      </c>
      <c r="E139" s="95">
        <f>IFERROR(ROUND(1440/C139*2*D139,0),"")</f>
        <v/>
      </c>
      <c r="F139" s="96" t="n">
        <v>2</v>
      </c>
      <c r="G139" s="97" t="n"/>
      <c r="H139" s="74">
        <f>_xlfn.XLOOKUP(G139,I:I,J:J)</f>
        <v/>
      </c>
      <c r="I139" s="98" t="inlineStr">
        <is>
          <t>12.00R24-20PR-TZ101 PRO</t>
        </is>
      </c>
      <c r="J139" s="102" t="n">
        <v>1300.0988</v>
      </c>
      <c r="L139" s="77" t="inlineStr">
        <is>
          <t>295/80R22.5-AT167</t>
        </is>
      </c>
      <c r="M139" s="77" t="n">
        <v>8</v>
      </c>
    </row>
    <row r="140" customFormat="1" s="69">
      <c r="B140" s="92" t="inlineStr">
        <is>
          <t>215/75R17.5-16PR-CR960A</t>
        </is>
      </c>
      <c r="C140" s="93" t="n">
        <v>26</v>
      </c>
      <c r="D140" s="495">
        <f>IF(C140="","",C140/(C140+$C$1/60))</f>
        <v/>
      </c>
      <c r="E140" s="95">
        <f>IFERROR(ROUND(1440/C140*2*D140,0),"")</f>
        <v/>
      </c>
      <c r="F140" s="96" t="n">
        <v>2</v>
      </c>
      <c r="G140" s="97" t="n"/>
      <c r="H140" s="74">
        <f>_xlfn.XLOOKUP(G140,I:I,J:J)</f>
        <v/>
      </c>
      <c r="I140" s="98" t="inlineStr">
        <is>
          <t>325/95R24-22PR-AZ691</t>
        </is>
      </c>
      <c r="J140" s="102" t="n">
        <v>1225.8309</v>
      </c>
      <c r="L140" s="77" t="inlineStr">
        <is>
          <t>275/80R22.5-AS678</t>
        </is>
      </c>
      <c r="M140" s="77" t="n">
        <v>2</v>
      </c>
    </row>
    <row r="141" customFormat="1" s="69">
      <c r="B141" s="92" t="inlineStr">
        <is>
          <t>215/75R17.5-16PR-HRA</t>
        </is>
      </c>
      <c r="C141" s="93" t="n">
        <v>26</v>
      </c>
      <c r="D141" s="495">
        <f>IF(C141="","",C141/(C141+$C$1/60))</f>
        <v/>
      </c>
      <c r="E141" s="95">
        <f>IFERROR(ROUND(1440/C141*2*D141,0),"")</f>
        <v/>
      </c>
      <c r="F141" s="96" t="n">
        <v>2</v>
      </c>
      <c r="G141" s="97" t="n"/>
      <c r="H141" s="74">
        <f>_xlfn.XLOOKUP(G141,I:I,J:J)</f>
        <v/>
      </c>
      <c r="I141" s="98" t="inlineStr">
        <is>
          <t>225/70R19.5-14PR-CR960A</t>
        </is>
      </c>
      <c r="J141" s="102" t="n">
        <v>440.3595</v>
      </c>
      <c r="L141" s="77" t="inlineStr">
        <is>
          <t>275/80R22.5-AD528</t>
        </is>
      </c>
      <c r="M141" s="77" t="n">
        <v>6</v>
      </c>
    </row>
    <row r="142" customFormat="1" s="69">
      <c r="B142" s="92" t="inlineStr">
        <is>
          <t>215/75R17.5-16PR-I-19A</t>
        </is>
      </c>
      <c r="C142" s="93" t="n">
        <v>32.5</v>
      </c>
      <c r="D142" s="495">
        <f>IF(C142="","",C142/(C142+$C$1/60))</f>
        <v/>
      </c>
      <c r="E142" s="95">
        <f>IFERROR(ROUND(1440/C142*2*D142,0),"")</f>
        <v/>
      </c>
      <c r="F142" s="96" t="n">
        <v>2</v>
      </c>
      <c r="G142" s="97" t="n"/>
      <c r="H142" s="74">
        <f>_xlfn.XLOOKUP(G142,I:I,J:J)</f>
        <v/>
      </c>
      <c r="I142" s="98" t="inlineStr">
        <is>
          <t>11.00R20-18PR-AS578</t>
        </is>
      </c>
      <c r="J142" s="102" t="n">
        <v>944.3483</v>
      </c>
      <c r="L142" s="77" t="inlineStr">
        <is>
          <t>275/80R22.5-AZ179</t>
        </is>
      </c>
      <c r="M142" s="77" t="n">
        <v>4</v>
      </c>
    </row>
    <row r="143" customFormat="1" s="69">
      <c r="B143" s="92" t="inlineStr">
        <is>
          <t>275/80R22.5-16PR-AD153</t>
        </is>
      </c>
      <c r="C143" s="93" t="n">
        <v>40</v>
      </c>
      <c r="D143" s="495">
        <f>IF(C143="","",C143/(C143+$C$1/60))</f>
        <v/>
      </c>
      <c r="E143" s="95">
        <f>IFERROR(ROUND(1440/C143*2*D143,0),"")</f>
        <v/>
      </c>
      <c r="F143" s="96" t="n">
        <v>8</v>
      </c>
      <c r="G143" s="97" t="n"/>
      <c r="H143" s="74">
        <f>_xlfn.XLOOKUP(G143,I:I,J:J)</f>
        <v/>
      </c>
      <c r="I143" s="98" t="inlineStr">
        <is>
          <t>295/80R22.5-18PR-AD156A</t>
        </is>
      </c>
      <c r="J143" s="102" t="n">
        <v>778.5218</v>
      </c>
      <c r="L143" s="77" t="inlineStr">
        <is>
          <t>295/80R22.5-AS678</t>
        </is>
      </c>
      <c r="M143" s="77" t="n">
        <v>4</v>
      </c>
    </row>
    <row r="144" customFormat="1" s="69">
      <c r="B144" s="92" t="inlineStr">
        <is>
          <t>275/80R22.5-16PR-CR976A</t>
        </is>
      </c>
      <c r="C144" s="93" t="n">
        <v>35</v>
      </c>
      <c r="D144" s="495">
        <f>IF(C144="","",C144/(C144+$C$1/60))</f>
        <v/>
      </c>
      <c r="E144" s="95">
        <f>IFERROR(ROUND(1440/C144*2*D144,0),"")</f>
        <v/>
      </c>
      <c r="F144" s="96" t="n">
        <v>6</v>
      </c>
      <c r="G144" s="97" t="n"/>
      <c r="H144" s="74">
        <f>_xlfn.XLOOKUP(G144,I:I,J:J)</f>
        <v/>
      </c>
      <c r="I144" s="98" t="inlineStr">
        <is>
          <t>215/75R17.5-16PR-I-19A</t>
        </is>
      </c>
      <c r="J144" s="102" t="n">
        <v>403.2434</v>
      </c>
      <c r="L144" s="77" t="inlineStr">
        <is>
          <t>295/80R22.5-AT196</t>
        </is>
      </c>
      <c r="M144" s="77" t="n">
        <v>6</v>
      </c>
    </row>
    <row r="145" customFormat="1" s="69">
      <c r="B145" s="92" t="inlineStr">
        <is>
          <t>275/80R22.5-16PR-EZ573</t>
        </is>
      </c>
      <c r="C145" s="93" t="n">
        <v>42</v>
      </c>
      <c r="D145" s="495">
        <f>IF(C145="","",C145/(C145+$C$1/60))</f>
        <v/>
      </c>
      <c r="E145" s="95">
        <f>IFERROR(ROUND(1440/C145*2*D145,0),"")</f>
        <v/>
      </c>
      <c r="F145" s="96" t="n">
        <v>8</v>
      </c>
      <c r="G145" s="97" t="n"/>
      <c r="H145" s="74">
        <f>_xlfn.XLOOKUP(G145,I:I,J:J)</f>
        <v/>
      </c>
      <c r="I145" s="98" t="inlineStr">
        <is>
          <t>225/70R19.5-14PR-H-RA</t>
        </is>
      </c>
      <c r="J145" s="102" t="n">
        <v>437.6939</v>
      </c>
      <c r="L145" s="77" t="inlineStr">
        <is>
          <t>295/80R22.5-AZ183</t>
        </is>
      </c>
      <c r="M145" s="77" t="n">
        <v>2</v>
      </c>
    </row>
    <row r="146" customFormat="1" s="69">
      <c r="B146" s="92" t="inlineStr">
        <is>
          <t>295/80R22.5-18PR-CM997</t>
        </is>
      </c>
      <c r="C146" s="93" t="n">
        <v>45</v>
      </c>
      <c r="D146" s="495">
        <f>IF(C146="","",C146/(C146+$C$1/60))</f>
        <v/>
      </c>
      <c r="E146" s="95">
        <f>IFERROR(ROUND(1440/C146*2*D146,0),"")</f>
        <v/>
      </c>
      <c r="F146" s="96" t="n">
        <v>2</v>
      </c>
      <c r="G146" s="97" t="n"/>
      <c r="H146" s="74">
        <f>_xlfn.XLOOKUP(G146,I:I,J:J)</f>
        <v/>
      </c>
      <c r="I146" s="98" t="inlineStr">
        <is>
          <t>4.80-12-6PR-ST600</t>
        </is>
      </c>
      <c r="J146" s="102" t="n">
        <v>70.77330000000001</v>
      </c>
      <c r="L146" s="77" t="inlineStr">
        <is>
          <t>325/95R24-CM912A</t>
        </is>
      </c>
      <c r="M146" s="77" t="n">
        <v>4</v>
      </c>
    </row>
    <row r="147" customFormat="1" s="69">
      <c r="B147" s="92" t="inlineStr">
        <is>
          <t>295/80R22.5-18PR-EZ177</t>
        </is>
      </c>
      <c r="C147" s="93" t="n">
        <v>42.5</v>
      </c>
      <c r="D147" s="495">
        <f>IF(C147="","",C147/(C147+$C$1/60))</f>
        <v/>
      </c>
      <c r="E147" s="95">
        <f>IFERROR(ROUND(1440/C147*2*D147,0),"")</f>
        <v/>
      </c>
      <c r="F147" s="96" t="n">
        <v>2</v>
      </c>
      <c r="G147" s="97" t="n"/>
      <c r="H147" s="74">
        <f>_xlfn.XLOOKUP(G147,I:I,J:J)</f>
        <v/>
      </c>
      <c r="I147" s="98" t="inlineStr">
        <is>
          <t>225/70R19.5-14PR-CM986</t>
        </is>
      </c>
      <c r="J147" s="102" t="n">
        <v>449.7367</v>
      </c>
      <c r="L147" s="77" t="inlineStr">
        <is>
          <t>325/95R24-CM913A</t>
        </is>
      </c>
      <c r="M147" s="77" t="n">
        <v>4</v>
      </c>
    </row>
    <row r="148" customFormat="1" s="69">
      <c r="B148" s="92" t="inlineStr">
        <is>
          <t>295/80R22.5-18PR-AD156A</t>
        </is>
      </c>
      <c r="C148" s="93" t="n">
        <v>38</v>
      </c>
      <c r="D148" s="495">
        <f>IF(C148="","",C148/(C148+$C$1/60))</f>
        <v/>
      </c>
      <c r="E148" s="95">
        <f>IFERROR(ROUND(1440/C148*2*D148,0),"")</f>
        <v/>
      </c>
      <c r="F148" s="96" t="n">
        <v>4</v>
      </c>
      <c r="G148" s="97" t="n"/>
      <c r="H148" s="74">
        <f>_xlfn.XLOOKUP(G148,I:I,J:J)</f>
        <v/>
      </c>
      <c r="I148" s="98" t="inlineStr">
        <is>
          <t>11.00R20-18PR-AS678</t>
        </is>
      </c>
      <c r="J148" s="102" t="n">
        <v>944.3483</v>
      </c>
      <c r="L148" s="77" t="inlineStr">
        <is>
          <t>275/80R22.5-EZ573A</t>
        </is>
      </c>
      <c r="M148" s="77" t="n">
        <v>2</v>
      </c>
    </row>
    <row r="149" customFormat="1" s="69">
      <c r="B149" s="92" t="inlineStr">
        <is>
          <t>295/80R22.5-18PR-AT167</t>
        </is>
      </c>
      <c r="C149" s="93" t="n">
        <v>35</v>
      </c>
      <c r="D149" s="495">
        <f>IF(C149="","",C149/(C149+$C$1/60))</f>
        <v/>
      </c>
      <c r="E149" s="95">
        <f>IFERROR(ROUND(1440/C149*2*D149,0),"")</f>
        <v/>
      </c>
      <c r="F149" s="96" t="n">
        <v>4</v>
      </c>
      <c r="G149" s="97" t="n"/>
      <c r="H149" s="74">
        <f>_xlfn.XLOOKUP(G149,I:I,J:J)</f>
        <v/>
      </c>
      <c r="I149" s="98" t="inlineStr">
        <is>
          <t>225/70R19.5-14PR-I-19A</t>
        </is>
      </c>
      <c r="J149" s="102" t="n">
        <v>448.4396</v>
      </c>
      <c r="L149" s="77" t="inlineStr">
        <is>
          <t>295/80R22.5-AZ170A</t>
        </is>
      </c>
      <c r="M149" s="77" t="n">
        <v>4</v>
      </c>
    </row>
    <row r="150" customFormat="1" s="69">
      <c r="B150" s="92" t="inlineStr">
        <is>
          <t>295/80R22.5-18PR-WDR1</t>
        </is>
      </c>
      <c r="C150" s="93" t="n">
        <v>42</v>
      </c>
      <c r="D150" s="495">
        <f>IF(C150="","",C150/(C150+$C$1/60))</f>
        <v/>
      </c>
      <c r="E150" s="95">
        <f>IFERROR(ROUND(1440/C150*2*D150,0),"")</f>
        <v/>
      </c>
      <c r="F150" s="96" t="n">
        <v>2</v>
      </c>
      <c r="G150" s="97" t="n"/>
      <c r="H150" s="74">
        <f>_xlfn.XLOOKUP(G150,I:I,J:J)</f>
        <v/>
      </c>
      <c r="I150" s="98" t="inlineStr">
        <is>
          <t>11R24.5-16PR-I-19A</t>
        </is>
      </c>
      <c r="J150" s="102" t="n">
        <v>821.7782999999999</v>
      </c>
      <c r="L150" s="77" t="inlineStr">
        <is>
          <t>215/75R17.5-CM986</t>
        </is>
      </c>
      <c r="M150" s="77" t="n">
        <v>2</v>
      </c>
    </row>
    <row r="151" customFormat="1" s="69">
      <c r="B151" s="92" t="inlineStr">
        <is>
          <t>10.00R20-16PR-TKAL Ⅲ</t>
        </is>
      </c>
      <c r="C151" s="93" t="n">
        <v>41</v>
      </c>
      <c r="D151" s="495">
        <f>IF(C151="","",C151/(C151+$C$1/60))</f>
        <v/>
      </c>
      <c r="E151" s="95">
        <f>IFERROR(ROUND(1440/C151*2*D151,0),"")</f>
        <v/>
      </c>
      <c r="F151" s="96" t="n">
        <v>2</v>
      </c>
      <c r="G151" s="97" t="n"/>
      <c r="H151" s="74">
        <f>_xlfn.XLOOKUP(G151,I:I,J:J)</f>
        <v/>
      </c>
      <c r="I151" s="98" t="inlineStr">
        <is>
          <t>11R24.5-16PR-CR960A</t>
        </is>
      </c>
      <c r="J151" s="102" t="n">
        <v>810.0449</v>
      </c>
      <c r="L151" s="77" t="inlineStr">
        <is>
          <t>215/75R17.5-AZ599</t>
        </is>
      </c>
      <c r="M151" s="77" t="n">
        <v>2</v>
      </c>
    </row>
    <row r="152" customFormat="1" s="69">
      <c r="B152" s="92" t="inlineStr">
        <is>
          <t>10.00R20-18PR-AZ850</t>
        </is>
      </c>
      <c r="C152" s="93" t="n">
        <v>41</v>
      </c>
      <c r="D152" s="495">
        <f>IF(C152="","",C152/(C152+$C$1/60))</f>
        <v/>
      </c>
      <c r="E152" s="95">
        <f>IFERROR(ROUND(1440/C152*2*D152,0),"")</f>
        <v/>
      </c>
      <c r="F152" s="96" t="n">
        <v>2</v>
      </c>
      <c r="G152" s="97" t="n"/>
      <c r="H152" s="74">
        <f>_xlfn.XLOOKUP(G152,I:I,J:J)</f>
        <v/>
      </c>
      <c r="I152" s="98" t="inlineStr">
        <is>
          <t>11R24.5-16PR-AT563</t>
        </is>
      </c>
      <c r="J152" s="102" t="n">
        <v>803.25</v>
      </c>
      <c r="L152" s="77" t="inlineStr">
        <is>
          <t>215/75R17.5-AS673</t>
        </is>
      </c>
      <c r="M152" s="77" t="n">
        <v>2</v>
      </c>
    </row>
    <row r="153" customFormat="1" s="69">
      <c r="B153" s="92" t="inlineStr">
        <is>
          <t>11.00R20-18PR-EZ330A</t>
        </is>
      </c>
      <c r="C153" s="93" t="n">
        <v>54.5</v>
      </c>
      <c r="D153" s="495">
        <f>IF(C153="","",C153/(C153+$C$1/60))</f>
        <v/>
      </c>
      <c r="E153" s="95">
        <f>IFERROR(ROUND(1440/C153*2*D153,0),"")</f>
        <v/>
      </c>
      <c r="F153" s="96" t="n">
        <v>2</v>
      </c>
      <c r="G153" s="97" t="n"/>
      <c r="H153" s="74">
        <f>_xlfn.XLOOKUP(G153,I:I,J:J)</f>
        <v/>
      </c>
      <c r="I153" s="98" t="inlineStr">
        <is>
          <t>11R22.5-16PR-SL11</t>
        </is>
      </c>
      <c r="J153" s="102" t="n">
        <v>697.7446</v>
      </c>
      <c r="L153" s="77" t="inlineStr">
        <is>
          <t>225/70R19.5-AZ599</t>
        </is>
      </c>
      <c r="M153" s="77" t="n">
        <v>2</v>
      </c>
    </row>
    <row r="154" customFormat="1" s="69">
      <c r="B154" s="92" t="inlineStr">
        <is>
          <t>11.00R20-18PR-AZ676</t>
        </is>
      </c>
      <c r="C154" s="93" t="n">
        <v>44</v>
      </c>
      <c r="D154" s="495">
        <f>IF(C154="","",C154/(C154+$C$1/60))</f>
        <v/>
      </c>
      <c r="E154" s="95">
        <f>IFERROR(ROUND(1440/C154*2*D154,0),"")</f>
        <v/>
      </c>
      <c r="F154" s="96" t="n">
        <v>2</v>
      </c>
      <c r="G154" s="97" t="n"/>
      <c r="H154" s="74">
        <f>_xlfn.XLOOKUP(G154,I:I,J:J)</f>
        <v/>
      </c>
      <c r="I154" s="98" t="inlineStr">
        <is>
          <t>245/70R19.5-16PR-I-19A</t>
        </is>
      </c>
      <c r="J154" s="102" t="n">
        <v>531.4421</v>
      </c>
      <c r="L154" s="77" t="inlineStr">
        <is>
          <t>225/70R19.5-AS673</t>
        </is>
      </c>
      <c r="M154" s="77" t="n">
        <v>2</v>
      </c>
    </row>
    <row r="155" customFormat="1" s="69">
      <c r="B155" s="92" t="inlineStr">
        <is>
          <t>12.00R24-20PR-TZ101 PRO</t>
        </is>
      </c>
      <c r="C155" s="93" t="n">
        <v>56.5</v>
      </c>
      <c r="D155" s="495">
        <f>IF(C155="","",C155/(C155+$C$1/60))</f>
        <v/>
      </c>
      <c r="E155" s="95">
        <f>IFERROR(ROUND(1440/C155*2*D155,0),"")</f>
        <v/>
      </c>
      <c r="F155" s="96" t="n">
        <v>2</v>
      </c>
      <c r="G155" s="97" t="n"/>
      <c r="H155" s="74">
        <f>_xlfn.XLOOKUP(G155,I:I,J:J)</f>
        <v/>
      </c>
      <c r="I155" s="98" t="inlineStr">
        <is>
          <t>7.50R16-14PR-EZ377</t>
        </is>
      </c>
      <c r="J155" s="102" t="n">
        <v>414.1676</v>
      </c>
      <c r="L155" s="77" t="inlineStr">
        <is>
          <t>11R24.5-AS600</t>
        </is>
      </c>
      <c r="M155" s="77" t="n">
        <v>2</v>
      </c>
    </row>
    <row r="156" customFormat="1" s="69">
      <c r="B156" s="92" t="inlineStr">
        <is>
          <t>12.00R24-20PR-MT100 MAX</t>
        </is>
      </c>
      <c r="C156" s="93" t="n">
        <v>56.5</v>
      </c>
      <c r="D156" s="495">
        <f>IF(C156="","",C156/(C156+$C$1/60))</f>
        <v/>
      </c>
      <c r="E156" s="95">
        <f>IFERROR(ROUND(1440/C156*2*D156,0),"")</f>
        <v/>
      </c>
      <c r="F156" s="96" t="n">
        <v>2</v>
      </c>
      <c r="G156" s="97" t="n"/>
      <c r="H156" s="74">
        <f>_xlfn.XLOOKUP(G156,I:I,J:J)</f>
        <v/>
      </c>
      <c r="I156" s="98" t="inlineStr">
        <is>
          <t>325/95R24-22PR-AZ828</t>
        </is>
      </c>
      <c r="J156" s="102" t="n">
        <v>1225.0336</v>
      </c>
      <c r="L156" s="77" t="inlineStr">
        <is>
          <t>11R24.5-CM983</t>
        </is>
      </c>
      <c r="M156" s="77" t="n">
        <v>2</v>
      </c>
    </row>
    <row r="157" customFormat="1" s="69">
      <c r="B157" s="92" t="inlineStr">
        <is>
          <t>295/80R22.5-18PR-AD528</t>
        </is>
      </c>
      <c r="C157" s="93" t="n">
        <v>39.1</v>
      </c>
      <c r="D157" s="495">
        <f>IF(C157="","",C157/(C157+$C$1/60))</f>
        <v/>
      </c>
      <c r="E157" s="95">
        <f>IFERROR(ROUND(1440/C157*2*D157,0),"")</f>
        <v/>
      </c>
      <c r="F157" s="96" t="n">
        <v>4</v>
      </c>
      <c r="G157" s="97" t="n"/>
      <c r="H157" s="74">
        <f>_xlfn.XLOOKUP(G157,I:I,J:J)</f>
        <v/>
      </c>
      <c r="I157" s="98" t="inlineStr">
        <is>
          <t>295/80R22.5-18PR-G-PERFORM S</t>
        </is>
      </c>
      <c r="J157" s="102" t="n">
        <v>793.7538</v>
      </c>
      <c r="L157" s="77" t="inlineStr">
        <is>
          <t>11R24.5-AD757</t>
        </is>
      </c>
      <c r="M157" s="77" t="n">
        <v>2</v>
      </c>
    </row>
    <row r="158" customFormat="1" s="69">
      <c r="B158" s="92" t="inlineStr">
        <is>
          <t>325/95R24-22PR-CM913A</t>
        </is>
      </c>
      <c r="C158" s="93" t="n">
        <v>46</v>
      </c>
      <c r="D158" s="495">
        <f>IF(C158="","",C158/(C158+$C$1/60))</f>
        <v/>
      </c>
      <c r="E158" s="95">
        <f>IFERROR(ROUND(1440/C158*2*D158,0),"")</f>
        <v/>
      </c>
      <c r="F158" s="96" t="n">
        <v>4</v>
      </c>
      <c r="G158" s="97" t="n"/>
      <c r="H158" s="74">
        <f>_xlfn.XLOOKUP(G158,I:I,J:J)</f>
        <v/>
      </c>
      <c r="I158" s="98" t="inlineStr">
        <is>
          <t>11R22.5-16PR-VT993</t>
        </is>
      </c>
      <c r="J158" s="102" t="n">
        <v>697.7446</v>
      </c>
      <c r="L158" s="77" t="inlineStr">
        <is>
          <t>11R24.5-AS678</t>
        </is>
      </c>
      <c r="M158" s="77" t="n">
        <v>2</v>
      </c>
    </row>
    <row r="159" customFormat="1" s="69">
      <c r="B159" s="92" t="inlineStr">
        <is>
          <t>10.00R20-18PR-FOLO.R109</t>
        </is>
      </c>
      <c r="C159" s="93" t="n">
        <v>41</v>
      </c>
      <c r="D159" s="495">
        <f>IF(C159="","",C159/(C159+$C$1/60))</f>
        <v/>
      </c>
      <c r="E159" s="95">
        <f>IFERROR(ROUND(1440/C159*2*D159,0),"")</f>
        <v/>
      </c>
      <c r="F159" s="96" t="n">
        <v>2</v>
      </c>
      <c r="G159" s="97" t="n"/>
      <c r="H159" s="74">
        <f>_xlfn.XLOOKUP(G159,I:I,J:J)</f>
        <v/>
      </c>
      <c r="I159" s="98" t="inlineStr">
        <is>
          <t>295/80R22.5-18PR-G-PRO S</t>
        </is>
      </c>
      <c r="J159" s="102" t="n">
        <v>902.1747</v>
      </c>
      <c r="L159" s="77" t="inlineStr">
        <is>
          <t>11R24.5-AS673</t>
        </is>
      </c>
      <c r="M159" s="77" t="n">
        <v>2</v>
      </c>
    </row>
    <row r="160" customFormat="1" s="69">
      <c r="B160" s="92" t="inlineStr">
        <is>
          <t>10.00R20-18PR-TKAL Ⅲ</t>
        </is>
      </c>
      <c r="C160" s="93" t="n">
        <v>41</v>
      </c>
      <c r="D160" s="495">
        <f>IF(C160="","",C160/(C160+$C$1/60))</f>
        <v/>
      </c>
      <c r="E160" s="95">
        <f>IFERROR(ROUND(1440/C160*2*D160,0),"")</f>
        <v/>
      </c>
      <c r="F160" s="96" t="n">
        <v>2</v>
      </c>
      <c r="G160" s="97" t="n"/>
      <c r="H160" s="74">
        <f>_xlfn.XLOOKUP(G160,I:I,J:J)</f>
        <v/>
      </c>
      <c r="I160" s="98" t="inlineStr">
        <is>
          <t>215/75R17.5-16PR-H-RA</t>
        </is>
      </c>
      <c r="J160" s="102" t="n">
        <v>380.1812</v>
      </c>
      <c r="L160" s="77" t="inlineStr">
        <is>
          <t>11R24.5-AD759</t>
        </is>
      </c>
      <c r="M160" s="77" t="n">
        <v>2</v>
      </c>
    </row>
    <row r="161" customFormat="1" s="69">
      <c r="B161" s="92" t="inlineStr">
        <is>
          <t>10.00R20-18PR-CM998</t>
        </is>
      </c>
      <c r="C161" s="93" t="n">
        <v>41</v>
      </c>
      <c r="D161" s="495">
        <f>IF(C161="","",C161/(C161+$C$1/60))</f>
        <v/>
      </c>
      <c r="E161" s="95">
        <f>IFERROR(ROUND(1440/C161*2*D161,0),"")</f>
        <v/>
      </c>
      <c r="F161" s="96" t="n">
        <v>2</v>
      </c>
      <c r="G161" s="97" t="n"/>
      <c r="H161" s="74">
        <f>_xlfn.XLOOKUP(G161,I:I,J:J)</f>
        <v/>
      </c>
      <c r="I161" s="98" t="inlineStr">
        <is>
          <t>245/70R19.5-16PR-ZA15</t>
        </is>
      </c>
      <c r="J161" s="102" t="n">
        <v>529.1335</v>
      </c>
      <c r="L161" s="77" t="inlineStr">
        <is>
          <t>11R24.5-AZ599</t>
        </is>
      </c>
      <c r="M161" s="77" t="n">
        <v>2</v>
      </c>
    </row>
    <row r="162" customFormat="1" s="69">
      <c r="B162" s="92" t="inlineStr">
        <is>
          <t>295/80R22.5-18PR-G-PRO D</t>
        </is>
      </c>
      <c r="C162" s="93" t="n">
        <v>46</v>
      </c>
      <c r="D162" s="495">
        <f>IF(C162="","",C162/(C162+$C$1/60))</f>
        <v/>
      </c>
      <c r="E162" s="95">
        <f>IFERROR(ROUND(1440/C162*2*D162,0),"")</f>
        <v/>
      </c>
      <c r="F162" s="96" t="n">
        <v>2</v>
      </c>
      <c r="G162" s="97" t="n"/>
      <c r="H162" s="74">
        <f>_xlfn.XLOOKUP(G162,I:I,J:J)</f>
        <v/>
      </c>
      <c r="I162" s="98" t="inlineStr">
        <is>
          <t>295/80R22.5-18PR-G PRO D</t>
        </is>
      </c>
      <c r="J162" s="102" t="n">
        <v>954.5585</v>
      </c>
      <c r="L162" s="77" t="inlineStr">
        <is>
          <t>11R24.5-AD716</t>
        </is>
      </c>
      <c r="M162" s="77" t="n">
        <v>2</v>
      </c>
    </row>
    <row r="163" customFormat="1" s="69">
      <c r="B163" s="92" t="inlineStr">
        <is>
          <t>225/70R19.5-14PR-Strong Guard H-RA</t>
        </is>
      </c>
      <c r="C163" s="93" t="n">
        <v>31.9</v>
      </c>
      <c r="D163" s="495">
        <f>IF(C163="","",C163/(C163+$C$1/60))</f>
        <v/>
      </c>
      <c r="E163" s="95">
        <f>IFERROR(ROUND(1440/C163*2*D163,0),"")</f>
        <v/>
      </c>
      <c r="F163" s="96" t="n">
        <v>2</v>
      </c>
      <c r="G163" s="97" t="n"/>
      <c r="H163" s="74">
        <f>_xlfn.XLOOKUP(G163,I:I,J:J)</f>
        <v/>
      </c>
      <c r="I163" s="98" t="inlineStr">
        <is>
          <t>295/80R22.5-18PR-G-PRO MSA</t>
        </is>
      </c>
      <c r="J163" s="102" t="n">
        <v>799.3706</v>
      </c>
      <c r="L163" s="77" t="inlineStr">
        <is>
          <t>11R24.5-AS600+</t>
        </is>
      </c>
      <c r="M163" s="77" t="n">
        <v>2</v>
      </c>
    </row>
    <row r="164" customFormat="1" s="69">
      <c r="B164" s="92" t="inlineStr">
        <is>
          <t>215/75R17.5-16PR-Strong Guard H-RA</t>
        </is>
      </c>
      <c r="C164" s="93" t="n">
        <v>30</v>
      </c>
      <c r="D164" s="495">
        <f>IF(C164="","",C164/(C164+$C$1/60))</f>
        <v/>
      </c>
      <c r="E164" s="95">
        <f>IFERROR(ROUND(1440/C164*2*D164,0),"")</f>
        <v/>
      </c>
      <c r="F164" s="96" t="n">
        <v>2</v>
      </c>
      <c r="G164" s="97" t="n"/>
      <c r="H164" s="74">
        <f>_xlfn.XLOOKUP(G164,I:I,J:J)</f>
        <v/>
      </c>
      <c r="I164" s="98" t="inlineStr">
        <is>
          <t>275/80R22.5-16PR-AZ179</t>
        </is>
      </c>
      <c r="J164" s="102" t="n">
        <v>771.8467000000001</v>
      </c>
      <c r="L164" s="77" t="inlineStr">
        <is>
          <t>285/75R24.5-AS600</t>
        </is>
      </c>
      <c r="M164" s="77" t="n">
        <v>2</v>
      </c>
    </row>
    <row r="165" customFormat="1" s="69">
      <c r="B165" s="92" t="inlineStr">
        <is>
          <t>11R22.5-16PR-VT993</t>
        </is>
      </c>
      <c r="C165" s="93" t="n">
        <v>40.5</v>
      </c>
      <c r="D165" s="495">
        <f>IF(C165="","",C165/(C165+$C$1/60))</f>
        <v/>
      </c>
      <c r="E165" s="95">
        <f>IFERROR(ROUND(1440/C165*2*D165,0),"")</f>
        <v/>
      </c>
      <c r="F165" s="96" t="n">
        <v>2</v>
      </c>
      <c r="G165" s="97" t="n"/>
      <c r="H165" s="74">
        <f>_xlfn.XLOOKUP(G165,I:I,J:J)</f>
        <v/>
      </c>
      <c r="I165" s="98" t="inlineStr">
        <is>
          <t>245/70R19.5-16PR-VA933</t>
        </is>
      </c>
      <c r="J165" s="102" t="n">
        <v>529.1335</v>
      </c>
      <c r="L165" s="77" t="inlineStr">
        <is>
          <t>285/75R24.5-AD757</t>
        </is>
      </c>
      <c r="M165" s="77" t="n">
        <v>2</v>
      </c>
    </row>
    <row r="166" customFormat="1" s="69">
      <c r="B166" s="92" t="inlineStr">
        <is>
          <t>295/75R22.5-14PR-AD716</t>
        </is>
      </c>
      <c r="C166" s="93" t="n">
        <v>40</v>
      </c>
      <c r="D166" s="495">
        <f>IF(C166="","",C166/(C166+$C$1/60))</f>
        <v/>
      </c>
      <c r="E166" s="95">
        <f>IFERROR(ROUND(1440/C166*2*D166,0),"")</f>
        <v/>
      </c>
      <c r="F166" s="96" t="n">
        <v>2</v>
      </c>
      <c r="G166" s="97" t="n"/>
      <c r="H166" s="74">
        <f>_xlfn.XLOOKUP(G166,I:I,J:J)</f>
        <v/>
      </c>
      <c r="I166" s="98" t="inlineStr">
        <is>
          <t>295/80R22.5-18PR-G-PERFORM D</t>
        </is>
      </c>
      <c r="J166" s="102" t="n">
        <v>813.0794</v>
      </c>
      <c r="L166" s="77" t="inlineStr">
        <is>
          <t>285/75R24.5-AS678</t>
        </is>
      </c>
      <c r="M166" s="77" t="n">
        <v>2</v>
      </c>
    </row>
    <row r="167" customFormat="1" s="69">
      <c r="B167" s="92" t="inlineStr">
        <is>
          <t>295/75R22.5-16PR-VT993</t>
        </is>
      </c>
      <c r="C167" s="93" t="n">
        <v>40.5</v>
      </c>
      <c r="D167" s="495">
        <f>IF(C167="","",C167/(C167+$C$1/60))</f>
        <v/>
      </c>
      <c r="E167" s="95">
        <f>IFERROR(ROUND(1440/C167*2*D167,0),"")</f>
        <v/>
      </c>
      <c r="F167" s="96" t="n">
        <v>2</v>
      </c>
      <c r="G167" s="97" t="n"/>
      <c r="H167" s="74">
        <f>_xlfn.XLOOKUP(G167,I:I,J:J)</f>
        <v/>
      </c>
      <c r="I167" s="98" t="inlineStr">
        <is>
          <t>275/80R22.5-16PR-BMA03 ECO</t>
        </is>
      </c>
      <c r="J167" s="102" t="n">
        <v>810.6042</v>
      </c>
      <c r="L167" s="77" t="inlineStr">
        <is>
          <t>285/75R24.5-AS673</t>
        </is>
      </c>
      <c r="M167" s="77" t="n">
        <v>2</v>
      </c>
    </row>
    <row r="168" customFormat="1" s="69">
      <c r="B168" s="92" t="inlineStr">
        <is>
          <t>11R24.5-16PR-I-19A</t>
        </is>
      </c>
      <c r="C168" s="93" t="n">
        <v>37</v>
      </c>
      <c r="D168" s="495">
        <f>IF(C168="","",C168/(C168+$C$1/60))</f>
        <v/>
      </c>
      <c r="E168" s="95">
        <f>IFERROR(ROUND(1440/C168*2*D168,0),"")</f>
        <v/>
      </c>
      <c r="F168" s="96" t="n">
        <v>2</v>
      </c>
      <c r="G168" s="97" t="n"/>
      <c r="H168" s="74">
        <f>_xlfn.XLOOKUP(G168,I:I,J:J)</f>
        <v/>
      </c>
      <c r="I168" s="98" t="inlineStr">
        <is>
          <t>295/80R22.5-18PR-TUCSON A</t>
        </is>
      </c>
      <c r="J168" s="102" t="n">
        <v>760.7194</v>
      </c>
      <c r="L168" s="77" t="inlineStr">
        <is>
          <t>285/75R24.5-AD737</t>
        </is>
      </c>
      <c r="M168" s="77" t="n">
        <v>2</v>
      </c>
    </row>
    <row r="169" customFormat="1" s="69">
      <c r="B169" s="92" t="inlineStr">
        <is>
          <t>11R24.5-16PR-CR960A</t>
        </is>
      </c>
      <c r="C169" s="93" t="n">
        <v>35.5</v>
      </c>
      <c r="D169" s="495">
        <f>IF(C169="","",C169/(C169+$C$1/60))</f>
        <v/>
      </c>
      <c r="E169" s="95">
        <f>IFERROR(ROUND(1440/C169*2*D169,0),"")</f>
        <v/>
      </c>
      <c r="F169" s="96" t="n">
        <v>2</v>
      </c>
      <c r="G169" s="97" t="n"/>
      <c r="H169" s="74">
        <f>_xlfn.XLOOKUP(G169,I:I,J:J)</f>
        <v/>
      </c>
      <c r="I169" s="98" t="inlineStr">
        <is>
          <t>295/80R22.5-18PR-TUCSON D</t>
        </is>
      </c>
      <c r="J169" s="102" t="n">
        <v>776.5583</v>
      </c>
      <c r="L169" s="77" t="inlineStr">
        <is>
          <t>285/75R24.5-AD778</t>
        </is>
      </c>
      <c r="M169" s="77" t="n">
        <v>2</v>
      </c>
    </row>
    <row r="170" customFormat="1" s="69">
      <c r="B170" s="92" t="inlineStr">
        <is>
          <t>11R24.5-16PR-AT563</t>
        </is>
      </c>
      <c r="C170" s="93" t="n">
        <v>38.5</v>
      </c>
      <c r="D170" s="495">
        <f>IF(C170="","",C170/(C170+$C$1/60))</f>
        <v/>
      </c>
      <c r="E170" s="95">
        <f>IFERROR(ROUND(1440/C170*2*D170,0),"")</f>
        <v/>
      </c>
      <c r="F170" s="96" t="n">
        <v>2</v>
      </c>
      <c r="G170" s="97" t="n"/>
      <c r="H170" s="74">
        <f>_xlfn.XLOOKUP(G170,I:I,J:J)</f>
        <v/>
      </c>
      <c r="I170" s="98" t="inlineStr">
        <is>
          <t>245/70R19.5-16PR-CM986</t>
        </is>
      </c>
      <c r="J170" s="102" t="n">
        <v>512.4378</v>
      </c>
      <c r="L170" s="77" t="inlineStr">
        <is>
          <t>285/75R24.5-AD759</t>
        </is>
      </c>
      <c r="M170" s="77" t="n">
        <v>2</v>
      </c>
    </row>
    <row r="171" customFormat="1" s="69">
      <c r="B171" s="92" t="inlineStr">
        <is>
          <t>295/80R22.5-18PR-G-PERFORM S</t>
        </is>
      </c>
      <c r="C171" s="93" t="n">
        <v>34.7</v>
      </c>
      <c r="D171" s="495">
        <f>IF(C171="","",C171/(C171+$C$1/60))</f>
        <v/>
      </c>
      <c r="E171" s="95">
        <f>IFERROR(ROUND(1440/C171*2*D171,0),"")</f>
        <v/>
      </c>
      <c r="F171" s="96" t="n">
        <v>2</v>
      </c>
      <c r="G171" s="97" t="n"/>
      <c r="H171" s="74">
        <f>_xlfn.XLOOKUP(G171,I:I,J:J)</f>
        <v/>
      </c>
      <c r="I171" s="98" t="inlineStr">
        <is>
          <t>10.00R20-18PR-CB981</t>
        </is>
      </c>
      <c r="J171" s="102" t="n">
        <v>916.5142</v>
      </c>
      <c r="L171" s="77" t="inlineStr">
        <is>
          <t>285/75R24.5-AZ599</t>
        </is>
      </c>
      <c r="M171" s="77" t="n">
        <v>2</v>
      </c>
    </row>
    <row r="172" customFormat="1" s="69">
      <c r="B172" s="92" t="inlineStr">
        <is>
          <t>295/80R22.5-18PR-G-PRO MSA</t>
        </is>
      </c>
      <c r="C172" s="93" t="n">
        <v>37</v>
      </c>
      <c r="D172" s="495">
        <f>IF(C172="","",C172/(C172+$C$1/60))</f>
        <v/>
      </c>
      <c r="E172" s="95">
        <f>IFERROR(ROUND(1440/C172*2*D172,0),"")</f>
        <v/>
      </c>
      <c r="F172" s="96" t="n">
        <v>2</v>
      </c>
      <c r="G172" s="97" t="n"/>
      <c r="H172" s="74">
        <f>_xlfn.XLOOKUP(G172,I:I,J:J)</f>
        <v/>
      </c>
      <c r="I172" s="98" t="inlineStr">
        <is>
          <t>10.00R20-18PR-TKAL III</t>
        </is>
      </c>
      <c r="J172" s="102" t="n">
        <v>898.1882000000001</v>
      </c>
      <c r="L172" s="77" t="inlineStr">
        <is>
          <t>285/75R24.5-AD716</t>
        </is>
      </c>
      <c r="M172" s="77" t="n">
        <v>2</v>
      </c>
    </row>
    <row r="173" customFormat="1" s="69">
      <c r="B173" s="92" t="inlineStr">
        <is>
          <t>295/80R22.5-18PR-G-PRO S</t>
        </is>
      </c>
      <c r="C173" s="93" t="n">
        <v>46</v>
      </c>
      <c r="D173" s="495">
        <f>IF(C173="","",C173/(C173+$C$1/60))</f>
        <v/>
      </c>
      <c r="E173" s="95">
        <f>IFERROR(ROUND(1440/C173*2*D173,0),"")</f>
        <v/>
      </c>
      <c r="F173" s="96" t="n">
        <v>2</v>
      </c>
      <c r="G173" s="97" t="n"/>
      <c r="H173" s="74">
        <f>_xlfn.XLOOKUP(G173,I:I,J:J)</f>
        <v/>
      </c>
      <c r="I173" s="98" t="inlineStr">
        <is>
          <t>295/75R22.5-14PR-VT993</t>
        </is>
      </c>
      <c r="J173" s="102" t="n">
        <v>689.01</v>
      </c>
      <c r="L173" s="77" t="inlineStr">
        <is>
          <t>285/75R24.5-AS600+</t>
        </is>
      </c>
      <c r="M173" s="77" t="n">
        <v>2</v>
      </c>
    </row>
    <row r="174" customFormat="1" s="69">
      <c r="B174" s="92" t="inlineStr">
        <is>
          <t>295/80R22.5-18PR-TUCSON A</t>
        </is>
      </c>
      <c r="C174" s="93" t="n">
        <v>34.7</v>
      </c>
      <c r="D174" s="495">
        <f>IF(C174="","",C174/(C174+$C$1/60))</f>
        <v/>
      </c>
      <c r="E174" s="95">
        <f>IFERROR(ROUND(1440/C174*2*D174,0),"")</f>
        <v/>
      </c>
      <c r="F174" s="96" t="n">
        <v>2</v>
      </c>
      <c r="G174" s="97" t="n"/>
      <c r="H174" s="74">
        <f>_xlfn.XLOOKUP(G174,I:I,J:J)</f>
        <v/>
      </c>
      <c r="I174" s="98" t="inlineStr">
        <is>
          <t>12.00R24-20PR-CB332</t>
        </is>
      </c>
      <c r="J174" s="102" t="n">
        <v>1288.8295</v>
      </c>
      <c r="L174" s="77" t="inlineStr">
        <is>
          <t>255/70R22.5-AS678</t>
        </is>
      </c>
      <c r="M174" s="77" t="n">
        <v>2</v>
      </c>
    </row>
    <row r="175" customFormat="1" s="69">
      <c r="B175" s="92" t="inlineStr">
        <is>
          <t>245/70R19.5-16PR-VA933</t>
        </is>
      </c>
      <c r="C175" s="93" t="n">
        <v>32.5</v>
      </c>
      <c r="D175" s="495">
        <f>IF(C175="","",C175/(C175+$C$1/60))</f>
        <v/>
      </c>
      <c r="E175" s="95">
        <f>IFERROR(ROUND(1440/C175*2*D175,0),"")</f>
        <v/>
      </c>
      <c r="F175" s="96" t="n">
        <v>2</v>
      </c>
      <c r="G175" s="97" t="n"/>
      <c r="H175" s="74">
        <f>_xlfn.XLOOKUP(G175,I:I,J:J)</f>
        <v/>
      </c>
      <c r="I175" s="98" t="inlineStr">
        <is>
          <t>295/80R22.5-18PR-BMD06 PRO</t>
        </is>
      </c>
      <c r="J175" s="102" t="n">
        <v>951.167</v>
      </c>
      <c r="L175" s="77" t="inlineStr">
        <is>
          <t>265/70R19.5-AS673</t>
        </is>
      </c>
      <c r="M175" s="77" t="n">
        <v>2</v>
      </c>
    </row>
    <row r="176" customFormat="1" s="69">
      <c r="B176" s="92" t="inlineStr">
        <is>
          <t>275/80R22.5-16PR-BMA03 ECO</t>
        </is>
      </c>
      <c r="C176" s="93" t="n">
        <v>37</v>
      </c>
      <c r="D176" s="495">
        <f>IF(C176="","",C176/(C176+$C$1/60))</f>
        <v/>
      </c>
      <c r="E176" s="95">
        <f>IFERROR(ROUND(1440/C176*2*D176,0),"")</f>
        <v/>
      </c>
      <c r="F176" s="96" t="n">
        <v>2</v>
      </c>
      <c r="G176" s="97" t="n"/>
      <c r="H176" s="74">
        <f>_xlfn.XLOOKUP(G176,I:I,J:J)</f>
        <v/>
      </c>
      <c r="I176" s="98" t="inlineStr">
        <is>
          <t>225/70R19.5-14PR-I-37D</t>
        </is>
      </c>
      <c r="J176" s="102" t="n">
        <v>466.9322</v>
      </c>
      <c r="L176" s="77" t="inlineStr">
        <is>
          <t>445/50R22.5-AT566</t>
        </is>
      </c>
      <c r="M176" s="77" t="n">
        <v>4</v>
      </c>
    </row>
    <row r="177" customFormat="1" s="69">
      <c r="B177" s="92" t="inlineStr">
        <is>
          <t>295/80R22.5-18PR-G-PERFORM D</t>
        </is>
      </c>
      <c r="C177" s="93" t="n">
        <v>37</v>
      </c>
      <c r="D177" s="495">
        <f>IF(C177="","",C177/(C177+$C$1/60))</f>
        <v/>
      </c>
      <c r="E177" s="95">
        <f>IFERROR(ROUND(1440/C177*2*D177,0),"")</f>
        <v/>
      </c>
      <c r="F177" s="96" t="n">
        <v>2</v>
      </c>
      <c r="G177" s="97" t="n"/>
      <c r="H177" s="74">
        <f>_xlfn.XLOOKUP(G177,I:I,J:J)</f>
        <v/>
      </c>
      <c r="I177" s="98" t="inlineStr">
        <is>
          <t>295/80R22.5-18PR-BRD06 PRO</t>
        </is>
      </c>
      <c r="J177" s="102" t="n">
        <v>946.5974</v>
      </c>
      <c r="L177" s="77" t="inlineStr">
        <is>
          <t>445/50R22.5-AD781</t>
        </is>
      </c>
      <c r="M177" s="77" t="n">
        <v>2</v>
      </c>
    </row>
    <row r="178" customFormat="1" s="69">
      <c r="B178" s="92" t="inlineStr">
        <is>
          <t>295/80R22.5-18PR-TUCSON D</t>
        </is>
      </c>
      <c r="C178" s="93" t="n">
        <v>35</v>
      </c>
      <c r="D178" s="495">
        <f>IF(C178="","",C178/(C178+$C$1/60))</f>
        <v/>
      </c>
      <c r="E178" s="95">
        <f>IFERROR(ROUND(1440/C178*2*D178,0),"")</f>
        <v/>
      </c>
      <c r="F178" s="96" t="n">
        <v>2</v>
      </c>
      <c r="G178" s="97" t="n"/>
      <c r="H178" s="74">
        <f>_xlfn.XLOOKUP(G178,I:I,J:J)</f>
        <v/>
      </c>
      <c r="I178" s="98" t="inlineStr">
        <is>
          <t>17.5-25-16PR-EL36(TT)</t>
        </is>
      </c>
      <c r="J178" s="102" t="n">
        <v>1712.832807</v>
      </c>
      <c r="L178" s="77" t="inlineStr">
        <is>
          <t>275/70R22.5-AZ599</t>
        </is>
      </c>
      <c r="M178" s="77" t="n">
        <v>2</v>
      </c>
    </row>
    <row r="179" customFormat="1" s="69">
      <c r="B179" s="103" t="inlineStr">
        <is>
          <t>275/80R22.5-16PR-CR906</t>
        </is>
      </c>
      <c r="C179" s="93" t="n">
        <v>42</v>
      </c>
      <c r="D179" s="495">
        <f>IF(C179="","",C179/(C179+$C$1/60))</f>
        <v/>
      </c>
      <c r="E179" s="95">
        <f>IFERROR(ROUND(1440/C179*2*D179,0),"")</f>
        <v/>
      </c>
      <c r="F179" s="96" t="n">
        <v>2</v>
      </c>
      <c r="G179" s="97" t="n"/>
      <c r="H179" s="74">
        <f>_xlfn.XLOOKUP(G179,I:I,J:J)</f>
        <v/>
      </c>
      <c r="I179" s="98" t="inlineStr">
        <is>
          <t>17.5-25-16PR-CL729(TT)</t>
        </is>
      </c>
      <c r="J179" s="102" t="n">
        <v>1833.087186</v>
      </c>
      <c r="L179" s="77" t="inlineStr">
        <is>
          <t>7.50R16-AZ686</t>
        </is>
      </c>
      <c r="M179" s="77" t="n">
        <v>2</v>
      </c>
    </row>
    <row r="180" customFormat="1" s="69">
      <c r="B180" s="92" t="inlineStr">
        <is>
          <t>275/80R22.5-16PR-BRD02 ECO</t>
        </is>
      </c>
      <c r="C180" s="93" t="n">
        <v>40</v>
      </c>
      <c r="D180" s="495">
        <f>IF(C180="","",C180/(C180+$C$1/60))</f>
        <v/>
      </c>
      <c r="E180" s="95">
        <f>IFERROR(ROUND(1440/C180*2*D180,0),"")</f>
        <v/>
      </c>
      <c r="F180" s="96" t="n">
        <v>2</v>
      </c>
      <c r="G180" s="97" t="n"/>
      <c r="H180" s="74">
        <f>_xlfn.XLOOKUP(G180,I:I,J:J)</f>
        <v/>
      </c>
      <c r="I180" s="98" t="inlineStr">
        <is>
          <t>7.50-16-14PR-AB111</t>
        </is>
      </c>
      <c r="J180" s="102" t="n">
        <v>371.785274</v>
      </c>
      <c r="L180" s="77" t="inlineStr">
        <is>
          <t>7.50R16-AZ697</t>
        </is>
      </c>
      <c r="M180" s="77" t="n">
        <v>2</v>
      </c>
    </row>
    <row r="181" customFormat="1" s="69">
      <c r="B181" s="92" t="inlineStr">
        <is>
          <t>275/80R22.5-16PR-BRA04</t>
        </is>
      </c>
      <c r="C181" s="93" t="n">
        <v>35</v>
      </c>
      <c r="D181" s="495">
        <f>IF(C181="","",C181/(C181+$C$1/60))</f>
        <v/>
      </c>
      <c r="E181" s="95">
        <f>IFERROR(ROUND(1440/C181*2*D181,0),"")</f>
        <v/>
      </c>
      <c r="F181" s="96" t="n">
        <v>2</v>
      </c>
      <c r="G181" s="97" t="n"/>
      <c r="H181" s="74">
        <f>_xlfn.XLOOKUP(G181,I:I,J:J)</f>
        <v/>
      </c>
      <c r="I181" s="98" t="inlineStr">
        <is>
          <t>7.50-15-12PR-R8037</t>
        </is>
      </c>
      <c r="J181" s="102" t="n">
        <v>293.710683</v>
      </c>
      <c r="L181" s="77" t="inlineStr">
        <is>
          <t>10.00R20-CR926</t>
        </is>
      </c>
      <c r="M181" s="77" t="n">
        <v>8</v>
      </c>
    </row>
    <row r="182" customFormat="1" s="69">
      <c r="B182" s="92" t="inlineStr">
        <is>
          <t>295/80R22.5-18PR-G-PERFORM O</t>
        </is>
      </c>
      <c r="C182" s="93" t="n">
        <v>41.5</v>
      </c>
      <c r="D182" s="495">
        <f>IF(C182="","",C182/(C182+$C$1/60))</f>
        <v/>
      </c>
      <c r="E182" s="95">
        <f>IFERROR(ROUND(1440/C182*2*D182,0),"")</f>
        <v/>
      </c>
      <c r="F182" s="96" t="n">
        <v>2</v>
      </c>
      <c r="G182" s="97" t="n"/>
      <c r="H182" s="74">
        <f>_xlfn.XLOOKUP(G182,I:I,J:J)</f>
        <v/>
      </c>
      <c r="I182" s="98" t="inlineStr">
        <is>
          <t>11.00-20-18PR-CR952</t>
        </is>
      </c>
      <c r="J182" s="102" t="n">
        <v>844.488141</v>
      </c>
      <c r="L182" s="77" t="inlineStr">
        <is>
          <t>10.00R20-CM913</t>
        </is>
      </c>
      <c r="M182" s="77" t="n">
        <v>4</v>
      </c>
    </row>
    <row r="183" customFormat="1" s="69">
      <c r="B183" s="92" t="inlineStr">
        <is>
          <t>295/80R22.5-18PR-BMDO6 PRO</t>
        </is>
      </c>
      <c r="C183" s="93" t="n">
        <v>44.5</v>
      </c>
      <c r="D183" s="495">
        <f>IF(C183="","",C183/(C183+$C$1/60))</f>
        <v/>
      </c>
      <c r="E183" s="95">
        <f>IFERROR(ROUND(1440/C183*2*D183,0),"")</f>
        <v/>
      </c>
      <c r="F183" s="96" t="n">
        <v>2</v>
      </c>
      <c r="G183" s="97" t="n"/>
      <c r="H183" s="74">
        <f>_xlfn.XLOOKUP(G183,I:I,J:J)</f>
        <v/>
      </c>
      <c r="I183" s="98" t="inlineStr">
        <is>
          <t>10.00-20-18PR-R9038</t>
        </is>
      </c>
      <c r="J183" s="102" t="n">
        <v>924.74067</v>
      </c>
      <c r="L183" s="77" t="inlineStr">
        <is>
          <t>10.00R20-AZ850</t>
        </is>
      </c>
      <c r="M183" s="77" t="n">
        <v>2</v>
      </c>
    </row>
    <row r="184" customFormat="1" s="69">
      <c r="B184" s="92" t="inlineStr">
        <is>
          <t>295/80R22.5-18PR-G-PRO MSD</t>
        </is>
      </c>
      <c r="C184" s="93" t="n">
        <v>44.5</v>
      </c>
      <c r="D184" s="495">
        <f>IF(C184="","",C184/(C184+$C$1/60))</f>
        <v/>
      </c>
      <c r="E184" s="95">
        <f>IFERROR(ROUND(1440/C184*2*D184,0),"")</f>
        <v/>
      </c>
      <c r="F184" s="96" t="n">
        <v>2</v>
      </c>
      <c r="G184" s="97" t="n"/>
      <c r="H184" s="74">
        <f>_xlfn.XLOOKUP(G184,I:I,J:J)</f>
        <v/>
      </c>
      <c r="I184" s="98" t="inlineStr">
        <is>
          <t>10.00-20-18PR-AB313</t>
        </is>
      </c>
      <c r="J184" s="102" t="n">
        <v>1039.945879</v>
      </c>
      <c r="L184" s="77" t="inlineStr">
        <is>
          <t>10.00R20-CB972</t>
        </is>
      </c>
      <c r="M184" s="77" t="n">
        <v>4</v>
      </c>
    </row>
    <row r="185" customFormat="1" s="69">
      <c r="B185" s="92" t="inlineStr">
        <is>
          <t>295/80R22.5-18PR-BMAO7 ECO</t>
        </is>
      </c>
      <c r="C185" s="93" t="n">
        <v>37</v>
      </c>
      <c r="D185" s="495">
        <f>IF(C185="","",C185/(C185+$C$1/60))</f>
        <v/>
      </c>
      <c r="E185" s="95">
        <f>IFERROR(ROUND(1440/C185*2*D185,0),"")</f>
        <v/>
      </c>
      <c r="F185" s="96" t="n">
        <v>2</v>
      </c>
      <c r="G185" s="97" t="n"/>
      <c r="H185" s="74">
        <f>_xlfn.XLOOKUP(G185,I:I,J:J)</f>
        <v/>
      </c>
      <c r="I185" s="98" t="inlineStr">
        <is>
          <t>295/80R22.5-18PR-BRA06 PRO</t>
        </is>
      </c>
      <c r="J185" s="102" t="n">
        <v>828.9302</v>
      </c>
      <c r="L185" s="77" t="inlineStr">
        <is>
          <t>10.00R20-EZ033</t>
        </is>
      </c>
      <c r="M185" s="77" t="n">
        <v>2</v>
      </c>
    </row>
    <row r="186" customFormat="1" s="69">
      <c r="B186" s="92" t="inlineStr">
        <is>
          <t>295/80R22.5-18PR-G-PRO U</t>
        </is>
      </c>
      <c r="C186" s="93" t="n">
        <v>43.5</v>
      </c>
      <c r="D186" s="495">
        <f>IF(C186="","",C186/(C186+$C$1/60))</f>
        <v/>
      </c>
      <c r="E186" s="95">
        <f>IFERROR(ROUND(1440/C186*2*D186,0),"")</f>
        <v/>
      </c>
      <c r="F186" s="96" t="n">
        <v>2</v>
      </c>
      <c r="G186" s="97" t="n"/>
      <c r="H186" s="74">
        <f>_xlfn.XLOOKUP(G186,I:I,J:J)</f>
        <v/>
      </c>
      <c r="I186" s="98" t="inlineStr">
        <is>
          <t>12.00R20-20PR-CB972</t>
        </is>
      </c>
      <c r="J186" s="102" t="n">
        <v>1169.9128</v>
      </c>
      <c r="L186" s="77" t="inlineStr">
        <is>
          <t>11.00R20-AT196</t>
        </is>
      </c>
      <c r="M186" s="77" t="n">
        <v>2</v>
      </c>
    </row>
    <row r="187" customFormat="1" s="69">
      <c r="B187" s="92" t="inlineStr">
        <is>
          <t>295/80R22.5-18PR-AD733pro</t>
        </is>
      </c>
      <c r="C187" s="93" t="n">
        <v>42.5</v>
      </c>
      <c r="D187" s="495">
        <f>IF(C187="","",C187/(C187+$C$1/60))</f>
        <v/>
      </c>
      <c r="E187" s="95">
        <f>IFERROR(ROUND(1440/C187*2*D187,0),"")</f>
        <v/>
      </c>
      <c r="F187" s="96" t="n">
        <v>2</v>
      </c>
      <c r="G187" s="97" t="n"/>
      <c r="H187" s="74">
        <f>_xlfn.XLOOKUP(G187,I:I,J:J)</f>
        <v/>
      </c>
      <c r="I187" s="98" t="inlineStr">
        <is>
          <t>12.00R20-20PR-EZ336</t>
        </is>
      </c>
      <c r="J187" s="102" t="n">
        <v>1222.2252</v>
      </c>
      <c r="L187" s="77" t="inlineStr">
        <is>
          <t>12.00R24-CB332</t>
        </is>
      </c>
      <c r="M187" s="77" t="n">
        <v>6</v>
      </c>
    </row>
    <row r="188" customFormat="1" s="69">
      <c r="B188" s="92" t="inlineStr">
        <is>
          <t>295/80R22.5-18PR-AS678</t>
        </is>
      </c>
      <c r="C188" s="93" t="n">
        <v>38</v>
      </c>
      <c r="D188" s="495">
        <f>IF(C188="","",C188/(C188+$C$1/60))</f>
        <v/>
      </c>
      <c r="E188" s="95">
        <f>IFERROR(ROUND(1440/C188*2*D188,0),"")</f>
        <v/>
      </c>
      <c r="F188" s="96" t="n">
        <v>2</v>
      </c>
      <c r="G188" s="97" t="n"/>
      <c r="H188" s="74">
        <f>_xlfn.XLOOKUP(G188,I:I,J:J)</f>
        <v/>
      </c>
      <c r="I188" s="98" t="inlineStr">
        <is>
          <t>12.00R20-22PR-CB919</t>
        </is>
      </c>
      <c r="J188" s="102" t="n">
        <v>1236.5647</v>
      </c>
      <c r="L188" s="77" t="inlineStr">
        <is>
          <t>12.00R24-CB919</t>
        </is>
      </c>
      <c r="M188" s="77" t="n">
        <v>6</v>
      </c>
    </row>
    <row r="189" customFormat="1" s="69">
      <c r="B189" s="92" t="inlineStr">
        <is>
          <t>295/80R22.5-18PR-BRA07 ECO</t>
        </is>
      </c>
      <c r="C189" s="93" t="n">
        <v>35</v>
      </c>
      <c r="D189" s="495">
        <f>IF(C189="","",C189/(C189+$C$1/60))</f>
        <v/>
      </c>
      <c r="E189" s="95">
        <f>IFERROR(ROUND(1440/C189*2*D189,0),"")</f>
        <v/>
      </c>
      <c r="F189" s="96" t="n">
        <v>2</v>
      </c>
      <c r="G189" s="97" t="n"/>
      <c r="H189" s="74">
        <f>_xlfn.XLOOKUP(G189,I:I,J:J)</f>
        <v/>
      </c>
      <c r="I189" s="98" t="inlineStr">
        <is>
          <t>12.00R20-22PR-EZ310 pro</t>
        </is>
      </c>
      <c r="J189" s="102" t="n">
        <v>1378.3175</v>
      </c>
      <c r="L189" s="77" t="inlineStr">
        <is>
          <t>11R22.5-AZ850</t>
        </is>
      </c>
      <c r="M189" s="77" t="n">
        <v>4</v>
      </c>
    </row>
    <row r="190" customFormat="1" s="69">
      <c r="B190" s="92" t="inlineStr">
        <is>
          <t>295/80R22.5-18PR-BRDO6 PRO</t>
        </is>
      </c>
      <c r="C190" s="93" t="n">
        <v>42</v>
      </c>
      <c r="D190" s="495">
        <f>IF(C190="","",C190/(C190+$C$1/60))</f>
        <v/>
      </c>
      <c r="E190" s="95">
        <f>IFERROR(ROUND(1440/C190*2*D190,0),"")</f>
        <v/>
      </c>
      <c r="F190" s="96" t="n">
        <v>2</v>
      </c>
      <c r="G190" s="97" t="n"/>
      <c r="H190" s="74">
        <f>_xlfn.XLOOKUP(G190,I:I,J:J)</f>
        <v/>
      </c>
      <c r="I190" s="98" t="inlineStr">
        <is>
          <t>12.00R24-20PR-ETOT</t>
        </is>
      </c>
      <c r="J190" s="102" t="n">
        <v>1373.26</v>
      </c>
      <c r="L190" s="77" t="inlineStr">
        <is>
          <t>11R22.5-AS858</t>
        </is>
      </c>
      <c r="M190" s="77" t="n">
        <v>2</v>
      </c>
    </row>
    <row r="191" customFormat="1" s="69">
      <c r="B191" s="92" t="inlineStr">
        <is>
          <t>295/80R22.5-18PR-BRAO6 PRO</t>
        </is>
      </c>
      <c r="C191" s="93" t="n">
        <v>41.5</v>
      </c>
      <c r="D191" s="495">
        <f>IF(C191="","",C191/(C191+$C$1/60))</f>
        <v/>
      </c>
      <c r="E191" s="95">
        <f>IFERROR(ROUND(1440/C191*2*D191,0),"")</f>
        <v/>
      </c>
      <c r="F191" s="96" t="n">
        <v>2</v>
      </c>
      <c r="G191" s="97" t="n"/>
      <c r="H191" s="74">
        <f>_xlfn.XLOOKUP(G191,I:I,J:J)</f>
        <v/>
      </c>
      <c r="I191" s="98" t="inlineStr">
        <is>
          <t>215/75R17.5-16PR-ZA15</t>
        </is>
      </c>
      <c r="J191" s="102" t="n">
        <v>412.93</v>
      </c>
      <c r="L191" s="77" t="inlineStr">
        <is>
          <t>11R22.5-CR906II</t>
        </is>
      </c>
      <c r="M191" s="77" t="n">
        <v>2</v>
      </c>
    </row>
    <row r="192" customFormat="1" s="69">
      <c r="B192" s="92" t="inlineStr">
        <is>
          <t>315/80R22.5-20PR-CM958</t>
        </is>
      </c>
      <c r="C192" s="93" t="n">
        <v>42</v>
      </c>
      <c r="D192" s="495">
        <f>IF(C192="","",C192/(C192+$C$1/60))</f>
        <v/>
      </c>
      <c r="E192" s="95">
        <f>IFERROR(ROUND(1440/C192*2*D192,0),"")</f>
        <v/>
      </c>
      <c r="F192" s="96" t="n">
        <v>2</v>
      </c>
      <c r="G192" s="97" t="n"/>
      <c r="H192" s="74">
        <f>_xlfn.XLOOKUP(G192,I:I,J:J)</f>
        <v/>
      </c>
      <c r="I192" s="98" t="inlineStr">
        <is>
          <t>215/75R17.5-18PR-VA933</t>
        </is>
      </c>
      <c r="J192" s="102" t="n">
        <v>412.93</v>
      </c>
      <c r="L192" s="77" t="inlineStr">
        <is>
          <t>325/95R24-CB332</t>
        </is>
      </c>
      <c r="M192" s="77" t="n">
        <v>6</v>
      </c>
    </row>
    <row r="193" customFormat="1" s="69">
      <c r="B193" s="92" t="inlineStr">
        <is>
          <t>11.00R20-18PR-CM988</t>
        </is>
      </c>
      <c r="C193" s="93" t="n">
        <v>42.5</v>
      </c>
      <c r="D193" s="495">
        <f>IF(C193="","",C193/(C193+$C$1/60))</f>
        <v/>
      </c>
      <c r="E193" s="95">
        <f>IFERROR(ROUND(1440/C193*2*D193,0),"")</f>
        <v/>
      </c>
      <c r="F193" s="96" t="n">
        <v>2</v>
      </c>
      <c r="G193" s="97" t="n"/>
      <c r="H193" s="74">
        <f>_xlfn.XLOOKUP(G193,I:I,J:J)</f>
        <v/>
      </c>
      <c r="I193" s="98" t="inlineStr">
        <is>
          <t>225/70R19.5-14PR-DA24</t>
        </is>
      </c>
      <c r="J193" s="102" t="n">
        <v>478.1777</v>
      </c>
      <c r="L193" s="77" t="inlineStr">
        <is>
          <t>325/95R24-CB919</t>
        </is>
      </c>
      <c r="M193" s="77" t="n">
        <v>6</v>
      </c>
    </row>
    <row r="194" customFormat="1" s="69">
      <c r="B194" s="92" t="inlineStr">
        <is>
          <t>12.00R20-20PR-CB972</t>
        </is>
      </c>
      <c r="C194" s="93" t="n">
        <v>48.5</v>
      </c>
      <c r="D194" s="495">
        <f>IF(C194="","",C194/(C194+$C$1/60))</f>
        <v/>
      </c>
      <c r="E194" s="95">
        <f>IFERROR(ROUND(1440/C194*2*D194,0),"")</f>
        <v/>
      </c>
      <c r="F194" s="96" t="n">
        <v>2</v>
      </c>
      <c r="G194" s="97" t="n"/>
      <c r="H194" s="74">
        <f>_xlfn.XLOOKUP(G194,I:I,J:J)</f>
        <v/>
      </c>
      <c r="I194" s="98" t="inlineStr">
        <is>
          <t>225/70R19.5-14PR-VA933</t>
        </is>
      </c>
      <c r="J194" s="102" t="n">
        <v>467.6462</v>
      </c>
      <c r="L194" s="77" t="inlineStr">
        <is>
          <t>325/95R24-EZ336</t>
        </is>
      </c>
      <c r="M194" s="77" t="n">
        <v>8</v>
      </c>
    </row>
    <row r="195" customFormat="1" s="69">
      <c r="B195" s="92" t="inlineStr">
        <is>
          <t>12.00R20-22PR-CB919</t>
        </is>
      </c>
      <c r="C195" s="93" t="n">
        <v>53.5</v>
      </c>
      <c r="D195" s="495">
        <f>IF(C195="","",C195/(C195+$C$1/60))</f>
        <v/>
      </c>
      <c r="E195" s="95">
        <f>IFERROR(ROUND(1440/C195*2*D195,0),"")</f>
        <v/>
      </c>
      <c r="F195" s="96" t="n">
        <v>2</v>
      </c>
      <c r="G195" s="97" t="n"/>
      <c r="H195" s="74">
        <f>_xlfn.XLOOKUP(G195,I:I,J:J)</f>
        <v/>
      </c>
      <c r="I195" s="98" t="inlineStr">
        <is>
          <t>225/70R19.5-14PR-ZA15</t>
        </is>
      </c>
      <c r="J195" s="102" t="n">
        <v>467.6462</v>
      </c>
      <c r="L195" s="77" t="inlineStr">
        <is>
          <t>8.25R16-CR926</t>
        </is>
      </c>
      <c r="M195" s="77" t="n">
        <v>2</v>
      </c>
    </row>
    <row r="196" customFormat="1" s="69">
      <c r="B196" s="92" t="inlineStr">
        <is>
          <t>12.00R24-20PR-AM4S.Q678</t>
        </is>
      </c>
      <c r="C196" s="93" t="n">
        <v>62</v>
      </c>
      <c r="D196" s="495">
        <f>IF(C196="","",C196/(C196+$C$1/60))</f>
        <v/>
      </c>
      <c r="E196" s="95">
        <f>IFERROR(ROUND(1440/C196*2*D196,0),"")</f>
        <v/>
      </c>
      <c r="F196" s="96" t="n">
        <v>2</v>
      </c>
      <c r="G196" s="97" t="n"/>
      <c r="H196" s="74">
        <f>_xlfn.XLOOKUP(G196,I:I,J:J)</f>
        <v/>
      </c>
      <c r="I196" s="98" t="inlineStr">
        <is>
          <t>245/70R19.5-16PR-DA24</t>
        </is>
      </c>
      <c r="J196" s="102" t="n">
        <v>540.5813000000001</v>
      </c>
      <c r="L196" s="77" t="inlineStr">
        <is>
          <t>11.00R20-EZ835</t>
        </is>
      </c>
      <c r="M196" s="77" t="n">
        <v>2</v>
      </c>
    </row>
    <row r="197" customFormat="1" s="69">
      <c r="B197" s="92" t="inlineStr">
        <is>
          <t>275/80R22.5-16PR-AD528</t>
        </is>
      </c>
      <c r="C197" s="93" t="n">
        <v>42</v>
      </c>
      <c r="D197" s="495">
        <f>IF(C197="","",C197/(C197+$C$1/60))</f>
        <v/>
      </c>
      <c r="E197" s="95">
        <f>IFERROR(ROUND(1440/C197*2*D197,0),"")</f>
        <v/>
      </c>
      <c r="F197" s="96" t="n">
        <v>2</v>
      </c>
      <c r="G197" s="97" t="n"/>
      <c r="H197" s="74">
        <f>_xlfn.XLOOKUP(G197,I:I,J:J)</f>
        <v/>
      </c>
      <c r="I197" s="98" t="inlineStr">
        <is>
          <t>275/80R22.5-16PR-AD528</t>
        </is>
      </c>
      <c r="J197" s="102" t="n">
        <v>792.3258</v>
      </c>
      <c r="L197" s="77" t="inlineStr">
        <is>
          <t>11R22.5-AS868</t>
        </is>
      </c>
      <c r="M197" s="77" t="n">
        <v>2</v>
      </c>
    </row>
    <row r="198" customFormat="1" s="69">
      <c r="B198" s="92" t="inlineStr">
        <is>
          <t>10.00-20-16PR-M9097</t>
        </is>
      </c>
      <c r="C198" s="93" t="n">
        <v>58.3</v>
      </c>
      <c r="D198" s="495">
        <f>IF(C198="","",C198/(C198+$C$1/60))</f>
        <v/>
      </c>
      <c r="E198" s="95">
        <f>IFERROR(ROUND(1440/C198*2*D198,0),"")</f>
        <v/>
      </c>
      <c r="F198" s="96" t="n">
        <v>4</v>
      </c>
      <c r="G198" s="97" t="n"/>
      <c r="H198" s="74">
        <f>_xlfn.XLOOKUP(G198,I:I,J:J)</f>
        <v/>
      </c>
      <c r="I198" s="98" t="inlineStr">
        <is>
          <t>275/80R22.5-16PR-BRA04</t>
        </is>
      </c>
      <c r="J198" s="102" t="n">
        <v>738.5616</v>
      </c>
      <c r="L198" s="77" t="inlineStr">
        <is>
          <t>295/80R22.5-AS868 Pro</t>
        </is>
      </c>
      <c r="M198" s="77" t="n">
        <v>2</v>
      </c>
    </row>
    <row r="199" customFormat="1" s="69">
      <c r="B199" s="92" t="inlineStr">
        <is>
          <t>10.00-20-16PR-R9037</t>
        </is>
      </c>
      <c r="C199" s="93" t="n">
        <v>58.3</v>
      </c>
      <c r="D199" s="495">
        <f>IF(C199="","",C199/(C199+$C$1/60))</f>
        <v/>
      </c>
      <c r="E199" s="95">
        <f>IFERROR(ROUND(1440/C199*2*D199,0),"")</f>
        <v/>
      </c>
      <c r="F199" s="96" t="n">
        <v>4</v>
      </c>
      <c r="G199" s="97" t="n"/>
      <c r="H199" s="74">
        <f>_xlfn.XLOOKUP(G199,I:I,J:J)</f>
        <v/>
      </c>
      <c r="I199" s="98" t="inlineStr">
        <is>
          <t>275/80R22.5-16PR-BRD02 ECO</t>
        </is>
      </c>
      <c r="J199" s="102" t="n">
        <v>780.7828</v>
      </c>
      <c r="L199" s="77" t="inlineStr">
        <is>
          <t>325/95R24-CB972</t>
        </is>
      </c>
      <c r="M199" s="77" t="n">
        <v>2</v>
      </c>
    </row>
    <row r="200" customFormat="1" s="69">
      <c r="B200" s="92" t="inlineStr">
        <is>
          <t>10.00-20-18PR-AB111</t>
        </is>
      </c>
      <c r="C200" s="93" t="n">
        <v>58.3</v>
      </c>
      <c r="D200" s="495">
        <f>IF(C200="","",C200/(C200+$C$1/60))</f>
        <v/>
      </c>
      <c r="E200" s="95">
        <f>IFERROR(ROUND(1440/C200*2*D200,0),"")</f>
        <v/>
      </c>
      <c r="F200" s="96" t="n"/>
      <c r="G200" s="97" t="n"/>
      <c r="H200" s="74">
        <f>_xlfn.XLOOKUP(G200,I:I,J:J)</f>
        <v/>
      </c>
      <c r="I200" s="98" t="inlineStr">
        <is>
          <t>295/80R22.5-18PR-AD733pro</t>
        </is>
      </c>
      <c r="J200" s="102" t="n">
        <v>949.4058</v>
      </c>
      <c r="L200" s="77" t="inlineStr">
        <is>
          <t>295/80R22.5-AS858 Pro</t>
        </is>
      </c>
      <c r="M200" s="77" t="n">
        <v>2</v>
      </c>
    </row>
    <row r="201" customFormat="1" s="69">
      <c r="B201" s="92" t="inlineStr">
        <is>
          <t>10.00-20-18PR-R9038</t>
        </is>
      </c>
      <c r="C201" s="93" t="n">
        <v>54.6</v>
      </c>
      <c r="D201" s="495">
        <f>IF(C201="","",C201/(C201+$C$1/60))</f>
        <v/>
      </c>
      <c r="E201" s="95">
        <f>IFERROR(ROUND(1440/C201*2*D201,0),"")</f>
        <v/>
      </c>
      <c r="F201" s="96" t="n"/>
      <c r="G201" s="97" t="n"/>
      <c r="H201" s="74">
        <f>_xlfn.XLOOKUP(G201,I:I,J:J)</f>
        <v/>
      </c>
      <c r="I201" s="98" t="inlineStr">
        <is>
          <t>295/80R22.5-18PR-AS678</t>
        </is>
      </c>
      <c r="J201" s="99" t="n">
        <v>789.2913</v>
      </c>
      <c r="L201" s="77" t="inlineStr">
        <is>
          <t>295/75R22.5-CR915 eco</t>
        </is>
      </c>
      <c r="M201" s="77" t="n">
        <v>4</v>
      </c>
    </row>
    <row r="202" customFormat="1" s="69">
      <c r="B202" s="92" t="inlineStr">
        <is>
          <t>10.00-20-18PR-AB316</t>
        </is>
      </c>
      <c r="C202" s="93" t="n">
        <v>54.6</v>
      </c>
      <c r="D202" s="495">
        <f>IF(C202="","",C202/(C202+$C$1/60))</f>
        <v/>
      </c>
      <c r="E202" s="95">
        <f>IFERROR(ROUND(1440/C202*2*D202,0),"")</f>
        <v/>
      </c>
      <c r="F202" s="96" t="n"/>
      <c r="G202" s="97" t="n"/>
      <c r="H202" s="74">
        <f>_xlfn.XLOOKUP(G202,I:I,J:J)</f>
        <v/>
      </c>
      <c r="I202" s="98" t="inlineStr">
        <is>
          <t>295/80R22.5-18PR-BRA07 ECO</t>
        </is>
      </c>
      <c r="J202" s="99" t="n">
        <v>763.4444999999999</v>
      </c>
      <c r="L202" s="77" t="inlineStr">
        <is>
          <t>11R22.5-CR915 eco</t>
        </is>
      </c>
      <c r="M202" s="77" t="n">
        <v>4</v>
      </c>
    </row>
    <row r="203" customFormat="1" s="69">
      <c r="B203" s="92" t="inlineStr">
        <is>
          <t>10.00-20-18PR-CL956</t>
        </is>
      </c>
      <c r="C203" s="93" t="n">
        <v>49.15</v>
      </c>
      <c r="D203" s="495">
        <f>IF(C203="","",C203/(C203+$C$1/60))</f>
        <v/>
      </c>
      <c r="E203" s="95">
        <f>IFERROR(ROUND(1440/C203*2*D203,0),"")</f>
        <v/>
      </c>
      <c r="F203" s="96" t="n"/>
      <c r="G203" s="97" t="n"/>
      <c r="H203" s="74">
        <f>_xlfn.XLOOKUP(G203,I:I,J:J)</f>
        <v/>
      </c>
      <c r="I203" s="98" t="inlineStr">
        <is>
          <t>295/80R22.5-18PR-EZ177</t>
        </is>
      </c>
      <c r="J203" s="99" t="n">
        <v>801.7148999999999</v>
      </c>
      <c r="L203" s="77" t="inlineStr">
        <is>
          <t>11R22.5-AT196</t>
        </is>
      </c>
      <c r="M203" s="77" t="n">
        <v>2</v>
      </c>
    </row>
    <row r="204" customFormat="1" s="69">
      <c r="B204" s="92" t="inlineStr">
        <is>
          <t>10.00-20-18PR-CR952</t>
        </is>
      </c>
      <c r="C204" s="93" t="n">
        <v>49.15</v>
      </c>
      <c r="D204" s="495">
        <f>IF(C204="","",C204/(C204+$C$1/60))</f>
        <v/>
      </c>
      <c r="E204" s="95">
        <f>IFERROR(ROUND(1440/C204*2*D204,0),"")</f>
        <v/>
      </c>
      <c r="F204" s="96" t="n"/>
      <c r="G204" s="97" t="n"/>
      <c r="H204" s="74">
        <f>_xlfn.XLOOKUP(G204,I:I,J:J)</f>
        <v/>
      </c>
      <c r="I204" s="98" t="inlineStr">
        <is>
          <t>295/80R22.5-18PR-G-PERFORM O</t>
        </is>
      </c>
      <c r="J204" s="99" t="n">
        <v>813.0794</v>
      </c>
      <c r="L204" s="77" t="inlineStr">
        <is>
          <t>11R22.5-AZ183</t>
        </is>
      </c>
      <c r="M204" s="77" t="n">
        <v>2</v>
      </c>
    </row>
    <row r="205" customFormat="1" s="69">
      <c r="B205" s="92" t="inlineStr">
        <is>
          <t>10.00-20-18PR-M9096</t>
        </is>
      </c>
      <c r="C205" s="93" t="n">
        <v>58.3</v>
      </c>
      <c r="D205" s="495">
        <f>IF(C205="","",C205/(C205+$C$1/60))</f>
        <v/>
      </c>
      <c r="E205" s="95">
        <f>IFERROR(ROUND(1440/C205*2*D205,0),"")</f>
        <v/>
      </c>
      <c r="F205" s="96" t="n"/>
      <c r="G205" s="97" t="n"/>
      <c r="H205" s="74">
        <f>_xlfn.XLOOKUP(G205,I:I,J:J)</f>
        <v/>
      </c>
      <c r="I205" s="98" t="inlineStr">
        <is>
          <t>295/80R22.5-18PR-G-PRO MSD</t>
        </is>
      </c>
      <c r="J205" s="99" t="n">
        <v>948.8465</v>
      </c>
      <c r="L205" s="77" t="inlineStr">
        <is>
          <t>11R24.5-AT563</t>
        </is>
      </c>
      <c r="M205" s="77" t="n">
        <v>2</v>
      </c>
    </row>
    <row r="206" customFormat="1" s="69">
      <c r="B206" s="92" t="inlineStr">
        <is>
          <t>10.00-20-18PR-M9097</t>
        </is>
      </c>
      <c r="C206" s="93" t="n">
        <v>58.3</v>
      </c>
      <c r="D206" s="495">
        <f>IF(C206="","",C206/(C206+$C$1/60))</f>
        <v/>
      </c>
      <c r="E206" s="95">
        <f>IFERROR(ROUND(1440/C206*2*D206,0),"")</f>
        <v/>
      </c>
      <c r="F206" s="96" t="n"/>
      <c r="G206" s="97" t="n"/>
      <c r="H206" s="74">
        <f>_xlfn.XLOOKUP(G206,I:I,J:J)</f>
        <v/>
      </c>
      <c r="I206" s="98" t="inlineStr">
        <is>
          <t>295/80R22.5-18PR-G-PRO U</t>
        </is>
      </c>
      <c r="J206" s="99" t="n">
        <v>929.8303</v>
      </c>
      <c r="L206" s="77" t="inlineStr">
        <is>
          <t>7.50R16-AZ850S</t>
        </is>
      </c>
      <c r="M206" s="77" t="n">
        <v>2</v>
      </c>
    </row>
    <row r="207" customFormat="1" s="69">
      <c r="B207" s="92" t="inlineStr">
        <is>
          <t>10.00-20-18PR-AB313</t>
        </is>
      </c>
      <c r="C207" s="93" t="n">
        <v>58.3</v>
      </c>
      <c r="D207" s="495">
        <f>IF(C207="","",C207/(C207+$C$1/60))</f>
        <v/>
      </c>
      <c r="E207" s="95">
        <f>IFERROR(ROUND(1440/C207*2*D207,0),"")</f>
        <v/>
      </c>
      <c r="F207" s="96" t="n"/>
      <c r="G207" s="97" t="n"/>
      <c r="H207" s="74">
        <f>_xlfn.XLOOKUP(G207,I:I,J:J)</f>
        <v/>
      </c>
      <c r="I207" s="98" t="inlineStr">
        <is>
          <t>7.50R16-14PR-TKAL III</t>
        </is>
      </c>
      <c r="J207" s="99" t="n">
        <v>446.8807</v>
      </c>
      <c r="L207" s="77" t="inlineStr">
        <is>
          <t>7.50R16-CM913</t>
        </is>
      </c>
      <c r="M207" s="77" t="n">
        <v>2</v>
      </c>
    </row>
    <row r="208" customFormat="1" s="69">
      <c r="B208" s="92" t="inlineStr">
        <is>
          <t>10.00-20-18PR-R9037</t>
        </is>
      </c>
      <c r="C208" s="93" t="n">
        <v>54.6</v>
      </c>
      <c r="D208" s="495">
        <f>IF(C208="","",C208/(C208+$C$1/60))</f>
        <v/>
      </c>
      <c r="E208" s="95">
        <f>IFERROR(ROUND(1440/C208*2*D208,0),"")</f>
        <v/>
      </c>
      <c r="F208" s="96" t="n"/>
      <c r="G208" s="97" t="n"/>
      <c r="H208" s="74">
        <f>_xlfn.XLOOKUP(G208,I:I,J:J)</f>
        <v/>
      </c>
      <c r="I208" s="98" t="inlineStr">
        <is>
          <t>8.25R16-14PR-CR926</t>
        </is>
      </c>
      <c r="J208" s="99" t="n">
        <v>482.0333</v>
      </c>
      <c r="L208" s="77" t="inlineStr">
        <is>
          <t>315/80R22.5-CR960A</t>
        </is>
      </c>
      <c r="M208" s="77" t="n">
        <v>4</v>
      </c>
    </row>
    <row r="209" customFormat="1" s="69">
      <c r="B209" s="92" t="inlineStr">
        <is>
          <t>11.00-20-18PR-AB535</t>
        </is>
      </c>
      <c r="C209" s="93" t="n">
        <v>58.3</v>
      </c>
      <c r="D209" s="495">
        <f>IF(C209="","",C209/(C209+$C$1/60))</f>
        <v/>
      </c>
      <c r="E209" s="95">
        <f>IFERROR(ROUND(1440/C209*2*D209,0),"")</f>
        <v/>
      </c>
      <c r="F209" s="96" t="n"/>
      <c r="G209" s="97" t="n"/>
      <c r="H209" s="74">
        <f>_xlfn.XLOOKUP(G209,I:I,J:J)</f>
        <v/>
      </c>
      <c r="I209" s="98" t="inlineStr">
        <is>
          <t>245/70R19.5-16PR-ZA15</t>
        </is>
      </c>
      <c r="J209" s="99" t="n">
        <v>529.1335</v>
      </c>
      <c r="L209" s="77" t="inlineStr">
        <is>
          <t>11R22.5-CR960A</t>
        </is>
      </c>
      <c r="M209" s="77" t="n">
        <v>4</v>
      </c>
    </row>
    <row r="210" customFormat="1" s="69">
      <c r="B210" s="92" t="inlineStr">
        <is>
          <t>11.00-20-18PR-AB112</t>
        </is>
      </c>
      <c r="C210" s="93" t="n">
        <v>58.3</v>
      </c>
      <c r="D210" s="495">
        <f>IF(C210="","",C210/(C210+$C$1/60))</f>
        <v/>
      </c>
      <c r="E210" s="95">
        <f>IFERROR(ROUND(1440/C210*2*D210,0),"")</f>
        <v/>
      </c>
      <c r="F210" s="96" t="n"/>
      <c r="G210" s="97" t="n"/>
      <c r="H210" s="74">
        <f>_xlfn.XLOOKUP(G210,I:I,J:J)</f>
        <v/>
      </c>
      <c r="I210" s="98" t="inlineStr">
        <is>
          <t>295/80R22.5-18PR-BMA07 ECO</t>
        </is>
      </c>
      <c r="J210" s="99" t="n">
        <v>800.7628999999999</v>
      </c>
      <c r="L210" s="77" t="inlineStr">
        <is>
          <t>11R24.5-CR960A</t>
        </is>
      </c>
      <c r="M210" s="77" t="n">
        <v>4</v>
      </c>
    </row>
    <row r="211" customFormat="1" s="69">
      <c r="B211" s="92" t="inlineStr">
        <is>
          <t>11.00-20-18PR-CR952</t>
        </is>
      </c>
      <c r="C211" s="93" t="n">
        <v>54.4</v>
      </c>
      <c r="D211" s="495">
        <f>IF(C211="","",C211/(C211+$C$1/60))</f>
        <v/>
      </c>
      <c r="E211" s="95">
        <f>IFERROR(ROUND(1440/C211*2*D211,0),"")</f>
        <v/>
      </c>
      <c r="F211" s="96" t="n"/>
      <c r="G211" s="97" t="n"/>
      <c r="H211" s="74">
        <f>_xlfn.XLOOKUP(G211,I:I,J:J)</f>
        <v/>
      </c>
      <c r="I211" s="98" t="inlineStr">
        <is>
          <t>295/80R22.5-18PR-AT167</t>
        </is>
      </c>
      <c r="J211" s="99" t="n">
        <v>788.6249</v>
      </c>
      <c r="L211" s="77" t="inlineStr">
        <is>
          <t>295/75R22.5-CR960A</t>
        </is>
      </c>
      <c r="M211" s="77" t="n">
        <v>4</v>
      </c>
    </row>
    <row r="212" customFormat="1" s="69">
      <c r="B212" s="92" t="inlineStr">
        <is>
          <t>4.80-12-6PR-ST600</t>
        </is>
      </c>
      <c r="C212" s="93" t="n">
        <v>19.4</v>
      </c>
      <c r="D212" s="495">
        <f>IF(C212="","",C212/(C212+$C$1/60))</f>
        <v/>
      </c>
      <c r="E212" s="95">
        <f>IFERROR(ROUND(1440/C212*2*D212,0),"")</f>
        <v/>
      </c>
      <c r="F212" s="96" t="n"/>
      <c r="G212" s="97" t="n"/>
      <c r="H212" s="74">
        <f>_xlfn.XLOOKUP(G212,I:I,J:J)</f>
        <v/>
      </c>
      <c r="I212" s="98" t="inlineStr">
        <is>
          <t>295/80R22.5-18PR-AS668</t>
        </is>
      </c>
      <c r="J212" s="99" t="n">
        <v>917.7161</v>
      </c>
      <c r="L212" s="77" t="inlineStr">
        <is>
          <t>285/75R24.5-CR960A</t>
        </is>
      </c>
      <c r="M212" s="77" t="n">
        <v>4</v>
      </c>
    </row>
    <row r="213" customFormat="1" s="69">
      <c r="B213" s="92" t="inlineStr">
        <is>
          <t>7.50-15-12PR-R8037</t>
        </is>
      </c>
      <c r="C213" s="93" t="n">
        <v>34.25</v>
      </c>
      <c r="D213" s="495">
        <f>IF(C213="","",C213/(C213+$C$1/60))</f>
        <v/>
      </c>
      <c r="E213" s="95">
        <f>IFERROR(ROUND(1440/C213*2*D213,0),"")</f>
        <v/>
      </c>
      <c r="F213" s="96" t="n"/>
      <c r="G213" s="97" t="n"/>
      <c r="H213" s="74">
        <f>_xlfn.XLOOKUP(G213,I:I,J:J)</f>
        <v/>
      </c>
      <c r="I213" s="98" t="inlineStr">
        <is>
          <t>275/80R22.5-16PR-G-PRO MSA</t>
        </is>
      </c>
      <c r="J213" s="99" t="n">
        <v>799.3706</v>
      </c>
      <c r="L213" s="77" t="inlineStr">
        <is>
          <t>11R22.5-CM980</t>
        </is>
      </c>
      <c r="M213" s="77" t="n">
        <v>4</v>
      </c>
    </row>
    <row r="214" customFormat="1" s="69">
      <c r="B214" s="92" t="inlineStr">
        <is>
          <t>7.50-16-14PR-AB111</t>
        </is>
      </c>
      <c r="C214" s="93" t="n">
        <v>38.2</v>
      </c>
      <c r="D214" s="495">
        <f>IF(C214="","",C214/(C214+$C$1/60))</f>
        <v/>
      </c>
      <c r="E214" s="95">
        <f>IFERROR(ROUND(1440/C214*2*D214,0),"")</f>
        <v/>
      </c>
      <c r="F214" s="96" t="n"/>
      <c r="G214" s="97" t="n"/>
      <c r="H214" s="74">
        <f>_xlfn.XLOOKUP(G214,I:I,J:J)</f>
        <v/>
      </c>
      <c r="I214" s="98" t="inlineStr">
        <is>
          <t>215/75R17.5-16PR-HRA</t>
        </is>
      </c>
      <c r="J214" s="99" t="n">
        <v>380.1812</v>
      </c>
      <c r="L214" s="77" t="inlineStr">
        <is>
          <t>295/75R22.5-CM980</t>
        </is>
      </c>
      <c r="M214" s="77" t="n">
        <v>4</v>
      </c>
    </row>
    <row r="215" customFormat="1" s="69">
      <c r="B215" s="92" t="inlineStr">
        <is>
          <t>7.50-16-14PR-AB313</t>
        </is>
      </c>
      <c r="C215" s="93" t="n">
        <v>38.2</v>
      </c>
      <c r="D215" s="495">
        <f>IF(C215="","",C215/(C215+$C$1/60))</f>
        <v/>
      </c>
      <c r="E215" s="95">
        <f>IFERROR(ROUND(1440/C215*2*D215,0),"")</f>
        <v/>
      </c>
      <c r="F215" s="96" t="n"/>
      <c r="G215" s="97" t="n"/>
      <c r="H215" s="74">
        <f>_xlfn.XLOOKUP(G215,I:I,J:J)</f>
        <v/>
      </c>
      <c r="I215" s="98" t="inlineStr">
        <is>
          <t>12.00R20-20PR-ETOD</t>
        </is>
      </c>
      <c r="J215" s="99" t="n">
        <v>1199.7699</v>
      </c>
      <c r="L215" s="77" t="inlineStr">
        <is>
          <t>11R24.5-CM980</t>
        </is>
      </c>
      <c r="M215" s="77" t="n">
        <v>4</v>
      </c>
    </row>
    <row r="216" customFormat="1" s="69">
      <c r="B216" s="92" t="inlineStr">
        <is>
          <t>7.50-16-14PR-M8086</t>
        </is>
      </c>
      <c r="C216" s="93" t="n">
        <v>44.7</v>
      </c>
      <c r="D216" s="495">
        <f>IF(C216="","",C216/(C216+$C$1/60))</f>
        <v/>
      </c>
      <c r="E216" s="95">
        <f>IFERROR(ROUND(1440/C216*2*D216,0),"")</f>
        <v/>
      </c>
      <c r="F216" s="96" t="n"/>
      <c r="G216" s="97" t="n"/>
      <c r="H216" s="74">
        <f>_xlfn.XLOOKUP(G216,I:I,J:J)</f>
        <v/>
      </c>
      <c r="I216" s="98" t="inlineStr">
        <is>
          <t>12.00R20-22PR-XC809</t>
        </is>
      </c>
      <c r="J216" s="99" t="n">
        <v>1291.6141</v>
      </c>
      <c r="L216" s="77" t="inlineStr">
        <is>
          <t>285/75R24.5-CM980</t>
        </is>
      </c>
      <c r="M216" s="77" t="n">
        <v>4</v>
      </c>
    </row>
    <row r="217" customFormat="1" s="69">
      <c r="B217" s="92" t="inlineStr">
        <is>
          <t>7.50-16-14PR-M8087</t>
        </is>
      </c>
      <c r="C217" s="93" t="n">
        <v>44.7</v>
      </c>
      <c r="D217" s="495">
        <f>IF(C217="","",C217/(C217+$C$1/60))</f>
        <v/>
      </c>
      <c r="E217" s="95">
        <f>IFERROR(ROUND(1440/C217*2*D217,0),"")</f>
        <v/>
      </c>
      <c r="F217" s="96" t="n"/>
      <c r="G217" s="97" t="n"/>
      <c r="H217" s="74">
        <f>_xlfn.XLOOKUP(G217,I:I,J:J)</f>
        <v/>
      </c>
      <c r="I217" s="98" t="inlineStr">
        <is>
          <t>11R22.5-16PR-VXD932</t>
        </is>
      </c>
      <c r="J217" s="99" t="n">
        <v>697.7446</v>
      </c>
      <c r="L217" s="77" t="inlineStr">
        <is>
          <t>325/95R24-AZ828</t>
        </is>
      </c>
      <c r="M217" s="77" t="n">
        <v>4</v>
      </c>
    </row>
    <row r="218" customFormat="1" s="69">
      <c r="B218" s="92" t="inlineStr">
        <is>
          <t>7.50-16-14PR-R8037</t>
        </is>
      </c>
      <c r="C218" s="93" t="n">
        <v>38.2</v>
      </c>
      <c r="D218" s="495">
        <f>IF(C218="","",C218/(C218+$C$1/60))</f>
        <v/>
      </c>
      <c r="E218" s="95">
        <f>IFERROR(ROUND(1440/C218*2*D218,0),"")</f>
        <v/>
      </c>
      <c r="F218" s="96" t="n"/>
      <c r="G218" s="97" t="n"/>
      <c r="H218" s="74">
        <f>_xlfn.XLOOKUP(G218,I:I,J:J)</f>
        <v/>
      </c>
      <c r="I218" s="98" t="inlineStr">
        <is>
          <t>11R22.5-16PR-VA996</t>
        </is>
      </c>
      <c r="J218" s="99" t="n">
        <v>697.7446</v>
      </c>
      <c r="L218" s="77" t="inlineStr">
        <is>
          <t>325/95R24-AZ691</t>
        </is>
      </c>
      <c r="M218" s="77" t="n">
        <v>4</v>
      </c>
    </row>
    <row r="219" customFormat="1" s="69">
      <c r="B219" s="92" t="inlineStr">
        <is>
          <t>7.50-16-14PR-R8038</t>
        </is>
      </c>
      <c r="C219" s="93" t="n">
        <v>38.2</v>
      </c>
      <c r="D219" s="495">
        <f>IF(C219="","",C219/(C219+$C$1/60))</f>
        <v/>
      </c>
      <c r="E219" s="95">
        <f>IFERROR(ROUND(1440/C219*2*D219,0),"")</f>
        <v/>
      </c>
      <c r="F219" s="96" t="n"/>
      <c r="G219" s="97" t="n"/>
      <c r="H219" s="74">
        <f>_xlfn.XLOOKUP(G219,I:I,J:J)</f>
        <v/>
      </c>
      <c r="I219" s="98" t="inlineStr">
        <is>
          <t>11.00R20-18PR-TKAL III</t>
        </is>
      </c>
      <c r="J219" s="99" t="n">
        <v>997.8031</v>
      </c>
      <c r="L219" s="77" t="inlineStr">
        <is>
          <t>325/95R24-AZ272</t>
        </is>
      </c>
      <c r="M219" s="77" t="n">
        <v>6</v>
      </c>
    </row>
    <row r="220" customFormat="1" s="69">
      <c r="B220" s="92" t="inlineStr">
        <is>
          <t>LT7.00-16-12PR-R8037</t>
        </is>
      </c>
      <c r="C220" s="93" t="n">
        <v>34.25</v>
      </c>
      <c r="D220" s="495">
        <f>IF(C220="","",C220/(C220+$C$1/60))</f>
        <v/>
      </c>
      <c r="E220" s="95">
        <f>IFERROR(ROUND(1440/C220*2*D220,0),"")</f>
        <v/>
      </c>
      <c r="F220" s="96" t="n"/>
      <c r="G220" s="97" t="n"/>
      <c r="H220" s="74">
        <f>_xlfn.XLOOKUP(G220,I:I,J:J)</f>
        <v/>
      </c>
      <c r="I220" s="98" t="inlineStr">
        <is>
          <t>11.00R20-18PR-EZ369</t>
        </is>
      </c>
      <c r="J220" s="99" t="n">
        <v>933.3884</v>
      </c>
      <c r="L220" s="77" t="inlineStr">
        <is>
          <t>11R22.5-VA996</t>
        </is>
      </c>
      <c r="M220" s="77" t="n">
        <v>2</v>
      </c>
    </row>
    <row r="221" customFormat="1" s="69">
      <c r="B221" s="92" t="inlineStr">
        <is>
          <t>ST175/80D13-6PR-ST600</t>
        </is>
      </c>
      <c r="C221" s="93" t="n">
        <v>19.4</v>
      </c>
      <c r="D221" s="495">
        <f>IF(C221="","",C221/(C221+$C$1/60))</f>
        <v/>
      </c>
      <c r="E221" s="95">
        <f>IFERROR(ROUND(1440/C221*2*D221,0),"")</f>
        <v/>
      </c>
      <c r="F221" s="96" t="n"/>
      <c r="G221" s="97" t="n"/>
      <c r="H221" s="74">
        <f>_xlfn.XLOOKUP(G221,I:I,J:J)</f>
        <v/>
      </c>
      <c r="I221" s="98" t="inlineStr">
        <is>
          <t>11.00R20-18PR-ETRF</t>
        </is>
      </c>
      <c r="J221" s="99" t="n">
        <v>997.8031</v>
      </c>
      <c r="L221" s="77" t="inlineStr">
        <is>
          <t>11R24.5-VA996</t>
        </is>
      </c>
      <c r="M221" s="77" t="n">
        <v>2</v>
      </c>
    </row>
    <row r="222" customFormat="1" s="69">
      <c r="B222" s="92" t="inlineStr">
        <is>
          <t>ST205/75D14-6PR-ST600</t>
        </is>
      </c>
      <c r="C222" s="93" t="n">
        <v>19.4</v>
      </c>
      <c r="D222" s="495">
        <f>IF(C222="","",C222/(C222+$C$1/60))</f>
        <v/>
      </c>
      <c r="E222" s="95">
        <f>IFERROR(ROUND(1440/C222*2*D222,0),"")</f>
        <v/>
      </c>
      <c r="F222" s="96" t="n"/>
      <c r="G222" s="97" t="n"/>
      <c r="H222" s="74">
        <f>_xlfn.XLOOKUP(G222,I:I,J:J)</f>
        <v/>
      </c>
      <c r="I222" s="98" t="inlineStr">
        <is>
          <t>11.00R20-18PR-CM988</t>
        </is>
      </c>
      <c r="J222" s="99" t="n">
        <v>984.4989</v>
      </c>
      <c r="L222" s="77" t="inlineStr">
        <is>
          <t>295/75R22.5-VA996</t>
        </is>
      </c>
      <c r="M222" s="77" t="n">
        <v>2</v>
      </c>
    </row>
    <row r="223" customFormat="1" s="69">
      <c r="B223" s="92" t="inlineStr">
        <is>
          <t>ST205/75D15-6PR-ST600</t>
        </is>
      </c>
      <c r="C223" s="93" t="n">
        <v>19.4</v>
      </c>
      <c r="D223" s="495">
        <f>IF(C223="","",C223/(C223+$C$1/60))</f>
        <v/>
      </c>
      <c r="E223" s="95">
        <f>IFERROR(ROUND(1440/C223*2*D223,0),"")</f>
        <v/>
      </c>
      <c r="F223" s="96" t="n"/>
      <c r="G223" s="97" t="n"/>
      <c r="H223" s="74">
        <f>_xlfn.XLOOKUP(G223,I:I,J:J)</f>
        <v/>
      </c>
      <c r="I223" s="98" t="inlineStr">
        <is>
          <t>11.00R20-18PR-AZ676</t>
        </is>
      </c>
      <c r="J223" s="99" t="n">
        <v>923.8208</v>
      </c>
      <c r="L223" s="77" t="inlineStr">
        <is>
          <t>285/75R24.5-VA996</t>
        </is>
      </c>
      <c r="M223" s="77" t="n">
        <v>2</v>
      </c>
    </row>
    <row r="224" customFormat="1" s="69">
      <c r="B224" s="92" t="inlineStr">
        <is>
          <t>ST225/75D15-8PR-ST600</t>
        </is>
      </c>
      <c r="C224" s="93" t="n">
        <v>22.5</v>
      </c>
      <c r="D224" s="495">
        <f>IF(C224="","",C224/(C224+$C$1/60))</f>
        <v/>
      </c>
      <c r="E224" s="95">
        <f>IFERROR(ROUND(1440/C224*2*D224,0),"")</f>
        <v/>
      </c>
      <c r="F224" s="96" t="n"/>
      <c r="G224" s="97" t="n"/>
      <c r="H224" s="74">
        <f>_xlfn.XLOOKUP(G224,I:I,J:J)</f>
        <v/>
      </c>
      <c r="I224" s="98" t="inlineStr">
        <is>
          <t>11.00R20-16PR-SUPER ETOT</t>
        </is>
      </c>
      <c r="J224" s="99" t="n">
        <v>1028.2433</v>
      </c>
      <c r="L224" s="77" t="inlineStr">
        <is>
          <t>255/70R22.5-VA996</t>
        </is>
      </c>
      <c r="M224" s="77" t="n">
        <v>2</v>
      </c>
    </row>
    <row r="225" customFormat="1" s="69">
      <c r="B225" s="92" t="inlineStr">
        <is>
          <t>23.5-25-24PR-CL728</t>
        </is>
      </c>
      <c r="C225" s="93" t="n">
        <v>185</v>
      </c>
      <c r="D225" s="495">
        <f>IF(C225="","",C225/(C225+$C$1/60))</f>
        <v/>
      </c>
      <c r="E225" s="95">
        <f>IFERROR(ROUND(1440/C225*2*D225,0),"")</f>
        <v/>
      </c>
      <c r="F225" s="96" t="n"/>
      <c r="G225" s="97" t="n"/>
      <c r="H225" s="74">
        <f>_xlfn.XLOOKUP(G225,I:I,J:J)</f>
        <v/>
      </c>
      <c r="I225" s="98" t="inlineStr">
        <is>
          <t>7.00-16-12PR-R8037</t>
        </is>
      </c>
      <c r="J225" s="99" t="n">
        <v>294.186564</v>
      </c>
      <c r="L225" s="77" t="inlineStr">
        <is>
          <t>315/80R22.5-VA996</t>
        </is>
      </c>
      <c r="M225" s="77" t="n">
        <v>2</v>
      </c>
    </row>
    <row r="226" customFormat="1" s="69">
      <c r="B226" s="92" t="inlineStr">
        <is>
          <t>23.5-25-24PR-EL36A</t>
        </is>
      </c>
      <c r="C226" s="93" t="n">
        <v>185</v>
      </c>
      <c r="D226" s="495">
        <f>IF(C226="","",C226/(C226+$C$1/60))</f>
        <v/>
      </c>
      <c r="E226" s="95">
        <f>IFERROR(ROUND(1440/C226*2*D226,0),"")</f>
        <v/>
      </c>
      <c r="F226" s="96" t="n"/>
      <c r="G226" s="97" t="n"/>
      <c r="H226" s="74">
        <f>_xlfn.XLOOKUP(G226,I:I,J:J)</f>
        <v/>
      </c>
      <c r="I226" s="98" t="inlineStr">
        <is>
          <t>5.30-12-6PR-ST5000</t>
        </is>
      </c>
      <c r="J226" s="99" t="n">
        <v>83.6375</v>
      </c>
      <c r="L226" s="77" t="inlineStr">
        <is>
          <t>11R22.5-VD998</t>
        </is>
      </c>
      <c r="M226" s="77" t="n">
        <v>2</v>
      </c>
    </row>
    <row r="227" customFormat="1" s="69">
      <c r="B227" s="92" t="inlineStr">
        <is>
          <t>17.5-25-16PR-EL36</t>
        </is>
      </c>
      <c r="C227" s="93" t="n">
        <v>71</v>
      </c>
      <c r="D227" s="495">
        <f>IF(C227="","",C227/(C227+$C$1/60))</f>
        <v/>
      </c>
      <c r="E227" s="95">
        <f>IFERROR(ROUND(1440/C227*2*D227,0),"")</f>
        <v/>
      </c>
      <c r="F227" s="96" t="n"/>
      <c r="G227" s="97" t="n"/>
      <c r="H227" s="74">
        <f>_xlfn.XLOOKUP(G227,I:I,J:J)</f>
        <v/>
      </c>
      <c r="I227" s="98" t="inlineStr">
        <is>
          <t>4.80-12-6PR-TE898</t>
        </is>
      </c>
      <c r="J227" s="99" t="n">
        <v>77.41500000000001</v>
      </c>
      <c r="L227" s="77" t="inlineStr">
        <is>
          <t>11R24.5-VD998</t>
        </is>
      </c>
      <c r="M227" s="77" t="n">
        <v>2</v>
      </c>
    </row>
    <row r="228" customFormat="1" s="69">
      <c r="B228" s="92" t="inlineStr">
        <is>
          <t>17.5-25-16PR-CL729</t>
        </is>
      </c>
      <c r="C228" s="93" t="n">
        <v>75</v>
      </c>
      <c r="D228" s="495">
        <f>IF(C228="","",C228/(C228+$C$1/60))</f>
        <v/>
      </c>
      <c r="E228" s="95">
        <f>IFERROR(ROUND(1440/C228*2*D228,0),"")</f>
        <v/>
      </c>
      <c r="F228" s="96" t="n"/>
      <c r="G228" s="97" t="n"/>
      <c r="H228" s="74">
        <f>_xlfn.XLOOKUP(G228,I:I,J:J)</f>
        <v/>
      </c>
      <c r="I228" s="98" t="inlineStr">
        <is>
          <t>ST225/75D15-8PR-H180</t>
        </is>
      </c>
      <c r="J228" s="99" t="n">
        <v>160.757814</v>
      </c>
      <c r="L228" s="77" t="inlineStr">
        <is>
          <t>295/75R22.5-VD998</t>
        </is>
      </c>
      <c r="M228" s="77" t="n">
        <v>2</v>
      </c>
    </row>
    <row r="229" customFormat="1" s="69">
      <c r="B229" s="92" t="inlineStr">
        <is>
          <t>225/70R19.5-14PR-VA933</t>
        </is>
      </c>
      <c r="C229" s="93" t="n">
        <v>30</v>
      </c>
      <c r="D229" s="495">
        <f>IF(C229="","",C229/(C229+$C$1/60))</f>
        <v/>
      </c>
      <c r="E229" s="95">
        <f>IFERROR(ROUND(1440/C229*2*D229,0),"")</f>
        <v/>
      </c>
      <c r="F229" s="96" t="n"/>
      <c r="G229" s="97" t="n"/>
      <c r="H229" s="74">
        <f>_xlfn.XLOOKUP(G229,I:I,J:J)</f>
        <v/>
      </c>
      <c r="I229" s="98" t="inlineStr">
        <is>
          <t>ST225/75D15-8PR-TE898</t>
        </is>
      </c>
      <c r="J229" s="99" t="n">
        <v>160.757814</v>
      </c>
      <c r="L229" s="77" t="inlineStr">
        <is>
          <t>285/75R24.5-VD998</t>
        </is>
      </c>
      <c r="M229" s="77" t="n">
        <v>2</v>
      </c>
    </row>
    <row r="230" customFormat="1" s="69">
      <c r="B230" s="92" t="inlineStr">
        <is>
          <t>12.00R20-22PR-EZ310 pro</t>
        </is>
      </c>
      <c r="C230" s="93" t="n">
        <v>76</v>
      </c>
      <c r="D230" s="495">
        <f>IF(C230="","",C230/(C230+$C$1/60))</f>
        <v/>
      </c>
      <c r="E230" s="95">
        <f>IFERROR(ROUND(1440/C230*2*D230,0),"")</f>
        <v/>
      </c>
      <c r="F230" s="96" t="n"/>
      <c r="G230" s="97" t="n"/>
      <c r="H230" s="74">
        <f>_xlfn.XLOOKUP(G230,I:I,J:J)</f>
        <v/>
      </c>
      <c r="I230" s="98" t="inlineStr">
        <is>
          <t>ST215/75D14-6PR-H180</t>
        </is>
      </c>
      <c r="J230" s="99" t="n">
        <v>136.770039</v>
      </c>
      <c r="L230" s="77" t="inlineStr">
        <is>
          <t>295/75R22.5-VT993</t>
        </is>
      </c>
      <c r="M230" s="77" t="n">
        <v>2</v>
      </c>
    </row>
    <row r="231" customFormat="1" s="69">
      <c r="B231" s="92" t="inlineStr">
        <is>
          <t>215/75R17.5-16PR-W-Elite ZA15</t>
        </is>
      </c>
      <c r="C231" s="93" t="n">
        <v>30</v>
      </c>
      <c r="D231" s="495">
        <f>IF(C231="","",C231/(C231+$C$1/60))</f>
        <v/>
      </c>
      <c r="E231" s="95">
        <f>IFERROR(ROUND(1440/C231*2*D231,0),"")</f>
        <v/>
      </c>
      <c r="F231" s="96" t="n"/>
      <c r="G231" s="97" t="n"/>
      <c r="H231" s="74">
        <f>_xlfn.XLOOKUP(G231,I:I,J:J)</f>
        <v/>
      </c>
      <c r="I231" s="98" t="inlineStr">
        <is>
          <t>ST205/75D15-6PR-TE898</t>
        </is>
      </c>
      <c r="J231" s="99" t="n">
        <v>122.770039</v>
      </c>
      <c r="L231" s="77" t="inlineStr">
        <is>
          <t>11R22.5-VT993</t>
        </is>
      </c>
      <c r="M231" s="77" t="n">
        <v>2</v>
      </c>
    </row>
    <row r="232" customFormat="1" s="69">
      <c r="B232" s="92" t="inlineStr">
        <is>
          <t>215/75R17.5-18PR-VA933</t>
        </is>
      </c>
      <c r="C232" s="93" t="n">
        <v>30</v>
      </c>
      <c r="D232" s="495">
        <f>IF(C232="","",C232/(C232+$C$1/60))</f>
        <v/>
      </c>
      <c r="E232" s="95">
        <f>IFERROR(ROUND(1440/C232*2*D232,0),"")</f>
        <v/>
      </c>
      <c r="F232" s="96" t="n"/>
      <c r="G232" s="97" t="n"/>
      <c r="H232" s="74">
        <f>_xlfn.XLOOKUP(G232,I:I,J:J)</f>
        <v/>
      </c>
      <c r="I232" s="98" t="inlineStr">
        <is>
          <t>ST205/75D15-6PR-H180</t>
        </is>
      </c>
      <c r="J232" s="99" t="n">
        <v>122.770039</v>
      </c>
      <c r="L232" s="77" t="inlineStr">
        <is>
          <t>11R22.5-VD908</t>
        </is>
      </c>
      <c r="M232" s="77" t="n">
        <v>2</v>
      </c>
    </row>
    <row r="233" customFormat="1" s="69">
      <c r="B233" s="92" t="inlineStr">
        <is>
          <t>12.00R20-20PR-EZ336</t>
        </is>
      </c>
      <c r="C233" s="93" t="n">
        <v>55.5</v>
      </c>
      <c r="D233" s="495">
        <f>IF(C233="","",C233/(C233+$C$1/60))</f>
        <v/>
      </c>
      <c r="E233" s="95">
        <f>IFERROR(ROUND(1440/C233*2*D233,0),"")</f>
        <v/>
      </c>
      <c r="F233" s="96" t="n"/>
      <c r="G233" s="97" t="n"/>
      <c r="H233" s="74">
        <f>_xlfn.XLOOKUP(G233,I:I,J:J)</f>
        <v/>
      </c>
      <c r="I233" s="98" t="inlineStr">
        <is>
          <t>ST205/75D14-6PR-ST600</t>
        </is>
      </c>
      <c r="J233" s="99" t="n">
        <v>122.2856</v>
      </c>
      <c r="L233" s="77" t="inlineStr">
        <is>
          <t>11R24.5-VD908</t>
        </is>
      </c>
      <c r="M233" s="77" t="n">
        <v>2</v>
      </c>
    </row>
    <row r="234" customFormat="1" s="69">
      <c r="B234" s="92" t="inlineStr">
        <is>
          <t>7.50R16-14PR-TKAL Ⅲ</t>
        </is>
      </c>
      <c r="C234" s="93" t="n">
        <v>30</v>
      </c>
      <c r="D234" s="495">
        <f>IF(C234="","",C234/(C234+$C$1/60))</f>
        <v/>
      </c>
      <c r="E234" s="95">
        <f>IFERROR(ROUND(1440/C234*2*D234,0),"")</f>
        <v/>
      </c>
      <c r="F234" s="96" t="n"/>
      <c r="G234" s="97" t="n"/>
      <c r="H234" s="74">
        <f>_xlfn.XLOOKUP(G234,I:I,J:J)</f>
        <v/>
      </c>
      <c r="I234" s="98" t="inlineStr">
        <is>
          <t>ST205/75D14-6PR-H180</t>
        </is>
      </c>
      <c r="J234" s="99" t="n">
        <v>122.2856</v>
      </c>
      <c r="L234" s="77" t="inlineStr">
        <is>
          <t>225/70R19.5-VD935</t>
        </is>
      </c>
      <c r="M234" s="77" t="n">
        <v>2</v>
      </c>
    </row>
    <row r="235" customFormat="1" s="69">
      <c r="B235" s="92" t="inlineStr">
        <is>
          <t>11.00R20-18PR-TKAL Ⅲ</t>
        </is>
      </c>
      <c r="C235" s="93" t="n">
        <v>42</v>
      </c>
      <c r="D235" s="495">
        <f>IF(C235="","",C235/(C235+$C$1/60))</f>
        <v/>
      </c>
      <c r="E235" s="95">
        <f>IFERROR(ROUND(1440/C235*2*D235,0),"")</f>
        <v/>
      </c>
      <c r="F235" s="96" t="n"/>
      <c r="G235" s="97" t="n"/>
      <c r="H235" s="74">
        <f>_xlfn.XLOOKUP(G235,I:I,J:J)</f>
        <v/>
      </c>
      <c r="I235" s="98" t="inlineStr">
        <is>
          <t>ST205/75D14-6PR-TE898</t>
        </is>
      </c>
      <c r="J235" s="99" t="n">
        <v>122.2856</v>
      </c>
      <c r="L235" s="77" t="inlineStr">
        <is>
          <t>245/70R19.5-VD935</t>
        </is>
      </c>
      <c r="M235" s="77" t="n">
        <v>2</v>
      </c>
    </row>
    <row r="236" customFormat="1" s="69">
      <c r="B236" s="92" t="inlineStr">
        <is>
          <t>295/80R22.5-18PR-ECOPLUS</t>
        </is>
      </c>
      <c r="C236" s="93" t="n">
        <v>36</v>
      </c>
      <c r="D236" s="495">
        <f>IF(C236="","",C236/(C236+$C$1/60))</f>
        <v/>
      </c>
      <c r="E236" s="95">
        <f>IFERROR(ROUND(1440/C236*2*D236,0),"")</f>
        <v/>
      </c>
      <c r="F236" s="96" t="n"/>
      <c r="G236" s="97" t="n"/>
      <c r="H236" s="74">
        <f>_xlfn.XLOOKUP(G236,I:I,J:J)</f>
        <v/>
      </c>
      <c r="I236" s="98" t="inlineStr">
        <is>
          <t>ST175/80D13-6PR-H180</t>
        </is>
      </c>
      <c r="J236" s="99" t="n">
        <v>95.850454</v>
      </c>
      <c r="L236" s="77" t="inlineStr">
        <is>
          <t>11R22.5-VA991</t>
        </is>
      </c>
      <c r="M236" s="77" t="n">
        <v>2</v>
      </c>
    </row>
    <row r="237" customFormat="1" s="69">
      <c r="B237" s="92" t="inlineStr">
        <is>
          <t>11R22.5-16PR-VXD932</t>
        </is>
      </c>
      <c r="C237" s="93" t="n">
        <v>34</v>
      </c>
      <c r="D237" s="495">
        <f>IF(C237="","",C237/(C237+$C$1/60))</f>
        <v/>
      </c>
      <c r="E237" s="95">
        <f>IFERROR(ROUND(1440/C237*2*D237,0),"")</f>
        <v/>
      </c>
      <c r="F237" s="96" t="n"/>
      <c r="G237" s="97" t="n"/>
      <c r="H237" s="74">
        <f>_xlfn.XLOOKUP(G237,I:I,J:J)</f>
        <v/>
      </c>
      <c r="I237" s="98" t="inlineStr">
        <is>
          <t>ST175/80D13-6PR-TE898</t>
        </is>
      </c>
      <c r="J237" s="99" t="n">
        <v>95.850454</v>
      </c>
      <c r="L237" s="77" t="inlineStr">
        <is>
          <t>11R24.5-VA991</t>
        </is>
      </c>
      <c r="M237" s="77" t="n">
        <v>2</v>
      </c>
    </row>
    <row r="238" customFormat="1" s="69">
      <c r="B238" s="92" t="inlineStr">
        <is>
          <t>11R22.5-16PR-VA996</t>
        </is>
      </c>
      <c r="C238" s="93" t="n">
        <v>37</v>
      </c>
      <c r="D238" s="495">
        <f>IF(C238="","",C238/(C238+$C$1/60))</f>
        <v/>
      </c>
      <c r="E238" s="95">
        <f>IFERROR(ROUND(1440/C238*2*D238,0),"")</f>
        <v/>
      </c>
      <c r="F238" s="96" t="n"/>
      <c r="G238" s="97" t="n"/>
      <c r="H238" s="74">
        <f>_xlfn.XLOOKUP(G238,I:I,J:J)</f>
        <v/>
      </c>
      <c r="I238" s="98" t="inlineStr">
        <is>
          <t>23.5-25-24PR-DF60</t>
        </is>
      </c>
      <c r="J238" s="99" t="n">
        <v>3134.729059</v>
      </c>
      <c r="L238" s="77" t="inlineStr">
        <is>
          <t>215/75R17.5-VA933</t>
        </is>
      </c>
      <c r="M238" s="77" t="n">
        <v>2</v>
      </c>
    </row>
    <row r="239" customFormat="1" s="69">
      <c r="B239" s="92" t="inlineStr">
        <is>
          <t>12.00R20-☆☆PR-XC809</t>
        </is>
      </c>
      <c r="C239" s="93" t="n">
        <v>47.7</v>
      </c>
      <c r="D239" s="495">
        <f>IF(C239="","",C239/(C239+$C$1/60))</f>
        <v/>
      </c>
      <c r="E239" s="95">
        <f>IFERROR(ROUND(1440/C239*2*D239,0),"")</f>
        <v/>
      </c>
      <c r="F239" s="96" t="n"/>
      <c r="G239" s="97" t="n"/>
      <c r="H239" s="74">
        <f>_xlfn.XLOOKUP(G239,I:I,J:J)</f>
        <v/>
      </c>
      <c r="I239" s="98" t="inlineStr">
        <is>
          <t>23.5-25-20PR-CL728</t>
        </is>
      </c>
      <c r="J239" s="99" t="n">
        <v>3212.607419</v>
      </c>
      <c r="L239" s="77" t="inlineStr">
        <is>
          <t>225/70R19.5-VA933</t>
        </is>
      </c>
      <c r="M239" s="77" t="n">
        <v>2</v>
      </c>
    </row>
    <row r="240" customFormat="1" s="69">
      <c r="B240" s="92" t="inlineStr">
        <is>
          <t>295/80R22.5-18PR-AS668</t>
        </is>
      </c>
      <c r="C240" s="93" t="n">
        <v>46</v>
      </c>
      <c r="D240" s="495">
        <f>IF(C240="","",C240/(C240+$C$1/60))</f>
        <v/>
      </c>
      <c r="E240" s="95">
        <f>IFERROR(ROUND(1440/C240*2*D240,0),"")</f>
        <v/>
      </c>
      <c r="F240" s="96" t="n"/>
      <c r="G240" s="97" t="n"/>
      <c r="H240" s="74">
        <f>_xlfn.XLOOKUP(G240,I:I,J:J)</f>
        <v/>
      </c>
      <c r="I240" s="98" t="inlineStr">
        <is>
          <t>23.5-25-24PR-EL37(T317)</t>
        </is>
      </c>
      <c r="J240" s="99" t="n">
        <v>3082.2289</v>
      </c>
      <c r="L240" s="77" t="inlineStr">
        <is>
          <t>235/75R17.5-VA933</t>
        </is>
      </c>
      <c r="M240" s="77" t="n">
        <v>2</v>
      </c>
    </row>
    <row r="241" customFormat="1" s="69">
      <c r="B241" s="92" t="inlineStr">
        <is>
          <t>11.00R20-16PR-SUPER ETOT</t>
        </is>
      </c>
      <c r="C241" s="93" t="n">
        <v>42</v>
      </c>
      <c r="D241" s="495">
        <f>IF(C241="","",C241/(C241+$C$1/60))</f>
        <v/>
      </c>
      <c r="E241" s="95">
        <f>IFERROR(ROUND(1440/C241*2*D241,0),"")</f>
        <v/>
      </c>
      <c r="F241" s="96" t="n"/>
      <c r="G241" s="97" t="n"/>
      <c r="H241" s="74">
        <f>_xlfn.XLOOKUP(G241,I:I,J:J)</f>
        <v/>
      </c>
      <c r="I241" s="98" t="inlineStr">
        <is>
          <t>18.5X8.5-8-6PR-SU202</t>
        </is>
      </c>
      <c r="J241" s="99" t="n">
        <v>145.1761</v>
      </c>
      <c r="L241" s="77" t="inlineStr">
        <is>
          <t>245/70R19.5-VA933</t>
        </is>
      </c>
      <c r="M241" s="77" t="n">
        <v>2</v>
      </c>
    </row>
    <row r="242" customFormat="1" s="69">
      <c r="B242" s="92" t="inlineStr">
        <is>
          <t>12.00R20-20PR-ETOD</t>
        </is>
      </c>
      <c r="C242" s="93" t="n">
        <v>49</v>
      </c>
      <c r="D242" s="495">
        <f>IF(C242="","",C242/(C242+$C$1/60))</f>
        <v/>
      </c>
      <c r="E242" s="95">
        <f>IFERROR(ROUND(1440/C242*2*D242,0),"")</f>
        <v/>
      </c>
      <c r="F242" s="96" t="n"/>
      <c r="G242" s="97" t="n"/>
      <c r="H242" s="74">
        <f>_xlfn.XLOOKUP(G242,I:I,J:J)</f>
        <v/>
      </c>
      <c r="I242" s="98" t="inlineStr">
        <is>
          <t>10.00R20-18PR-TZ202</t>
        </is>
      </c>
      <c r="J242" s="99" t="n">
        <v>872.8293</v>
      </c>
      <c r="L242" s="77" t="inlineStr">
        <is>
          <t>265/70R19.5-VA933</t>
        </is>
      </c>
      <c r="M242" s="77" t="n">
        <v>2</v>
      </c>
    </row>
    <row r="243" customFormat="1" s="69">
      <c r="B243" s="92" t="inlineStr">
        <is>
          <t>295/75R22.5-16PR-VA996</t>
        </is>
      </c>
      <c r="C243" s="93" t="n">
        <v>38.5</v>
      </c>
      <c r="D243" s="495">
        <f>IF(C243="","",C243/(C243+$C$1/60))</f>
        <v/>
      </c>
      <c r="E243" s="95">
        <f>IFERROR(ROUND(1440/C243*2*D243,0),"")</f>
        <v/>
      </c>
      <c r="F243" s="96" t="n"/>
      <c r="G243" s="97" t="n"/>
      <c r="H243" s="74">
        <f>_xlfn.XLOOKUP(G243,I:I,J:J)</f>
        <v/>
      </c>
      <c r="I243" s="98" t="inlineStr">
        <is>
          <t>10.00R20-18PR-TZ101</t>
        </is>
      </c>
      <c r="J243" s="99" t="n">
        <v>850.3859</v>
      </c>
      <c r="L243" s="77" t="inlineStr">
        <is>
          <t>385/65R22.5-VA916</t>
        </is>
      </c>
      <c r="M243" s="77" t="n">
        <v>2</v>
      </c>
    </row>
    <row r="244" customFormat="1" s="69">
      <c r="B244" s="92" t="inlineStr">
        <is>
          <t>275/80R22.5-16PR-G-PRO MSA</t>
        </is>
      </c>
      <c r="C244" s="93" t="n">
        <v>42</v>
      </c>
      <c r="D244" s="495">
        <f>IF(C244="","",C244/(C244+$C$1/60))</f>
        <v/>
      </c>
      <c r="E244" s="95">
        <f>IFERROR(ROUND(1440/C244*2*D244,0),"")</f>
        <v/>
      </c>
      <c r="F244" s="96" t="n"/>
      <c r="G244" s="97" t="n"/>
      <c r="H244" s="74">
        <f>_xlfn.XLOOKUP(G244,I:I,J:J)</f>
        <v/>
      </c>
      <c r="I244" s="98" t="inlineStr">
        <is>
          <t>12.00R20-20PR-EZ345</t>
        </is>
      </c>
      <c r="J244" s="99" t="n">
        <v>998.2434</v>
      </c>
      <c r="L244" s="77" t="inlineStr">
        <is>
          <t>425/65R22.5-VA916</t>
        </is>
      </c>
      <c r="M244" s="77" t="n">
        <v>2</v>
      </c>
    </row>
    <row r="245" customFormat="1" s="69">
      <c r="B245" s="92" t="inlineStr">
        <is>
          <t>11.00R20-18PR-ETRF</t>
        </is>
      </c>
      <c r="C245" s="93" t="n">
        <v>42</v>
      </c>
      <c r="D245" s="495">
        <f>IF(C245="","",C245/(C245+$C$1/60))</f>
        <v/>
      </c>
      <c r="E245" s="95">
        <f>IFERROR(ROUND(1440/C245*2*D245,0),"")</f>
        <v/>
      </c>
      <c r="F245" s="96" t="n"/>
      <c r="G245" s="97" t="n"/>
      <c r="H245" s="74">
        <f>_xlfn.XLOOKUP(G245,I:I,J:J)</f>
        <v/>
      </c>
      <c r="I245" s="98" t="inlineStr">
        <is>
          <t>12.00R20-18PR-TZ304</t>
        </is>
      </c>
      <c r="J245" s="99" t="n">
        <v>1222.2252</v>
      </c>
      <c r="L245" s="77" t="inlineStr">
        <is>
          <t>445/50R22.5-VA905</t>
        </is>
      </c>
      <c r="M245" s="77" t="n">
        <v>2</v>
      </c>
    </row>
    <row r="246" customFormat="1" s="69">
      <c r="B246" s="92" t="inlineStr">
        <is>
          <t>7.50R16-14PR-TZ202</t>
        </is>
      </c>
      <c r="C246" s="93" t="n">
        <v>27.5</v>
      </c>
      <c r="D246" s="495">
        <f>IF(C246="","",C246/(C246+$C$1/60))</f>
        <v/>
      </c>
      <c r="E246" s="95">
        <f>IFERROR(ROUND(1440/C246*2*D246,0),"")</f>
        <v/>
      </c>
      <c r="F246" s="96" t="n"/>
      <c r="G246" s="97" t="n"/>
      <c r="H246" s="74">
        <f>_xlfn.XLOOKUP(G246,I:I,J:J)</f>
        <v/>
      </c>
      <c r="I246" s="98" t="inlineStr">
        <is>
          <t>12.00R20-18PR-TZ101</t>
        </is>
      </c>
      <c r="J246" s="99" t="n">
        <v>1169.9128</v>
      </c>
      <c r="L246" s="77" t="inlineStr">
        <is>
          <t>11R22.5-VXD932</t>
        </is>
      </c>
      <c r="M246" s="77" t="n">
        <v>2</v>
      </c>
    </row>
    <row r="247" customFormat="1" s="69">
      <c r="B247" s="92" t="inlineStr">
        <is>
          <t>5.30-12-6PR-ST5000</t>
        </is>
      </c>
      <c r="C247" s="93" t="n">
        <v>19.4</v>
      </c>
      <c r="D247" s="495">
        <f>IF(C247="","",C247/(C247+$C$1/60))</f>
        <v/>
      </c>
      <c r="E247" s="95">
        <f>IFERROR(ROUND(1440/C247*2*D247,0),"")</f>
        <v/>
      </c>
      <c r="F247" s="96" t="n"/>
      <c r="G247" s="97" t="n"/>
      <c r="H247" s="74">
        <f>_xlfn.XLOOKUP(G247,I:I,J:J)</f>
        <v/>
      </c>
      <c r="I247" s="98" t="inlineStr">
        <is>
          <t>11R24.5-16PR-VXD932</t>
        </is>
      </c>
      <c r="J247" s="99" t="n">
        <v>847.28</v>
      </c>
      <c r="L247" s="77" t="inlineStr">
        <is>
          <t>11R24.5-VXD932</t>
        </is>
      </c>
      <c r="M247" s="77" t="n">
        <v>2</v>
      </c>
    </row>
    <row r="248" customFormat="1" s="69">
      <c r="B248" s="92" t="inlineStr">
        <is>
          <t>10.00-20-14PR-CR918</t>
        </is>
      </c>
      <c r="C248" s="93" t="n">
        <v>42</v>
      </c>
      <c r="D248" s="495">
        <f>IF(C248="","",C248/(C248+$C$1/60))</f>
        <v/>
      </c>
      <c r="E248" s="95">
        <f>IFERROR(ROUND(1440/C248*2*D248,0),"")</f>
        <v/>
      </c>
      <c r="F248" s="96" t="n"/>
      <c r="G248" s="97" t="n"/>
      <c r="H248" s="74">
        <f>_xlfn.XLOOKUP(G248,I:I,J:J)</f>
        <v/>
      </c>
      <c r="I248" s="98" t="inlineStr">
        <is>
          <t>11R24.5-16PR-VA996</t>
        </is>
      </c>
      <c r="J248" s="99" t="n">
        <v>759.08</v>
      </c>
      <c r="L248" s="77" t="inlineStr">
        <is>
          <t>295/75R22.5-VXD932</t>
        </is>
      </c>
      <c r="M248" s="77" t="n">
        <v>2</v>
      </c>
    </row>
    <row r="249" customFormat="1" s="69">
      <c r="B249" s="92" t="inlineStr">
        <is>
          <t>10.00-20-16PR-CR952</t>
        </is>
      </c>
      <c r="C249" s="93" t="n">
        <v>49.15</v>
      </c>
      <c r="D249" s="495">
        <f>IF(C249="","",C249/(C249+$C$1/60))</f>
        <v/>
      </c>
      <c r="E249" s="95">
        <f>IFERROR(ROUND(1440/C249*2*D249,0),"")</f>
        <v/>
      </c>
      <c r="F249" s="96" t="n"/>
      <c r="G249" s="97" t="n"/>
      <c r="H249" s="74">
        <f>_xlfn.XLOOKUP(G249,I:I,J:J)</f>
        <v/>
      </c>
      <c r="I249" s="98" t="inlineStr">
        <is>
          <t>11R24.5-16PR-I-61S</t>
        </is>
      </c>
      <c r="J249" s="99" t="n">
        <v>820.033</v>
      </c>
      <c r="L249" s="77" t="inlineStr">
        <is>
          <t>11R22.5-VDM924</t>
        </is>
      </c>
      <c r="M249" s="77" t="n">
        <v>2</v>
      </c>
    </row>
    <row r="250" customFormat="1" s="69">
      <c r="B250" s="92" t="inlineStr">
        <is>
          <t>11.00-20-18PR-CL969</t>
        </is>
      </c>
      <c r="C250" s="93" t="n">
        <v>54.4</v>
      </c>
      <c r="D250" s="495">
        <f>IF(C250="","",C250/(C250+$C$1/60))</f>
        <v/>
      </c>
      <c r="E250" s="95">
        <f>IFERROR(ROUND(1440/C250*2*D250,0),"")</f>
        <v/>
      </c>
      <c r="F250" s="96" t="n"/>
      <c r="G250" s="97" t="n"/>
      <c r="H250" s="74">
        <f>_xlfn.XLOOKUP(G250,I:I,J:J)</f>
        <v/>
      </c>
      <c r="I250" s="98" t="inlineStr">
        <is>
          <t>11R24.5-16PR-I-31M</t>
        </is>
      </c>
      <c r="J250" s="99" t="n">
        <v>873.401</v>
      </c>
      <c r="L250" s="77" t="inlineStr">
        <is>
          <t>11R24.5-VDM924</t>
        </is>
      </c>
      <c r="M250" s="77" t="n">
        <v>2</v>
      </c>
    </row>
    <row r="251" customFormat="1" s="69">
      <c r="B251" s="92" t="inlineStr">
        <is>
          <t>20.5×8.0-10-10PR-SU202</t>
        </is>
      </c>
      <c r="C251" s="93" t="n">
        <v>19.4</v>
      </c>
      <c r="D251" s="495">
        <f>IF(C251="","",C251/(C251+$C$1/60))</f>
        <v/>
      </c>
      <c r="E251" s="95">
        <f>IFERROR(ROUND(1440/C251*2*D251,0),"")</f>
        <v/>
      </c>
      <c r="F251" s="96" t="n"/>
      <c r="G251" s="97" t="n"/>
      <c r="H251" s="74">
        <f>_xlfn.XLOOKUP(G251,I:I,J:J)</f>
        <v/>
      </c>
      <c r="I251" s="98" t="inlineStr">
        <is>
          <t>11R24.5-16PR-I-28D</t>
        </is>
      </c>
      <c r="J251" s="99" t="n">
        <v>888.059</v>
      </c>
      <c r="L251" s="77" t="inlineStr">
        <is>
          <t>315/80R22.5-VDM924</t>
        </is>
      </c>
      <c r="M251" s="77" t="n">
        <v>2</v>
      </c>
    </row>
    <row r="252" customFormat="1" s="69">
      <c r="B252" s="92" t="inlineStr">
        <is>
          <t>4.80-12-6PR-SU201</t>
        </is>
      </c>
      <c r="C252" s="93" t="n">
        <v>19.4</v>
      </c>
      <c r="D252" s="495">
        <f>IF(C252="","",C252/(C252+$C$1/60))</f>
        <v/>
      </c>
      <c r="E252" s="95">
        <f>IFERROR(ROUND(1440/C252*2*D252,0),"")</f>
        <v/>
      </c>
      <c r="F252" s="96" t="n"/>
      <c r="G252" s="97" t="n"/>
      <c r="H252" s="74">
        <f>_xlfn.XLOOKUP(G252,I:I,J:J)</f>
        <v/>
      </c>
      <c r="I252" s="98" t="inlineStr">
        <is>
          <t>11R24.5-14PR-I-48T</t>
        </is>
      </c>
      <c r="J252" s="99" t="n">
        <v>821.265</v>
      </c>
      <c r="L252" s="77" t="inlineStr">
        <is>
          <t>7.50R16-EZ377</t>
        </is>
      </c>
      <c r="M252" s="77" t="n">
        <v>2</v>
      </c>
    </row>
    <row r="253" customFormat="1" s="69">
      <c r="B253" s="92" t="inlineStr">
        <is>
          <t>4.80-12-6PR-TE898</t>
        </is>
      </c>
      <c r="C253" s="93" t="n">
        <v>19.4</v>
      </c>
      <c r="D253" s="495">
        <f>IF(C253="","",C253/(C253+$C$1/60))</f>
        <v/>
      </c>
      <c r="E253" s="95">
        <f>IFERROR(ROUND(1440/C253*2*D253,0),"")</f>
        <v/>
      </c>
      <c r="F253" s="96" t="n"/>
      <c r="G253" s="97" t="n"/>
      <c r="H253" s="74">
        <f>_xlfn.XLOOKUP(G253,I:I,J:J)</f>
        <v/>
      </c>
      <c r="I253" s="98" t="inlineStr">
        <is>
          <t>11R22.5-16PR-I-61S</t>
        </is>
      </c>
      <c r="J253" s="99" t="n">
        <v>769.3920000000001</v>
      </c>
      <c r="L253" s="77" t="inlineStr">
        <is>
          <t>295/80R22.5-AS589</t>
        </is>
      </c>
      <c r="M253" s="77" t="n">
        <v>2</v>
      </c>
    </row>
    <row r="254" customFormat="1" s="69">
      <c r="B254" s="92" t="inlineStr">
        <is>
          <t>7.50-16-14PR-L8056</t>
        </is>
      </c>
      <c r="C254" s="93" t="n">
        <v>38.2</v>
      </c>
      <c r="D254" s="495">
        <f>IF(C254="","",C254/(C254+$C$1/60))</f>
        <v/>
      </c>
      <c r="E254" s="95">
        <f>IFERROR(ROUND(1440/C254*2*D254,0),"")</f>
        <v/>
      </c>
      <c r="F254" s="96" t="n"/>
      <c r="G254" s="97" t="n"/>
      <c r="H254" s="74">
        <f>_xlfn.XLOOKUP(G254,I:I,J:J)</f>
        <v/>
      </c>
      <c r="I254" s="98" t="inlineStr">
        <is>
          <t>11R22.5-16PR-I-31M</t>
        </is>
      </c>
      <c r="J254" s="99" t="n">
        <v>824.41</v>
      </c>
      <c r="L254" s="77" t="inlineStr">
        <is>
          <t>295/80R22.5-AD818</t>
        </is>
      </c>
      <c r="M254" s="77" t="n">
        <v>2</v>
      </c>
    </row>
    <row r="255" customFormat="1" s="69">
      <c r="B255" s="92" t="inlineStr">
        <is>
          <t>4.80-12-4PR-SU201</t>
        </is>
      </c>
      <c r="C255" s="93" t="n">
        <v>19.4</v>
      </c>
      <c r="D255" s="495">
        <f>IF(C255="","",C255/(C255+$C$1/60))</f>
        <v/>
      </c>
      <c r="E255" s="95">
        <f>IFERROR(ROUND(1440/C255*2*D255,0),"")</f>
        <v/>
      </c>
      <c r="F255" s="96" t="n"/>
      <c r="G255" s="97" t="n"/>
      <c r="H255" s="74">
        <f>_xlfn.XLOOKUP(G255,I:I,J:J)</f>
        <v/>
      </c>
      <c r="I255" s="98" t="inlineStr">
        <is>
          <t>11R22.5-16PR-I-28D</t>
        </is>
      </c>
      <c r="J255" s="99" t="n">
        <v>838.023</v>
      </c>
      <c r="L255" s="77" t="inlineStr">
        <is>
          <t>295/80R22.5-AD733 Pro</t>
        </is>
      </c>
      <c r="M255" s="77" t="n">
        <v>2</v>
      </c>
    </row>
    <row r="256" customFormat="1" s="69">
      <c r="B256" s="92" t="inlineStr">
        <is>
          <t>ST175/80D13-6PR-H180</t>
        </is>
      </c>
      <c r="C256" s="93" t="n">
        <v>19.4</v>
      </c>
      <c r="D256" s="495">
        <f>IF(C256="","",C256/(C256+$C$1/60))</f>
        <v/>
      </c>
      <c r="E256" s="95">
        <f>IFERROR(ROUND(1440/C256*2*D256,0),"")</f>
        <v/>
      </c>
      <c r="F256" s="96" t="n"/>
      <c r="G256" s="97" t="n"/>
      <c r="H256" s="74">
        <f>_xlfn.XLOOKUP(G256,I:I,J:J)</f>
        <v/>
      </c>
      <c r="I256" s="98" t="inlineStr">
        <is>
          <t>11R22.5-16PR-AS200</t>
        </is>
      </c>
      <c r="J256" s="99" t="n">
        <v>750.6401</v>
      </c>
      <c r="L256" s="77" t="inlineStr">
        <is>
          <t>315/80R22.5-CR926B</t>
        </is>
      </c>
      <c r="M256" s="77" t="n">
        <v>2</v>
      </c>
    </row>
    <row r="257" customFormat="1" s="69">
      <c r="B257" s="92" t="inlineStr">
        <is>
          <t>ST175/80D13-6PR-TE898</t>
        </is>
      </c>
      <c r="C257" s="93" t="n">
        <v>19.4</v>
      </c>
      <c r="D257" s="495">
        <f>IF(C257="","",C257/(C257+$C$1/60))</f>
        <v/>
      </c>
      <c r="E257" s="95">
        <f>IFERROR(ROUND(1440/C257*2*D257,0),"")</f>
        <v/>
      </c>
      <c r="F257" s="96" t="n"/>
      <c r="G257" s="97" t="n"/>
      <c r="H257" s="74">
        <f>_xlfn.XLOOKUP(G257,I:I,J:J)</f>
        <v/>
      </c>
      <c r="I257" s="98" t="inlineStr">
        <is>
          <t>11R22.5-16PR-AD600</t>
        </is>
      </c>
      <c r="J257" s="99" t="n">
        <v>804.9806170000001</v>
      </c>
      <c r="L257" s="77" t="inlineStr">
        <is>
          <t>315/80R22.5-WSR1</t>
        </is>
      </c>
      <c r="M257" s="77" t="n">
        <v>2</v>
      </c>
    </row>
    <row r="258" customFormat="1" s="69">
      <c r="B258" s="92" t="inlineStr">
        <is>
          <t>ST205/75D14-6PR-TE898</t>
        </is>
      </c>
      <c r="C258" s="93" t="n">
        <v>19.4</v>
      </c>
      <c r="D258" s="495">
        <f>IF(C258="","",C258/(C258+$C$1/60))</f>
        <v/>
      </c>
      <c r="E258" s="95">
        <f>IFERROR(ROUND(1440/C258*2*D258,0),"")</f>
        <v/>
      </c>
      <c r="F258" s="96" t="n"/>
      <c r="G258" s="97" t="n"/>
      <c r="H258" s="74">
        <f>_xlfn.XLOOKUP(G258,I:I,J:J)</f>
        <v/>
      </c>
      <c r="I258" s="98" t="inlineStr">
        <is>
          <t>11R22.5-14PR-CR915 eco</t>
        </is>
      </c>
      <c r="J258" s="99" t="n">
        <v>710.0611</v>
      </c>
      <c r="L258" s="77" t="inlineStr">
        <is>
          <t>295/80R22.5-CM997</t>
        </is>
      </c>
      <c r="M258" s="77" t="n">
        <v>2</v>
      </c>
    </row>
    <row r="259" customFormat="1" s="69">
      <c r="B259" s="92" t="inlineStr">
        <is>
          <t>ST205/75D14-6PR-H180</t>
        </is>
      </c>
      <c r="C259" s="93" t="n">
        <v>19.4</v>
      </c>
      <c r="D259" s="495">
        <f>IF(C259="","",C259/(C259+$C$1/60))</f>
        <v/>
      </c>
      <c r="E259" s="95">
        <f>IFERROR(ROUND(1440/C259*2*D259,0),"")</f>
        <v/>
      </c>
      <c r="F259" s="96" t="n"/>
      <c r="G259" s="97" t="n"/>
      <c r="H259" s="74">
        <f>_xlfn.XLOOKUP(G259,I:I,J:J)</f>
        <v/>
      </c>
      <c r="I259" s="98" t="inlineStr">
        <is>
          <t>11.00R20-18PR-TZ202</t>
        </is>
      </c>
      <c r="J259" s="493" t="n">
        <v>985.5699</v>
      </c>
      <c r="L259" s="77" t="inlineStr">
        <is>
          <t>295/80R22.5-AD156A</t>
        </is>
      </c>
      <c r="M259" s="77" t="n">
        <v>8</v>
      </c>
    </row>
    <row r="260" customFormat="1" s="69">
      <c r="B260" s="92" t="inlineStr">
        <is>
          <t>ST205/75D15-6PR-H180</t>
        </is>
      </c>
      <c r="C260" s="93" t="n">
        <v>19.4</v>
      </c>
      <c r="D260" s="495">
        <f>IF(C260="","",C260/(C260+$C$1/60))</f>
        <v/>
      </c>
      <c r="E260" s="95">
        <f>IFERROR(ROUND(1440/C260*2*D260,0),"")</f>
        <v/>
      </c>
      <c r="F260" s="96" t="n"/>
      <c r="G260" s="97" t="n"/>
      <c r="H260" s="74">
        <f>_xlfn.XLOOKUP(G260,I:I,J:J)</f>
        <v/>
      </c>
      <c r="I260" s="98" t="inlineStr">
        <is>
          <t>11.00R20-18PR-TZ101</t>
        </is>
      </c>
      <c r="J260" s="99" t="n">
        <v>896.5579</v>
      </c>
      <c r="L260" s="77" t="inlineStr">
        <is>
          <t>295/80R22.5-EZ177</t>
        </is>
      </c>
      <c r="M260" s="77" t="n">
        <v>2</v>
      </c>
    </row>
    <row r="261" customFormat="1" s="69">
      <c r="B261" s="92" t="inlineStr">
        <is>
          <t>ST205/75D15-6PR-TE898</t>
        </is>
      </c>
      <c r="C261" s="93" t="n">
        <v>19.4</v>
      </c>
      <c r="D261" s="495">
        <f>IF(C261="","",C261/(C261+$C$1/60))</f>
        <v/>
      </c>
      <c r="E261" s="95">
        <f>IFERROR(ROUND(1440/C261*2*D261,0),"")</f>
        <v/>
      </c>
      <c r="F261" s="96" t="n"/>
      <c r="G261" s="97" t="n"/>
      <c r="H261" s="74">
        <f>_xlfn.XLOOKUP(G261,I:I,J:J)</f>
        <v/>
      </c>
      <c r="I261" s="98" t="inlineStr">
        <is>
          <t>7.50R16-14PR-TZ303</t>
        </is>
      </c>
      <c r="J261" s="99" t="n">
        <v>425.068</v>
      </c>
      <c r="L261" s="77" t="inlineStr">
        <is>
          <t>275/80R22.5-AS86</t>
        </is>
      </c>
      <c r="M261" s="77" t="n">
        <v>2</v>
      </c>
    </row>
    <row r="262" customFormat="1" s="69">
      <c r="B262" s="92" t="inlineStr">
        <is>
          <t>ST215/75D14-6PR-H180</t>
        </is>
      </c>
      <c r="C262" s="93" t="n">
        <v>19.4</v>
      </c>
      <c r="D262" s="495">
        <f>IF(C262="","",C262/(C262+$C$1/60))</f>
        <v/>
      </c>
      <c r="E262" s="95">
        <f>IFERROR(ROUND(1440/C262*2*D262,0),"")</f>
        <v/>
      </c>
      <c r="F262" s="96" t="n"/>
      <c r="G262" s="97" t="n"/>
      <c r="H262" s="74">
        <f>_xlfn.XLOOKUP(G262,I:I,J:J)</f>
        <v/>
      </c>
      <c r="I262" s="98" t="inlineStr">
        <is>
          <t>325/95R24-22PR-CB972E</t>
        </is>
      </c>
      <c r="J262" s="99" t="n">
        <v>1286.120703</v>
      </c>
      <c r="L262" s="77" t="inlineStr">
        <is>
          <t>295/80R22.5-AS567</t>
        </is>
      </c>
      <c r="M262" s="77" t="n">
        <v>2</v>
      </c>
    </row>
    <row r="263" customFormat="1" s="69">
      <c r="B263" s="92" t="inlineStr">
        <is>
          <t>ST225/75D15-8PR-TE898</t>
        </is>
      </c>
      <c r="C263" s="93" t="n">
        <v>19.4</v>
      </c>
      <c r="D263" s="495">
        <f>IF(C263="","",C263/(C263+$C$1/60))</f>
        <v/>
      </c>
      <c r="E263" s="95">
        <f>IFERROR(ROUND(1440/C263*2*D263,0),"")</f>
        <v/>
      </c>
      <c r="F263" s="96" t="n"/>
      <c r="G263" s="97" t="n"/>
      <c r="H263" s="74">
        <f>_xlfn.XLOOKUP(G263,I:I,J:J)</f>
        <v/>
      </c>
      <c r="I263" s="98" t="inlineStr">
        <is>
          <t>295/80R22.5-18PR-WSR1</t>
        </is>
      </c>
      <c r="J263" s="99" t="n">
        <v>923.0711</v>
      </c>
      <c r="L263" s="77" t="inlineStr">
        <is>
          <t>295/80R22.5-AS668</t>
        </is>
      </c>
      <c r="M263" s="77" t="n">
        <v>2</v>
      </c>
    </row>
    <row r="264" customFormat="1" s="69">
      <c r="B264" s="92" t="inlineStr">
        <is>
          <t>23.5-25-24PR-EL37</t>
        </is>
      </c>
      <c r="C264" s="93" t="n">
        <v>85</v>
      </c>
      <c r="D264" s="495">
        <f>IF(C264="","",C264/(C264+$C$1/60))</f>
        <v/>
      </c>
      <c r="E264" s="95">
        <f>IFERROR(ROUND(1440/C264*2*D264,0),"")</f>
        <v/>
      </c>
      <c r="F264" s="96" t="n"/>
      <c r="G264" s="97" t="n"/>
      <c r="H264" s="74">
        <f>_xlfn.XLOOKUP(G264,I:I,J:J)</f>
        <v/>
      </c>
      <c r="I264" s="98" t="inlineStr">
        <is>
          <t>295/80R22.5-18PR-RF45</t>
        </is>
      </c>
      <c r="J264" s="99" t="n">
        <v>946.5974</v>
      </c>
      <c r="L264" s="77" t="inlineStr">
        <is>
          <t>295/80R22.5-AT186</t>
        </is>
      </c>
      <c r="M264" s="77" t="n">
        <v>6</v>
      </c>
    </row>
    <row r="265" customFormat="1" s="69">
      <c r="B265" s="92" t="inlineStr">
        <is>
          <t>23.5-25-24PR-DF60</t>
        </is>
      </c>
      <c r="C265" s="93" t="n">
        <v>85</v>
      </c>
      <c r="D265" s="495">
        <f>IF(C265="","",C265/(C265+$C$1/60))</f>
        <v/>
      </c>
      <c r="E265" s="95">
        <f>IFERROR(ROUND(1440/C265*2*D265,0),"")</f>
        <v/>
      </c>
      <c r="F265" s="96" t="n"/>
      <c r="G265" s="97" t="n"/>
      <c r="H265" s="74">
        <f>_xlfn.XLOOKUP(G265,I:I,J:J)</f>
        <v/>
      </c>
      <c r="I265" s="98" t="inlineStr">
        <is>
          <t>295/80R22.5-18PR-RF15</t>
        </is>
      </c>
      <c r="J265" s="99" t="n">
        <v>923.0711</v>
      </c>
      <c r="L265" s="77" t="inlineStr">
        <is>
          <t>295/80R22.5-CB919</t>
        </is>
      </c>
      <c r="M265" s="77" t="n">
        <v>2</v>
      </c>
    </row>
    <row r="266" customFormat="1" s="69">
      <c r="B266" s="92" t="inlineStr">
        <is>
          <t>11R22.5-16PR-VDM924</t>
        </is>
      </c>
      <c r="C266" s="93" t="n">
        <v>39</v>
      </c>
      <c r="D266" s="495">
        <f>IF(C266="","",C266/(C266+$C$1/60))</f>
        <v/>
      </c>
      <c r="E266" s="95">
        <f>IFERROR(ROUND(1440/C266*2*D266,0),"")</f>
        <v/>
      </c>
      <c r="F266" s="96" t="n"/>
      <c r="G266" s="97" t="n"/>
      <c r="H266" s="74">
        <f>_xlfn.XLOOKUP(G266,I:I,J:J)</f>
        <v/>
      </c>
      <c r="I266" s="98" t="inlineStr">
        <is>
          <t>295/80R22.5-18PR-CR906</t>
        </is>
      </c>
      <c r="J266" s="99" t="n">
        <v>981.9047</v>
      </c>
      <c r="L266" s="77" t="inlineStr">
        <is>
          <t>325/95R24-EZ865</t>
        </is>
      </c>
      <c r="M266" s="77" t="n">
        <v>2</v>
      </c>
    </row>
    <row r="267" customFormat="1" s="69">
      <c r="B267" s="92" t="inlineStr">
        <is>
          <t>11R22.5-16PR-AD600</t>
        </is>
      </c>
      <c r="C267" s="93" t="n">
        <v>38.5</v>
      </c>
      <c r="D267" s="495">
        <f>IF(C267="","",C267/(C267+$C$1/60))</f>
        <v/>
      </c>
      <c r="E267" s="95">
        <f>IFERROR(ROUND(1440/C267*2*D267,0),"")</f>
        <v/>
      </c>
      <c r="F267" s="96" t="n"/>
      <c r="G267" s="97" t="n"/>
      <c r="H267" s="74">
        <f>_xlfn.XLOOKUP(G267,I:I,J:J)</f>
        <v/>
      </c>
      <c r="I267" s="98" t="inlineStr">
        <is>
          <t>295/80R22.5-18PR-CB919</t>
        </is>
      </c>
      <c r="J267" s="99" t="n">
        <v>905.9773</v>
      </c>
      <c r="L267" s="77" t="inlineStr">
        <is>
          <t>325/95R24-EZ509</t>
        </is>
      </c>
      <c r="M267" s="77" t="n">
        <v>4</v>
      </c>
    </row>
    <row r="268" customFormat="1" s="69">
      <c r="B268" s="92" t="inlineStr">
        <is>
          <t>11R22.5-16PR-KOBE DPM</t>
        </is>
      </c>
      <c r="C268" s="93" t="n">
        <v>38</v>
      </c>
      <c r="D268" s="495">
        <f>IF(C268="","",C268/(C268+$C$1/60))</f>
        <v/>
      </c>
      <c r="E268" s="95">
        <f>IFERROR(ROUND(1440/C268*2*D268,0),"")</f>
        <v/>
      </c>
      <c r="F268" s="96" t="n"/>
      <c r="G268" s="97" t="n"/>
      <c r="H268" s="74">
        <f>_xlfn.XLOOKUP(G268,I:I,J:J)</f>
        <v/>
      </c>
      <c r="I268" s="98" t="inlineStr">
        <is>
          <t>295/75R22.5-16PR-I-61S</t>
        </is>
      </c>
      <c r="J268" s="99" t="n">
        <v>754.12</v>
      </c>
      <c r="L268" s="77" t="inlineStr">
        <is>
          <t>315/80R22.5-AZ170</t>
        </is>
      </c>
      <c r="M268" s="77" t="n">
        <v>2</v>
      </c>
    </row>
    <row r="269" customFormat="1" s="69">
      <c r="B269" s="92" t="inlineStr">
        <is>
          <t>11R22.5-16PR-VA991</t>
        </is>
      </c>
      <c r="C269" s="93" t="n">
        <v>38</v>
      </c>
      <c r="D269" s="495">
        <f>IF(C269="","",C269/(C269+$C$1/60))</f>
        <v/>
      </c>
      <c r="E269" s="95">
        <f>IFERROR(ROUND(1440/C269*2*D269,0),"")</f>
        <v/>
      </c>
      <c r="F269" s="96" t="n"/>
      <c r="G269" s="97" t="n"/>
      <c r="H269" s="74" t="n"/>
      <c r="I269" s="98" t="inlineStr">
        <is>
          <t>295/75R22.5-16PR-I-19A</t>
        </is>
      </c>
      <c r="J269" s="99" t="n">
        <v>745.928</v>
      </c>
      <c r="L269" s="77" t="inlineStr">
        <is>
          <t>275/80R22.5-AD818</t>
        </is>
      </c>
      <c r="M269" s="77" t="n">
        <v>2</v>
      </c>
    </row>
    <row r="270" customFormat="1" s="69">
      <c r="B270" s="92" t="inlineStr">
        <is>
          <t>11R22.5-16PR-VD908</t>
        </is>
      </c>
      <c r="C270" s="93" t="n">
        <v>46</v>
      </c>
      <c r="D270" s="495">
        <f>IF(C270="","",C270/(C270+$C$1/60))</f>
        <v/>
      </c>
      <c r="E270" s="95">
        <f>IFERROR(ROUND(1440/C270*2*D270,0),"")</f>
        <v/>
      </c>
      <c r="F270" s="96" t="n"/>
      <c r="G270" s="97" t="n"/>
      <c r="H270" s="74" t="n"/>
      <c r="I270" s="98" t="inlineStr">
        <is>
          <t>275/80R22.5-16PR-G-PRO MSD</t>
        </is>
      </c>
      <c r="J270" s="99" t="n">
        <v>819.7910000000001</v>
      </c>
      <c r="L270" s="77" t="inlineStr">
        <is>
          <t>11R22.5-AT194</t>
        </is>
      </c>
      <c r="M270" s="77" t="n">
        <v>4</v>
      </c>
    </row>
    <row r="271" customFormat="1" s="69">
      <c r="B271" s="92" t="inlineStr">
        <is>
          <t>11R22.5-16PR-VD998</t>
        </is>
      </c>
      <c r="C271" s="93" t="n">
        <v>46</v>
      </c>
      <c r="D271" s="495">
        <f>IF(C271="","",C271/(C271+$C$1/60))</f>
        <v/>
      </c>
      <c r="E271" s="95">
        <f>IFERROR(ROUND(1440/C271*2*D271,0),"")</f>
        <v/>
      </c>
      <c r="F271" s="96" t="n"/>
      <c r="G271" s="97" t="n"/>
      <c r="H271" s="74" t="n"/>
      <c r="I271" s="98" t="inlineStr">
        <is>
          <t>275/80R22.5-16PR-G-PERFORM S</t>
        </is>
      </c>
      <c r="J271" s="99" t="n">
        <v>763.4326</v>
      </c>
      <c r="L271" s="77" t="inlineStr">
        <is>
          <t>11R24.5-AT194</t>
        </is>
      </c>
      <c r="M271" s="77" t="n">
        <v>4</v>
      </c>
    </row>
    <row r="272" customFormat="1" s="69">
      <c r="B272" s="92" t="inlineStr">
        <is>
          <t>11R22.5-16PR-AS200</t>
        </is>
      </c>
      <c r="C272" s="93" t="n">
        <v>39</v>
      </c>
      <c r="D272" s="495">
        <f>IF(C272="","",C272/(C272+$C$1/60))</f>
        <v/>
      </c>
      <c r="E272" s="95">
        <f>IFERROR(ROUND(1440/C272*2*D272,0),"")</f>
        <v/>
      </c>
      <c r="F272" s="96" t="n"/>
      <c r="G272" s="97" t="n"/>
      <c r="H272" s="74" t="n"/>
      <c r="I272" s="98" t="inlineStr">
        <is>
          <t>275/80R22.5-16PR-G-PERFORM D</t>
        </is>
      </c>
      <c r="J272" s="99" t="n">
        <v>763.4326</v>
      </c>
      <c r="L272" s="77" t="inlineStr">
        <is>
          <t>295/75R22.5-AT194</t>
        </is>
      </c>
      <c r="M272" s="77" t="n">
        <v>4</v>
      </c>
    </row>
    <row r="273" customFormat="1" s="69">
      <c r="B273" s="92" t="inlineStr">
        <is>
          <t>11R22.5-16PR-KOBE APM</t>
        </is>
      </c>
      <c r="C273" s="93" t="n">
        <v>36</v>
      </c>
      <c r="D273" s="495">
        <f>IF(C273="","",C273/(C273+$C$1/60))</f>
        <v/>
      </c>
      <c r="E273" s="95">
        <f>IFERROR(ROUND(1440/C273*2*D273,0),"")</f>
        <v/>
      </c>
      <c r="F273" s="96" t="n"/>
      <c r="G273" s="97" t="n"/>
      <c r="H273" s="74" t="n"/>
      <c r="I273" s="98" t="inlineStr">
        <is>
          <t>255/70R22.5-16PR-I-19A</t>
        </is>
      </c>
      <c r="J273" s="99" t="n">
        <v>619.4690000000001</v>
      </c>
      <c r="L273" s="77" t="inlineStr">
        <is>
          <t>11R22.5-AD196</t>
        </is>
      </c>
      <c r="M273" s="77" t="n">
        <v>4</v>
      </c>
    </row>
    <row r="274" customFormat="1" s="69">
      <c r="B274" s="103" t="inlineStr">
        <is>
          <t>11R24.5-16PR-VDM924</t>
        </is>
      </c>
      <c r="C274" s="93" t="n">
        <v>44</v>
      </c>
      <c r="D274" s="495">
        <f>IF(C274="","",C274/(C274+$C$1/60))</f>
        <v/>
      </c>
      <c r="E274" s="95">
        <f>IFERROR(ROUND(1440/C274*2*D274,0),"")</f>
        <v/>
      </c>
      <c r="F274" s="96" t="n"/>
      <c r="G274" s="97" t="n"/>
      <c r="H274" s="74" t="n"/>
      <c r="I274" s="98" t="inlineStr">
        <is>
          <t>245/70R19.5-16PR-I-37D</t>
        </is>
      </c>
      <c r="J274" s="99" t="n">
        <v>539.3049999999999</v>
      </c>
      <c r="L274" s="77" t="inlineStr">
        <is>
          <t>11R24.5-AD196</t>
        </is>
      </c>
      <c r="M274" s="77" t="n">
        <v>4</v>
      </c>
    </row>
    <row r="275" customFormat="1" s="69">
      <c r="B275" s="92" t="inlineStr">
        <is>
          <t>11R24.5-16PR-AD600</t>
        </is>
      </c>
      <c r="C275" s="93" t="n">
        <v>44.5</v>
      </c>
      <c r="D275" s="495">
        <f>IF(C275="","",C275/(C275+$C$1/60))</f>
        <v/>
      </c>
      <c r="E275" s="95">
        <f>IFERROR(ROUND(1440/C275*2*D275,0),"")</f>
        <v/>
      </c>
      <c r="F275" s="96" t="n"/>
      <c r="G275" s="97" t="n"/>
      <c r="H275" s="74" t="n"/>
      <c r="I275" s="98" t="inlineStr">
        <is>
          <t>225/70R19.5-14PR-I-208</t>
        </is>
      </c>
      <c r="J275" s="99" t="n">
        <v>453.8415</v>
      </c>
      <c r="L275" s="77" t="inlineStr">
        <is>
          <t>295/75R22.5-AD196</t>
        </is>
      </c>
      <c r="M275" s="77" t="n">
        <v>4</v>
      </c>
    </row>
    <row r="276" customFormat="1" s="69">
      <c r="B276" s="92" t="inlineStr">
        <is>
          <t>11R24.5-16PR-KOBE APM</t>
        </is>
      </c>
      <c r="C276" s="93" t="n">
        <v>36</v>
      </c>
      <c r="D276" s="495">
        <f>IF(C276="","",C276/(C276+$C$1/60))</f>
        <v/>
      </c>
      <c r="E276" s="95">
        <f>IFERROR(ROUND(1440/C276*2*D276,0),"")</f>
        <v/>
      </c>
      <c r="F276" s="96" t="n"/>
      <c r="G276" s="97" t="n"/>
      <c r="H276" s="74" t="n"/>
      <c r="I276" s="98" t="inlineStr">
        <is>
          <t>215/75R17.5-18PR-ZA15</t>
        </is>
      </c>
      <c r="J276" s="99" t="n">
        <v>412.93</v>
      </c>
      <c r="L276" s="77" t="inlineStr">
        <is>
          <t>275/80R22.5-AS898</t>
        </is>
      </c>
      <c r="M276" s="77" t="n">
        <v>2</v>
      </c>
    </row>
    <row r="277" customFormat="1" s="69">
      <c r="B277" s="92" t="inlineStr">
        <is>
          <t>11R24.5-16PR-KOBE DPM</t>
        </is>
      </c>
      <c r="C277" s="93" t="n">
        <v>36</v>
      </c>
      <c r="D277" s="495">
        <f>IF(C277="","",C277/(C277+$C$1/60))</f>
        <v/>
      </c>
      <c r="E277" s="95">
        <f>IFERROR(ROUND(1440/C277*2*D277,0),"")</f>
        <v/>
      </c>
      <c r="F277" s="96" t="n"/>
      <c r="G277" s="97" t="n"/>
      <c r="H277" s="74" t="n"/>
      <c r="I277" s="98" t="inlineStr">
        <is>
          <t>12.00R24-20PR-TZ101</t>
        </is>
      </c>
      <c r="J277" s="99" t="n">
        <v>1172.1857</v>
      </c>
      <c r="L277" s="77" t="inlineStr">
        <is>
          <t>295/80R22.5-AD150</t>
        </is>
      </c>
      <c r="M277" s="77" t="n">
        <v>2</v>
      </c>
    </row>
    <row r="278" customFormat="1" s="69">
      <c r="B278" s="92" t="inlineStr">
        <is>
          <t>11R24.5-16PR-VA991</t>
        </is>
      </c>
      <c r="C278" s="93" t="n">
        <v>40</v>
      </c>
      <c r="D278" s="495">
        <f>IF(C278="","",C278/(C278+$C$1/60))</f>
        <v/>
      </c>
      <c r="E278" s="95">
        <f>IFERROR(ROUND(1440/C278*2*D278,0),"")</f>
        <v/>
      </c>
      <c r="F278" s="96" t="n"/>
      <c r="G278" s="97" t="n"/>
      <c r="H278" s="74" t="n"/>
      <c r="I278" s="98" t="inlineStr">
        <is>
          <t>12.00R24-20PR-I-301</t>
        </is>
      </c>
      <c r="J278" s="99" t="n">
        <v>1172.1857</v>
      </c>
      <c r="L278" s="77" t="inlineStr">
        <is>
          <t>295/75R22.5-AD600</t>
        </is>
      </c>
      <c r="M278" s="77" t="n">
        <v>6</v>
      </c>
    </row>
    <row r="279" customFormat="1" s="69">
      <c r="B279" s="92" t="inlineStr">
        <is>
          <t>11R24.5-16PR-VD908</t>
        </is>
      </c>
      <c r="C279" s="93" t="n">
        <v>46</v>
      </c>
      <c r="D279" s="495">
        <f>IF(C279="","",C279/(C279+$C$1/60))</f>
        <v/>
      </c>
      <c r="E279" s="95">
        <f>IFERROR(ROUND(1440/C279*2*D279,0),"")</f>
        <v/>
      </c>
      <c r="F279" s="96" t="n"/>
      <c r="G279" s="97" t="n"/>
      <c r="H279" s="74" t="n"/>
      <c r="I279" s="98" t="inlineStr">
        <is>
          <t>12.00R24-24PR-XC809</t>
        </is>
      </c>
      <c r="J279" s="99" t="n">
        <v>1172.1857</v>
      </c>
      <c r="L279" s="77" t="inlineStr">
        <is>
          <t>11R22.5-AD600</t>
        </is>
      </c>
      <c r="M279" s="77" t="n">
        <v>2</v>
      </c>
    </row>
    <row r="280" customFormat="1" s="69">
      <c r="B280" s="92" t="inlineStr">
        <is>
          <t>11R24.5-16PR-VD998</t>
        </is>
      </c>
      <c r="C280" s="93" t="n">
        <v>46</v>
      </c>
      <c r="D280" s="495">
        <f>IF(C280="","",C280/(C280+$C$1/60))</f>
        <v/>
      </c>
      <c r="E280" s="95">
        <f>IFERROR(ROUND(1440/C280*2*D280,0),"")</f>
        <v/>
      </c>
      <c r="F280" s="96" t="n"/>
      <c r="G280" s="97" t="n"/>
      <c r="H280" s="74" t="n"/>
      <c r="I280" s="98" t="inlineStr">
        <is>
          <t>11.00-20-18PR-CL969</t>
        </is>
      </c>
      <c r="J280" s="99" t="n">
        <v>903.9009139999999</v>
      </c>
      <c r="L280" s="77" t="inlineStr">
        <is>
          <t>11R24.5-AD600</t>
        </is>
      </c>
      <c r="M280" s="77" t="n">
        <v>2</v>
      </c>
    </row>
    <row r="281" customFormat="1" s="69">
      <c r="B281" s="92" t="inlineStr">
        <is>
          <t>11R24.5-16PR-VXD932</t>
        </is>
      </c>
      <c r="C281" s="93" t="n">
        <v>37</v>
      </c>
      <c r="D281" s="495">
        <f>IF(C281="","",C281/(C281+$C$1/60))</f>
        <v/>
      </c>
      <c r="E281" s="95">
        <f>IFERROR(ROUND(1440/C281*2*D281,0),"")</f>
        <v/>
      </c>
      <c r="F281" s="96" t="n"/>
      <c r="G281" s="97" t="n"/>
      <c r="H281" s="74" t="n"/>
      <c r="I281" s="98" t="inlineStr">
        <is>
          <t>10.00-20-14PR-CR918</t>
        </is>
      </c>
      <c r="J281" s="99" t="n">
        <v>523.059026</v>
      </c>
      <c r="L281" s="77" t="inlineStr">
        <is>
          <t>295/75R22.5-AS200</t>
        </is>
      </c>
      <c r="M281" s="77" t="n">
        <v>2</v>
      </c>
    </row>
    <row r="282" customFormat="1" s="69">
      <c r="B282" s="92" t="inlineStr">
        <is>
          <t>11R24.5-16PR-VA996</t>
        </is>
      </c>
      <c r="C282" s="93" t="n">
        <v>37</v>
      </c>
      <c r="D282" s="495">
        <f>IF(C282="","",C282/(C282+$C$1/60))</f>
        <v/>
      </c>
      <c r="E282" s="95">
        <f>IFERROR(ROUND(1440/C282*2*D282,0),"")</f>
        <v/>
      </c>
      <c r="F282" s="96" t="n"/>
      <c r="G282" s="97" t="n"/>
      <c r="H282" s="74" t="n"/>
      <c r="I282" s="98" t="inlineStr">
        <is>
          <t>4.80-12-6PR-SU201</t>
        </is>
      </c>
      <c r="J282" s="99" t="n">
        <v>66.460072</v>
      </c>
      <c r="L282" s="77" t="inlineStr">
        <is>
          <t>11R22.5-AS200</t>
        </is>
      </c>
      <c r="M282" s="77" t="n">
        <v>2</v>
      </c>
    </row>
    <row r="283" customFormat="1" s="69">
      <c r="B283" s="92" t="inlineStr">
        <is>
          <t>225/70R19.5-14PR-VD935</t>
        </is>
      </c>
      <c r="C283" s="93" t="n">
        <v>32.5</v>
      </c>
      <c r="D283" s="495">
        <f>IF(C283="","",C283/(C283+$C$1/60))</f>
        <v/>
      </c>
      <c r="E283" s="95">
        <f>IFERROR(ROUND(1440/C283*2*D283,0),"")</f>
        <v/>
      </c>
      <c r="F283" s="96" t="n"/>
      <c r="G283" s="97" t="n"/>
      <c r="H283" s="74" t="n"/>
      <c r="I283" s="98" t="inlineStr">
        <is>
          <t>20.5X8.0-10-10PR-SU202</t>
        </is>
      </c>
      <c r="J283" s="99" t="n">
        <v>145.1761</v>
      </c>
      <c r="L283" s="77" t="inlineStr">
        <is>
          <t>11R24.5-AS200</t>
        </is>
      </c>
      <c r="M283" s="77" t="n">
        <v>2</v>
      </c>
    </row>
    <row r="284" customFormat="1" s="69">
      <c r="B284" s="92" t="inlineStr">
        <is>
          <t>235/75R17.5-18PR-VA933</t>
        </is>
      </c>
      <c r="C284" s="93" t="n">
        <v>31</v>
      </c>
      <c r="D284" s="495">
        <f>IF(C284="","",C284/(C284+$C$1/60))</f>
        <v/>
      </c>
      <c r="E284" s="95">
        <f>IFERROR(ROUND(1440/C284*2*D284,0),"")</f>
        <v/>
      </c>
      <c r="F284" s="96" t="n"/>
      <c r="G284" s="97" t="n"/>
      <c r="H284" s="74" t="n"/>
      <c r="I284" s="98" t="inlineStr">
        <is>
          <t>23.5-25-24PR-T317</t>
        </is>
      </c>
      <c r="J284" s="99" t="n">
        <v>3079.530433</v>
      </c>
      <c r="L284" s="77" t="inlineStr">
        <is>
          <t>295/75R22.5-AT100</t>
        </is>
      </c>
      <c r="M284" s="77" t="n">
        <v>2</v>
      </c>
    </row>
    <row r="285" customFormat="1" s="69">
      <c r="B285" s="92" t="inlineStr">
        <is>
          <t>245/70R19.5-16PR-VD935</t>
        </is>
      </c>
      <c r="C285" s="93" t="n">
        <v>34.5</v>
      </c>
      <c r="D285" s="495">
        <f>IF(C285="","",C285/(C285+$C$1/60))</f>
        <v/>
      </c>
      <c r="E285" s="95">
        <f>IFERROR(ROUND(1440/C285*2*D285,0),"")</f>
        <v/>
      </c>
      <c r="F285" s="96" t="n"/>
      <c r="G285" s="97" t="n"/>
      <c r="H285" s="74" t="n"/>
      <c r="I285" s="98" t="inlineStr">
        <is>
          <t>23.5-25-24PR-EL37</t>
        </is>
      </c>
      <c r="J285" s="99" t="n">
        <v>3107.528634</v>
      </c>
      <c r="L285" s="77" t="inlineStr">
        <is>
          <t>295/75R22.5-AS201</t>
        </is>
      </c>
      <c r="M285" s="77" t="n">
        <v>2</v>
      </c>
    </row>
    <row r="286" customFormat="1" s="69">
      <c r="B286" s="92" t="inlineStr">
        <is>
          <t>265/70R19.5-18PR-VA933</t>
        </is>
      </c>
      <c r="C286" s="93" t="n">
        <v>36</v>
      </c>
      <c r="D286" s="495">
        <f>IF(C286="","",C286/(C286+$C$1/60))</f>
        <v/>
      </c>
      <c r="E286" s="95">
        <f>IFERROR(ROUND(1440/C286*2*D286,0),"")</f>
        <v/>
      </c>
      <c r="F286" s="96" t="n"/>
      <c r="G286" s="97" t="n"/>
      <c r="H286" s="74" t="n"/>
      <c r="I286" s="98" t="inlineStr">
        <is>
          <t>27 X 11.00-12-6PR-WL6A</t>
        </is>
      </c>
      <c r="J286" s="99" t="n">
        <v>163.204</v>
      </c>
      <c r="L286" s="77" t="inlineStr">
        <is>
          <t>295/75R22.5-PD211</t>
        </is>
      </c>
      <c r="M286" s="77" t="n">
        <v>6</v>
      </c>
    </row>
    <row r="287" customFormat="1" s="69">
      <c r="B287" s="92" t="inlineStr">
        <is>
          <t>275/80R22.5-16PR-G-PERFORM D</t>
        </is>
      </c>
      <c r="C287" s="93" t="n">
        <v>40</v>
      </c>
      <c r="D287" s="495">
        <f>IF(C287="","",C287/(C287+$C$1/60))</f>
        <v/>
      </c>
      <c r="E287" s="95">
        <f>IFERROR(ROUND(1440/C287*2*D287,0),"")</f>
        <v/>
      </c>
      <c r="F287" s="96" t="n"/>
      <c r="G287" s="97" t="n"/>
      <c r="H287" s="74" t="n"/>
      <c r="I287" s="98" t="inlineStr">
        <is>
          <t>27 X 9.00-12-6PR-WL6A</t>
        </is>
      </c>
      <c r="J287" s="99" t="n">
        <v>141.2394</v>
      </c>
      <c r="L287" s="77" t="inlineStr">
        <is>
          <t>11R22.5-PD211</t>
        </is>
      </c>
      <c r="M287" s="77" t="n">
        <v>2</v>
      </c>
    </row>
    <row r="288" customFormat="1" s="69">
      <c r="B288" s="92" t="inlineStr">
        <is>
          <t>275/80R22.5-16PR-BMAO3 ECO</t>
        </is>
      </c>
      <c r="C288" s="93" t="n">
        <v>42</v>
      </c>
      <c r="D288" s="495">
        <f>IF(C288="","",C288/(C288+$C$1/60))</f>
        <v/>
      </c>
      <c r="E288" s="95">
        <f>IFERROR(ROUND(1440/C288*2*D288,0),"")</f>
        <v/>
      </c>
      <c r="F288" s="96" t="n"/>
      <c r="G288" s="97" t="n"/>
      <c r="H288" s="74" t="n"/>
      <c r="I288" s="98" t="inlineStr">
        <is>
          <t>25 X 10-12-6PR-WL6A</t>
        </is>
      </c>
      <c r="J288" s="99" t="n">
        <v>147.700063</v>
      </c>
      <c r="L288" s="77" t="inlineStr">
        <is>
          <t>11R24.5-PD211</t>
        </is>
      </c>
      <c r="M288" s="77" t="n">
        <v>2</v>
      </c>
    </row>
    <row r="289" customFormat="1" s="69">
      <c r="B289" s="92" t="inlineStr">
        <is>
          <t>275/80R22.5-16PR-BRAO4</t>
        </is>
      </c>
      <c r="C289" s="93" t="n">
        <v>35</v>
      </c>
      <c r="D289" s="495">
        <f>IF(C289="","",C289/(C289+$C$1/60))</f>
        <v/>
      </c>
      <c r="E289" s="95">
        <f>IFERROR(ROUND(1440/C289*2*D289,0),"")</f>
        <v/>
      </c>
      <c r="F289" s="96" t="n"/>
      <c r="G289" s="97" t="n"/>
      <c r="H289" s="74" t="n"/>
      <c r="I289" s="98" t="inlineStr">
        <is>
          <t>25 X 8-12-6PR-WL6A</t>
        </is>
      </c>
      <c r="J289" s="99" t="n">
        <v>134.13442</v>
      </c>
      <c r="L289" s="77" t="inlineStr">
        <is>
          <t>295/75R22.5-PS221</t>
        </is>
      </c>
      <c r="M289" s="77" t="n">
        <v>2</v>
      </c>
    </row>
    <row r="290" customFormat="1" s="69">
      <c r="B290" s="92" t="inlineStr">
        <is>
          <t>275/80R22.5-16PR-G-PRO MSD</t>
        </is>
      </c>
      <c r="C290" s="93" t="n">
        <v>40</v>
      </c>
      <c r="D290" s="495">
        <f>IF(C290="","",C290/(C290+$C$1/60))</f>
        <v/>
      </c>
      <c r="E290" s="95">
        <f>IFERROR(ROUND(1440/C290*2*D290,0),"")</f>
        <v/>
      </c>
      <c r="F290" s="96" t="n"/>
      <c r="G290" s="97" t="n"/>
      <c r="H290" s="74" t="n"/>
      <c r="I290" s="98" t="inlineStr">
        <is>
          <t>25 X 10-12-6PR-AT12</t>
        </is>
      </c>
      <c r="J290" s="99" t="n">
        <v>144.265366</v>
      </c>
      <c r="L290" s="77" t="inlineStr">
        <is>
          <t>11R22.5-PS221</t>
        </is>
      </c>
      <c r="M290" s="77" t="n">
        <v>2</v>
      </c>
    </row>
    <row r="291" customFormat="1" s="69">
      <c r="B291" s="92" t="inlineStr">
        <is>
          <t>285/75R24.5-16PR-VA996</t>
        </is>
      </c>
      <c r="C291" s="93" t="n">
        <v>40</v>
      </c>
      <c r="D291" s="495">
        <f>IF(C291="","",C291/(C291+$C$1/60))</f>
        <v/>
      </c>
      <c r="E291" s="95">
        <f>IFERROR(ROUND(1440/C291*2*D291,0),"")</f>
        <v/>
      </c>
      <c r="F291" s="96" t="n"/>
      <c r="G291" s="97" t="n"/>
      <c r="H291" s="74" t="n"/>
      <c r="I291" s="98" t="inlineStr">
        <is>
          <t>25 X 8-12-6PR-AT12</t>
        </is>
      </c>
      <c r="J291" s="99" t="n">
        <v>122.307248</v>
      </c>
      <c r="L291" s="77" t="inlineStr">
        <is>
          <t>11R24.5-PS221</t>
        </is>
      </c>
      <c r="M291" s="77" t="n">
        <v>2</v>
      </c>
    </row>
    <row r="292" customFormat="1" s="69">
      <c r="B292" s="92" t="inlineStr">
        <is>
          <t>285/75R24.5-16PR-VD998</t>
        </is>
      </c>
      <c r="C292" s="93" t="n">
        <v>42</v>
      </c>
      <c r="D292" s="495">
        <f>IF(C292="","",C292/(C292+$C$1/60))</f>
        <v/>
      </c>
      <c r="E292" s="95">
        <f>IFERROR(ROUND(1440/C292*2*D292,0),"")</f>
        <v/>
      </c>
      <c r="F292" s="96" t="n"/>
      <c r="G292" s="97" t="n"/>
      <c r="H292" s="74" t="n"/>
      <c r="I292" s="98" t="inlineStr">
        <is>
          <t>ST205/75R14-6PR-ST226</t>
        </is>
      </c>
      <c r="J292" s="99" t="n"/>
      <c r="L292" s="77" t="inlineStr">
        <is>
          <t>295/75R22.5-PT101</t>
        </is>
      </c>
      <c r="M292" s="77" t="n">
        <v>2</v>
      </c>
    </row>
    <row r="293" customFormat="1" s="69">
      <c r="B293" s="92" t="inlineStr">
        <is>
          <t>295/75R22.5-16PR-AD600</t>
        </is>
      </c>
      <c r="C293" s="93" t="n">
        <v>43.5</v>
      </c>
      <c r="D293" s="495">
        <f>IF(C293="","",C293/(C293+$C$1/60))</f>
        <v/>
      </c>
      <c r="E293" s="95">
        <f>IFERROR(ROUND(1440/C293*2*D293,0),"")</f>
        <v/>
      </c>
      <c r="F293" s="96" t="n"/>
      <c r="G293" s="97" t="n"/>
      <c r="H293" s="74" t="n"/>
      <c r="I293" s="98" t="inlineStr">
        <is>
          <t>11R22.5-14PR-I-48T</t>
        </is>
      </c>
      <c r="J293" s="104" t="n">
        <v>709.66</v>
      </c>
      <c r="L293" s="77" t="inlineStr">
        <is>
          <t>295/75R22.5-PS210</t>
        </is>
      </c>
      <c r="M293" s="77" t="n">
        <v>2</v>
      </c>
    </row>
    <row r="294" customFormat="1" s="69">
      <c r="B294" s="92" t="inlineStr">
        <is>
          <t>295/75R22.5-16PR-KOBE APM</t>
        </is>
      </c>
      <c r="C294" s="93" t="n">
        <v>36</v>
      </c>
      <c r="D294" s="495">
        <f>IF(C294="","",C294/(C294+$C$1/60))</f>
        <v/>
      </c>
      <c r="E294" s="95">
        <f>IFERROR(ROUND(1440/C294*2*D294,0),"")</f>
        <v/>
      </c>
      <c r="F294" s="96" t="n"/>
      <c r="G294" s="97" t="n"/>
      <c r="H294" s="74" t="n"/>
      <c r="I294" s="98" t="inlineStr">
        <is>
          <t>11R22.5-16PR-HCC1 Plus</t>
        </is>
      </c>
      <c r="J294" s="99" t="n">
        <v>789.917002</v>
      </c>
      <c r="L294" s="77" t="inlineStr">
        <is>
          <t>12.00R24-EZ309</t>
        </is>
      </c>
      <c r="M294" s="77" t="n">
        <v>8</v>
      </c>
    </row>
    <row r="295" customFormat="1" s="69">
      <c r="B295" s="92" t="inlineStr">
        <is>
          <t>295/75R22.5-16PR-KOBE DPM</t>
        </is>
      </c>
      <c r="C295" s="93" t="n">
        <v>36</v>
      </c>
      <c r="D295" s="495">
        <f>IF(C295="","",C295/(C295+$C$1/60))</f>
        <v/>
      </c>
      <c r="E295" s="95">
        <f>IFERROR(ROUND(1440/C295*2*D295,0),"")</f>
        <v/>
      </c>
      <c r="F295" s="96" t="n"/>
      <c r="G295" s="97" t="n"/>
      <c r="H295" s="74" t="n"/>
      <c r="I295" s="98" t="inlineStr">
        <is>
          <t>11R22.5-16PR-HD2 Plus</t>
        </is>
      </c>
      <c r="J295" s="99" t="n">
        <v>826.4206</v>
      </c>
      <c r="L295" s="77" t="inlineStr">
        <is>
          <t>275/80R22.5-MD777</t>
        </is>
      </c>
      <c r="M295" s="77" t="n">
        <v>2</v>
      </c>
    </row>
    <row r="296" customFormat="1" s="69">
      <c r="B296" s="92" t="inlineStr">
        <is>
          <t>295/75R22.5-16PR-VD998</t>
        </is>
      </c>
      <c r="C296" s="93" t="n">
        <v>46</v>
      </c>
      <c r="D296" s="495">
        <f>IF(C296="","",C296/(C296+$C$1/60))</f>
        <v/>
      </c>
      <c r="E296" s="95">
        <f>IFERROR(ROUND(1440/C296*2*D296,0),"")</f>
        <v/>
      </c>
      <c r="F296" s="96" t="n"/>
      <c r="G296" s="97" t="n"/>
      <c r="H296" s="74" t="n"/>
      <c r="I296" s="98" t="inlineStr">
        <is>
          <t>11R22.5-16PR-KOBE DPM</t>
        </is>
      </c>
      <c r="J296" s="99" t="n">
        <v>743.9640000000001</v>
      </c>
      <c r="L296" s="77" t="inlineStr">
        <is>
          <t>11R22.5-AD184</t>
        </is>
      </c>
      <c r="M296" s="77" t="n">
        <v>2</v>
      </c>
    </row>
    <row r="297" customFormat="1" s="69">
      <c r="B297" s="92" t="inlineStr">
        <is>
          <t>295/75R22.5-16PR-VXD932</t>
        </is>
      </c>
      <c r="C297" s="93" t="n">
        <v>43.5</v>
      </c>
      <c r="D297" s="495">
        <f>IF(C297="","",C297/(C297+$C$1/60))</f>
        <v/>
      </c>
      <c r="E297" s="95">
        <f>IFERROR(ROUND(1440/C297*2*D297,0),"")</f>
        <v/>
      </c>
      <c r="F297" s="96" t="n"/>
      <c r="G297" s="97" t="n"/>
      <c r="H297" s="74" t="n"/>
      <c r="I297" s="98" t="inlineStr">
        <is>
          <t>11R22.5-16PR-KOBE APM</t>
        </is>
      </c>
      <c r="J297" s="99" t="n">
        <v>651.918</v>
      </c>
      <c r="L297" s="77" t="inlineStr">
        <is>
          <t>295/75R22.5-AD184</t>
        </is>
      </c>
      <c r="M297" s="77" t="n">
        <v>2</v>
      </c>
    </row>
    <row r="298" customFormat="1" s="69">
      <c r="B298" s="92" t="inlineStr">
        <is>
          <t>295/75R22.5-16PR-AS200</t>
        </is>
      </c>
      <c r="C298" s="93" t="n">
        <v>39</v>
      </c>
      <c r="D298" s="495">
        <f>IF(C298="","",C298/(C298+$C$1/60))</f>
        <v/>
      </c>
      <c r="E298" s="95">
        <f>IFERROR(ROUND(1440/C298*2*D298,0),"")</f>
        <v/>
      </c>
      <c r="F298" s="96" t="n"/>
      <c r="G298" s="97" t="n"/>
      <c r="H298" s="74" t="n"/>
      <c r="I298" s="98" t="inlineStr">
        <is>
          <t>11R22.5-16PR-AZ599</t>
        </is>
      </c>
      <c r="J298" s="99" t="n">
        <v>752.7142</v>
      </c>
      <c r="L298" s="77" t="inlineStr">
        <is>
          <t>11R24.5-AD184</t>
        </is>
      </c>
      <c r="M298" s="77" t="n">
        <v>2</v>
      </c>
    </row>
    <row r="299" customFormat="1" s="69">
      <c r="B299" s="92" t="inlineStr">
        <is>
          <t>295/75R22.5-16PR-AS201</t>
        </is>
      </c>
      <c r="C299" s="93" t="n">
        <v>39</v>
      </c>
      <c r="D299" s="495">
        <f>IF(C299="","",C299/(C299+$C$1/60))</f>
        <v/>
      </c>
      <c r="E299" s="95">
        <f>IFERROR(ROUND(1440/C299*2*D299,0),"")</f>
        <v/>
      </c>
      <c r="F299" s="96" t="n"/>
      <c r="G299" s="97" t="n"/>
      <c r="H299" s="74" t="n"/>
      <c r="I299" s="98" t="inlineStr">
        <is>
          <t>11R22.5-16PR-HD1 Plus</t>
        </is>
      </c>
      <c r="J299" s="99" t="n">
        <v>788.899552</v>
      </c>
      <c r="L299" s="77" t="inlineStr">
        <is>
          <t>11R22.5-AT115</t>
        </is>
      </c>
      <c r="M299" s="77" t="n">
        <v>4</v>
      </c>
    </row>
    <row r="300" customFormat="1" s="69">
      <c r="B300" s="92" t="inlineStr">
        <is>
          <t>295/75R22.5-16PR-AT100</t>
        </is>
      </c>
      <c r="C300" s="93" t="n">
        <v>33.5</v>
      </c>
      <c r="D300" s="495">
        <f>IF(C300="","",C300/(C300+$C$1/60))</f>
        <v/>
      </c>
      <c r="E300" s="95">
        <f>IFERROR(ROUND(1440/C300*2*D300,0),"")</f>
        <v/>
      </c>
      <c r="F300" s="96" t="n"/>
      <c r="G300" s="97" t="n"/>
      <c r="H300" s="74" t="n"/>
      <c r="I300" s="98" t="inlineStr">
        <is>
          <t>11R22.5-16PR-HF1 Plus</t>
        </is>
      </c>
      <c r="J300" s="99" t="n">
        <v>752.7142</v>
      </c>
      <c r="L300" s="77" t="inlineStr">
        <is>
          <t>315/80R22.5-AZ126T</t>
        </is>
      </c>
      <c r="M300" s="77" t="n">
        <v>4</v>
      </c>
    </row>
    <row r="301" customFormat="1" s="69">
      <c r="B301" s="92" t="inlineStr">
        <is>
          <t>295/75R22.5-16PR-KOBE TPM</t>
        </is>
      </c>
      <c r="C301" s="93" t="n">
        <v>36</v>
      </c>
      <c r="D301" s="495">
        <f>IF(C301="","",C301/(C301+$C$1/60))</f>
        <v/>
      </c>
      <c r="E301" s="95">
        <f>IFERROR(ROUND(1440/C301*2*D301,0),"")</f>
        <v/>
      </c>
      <c r="F301" s="96" t="n"/>
      <c r="G301" s="97" t="n"/>
      <c r="H301" s="74" t="n"/>
      <c r="I301" s="98" t="inlineStr">
        <is>
          <t>11R22.5-16PR-I-37D</t>
        </is>
      </c>
      <c r="J301" s="99" t="n">
        <v>823.8869999999999</v>
      </c>
      <c r="L301" s="77" t="inlineStr">
        <is>
          <t>11R22.5-AZ126T+</t>
        </is>
      </c>
      <c r="M301" s="77" t="n">
        <v>4</v>
      </c>
    </row>
    <row r="302" customFormat="1" s="69">
      <c r="B302" s="92" t="inlineStr">
        <is>
          <t>295/80R22.5-18PR-CB919</t>
        </is>
      </c>
      <c r="C302" s="93" t="n">
        <v>44</v>
      </c>
      <c r="D302" s="495">
        <f>IF(C302="","",C302/(C302+$C$1/60))</f>
        <v/>
      </c>
      <c r="E302" s="95">
        <f>IFERROR(ROUND(1440/C302*2*D302,0),"")</f>
        <v/>
      </c>
      <c r="F302" s="96" t="n"/>
      <c r="G302" s="97" t="n"/>
      <c r="H302" s="74" t="n"/>
      <c r="I302" s="98" t="inlineStr">
        <is>
          <t>11R22.5-16PR-M-TRAC AP</t>
        </is>
      </c>
      <c r="J302" s="99" t="n">
        <v>752.441046</v>
      </c>
      <c r="L302" s="77" t="inlineStr">
        <is>
          <t>11R24.5-AZ126T+</t>
        </is>
      </c>
      <c r="M302" s="77" t="n">
        <v>4</v>
      </c>
    </row>
    <row r="303" customFormat="1" s="69">
      <c r="B303" s="92" t="inlineStr">
        <is>
          <t>295/80R22.5-18PR-AZ126T</t>
        </is>
      </c>
      <c r="C303" s="93" t="n">
        <v>36.5</v>
      </c>
      <c r="D303" s="495">
        <f>IF(C303="","",C303/(C303+$C$1/60))</f>
        <v/>
      </c>
      <c r="E303" s="95">
        <f>IFERROR(ROUND(1440/C303*2*D303,0),"")</f>
        <v/>
      </c>
      <c r="F303" s="96" t="n"/>
      <c r="G303" s="97" t="n"/>
      <c r="H303" s="74" t="n"/>
      <c r="I303" s="98" t="inlineStr">
        <is>
          <t>11R22.5-16PR-M TRAC CSD</t>
        </is>
      </c>
      <c r="J303" s="99" t="n">
        <v>788.899552</v>
      </c>
      <c r="L303" s="77" t="inlineStr">
        <is>
          <t>11R22.5-AT167</t>
        </is>
      </c>
      <c r="M303" s="77" t="n">
        <v>2</v>
      </c>
    </row>
    <row r="304" customFormat="1" s="69">
      <c r="B304" s="92" t="inlineStr">
        <is>
          <t>295/80R22.5-18PR-AS567</t>
        </is>
      </c>
      <c r="C304" s="93" t="n">
        <v>37</v>
      </c>
      <c r="D304" s="495">
        <f>IF(C304="","",C304/(C304+$C$1/60))</f>
        <v/>
      </c>
      <c r="E304" s="95">
        <f>IFERROR(ROUND(1440/C304*2*D304,0),"")</f>
        <v/>
      </c>
      <c r="F304" s="96" t="n"/>
      <c r="G304" s="97" t="n"/>
      <c r="H304" s="74" t="n"/>
      <c r="I304" s="98" t="inlineStr">
        <is>
          <t>11R22.5-16PR-VDM924</t>
        </is>
      </c>
      <c r="J304" s="99" t="n">
        <v>826.4206</v>
      </c>
      <c r="L304" s="77" t="inlineStr">
        <is>
          <t>295/75R22.5-AT167</t>
        </is>
      </c>
      <c r="M304" s="77" t="n">
        <v>4</v>
      </c>
    </row>
    <row r="305" customFormat="1" s="69">
      <c r="B305" s="92" t="inlineStr">
        <is>
          <t>295/80R22.5-18PR-RF35</t>
        </is>
      </c>
      <c r="C305" s="93" t="n">
        <v>38</v>
      </c>
      <c r="D305" s="495">
        <f>IF(C305="","",C305/(C305+$C$1/60))</f>
        <v/>
      </c>
      <c r="E305" s="95">
        <f>IFERROR(ROUND(1440/C305*2*D305,0),"")</f>
        <v/>
      </c>
      <c r="F305" s="96" t="n"/>
      <c r="G305" s="97" t="n"/>
      <c r="H305" s="74" t="n"/>
      <c r="I305" s="98" t="inlineStr">
        <is>
          <t>11R22.5-16PR-VA991</t>
        </is>
      </c>
      <c r="J305" s="99" t="n">
        <v>826.4206</v>
      </c>
      <c r="L305" s="77" t="inlineStr">
        <is>
          <t>11R24.5-AT167</t>
        </is>
      </c>
      <c r="M305" s="77" t="n">
        <v>2</v>
      </c>
    </row>
    <row r="306" customFormat="1" s="69">
      <c r="B306" s="92" t="inlineStr">
        <is>
          <t>315/80R22.5-20PR-VDM924</t>
        </is>
      </c>
      <c r="C306" s="93" t="n">
        <v>48</v>
      </c>
      <c r="D306" s="495">
        <f>IF(C306="","",C306/(C306+$C$1/60))</f>
        <v/>
      </c>
      <c r="E306" s="95">
        <f>IFERROR(ROUND(1440/C306*2*D306,0),"")</f>
        <v/>
      </c>
      <c r="F306" s="96" t="n"/>
      <c r="G306" s="97" t="n"/>
      <c r="H306" s="74" t="n"/>
      <c r="I306" s="98" t="inlineStr">
        <is>
          <t>11R22.5-16PR-VD908</t>
        </is>
      </c>
      <c r="J306" s="99" t="n">
        <v>826.4206</v>
      </c>
      <c r="L306" s="77" t="inlineStr">
        <is>
          <t>11R22.5-AD178</t>
        </is>
      </c>
      <c r="M306" s="77" t="n">
        <v>2</v>
      </c>
    </row>
    <row r="307" customFormat="1" s="69">
      <c r="B307" s="92" t="inlineStr">
        <is>
          <t>315/80R22.5-20PR-VA996</t>
        </is>
      </c>
      <c r="C307" s="93" t="n">
        <v>42</v>
      </c>
      <c r="D307" s="495">
        <f>IF(C307="","",C307/(C307+$C$1/60))</f>
        <v/>
      </c>
      <c r="E307" s="95">
        <f>IFERROR(ROUND(1440/C307*2*D307,0),"")</f>
        <v/>
      </c>
      <c r="F307" s="96" t="n"/>
      <c r="G307" s="97" t="n"/>
      <c r="H307" s="74" t="n"/>
      <c r="I307" s="98" t="inlineStr">
        <is>
          <t>11R22.5-16PR-VD998</t>
        </is>
      </c>
      <c r="J307" s="99" t="n">
        <v>826.4206</v>
      </c>
      <c r="L307" s="77" t="inlineStr">
        <is>
          <t>295/75R22.5-AD178</t>
        </is>
      </c>
      <c r="M307" s="77" t="n">
        <v>4</v>
      </c>
    </row>
    <row r="308" customFormat="1" s="69">
      <c r="B308" s="92" t="inlineStr">
        <is>
          <t>325/95R24-22PR-CB972</t>
        </is>
      </c>
      <c r="C308" s="93" t="n">
        <v>51.5</v>
      </c>
      <c r="D308" s="495">
        <f>IF(C308="","",C308/(C308+$C$1/60))</f>
        <v/>
      </c>
      <c r="E308" s="95">
        <f>IFERROR(ROUND(1440/C308*2*D308,0),"")</f>
        <v/>
      </c>
      <c r="F308" s="96" t="n"/>
      <c r="G308" s="97" t="n"/>
      <c r="H308" s="74" t="n"/>
      <c r="I308" s="98" t="inlineStr">
        <is>
          <t>295/75R22.5-16PR-VD998</t>
        </is>
      </c>
      <c r="J308" s="99" t="n"/>
      <c r="L308" s="77" t="inlineStr">
        <is>
          <t>11R24.5-AD178</t>
        </is>
      </c>
      <c r="M308" s="77" t="n">
        <v>2</v>
      </c>
    </row>
    <row r="309" customFormat="1" s="69">
      <c r="B309" s="92" t="inlineStr">
        <is>
          <t>385/65R22.5-20PR-VA916</t>
        </is>
      </c>
      <c r="C309" s="93" t="n">
        <v>47</v>
      </c>
      <c r="D309" s="495">
        <f>IF(C309="","",C309/(C309+$C$1/60))</f>
        <v/>
      </c>
      <c r="E309" s="95">
        <f>IFERROR(ROUND(1440/C309*2*D309,0),"")</f>
        <v/>
      </c>
      <c r="F309" s="96" t="n"/>
      <c r="G309" s="97" t="n"/>
      <c r="H309" s="74" t="n"/>
      <c r="I309" s="98" t="inlineStr">
        <is>
          <t>295/75R22.5-16PR-VXD932</t>
        </is>
      </c>
      <c r="J309" s="99" t="n"/>
      <c r="L309" s="77" t="inlineStr">
        <is>
          <t>295/75R22.5-AT115</t>
        </is>
      </c>
      <c r="M309" s="77" t="n">
        <v>4</v>
      </c>
    </row>
    <row r="310" customFormat="1" s="69">
      <c r="B310" s="92" t="inlineStr">
        <is>
          <t>425/65R22.5-20PR-VA916</t>
        </is>
      </c>
      <c r="C310" s="93" t="n">
        <v>55</v>
      </c>
      <c r="D310" s="495">
        <f>IF(C310="","",C310/(C310+$C$1/60))</f>
        <v/>
      </c>
      <c r="E310" s="95">
        <f>IFERROR(ROUND(1440/C310*2*D310,0),"")</f>
        <v/>
      </c>
      <c r="F310" s="96" t="n"/>
      <c r="G310" s="97" t="n"/>
      <c r="H310" s="74" t="n"/>
      <c r="I310" s="98" t="inlineStr">
        <is>
          <t>295/75R22.5-16PR-VT993</t>
        </is>
      </c>
      <c r="J310" s="99" t="n"/>
      <c r="L310" s="77" t="inlineStr">
        <is>
          <t>225/70R19.5-AZ692</t>
        </is>
      </c>
      <c r="M310" s="77" t="n">
        <v>2</v>
      </c>
    </row>
    <row r="311" customFormat="1" s="69">
      <c r="B311" s="92" t="inlineStr">
        <is>
          <t>445/50R22.5-20PR-VA905</t>
        </is>
      </c>
      <c r="C311" s="93" t="n">
        <v>58</v>
      </c>
      <c r="D311" s="495">
        <f>IF(C311="","",C311/(C311+$C$1/60))</f>
        <v/>
      </c>
      <c r="E311" s="95">
        <f>IFERROR(ROUND(1440/C311*2*D311,0),"")</f>
        <v/>
      </c>
      <c r="F311" s="96" t="n"/>
      <c r="G311" s="97" t="n"/>
      <c r="H311" s="74" t="n"/>
      <c r="I311" s="98" t="inlineStr">
        <is>
          <t>295/75R22.5-14PR-HD1 Plus</t>
        </is>
      </c>
      <c r="J311" s="99" t="n"/>
      <c r="L311" s="77" t="inlineStr">
        <is>
          <t>275/70R22.5-AZ692</t>
        </is>
      </c>
      <c r="M311" s="77" t="n">
        <v>2</v>
      </c>
    </row>
    <row r="312" customFormat="1" s="69">
      <c r="B312" s="92" t="inlineStr">
        <is>
          <t>10.00R20-18PR-TZ101</t>
        </is>
      </c>
      <c r="C312" s="93" t="n">
        <v>47.5</v>
      </c>
      <c r="D312" s="495">
        <f>IF(C312="","",C312/(C312+$C$1/60))</f>
        <v/>
      </c>
      <c r="E312" s="95">
        <f>IFERROR(ROUND(1440/C312*2*D312,0),"")</f>
        <v/>
      </c>
      <c r="F312" s="96" t="n"/>
      <c r="G312" s="97" t="n"/>
      <c r="H312" s="74" t="n"/>
      <c r="I312" s="98" t="inlineStr">
        <is>
          <t>295/75R22.5-14PR-HF1 Plus</t>
        </is>
      </c>
      <c r="J312" s="99" t="n"/>
      <c r="L312" s="77" t="inlineStr">
        <is>
          <t>11R22.5-AZ692</t>
        </is>
      </c>
      <c r="M312" s="77" t="n">
        <v>2</v>
      </c>
    </row>
    <row r="313" customFormat="1" s="69">
      <c r="B313" s="92" t="inlineStr">
        <is>
          <t>10.00R20-18PR-TZ202</t>
        </is>
      </c>
      <c r="C313" s="93" t="n">
        <v>39</v>
      </c>
      <c r="D313" s="495">
        <f>IF(C313="","",C313/(C313+$C$1/60))</f>
        <v/>
      </c>
      <c r="E313" s="95">
        <f>IFERROR(ROUND(1440/C313*2*D313,0),"")</f>
        <v/>
      </c>
      <c r="F313" s="96" t="n"/>
      <c r="G313" s="97" t="n"/>
      <c r="H313" s="74" t="n"/>
      <c r="I313" s="98" t="inlineStr">
        <is>
          <t>295/75R22.5-14PR-I-37D</t>
        </is>
      </c>
      <c r="J313" s="99" t="n"/>
      <c r="L313" s="77" t="inlineStr">
        <is>
          <t>11R24.5-AZ692</t>
        </is>
      </c>
      <c r="M313" s="77" t="n">
        <v>2</v>
      </c>
    </row>
    <row r="314" customFormat="1" s="69">
      <c r="B314" s="92" t="inlineStr">
        <is>
          <t>10.00R20-18PR-SUPER AM S</t>
        </is>
      </c>
      <c r="C314" s="93" t="n">
        <v>41</v>
      </c>
      <c r="D314" s="495">
        <f>IF(C314="","",C314/(C314+$C$1/60))</f>
        <v/>
      </c>
      <c r="E314" s="95">
        <f>IFERROR(ROUND(1440/C314*2*D314,0),"")</f>
        <v/>
      </c>
      <c r="F314" s="96" t="n"/>
      <c r="G314" s="97" t="n"/>
      <c r="H314" s="74" t="n"/>
      <c r="I314" s="98" t="inlineStr">
        <is>
          <t>295/75R22.5-16PR-HF1 Plus</t>
        </is>
      </c>
      <c r="J314" s="99" t="n"/>
      <c r="L314" s="77" t="inlineStr">
        <is>
          <t>315/80R22.5-AZ692</t>
        </is>
      </c>
      <c r="M314" s="77" t="n">
        <v>2</v>
      </c>
    </row>
    <row r="315" customFormat="1" s="69">
      <c r="B315" s="92" t="inlineStr">
        <is>
          <t>11.00R20-18PR-TZ101</t>
        </is>
      </c>
      <c r="C315" s="93" t="n">
        <v>48.5</v>
      </c>
      <c r="D315" s="495">
        <f>IF(C315="","",C315/(C315+$C$1/60))</f>
        <v/>
      </c>
      <c r="E315" s="95">
        <f>IFERROR(ROUND(1440/C315*2*D315,0),"")</f>
        <v/>
      </c>
      <c r="F315" s="96" t="n"/>
      <c r="G315" s="97" t="n"/>
      <c r="H315" s="74" t="n"/>
      <c r="I315" s="98" t="inlineStr">
        <is>
          <t>295/75R22.5-16PR-KOBE APM</t>
        </is>
      </c>
      <c r="J315" s="99" t="n"/>
      <c r="L315" s="77" t="inlineStr">
        <is>
          <t>285/70R19.5-CM986</t>
        </is>
      </c>
      <c r="M315" s="77" t="n">
        <v>2</v>
      </c>
    </row>
    <row r="316" customFormat="1" s="69">
      <c r="B316" s="92" t="inlineStr">
        <is>
          <t>11.00R20-18PR-TZ202</t>
        </is>
      </c>
      <c r="C316" s="93" t="n">
        <v>44</v>
      </c>
      <c r="D316" s="495">
        <f>IF(C316="","",C316/(C316+$C$1/60))</f>
        <v/>
      </c>
      <c r="E316" s="95">
        <f>IFERROR(ROUND(1440/C316*2*D316,0),"")</f>
        <v/>
      </c>
      <c r="F316" s="96" t="n"/>
      <c r="G316" s="97" t="n"/>
      <c r="H316" s="74" t="n"/>
      <c r="I316" s="98" t="inlineStr">
        <is>
          <t>295/75R22.5-16PR-KOBE DPM</t>
        </is>
      </c>
      <c r="J316" s="99" t="n"/>
      <c r="L316" s="77" t="inlineStr">
        <is>
          <t>235/75R17.5-CM986</t>
        </is>
      </c>
      <c r="M316" s="77" t="n">
        <v>2</v>
      </c>
    </row>
    <row r="317" customFormat="1" s="69">
      <c r="B317" s="92" t="inlineStr">
        <is>
          <t>12.00R20-18PR-TZ101</t>
        </is>
      </c>
      <c r="C317" s="93" t="n">
        <v>48.5</v>
      </c>
      <c r="D317" s="495">
        <f>IF(C317="","",C317/(C317+$C$1/60))</f>
        <v/>
      </c>
      <c r="E317" s="95">
        <f>IFERROR(ROUND(1440/C317*2*D317,0),"")</f>
        <v/>
      </c>
      <c r="F317" s="96" t="n"/>
      <c r="G317" s="97" t="n"/>
      <c r="H317" s="74" t="n"/>
      <c r="I317" s="98" t="inlineStr">
        <is>
          <t>295/75R22.5-16PR-M-TRAC AP</t>
        </is>
      </c>
      <c r="J317" s="99" t="n"/>
      <c r="L317" s="77" t="inlineStr">
        <is>
          <t>11R22.5-AS600</t>
        </is>
      </c>
      <c r="M317" s="77" t="n">
        <v>2</v>
      </c>
    </row>
    <row r="318" customFormat="1" s="69">
      <c r="B318" s="92" t="inlineStr">
        <is>
          <t>12.00R20-18PR-TZ304</t>
        </is>
      </c>
      <c r="C318" s="93" t="n">
        <v>56.5</v>
      </c>
      <c r="D318" s="495">
        <f>IF(C318="","",C318/(C318+$C$1/60))</f>
        <v/>
      </c>
      <c r="E318" s="95">
        <f>IFERROR(ROUND(1440/C318*2*D318,0),"")</f>
        <v/>
      </c>
      <c r="F318" s="96" t="n"/>
      <c r="G318" s="97" t="n"/>
      <c r="H318" s="74" t="n"/>
      <c r="I318" s="98" t="inlineStr">
        <is>
          <t>295/75R22.5-16PR-RLINE-D2</t>
        </is>
      </c>
      <c r="J318" s="99" t="n"/>
      <c r="L318" s="77" t="inlineStr">
        <is>
          <t>285/75R24.5-CM983</t>
        </is>
      </c>
      <c r="M318" s="77" t="n">
        <v>2</v>
      </c>
    </row>
    <row r="319" customFormat="1" s="69">
      <c r="B319" s="92" t="inlineStr">
        <is>
          <t>12.00R24-20PR-TZ101</t>
        </is>
      </c>
      <c r="C319" s="93" t="n">
        <v>51.5</v>
      </c>
      <c r="D319" s="495">
        <f>IF(C319="","",C319/(C319+$C$1/60))</f>
        <v/>
      </c>
      <c r="E319" s="95">
        <f>IFERROR(ROUND(1440/C319*2*D319,0),"")</f>
        <v/>
      </c>
      <c r="F319" s="96" t="n"/>
      <c r="G319" s="97" t="n"/>
      <c r="H319" s="74" t="n"/>
      <c r="I319" s="98" t="inlineStr">
        <is>
          <t>295/75R22.5-16PR-CR915</t>
        </is>
      </c>
      <c r="J319" s="99" t="n"/>
      <c r="L319" s="77" t="inlineStr">
        <is>
          <t>11R22.5-AD721</t>
        </is>
      </c>
      <c r="M319" s="77" t="n">
        <v>2</v>
      </c>
    </row>
    <row r="320" customFormat="1" s="69">
      <c r="B320" s="92" t="inlineStr">
        <is>
          <t>325/95R24-22PR-CB332</t>
        </is>
      </c>
      <c r="C320" s="93" t="n">
        <v>56.5</v>
      </c>
      <c r="D320" s="495">
        <f>IF(C320="","",C320/(C320+$C$1/60))</f>
        <v/>
      </c>
      <c r="E320" s="95">
        <f>IFERROR(ROUND(1440/C320*2*D320,0),"")</f>
        <v/>
      </c>
      <c r="F320" s="96" t="n"/>
      <c r="G320" s="97" t="n"/>
      <c r="H320" s="74" t="n"/>
      <c r="I320" s="98" t="inlineStr">
        <is>
          <t>295/75R22.5-16PR-KOBE TPM</t>
        </is>
      </c>
      <c r="J320" s="99" t="n"/>
      <c r="L320" s="77" t="inlineStr">
        <is>
          <t>11R24.5-AD721</t>
        </is>
      </c>
      <c r="M320" s="77" t="n">
        <v>2</v>
      </c>
    </row>
    <row r="321" customFormat="1" s="69">
      <c r="B321" s="92" t="inlineStr">
        <is>
          <t>12.00R24-☆☆PR-XC809</t>
        </is>
      </c>
      <c r="C321" s="93" t="n">
        <v>56.2</v>
      </c>
      <c r="D321" s="495">
        <f>IF(C321="","",C321/(C321+$C$1/60))</f>
        <v/>
      </c>
      <c r="E321" s="95">
        <f>IFERROR(ROUND(1440/C321*2*D321,0),"")</f>
        <v/>
      </c>
      <c r="F321" s="96" t="n"/>
      <c r="G321" s="97" t="n"/>
      <c r="H321" s="74" t="n"/>
      <c r="I321" s="98" t="inlineStr">
        <is>
          <t>295/75R22.5-16PR-AD600</t>
        </is>
      </c>
      <c r="J321" s="99" t="n"/>
      <c r="L321" s="77" t="inlineStr">
        <is>
          <t>285/75R24.5-AD721</t>
        </is>
      </c>
      <c r="M321" s="77" t="n">
        <v>2</v>
      </c>
    </row>
    <row r="322" customFormat="1" s="69">
      <c r="B322" s="92" t="inlineStr">
        <is>
          <t>7.50R16-14PR-TZ303</t>
        </is>
      </c>
      <c r="C322" s="93" t="n">
        <v>30</v>
      </c>
      <c r="D322" s="495">
        <f>IF(C322="","",C322/(C322+$C$1/60))</f>
        <v/>
      </c>
      <c r="E322" s="95">
        <f>IFERROR(ROUND(1440/C322*2*D322,0),"")</f>
        <v/>
      </c>
      <c r="F322" s="96" t="n"/>
      <c r="G322" s="97" t="n"/>
      <c r="H322" s="74" t="n"/>
      <c r="I322" s="98" t="inlineStr">
        <is>
          <t>295/75R22.5-16PR-AS200</t>
        </is>
      </c>
      <c r="J322" s="99" t="n"/>
      <c r="L322" s="77" t="inlineStr">
        <is>
          <t>295/75R22.5-AD721</t>
        </is>
      </c>
      <c r="M322" s="77" t="n">
        <v>2</v>
      </c>
    </row>
    <row r="323" customFormat="1" s="69">
      <c r="B323" s="92" t="inlineStr">
        <is>
          <t>295/80R22.5-18PR-RF45</t>
        </is>
      </c>
      <c r="C323" s="93" t="n">
        <v>42</v>
      </c>
      <c r="D323" s="495">
        <f>IF(C323="","",C323/(C323+$C$1/60))</f>
        <v/>
      </c>
      <c r="E323" s="95">
        <f>IFERROR(ROUND(1440/C323*2*D323,0),"")</f>
        <v/>
      </c>
      <c r="F323" s="96" t="n"/>
      <c r="G323" s="97" t="n"/>
      <c r="H323" s="74" t="n"/>
      <c r="I323" s="98" t="inlineStr">
        <is>
          <t>295/75R22.5-16PR-AS201</t>
        </is>
      </c>
      <c r="J323" s="99" t="n"/>
      <c r="L323" s="77" t="inlineStr">
        <is>
          <t>235/75R17.5-AZ599</t>
        </is>
      </c>
      <c r="M323" s="77" t="n">
        <v>2</v>
      </c>
    </row>
    <row r="324" customFormat="1" s="69">
      <c r="B324" s="92" t="inlineStr">
        <is>
          <t>295/80R22.5-18PR-RF15</t>
        </is>
      </c>
      <c r="C324" s="93" t="n">
        <v>41.5</v>
      </c>
      <c r="D324" s="495">
        <f>IF(C324="","",C324/(C324+$C$1/60))</f>
        <v/>
      </c>
      <c r="E324" s="95">
        <f>IFERROR(ROUND(1440/C324*2*D324,0),"")</f>
        <v/>
      </c>
      <c r="F324" s="96" t="n"/>
      <c r="G324" s="97" t="n"/>
      <c r="H324" s="74" t="n"/>
      <c r="I324" s="98" t="inlineStr">
        <is>
          <t>295/75R22.5-16PR-AT100</t>
        </is>
      </c>
      <c r="J324" s="99" t="n"/>
      <c r="L324" s="77" t="inlineStr">
        <is>
          <t>245/70R19.5-AZ599</t>
        </is>
      </c>
      <c r="M324" s="77" t="n">
        <v>2</v>
      </c>
    </row>
    <row r="325" customFormat="1" s="69">
      <c r="B325" s="92" t="inlineStr">
        <is>
          <t>11R24.5-16PR-I-61S</t>
        </is>
      </c>
      <c r="C325" s="93" t="n">
        <v>44.6</v>
      </c>
      <c r="D325" s="495">
        <f>IF(C325="","",C325/(C325+$C$1/60))</f>
        <v/>
      </c>
      <c r="E325" s="95">
        <f>IFERROR(ROUND(1440/C325*2*D325,0),"")</f>
        <v/>
      </c>
      <c r="F325" s="96" t="n"/>
      <c r="G325" s="97" t="n"/>
      <c r="H325" s="74" t="n"/>
      <c r="I325" s="98" t="inlineStr">
        <is>
          <t>11R24.5-16PR-AD600</t>
        </is>
      </c>
      <c r="J325" s="99" t="n"/>
      <c r="L325" s="77" t="inlineStr">
        <is>
          <t>245/70R17.5-AZ599</t>
        </is>
      </c>
      <c r="M325" s="77" t="n">
        <v>2</v>
      </c>
    </row>
    <row r="326" customFormat="1" s="69">
      <c r="B326" s="92" t="inlineStr">
        <is>
          <t>11R22.5-16PR-I-61S</t>
        </is>
      </c>
      <c r="C326" s="93" t="n">
        <v>37</v>
      </c>
      <c r="D326" s="495">
        <f>IF(C326="","",C326/(C326+$C$1/60))</f>
        <v/>
      </c>
      <c r="E326" s="95">
        <f>IFERROR(ROUND(1440/C326*2*D326,0),"")</f>
        <v/>
      </c>
      <c r="F326" s="96" t="n"/>
      <c r="G326" s="97" t="n"/>
      <c r="H326" s="74" t="n"/>
      <c r="I326" s="98" t="inlineStr">
        <is>
          <t>11R24.5-16PR-AS200</t>
        </is>
      </c>
      <c r="J326" s="99" t="n"/>
      <c r="L326" s="77" t="inlineStr">
        <is>
          <t>265/70R19.5-AZ599</t>
        </is>
      </c>
      <c r="M326" s="77" t="n">
        <v>2</v>
      </c>
    </row>
    <row r="327" customFormat="1" s="69">
      <c r="B327" s="92" t="inlineStr">
        <is>
          <t>11R22.5-16PR-I-31M</t>
        </is>
      </c>
      <c r="C327" s="93" t="n">
        <v>42.7</v>
      </c>
      <c r="D327" s="495">
        <f>IF(C327="","",C327/(C327+$C$1/60))</f>
        <v/>
      </c>
      <c r="E327" s="95">
        <f>IFERROR(ROUND(1440/C327*2*D327,0),"")</f>
        <v/>
      </c>
      <c r="F327" s="96" t="n"/>
      <c r="G327" s="97" t="n"/>
      <c r="H327" s="74" t="n"/>
      <c r="I327" s="98" t="inlineStr">
        <is>
          <t>11R24.5-16PR-VDM924</t>
        </is>
      </c>
      <c r="J327" s="99" t="n"/>
      <c r="L327" s="77" t="inlineStr">
        <is>
          <t>225/70R19.5-AD717</t>
        </is>
      </c>
      <c r="M327" s="77" t="n">
        <v>2</v>
      </c>
    </row>
    <row r="328" customFormat="1" s="69">
      <c r="B328" s="92" t="inlineStr">
        <is>
          <t>11R22.5-16PR-I-28D</t>
        </is>
      </c>
      <c r="C328" s="93" t="n">
        <v>41.2</v>
      </c>
      <c r="D328" s="495">
        <f>IF(C328="","",C328/(C328+$C$1/60))</f>
        <v/>
      </c>
      <c r="E328" s="95">
        <f>IFERROR(ROUND(1440/C328*2*D328,0),"")</f>
        <v/>
      </c>
      <c r="F328" s="96" t="n"/>
      <c r="G328" s="97" t="n"/>
      <c r="H328" s="74" t="n"/>
      <c r="I328" s="98" t="inlineStr">
        <is>
          <t>11R24.5-16PR-VA991</t>
        </is>
      </c>
      <c r="J328" s="99" t="n"/>
      <c r="L328" s="77" t="inlineStr">
        <is>
          <t>245/70R19.5-AD717</t>
        </is>
      </c>
      <c r="M328" s="77" t="n">
        <v>2</v>
      </c>
    </row>
    <row r="329" customFormat="1" s="69">
      <c r="B329" s="92" t="inlineStr">
        <is>
          <t>225/70R19.5-14PR-I-208</t>
        </is>
      </c>
      <c r="C329" s="93" t="n">
        <v>34.2</v>
      </c>
      <c r="D329" s="495">
        <f>IF(C329="","",C329/(C329+$C$1/60))</f>
        <v/>
      </c>
      <c r="E329" s="95">
        <f>IFERROR(ROUND(1440/C329*2*D329,0),"")</f>
        <v/>
      </c>
      <c r="F329" s="96" t="n"/>
      <c r="G329" s="97" t="n"/>
      <c r="H329" s="74" t="n"/>
      <c r="I329" s="98" t="inlineStr">
        <is>
          <t>11R24.5-16PR-VD908</t>
        </is>
      </c>
      <c r="J329" s="99" t="n"/>
      <c r="L329" s="77" t="inlineStr">
        <is>
          <t>11R22.5-AZ579</t>
        </is>
      </c>
      <c r="M329" s="77" t="n">
        <v>2</v>
      </c>
    </row>
    <row r="330" customFormat="1" s="69">
      <c r="B330" s="92" t="inlineStr">
        <is>
          <t>245/70R19.5-16PR-I-37D</t>
        </is>
      </c>
      <c r="C330" s="93" t="n">
        <v>33.7</v>
      </c>
      <c r="D330" s="495">
        <f>IF(C330="","",C330/(C330+$C$1/60))</f>
        <v/>
      </c>
      <c r="E330" s="95">
        <f>IFERROR(ROUND(1440/C330*2*D330,0),"")</f>
        <v/>
      </c>
      <c r="F330" s="96" t="n"/>
      <c r="G330" s="97" t="n"/>
      <c r="H330" s="74" t="n"/>
      <c r="I330" s="98" t="inlineStr">
        <is>
          <t>11R24.5-16PR-VD998</t>
        </is>
      </c>
      <c r="J330" s="99" t="n"/>
      <c r="L330" s="77" t="inlineStr">
        <is>
          <t>315/80R22.5-AZ579</t>
        </is>
      </c>
      <c r="M330" s="77" t="n">
        <v>2</v>
      </c>
    </row>
    <row r="331" customFormat="1" s="69">
      <c r="B331" s="92" t="inlineStr">
        <is>
          <t>295/75R22.5-16PR-I-61S</t>
        </is>
      </c>
      <c r="C331" s="93" t="n">
        <v>37.2</v>
      </c>
      <c r="D331" s="495">
        <f>IF(C331="","",C331/(C331+$C$1/60))</f>
        <v/>
      </c>
      <c r="E331" s="95">
        <f>IFERROR(ROUND(1440/C331*2*D331,0),"")</f>
        <v/>
      </c>
      <c r="F331" s="96" t="n"/>
      <c r="G331" s="97" t="n"/>
      <c r="H331" s="74" t="n"/>
      <c r="I331" s="98" t="inlineStr">
        <is>
          <t>11R24.5-16PR-AD716</t>
        </is>
      </c>
      <c r="J331" s="99" t="n"/>
      <c r="L331" s="77" t="inlineStr">
        <is>
          <t>11R24.5-AZ579</t>
        </is>
      </c>
      <c r="M331" s="77" t="n">
        <v>2</v>
      </c>
    </row>
    <row r="332" customFormat="1" s="69">
      <c r="B332" s="92" t="inlineStr">
        <is>
          <t>295/75R22.5-16PR-I-19A</t>
        </is>
      </c>
      <c r="C332" s="93" t="n">
        <v>37.2</v>
      </c>
      <c r="D332" s="495">
        <f>IF(C332="","",C332/(C332+$C$1/60))</f>
        <v/>
      </c>
      <c r="E332" s="95">
        <f>IFERROR(ROUND(1440/C332*2*D332,0),"")</f>
        <v/>
      </c>
      <c r="F332" s="96" t="n"/>
      <c r="G332" s="97" t="n"/>
      <c r="H332" s="74" t="n"/>
      <c r="I332" s="98" t="inlineStr">
        <is>
          <t>11R24.5-16PR-AZ692</t>
        </is>
      </c>
      <c r="J332" s="99" t="n"/>
      <c r="L332" s="77" t="inlineStr">
        <is>
          <t>255/70R22.5-AZ579</t>
        </is>
      </c>
      <c r="M332" s="77" t="n">
        <v>2</v>
      </c>
    </row>
    <row r="333" customFormat="1" s="69">
      <c r="B333" s="92" t="inlineStr">
        <is>
          <t>12.00R20-20PR-EZ345</t>
        </is>
      </c>
      <c r="C333" s="93" t="n">
        <v>47.7</v>
      </c>
      <c r="D333" s="495">
        <f>IF(C333="","",C333/(C333+$C$1/60))</f>
        <v/>
      </c>
      <c r="E333" s="95">
        <f>IFERROR(ROUND(1440/C333*2*D333,0),"")</f>
        <v/>
      </c>
      <c r="F333" s="96" t="n"/>
      <c r="G333" s="97" t="n"/>
      <c r="H333" s="74" t="n"/>
      <c r="I333" s="98" t="inlineStr">
        <is>
          <t>11R24.5-16PR-HCC1 Plus</t>
        </is>
      </c>
      <c r="J333" s="99" t="n"/>
      <c r="L333" s="77" t="inlineStr">
        <is>
          <t>385/65R22.5-AZ577</t>
        </is>
      </c>
      <c r="M333" s="77" t="n">
        <v>2</v>
      </c>
    </row>
    <row r="334" customFormat="1" s="69">
      <c r="B334" s="92" t="inlineStr">
        <is>
          <t>295/80R22.5-18PR-BRD06 PRO</t>
        </is>
      </c>
      <c r="C334" s="93" t="n">
        <v>42</v>
      </c>
      <c r="D334" s="495">
        <f>IF(C334="","",C334/(C334+$C$1/60))</f>
        <v/>
      </c>
      <c r="E334" s="95">
        <f>IFERROR(ROUND(1440/C334*2*D334,0),"")</f>
        <v/>
      </c>
      <c r="F334" s="96" t="n"/>
      <c r="G334" s="97" t="n"/>
      <c r="H334" s="74" t="n"/>
      <c r="I334" s="98" t="inlineStr">
        <is>
          <t>11R24.5-16PR-HD1 Plus</t>
        </is>
      </c>
      <c r="J334" s="99" t="n">
        <v>848.2701</v>
      </c>
      <c r="L334" s="77" t="inlineStr">
        <is>
          <t>425/65R22.5-AZ577</t>
        </is>
      </c>
      <c r="M334" s="77" t="n">
        <v>2</v>
      </c>
    </row>
    <row r="335" customFormat="1" s="69">
      <c r="B335" s="92" t="inlineStr">
        <is>
          <t>11R24.5-16PR-I-31M</t>
        </is>
      </c>
      <c r="C335" s="93" t="n">
        <v>42.7</v>
      </c>
      <c r="D335" s="495">
        <f>IF(C335="","",C335/(C335+$C$1/60))</f>
        <v/>
      </c>
      <c r="E335" s="95">
        <f>IFERROR(ROUND(1440/C335*2*D335,0),"")</f>
        <v/>
      </c>
      <c r="F335" s="96" t="n"/>
      <c r="G335" s="97" t="n"/>
      <c r="H335" s="74" t="n"/>
      <c r="I335" s="98" t="inlineStr">
        <is>
          <t>11R24.5-16PR-HD2 Plus</t>
        </is>
      </c>
      <c r="J335" s="99" t="n"/>
      <c r="L335" s="77" t="inlineStr">
        <is>
          <t>445/65R22.5-AZ577</t>
        </is>
      </c>
      <c r="M335" s="77" t="n">
        <v>2</v>
      </c>
    </row>
    <row r="336" customFormat="1" s="69">
      <c r="B336" s="92" t="inlineStr">
        <is>
          <t>11R22.5-14PR-I-48T</t>
        </is>
      </c>
      <c r="C336" s="93" t="n">
        <v>33.5</v>
      </c>
      <c r="D336" s="495">
        <f>IF(C336="","",C336/(C336+$C$1/60))</f>
        <v/>
      </c>
      <c r="E336" s="95">
        <f>IFERROR(ROUND(1440/C336*2*D336,0),"")</f>
        <v/>
      </c>
      <c r="F336" s="96" t="n"/>
      <c r="G336" s="97" t="n"/>
      <c r="H336" s="74" t="n"/>
      <c r="I336" s="98" t="inlineStr">
        <is>
          <t>11R24.5-16PR-HF1 Plus</t>
        </is>
      </c>
      <c r="J336" s="99" t="n"/>
      <c r="L336" s="77" t="inlineStr">
        <is>
          <t>11R22.5-CB972</t>
        </is>
      </c>
      <c r="M336" s="77" t="n">
        <v>2</v>
      </c>
    </row>
    <row r="337" customFormat="1" s="69">
      <c r="B337" s="92" t="inlineStr">
        <is>
          <t>11R22.5-16PR-HCC1 Plus</t>
        </is>
      </c>
      <c r="C337" s="93" t="n">
        <v>38.5</v>
      </c>
      <c r="D337" s="495">
        <f>IF(C337="","",C337/(C337+$C$1/60))</f>
        <v/>
      </c>
      <c r="E337" s="95">
        <f>IFERROR(ROUND(1440/C337*2*D337,0),"")</f>
        <v/>
      </c>
      <c r="F337" s="96" t="n"/>
      <c r="G337" s="97" t="n"/>
      <c r="H337" s="74" t="n"/>
      <c r="I337" s="98" t="inlineStr">
        <is>
          <t>11R24.5-16PR-I-37D</t>
        </is>
      </c>
      <c r="J337" s="99" t="n"/>
      <c r="L337" s="77" t="inlineStr">
        <is>
          <t>11R24.5-CB972</t>
        </is>
      </c>
      <c r="M337" s="77" t="n">
        <v>2</v>
      </c>
    </row>
    <row r="338" customFormat="1" s="69">
      <c r="B338" s="92" t="inlineStr">
        <is>
          <t>11R22.5-16PR-HD2 Plus</t>
        </is>
      </c>
      <c r="C338" s="93" t="n">
        <v>41.5</v>
      </c>
      <c r="D338" s="495">
        <f>IF(C338="","",C338/(C338+$C$1/60))</f>
        <v/>
      </c>
      <c r="E338" s="95">
        <f>IFERROR(ROUND(1440/C338*2*D338,0),"")</f>
        <v/>
      </c>
      <c r="F338" s="96" t="n"/>
      <c r="G338" s="97" t="n"/>
      <c r="H338" s="74" t="n"/>
      <c r="I338" s="98" t="inlineStr">
        <is>
          <t>11R24.5-16PR-KOBE APM</t>
        </is>
      </c>
      <c r="J338" s="99" t="n"/>
      <c r="L338" s="77" t="inlineStr">
        <is>
          <t>295/75R22.5-AD757</t>
        </is>
      </c>
      <c r="M338" s="77" t="n">
        <v>2</v>
      </c>
    </row>
    <row r="339" customFormat="1" s="69">
      <c r="B339" s="92" t="inlineStr">
        <is>
          <t>12.00R24-20PR-I-301</t>
        </is>
      </c>
      <c r="C339" s="93" t="n">
        <v>42</v>
      </c>
      <c r="D339" s="495">
        <f>IF(C339="","",C339/(C339+$C$1/60))</f>
        <v/>
      </c>
      <c r="E339" s="95">
        <f>IFERROR(ROUND(1440/C339*2*D339,0),"")</f>
        <v/>
      </c>
      <c r="F339" s="96" t="n"/>
      <c r="G339" s="97" t="n"/>
      <c r="H339" s="74" t="n"/>
      <c r="I339" s="98" t="inlineStr">
        <is>
          <t>11R24.5-16PR-KOBE DPM</t>
        </is>
      </c>
      <c r="J339" s="99" t="n"/>
      <c r="L339" s="77" t="inlineStr">
        <is>
          <t>11R22.5-AS673</t>
        </is>
      </c>
      <c r="M339" s="77" t="n">
        <v>2</v>
      </c>
    </row>
    <row r="340" customFormat="1" s="69">
      <c r="B340" s="92" t="inlineStr">
        <is>
          <t>11R22.5-16PR-HD1 Plus</t>
        </is>
      </c>
      <c r="C340" s="93" t="n">
        <v>38.5</v>
      </c>
      <c r="D340" s="495">
        <f>IF(C340="","",C340/(C340+$C$1/60))</f>
        <v/>
      </c>
      <c r="E340" s="95">
        <f>IFERROR(ROUND(1440/C340*2*D340,0),"")</f>
        <v/>
      </c>
      <c r="F340" s="96" t="n"/>
      <c r="G340" s="97" t="n"/>
      <c r="H340" s="74" t="n"/>
      <c r="I340" s="98" t="inlineStr">
        <is>
          <t>285/75R24.5-16PR-VA996</t>
        </is>
      </c>
      <c r="J340" s="99" t="n"/>
      <c r="L340" s="77" t="inlineStr">
        <is>
          <t>295/75R22.5-AS673</t>
        </is>
      </c>
      <c r="M340" s="77" t="n">
        <v>2</v>
      </c>
    </row>
    <row r="341" customFormat="1" s="69">
      <c r="B341" s="92" t="inlineStr">
        <is>
          <t>11R22.5-16PR-HF1 Plus</t>
        </is>
      </c>
      <c r="C341" s="93" t="n">
        <v>37.5</v>
      </c>
      <c r="D341" s="495">
        <f>IF(C341="","",C341/(C341+$C$1/60))</f>
        <v/>
      </c>
      <c r="E341" s="95">
        <f>IFERROR(ROUND(1440/C341*2*D341,0),"")</f>
        <v/>
      </c>
      <c r="F341" s="96" t="n"/>
      <c r="G341" s="97" t="n"/>
      <c r="H341" s="74" t="n"/>
      <c r="I341" s="98" t="inlineStr">
        <is>
          <t>285/75R24.5-16PR-VD998</t>
        </is>
      </c>
      <c r="J341" s="99" t="n"/>
      <c r="L341" s="77" t="inlineStr">
        <is>
          <t>275/70R22.5-AS673</t>
        </is>
      </c>
      <c r="M341" s="77" t="n">
        <v>2</v>
      </c>
    </row>
    <row r="342" customFormat="1" s="69">
      <c r="B342" s="92" t="inlineStr">
        <is>
          <t>11R22.5-16PR-I-37D</t>
        </is>
      </c>
      <c r="C342" s="93" t="n">
        <v>41.5</v>
      </c>
      <c r="D342" s="495">
        <f>IF(C342="","",C342/(C342+$C$1/60))</f>
        <v/>
      </c>
      <c r="E342" s="95">
        <f>IFERROR(ROUND(1440/C342*2*D342,0),"")</f>
        <v/>
      </c>
      <c r="F342" s="96" t="n"/>
      <c r="G342" s="97" t="n"/>
      <c r="H342" s="74" t="n"/>
      <c r="I342" s="98" t="inlineStr">
        <is>
          <t>285/75R24.5-14PR-HD1 Plus</t>
        </is>
      </c>
      <c r="J342" s="99" t="n"/>
      <c r="L342" s="77" t="inlineStr">
        <is>
          <t>11R22.5-AD737</t>
        </is>
      </c>
      <c r="M342" s="77" t="n">
        <v>2</v>
      </c>
    </row>
    <row r="343" customFormat="1" s="69">
      <c r="B343" s="92" t="inlineStr">
        <is>
          <t>11R22.5-16PR-I-52A</t>
        </is>
      </c>
      <c r="C343" s="93" t="n">
        <v>43</v>
      </c>
      <c r="D343" s="495">
        <f>IF(C343="","",C343/(C343+$C$1/60))</f>
        <v/>
      </c>
      <c r="E343" s="95">
        <f>IFERROR(ROUND(1440/C343*2*D343,0),"")</f>
        <v/>
      </c>
      <c r="F343" s="96" t="n"/>
      <c r="G343" s="97" t="n"/>
      <c r="H343" s="74" t="n"/>
      <c r="I343" s="98" t="inlineStr">
        <is>
          <t>285/75R24.5-14PR-HF1 Plus</t>
        </is>
      </c>
      <c r="J343" s="99" t="n"/>
      <c r="L343" s="77" t="inlineStr">
        <is>
          <t>11R24.5-AD737</t>
        </is>
      </c>
      <c r="M343" s="77" t="n">
        <v>2</v>
      </c>
    </row>
    <row r="344" customFormat="1" s="69">
      <c r="B344" s="92" t="inlineStr">
        <is>
          <t>11R22.5-16PR-M-TRAC AP</t>
        </is>
      </c>
      <c r="C344" s="93" t="n">
        <v>37.5</v>
      </c>
      <c r="D344" s="495">
        <f>IF(C344="","",C344/(C344+$C$1/60))</f>
        <v/>
      </c>
      <c r="E344" s="95">
        <f>IFERROR(ROUND(1440/C344*2*D344,0),"")</f>
        <v/>
      </c>
      <c r="F344" s="96" t="n"/>
      <c r="G344" s="97" t="n"/>
      <c r="H344" s="74" t="n"/>
      <c r="I344" s="98" t="inlineStr">
        <is>
          <t>285/75R24.5-14PR-I-28D</t>
        </is>
      </c>
      <c r="J344" s="99" t="n"/>
      <c r="L344" s="77" t="inlineStr">
        <is>
          <t>11R22.5-AD778</t>
        </is>
      </c>
      <c r="M344" s="77" t="n">
        <v>2</v>
      </c>
    </row>
    <row r="345" customFormat="1" s="69">
      <c r="B345" s="92" t="inlineStr">
        <is>
          <t>11R22.5-16PR-RLINE-D2</t>
        </is>
      </c>
      <c r="C345" s="93" t="n">
        <v>37.5</v>
      </c>
      <c r="D345" s="495">
        <f>IF(C345="","",C345/(C345+$C$1/60))</f>
        <v/>
      </c>
      <c r="E345" s="95">
        <f>IFERROR(ROUND(1440/C345*2*D345,0),"")</f>
        <v/>
      </c>
      <c r="F345" s="96" t="n"/>
      <c r="G345" s="97" t="n"/>
      <c r="H345" s="74" t="n"/>
      <c r="I345" s="98" t="inlineStr">
        <is>
          <t>285/75R24.5-14PR-I-19A</t>
        </is>
      </c>
      <c r="J345" s="99" t="n"/>
      <c r="L345" s="77" t="inlineStr">
        <is>
          <t>11R24.5-AD778</t>
        </is>
      </c>
      <c r="M345" s="77" t="n">
        <v>2</v>
      </c>
    </row>
    <row r="346" customFormat="1" s="69">
      <c r="B346" s="92" t="inlineStr">
        <is>
          <t>11R24.5-16PR-HD1 Plus</t>
        </is>
      </c>
      <c r="C346" s="93" t="n">
        <v>42</v>
      </c>
      <c r="D346" s="495">
        <f>IF(C346="","",C346/(C346+$C$1/60))</f>
        <v/>
      </c>
      <c r="E346" s="95">
        <f>IFERROR(ROUND(1440/C346*2*D346,0),"")</f>
        <v/>
      </c>
      <c r="F346" s="96" t="n"/>
      <c r="G346" s="97" t="n"/>
      <c r="H346" s="74" t="n"/>
      <c r="I346" s="98" t="inlineStr">
        <is>
          <t>215/75R17.5-16PR-HF1 Plus</t>
        </is>
      </c>
      <c r="J346" s="99" t="n"/>
      <c r="L346" s="77" t="inlineStr">
        <is>
          <t>225/70R19.5-AD778</t>
        </is>
      </c>
      <c r="M346" s="77" t="n">
        <v>2</v>
      </c>
    </row>
    <row r="347" customFormat="1" s="69">
      <c r="B347" s="92" t="inlineStr">
        <is>
          <t>11R24.5-16PR-HD2 Plus</t>
        </is>
      </c>
      <c r="C347" s="93" t="n">
        <v>44</v>
      </c>
      <c r="D347" s="495">
        <f>IF(C347="","",C347/(C347+$C$1/60))</f>
        <v/>
      </c>
      <c r="E347" s="95">
        <f>IFERROR(ROUND(1440/C347*2*D347,0),"")</f>
        <v/>
      </c>
      <c r="F347" s="96" t="n"/>
      <c r="G347" s="97" t="n"/>
      <c r="H347" s="74" t="n"/>
      <c r="I347" s="98" t="inlineStr">
        <is>
          <t>215/75R17.5-18PR-M-TRAC AP</t>
        </is>
      </c>
      <c r="J347" s="99" t="n"/>
      <c r="L347" s="77" t="inlineStr">
        <is>
          <t>11R22.5-CR926D</t>
        </is>
      </c>
      <c r="M347" s="77" t="n">
        <v>2</v>
      </c>
    </row>
    <row r="348" customFormat="1" s="69">
      <c r="B348" s="92" t="inlineStr">
        <is>
          <t>11R24.5-16PR-HF1 Plus</t>
        </is>
      </c>
      <c r="C348" s="93" t="n">
        <v>37</v>
      </c>
      <c r="D348" s="495">
        <f>IF(C348="","",C348/(C348+$C$1/60))</f>
        <v/>
      </c>
      <c r="E348" s="95">
        <f>IFERROR(ROUND(1440/C348*2*D348,0),"")</f>
        <v/>
      </c>
      <c r="F348" s="96" t="n"/>
      <c r="G348" s="97" t="n"/>
      <c r="H348" s="74" t="n"/>
      <c r="I348" s="98" t="inlineStr">
        <is>
          <t>235/75R17.5-16PR-HF1 Plus</t>
        </is>
      </c>
      <c r="J348" s="99" t="n"/>
      <c r="L348" s="77" t="inlineStr">
        <is>
          <t>11R24.5-CR926D</t>
        </is>
      </c>
      <c r="M348" s="77" t="n">
        <v>2</v>
      </c>
    </row>
    <row r="349" customFormat="1" s="69">
      <c r="B349" s="92" t="inlineStr">
        <is>
          <t>11R24.5-16PR-I-28D</t>
        </is>
      </c>
      <c r="C349" s="93" t="n">
        <v>44</v>
      </c>
      <c r="D349" s="495">
        <f>IF(C349="","",C349/(C349+$C$1/60))</f>
        <v/>
      </c>
      <c r="E349" s="95">
        <f>IFERROR(ROUND(1440/C349*2*D349,0),"")</f>
        <v/>
      </c>
      <c r="F349" s="96" t="n"/>
      <c r="G349" s="97" t="n"/>
      <c r="H349" s="74" t="n"/>
      <c r="I349" s="98" t="inlineStr">
        <is>
          <t>235/75R17.5-18PR-I-19A</t>
        </is>
      </c>
      <c r="J349" s="99" t="n"/>
      <c r="L349" s="77" t="inlineStr">
        <is>
          <t>385/65R22.5-AT557</t>
        </is>
      </c>
      <c r="M349" s="77" t="n">
        <v>2</v>
      </c>
    </row>
    <row r="350" customFormat="1" s="69">
      <c r="B350" s="92" t="inlineStr">
        <is>
          <t>11R24.5-16PR-I-37D</t>
        </is>
      </c>
      <c r="C350" s="93" t="n">
        <v>44</v>
      </c>
      <c r="D350" s="495">
        <f>IF(C350="","",C350/(C350+$C$1/60))</f>
        <v/>
      </c>
      <c r="E350" s="95">
        <f>IFERROR(ROUND(1440/C350*2*D350,0),"")</f>
        <v/>
      </c>
      <c r="F350" s="96" t="n"/>
      <c r="G350" s="97" t="n"/>
      <c r="H350" s="74" t="n"/>
      <c r="I350" s="98" t="inlineStr">
        <is>
          <t>235/75R17.5-18PR-VA933</t>
        </is>
      </c>
      <c r="J350" s="99" t="n"/>
      <c r="L350" s="77" t="inlineStr">
        <is>
          <t>425/65R22.5-AT557</t>
        </is>
      </c>
      <c r="M350" s="77" t="n">
        <v>2</v>
      </c>
    </row>
    <row r="351" customFormat="1" s="69">
      <c r="B351" s="92" t="inlineStr">
        <is>
          <t>215/75R17.5-16PR-HF1 Plus</t>
        </is>
      </c>
      <c r="C351" s="93" t="n">
        <v>32.5</v>
      </c>
      <c r="D351" s="495">
        <f>IF(C351="","",C351/(C351+$C$1/60))</f>
        <v/>
      </c>
      <c r="E351" s="95">
        <f>IFERROR(ROUND(1440/C351*2*D351,0),"")</f>
        <v/>
      </c>
      <c r="F351" s="96" t="n"/>
      <c r="G351" s="97" t="n"/>
      <c r="H351" s="74" t="n"/>
      <c r="I351" s="98" t="inlineStr">
        <is>
          <t>245/70R17.5-18PR-I-19A</t>
        </is>
      </c>
      <c r="J351" s="99" t="n"/>
      <c r="L351" s="77" t="inlineStr">
        <is>
          <t>445/65R22.5-AT557</t>
        </is>
      </c>
      <c r="M351" s="77" t="n">
        <v>2</v>
      </c>
    </row>
    <row r="352" customFormat="1" s="69">
      <c r="B352" s="92" t="inlineStr">
        <is>
          <t>215/75R17.5-18PR-M-TRAC AP</t>
        </is>
      </c>
      <c r="C352" s="93" t="n">
        <v>38</v>
      </c>
      <c r="D352" s="495">
        <f>IF(C352="","",C352/(C352+$C$1/60))</f>
        <v/>
      </c>
      <c r="E352" s="95">
        <f>IFERROR(ROUND(1440/C352*2*D352,0),"")</f>
        <v/>
      </c>
      <c r="F352" s="96" t="n"/>
      <c r="G352" s="97" t="n"/>
      <c r="H352" s="74" t="n"/>
      <c r="I352" s="98" t="inlineStr">
        <is>
          <t>245/70R19.5-16PR-HD3 Plus</t>
        </is>
      </c>
      <c r="J352" s="99" t="n"/>
      <c r="L352" s="77" t="inlineStr">
        <is>
          <t>255/70R22.5-AT557</t>
        </is>
      </c>
      <c r="M352" s="77" t="n">
        <v>2</v>
      </c>
    </row>
    <row r="353" customFormat="1" s="69">
      <c r="B353" s="92" t="inlineStr">
        <is>
          <t>225/70R19.5-14PR-HD3 Plus</t>
        </is>
      </c>
      <c r="C353" s="93" t="n">
        <v>32.5</v>
      </c>
      <c r="D353" s="495">
        <f>IF(C353="","",C353/(C353+$C$1/60))</f>
        <v/>
      </c>
      <c r="E353" s="95">
        <f>IFERROR(ROUND(1440/C353*2*D353,0),"")</f>
        <v/>
      </c>
      <c r="F353" s="96" t="n"/>
      <c r="G353" s="97" t="n"/>
      <c r="H353" s="74" t="n"/>
      <c r="I353" s="98" t="inlineStr">
        <is>
          <t>245/70R19.5-16PR-HF1 Plus</t>
        </is>
      </c>
      <c r="J353" s="99" t="n"/>
      <c r="L353" s="77" t="inlineStr">
        <is>
          <t>275/70R22.5-AT557</t>
        </is>
      </c>
      <c r="M353" s="77" t="n">
        <v>2</v>
      </c>
    </row>
    <row r="354" customFormat="1" s="69">
      <c r="B354" s="92" t="inlineStr">
        <is>
          <t>225/70R19.5-14PR-HF1 Plus</t>
        </is>
      </c>
      <c r="C354" s="93" t="n">
        <v>30.3</v>
      </c>
      <c r="D354" s="495">
        <f>IF(C354="","",C354/(C354+$C$1/60))</f>
        <v/>
      </c>
      <c r="E354" s="95">
        <f>IFERROR(ROUND(1440/C354*2*D354,0),"")</f>
        <v/>
      </c>
      <c r="F354" s="96" t="n"/>
      <c r="G354" s="97" t="n"/>
      <c r="H354" s="74" t="n"/>
      <c r="I354" s="98" t="inlineStr">
        <is>
          <t>245/70R19.5-16PR-VD935</t>
        </is>
      </c>
      <c r="J354" s="99" t="n"/>
      <c r="L354" s="77" t="inlineStr">
        <is>
          <t>295/75R22.5-AT598</t>
        </is>
      </c>
      <c r="M354" s="77" t="n">
        <v>2</v>
      </c>
    </row>
    <row r="355" customFormat="1" s="69">
      <c r="B355" s="92" t="inlineStr">
        <is>
          <t>235/75R17.5-16PR-HF1 Plus</t>
        </is>
      </c>
      <c r="C355" s="93" t="n">
        <v>29.7</v>
      </c>
      <c r="D355" s="495">
        <f>IF(C355="","",C355/(C355+$C$1/60))</f>
        <v/>
      </c>
      <c r="E355" s="95">
        <f>IFERROR(ROUND(1440/C355*2*D355,0),"")</f>
        <v/>
      </c>
      <c r="F355" s="96" t="n"/>
      <c r="G355" s="97" t="n"/>
      <c r="H355" s="74" t="n"/>
      <c r="I355" s="98" t="inlineStr">
        <is>
          <t>225/70R19.5-14PR-VD935</t>
        </is>
      </c>
      <c r="J355" s="99" t="n"/>
      <c r="L355" s="77" t="inlineStr">
        <is>
          <t>255/70R22.5-AZ692</t>
        </is>
      </c>
      <c r="M355" s="77" t="n">
        <v>2</v>
      </c>
    </row>
    <row r="356" customFormat="1" s="69">
      <c r="B356" s="92" t="inlineStr">
        <is>
          <t>235/75R17.5-18PR-I-19A</t>
        </is>
      </c>
      <c r="C356" s="93" t="n">
        <v>29.7</v>
      </c>
      <c r="D356" s="495">
        <f>IF(C356="","",C356/(C356+$C$1/60))</f>
        <v/>
      </c>
      <c r="E356" s="95">
        <f>IFERROR(ROUND(1440/C356*2*D356,0),"")</f>
        <v/>
      </c>
      <c r="F356" s="96" t="n"/>
      <c r="G356" s="97" t="n"/>
      <c r="H356" s="74" t="n"/>
      <c r="I356" s="98" t="inlineStr">
        <is>
          <t>225/70R19.5-14PR-AZ599</t>
        </is>
      </c>
      <c r="J356" s="99" t="n"/>
      <c r="L356" s="77" t="inlineStr">
        <is>
          <t>295/80R22.5-AT167T</t>
        </is>
      </c>
      <c r="M356" s="77" t="n">
        <v>4</v>
      </c>
    </row>
    <row r="357" customFormat="1" s="69">
      <c r="B357" s="92" t="inlineStr">
        <is>
          <t>245/70R19.5-16PR-HD3 Plus</t>
        </is>
      </c>
      <c r="C357" s="93" t="n">
        <v>32.5</v>
      </c>
      <c r="D357" s="495">
        <f>IF(C357="","",C357/(C357+$C$1/60))</f>
        <v/>
      </c>
      <c r="E357" s="95">
        <f>IFERROR(ROUND(1440/C357*2*D357,0),"")</f>
        <v/>
      </c>
      <c r="F357" s="96" t="n"/>
      <c r="G357" s="97" t="n"/>
      <c r="H357" s="74" t="n"/>
      <c r="I357" s="98" t="inlineStr">
        <is>
          <t>225/70R19.5-14PR-HD3 Plus</t>
        </is>
      </c>
      <c r="J357" s="99" t="n"/>
      <c r="L357" s="77" t="inlineStr">
        <is>
          <t>12.00R24-EZ345</t>
        </is>
      </c>
      <c r="M357" s="77" t="n">
        <v>2</v>
      </c>
    </row>
    <row r="358" customFormat="1" s="69">
      <c r="B358" s="92" t="inlineStr">
        <is>
          <t>245/70R19.5-16PR-HF1 Plus</t>
        </is>
      </c>
      <c r="C358" s="93" t="n">
        <v>33.5</v>
      </c>
      <c r="D358" s="495">
        <f>IF(C358="","",C358/(C358+$C$1/60))</f>
        <v/>
      </c>
      <c r="E358" s="95">
        <f>IFERROR(ROUND(1440/C358*2*D358,0),"")</f>
        <v/>
      </c>
      <c r="F358" s="96" t="n"/>
      <c r="G358" s="97" t="n"/>
      <c r="H358" s="74" t="n"/>
      <c r="I358" s="98" t="inlineStr">
        <is>
          <t>225/70R19.5-14PR-HF1 Plus</t>
        </is>
      </c>
      <c r="J358" s="99" t="n"/>
      <c r="L358" s="77" t="inlineStr">
        <is>
          <t>12.00R24-EZ175</t>
        </is>
      </c>
      <c r="M358" s="77" t="n">
        <v>2</v>
      </c>
    </row>
    <row r="359" customFormat="1" s="69">
      <c r="B359" s="92" t="inlineStr">
        <is>
          <t>255/70R22.5-16PR-HF1 Plus</t>
        </is>
      </c>
      <c r="C359" s="93" t="n">
        <v>34</v>
      </c>
      <c r="D359" s="495">
        <f>IF(C359="","",C359/(C359+$C$1/60))</f>
        <v/>
      </c>
      <c r="E359" s="95">
        <f>IFERROR(ROUND(1440/C359*2*D359,0),"")</f>
        <v/>
      </c>
      <c r="F359" s="96" t="n"/>
      <c r="G359" s="97" t="n"/>
      <c r="H359" s="74" t="n"/>
      <c r="I359" s="98" t="inlineStr">
        <is>
          <t>225/70R19.5-14PR-M-TRAC AP</t>
        </is>
      </c>
      <c r="J359" s="99" t="n"/>
      <c r="L359" s="77" t="inlineStr">
        <is>
          <t>12R22.5-EZ867</t>
        </is>
      </c>
      <c r="M359" s="77" t="n">
        <v>2</v>
      </c>
    </row>
    <row r="360" customFormat="1" s="69">
      <c r="B360" s="92" t="inlineStr">
        <is>
          <t>255/70R22.5-16PR-M-TRAC AP</t>
        </is>
      </c>
      <c r="C360" s="93" t="n">
        <v>34</v>
      </c>
      <c r="D360" s="495">
        <f>IF(C360="","",C360/(C360+$C$1/60))</f>
        <v/>
      </c>
      <c r="E360" s="95">
        <f>IFERROR(ROUND(1440/C360*2*D360,0),"")</f>
        <v/>
      </c>
      <c r="F360" s="96" t="n"/>
      <c r="G360" s="97" t="n"/>
      <c r="H360" s="74" t="n"/>
      <c r="I360" s="98" t="inlineStr">
        <is>
          <t>225/70R19.5-14PR-M-TRAC HTD</t>
        </is>
      </c>
      <c r="J360" s="99" t="n"/>
      <c r="L360" s="77" t="inlineStr">
        <is>
          <t>12R22.5-EZ870</t>
        </is>
      </c>
      <c r="M360" s="77" t="n">
        <v>2</v>
      </c>
    </row>
    <row r="361" customFormat="1" s="69">
      <c r="B361" s="92" t="inlineStr">
        <is>
          <t>275/80R22.5-16PR-G-PERFORM S</t>
        </is>
      </c>
      <c r="C361" s="93" t="n">
        <v>35</v>
      </c>
      <c r="D361" s="495">
        <f>IF(C361="","",C361/(C361+$C$1/60))</f>
        <v/>
      </c>
      <c r="E361" s="95">
        <f>IFERROR(ROUND(1440/C361*2*D361,0),"")</f>
        <v/>
      </c>
      <c r="F361" s="96" t="n"/>
      <c r="G361" s="97" t="n"/>
      <c r="H361" s="74" t="n"/>
      <c r="I361" s="98" t="inlineStr">
        <is>
          <t>255/70R22.5-16PR-HF1 Plus</t>
        </is>
      </c>
      <c r="J361" s="99" t="n"/>
      <c r="L361" s="77" t="inlineStr">
        <is>
          <t>245/70R19.5-AT530</t>
        </is>
      </c>
      <c r="M361" s="77" t="n">
        <v>2</v>
      </c>
    </row>
    <row r="362" customFormat="1" s="69">
      <c r="B362" s="92" t="inlineStr">
        <is>
          <t>275/80R22.5-18PR-AZ179</t>
        </is>
      </c>
      <c r="C362" s="93" t="n">
        <v>35</v>
      </c>
      <c r="D362" s="495">
        <f>IF(C362="","",C362/(C362+$C$1/60))</f>
        <v/>
      </c>
      <c r="E362" s="95">
        <f>IFERROR(ROUND(1440/C362*2*D362,0),"")</f>
        <v/>
      </c>
      <c r="F362" s="96" t="n"/>
      <c r="G362" s="97" t="n"/>
      <c r="H362" s="74" t="n"/>
      <c r="I362" s="98" t="inlineStr">
        <is>
          <t>255/70R22.5-16PR-M-TRAC AP</t>
        </is>
      </c>
      <c r="J362" s="99" t="n"/>
      <c r="L362" s="77" t="inlineStr">
        <is>
          <t>265/70R19.5-AT530</t>
        </is>
      </c>
      <c r="M362" s="77" t="n">
        <v>2</v>
      </c>
    </row>
    <row r="363" customFormat="1" s="69">
      <c r="B363" s="92" t="inlineStr">
        <is>
          <t>285/75R24.5-14PR-HD1 Plus</t>
        </is>
      </c>
      <c r="C363" s="93" t="n">
        <v>38.5</v>
      </c>
      <c r="D363" s="495">
        <f>IF(C363="","",C363/(C363+$C$1/60))</f>
        <v/>
      </c>
      <c r="E363" s="95">
        <f>IFERROR(ROUND(1440/C363*2*D363,0),"")</f>
        <v/>
      </c>
      <c r="F363" s="96" t="n"/>
      <c r="G363" s="97" t="n"/>
      <c r="H363" s="74" t="n"/>
      <c r="I363" s="98" t="inlineStr">
        <is>
          <t>275/70R22.5-18PR-I-19A</t>
        </is>
      </c>
      <c r="J363" s="99" t="n"/>
      <c r="L363" s="77" t="inlineStr">
        <is>
          <t>8.25R16-EZ867</t>
        </is>
      </c>
      <c r="M363" s="77" t="n">
        <v>2</v>
      </c>
    </row>
    <row r="364" customFormat="1" s="69">
      <c r="B364" s="92" t="inlineStr">
        <is>
          <t>285/75R24.5-14PR-HF1 Plus</t>
        </is>
      </c>
      <c r="C364" s="93" t="n">
        <v>37</v>
      </c>
      <c r="D364" s="495">
        <f>IF(C364="","",C364/(C364+$C$1/60))</f>
        <v/>
      </c>
      <c r="E364" s="95">
        <f>IFERROR(ROUND(1440/C364*2*D364,0),"")</f>
        <v/>
      </c>
      <c r="F364" s="96" t="n"/>
      <c r="G364" s="97" t="n"/>
      <c r="H364" s="74" t="n"/>
      <c r="I364" s="98" t="inlineStr">
        <is>
          <t>315/80R22.5-20PR-HA3 Plus</t>
        </is>
      </c>
      <c r="J364" s="99" t="n"/>
      <c r="L364" s="77" t="inlineStr">
        <is>
          <t>8.25R20-AZ850</t>
        </is>
      </c>
      <c r="M364" s="77" t="n">
        <v>2</v>
      </c>
    </row>
    <row r="365" customFormat="1" s="69">
      <c r="B365" s="92" t="inlineStr">
        <is>
          <t>285/75R24.5-14PR-I-19A</t>
        </is>
      </c>
      <c r="C365" s="93" t="n">
        <v>36.5</v>
      </c>
      <c r="D365" s="495">
        <f>IF(C365="","",C365/(C365+$C$1/60))</f>
        <v/>
      </c>
      <c r="E365" s="95">
        <f>IFERROR(ROUND(1440/C365*2*D365,0),"")</f>
        <v/>
      </c>
      <c r="F365" s="96" t="n"/>
      <c r="G365" s="97" t="n"/>
      <c r="H365" s="74" t="n"/>
      <c r="I365" s="98" t="inlineStr">
        <is>
          <t>315/80R22.5-20PR-I-31M</t>
        </is>
      </c>
      <c r="J365" s="99" t="n"/>
      <c r="L365" s="77" t="inlineStr">
        <is>
          <t>245/70R19.5-CR960A</t>
        </is>
      </c>
      <c r="M365" s="77" t="n">
        <v>2</v>
      </c>
    </row>
    <row r="366" customFormat="1" s="69">
      <c r="B366" s="92" t="inlineStr">
        <is>
          <t>295/75R22.5-14PR-HD1 Plus</t>
        </is>
      </c>
      <c r="C366" s="93" t="n">
        <v>40</v>
      </c>
      <c r="D366" s="495">
        <f>IF(C366="","",C366/(C366+$C$1/60))</f>
        <v/>
      </c>
      <c r="E366" s="95">
        <f>IFERROR(ROUND(1440/C366*2*D366,0),"")</f>
        <v/>
      </c>
      <c r="F366" s="96" t="n"/>
      <c r="G366" s="97" t="n"/>
      <c r="H366" s="74" t="n"/>
      <c r="I366" s="98" t="inlineStr">
        <is>
          <t>315/80R22.5-20PR-I-52A</t>
        </is>
      </c>
      <c r="J366" s="99" t="n"/>
      <c r="L366" s="77" t="inlineStr">
        <is>
          <t>10.00R20-AT196</t>
        </is>
      </c>
      <c r="M366" s="77" t="n">
        <v>2</v>
      </c>
    </row>
    <row r="367" customFormat="1" s="69">
      <c r="B367" s="92" t="inlineStr">
        <is>
          <t>295/75R22.5-14PR-HF1 Plus</t>
        </is>
      </c>
      <c r="C367" s="93" t="n">
        <v>38</v>
      </c>
      <c r="D367" s="495">
        <f>IF(C367="","",C367/(C367+$C$1/60))</f>
        <v/>
      </c>
      <c r="E367" s="95">
        <f>IFERROR(ROUND(1440/C367*2*D367,0),"")</f>
        <v/>
      </c>
      <c r="F367" s="96" t="n"/>
      <c r="G367" s="97" t="n"/>
      <c r="H367" s="74" t="n"/>
      <c r="I367" s="98" t="inlineStr">
        <is>
          <t>315/80R22.5-20PR-VDM924</t>
        </is>
      </c>
      <c r="J367" s="99" t="n"/>
      <c r="L367" s="77" t="inlineStr">
        <is>
          <t>11R22.5-AS600+</t>
        </is>
      </c>
      <c r="M367" s="77" t="n">
        <v>2</v>
      </c>
    </row>
    <row r="368" customFormat="1" s="69">
      <c r="B368" s="92" t="inlineStr">
        <is>
          <t>295/75R22.5-14PR-I-37D</t>
        </is>
      </c>
      <c r="C368" s="93" t="n">
        <v>38.5</v>
      </c>
      <c r="D368" s="495">
        <f>IF(C368="","",C368/(C368+$C$1/60))</f>
        <v/>
      </c>
      <c r="E368" s="95">
        <f>IFERROR(ROUND(1440/C368*2*D368,0),"")</f>
        <v/>
      </c>
      <c r="F368" s="96" t="n"/>
      <c r="G368" s="97" t="n"/>
      <c r="H368" s="74" t="n"/>
      <c r="I368" s="98" t="inlineStr">
        <is>
          <t>315/80R22.5-20PR-VA996</t>
        </is>
      </c>
      <c r="J368" s="99" t="n"/>
      <c r="L368" s="77" t="inlineStr">
        <is>
          <t>12.00R20-EZ835</t>
        </is>
      </c>
      <c r="M368" s="77" t="n">
        <v>4</v>
      </c>
    </row>
    <row r="369" customFormat="1" s="69">
      <c r="B369" s="92" t="inlineStr">
        <is>
          <t>295/75R22.5-16PR-HF1 Plus</t>
        </is>
      </c>
      <c r="C369" s="93" t="n">
        <v>38</v>
      </c>
      <c r="D369" s="495">
        <f>IF(C369="","",C369/(C369+$C$1/60))</f>
        <v/>
      </c>
      <c r="E369" s="95">
        <f>IFERROR(ROUND(1440/C369*2*D369,0),"")</f>
        <v/>
      </c>
      <c r="F369" s="96" t="n"/>
      <c r="G369" s="97" t="n"/>
      <c r="H369" s="74" t="n"/>
      <c r="I369" s="98" t="inlineStr">
        <is>
          <t>315/80R22.5-20PR-CM913A</t>
        </is>
      </c>
      <c r="J369" s="99" t="n"/>
      <c r="L369" s="77" t="inlineStr">
        <is>
          <t>11R22.5-CR989+</t>
        </is>
      </c>
      <c r="M369" s="77" t="n">
        <v>2</v>
      </c>
    </row>
    <row r="370" customFormat="1" s="69">
      <c r="B370" s="92" t="inlineStr">
        <is>
          <t>295/75R22.5-16PR-M-TRAC AP</t>
        </is>
      </c>
      <c r="C370" s="93" t="n">
        <v>38</v>
      </c>
      <c r="D370" s="495">
        <f>IF(C370="","",C370/(C370+$C$1/60))</f>
        <v/>
      </c>
      <c r="E370" s="95">
        <f>IFERROR(ROUND(1440/C370*2*D370,0),"")</f>
        <v/>
      </c>
      <c r="F370" s="96" t="n"/>
      <c r="G370" s="97" t="n"/>
      <c r="H370" s="74" t="n"/>
      <c r="I370" s="98" t="inlineStr">
        <is>
          <t>315/80R22.5-20PR-CM913A</t>
        </is>
      </c>
      <c r="J370" s="99" t="n"/>
      <c r="L370" s="77" t="inlineStr">
        <is>
          <t>295/75R22.5-CR989+</t>
        </is>
      </c>
      <c r="M370" s="77" t="n">
        <v>2</v>
      </c>
    </row>
    <row r="371" customFormat="1" s="69">
      <c r="B371" s="92" t="inlineStr">
        <is>
          <t>295/75R22.5-16PR-RLINE-D2</t>
        </is>
      </c>
      <c r="C371" s="93" t="n">
        <v>38</v>
      </c>
      <c r="D371" s="495">
        <f>IF(C371="","",C371/(C371+$C$1/60))</f>
        <v/>
      </c>
      <c r="E371" s="95">
        <f>IFERROR(ROUND(1440/C371*2*D371,0),"")</f>
        <v/>
      </c>
      <c r="F371" s="96" t="n"/>
      <c r="G371" s="97" t="n"/>
      <c r="H371" s="74" t="n"/>
      <c r="I371" s="98" t="inlineStr">
        <is>
          <t>315/80R22.5-20PR-CR926B</t>
        </is>
      </c>
      <c r="J371" s="99" t="n"/>
      <c r="L371" s="77" t="inlineStr">
        <is>
          <t>295/75R22.5-CM996</t>
        </is>
      </c>
      <c r="M371" s="77" t="n">
        <v>4</v>
      </c>
    </row>
    <row r="372" customFormat="1" s="69">
      <c r="B372" s="92" t="inlineStr">
        <is>
          <t>295/75R22.5-16PR-CR915</t>
        </is>
      </c>
      <c r="C372" s="93" t="n">
        <v>32.5</v>
      </c>
      <c r="D372" s="495">
        <f>IF(C372="","",C372/(C372+$C$1/60))</f>
        <v/>
      </c>
      <c r="E372" s="95">
        <f>IFERROR(ROUND(1440/C372*2*D372,0),"")</f>
        <v/>
      </c>
      <c r="F372" s="96" t="n"/>
      <c r="G372" s="97" t="n"/>
      <c r="H372" s="74" t="n"/>
      <c r="I372" s="98" t="inlineStr">
        <is>
          <t>315/80R22.5-20PR-CR926B</t>
        </is>
      </c>
      <c r="J372" s="99" t="n"/>
      <c r="L372" s="77" t="inlineStr">
        <is>
          <t>11R22.5-CM996</t>
        </is>
      </c>
      <c r="M372" s="77" t="n">
        <v>2</v>
      </c>
    </row>
    <row r="373" customFormat="1" s="69">
      <c r="B373" s="92" t="inlineStr">
        <is>
          <t>265/70R19.5-18PR-I-19A</t>
        </is>
      </c>
      <c r="C373" s="93" t="n">
        <v>34</v>
      </c>
      <c r="D373" s="495">
        <f>IF(C373="","",C373/(C373+$C$1/60))</f>
        <v/>
      </c>
      <c r="E373" s="95">
        <f>IFERROR(ROUND(1440/C373*2*D373,0),"")</f>
        <v/>
      </c>
      <c r="F373" s="96" t="n"/>
      <c r="G373" s="97" t="n"/>
      <c r="H373" s="74" t="n"/>
      <c r="I373" s="98" t="inlineStr">
        <is>
          <t>315/80R22.5-20PR-CM958</t>
        </is>
      </c>
      <c r="J373" s="99" t="n"/>
      <c r="L373" s="77" t="inlineStr">
        <is>
          <t>285/75R24.5-CM996</t>
        </is>
      </c>
      <c r="M373" s="77" t="n">
        <v>2</v>
      </c>
    </row>
    <row r="374" customFormat="1" s="69">
      <c r="B374" s="92" t="inlineStr">
        <is>
          <t>295/80R22.5-18PR-BRA06 PRO</t>
        </is>
      </c>
      <c r="C374" s="93" t="n">
        <v>41.5</v>
      </c>
      <c r="D374" s="495">
        <f>IF(C374="","",C374/(C374+$C$1/60))</f>
        <v/>
      </c>
      <c r="E374" s="95">
        <f>IFERROR(ROUND(1440/C374*2*D374,0),"")</f>
        <v/>
      </c>
      <c r="F374" s="96" t="n"/>
      <c r="G374" s="97" t="n"/>
      <c r="H374" s="74" t="n"/>
      <c r="I374" s="98" t="inlineStr">
        <is>
          <t>275/80R22.5-18PR-AZ179</t>
        </is>
      </c>
      <c r="J374" s="99" t="n"/>
      <c r="L374" s="77" t="inlineStr">
        <is>
          <t>11R24.5-CM996</t>
        </is>
      </c>
      <c r="M374" s="77" t="n">
        <v>2</v>
      </c>
    </row>
    <row r="375" customFormat="1" s="69">
      <c r="B375" s="92" t="inlineStr">
        <is>
          <t>11R24.5-14PR-I-48T</t>
        </is>
      </c>
      <c r="C375" s="93" t="n">
        <v>34.5</v>
      </c>
      <c r="D375" s="495">
        <f>IF(C375="","",C375/(C375+$C$1/60))</f>
        <v/>
      </c>
      <c r="E375" s="95">
        <f>IFERROR(ROUND(1440/C375*2*D375,0),"")</f>
        <v/>
      </c>
      <c r="F375" s="96" t="n"/>
      <c r="G375" s="97" t="n"/>
      <c r="H375" s="74" t="n"/>
      <c r="I375" s="98" t="inlineStr">
        <is>
          <t>295/80R22.5-18PR-CB972</t>
        </is>
      </c>
      <c r="J375" s="99" t="n"/>
      <c r="L375" s="77" t="inlineStr">
        <is>
          <t>11R22.5-RLINE-S1</t>
        </is>
      </c>
      <c r="M375" s="77" t="n">
        <v>2</v>
      </c>
    </row>
    <row r="376" customFormat="1" s="69">
      <c r="B376" s="92" t="inlineStr">
        <is>
          <t>11R24.5-16PR-I-52A</t>
        </is>
      </c>
      <c r="C376" s="93" t="n">
        <v>43</v>
      </c>
      <c r="D376" s="495">
        <f>IF(C376="","",C376/(C376+$C$1/60))</f>
        <v/>
      </c>
      <c r="E376" s="95">
        <f>IFERROR(ROUND(1440/C376*2*D376,0),"")</f>
        <v/>
      </c>
      <c r="F376" s="96" t="n"/>
      <c r="G376" s="97" t="n"/>
      <c r="H376" s="74" t="n"/>
      <c r="I376" s="98" t="inlineStr">
        <is>
          <t>295/80R22.5-18PR-AZ126T</t>
        </is>
      </c>
      <c r="J376" s="99" t="n"/>
      <c r="L376" s="77" t="inlineStr">
        <is>
          <t>295/75R22.5-RLINE-S1</t>
        </is>
      </c>
      <c r="M376" s="77" t="n">
        <v>2</v>
      </c>
    </row>
    <row r="377" customFormat="1" s="69">
      <c r="B377" s="92" t="inlineStr">
        <is>
          <t>225/70R19.5-14PR-M-TRAC HTD</t>
        </is>
      </c>
      <c r="C377" s="93" t="n">
        <v>32.5</v>
      </c>
      <c r="D377" s="495">
        <f>IF(C377="","",C377/(C377+$C$1/60))</f>
        <v/>
      </c>
      <c r="E377" s="95">
        <f>IFERROR(ROUND(1440/C377*2*D377,0),"")</f>
        <v/>
      </c>
      <c r="F377" s="96" t="n"/>
      <c r="G377" s="97" t="n"/>
      <c r="H377" s="74" t="n"/>
      <c r="I377" s="98" t="inlineStr">
        <is>
          <t>295/80R22.5-18PR-AZ183</t>
        </is>
      </c>
      <c r="J377" s="99" t="n"/>
      <c r="L377" s="77" t="inlineStr">
        <is>
          <t>295/75R22.5-RLINE-D1</t>
        </is>
      </c>
      <c r="M377" s="77" t="n">
        <v>4</v>
      </c>
    </row>
    <row r="378" customFormat="1" s="69">
      <c r="B378" s="92" t="inlineStr">
        <is>
          <t>225/70R19.5-14PR-M-TRAC AP</t>
        </is>
      </c>
      <c r="C378" s="93" t="n">
        <v>30.3</v>
      </c>
      <c r="D378" s="495">
        <f>IF(C378="","",C378/(C378+$C$1/60))</f>
        <v/>
      </c>
      <c r="E378" s="95">
        <f>IFERROR(ROUND(1440/C378*2*D378,0),"")</f>
        <v/>
      </c>
      <c r="F378" s="96" t="n"/>
      <c r="G378" s="97" t="n"/>
      <c r="H378" s="74" t="n"/>
      <c r="I378" s="98" t="inlineStr">
        <is>
          <t>295/80R22.5-18PR-BRD02 ECO</t>
        </is>
      </c>
      <c r="J378" s="99" t="n"/>
      <c r="L378" s="77" t="inlineStr">
        <is>
          <t>11R22.5-RLINE-D1</t>
        </is>
      </c>
      <c r="M378" s="77" t="n">
        <v>2</v>
      </c>
    </row>
    <row r="379" customFormat="1" s="69">
      <c r="B379" s="92" t="inlineStr">
        <is>
          <t>275/80R22.5-16PR-AZ179</t>
        </is>
      </c>
      <c r="C379" s="93" t="n">
        <v>35</v>
      </c>
      <c r="D379" s="495">
        <f>IF(C379="","",C379/(C379+$C$1/60))</f>
        <v/>
      </c>
      <c r="E379" s="95">
        <f>IFERROR(ROUND(1440/C379*2*D379,0),"")</f>
        <v/>
      </c>
      <c r="F379" s="96" t="n"/>
      <c r="G379" s="97" t="n"/>
      <c r="H379" s="74" t="n"/>
      <c r="I379" s="98" t="inlineStr">
        <is>
          <t>295/80R22.5-18PR-AS567</t>
        </is>
      </c>
      <c r="J379" s="99" t="n"/>
      <c r="L379" s="77" t="inlineStr">
        <is>
          <t>285/75R24.5-RLINE-D1</t>
        </is>
      </c>
      <c r="M379" s="77" t="n">
        <v>2</v>
      </c>
    </row>
    <row r="380" customFormat="1" s="69">
      <c r="B380" s="92" t="inlineStr">
        <is>
          <t>275/70R22.5-18PR-I-19A</t>
        </is>
      </c>
      <c r="C380" s="93" t="n">
        <v>35</v>
      </c>
      <c r="D380" s="495">
        <f>IF(C380="","",C380/(C380+$C$1/60))</f>
        <v/>
      </c>
      <c r="E380" s="95">
        <f>IFERROR(ROUND(1440/C380*2*D380,0),"")</f>
        <v/>
      </c>
      <c r="F380" s="96" t="n"/>
      <c r="G380" s="97" t="n"/>
      <c r="H380" s="74" t="n"/>
      <c r="I380" s="98" t="inlineStr">
        <is>
          <t>295/80R22.5-18PR-AS589</t>
        </is>
      </c>
      <c r="J380" s="99" t="n"/>
      <c r="L380" s="77" t="inlineStr">
        <is>
          <t>11R24.5-RLINE-D1</t>
        </is>
      </c>
      <c r="M380" s="77" t="n">
        <v>2</v>
      </c>
    </row>
    <row r="381" customFormat="1" s="69">
      <c r="B381" s="92" t="inlineStr">
        <is>
          <t>315/80R22.5-20PR-HA3 Plus</t>
        </is>
      </c>
      <c r="C381" s="93" t="n">
        <v>38</v>
      </c>
      <c r="D381" s="495">
        <f>IF(C381="","",C381/(C381+$C$1/60))</f>
        <v/>
      </c>
      <c r="E381" s="95">
        <f>IFERROR(ROUND(1440/C381*2*D381,0),"")</f>
        <v/>
      </c>
      <c r="F381" s="96" t="n"/>
      <c r="G381" s="97" t="n"/>
      <c r="H381" s="74" t="n"/>
      <c r="I381" s="98" t="inlineStr">
        <is>
          <t>295/80R22.5-18PR-ECOLINE A-I</t>
        </is>
      </c>
      <c r="J381" s="99" t="n"/>
      <c r="L381" s="77" t="inlineStr">
        <is>
          <t>275/80R22.5-AT196</t>
        </is>
      </c>
      <c r="M381" s="77" t="n">
        <v>2</v>
      </c>
    </row>
    <row r="382" customFormat="1" s="69">
      <c r="B382" s="92" t="inlineStr">
        <is>
          <t>315/80R22.5-20PR-I-31M</t>
        </is>
      </c>
      <c r="C382" s="93" t="n">
        <v>43</v>
      </c>
      <c r="D382" s="495">
        <f>IF(C382="","",C382/(C382+$C$1/60))</f>
        <v/>
      </c>
      <c r="E382" s="95">
        <f>IFERROR(ROUND(1440/C382*2*D382,0),"")</f>
        <v/>
      </c>
      <c r="F382" s="96" t="n"/>
      <c r="G382" s="97" t="n"/>
      <c r="H382" s="74" t="n"/>
      <c r="I382" s="98" t="inlineStr">
        <is>
          <t>295/80R22.5-18PR-ECOTRAX D-I</t>
        </is>
      </c>
      <c r="J382" s="99" t="n"/>
      <c r="L382" s="77" t="inlineStr">
        <is>
          <t>10.00R20 TT/TL-CB382</t>
        </is>
      </c>
      <c r="M382" s="77" t="n">
        <v>2</v>
      </c>
    </row>
    <row r="383" customFormat="1" s="69">
      <c r="B383" s="92" t="inlineStr">
        <is>
          <t>315/80R22.5-20PR-I-52A</t>
        </is>
      </c>
      <c r="C383" s="93" t="n">
        <v>43</v>
      </c>
      <c r="D383" s="495">
        <f>IF(C383="","",C383/(C383+$C$1/60))</f>
        <v/>
      </c>
      <c r="E383" s="95">
        <f>IFERROR(ROUND(1440/C383*2*D383,0),"")</f>
        <v/>
      </c>
      <c r="F383" s="96" t="n"/>
      <c r="G383" s="97" t="n"/>
      <c r="H383" s="74" t="n"/>
      <c r="I383" s="98" t="inlineStr">
        <is>
          <t>8.25R16-16PR-CR926</t>
        </is>
      </c>
      <c r="J383" s="99" t="n"/>
      <c r="L383" s="77" t="inlineStr">
        <is>
          <t>12.00R20 TT/TL-CB382</t>
        </is>
      </c>
      <c r="M383" s="77" t="n">
        <v>2</v>
      </c>
    </row>
    <row r="384" customFormat="1" s="69">
      <c r="B384" s="92" t="inlineStr">
        <is>
          <t>315/80R22.5-20PR-CM913A</t>
        </is>
      </c>
      <c r="C384" s="93" t="n">
        <v>41.5</v>
      </c>
      <c r="D384" s="495">
        <f>IF(C384="","",C384/(C384+$C$1/60))</f>
        <v/>
      </c>
      <c r="E384" s="95">
        <f>IFERROR(ROUND(1440/C384*2*D384,0),"")</f>
        <v/>
      </c>
      <c r="F384" s="96" t="n"/>
      <c r="G384" s="97" t="n"/>
      <c r="H384" s="74" t="n"/>
      <c r="I384" s="98" t="inlineStr">
        <is>
          <t>12.00R20-20PR-XC809</t>
        </is>
      </c>
      <c r="J384" s="99" t="n"/>
      <c r="L384" s="77" t="inlineStr">
        <is>
          <t>12.00R24 TT/TL-CB382</t>
        </is>
      </c>
      <c r="M384" s="77" t="n">
        <v>2</v>
      </c>
    </row>
    <row r="385" customFormat="1" s="69">
      <c r="B385" s="92" t="inlineStr">
        <is>
          <t>315/80R22.5-20PR-CR926B</t>
        </is>
      </c>
      <c r="C385" s="93" t="n">
        <v>40</v>
      </c>
      <c r="D385" s="495">
        <f>IF(C385="","",C385/(C385+$C$1/60))</f>
        <v/>
      </c>
      <c r="E385" s="95">
        <f>IFERROR(ROUND(1440/C385*2*D385,0),"")</f>
        <v/>
      </c>
      <c r="F385" s="96" t="n"/>
      <c r="G385" s="97" t="n"/>
      <c r="H385" s="74" t="n"/>
      <c r="I385" s="75" t="n"/>
      <c r="J385" s="76" t="n"/>
      <c r="L385" s="77" t="inlineStr">
        <is>
          <t>310/80R22.5 TL-CR380</t>
        </is>
      </c>
      <c r="M385" s="77" t="n">
        <v>2</v>
      </c>
    </row>
    <row r="386" customFormat="1" s="69">
      <c r="B386" s="92" t="inlineStr">
        <is>
          <t>11R22.5-16PR-M TRAC CSD</t>
        </is>
      </c>
      <c r="C386" s="93" t="n">
        <v>38.5</v>
      </c>
      <c r="D386" s="495">
        <f>IF(C386="","",C386/(C386+$C$1/60))</f>
        <v/>
      </c>
      <c r="E386" s="95">
        <f>IFERROR(ROUND(1440/C386*2*D386,0),"")</f>
        <v/>
      </c>
      <c r="F386" s="96" t="n"/>
      <c r="G386" s="97" t="n"/>
      <c r="H386" s="74" t="n"/>
      <c r="I386" s="75" t="inlineStr">
        <is>
          <t>ID12R22.5-18PR(152/149F)[EZ870]雅度无内</t>
        </is>
      </c>
      <c r="J386" s="76" t="n">
        <v>1089.464159</v>
      </c>
      <c r="L386" s="77" t="inlineStr">
        <is>
          <t>280/75R22.5 TL-CR380</t>
        </is>
      </c>
      <c r="M386" s="77" t="n">
        <v>2</v>
      </c>
    </row>
    <row r="387" customFormat="1" s="69">
      <c r="B387" s="92" t="inlineStr">
        <is>
          <t>11R22.5-16PR-AZ599</t>
        </is>
      </c>
      <c r="C387" s="93" t="n">
        <v>37.5</v>
      </c>
      <c r="D387" s="495">
        <f>IF(C387="","",C387/(C387+$C$1/60))</f>
        <v/>
      </c>
      <c r="E387" s="95">
        <f>IFERROR(ROUND(1440/C387*2*D387,0),"")</f>
        <v/>
      </c>
      <c r="F387" s="96" t="n"/>
      <c r="G387" s="97" t="n"/>
      <c r="H387" s="74" t="n"/>
      <c r="I387" s="75" t="inlineStr">
        <is>
          <t>ID11R22.5-16PR(146/143L)[DOMINATE D01]BLACKARROW无内</t>
        </is>
      </c>
      <c r="J387" s="76" t="n">
        <v>854.698222</v>
      </c>
      <c r="L387" s="77" t="inlineStr">
        <is>
          <t>300/80R22.5 TL-CR380</t>
        </is>
      </c>
      <c r="M387" s="77" t="n">
        <v>2</v>
      </c>
    </row>
    <row r="388" customFormat="1" s="69">
      <c r="B388" s="92" t="inlineStr">
        <is>
          <t>11R22.5-18PR-AZ850</t>
        </is>
      </c>
      <c r="C388" s="93" t="n">
        <v>38</v>
      </c>
      <c r="D388" s="495">
        <f>IF(C388="","",C388/(C388+$C$1/60))</f>
        <v/>
      </c>
      <c r="E388" s="95">
        <f>IFERROR(ROUND(1440/C388*2*D388,0),"")</f>
        <v/>
      </c>
      <c r="F388" s="96" t="n"/>
      <c r="G388" s="97" t="n"/>
      <c r="H388" s="74" t="n"/>
      <c r="I388" s="75" t="inlineStr">
        <is>
          <t>IDST175/80R13-6PR[ST226]91/87L GOODRIDE(好运)无内 NR</t>
        </is>
      </c>
      <c r="J388" s="76" t="n">
        <v>112.330407</v>
      </c>
      <c r="L388" s="77" t="inlineStr">
        <is>
          <t>ST235/80R16-CR960A</t>
        </is>
      </c>
      <c r="M388" s="77" t="n">
        <v>2</v>
      </c>
    </row>
    <row r="389" customFormat="1" s="69">
      <c r="B389" s="92" t="inlineStr">
        <is>
          <t>11R22.5-18PR-AS858</t>
        </is>
      </c>
      <c r="C389" s="93" t="n">
        <v>41.5</v>
      </c>
      <c r="D389" s="495">
        <f>IF(C389="","",C389/(C389+$C$1/60))</f>
        <v/>
      </c>
      <c r="E389" s="95">
        <f>IFERROR(ROUND(1440/C389*2*D389,0),"")</f>
        <v/>
      </c>
      <c r="F389" s="96" t="n"/>
      <c r="G389" s="97" t="n"/>
      <c r="H389" s="74" t="n"/>
      <c r="I389" s="75" t="inlineStr">
        <is>
          <t>ID285/75R24.5-14PR(144/141L)[AS600]ARISUN无内</t>
        </is>
      </c>
      <c r="J389" s="76" t="n">
        <v>783.180055</v>
      </c>
      <c r="L389" s="77" t="inlineStr">
        <is>
          <t>ST235/85R16-CR960A</t>
        </is>
      </c>
      <c r="M389" s="77" t="n">
        <v>2</v>
      </c>
    </row>
    <row r="390" customFormat="1" s="69">
      <c r="B390" s="92" t="inlineStr">
        <is>
          <t>11R22.5-16PR-M-TRAC CSD</t>
        </is>
      </c>
      <c r="C390" s="93" t="n">
        <v>38.5</v>
      </c>
      <c r="D390" s="495">
        <f>IF(C390="","",C390/(C390+$C$1/60))</f>
        <v/>
      </c>
      <c r="E390" s="95">
        <f>IFERROR(ROUND(1440/C390*2*D390,0),"")</f>
        <v/>
      </c>
      <c r="F390" s="96" t="n"/>
      <c r="G390" s="97" t="n"/>
      <c r="H390" s="74" t="n"/>
      <c r="I390" s="75" t="inlineStr">
        <is>
          <t>ID10.00-20-18PR[R9037]150/145G GOODRIDE(好运)</t>
        </is>
      </c>
      <c r="J390" s="76" t="n">
        <v>944.494075</v>
      </c>
      <c r="L390" s="77" t="inlineStr">
        <is>
          <t>ST225/75R15-CR960A</t>
        </is>
      </c>
      <c r="M390" s="77" t="n">
        <v>2</v>
      </c>
    </row>
    <row r="391" customFormat="1" s="69">
      <c r="B391" s="92" t="inlineStr">
        <is>
          <t>11R22.5-16PR-H-RA</t>
        </is>
      </c>
      <c r="C391" s="93" t="n">
        <v>37.5</v>
      </c>
      <c r="D391" s="495">
        <f>IF(C391="","",C391/(C391+$C$1/60))</f>
        <v/>
      </c>
      <c r="E391" s="95">
        <f>IFERROR(ROUND(1440/C391*2*D391,0),"")</f>
        <v/>
      </c>
      <c r="F391" s="96" t="n"/>
      <c r="G391" s="97" t="n"/>
      <c r="H391" s="74" t="n"/>
      <c r="I391" s="75" t="inlineStr">
        <is>
          <t>ID165/70R13PR[Z-108]79T 西湖无内</t>
        </is>
      </c>
      <c r="J391" s="76" t="n">
        <v>95.761323</v>
      </c>
      <c r="L391" s="77" t="inlineStr">
        <is>
          <t>11R22.5-DL21</t>
        </is>
      </c>
      <c r="M391" s="77" t="n">
        <v>2</v>
      </c>
    </row>
    <row r="392" customFormat="1" s="69">
      <c r="B392" s="92" t="inlineStr">
        <is>
          <t>11R22.5-16PR-H-MD</t>
        </is>
      </c>
      <c r="C392" s="93" t="n">
        <v>44</v>
      </c>
      <c r="D392" s="495">
        <f>IF(C392="","",C392/(C392+$C$1/60))</f>
        <v/>
      </c>
      <c r="E392" s="95">
        <f>IFERROR(ROUND(1440/C392*2*D392,0),"")</f>
        <v/>
      </c>
      <c r="F392" s="96" t="n"/>
      <c r="G392" s="97" t="n"/>
      <c r="H392" s="74" t="n"/>
      <c r="I392" s="75" t="inlineStr">
        <is>
          <t>ID12.00R20-22PR(158/155J)[AZ850]雅度 东南亚</t>
        </is>
      </c>
      <c r="J392" s="76" t="n">
        <v>1191.767864</v>
      </c>
      <c r="L392" s="77" t="inlineStr">
        <is>
          <t>11R24.5-DL21</t>
        </is>
      </c>
      <c r="M392" s="77" t="n">
        <v>2</v>
      </c>
    </row>
    <row r="393" customFormat="1" s="69">
      <c r="B393" s="92" t="inlineStr">
        <is>
          <t>11R22.5-16PR-HCC1 PlusX</t>
        </is>
      </c>
      <c r="C393" s="93" t="n">
        <v>36.5</v>
      </c>
      <c r="D393" s="495">
        <f>IF(C393="","",C393/(C393+$C$1/60))</f>
        <v/>
      </c>
      <c r="E393" s="95">
        <f>IFERROR(ROUND(1440/C393*2*D393,0),"")</f>
        <v/>
      </c>
      <c r="F393" s="96" t="n"/>
      <c r="G393" s="97" t="n"/>
      <c r="H393" s="74" t="n"/>
      <c r="I393" s="75" t="inlineStr">
        <is>
          <t>ID11R24.5-16PR(149/146L)[HD1 PlusX]SUPERMAX ECO无内</t>
        </is>
      </c>
      <c r="J393" s="76" t="n">
        <v>802.709621</v>
      </c>
      <c r="L393" s="77" t="inlineStr">
        <is>
          <t>285/75R24.5-DL21</t>
        </is>
      </c>
      <c r="M393" s="77" t="n">
        <v>2</v>
      </c>
    </row>
    <row r="394" customFormat="1" s="69">
      <c r="B394" s="92" t="inlineStr">
        <is>
          <t>11R22.5-16PR-HD1 PlusX</t>
        </is>
      </c>
      <c r="C394" s="93" t="n">
        <v>38</v>
      </c>
      <c r="D394" s="495">
        <f>IF(C394="","",C394/(C394+$C$1/60))</f>
        <v/>
      </c>
      <c r="E394" s="95">
        <f>IFERROR(ROUND(1440/C394*2*D394,0),"")</f>
        <v/>
      </c>
      <c r="F394" s="96" t="n"/>
      <c r="G394" s="97" t="n"/>
      <c r="H394" s="74" t="n"/>
      <c r="I394" s="75" t="inlineStr">
        <is>
          <t>ID385/65R22.5-20PR(160K)[AT532]朝阳无内</t>
        </is>
      </c>
      <c r="J394" s="76" t="n">
        <v>1048.347398</v>
      </c>
      <c r="L394" s="77" t="inlineStr">
        <is>
          <t>295/75R22.5-DL21</t>
        </is>
      </c>
      <c r="M394" s="77" t="n">
        <v>2</v>
      </c>
    </row>
    <row r="395" customFormat="1" s="69">
      <c r="B395" s="92" t="inlineStr">
        <is>
          <t>11R22.5-16PR-HD2 PlusX</t>
        </is>
      </c>
      <c r="C395" s="93" t="n">
        <v>39.5</v>
      </c>
      <c r="D395" s="495">
        <f>IF(C395="","",C395/(C395+$C$1/60))</f>
        <v/>
      </c>
      <c r="E395" s="95">
        <f>IFERROR(ROUND(1440/C395*2*D395,0),"")</f>
        <v/>
      </c>
      <c r="F395" s="96" t="n"/>
      <c r="G395" s="97" t="n"/>
      <c r="H395" s="74" t="n"/>
      <c r="I395" s="75" t="inlineStr">
        <is>
          <t>ID14.9-24-12PR[STRONG GUARD XR4]HERCULES无内</t>
        </is>
      </c>
      <c r="J395" s="76" t="n">
        <v>1159.447702</v>
      </c>
      <c r="L395" s="77" t="inlineStr">
        <is>
          <t>11R22.5-DL22</t>
        </is>
      </c>
      <c r="M395" s="77" t="n">
        <v>2</v>
      </c>
    </row>
    <row r="396" customFormat="1" s="69">
      <c r="B396" s="92" t="inlineStr">
        <is>
          <t>11R22.5-16PR-HF1 PlusX</t>
        </is>
      </c>
      <c r="C396" s="93" t="n">
        <v>36</v>
      </c>
      <c r="D396" s="495">
        <f>IF(C396="","",C396/(C396+$C$1/60))</f>
        <v/>
      </c>
      <c r="E396" s="95">
        <f>IFERROR(ROUND(1440/C396*2*D396,0),"")</f>
        <v/>
      </c>
      <c r="F396" s="96" t="n"/>
      <c r="G396" s="97" t="n"/>
      <c r="H396" s="74" t="n"/>
      <c r="I396" s="75" t="inlineStr">
        <is>
          <t>ID(D104008)110/70-12-6P[H-566]52P GOLDEN CROWN 纳米高抓 TL</t>
        </is>
      </c>
      <c r="J396" s="76" t="n">
        <v>44.985094</v>
      </c>
      <c r="L396" s="77" t="inlineStr">
        <is>
          <t>11R24.5-DL22</t>
        </is>
      </c>
      <c r="M396" s="77" t="n">
        <v>2</v>
      </c>
    </row>
    <row r="397" customFormat="1" s="69">
      <c r="B397" s="92" t="inlineStr">
        <is>
          <t>11R22.5-16PR-Strong Guard H-RA</t>
        </is>
      </c>
      <c r="C397" s="93" t="n">
        <v>37.5</v>
      </c>
      <c r="D397" s="495">
        <f>IF(C397="","",C397/(C397+$C$1/60))</f>
        <v/>
      </c>
      <c r="E397" s="95">
        <f>IFERROR(ROUND(1440/C397*2*D397,0),"")</f>
        <v/>
      </c>
      <c r="F397" s="96" t="n"/>
      <c r="G397" s="97" t="n"/>
      <c r="H397" s="74" t="n"/>
      <c r="I397" s="75" t="inlineStr">
        <is>
          <t>ID(G104023)110/70-12-6P[H-565-2]52P GOODRIDE 纳米高抓 TL</t>
        </is>
      </c>
      <c r="J397" s="76" t="n">
        <v>44.985094</v>
      </c>
      <c r="L397" s="77" t="inlineStr">
        <is>
          <t>285/75R24.5-DL22</t>
        </is>
      </c>
      <c r="M397" s="77" t="n">
        <v>2</v>
      </c>
    </row>
    <row r="398" customFormat="1" s="69">
      <c r="B398" s="92" t="inlineStr">
        <is>
          <t>11R22.5-16PR-Strong Guard H-MD</t>
        </is>
      </c>
      <c r="C398" s="93" t="n">
        <v>44</v>
      </c>
      <c r="D398" s="495">
        <f>IF(C398="","",C398/(C398+$C$1/60))</f>
        <v/>
      </c>
      <c r="E398" s="95">
        <f>IFERROR(ROUND(1440/C398*2*D398,0),"")</f>
        <v/>
      </c>
      <c r="F398" s="96" t="n"/>
      <c r="G398" s="97" t="n"/>
      <c r="H398" s="74" t="n"/>
      <c r="I398" s="75" t="inlineStr">
        <is>
          <t>ID445/50R22.5-20PR(161L)[HT2 Plus]SUPERMAX无内</t>
        </is>
      </c>
      <c r="J398" s="76" t="n">
        <v>1140.466964</v>
      </c>
      <c r="L398" s="77" t="inlineStr">
        <is>
          <t>295/75R22.5-DL22</t>
        </is>
      </c>
      <c r="M398" s="77" t="n">
        <v>2</v>
      </c>
    </row>
    <row r="399" customFormat="1" s="69">
      <c r="B399" s="92" t="inlineStr">
        <is>
          <t>11R22.5-14PR-Strong Guard H-TL</t>
        </is>
      </c>
      <c r="C399" s="93" t="n">
        <v>34</v>
      </c>
      <c r="D399" s="495">
        <f>IF(C399="","",C399/(C399+$C$1/60))</f>
        <v/>
      </c>
      <c r="E399" s="95">
        <f>IFERROR(ROUND(1440/C399*2*D399,0),"")</f>
        <v/>
      </c>
      <c r="F399" s="96" t="n"/>
      <c r="G399" s="97" t="n"/>
      <c r="H399" s="74" t="n"/>
      <c r="I399" s="75" t="inlineStr">
        <is>
          <t>IDST205/75R14-6PR[ASSURE ST]100/96N XCELLENT无内</t>
        </is>
      </c>
      <c r="J399" s="76" t="n">
        <v>133.740768</v>
      </c>
      <c r="L399" s="77" t="inlineStr">
        <is>
          <t>11R22.5-TL31</t>
        </is>
      </c>
      <c r="M399" s="77" t="n">
        <v>2</v>
      </c>
    </row>
    <row r="400" customFormat="1" s="69">
      <c r="B400" s="92" t="inlineStr">
        <is>
          <t>295/75R22.5-14PR-HT1 Plus</t>
        </is>
      </c>
      <c r="C400" s="93" t="n">
        <v>33.5</v>
      </c>
      <c r="D400" s="495">
        <f>IF(C400="","",C400/(C400+$C$1/60))</f>
        <v/>
      </c>
      <c r="E400" s="95">
        <f>IFERROR(ROUND(1440/C400*2*D400,0),"")</f>
        <v/>
      </c>
      <c r="F400" s="96" t="n"/>
      <c r="G400" s="97" t="n"/>
      <c r="H400" s="74" t="n"/>
      <c r="I400" s="75" t="inlineStr">
        <is>
          <t>IDST235/80R16-10PR[ST200]124/120M GOODRIDE(好运)无内 NR</t>
        </is>
      </c>
      <c r="J400" s="76" t="n">
        <v>242.253179</v>
      </c>
      <c r="L400" s="77" t="inlineStr">
        <is>
          <t>295/75R22.5-TL31</t>
        </is>
      </c>
      <c r="M400" s="77" t="n">
        <v>2</v>
      </c>
    </row>
    <row r="401" customFormat="1" s="69">
      <c r="B401" s="92" t="inlineStr">
        <is>
          <t>295/75R22.5-16PR-HD1 Plus</t>
        </is>
      </c>
      <c r="C401" s="93" t="n">
        <v>40</v>
      </c>
      <c r="D401" s="495">
        <f>IF(C401="","",C401/(C401+$C$1/60))</f>
        <v/>
      </c>
      <c r="E401" s="95">
        <f>IFERROR(ROUND(1440/C401*2*D401,0),"")</f>
        <v/>
      </c>
      <c r="F401" s="96" t="n"/>
      <c r="G401" s="97" t="n"/>
      <c r="H401" s="74" t="n"/>
      <c r="I401" s="75" t="inlineStr">
        <is>
          <t>ID285/75R24.5-14PR(144/141L)[AS673]ARISUN无内</t>
        </is>
      </c>
      <c r="J401" s="76" t="n">
        <v>828.746702</v>
      </c>
      <c r="L401" s="77" t="inlineStr">
        <is>
          <t>11R22.5-ZA12</t>
        </is>
      </c>
      <c r="M401" s="77" t="n">
        <v>2</v>
      </c>
    </row>
    <row r="402" customFormat="1" s="69">
      <c r="B402" s="92" t="inlineStr">
        <is>
          <t>295/75R22.5-16PR-HD1 PlusX</t>
        </is>
      </c>
      <c r="C402" s="93" t="n">
        <v>38.5</v>
      </c>
      <c r="D402" s="495">
        <f>IF(C402="","",C402/(C402+$C$1/60))</f>
        <v/>
      </c>
      <c r="E402" s="95">
        <f>IFERROR(ROUND(1440/C402*2*D402,0),"")</f>
        <v/>
      </c>
      <c r="F402" s="96" t="n"/>
      <c r="G402" s="97" t="n"/>
      <c r="H402" s="74" t="n"/>
      <c r="I402" s="75" t="inlineStr">
        <is>
          <t>ID285/75R24.5-14PR(144/141L)[AD778]ARISUN无内</t>
        </is>
      </c>
      <c r="J402" s="76" t="n">
        <v>872.517996</v>
      </c>
      <c r="L402" s="77" t="inlineStr">
        <is>
          <t>11R24.5-ZA12</t>
        </is>
      </c>
      <c r="M402" s="77" t="n">
        <v>2</v>
      </c>
    </row>
    <row r="403" customFormat="1" s="69">
      <c r="B403" s="92" t="inlineStr">
        <is>
          <t>295/75R22.5-16PR-HD2 PlusX</t>
        </is>
      </c>
      <c r="C403" s="93" t="n">
        <v>37</v>
      </c>
      <c r="D403" s="495">
        <f>IF(C403="","",C403/(C403+$C$1/60))</f>
        <v/>
      </c>
      <c r="E403" s="95">
        <f>IFERROR(ROUND(1440/C403*2*D403,0),"")</f>
        <v/>
      </c>
      <c r="F403" s="96" t="n"/>
      <c r="G403" s="97" t="n"/>
      <c r="H403" s="74" t="n"/>
      <c r="I403" s="75" t="inlineStr">
        <is>
          <t>ID275/70R22.5-16PR(148/145L)[AT557]朝阳无内</t>
        </is>
      </c>
      <c r="J403" s="76" t="n">
        <v>746.424763</v>
      </c>
      <c r="L403" s="77" t="inlineStr">
        <is>
          <t>285/75R24.5-ZA12</t>
        </is>
      </c>
      <c r="M403" s="77" t="n">
        <v>2</v>
      </c>
    </row>
    <row r="404" customFormat="1" s="69">
      <c r="B404" s="92" t="inlineStr">
        <is>
          <t>295/75R22.5-16PR-HF1 PlusX</t>
        </is>
      </c>
      <c r="C404" s="93" t="n">
        <v>36</v>
      </c>
      <c r="D404" s="495">
        <f>IF(C404="","",C404/(C404+$C$1/60))</f>
        <v/>
      </c>
      <c r="E404" s="95">
        <f>IFERROR(ROUND(1440/C404*2*D404,0),"")</f>
        <v/>
      </c>
      <c r="F404" s="96" t="n"/>
      <c r="G404" s="97" t="n"/>
      <c r="H404" s="74" t="n"/>
      <c r="I404" s="75" t="inlineStr">
        <is>
          <t>ID11R24.5-16PR(149/146L)[CR926D]朝阳无内</t>
        </is>
      </c>
      <c r="J404" s="76" t="n">
        <v>814.810612</v>
      </c>
      <c r="L404" s="77" t="inlineStr">
        <is>
          <t>295/75R22.5-ZA12</t>
        </is>
      </c>
      <c r="M404" s="77" t="n">
        <v>2</v>
      </c>
    </row>
    <row r="405" customFormat="1" s="69">
      <c r="B405" s="92" t="inlineStr">
        <is>
          <t>295/75R22.5-16PR-I-52A</t>
        </is>
      </c>
      <c r="C405" s="93" t="n">
        <v>38</v>
      </c>
      <c r="D405" s="495">
        <f>IF(C405="","",C405/(C405+$C$1/60))</f>
        <v/>
      </c>
      <c r="E405" s="95">
        <f>IFERROR(ROUND(1440/C405*2*D405,0),"")</f>
        <v/>
      </c>
      <c r="F405" s="96" t="n"/>
      <c r="G405" s="97" t="n"/>
      <c r="H405" s="74" t="n"/>
      <c r="I405" s="75" t="inlineStr">
        <is>
          <t>ID11R24.5-16PR(149/146L)[AD759]ARISUN无内</t>
        </is>
      </c>
      <c r="J405" s="76" t="n">
        <v>912.5075890000001</v>
      </c>
      <c r="L405" s="77" t="inlineStr">
        <is>
          <t>255/70R22.5-ZA12</t>
        </is>
      </c>
      <c r="M405" s="77" t="n">
        <v>2</v>
      </c>
    </row>
    <row r="406" customFormat="1" s="69">
      <c r="B406" s="92" t="inlineStr">
        <is>
          <t>295/75R22.5-16PR-HT1 PlusX</t>
        </is>
      </c>
      <c r="C406" s="93" t="n">
        <v>34.5</v>
      </c>
      <c r="D406" s="495">
        <f>IF(C406="","",C406/(C406+$C$1/60))</f>
        <v/>
      </c>
      <c r="E406" s="95">
        <f>IFERROR(ROUND(1440/C406*2*D406,0),"")</f>
        <v/>
      </c>
      <c r="F406" s="96" t="n"/>
      <c r="G406" s="97" t="n"/>
      <c r="H406" s="74" t="n"/>
      <c r="I406" s="75" t="inlineStr">
        <is>
          <t>ID11R24.5-16PR(149/146L)[HCC1 Plus]SUPERMAX无内</t>
        </is>
      </c>
      <c r="J406" s="76" t="n">
        <v>833.266084</v>
      </c>
      <c r="L406" s="77" t="inlineStr">
        <is>
          <t>275/70R22.5-ZA12</t>
        </is>
      </c>
      <c r="M406" s="77" t="n">
        <v>2</v>
      </c>
    </row>
    <row r="407" customFormat="1" s="69">
      <c r="B407" s="92" t="inlineStr">
        <is>
          <t>11R24.5-14PR-Strong Guard H-TL</t>
        </is>
      </c>
      <c r="C407" s="93" t="n">
        <v>36</v>
      </c>
      <c r="D407" s="495">
        <f>IF(C407="","",C407/(C407+$C$1/60))</f>
        <v/>
      </c>
      <c r="E407" s="95">
        <f>IFERROR(ROUND(1440/C407*2*D407,0),"")</f>
        <v/>
      </c>
      <c r="F407" s="96" t="n"/>
      <c r="G407" s="97" t="n"/>
      <c r="H407" s="74" t="n"/>
      <c r="I407" s="75" t="inlineStr">
        <is>
          <t>ID11R22.5-16PR(146/143L)[AD759]ARISUN无内</t>
        </is>
      </c>
      <c r="J407" s="76" t="n">
        <v>853.74289</v>
      </c>
      <c r="L407" s="77" t="inlineStr">
        <is>
          <t>445/50R22.5-TL32</t>
        </is>
      </c>
      <c r="M407" s="77" t="n">
        <v>2</v>
      </c>
    </row>
    <row r="408" customFormat="1" s="69">
      <c r="B408" s="92" t="inlineStr">
        <is>
          <t>11R24.5-16PR-Strong Guard H-MD</t>
        </is>
      </c>
      <c r="C408" s="93" t="n">
        <v>42.5</v>
      </c>
      <c r="D408" s="495">
        <f>IF(C408="","",C408/(C408+$C$1/60))</f>
        <v/>
      </c>
      <c r="E408" s="95">
        <f>IFERROR(ROUND(1440/C408*2*D408,0),"")</f>
        <v/>
      </c>
      <c r="F408" s="96" t="n"/>
      <c r="G408" s="97" t="n"/>
      <c r="H408" s="74" t="n"/>
      <c r="I408" s="75" t="inlineStr">
        <is>
          <t>ID255/70R22.5-16PR(140/137L)[AZ579]GOODRIDE(好运)无内</t>
        </is>
      </c>
      <c r="J408" s="76" t="n">
        <v>632.41479</v>
      </c>
      <c r="L408" s="77" t="inlineStr">
        <is>
          <t>11R22.5-DA25</t>
        </is>
      </c>
      <c r="M408" s="77" t="n">
        <v>2</v>
      </c>
    </row>
    <row r="409" customFormat="1" s="69">
      <c r="B409" s="92" t="inlineStr">
        <is>
          <t>11R24.5-16PR-Strong Guard H-RD</t>
        </is>
      </c>
      <c r="C409" s="93" t="n">
        <v>37.5</v>
      </c>
      <c r="D409" s="495">
        <f>IF(C409="","",C409/(C409+$C$1/60))</f>
        <v/>
      </c>
      <c r="E409" s="95">
        <f>IFERROR(ROUND(1440/C409*2*D409,0),"")</f>
        <v/>
      </c>
      <c r="F409" s="96" t="n"/>
      <c r="G409" s="97" t="n"/>
      <c r="H409" s="74" t="n"/>
      <c r="I409" s="75" t="inlineStr">
        <is>
          <t>ID275/80R22.5-16PR(149/146M)[AS86]朝阳无内</t>
        </is>
      </c>
      <c r="J409" s="76" t="n">
        <v>844.110316</v>
      </c>
      <c r="L409" s="77" t="inlineStr">
        <is>
          <t>295/75R22.5-DA25</t>
        </is>
      </c>
      <c r="M409" s="77" t="n">
        <v>2</v>
      </c>
    </row>
    <row r="410" customFormat="1" s="69">
      <c r="B410" s="92" t="inlineStr">
        <is>
          <t>11R24.5-16PR-AZ599</t>
        </is>
      </c>
      <c r="C410" s="93" t="n">
        <v>37</v>
      </c>
      <c r="D410" s="495">
        <f>IF(C410="","",C410/(C410+$C$1/60))</f>
        <v/>
      </c>
      <c r="E410" s="95">
        <f>IFERROR(ROUND(1440/C410*2*D410,0),"")</f>
        <v/>
      </c>
      <c r="F410" s="96" t="n"/>
      <c r="G410" s="97" t="n"/>
      <c r="H410" s="74" t="n"/>
      <c r="I410" s="75" t="inlineStr">
        <is>
          <t>ID12.00R20-22PR(158/155F)[CB919]C级雅度</t>
        </is>
      </c>
      <c r="J410" s="76" t="n">
        <v>1256.445792</v>
      </c>
      <c r="L410" s="77" t="inlineStr">
        <is>
          <t>285/75R24.5-SL11</t>
        </is>
      </c>
      <c r="M410" s="77" t="n">
        <v>2</v>
      </c>
    </row>
    <row r="411" customFormat="1" s="69">
      <c r="B411" s="92" t="inlineStr">
        <is>
          <t>11R24.5-16PR-AZ692</t>
        </is>
      </c>
      <c r="C411" s="93" t="n">
        <v>39</v>
      </c>
      <c r="D411" s="495">
        <f>IF(C411="","",C411/(C411+$C$1/60))</f>
        <v/>
      </c>
      <c r="E411" s="95">
        <f>IFERROR(ROUND(1440/C411*2*D411,0),"")</f>
        <v/>
      </c>
      <c r="F411" s="96" t="n"/>
      <c r="G411" s="97" t="n"/>
      <c r="H411" s="74" t="n"/>
      <c r="I411" s="75" t="inlineStr">
        <is>
          <t>ID11.00R20-18PR(152/149F)[CB972]C级金冠</t>
        </is>
      </c>
      <c r="J411" s="76" t="n">
        <v>1068.348561</v>
      </c>
      <c r="L411" s="77" t="inlineStr">
        <is>
          <t>295/75R22.5-SL11</t>
        </is>
      </c>
      <c r="M411" s="77" t="n">
        <v>2</v>
      </c>
    </row>
    <row r="412" customFormat="1" s="69">
      <c r="B412" s="92" t="inlineStr">
        <is>
          <t>11R24.5-16PR-HCC1 PlusX</t>
        </is>
      </c>
      <c r="C412" s="93" t="n">
        <v>39</v>
      </c>
      <c r="D412" s="495">
        <f>IF(C412="","",C412/(C412+$C$1/60))</f>
        <v/>
      </c>
      <c r="E412" s="95">
        <f>IFERROR(ROUND(1440/C412*2*D412,0),"")</f>
        <v/>
      </c>
      <c r="F412" s="96" t="n"/>
      <c r="G412" s="97" t="n"/>
      <c r="H412" s="74" t="n"/>
      <c r="I412" s="75" t="inlineStr">
        <is>
          <t>ID295/75R22.5-14PR(144/141L)[VD998]C级VITOUR无内</t>
        </is>
      </c>
      <c r="J412" s="76" t="n">
        <v>874.626081</v>
      </c>
      <c r="L412" s="77" t="inlineStr">
        <is>
          <t>11R22.5-SL11</t>
        </is>
      </c>
      <c r="M412" s="77" t="n">
        <v>2</v>
      </c>
    </row>
    <row r="413" customFormat="1" s="69">
      <c r="B413" s="92" t="inlineStr">
        <is>
          <t>11R24.5-16PR-HD1 PlusX</t>
        </is>
      </c>
      <c r="C413" s="93" t="n">
        <v>38</v>
      </c>
      <c r="D413" s="495">
        <f>IF(C413="","",C413/(C413+$C$1/60))</f>
        <v/>
      </c>
      <c r="E413" s="95">
        <f>IFERROR(ROUND(1440/C413*2*D413,0),"")</f>
        <v/>
      </c>
      <c r="F413" s="96" t="n"/>
      <c r="G413" s="97" t="n"/>
      <c r="H413" s="74" t="n"/>
      <c r="I413" s="75" t="inlineStr">
        <is>
          <t>IDST145R12-10PR[ST Radial]95/90M Tamarack无内 NR</t>
        </is>
      </c>
      <c r="J413" s="76" t="n">
        <v>93.19211300000001</v>
      </c>
      <c r="L413" s="77" t="inlineStr">
        <is>
          <t>11R24.5-SL11</t>
        </is>
      </c>
      <c r="M413" s="77" t="n">
        <v>2</v>
      </c>
    </row>
    <row r="414" customFormat="1" s="69">
      <c r="B414" s="92" t="inlineStr">
        <is>
          <t>11R24.5-16PR-HD2 PlusX</t>
        </is>
      </c>
      <c r="C414" s="93" t="n">
        <v>37.5</v>
      </c>
      <c r="D414" s="495">
        <f>IF(C414="","",C414/(C414+$C$1/60))</f>
        <v/>
      </c>
      <c r="E414" s="95">
        <f>IFERROR(ROUND(1440/C414*2*D414,0),"")</f>
        <v/>
      </c>
      <c r="F414" s="96" t="n"/>
      <c r="G414" s="97" t="n"/>
      <c r="H414" s="74" t="n"/>
      <c r="I414" s="75" t="inlineStr">
        <is>
          <t>IDST205/75R15-8PR[ST200]107/102M GOODRIDE(好运)无内 NR</t>
        </is>
      </c>
      <c r="J414" s="76" t="n">
        <v>146.237553</v>
      </c>
      <c r="L414" s="77" t="inlineStr">
        <is>
          <t>285/75R24.5-DA23</t>
        </is>
      </c>
      <c r="M414" s="77" t="n">
        <v>2</v>
      </c>
    </row>
    <row r="415" customFormat="1" s="69">
      <c r="B415" s="92" t="inlineStr">
        <is>
          <t>11R24.5-16PR-HF1 PlusX</t>
        </is>
      </c>
      <c r="C415" s="93" t="n">
        <v>36</v>
      </c>
      <c r="D415" s="495">
        <f>IF(C415="","",C415/(C415+$C$1/60))</f>
        <v/>
      </c>
      <c r="E415" s="95">
        <f>IFERROR(ROUND(1440/C415*2*D415,0),"")</f>
        <v/>
      </c>
      <c r="F415" s="96" t="n"/>
      <c r="G415" s="97" t="n"/>
      <c r="H415" s="74" t="n"/>
      <c r="I415" s="75" t="inlineStr">
        <is>
          <t>ID12.00R20-22PR(158/155J)[EZ867]雅度 东南亚</t>
        </is>
      </c>
      <c r="J415" s="76" t="n">
        <v>1208.447023</v>
      </c>
      <c r="L415" s="77" t="inlineStr">
        <is>
          <t>295/75R22.5-DA23</t>
        </is>
      </c>
      <c r="M415" s="77" t="n">
        <v>2</v>
      </c>
    </row>
    <row r="416" customFormat="1" s="69">
      <c r="B416" s="92" t="inlineStr">
        <is>
          <t>285/75R24.5-14PR-I-28D</t>
        </is>
      </c>
      <c r="C416" s="93" t="n">
        <v>38</v>
      </c>
      <c r="D416" s="495">
        <f>IF(C416="","",C416/(C416+$C$1/60))</f>
        <v/>
      </c>
      <c r="E416" s="95">
        <f>IFERROR(ROUND(1440/C416*2*D416,0),"")</f>
        <v/>
      </c>
      <c r="F416" s="96" t="n"/>
      <c r="G416" s="97" t="n"/>
      <c r="H416" s="74" t="n"/>
      <c r="I416" s="75" t="inlineStr">
        <is>
          <t>ID315/80R22.5-20PR(157/154K)[AS668]朝阳无内</t>
        </is>
      </c>
      <c r="J416" s="76" t="n">
        <v>952.131257</v>
      </c>
      <c r="L416" s="77" t="inlineStr">
        <is>
          <t>11R22.5-DA23</t>
        </is>
      </c>
      <c r="M416" s="77" t="n">
        <v>2</v>
      </c>
    </row>
    <row r="417" customFormat="1" s="69">
      <c r="B417" s="92" t="inlineStr">
        <is>
          <t>285/75R24.5-14PR-I-37D</t>
        </is>
      </c>
      <c r="C417" s="93" t="n">
        <v>38</v>
      </c>
      <c r="D417" s="495">
        <f>IF(C417="","",C417/(C417+$C$1/60))</f>
        <v/>
      </c>
      <c r="E417" s="95">
        <f>IFERROR(ROUND(1440/C417*2*D417,0),"")</f>
        <v/>
      </c>
      <c r="F417" s="96" t="n"/>
      <c r="G417" s="97" t="n"/>
      <c r="H417" s="74" t="n"/>
      <c r="I417" s="75" t="inlineStr">
        <is>
          <t>ID12.00R24-20PR(160/157F)[TZ304]天力</t>
        </is>
      </c>
      <c r="J417" s="76" t="n">
        <v>1281.689024</v>
      </c>
      <c r="L417" s="77" t="inlineStr">
        <is>
          <t>11R24.5-DA23</t>
        </is>
      </c>
      <c r="M417" s="77" t="n">
        <v>2</v>
      </c>
    </row>
    <row r="418" customFormat="1" s="69">
      <c r="B418" s="92" t="inlineStr">
        <is>
          <t>285/75R24.5-14PR-Strong Guard H-TL</t>
        </is>
      </c>
      <c r="C418" s="93" t="n">
        <v>36</v>
      </c>
      <c r="D418" s="495">
        <f>IF(C418="","",C418/(C418+$C$1/60))</f>
        <v/>
      </c>
      <c r="E418" s="95">
        <f>IFERROR(ROUND(1440/C418*2*D418,0),"")</f>
        <v/>
      </c>
      <c r="F418" s="96" t="n"/>
      <c r="G418" s="97" t="n"/>
      <c r="H418" s="74" t="n"/>
      <c r="I418" s="75" t="inlineStr">
        <is>
          <t>ID445/50R22.5-20PR(161L)[AT566]TRAZANO(全诺)无内</t>
        </is>
      </c>
      <c r="J418" s="76" t="n">
        <v>1140.466964</v>
      </c>
      <c r="L418" s="77" t="inlineStr">
        <is>
          <t>255/70R22.5-DA23</t>
        </is>
      </c>
      <c r="M418" s="77" t="n">
        <v>2</v>
      </c>
    </row>
    <row r="419" customFormat="1" s="69">
      <c r="B419" s="92" t="inlineStr">
        <is>
          <t>285/75R24.5-14PR-I-48T</t>
        </is>
      </c>
      <c r="C419" s="93" t="n">
        <v>37</v>
      </c>
      <c r="D419" s="495">
        <f>IF(C419="","",C419/(C419+$C$1/60))</f>
        <v/>
      </c>
      <c r="E419" s="95">
        <f>IFERROR(ROUND(1440/C419*2*D419,0),"")</f>
        <v/>
      </c>
      <c r="F419" s="96" t="n"/>
      <c r="G419" s="97" t="n"/>
      <c r="H419" s="74" t="n"/>
      <c r="I419" s="75" t="inlineStr">
        <is>
          <t>ID(A105003)80/90-14-4P[H-577]40P ARISUN 纳米高抓 TL</t>
        </is>
      </c>
      <c r="J419" s="76" t="n">
        <v>39.926285</v>
      </c>
      <c r="L419" s="77" t="inlineStr">
        <is>
          <t>215/75R17.5-ZA15</t>
        </is>
      </c>
      <c r="M419" s="77" t="n">
        <v>2</v>
      </c>
    </row>
    <row r="420" customFormat="1" s="69">
      <c r="B420" s="92" t="inlineStr">
        <is>
          <t>285/75R24.5-16PR-I-61S</t>
        </is>
      </c>
      <c r="C420" s="93" t="n">
        <v>37</v>
      </c>
      <c r="D420" s="495">
        <f>IF(C420="","",C420/(C420+$C$1/60))</f>
        <v/>
      </c>
      <c r="E420" s="95">
        <f>IFERROR(ROUND(1440/C420*2*D420,0),"")</f>
        <v/>
      </c>
      <c r="F420" s="96" t="n"/>
      <c r="G420" s="97" t="n"/>
      <c r="H420" s="74" t="n"/>
      <c r="I420" s="75" t="inlineStr">
        <is>
          <t>ID(A105001)70/90-14-4P[H-577]34P ARISUN 纳米高抓 TL</t>
        </is>
      </c>
      <c r="J420" s="76" t="n">
        <v>31.743726</v>
      </c>
      <c r="L420" s="77" t="inlineStr">
        <is>
          <t>225/70R19.5-ZA15</t>
        </is>
      </c>
      <c r="M420" s="77" t="n">
        <v>2</v>
      </c>
    </row>
    <row r="421" customFormat="1" s="69">
      <c r="B421" s="92" t="inlineStr">
        <is>
          <t>285/75R24.5-16PR-I-52A</t>
        </is>
      </c>
      <c r="C421" s="93" t="n">
        <v>36.5</v>
      </c>
      <c r="D421" s="495">
        <f>IF(C421="","",C421/(C421+$C$1/60))</f>
        <v/>
      </c>
      <c r="E421" s="95">
        <f>IFERROR(ROUND(1440/C421*2*D421,0),"")</f>
        <v/>
      </c>
      <c r="F421" s="96" t="n"/>
      <c r="G421" s="97" t="n"/>
      <c r="H421" s="74" t="n"/>
      <c r="I421" s="75" t="inlineStr">
        <is>
          <t>ID(A105005)90/90-14-4P[H-577]46P ARISUN 纳米高抓 TL</t>
        </is>
      </c>
      <c r="J421" s="76" t="n">
        <v>41.825168</v>
      </c>
      <c r="L421" s="77" t="inlineStr">
        <is>
          <t>235/75R17.5-ZA15</t>
        </is>
      </c>
      <c r="M421" s="77" t="n">
        <v>2</v>
      </c>
    </row>
    <row r="422" customFormat="1" s="69">
      <c r="B422" s="92" t="inlineStr">
        <is>
          <t>11R24.5-14PR-H-TL</t>
        </is>
      </c>
      <c r="C422" s="93" t="n">
        <v>36</v>
      </c>
      <c r="D422" s="495">
        <f>IF(C422="","",C422/(C422+$C$1/60))</f>
        <v/>
      </c>
      <c r="E422" s="95">
        <f>IFERROR(ROUND(1440/C422*2*D422,0),"")</f>
        <v/>
      </c>
      <c r="F422" s="96" t="n"/>
      <c r="G422" s="97" t="n"/>
      <c r="H422" s="74" t="n"/>
      <c r="I422" s="75" t="inlineStr">
        <is>
          <t>ID(A105006)100/80-14-4P[H-577]48P ARISUN 纳米高抓 TL</t>
        </is>
      </c>
      <c r="J422" s="76" t="n">
        <v>50.694238</v>
      </c>
      <c r="L422" s="77" t="inlineStr">
        <is>
          <t>245/70R19.5-ZA15</t>
        </is>
      </c>
      <c r="M422" s="77" t="n">
        <v>2</v>
      </c>
    </row>
    <row r="423" customFormat="1" s="69">
      <c r="B423" s="92" t="inlineStr">
        <is>
          <t>11R24.5-16PR-H-MD</t>
        </is>
      </c>
      <c r="C423" s="93" t="n">
        <v>42.5</v>
      </c>
      <c r="D423" s="495">
        <f>IF(C423="","",C423/(C423+$C$1/60))</f>
        <v/>
      </c>
      <c r="E423" s="95">
        <f>IFERROR(ROUND(1440/C423*2*D423,0),"")</f>
        <v/>
      </c>
      <c r="F423" s="96" t="n"/>
      <c r="G423" s="97" t="n"/>
      <c r="H423" s="74" t="n"/>
      <c r="I423" s="75" t="inlineStr">
        <is>
          <t>ID(A105004)90/80-14-4P[H-577]43P ARISUN 纳米高抓 TL</t>
        </is>
      </c>
      <c r="J423" s="76" t="n">
        <v>41.412952</v>
      </c>
      <c r="L423" s="77" t="inlineStr">
        <is>
          <t>265/70R19.5-ZA15</t>
        </is>
      </c>
      <c r="M423" s="77" t="n">
        <v>2</v>
      </c>
    </row>
    <row r="424" customFormat="1" s="69">
      <c r="B424" s="92" t="inlineStr">
        <is>
          <t>11R24.5-16PR-H-RD</t>
        </is>
      </c>
      <c r="C424" s="93" t="n">
        <v>37.5</v>
      </c>
      <c r="D424" s="495">
        <f>IF(C424="","",C424/(C424+$C$1/60))</f>
        <v/>
      </c>
      <c r="E424" s="95">
        <f>IFERROR(ROUND(1440/C424*2*D424,0),"")</f>
        <v/>
      </c>
      <c r="F424" s="96" t="n"/>
      <c r="G424" s="97" t="n"/>
      <c r="H424" s="74" t="n"/>
      <c r="I424" s="75" t="inlineStr">
        <is>
          <t>ID(A105002)80/80-14-4P[H-577]37P ARISUN 纳米高抓 TL</t>
        </is>
      </c>
      <c r="J424" s="76" t="n">
        <v>35.406546</v>
      </c>
      <c r="L424" s="77" t="inlineStr">
        <is>
          <t>225/70R19.5-DA24</t>
        </is>
      </c>
      <c r="M424" s="77" t="n">
        <v>2</v>
      </c>
    </row>
    <row r="425" customFormat="1" s="69">
      <c r="B425" s="92" t="inlineStr">
        <is>
          <t>285/75R24.5-14PR-H-TL</t>
        </is>
      </c>
      <c r="C425" s="93" t="n">
        <v>36</v>
      </c>
      <c r="D425" s="495">
        <f>IF(C425="","",C425/(C425+$C$1/60))</f>
        <v/>
      </c>
      <c r="E425" s="95">
        <f>IFERROR(ROUND(1440/C425*2*D425,0),"")</f>
        <v/>
      </c>
      <c r="F425" s="96" t="n"/>
      <c r="G425" s="97" t="n"/>
      <c r="H425" s="74" t="n"/>
      <c r="I425" s="75" t="inlineStr">
        <is>
          <t>ID(D104004)100/90-12-4P[H-566]59P GOLDEN CROWN 纳米高抓 TL</t>
        </is>
      </c>
      <c r="J425" s="76" t="n">
        <v>45.205006</v>
      </c>
      <c r="L425" s="77" t="inlineStr">
        <is>
          <t>245/70R19.5-DA24</t>
        </is>
      </c>
      <c r="M425" s="77" t="n">
        <v>2</v>
      </c>
    </row>
    <row r="426" customFormat="1" s="69">
      <c r="B426" s="92" t="inlineStr">
        <is>
          <t>11R22.5-14PR-H-TL</t>
        </is>
      </c>
      <c r="C426" s="93" t="n">
        <v>34</v>
      </c>
      <c r="D426" s="495">
        <f>IF(C426="","",C426/(C426+$C$1/60))</f>
        <v/>
      </c>
      <c r="E426" s="95">
        <f>IFERROR(ROUND(1440/C426*2*D426,0),"")</f>
        <v/>
      </c>
      <c r="F426" s="96" t="n"/>
      <c r="G426" s="97" t="n"/>
      <c r="H426" s="74" t="n"/>
      <c r="I426" s="75" t="inlineStr">
        <is>
          <t>ID(G104019)100/90-12-4P[H-565-2]59P GOODRIDE 纳米高抓 TL</t>
        </is>
      </c>
      <c r="J426" s="76" t="n">
        <v>45.205006</v>
      </c>
      <c r="L426" s="77" t="inlineStr">
        <is>
          <t>265/70R19.5-DA24</t>
        </is>
      </c>
      <c r="M426" s="77" t="n">
        <v>2</v>
      </c>
    </row>
    <row r="427" customFormat="1" s="69">
      <c r="B427" s="92" t="inlineStr">
        <is>
          <t>245/70R19.5-14PR-Strong Guard H-RA</t>
        </is>
      </c>
      <c r="C427" s="93" t="n">
        <v>32.5</v>
      </c>
      <c r="D427" s="495">
        <f>IF(C427="","",C427/(C427+$C$1/60))</f>
        <v/>
      </c>
      <c r="E427" s="95">
        <f>IFERROR(ROUND(1440/C427*2*D427,0),"")</f>
        <v/>
      </c>
      <c r="F427" s="96" t="n"/>
      <c r="G427" s="97" t="n"/>
      <c r="H427" s="74" t="n"/>
      <c r="I427" s="75" t="inlineStr">
        <is>
          <t>ID275/80R22.5-16PR(149/146M)[AD818]朝阳无内</t>
        </is>
      </c>
      <c r="J427" s="76" t="n">
        <v>835.847432</v>
      </c>
      <c r="L427" s="77" t="inlineStr">
        <is>
          <t>11R22.5-ZM41</t>
        </is>
      </c>
      <c r="M427" s="77" t="n">
        <v>2</v>
      </c>
    </row>
    <row r="428" customFormat="1" s="69">
      <c r="B428" s="92" t="inlineStr">
        <is>
          <t>245/70R17.5-18PR-I-19A</t>
        </is>
      </c>
      <c r="C428" s="93" t="n">
        <v>32</v>
      </c>
      <c r="D428" s="495">
        <f>IF(C428="","",C428/(C428+$C$1/60))</f>
        <v/>
      </c>
      <c r="E428" s="95">
        <f>IFERROR(ROUND(1440/C428*2*D428,0),"")</f>
        <v/>
      </c>
      <c r="F428" s="96" t="n"/>
      <c r="G428" s="97" t="n"/>
      <c r="H428" s="74" t="n"/>
      <c r="I428" s="75" t="inlineStr">
        <is>
          <t>IDST235/80R16-10PR[ST100]124/120M GOODRIDE(好运)无内</t>
        </is>
      </c>
      <c r="J428" s="76" t="n">
        <v>256.308864</v>
      </c>
      <c r="L428" s="77" t="inlineStr">
        <is>
          <t>11R24.5-ZM41</t>
        </is>
      </c>
      <c r="M428" s="77" t="n">
        <v>2</v>
      </c>
    </row>
    <row r="429" customFormat="1" s="69">
      <c r="B429" s="92" t="inlineStr">
        <is>
          <t>255/70R22.5-16PR-Strong Guard H-RA</t>
        </is>
      </c>
      <c r="C429" s="93" t="n">
        <v>35</v>
      </c>
      <c r="D429" s="495">
        <f>IF(C429="","",C429/(C429+$C$1/60))</f>
        <v/>
      </c>
      <c r="E429" s="95">
        <f>IFERROR(ROUND(1440/C429*2*D429,0),"")</f>
        <v/>
      </c>
      <c r="F429" s="96" t="n"/>
      <c r="G429" s="97" t="n"/>
      <c r="H429" s="74" t="n"/>
      <c r="I429" s="75" t="inlineStr">
        <is>
          <t>IDST205/75R14-8PR[ST100]105/101M 西湖无内</t>
        </is>
      </c>
      <c r="J429" s="76" t="n">
        <v>160.80827</v>
      </c>
      <c r="L429" s="77" t="inlineStr">
        <is>
          <t>315/80R22.5-ZM41</t>
        </is>
      </c>
      <c r="M429" s="77" t="n">
        <v>2</v>
      </c>
    </row>
    <row r="430" customFormat="1" s="69">
      <c r="B430" s="92" t="inlineStr">
        <is>
          <t>255/70R22.5-16PR-H-RA</t>
        </is>
      </c>
      <c r="C430" s="93" t="n">
        <v>35</v>
      </c>
      <c r="D430" s="495">
        <f>IF(C430="","",C430/(C430+$C$1/60))</f>
        <v/>
      </c>
      <c r="E430" s="95">
        <f>IFERROR(ROUND(1440/C430*2*D430,0),"")</f>
        <v/>
      </c>
      <c r="F430" s="96" t="n"/>
      <c r="G430" s="97" t="n"/>
      <c r="H430" s="74" t="n"/>
      <c r="I430" s="75" t="inlineStr">
        <is>
          <t>ID11.00R20-18PR(152/149K)[AS678]威狮</t>
        </is>
      </c>
      <c r="J430" s="76" t="n">
        <v>964.54974</v>
      </c>
      <c r="L430" s="77" t="inlineStr">
        <is>
          <t>385/65R22.5-ZM42</t>
        </is>
      </c>
      <c r="M430" s="77" t="n">
        <v>2</v>
      </c>
    </row>
    <row r="431" customFormat="1" s="69">
      <c r="B431" s="92" t="inlineStr">
        <is>
          <t>275/70R22.5-16PR-HF1 Plus</t>
        </is>
      </c>
      <c r="C431" s="93" t="n">
        <v>35</v>
      </c>
      <c r="D431" s="495">
        <f>IF(C431="","",C431/(C431+$C$1/60))</f>
        <v/>
      </c>
      <c r="E431" s="95">
        <f>IFERROR(ROUND(1440/C431*2*D431,0),"")</f>
        <v/>
      </c>
      <c r="F431" s="96" t="n"/>
      <c r="G431" s="97" t="n"/>
      <c r="H431" s="74" t="n"/>
      <c r="I431" s="75" t="inlineStr">
        <is>
          <t>ID11.00R20-18PR(152/149K)[AS578]威狮</t>
        </is>
      </c>
      <c r="J431" s="76" t="n">
        <v>964.54974</v>
      </c>
      <c r="L431" s="77" t="inlineStr">
        <is>
          <t>425/65R22.5-ZM42</t>
        </is>
      </c>
      <c r="M431" s="77" t="n">
        <v>2</v>
      </c>
    </row>
    <row r="432" customFormat="1" s="69">
      <c r="B432" s="92" t="inlineStr">
        <is>
          <t>385/65R22.5-20PR-I-42W</t>
        </is>
      </c>
      <c r="C432" s="93" t="n">
        <v>48</v>
      </c>
      <c r="D432" s="495">
        <f>IF(C432="","",C432/(C432+$C$1/60))</f>
        <v/>
      </c>
      <c r="E432" s="95">
        <f>IFERROR(ROUND(1440/C432*2*D432,0),"")</f>
        <v/>
      </c>
      <c r="F432" s="96" t="n"/>
      <c r="G432" s="97" t="n"/>
      <c r="H432" s="74" t="n"/>
      <c r="I432" s="75" t="inlineStr">
        <is>
          <t>ID315/80R22.5-20PR(161/157K)[ZM41]威狮无内</t>
        </is>
      </c>
      <c r="J432" s="76" t="n">
        <v>1050.611016</v>
      </c>
      <c r="L432" s="77" t="inlineStr">
        <is>
          <t>445/65R22.5-ZM42</t>
        </is>
      </c>
      <c r="M432" s="77" t="n">
        <v>2</v>
      </c>
    </row>
    <row r="433" customFormat="1" s="69">
      <c r="B433" s="92" t="inlineStr">
        <is>
          <t>385/65R22.5-20PR-Strong Guard H-MW</t>
        </is>
      </c>
      <c r="C433" s="93" t="n">
        <v>50</v>
      </c>
      <c r="D433" s="495">
        <f>IF(C433="","",C433/(C433+$C$1/60))</f>
        <v/>
      </c>
      <c r="E433" s="95">
        <f>IFERROR(ROUND(1440/C433*2*D433,0),"")</f>
        <v/>
      </c>
      <c r="F433" s="96" t="n"/>
      <c r="G433" s="97" t="n"/>
      <c r="H433" s="74" t="n"/>
      <c r="I433" s="75" t="inlineStr">
        <is>
          <t>ID11R22.5-16PR(146/143M)[STEALTH S01]BLACKARROW无内</t>
        </is>
      </c>
      <c r="J433" s="76" t="n">
        <v>793.442258</v>
      </c>
      <c r="L433" s="77" t="inlineStr">
        <is>
          <t>445/50R22.5-DL26</t>
        </is>
      </c>
      <c r="M433" s="77" t="n">
        <v>2</v>
      </c>
    </row>
    <row r="434" customFormat="1" s="69">
      <c r="B434" s="92" t="inlineStr">
        <is>
          <t>425/65R22.5-20PR-I-42W</t>
        </is>
      </c>
      <c r="C434" s="93" t="n">
        <v>55</v>
      </c>
      <c r="D434" s="495">
        <f>IF(C434="","",C434/(C434+$C$1/60))</f>
        <v/>
      </c>
      <c r="E434" s="95">
        <f>IFERROR(ROUND(1440/C434*2*D434,0),"")</f>
        <v/>
      </c>
      <c r="F434" s="96" t="n"/>
      <c r="G434" s="97" t="n"/>
      <c r="H434" s="74" t="n"/>
      <c r="I434" s="75" t="inlineStr">
        <is>
          <t>ID11R22.5-16PR(146/143L)[AD757]威狮无内</t>
        </is>
      </c>
      <c r="J434" s="76" t="n">
        <v>779.273404</v>
      </c>
      <c r="L434" s="77" t="inlineStr">
        <is>
          <t>215/75R17.5-H-RA</t>
        </is>
      </c>
      <c r="M434" s="77" t="n">
        <v>4</v>
      </c>
    </row>
    <row r="435" customFormat="1" s="69">
      <c r="B435" s="92" t="inlineStr">
        <is>
          <t>425/65R22.5-20PR-Strong Guard H-MW</t>
        </is>
      </c>
      <c r="C435" s="93" t="n">
        <v>60</v>
      </c>
      <c r="D435" s="495">
        <f>IF(C435="","",C435/(C435+$C$1/60))</f>
        <v/>
      </c>
      <c r="E435" s="95">
        <f>IFERROR(ROUND(1440/C435*2*D435,0),"")</f>
        <v/>
      </c>
      <c r="F435" s="96" t="n"/>
      <c r="G435" s="97" t="n"/>
      <c r="H435" s="74" t="n"/>
      <c r="I435" s="75" t="inlineStr">
        <is>
          <t>ID445/50R22.5-20PR(161L)[HD4 Plus]SUPERMAX无内</t>
        </is>
      </c>
      <c r="J435" s="76" t="n">
        <v>1358.789005</v>
      </c>
      <c r="L435" s="77" t="inlineStr">
        <is>
          <t>225/70R19.5-H-RA</t>
        </is>
      </c>
      <c r="M435" s="77" t="n">
        <v>4</v>
      </c>
    </row>
    <row r="436" customFormat="1" s="69">
      <c r="B436" s="92" t="inlineStr">
        <is>
          <t>445/50R22.5-20PR-AD755</t>
        </is>
      </c>
      <c r="C436" s="93" t="n">
        <v>58</v>
      </c>
      <c r="D436" s="495">
        <f>IF(C436="","",C436/(C436+$C$1/60))</f>
        <v/>
      </c>
      <c r="E436" s="95">
        <f>IFERROR(ROUND(1440/C436*2*D436,0),"")</f>
        <v/>
      </c>
      <c r="F436" s="96" t="n"/>
      <c r="G436" s="97" t="n"/>
      <c r="H436" s="74" t="n"/>
      <c r="I436" s="75" t="inlineStr">
        <is>
          <t>ID215/75R17.5-16PR(135/133L)[W-Elite ZA15]威狮无内</t>
        </is>
      </c>
      <c r="J436" s="76" t="n">
        <v>413.293664</v>
      </c>
      <c r="L436" s="77" t="inlineStr">
        <is>
          <t>255/70R22.5-I-19A</t>
        </is>
      </c>
      <c r="M436" s="77" t="n">
        <v>6</v>
      </c>
    </row>
    <row r="437" customFormat="1" s="69">
      <c r="B437" s="92" t="inlineStr">
        <is>
          <t>445/50R22.5-20PR-AT570</t>
        </is>
      </c>
      <c r="C437" s="93" t="n">
        <v>55</v>
      </c>
      <c r="D437" s="495">
        <f>IF(C437="","",C437/(C437+$C$1/60))</f>
        <v/>
      </c>
      <c r="E437" s="95">
        <f>IFERROR(ROUND(1440/C437*2*D437,0),"")</f>
        <v/>
      </c>
      <c r="F437" s="96" t="n"/>
      <c r="G437" s="97" t="n"/>
      <c r="H437" s="74" t="n"/>
      <c r="I437" s="75" t="inlineStr">
        <is>
          <t>ID11R24.5-16PR(149/146L)[HD2 PlusX]SUPERMAX ECO无内</t>
        </is>
      </c>
      <c r="J437" s="76" t="n">
        <v>793.471413</v>
      </c>
      <c r="L437" s="77" t="inlineStr">
        <is>
          <t>215/75R17.5-I-19A</t>
        </is>
      </c>
      <c r="M437" s="77" t="n">
        <v>6</v>
      </c>
    </row>
    <row r="438" customFormat="1" s="69">
      <c r="B438" s="92" t="inlineStr">
        <is>
          <t>445/50R22.5-20PR-HD4 Plus</t>
        </is>
      </c>
      <c r="C438" s="93" t="n">
        <v>58</v>
      </c>
      <c r="D438" s="495">
        <f>IF(C438="","",C438/(C438+$C$1/60))</f>
        <v/>
      </c>
      <c r="E438" s="95">
        <f>IFERROR(ROUND(1440/C438*2*D438,0),"")</f>
        <v/>
      </c>
      <c r="F438" s="96" t="n"/>
      <c r="G438" s="97" t="n"/>
      <c r="H438" s="74" t="n"/>
      <c r="I438" s="75" t="inlineStr">
        <is>
          <t>ID(LB1003)ATV 24×8-12/6[AR10]FREE COUNTRY TL BLACK ELK</t>
        </is>
      </c>
      <c r="J438" s="76" t="n">
        <v>101.363605</v>
      </c>
      <c r="L438" s="77" t="inlineStr">
        <is>
          <t>11R22.5-I-19A</t>
        </is>
      </c>
      <c r="M438" s="77" t="n">
        <v>8</v>
      </c>
    </row>
    <row r="439" customFormat="1" s="69">
      <c r="B439" s="92" t="inlineStr">
        <is>
          <t>445/50R22.5-20PR-HT2 Plus</t>
        </is>
      </c>
      <c r="C439" s="93" t="n">
        <v>55</v>
      </c>
      <c r="D439" s="495">
        <f>IF(C439="","",C439/(C439+$C$1/60))</f>
        <v/>
      </c>
      <c r="E439" s="95">
        <f>IFERROR(ROUND(1440/C439*2*D439,0),"")</f>
        <v/>
      </c>
      <c r="F439" s="96" t="n"/>
      <c r="G439" s="97" t="n"/>
      <c r="H439" s="74" t="n"/>
      <c r="I439" s="75" t="inlineStr">
        <is>
          <t>ID(LB1004)ATV 24×10-12/6[AR10]FREE COUNTRY TL BLACK ELK</t>
        </is>
      </c>
      <c r="J439" s="76" t="n">
        <v>121.274566</v>
      </c>
      <c r="L439" s="77" t="inlineStr">
        <is>
          <t>11R24.5-I-19A</t>
        </is>
      </c>
      <c r="M439" s="77" t="n">
        <v>4</v>
      </c>
    </row>
    <row r="440" customFormat="1" s="69">
      <c r="B440" s="92" t="inlineStr">
        <is>
          <t>445/50R22.5-20PR-M-TRAC WBT</t>
        </is>
      </c>
      <c r="C440" s="93" t="n">
        <v>55</v>
      </c>
      <c r="D440" s="495">
        <f>IF(C440="","",C440/(C440+$C$1/60))</f>
        <v/>
      </c>
      <c r="E440" s="95">
        <f>IFERROR(ROUND(1440/C440*2*D440,0),"")</f>
        <v/>
      </c>
      <c r="F440" s="96" t="n"/>
      <c r="G440" s="97" t="n"/>
      <c r="H440" s="74" t="n"/>
      <c r="I440" s="75" t="inlineStr">
        <is>
          <t>ID11.00R20-20PR(154/151D)[CB905A]朝阳 东南亚</t>
        </is>
      </c>
      <c r="J440" s="76" t="n">
        <v>1034.991882</v>
      </c>
      <c r="L440" s="77" t="inlineStr">
        <is>
          <t>225/70R19.5-I-19A</t>
        </is>
      </c>
      <c r="M440" s="77" t="n">
        <v>8</v>
      </c>
    </row>
    <row r="441" customFormat="1" s="69">
      <c r="B441" s="92" t="inlineStr">
        <is>
          <t>445/65R22.5-20PR-I-42W</t>
        </is>
      </c>
      <c r="C441" s="93" t="n">
        <v>55</v>
      </c>
      <c r="D441" s="495">
        <f>IF(C441="","",C441/(C441+$C$1/60))</f>
        <v/>
      </c>
      <c r="E441" s="95">
        <f>IFERROR(ROUND(1440/C441*2*D441,0),"")</f>
        <v/>
      </c>
      <c r="F441" s="96" t="n"/>
      <c r="G441" s="97" t="n"/>
      <c r="H441" s="74" t="n"/>
      <c r="I441" s="75" t="inlineStr">
        <is>
          <t>ID11.00R20-18PR(152/149F)[CB972]金冠</t>
        </is>
      </c>
      <c r="J441" s="76" t="n">
        <v>1068.348611</v>
      </c>
      <c r="L441" s="77" t="inlineStr">
        <is>
          <t>245/70R19.5-I-19A</t>
        </is>
      </c>
      <c r="M441" s="77" t="n">
        <v>4</v>
      </c>
    </row>
    <row r="442" customFormat="1" s="69">
      <c r="B442" s="92" t="inlineStr">
        <is>
          <t>425/65R22.5-20PR-H-MW</t>
        </is>
      </c>
      <c r="C442" s="93" t="n">
        <v>60</v>
      </c>
      <c r="D442" s="495">
        <f>IF(C442="","",C442/(C442+$C$1/60))</f>
        <v/>
      </c>
      <c r="E442" s="95">
        <f>IFERROR(ROUND(1440/C442*2*D442,0),"")</f>
        <v/>
      </c>
      <c r="F442" s="96" t="n"/>
      <c r="G442" s="97" t="n"/>
      <c r="H442" s="74" t="n"/>
      <c r="I442" s="75" t="inlineStr">
        <is>
          <t>ID7.50R16-14PR(122/118L)[MT200]UNITED</t>
        </is>
      </c>
      <c r="J442" s="76" t="n">
        <v>442.874179</v>
      </c>
      <c r="L442" s="77" t="inlineStr">
        <is>
          <t>295/75R22.5-1-28D</t>
        </is>
      </c>
      <c r="M442" s="77" t="n">
        <v>2</v>
      </c>
    </row>
    <row r="443" customFormat="1" s="69">
      <c r="B443" s="92" t="inlineStr">
        <is>
          <t>385/65R22.5-20PR-H-MW</t>
        </is>
      </c>
      <c r="C443" s="93" t="n">
        <v>50</v>
      </c>
      <c r="D443" s="495">
        <f>IF(C443="","",C443/(C443+$C$1/60))</f>
        <v/>
      </c>
      <c r="E443" s="95">
        <f>IFERROR(ROUND(1440/C443*2*D443,0),"")</f>
        <v/>
      </c>
      <c r="F443" s="96" t="n"/>
      <c r="G443" s="97" t="n"/>
      <c r="H443" s="74" t="n"/>
      <c r="I443" s="75" t="inlineStr">
        <is>
          <t>ID245/70R19.5-16PR(136/134M)[AP-7318]VANTAGE无内</t>
        </is>
      </c>
      <c r="J443" s="76" t="n">
        <v>528.894815</v>
      </c>
      <c r="L443" s="77" t="inlineStr">
        <is>
          <t>225/70R19.5-I-37D</t>
        </is>
      </c>
      <c r="M443" s="77" t="n">
        <v>6</v>
      </c>
    </row>
    <row r="444" customFormat="1" s="69">
      <c r="B444" s="92" t="inlineStr">
        <is>
          <t>315/80R22.5-20PR-HCC1 PlusX</t>
        </is>
      </c>
      <c r="C444" s="93" t="n">
        <v>36.5</v>
      </c>
      <c r="D444" s="495">
        <f>IF(C444="","",C444/(C444+$C$1/60))</f>
        <v/>
      </c>
      <c r="E444" s="95">
        <f>IFERROR(ROUND(1440/C444*2*D444,0),"")</f>
        <v/>
      </c>
      <c r="F444" s="96" t="n"/>
      <c r="G444" s="97" t="n"/>
      <c r="H444" s="74" t="n"/>
      <c r="I444" s="75" t="inlineStr">
        <is>
          <t>ID275/80R22.5-16PR(149/146M)[CR976A]ARISUN无内</t>
        </is>
      </c>
      <c r="J444" s="76" t="n">
        <v>733.84593</v>
      </c>
      <c r="L444" s="77" t="inlineStr">
        <is>
          <t>295/75R22.5-I-48T</t>
        </is>
      </c>
      <c r="M444" s="77" t="n">
        <v>10</v>
      </c>
    </row>
    <row r="445" customFormat="1" s="69">
      <c r="B445" s="92" t="inlineStr">
        <is>
          <t>315/80R22.5-20PR-Strong Guard H-RD</t>
        </is>
      </c>
      <c r="C445" s="93" t="n">
        <v>38.5</v>
      </c>
      <c r="D445" s="495">
        <f>IF(C445="","",C445/(C445+$C$1/60))</f>
        <v/>
      </c>
      <c r="E445" s="95">
        <f>IFERROR(ROUND(1440/C445*2*D445,0),"")</f>
        <v/>
      </c>
      <c r="F445" s="96" t="n"/>
      <c r="G445" s="97" t="n"/>
      <c r="H445" s="74" t="n"/>
      <c r="I445" s="75" t="inlineStr">
        <is>
          <t>ID275/80R22.5-16PR(149/146M)[AS678]朝阳无内</t>
        </is>
      </c>
      <c r="J445" s="76" t="n">
        <v>744.268853</v>
      </c>
      <c r="L445" s="77" t="inlineStr">
        <is>
          <t>295/75R22.5-I-28D</t>
        </is>
      </c>
      <c r="M445" s="77" t="n">
        <v>8</v>
      </c>
    </row>
    <row r="446" customFormat="1" s="69">
      <c r="B446" s="92" t="inlineStr">
        <is>
          <t>315/80R22.5-20PR-H-RD</t>
        </is>
      </c>
      <c r="C446" s="93" t="n">
        <v>38.5</v>
      </c>
      <c r="D446" s="495">
        <f>IF(C446="","",C446/(C446+$C$1/60))</f>
        <v/>
      </c>
      <c r="E446" s="95">
        <f>IFERROR(ROUND(1440/C446*2*D446,0),"")</f>
        <v/>
      </c>
      <c r="F446" s="96" t="n"/>
      <c r="G446" s="97" t="n"/>
      <c r="H446" s="74" t="n"/>
      <c r="I446" s="75" t="inlineStr">
        <is>
          <t>ID275/80R22.5-16PR(149/146L)[AD153]C级朝阳无内</t>
        </is>
      </c>
      <c r="J446" s="76" t="n">
        <v>776.071053</v>
      </c>
      <c r="L446" s="77" t="inlineStr">
        <is>
          <t>285/75R24.5-I-19A</t>
        </is>
      </c>
      <c r="M446" s="77" t="n">
        <v>2</v>
      </c>
    </row>
    <row r="447" customFormat="1" s="69">
      <c r="B447" s="92" t="inlineStr">
        <is>
          <t>295/80R22.5-18PR-AZ183</t>
        </is>
      </c>
      <c r="C447" s="93" t="n">
        <v>38</v>
      </c>
      <c r="D447" s="495">
        <f>IF(C447="","",C447/(C447+$C$1/60))</f>
        <v/>
      </c>
      <c r="E447" s="95">
        <f>IFERROR(ROUND(1440/C447*2*D447,0),"")</f>
        <v/>
      </c>
      <c r="F447" s="96" t="n"/>
      <c r="G447" s="97" t="n"/>
      <c r="H447" s="74" t="n"/>
      <c r="I447" s="75" t="inlineStr">
        <is>
          <t>IDST235/85R16-12PR[ST100]128/124M 西湖无内</t>
        </is>
      </c>
      <c r="J447" s="76" t="n">
        <v>304.877643</v>
      </c>
      <c r="L447" s="77" t="inlineStr">
        <is>
          <t>285/75R24.5-I-28D</t>
        </is>
      </c>
      <c r="M447" s="77" t="n">
        <v>2</v>
      </c>
    </row>
    <row r="448" customFormat="1" s="69">
      <c r="B448" s="92" t="inlineStr">
        <is>
          <t>295/80R22.5-18PR-BRD02 ECO</t>
        </is>
      </c>
      <c r="C448" s="93" t="n">
        <v>37</v>
      </c>
      <c r="D448" s="495">
        <f>IF(C448="","",C448/(C448+$C$1/60))</f>
        <v/>
      </c>
      <c r="E448" s="95">
        <f>IFERROR(ROUND(1440/C448*2*D448,0),"")</f>
        <v/>
      </c>
      <c r="F448" s="96" t="n"/>
      <c r="G448" s="97" t="n"/>
      <c r="H448" s="74" t="n"/>
      <c r="I448" s="75" t="inlineStr">
        <is>
          <t>IDST175/80R13-6PR[Tow pro st]91/87M SUPERMAX无内</t>
        </is>
      </c>
      <c r="J448" s="76" t="n">
        <v>108.463264</v>
      </c>
      <c r="L448" s="77" t="inlineStr">
        <is>
          <t>285/75R24.5-I-37D</t>
        </is>
      </c>
      <c r="M448" s="77" t="n">
        <v>2</v>
      </c>
    </row>
    <row r="449" customFormat="1" s="69">
      <c r="B449" s="92" t="inlineStr">
        <is>
          <t>295/80R22.5-18PR-AS589</t>
        </is>
      </c>
      <c r="C449" s="93" t="n">
        <v>37</v>
      </c>
      <c r="D449" s="495">
        <f>IF(C449="","",C449/(C449+$C$1/60))</f>
        <v/>
      </c>
      <c r="E449" s="95">
        <f>IFERROR(ROUND(1440/C449*2*D449,0),"")</f>
        <v/>
      </c>
      <c r="F449" s="96" t="n"/>
      <c r="G449" s="97" t="n"/>
      <c r="H449" s="74" t="n"/>
      <c r="I449" s="75" t="inlineStr">
        <is>
          <t>IDST175/80R13-6PR[ASSURE ST]91/87N XCELLENT无内</t>
        </is>
      </c>
      <c r="J449" s="76" t="n">
        <v>107.346568</v>
      </c>
      <c r="L449" s="77" t="inlineStr">
        <is>
          <t>285/75R24.5-I-48T</t>
        </is>
      </c>
      <c r="M449" s="77" t="n">
        <v>2</v>
      </c>
    </row>
    <row r="450" customFormat="1" s="69">
      <c r="B450" s="92" t="inlineStr">
        <is>
          <t>295/80R22.5-18PR-ECOLINE A-I</t>
        </is>
      </c>
      <c r="C450" s="93" t="n">
        <v>35</v>
      </c>
      <c r="D450" s="495">
        <f>IF(C450="","",C450/(C450+$C$1/60))</f>
        <v/>
      </c>
      <c r="E450" s="95">
        <f>IFERROR(ROUND(1440/C450*2*D450,0),"")</f>
        <v/>
      </c>
      <c r="F450" s="96" t="n"/>
      <c r="G450" s="97" t="n"/>
      <c r="H450" s="74" t="n"/>
      <c r="I450" s="75" t="inlineStr">
        <is>
          <t>IDST205/75R15-8PR[ST100]107/102M 西湖无内</t>
        </is>
      </c>
      <c r="J450" s="76" t="n">
        <v>163.368436</v>
      </c>
      <c r="L450" s="77" t="inlineStr">
        <is>
          <t>285/75R24.5-I-61S</t>
        </is>
      </c>
      <c r="M450" s="77" t="n">
        <v>2</v>
      </c>
    </row>
    <row r="451" customFormat="1" s="69">
      <c r="B451" s="92" t="inlineStr">
        <is>
          <t>295/80R22.5-18PR-ECOTRAX D-I</t>
        </is>
      </c>
      <c r="C451" s="93" t="n">
        <v>38</v>
      </c>
      <c r="D451" s="495">
        <f>IF(C451="","",C451/(C451+$C$1/60))</f>
        <v/>
      </c>
      <c r="E451" s="95">
        <f>IFERROR(ROUND(1440/C451*2*D451,0),"")</f>
        <v/>
      </c>
      <c r="F451" s="96" t="n"/>
      <c r="G451" s="97" t="n"/>
      <c r="H451" s="74" t="n"/>
      <c r="I451" s="75" t="inlineStr">
        <is>
          <t>IDST215/75R14-6PR[ST-100A]102/98M 西湖无内</t>
        </is>
      </c>
      <c r="J451" s="76" t="n">
        <v>138.485417</v>
      </c>
      <c r="L451" s="77" t="inlineStr">
        <is>
          <t>235/75R17.5-I-19A</t>
        </is>
      </c>
      <c r="M451" s="77" t="n">
        <v>2</v>
      </c>
    </row>
    <row r="452" customFormat="1" s="69">
      <c r="B452" s="92" t="inlineStr">
        <is>
          <t>10.00R20-16PR-I-181</t>
        </is>
      </c>
      <c r="C452" s="93" t="n">
        <v>40</v>
      </c>
      <c r="D452" s="495">
        <f>IF(C452="","",C452/(C452+$C$1/60))</f>
        <v/>
      </c>
      <c r="E452" s="95">
        <f>IFERROR(ROUND(1440/C452*2*D452,0),"")</f>
        <v/>
      </c>
      <c r="F452" s="96" t="n"/>
      <c r="G452" s="97" t="n"/>
      <c r="H452" s="74" t="n"/>
      <c r="I452" s="75" t="inlineStr">
        <is>
          <t>IDST175/80R13-6PR[ST Radial]91/87M Tamarack无内 NR</t>
        </is>
      </c>
      <c r="J452" s="76" t="n">
        <v>107.413208</v>
      </c>
      <c r="L452" s="77" t="inlineStr">
        <is>
          <t>245/70R17.5-I-19A</t>
        </is>
      </c>
      <c r="M452" s="77" t="n">
        <v>2</v>
      </c>
    </row>
    <row r="453" customFormat="1" s="69">
      <c r="B453" s="92" t="inlineStr">
        <is>
          <t>10.00R20-18PR-MOBY.R856X</t>
        </is>
      </c>
      <c r="C453" s="93" t="n">
        <v>41</v>
      </c>
      <c r="D453" s="495">
        <f>IF(C453="","",C453/(C453+$C$1/60))</f>
        <v/>
      </c>
      <c r="E453" s="95">
        <f>IFERROR(ROUND(1440/C453*2*D453,0),"")</f>
        <v/>
      </c>
      <c r="F453" s="96" t="n"/>
      <c r="G453" s="97" t="n"/>
      <c r="H453" s="74" t="n"/>
      <c r="I453" s="75" t="inlineStr">
        <is>
          <t>IDST225/75R15-10PR[ST200]117/112M GOODRIDE(好运)无内 NR</t>
        </is>
      </c>
      <c r="J453" s="76" t="n">
        <v>177.870966</v>
      </c>
      <c r="L453" s="77" t="inlineStr">
        <is>
          <t>295/75R22.5-I-19A</t>
        </is>
      </c>
      <c r="M453" s="77" t="n">
        <v>4</v>
      </c>
    </row>
    <row r="454" customFormat="1" s="69">
      <c r="B454" s="92" t="inlineStr">
        <is>
          <t>11.00R20-20PR-AZ850</t>
        </is>
      </c>
      <c r="C454" s="93" t="n">
        <v>41</v>
      </c>
      <c r="D454" s="495">
        <f>IF(C454="","",C454/(C454+$C$1/60))</f>
        <v/>
      </c>
      <c r="E454" s="95">
        <f>IFERROR(ROUND(1440/C454*2*D454,0),"")</f>
        <v/>
      </c>
      <c r="F454" s="96" t="n"/>
      <c r="G454" s="97" t="n"/>
      <c r="H454" s="74" t="n"/>
      <c r="I454" s="75" t="inlineStr">
        <is>
          <t>ID325/95R24-22PR(162/160K)[AZ828]DIDAR无内</t>
        </is>
      </c>
      <c r="J454" s="76" t="n">
        <v>1230.373078</v>
      </c>
      <c r="L454" s="77" t="inlineStr">
        <is>
          <t>295/75R22.5-I-37D</t>
        </is>
      </c>
      <c r="M454" s="77" t="n">
        <v>2</v>
      </c>
    </row>
    <row r="455" customFormat="1" s="69">
      <c r="B455" s="92" t="inlineStr">
        <is>
          <t>11.00R20-20PR-CB905A</t>
        </is>
      </c>
      <c r="C455" s="93" t="n">
        <v>52</v>
      </c>
      <c r="D455" s="495">
        <f>IF(C455="","",C455/(C455+$C$1/60))</f>
        <v/>
      </c>
      <c r="E455" s="95">
        <f>IFERROR(ROUND(1440/C455*2*D455,0),"")</f>
        <v/>
      </c>
      <c r="F455" s="96" t="n"/>
      <c r="G455" s="97" t="n"/>
      <c r="H455" s="74" t="n"/>
      <c r="I455" s="75" t="inlineStr">
        <is>
          <t>IDST235/85R16-12PR[Tow pro st]128/124M SUPERMAX无内</t>
        </is>
      </c>
      <c r="J455" s="76" t="n">
        <v>280.329609</v>
      </c>
      <c r="L455" s="77" t="inlineStr">
        <is>
          <t>295/75R22.5-I-61S</t>
        </is>
      </c>
      <c r="M455" s="77" t="n">
        <v>2</v>
      </c>
    </row>
    <row r="456" customFormat="1" s="69">
      <c r="B456" s="92" t="inlineStr">
        <is>
          <t>12.00R20-22PR-AZ850</t>
        </is>
      </c>
      <c r="C456" s="93" t="n">
        <v>53.5</v>
      </c>
      <c r="D456" s="495">
        <f>IF(C456="","",C456/(C456+$C$1/60))</f>
        <v/>
      </c>
      <c r="E456" s="95">
        <f>IFERROR(ROUND(1440/C456*2*D456,0),"")</f>
        <v/>
      </c>
      <c r="F456" s="96" t="n"/>
      <c r="G456" s="97" t="n"/>
      <c r="H456" s="74" t="n"/>
      <c r="I456" s="75" t="inlineStr">
        <is>
          <t>IDST175/80R13-6PR[ST100]91/87M 西湖无内</t>
        </is>
      </c>
      <c r="J456" s="76" t="n">
        <v>117.267598</v>
      </c>
      <c r="L456" s="77" t="inlineStr">
        <is>
          <t>11R22.5-I-48T</t>
        </is>
      </c>
      <c r="M456" s="77" t="n">
        <v>2</v>
      </c>
    </row>
    <row r="457" customFormat="1" s="69">
      <c r="B457" s="92" t="inlineStr">
        <is>
          <t>12.00R20-22PR-EZ867</t>
        </is>
      </c>
      <c r="C457" s="93" t="n">
        <v>53.5</v>
      </c>
      <c r="D457" s="495">
        <f>IF(C457="","",C457/(C457+$C$1/60))</f>
        <v/>
      </c>
      <c r="E457" s="95">
        <f>IFERROR(ROUND(1440/C457*2*D457,0),"")</f>
        <v/>
      </c>
      <c r="F457" s="96" t="n"/>
      <c r="G457" s="97" t="n"/>
      <c r="H457" s="74" t="n"/>
      <c r="I457" s="75" t="inlineStr">
        <is>
          <t>IDST175/80R13-8PR[ST200]97/93M GOODRIDE(好运)无内 NR</t>
        </is>
      </c>
      <c r="J457" s="76" t="n">
        <v>121.255288</v>
      </c>
      <c r="L457" s="77" t="inlineStr">
        <is>
          <t>11R22.5-I-61S</t>
        </is>
      </c>
      <c r="M457" s="77" t="n">
        <v>2</v>
      </c>
    </row>
    <row r="458" customFormat="1" s="69">
      <c r="B458" s="92" t="inlineStr">
        <is>
          <t>325/95R24-22PR-EZ865</t>
        </is>
      </c>
      <c r="C458" s="93" t="n">
        <v>50</v>
      </c>
      <c r="D458" s="495">
        <f>IF(C458="","",C458/(C458+$C$1/60))</f>
        <v/>
      </c>
      <c r="E458" s="95">
        <f>IFERROR(ROUND(1440/C458*2*D458,0),"")</f>
        <v/>
      </c>
      <c r="F458" s="96" t="n"/>
      <c r="G458" s="97" t="n"/>
      <c r="H458" s="74" t="n"/>
      <c r="I458" s="75" t="inlineStr">
        <is>
          <t>IDST205/75R14-6PR[ST200]100/96M GOODRIDE(好运)无内 NR</t>
        </is>
      </c>
      <c r="J458" s="76" t="n">
        <v>127.812426</v>
      </c>
      <c r="L458" s="77" t="inlineStr">
        <is>
          <t>11R22.5-I-37D</t>
        </is>
      </c>
      <c r="M458" s="77" t="n">
        <v>4</v>
      </c>
    </row>
    <row r="459" customFormat="1" s="69">
      <c r="B459" s="92" t="inlineStr">
        <is>
          <t>8.25R16-16PR-CR926</t>
        </is>
      </c>
      <c r="C459" s="93" t="n">
        <v>28.5</v>
      </c>
      <c r="D459" s="495">
        <f>IF(C459="","",C459/(C459+$C$1/60))</f>
        <v/>
      </c>
      <c r="E459" s="95">
        <f>IFERROR(ROUND(1440/C459*2*D459,0),"")</f>
        <v/>
      </c>
      <c r="F459" s="96" t="n"/>
      <c r="G459" s="97" t="n"/>
      <c r="H459" s="74" t="n"/>
      <c r="I459" s="75" t="inlineStr">
        <is>
          <t>IDST205/75R15-6PR[ST200]101/97M GOODRIDE(好运)无内 NR</t>
        </is>
      </c>
      <c r="J459" s="76" t="n">
        <v>131.199999</v>
      </c>
      <c r="L459" s="77" t="inlineStr">
        <is>
          <t>11R22.5-I-28D</t>
        </is>
      </c>
      <c r="M459" s="77" t="n">
        <v>4</v>
      </c>
    </row>
    <row r="460" customFormat="1" s="69">
      <c r="B460" s="92" t="inlineStr">
        <is>
          <t>325/95R24-22PR-EZ509</t>
        </is>
      </c>
      <c r="C460" s="93" t="n">
        <v>50</v>
      </c>
      <c r="D460" s="495">
        <f>IF(C460="","",C460/(C460+$C$1/60))</f>
        <v/>
      </c>
      <c r="E460" s="95">
        <f>IFERROR(ROUND(1440/C460*2*D460,0),"")</f>
        <v/>
      </c>
      <c r="F460" s="96" t="n"/>
      <c r="G460" s="97" t="n"/>
      <c r="H460" s="74" t="n"/>
      <c r="I460" s="75" t="inlineStr">
        <is>
          <t>ID23.5-25中策丁基内胎</t>
        </is>
      </c>
      <c r="J460" s="76" t="n">
        <v>179.659655</v>
      </c>
      <c r="L460" s="77" t="inlineStr">
        <is>
          <t>11R24.5-I-48T</t>
        </is>
      </c>
      <c r="M460" s="77" t="n">
        <v>2</v>
      </c>
    </row>
    <row r="461" customFormat="1" s="69">
      <c r="B461" s="92" t="inlineStr">
        <is>
          <t>12.00R20-20PR-TZ101</t>
        </is>
      </c>
      <c r="C461" s="93" t="n">
        <v>48.5</v>
      </c>
      <c r="D461" s="495">
        <f>IF(C461="","",C461/(C461+$C$1/60))</f>
        <v/>
      </c>
      <c r="E461" s="95">
        <f>IFERROR(ROUND(1440/C461*2*D461,0),"")</f>
        <v/>
      </c>
      <c r="F461" s="96" t="n"/>
      <c r="G461" s="97" t="n"/>
      <c r="H461" s="74" t="n"/>
      <c r="I461" s="75" t="inlineStr">
        <is>
          <t>ID11.00-20-18PR[CR952PRO]153/148G 朝阳</t>
        </is>
      </c>
      <c r="J461" s="76" t="n">
        <v>931.551873</v>
      </c>
      <c r="L461" s="77" t="inlineStr">
        <is>
          <t>11R24.5-I-61S</t>
        </is>
      </c>
      <c r="M461" s="77" t="n">
        <v>2</v>
      </c>
    </row>
    <row r="462" customFormat="1" s="69">
      <c r="B462" s="92" t="inlineStr">
        <is>
          <t>12.00R20-18PR-MT100</t>
        </is>
      </c>
      <c r="C462" s="93" t="n">
        <v>48.5</v>
      </c>
      <c r="D462" s="495">
        <f>IF(C462="","",C462/(C462+$C$1/60))</f>
        <v/>
      </c>
      <c r="E462" s="95">
        <f>IFERROR(ROUND(1440/C462*2*D462,0),"")</f>
        <v/>
      </c>
      <c r="F462" s="96" t="n"/>
      <c r="G462" s="97" t="n"/>
      <c r="H462" s="74" t="n"/>
      <c r="I462" s="75" t="inlineStr">
        <is>
          <t>ID12.00R20-22PR(158/155F)[EZ310 pro]威狮</t>
        </is>
      </c>
      <c r="J462" s="76" t="n">
        <v>1371.904544</v>
      </c>
      <c r="L462" s="77" t="inlineStr">
        <is>
          <t>11R24.5-I-37D</t>
        </is>
      </c>
      <c r="M462" s="77" t="n">
        <v>2</v>
      </c>
    </row>
    <row r="463" customFormat="1" s="69">
      <c r="B463" s="92" t="inlineStr">
        <is>
          <t>11R22.5-16PR-Strong Guard H-RD</t>
        </is>
      </c>
      <c r="C463" s="93" t="n">
        <v>40.5</v>
      </c>
      <c r="D463" s="495">
        <f>IF(C463="","",C463/(C463+$C$1/60))</f>
        <v/>
      </c>
      <c r="E463" s="95">
        <f>IFERROR(ROUND(1440/C463*2*D463,0),"")</f>
        <v/>
      </c>
      <c r="F463" s="96" t="n"/>
      <c r="G463" s="97" t="n"/>
      <c r="H463" s="74" t="n"/>
      <c r="I463" s="75" t="inlineStr">
        <is>
          <t>ID425/65R22.5-20PR(165K)[ZM42]威狮无内</t>
        </is>
      </c>
      <c r="J463" s="76" t="n">
        <v>1312.663852</v>
      </c>
      <c r="L463" s="77" t="inlineStr">
        <is>
          <t>11R24.5-I-28D</t>
        </is>
      </c>
      <c r="M463" s="77" t="n">
        <v>2</v>
      </c>
    </row>
    <row r="464" customFormat="1" s="69">
      <c r="B464" s="92" t="inlineStr">
        <is>
          <t>295/75R22.5-14PR-I-19A</t>
        </is>
      </c>
      <c r="C464" s="93" t="n">
        <v>35.5</v>
      </c>
      <c r="D464" s="495">
        <f>IF(C464="","",C464/(C464+$C$1/60))</f>
        <v/>
      </c>
      <c r="E464" s="95">
        <f>IFERROR(ROUND(1440/C464*2*D464,0),"")</f>
        <v/>
      </c>
      <c r="F464" s="96" t="n"/>
      <c r="G464" s="97" t="n"/>
      <c r="H464" s="74" t="n"/>
      <c r="I464" s="75" t="inlineStr">
        <is>
          <t>IDST225/75R15-10PR[ST100]117/112M GOODRIDE(好运)无内</t>
        </is>
      </c>
      <c r="J464" s="76" t="n">
        <v>205.463972</v>
      </c>
      <c r="L464" s="77" t="inlineStr">
        <is>
          <t>245/70R19.5-I-37D</t>
        </is>
      </c>
      <c r="M464" s="77" t="n">
        <v>2</v>
      </c>
    </row>
    <row r="465" customFormat="1" s="69">
      <c r="B465" s="92" t="inlineStr">
        <is>
          <t>12R22.5-18PR-Strong Guard H-MD</t>
        </is>
      </c>
      <c r="C465" s="93" t="n">
        <v>50</v>
      </c>
      <c r="D465" s="495">
        <f>IF(C465="","",C465/(C465+$C$1/60))</f>
        <v/>
      </c>
      <c r="E465" s="95">
        <f>IFERROR(ROUND(1440/C465*2*D465,0),"")</f>
        <v/>
      </c>
      <c r="F465" s="96" t="n"/>
      <c r="G465" s="97" t="n"/>
      <c r="H465" s="74" t="n"/>
      <c r="I465" s="75" t="inlineStr">
        <is>
          <t>ID295/80R22.5-18PR(152/149M)[AT186]欧耐特无内</t>
        </is>
      </c>
      <c r="J465" s="76" t="n">
        <v>758.343486</v>
      </c>
      <c r="L465" s="77" t="inlineStr">
        <is>
          <t>265/70R19.5-I-19A</t>
        </is>
      </c>
      <c r="M465" s="77" t="n">
        <v>2</v>
      </c>
    </row>
    <row r="466" customFormat="1" s="69">
      <c r="B466" s="92" t="inlineStr">
        <is>
          <t>12R22.5-18PR-I-181</t>
        </is>
      </c>
      <c r="C466" s="93" t="n">
        <v>44</v>
      </c>
      <c r="D466" s="495">
        <f>IF(C466="","",C466/(C466+$C$1/60))</f>
        <v/>
      </c>
      <c r="E466" s="95">
        <f>IFERROR(ROUND(1440/C466*2*D466,0),"")</f>
        <v/>
      </c>
      <c r="F466" s="96" t="n"/>
      <c r="G466" s="97" t="n"/>
      <c r="H466" s="74" t="n"/>
      <c r="I466" s="75" t="inlineStr">
        <is>
          <t>ID285/75R24.5-14PR(144/141L)[ZA12]威狮无内</t>
        </is>
      </c>
      <c r="J466" s="76" t="n">
        <v>836.436658</v>
      </c>
      <c r="L466" s="77" t="inlineStr">
        <is>
          <t>11R22.5-I-52A</t>
        </is>
      </c>
      <c r="M466" s="77" t="n">
        <v>2</v>
      </c>
    </row>
    <row r="467" customFormat="1" s="69">
      <c r="B467" s="92" t="inlineStr">
        <is>
          <t>12R22.5-20PR-EZ870</t>
        </is>
      </c>
      <c r="C467" s="93" t="n">
        <v>54</v>
      </c>
      <c r="D467" s="495">
        <f>IF(C467="","",C467/(C467+$C$1/60))</f>
        <v/>
      </c>
      <c r="E467" s="95">
        <f>IFERROR(ROUND(1440/C467*2*D467,0),"")</f>
        <v/>
      </c>
      <c r="F467" s="96" t="n"/>
      <c r="G467" s="97" t="n"/>
      <c r="H467" s="74" t="n"/>
      <c r="I467" s="75" t="inlineStr">
        <is>
          <t>ID11R22.5-16PR(148/145L)[CM983]威狮无内</t>
        </is>
      </c>
      <c r="J467" s="76" t="n">
        <v>797.276825</v>
      </c>
      <c r="L467" s="77" t="inlineStr">
        <is>
          <t>11R24.5-I-52A</t>
        </is>
      </c>
      <c r="M467" s="77" t="n">
        <v>2</v>
      </c>
    </row>
    <row r="468" customFormat="1" s="69">
      <c r="B468" s="92" t="inlineStr">
        <is>
          <t>12R22.5-20PR-EZ867</t>
        </is>
      </c>
      <c r="C468" s="93" t="n">
        <v>52</v>
      </c>
      <c r="D468" s="495">
        <f>IF(C468="","",C468/(C468+$C$1/60))</f>
        <v/>
      </c>
      <c r="E468" s="95">
        <f>IFERROR(ROUND(1440/C468*2*D468,0),"")</f>
        <v/>
      </c>
      <c r="F468" s="96" t="n"/>
      <c r="G468" s="97" t="n"/>
      <c r="H468" s="74" t="n"/>
      <c r="I468" s="75" t="inlineStr">
        <is>
          <t>ID12.00R24-22PR(162/160F)[CB972E]DIDAR</t>
        </is>
      </c>
      <c r="J468" s="76" t="n">
        <v>1298.806723</v>
      </c>
      <c r="L468" s="77" t="inlineStr">
        <is>
          <t>285/75R24.5-I-52A</t>
        </is>
      </c>
      <c r="M468" s="77" t="n">
        <v>2</v>
      </c>
    </row>
    <row r="469" customFormat="1" s="69">
      <c r="B469" s="92" t="inlineStr">
        <is>
          <t>12R22.5-20PR-AS898H</t>
        </is>
      </c>
      <c r="C469" s="93" t="n">
        <v>52</v>
      </c>
      <c r="D469" s="495">
        <f>IF(C469="","",C469/(C469+$C$1/60))</f>
        <v/>
      </c>
      <c r="E469" s="95">
        <f>IFERROR(ROUND(1440/C469*2*D469,0),"")</f>
        <v/>
      </c>
      <c r="F469" s="96" t="n"/>
      <c r="G469" s="97" t="n"/>
      <c r="H469" s="74" t="n"/>
      <c r="I469" s="75" t="inlineStr">
        <is>
          <t>ID325/95R24-22PR(162/160F)[CB972E]朝阳无内</t>
        </is>
      </c>
      <c r="J469" s="76" t="n">
        <v>1314.196422</v>
      </c>
      <c r="L469" s="77" t="inlineStr">
        <is>
          <t>295/75R22.5-I-52A</t>
        </is>
      </c>
      <c r="M469" s="77" t="n">
        <v>2</v>
      </c>
    </row>
    <row r="470" customFormat="1" s="69">
      <c r="B470" s="92" t="inlineStr">
        <is>
          <t>12R22.5-20PR-AZ850M</t>
        </is>
      </c>
      <c r="C470" s="93" t="n">
        <v>48</v>
      </c>
      <c r="D470" s="495">
        <f>IF(C470="","",C470/(C470+$C$1/60))</f>
        <v/>
      </c>
      <c r="E470" s="95">
        <f>IFERROR(ROUND(1440/C470*2*D470,0),"")</f>
        <v/>
      </c>
      <c r="F470" s="96" t="n"/>
      <c r="G470" s="97" t="n"/>
      <c r="H470" s="74" t="n"/>
      <c r="I470" s="75" t="inlineStr">
        <is>
          <t>ID325/95R24-22PR(162/160F)[CB972E]GOODRIDE(好运)无内</t>
        </is>
      </c>
      <c r="J470" s="76" t="n">
        <v>1314.196422</v>
      </c>
      <c r="L470" s="77" t="inlineStr">
        <is>
          <t>315/80R22.5-I-52A</t>
        </is>
      </c>
      <c r="M470" s="77" t="n">
        <v>2</v>
      </c>
    </row>
    <row r="471" customFormat="1" s="69">
      <c r="B471" s="92" t="inlineStr">
        <is>
          <t>215/75R17.5-16PR-AP-7318</t>
        </is>
      </c>
      <c r="C471" s="93" t="n">
        <v>32.5</v>
      </c>
      <c r="D471" s="495">
        <f>IF(C471="","",C471/(C471+$C$1/60))</f>
        <v/>
      </c>
      <c r="E471" s="95">
        <f>IFERROR(ROUND(1440/C471*2*D471,0),"")</f>
        <v/>
      </c>
      <c r="F471" s="96" t="n"/>
      <c r="G471" s="97" t="n"/>
      <c r="H471" s="74" t="n"/>
      <c r="I471" s="75" t="inlineStr">
        <is>
          <t>IDST225/75R15-10PR[STZC]117/112L 朝阳无内</t>
        </is>
      </c>
      <c r="J471" s="76" t="n">
        <v>207.948692</v>
      </c>
      <c r="L471" s="77" t="inlineStr">
        <is>
          <t>11R22.5-I-31M</t>
        </is>
      </c>
      <c r="M471" s="77" t="n">
        <v>2</v>
      </c>
    </row>
    <row r="472" customFormat="1" s="69">
      <c r="B472" s="92" t="inlineStr">
        <is>
          <t>235/75R17.5-18PR-AP-7318</t>
        </is>
      </c>
      <c r="C472" s="93" t="n">
        <v>29.7</v>
      </c>
      <c r="D472" s="495">
        <f>IF(C472="","",C472/(C472+$C$1/60))</f>
        <v/>
      </c>
      <c r="E472" s="95">
        <f>IFERROR(ROUND(1440/C472*2*D472,0),"")</f>
        <v/>
      </c>
      <c r="F472" s="96" t="n"/>
      <c r="G472" s="97" t="n"/>
      <c r="H472" s="74" t="n"/>
      <c r="I472" s="75" t="inlineStr">
        <is>
          <t>IDST225/75R15-8PR[STZC]113/108L 朝阳无内</t>
        </is>
      </c>
      <c r="J472" s="76" t="n">
        <v>192.049221</v>
      </c>
      <c r="L472" s="77" t="inlineStr">
        <is>
          <t>11R24.5-I-31M</t>
        </is>
      </c>
      <c r="M472" s="77" t="n">
        <v>2</v>
      </c>
    </row>
    <row r="473" customFormat="1" s="69">
      <c r="B473" s="92" t="inlineStr">
        <is>
          <t>235/75R17.5-18PR-Strong Guard H-RA</t>
        </is>
      </c>
      <c r="C473" s="93" t="n">
        <v>30</v>
      </c>
      <c r="D473" s="495">
        <f>IF(C473="","",C473/(C473+$C$1/60))</f>
        <v/>
      </c>
      <c r="E473" s="95">
        <f>IFERROR(ROUND(1440/C473*2*D473,0),"")</f>
        <v/>
      </c>
      <c r="F473" s="96" t="n"/>
      <c r="G473" s="97" t="n"/>
      <c r="H473" s="74" t="n"/>
      <c r="I473" s="75" t="inlineStr">
        <is>
          <t>ID(G105003)80/90-14-4P[H-577]40P GOODRIDE 纳米高抓 TL</t>
        </is>
      </c>
      <c r="J473" s="76" t="n">
        <v>40.001255</v>
      </c>
      <c r="L473" s="77" t="inlineStr">
        <is>
          <t>315/80R22.5-I-31M</t>
        </is>
      </c>
      <c r="M473" s="77" t="n">
        <v>2</v>
      </c>
    </row>
    <row r="474" customFormat="1" s="69">
      <c r="B474" s="92" t="inlineStr">
        <is>
          <t>245/70R17.5-18PR-AP-7318</t>
        </is>
      </c>
      <c r="C474" s="93" t="n">
        <v>32</v>
      </c>
      <c r="D474" s="495">
        <f>IF(C474="","",C474/(C474+$C$1/60))</f>
        <v/>
      </c>
      <c r="E474" s="95">
        <f>IFERROR(ROUND(1440/C474*2*D474,0),"")</f>
        <v/>
      </c>
      <c r="F474" s="96" t="n"/>
      <c r="G474" s="97" t="n"/>
      <c r="H474" s="74" t="n"/>
      <c r="I474" s="75" t="inlineStr">
        <is>
          <t>ID(G105001)70/90-14-4P[H-577]34P GOODRIDE 纳米高抓 TL</t>
        </is>
      </c>
      <c r="J474" s="76" t="n">
        <v>31.803821</v>
      </c>
      <c r="L474" s="77" t="inlineStr">
        <is>
          <t>385/65R22.5-I-42W</t>
        </is>
      </c>
      <c r="M474" s="77" t="n">
        <v>2</v>
      </c>
    </row>
    <row r="475" customFormat="1" s="69">
      <c r="B475" s="92" t="inlineStr">
        <is>
          <t>245/70R19.5-16PR-AP-7318</t>
        </is>
      </c>
      <c r="C475" s="93" t="n">
        <v>33.5</v>
      </c>
      <c r="D475" s="495">
        <f>IF(C475="","",C475/(C475+$C$1/60))</f>
        <v/>
      </c>
      <c r="E475" s="95">
        <f>IFERROR(ROUND(1440/C475*2*D475,0),"")</f>
        <v/>
      </c>
      <c r="F475" s="96" t="n"/>
      <c r="G475" s="97" t="n"/>
      <c r="H475" s="74" t="n"/>
      <c r="I475" s="75" t="inlineStr">
        <is>
          <t>ID(G105005)90/90-14-4P[H-577]46P GOODRIDE 纳米高抓 TL</t>
        </is>
      </c>
      <c r="J475" s="76" t="n">
        <v>41.912395</v>
      </c>
      <c r="L475" s="77" t="inlineStr">
        <is>
          <t>425/65R22.5-I-42W</t>
        </is>
      </c>
      <c r="M475" s="77" t="n">
        <v>2</v>
      </c>
    </row>
    <row r="476" customFormat="1" s="69">
      <c r="B476" s="92" t="inlineStr">
        <is>
          <t>245/70R19.5-16PR-DR-7318</t>
        </is>
      </c>
      <c r="C476" s="93" t="n">
        <v>33.5</v>
      </c>
      <c r="D476" s="495">
        <f>IF(C476="","",C476/(C476+$C$1/60))</f>
        <v/>
      </c>
      <c r="E476" s="95">
        <f>IFERROR(ROUND(1440/C476*2*D476,0),"")</f>
        <v/>
      </c>
      <c r="F476" s="96" t="n"/>
      <c r="G476" s="97" t="n"/>
      <c r="H476" s="74" t="n"/>
      <c r="I476" s="75" t="inlineStr">
        <is>
          <t>ID(G105004)90/80-14-4P[H-577]43P GOODRIDE 纳米高抓 TL</t>
        </is>
      </c>
      <c r="J476" s="76" t="n">
        <v>41.496847</v>
      </c>
      <c r="L476" s="77" t="inlineStr">
        <is>
          <t>445/65R22.5-I-42W</t>
        </is>
      </c>
      <c r="M476" s="77" t="n">
        <v>2</v>
      </c>
    </row>
    <row r="477" customFormat="1" s="69">
      <c r="B477" s="92" t="inlineStr">
        <is>
          <t>275/70R22.5-16PR-Strong Guard H-RA</t>
        </is>
      </c>
      <c r="C477" s="93" t="n">
        <v>37</v>
      </c>
      <c r="D477" s="495">
        <f>IF(C477="","",C477/(C477+$C$1/60))</f>
        <v/>
      </c>
      <c r="E477" s="95">
        <f>IFERROR(ROUND(1440/C477*2*D477,0),"")</f>
        <v/>
      </c>
      <c r="F477" s="96" t="n"/>
      <c r="G477" s="97" t="n"/>
      <c r="H477" s="74" t="n"/>
      <c r="I477" s="75" t="inlineStr">
        <is>
          <t>ID315/80R22.5-20PR(157/154K)[CR926B]DIDAR无内</t>
        </is>
      </c>
      <c r="J477" s="76" t="n">
        <v>949.8509330000001</v>
      </c>
      <c r="L477" s="77" t="inlineStr">
        <is>
          <t>275/70R22.5-I-19A</t>
        </is>
      </c>
      <c r="M477" s="77" t="n">
        <v>2</v>
      </c>
    </row>
    <row r="478" customFormat="1" s="69">
      <c r="B478" s="92" t="inlineStr">
        <is>
          <t>445/65R22.5-20PR-Strong Guard H-MW</t>
        </is>
      </c>
      <c r="C478" s="93" t="n">
        <v>60</v>
      </c>
      <c r="D478" s="495">
        <f>IF(C478="","",C478/(C478+$C$1/60))</f>
        <v/>
      </c>
      <c r="E478" s="95">
        <f>IFERROR(ROUND(1440/C478*2*D478,0),"")</f>
        <v/>
      </c>
      <c r="F478" s="96" t="n"/>
      <c r="G478" s="97" t="n"/>
      <c r="H478" s="74" t="n"/>
      <c r="I478" s="75" t="inlineStr">
        <is>
          <t>ID11R24.5-16PR(149/146K)[Strong Guard H-MD]HERCULES无内</t>
        </is>
      </c>
      <c r="J478" s="76" t="n">
        <v>926.057854</v>
      </c>
      <c r="L478" s="77" t="inlineStr">
        <is>
          <t>12.00R24-I-301</t>
        </is>
      </c>
      <c r="M478" s="77" t="n">
        <v>2</v>
      </c>
    </row>
    <row r="479" customFormat="1" s="69">
      <c r="B479" s="92" t="inlineStr">
        <is>
          <t>275/80R22.5-16PR-EZ573A</t>
        </is>
      </c>
      <c r="C479" s="93" t="n">
        <v>42</v>
      </c>
      <c r="D479" s="495">
        <f>IF(C479="","",C479/(C479+$C$1/60))</f>
        <v/>
      </c>
      <c r="E479" s="95">
        <f>IFERROR(ROUND(1440/C479*2*D479,0),"")</f>
        <v/>
      </c>
      <c r="F479" s="96" t="n"/>
      <c r="G479" s="97" t="n"/>
      <c r="H479" s="74" t="n"/>
      <c r="I479" s="75" t="inlineStr">
        <is>
          <t>ID11R22.5-16PR(148/145L)[AS868]GOODRIDE(好运)无内</t>
        </is>
      </c>
      <c r="J479" s="76" t="n">
        <v>831.908056</v>
      </c>
      <c r="L479" s="77" t="inlineStr">
        <is>
          <t>12R22.5-I-181</t>
        </is>
      </c>
      <c r="M479" s="77" t="n">
        <v>2</v>
      </c>
    </row>
    <row r="480" customFormat="1" s="69">
      <c r="B480" s="92" t="inlineStr">
        <is>
          <t>275/80R22.5-16PR-AS678</t>
        </is>
      </c>
      <c r="C480" s="93" t="n">
        <v>42</v>
      </c>
      <c r="D480" s="495">
        <f>IF(C480="","",C480/(C480+$C$1/60))</f>
        <v/>
      </c>
      <c r="E480" s="95">
        <f>IFERROR(ROUND(1440/C480*2*D480,0),"")</f>
        <v/>
      </c>
      <c r="F480" s="96" t="n"/>
      <c r="G480" s="97" t="n"/>
      <c r="H480" s="74" t="n"/>
      <c r="I480" s="75" t="inlineStr">
        <is>
          <t>ID425/65R22.5-20PR(165K)[AT557]朝阳无内</t>
        </is>
      </c>
      <c r="J480" s="76" t="n">
        <v>1302.394474</v>
      </c>
      <c r="L480" s="77" t="inlineStr">
        <is>
          <t>10.00R20-I-181</t>
        </is>
      </c>
      <c r="M480" s="77" t="n">
        <v>2</v>
      </c>
    </row>
    <row r="481" customFormat="1" s="69">
      <c r="B481" s="92" t="inlineStr">
        <is>
          <t>10.00R20-18PR-MT100</t>
        </is>
      </c>
      <c r="C481" s="93" t="n">
        <v>47.5</v>
      </c>
      <c r="D481" s="495">
        <f>IF(C481="","",C481/(C481+$C$1/60))</f>
        <v/>
      </c>
      <c r="E481" s="95">
        <f>IFERROR(ROUND(1440/C481*2*D481,0),"")</f>
        <v/>
      </c>
      <c r="F481" s="96" t="n"/>
      <c r="G481" s="97" t="n"/>
      <c r="H481" s="74" t="n"/>
      <c r="I481" s="75" t="inlineStr">
        <is>
          <t>IDST175/80R13-8PR[ASSURE ST]97/93N XCELLENT无内</t>
        </is>
      </c>
      <c r="J481" s="76" t="n">
        <v>119.307972</v>
      </c>
      <c r="L481" s="77" t="inlineStr">
        <is>
          <t>225/70R19.5-I-208</t>
        </is>
      </c>
      <c r="M481" s="77" t="n">
        <v>2</v>
      </c>
    </row>
    <row r="482" customFormat="1" s="69">
      <c r="B482" s="92" t="inlineStr">
        <is>
          <t>10.00R20-18PR-TZ303</t>
        </is>
      </c>
      <c r="C482" s="93" t="n">
        <v>47.5</v>
      </c>
      <c r="D482" s="495">
        <f>IF(C482="","",C482/(C482+$C$1/60))</f>
        <v/>
      </c>
      <c r="E482" s="95">
        <f>IFERROR(ROUND(1440/C482*2*D482,0),"")</f>
        <v/>
      </c>
      <c r="F482" s="96" t="n"/>
      <c r="G482" s="97" t="n"/>
      <c r="H482" s="74" t="n"/>
      <c r="I482" s="75" t="inlineStr">
        <is>
          <t>IDST205/75R14-8PR[STZC]105/101L 西湖无内</t>
        </is>
      </c>
      <c r="J482" s="76" t="n">
        <v>119.307972</v>
      </c>
      <c r="L482" s="77" t="inlineStr">
        <is>
          <t>12.00R24-TZ101 PRO</t>
        </is>
      </c>
      <c r="M482" s="77" t="n">
        <v>2</v>
      </c>
    </row>
    <row r="483" customFormat="1" s="69">
      <c r="B483" s="92" t="inlineStr">
        <is>
          <t>11.00R20-18PR-MT100</t>
        </is>
      </c>
      <c r="C483" s="93" t="n">
        <v>47.5</v>
      </c>
      <c r="D483" s="495">
        <f>IF(C483="","",C483/(C483+$C$1/60))</f>
        <v/>
      </c>
      <c r="E483" s="95">
        <f>IFERROR(ROUND(1440/C483*2*D483,0),"")</f>
        <v/>
      </c>
      <c r="F483" s="96" t="n"/>
      <c r="G483" s="97" t="n"/>
      <c r="H483" s="74" t="n"/>
      <c r="I483" s="75" t="inlineStr">
        <is>
          <t>IDST205/75R15-10PR[ASSURE ST]111/106N XCELLENT无内</t>
        </is>
      </c>
      <c r="J483" s="76" t="n">
        <v>172.062576</v>
      </c>
      <c r="L483" s="77" t="inlineStr">
        <is>
          <t>12.00R24-TZ101</t>
        </is>
      </c>
      <c r="M483" s="77" t="n">
        <v>2</v>
      </c>
    </row>
    <row r="484" customFormat="1" s="69">
      <c r="B484" s="92" t="inlineStr">
        <is>
          <t>225/70R19.5-14PR-AP-7318</t>
        </is>
      </c>
      <c r="C484" s="93" t="n">
        <v>30.3</v>
      </c>
      <c r="D484" s="495">
        <f>IF(C484="","",C484/(C484+$C$1/60))</f>
        <v/>
      </c>
      <c r="E484" s="95">
        <f>IFERROR(ROUND(1440/C484*2*D484,0),"")</f>
        <v/>
      </c>
      <c r="F484" s="96" t="n"/>
      <c r="G484" s="97" t="n"/>
      <c r="H484" s="74" t="n"/>
      <c r="I484" s="75" t="inlineStr">
        <is>
          <t>IDST205/75R15-6PR[STZC]101/97L GOODRIDE(好运)无内</t>
        </is>
      </c>
      <c r="J484" s="76" t="n">
        <v>146.894909</v>
      </c>
      <c r="L484" s="77" t="inlineStr">
        <is>
          <t>12.00R20-TZ101</t>
        </is>
      </c>
      <c r="M484" s="77" t="n">
        <v>2</v>
      </c>
    </row>
    <row r="485" customFormat="1" s="69">
      <c r="B485" s="92" t="inlineStr">
        <is>
          <t>225/70R19.5-14PR-DR-7318</t>
        </is>
      </c>
      <c r="C485" s="93" t="n">
        <v>32.5</v>
      </c>
      <c r="D485" s="495">
        <f>IF(C485="","",C485/(C485+$C$1/60))</f>
        <v/>
      </c>
      <c r="E485" s="95">
        <f>IFERROR(ROUND(1440/C485*2*D485,0),"")</f>
        <v/>
      </c>
      <c r="F485" s="96" t="n"/>
      <c r="G485" s="97" t="n"/>
      <c r="H485" s="74" t="n"/>
      <c r="I485" s="75" t="inlineStr">
        <is>
          <t>ID27×8.50-15-8PR[STRONG GUARD SS]HERCULES无内</t>
        </is>
      </c>
      <c r="J485" s="76" t="n">
        <v>240.196621</v>
      </c>
      <c r="L485" s="77" t="inlineStr">
        <is>
          <t>11.00R20-TZ101</t>
        </is>
      </c>
      <c r="M485" s="77" t="n">
        <v>2</v>
      </c>
    </row>
    <row r="486" customFormat="1" s="69">
      <c r="B486" s="92" t="inlineStr">
        <is>
          <t>295/80R22.5-18PR-BMA07 ECO</t>
        </is>
      </c>
      <c r="C486" s="93" t="n">
        <v>37</v>
      </c>
      <c r="D486" s="495">
        <f>IF(C486="","",C486/(C486+$C$1/60))</f>
        <v/>
      </c>
      <c r="E486" s="95">
        <f>IFERROR(ROUND(1440/C486*2*D486,0),"")</f>
        <v/>
      </c>
      <c r="F486" s="96" t="n"/>
      <c r="G486" s="97" t="n"/>
      <c r="H486" s="74" t="n"/>
      <c r="I486" s="75" t="inlineStr">
        <is>
          <t>ID12R22.5-18PR(152/149L)[I-181]IRONMAN无内</t>
        </is>
      </c>
      <c r="J486" s="76" t="n">
        <v>883.054722</v>
      </c>
      <c r="L486" s="77" t="inlineStr">
        <is>
          <t>10.00R20-TZ101</t>
        </is>
      </c>
      <c r="M486" s="77" t="n">
        <v>2</v>
      </c>
    </row>
    <row r="487" customFormat="1" s="69">
      <c r="B487" s="92" t="inlineStr">
        <is>
          <t>295/80R22.5-18PR-Strong Guard H-RA</t>
        </is>
      </c>
      <c r="C487" s="93" t="n">
        <v>37</v>
      </c>
      <c r="D487" s="495">
        <f>IF(C487="","",C487/(C487+$E$1/60))</f>
        <v/>
      </c>
      <c r="E487" s="95">
        <f>IFERROR(ROUND(1440/C487*2*D487,0),"")</f>
        <v/>
      </c>
      <c r="F487" s="96" t="n"/>
      <c r="G487" s="97" t="n"/>
      <c r="H487" s="74" t="n"/>
      <c r="I487" s="75" t="inlineStr">
        <is>
          <t>ID325/95R24-22PR(162/160K)[EZ509]DIDAR无内</t>
        </is>
      </c>
      <c r="J487" s="76" t="n">
        <v>1197.876179</v>
      </c>
      <c r="L487" s="77" t="inlineStr">
        <is>
          <t>11.00R20-TZ202</t>
        </is>
      </c>
      <c r="M487" s="77" t="n">
        <v>2</v>
      </c>
    </row>
    <row r="488" customFormat="1" s="69">
      <c r="B488" s="92" t="inlineStr">
        <is>
          <t>215/75R17.5-16PR-CM986</t>
        </is>
      </c>
      <c r="C488" s="93" t="n">
        <v>27</v>
      </c>
      <c r="D488" s="495">
        <f>IF(C488="","",C488/(C488+$E$1/60))</f>
        <v/>
      </c>
      <c r="E488" s="95">
        <f>IFERROR(ROUND(1440/C488*2*D488,0),"")</f>
        <v/>
      </c>
      <c r="F488" s="96" t="n"/>
      <c r="G488" s="97" t="n"/>
      <c r="H488" s="74" t="n"/>
      <c r="I488" s="75" t="inlineStr">
        <is>
          <t>ID7.00-16LT-14PR[MX882]118/114K 朝阳</t>
        </is>
      </c>
      <c r="J488" s="76" t="n">
        <v>351.715567</v>
      </c>
      <c r="L488" s="77" t="inlineStr">
        <is>
          <t>10.00R20-TZ202</t>
        </is>
      </c>
      <c r="M488" s="77" t="n">
        <v>2</v>
      </c>
    </row>
    <row r="489" customFormat="1" s="69">
      <c r="B489" s="92" t="inlineStr">
        <is>
          <t>255/70R22.5-16PR-VA996</t>
        </is>
      </c>
      <c r="C489" s="93" t="n">
        <v>34</v>
      </c>
      <c r="D489" s="495">
        <f>IF(C489="","",C489/(C489+$E$1/60))</f>
        <v/>
      </c>
      <c r="E489" s="95">
        <f>IFERROR(ROUND(1440/C489*2*D489,0),"")</f>
        <v/>
      </c>
      <c r="F489" s="96" t="n"/>
      <c r="G489" s="97" t="n"/>
      <c r="H489" s="74" t="n"/>
      <c r="I489" s="75" t="inlineStr">
        <is>
          <t>ID315/80R22.5-20PR(157/154K)[CM913A]DIDAR无内</t>
        </is>
      </c>
      <c r="J489" s="76" t="n">
        <v>983.295445</v>
      </c>
      <c r="L489" s="77" t="inlineStr">
        <is>
          <t>7.50R16-TZ202</t>
        </is>
      </c>
      <c r="M489" s="77" t="n">
        <v>2</v>
      </c>
    </row>
    <row r="490" customFormat="1" s="69">
      <c r="B490" s="92" t="inlineStr">
        <is>
          <t>12.00R20-22PR-CB972</t>
        </is>
      </c>
      <c r="C490" s="93" t="n">
        <v>48.5</v>
      </c>
      <c r="D490" s="495">
        <f>IF(C490="","",C490/(C490+$E$1/60))</f>
        <v/>
      </c>
      <c r="E490" s="95">
        <f>IFERROR(ROUND(1440/C490*2*D490,0),"")</f>
        <v/>
      </c>
      <c r="F490" s="96" t="n"/>
      <c r="G490" s="97" t="n"/>
      <c r="H490" s="74" t="n"/>
      <c r="I490" s="75" t="inlineStr">
        <is>
          <t>ID275/80R22.5-16PR(149/146M)[AS898]GOODRIDE(好运)无内</t>
        </is>
      </c>
      <c r="J490" s="76" t="n">
        <v>791.598471</v>
      </c>
      <c r="L490" s="77" t="inlineStr">
        <is>
          <t>10.00R20-TZ303</t>
        </is>
      </c>
      <c r="M490" s="77" t="n">
        <v>2</v>
      </c>
    </row>
    <row r="491" customFormat="1" s="69">
      <c r="B491" s="92" t="inlineStr">
        <is>
          <t>11.00R20-18PR-FOLO.R109</t>
        </is>
      </c>
      <c r="C491" s="93" t="n">
        <v>42</v>
      </c>
      <c r="D491" s="495">
        <f>IF(C491="","",C491/(C491+$E$1/60))</f>
        <v/>
      </c>
      <c r="E491" s="95">
        <f>IFERROR(ROUND(1440/C491*2*D491,0),"")</f>
        <v/>
      </c>
      <c r="F491" s="96" t="n"/>
      <c r="G491" s="97" t="n"/>
      <c r="H491" s="74" t="n"/>
      <c r="I491" s="75" t="inlineStr">
        <is>
          <t>ID325/95R24-22PR(162/160K)[MD752]DIDAR无内</t>
        </is>
      </c>
      <c r="J491" s="76" t="n">
        <v>1160.946983</v>
      </c>
      <c r="L491" s="77" t="inlineStr">
        <is>
          <t>7.50R16-TZ303</t>
        </is>
      </c>
      <c r="M491" s="77" t="n">
        <v>2</v>
      </c>
    </row>
    <row r="492" customFormat="1" s="69">
      <c r="B492" s="92" t="inlineStr">
        <is>
          <t>7.50R16-14PR-MT200</t>
        </is>
      </c>
      <c r="C492" s="93" t="n">
        <v>27</v>
      </c>
      <c r="D492" s="495">
        <f>IF(C492="","",C492/(C492+$E$1/60))</f>
        <v/>
      </c>
      <c r="E492" s="95">
        <f>IFERROR(ROUND(1440/C492*2*D492,0),"")</f>
        <v/>
      </c>
      <c r="F492" s="96" t="n"/>
      <c r="G492" s="97" t="n"/>
      <c r="H492" s="74" t="n"/>
      <c r="I492" s="75" t="inlineStr">
        <is>
          <t>IDST175/80R13-6PR[ST100]91/87M GOODRIDE(好运)无内</t>
        </is>
      </c>
      <c r="J492" s="76" t="n">
        <v>117.267598</v>
      </c>
      <c r="L492" s="77" t="inlineStr">
        <is>
          <t>12.00R24-TZ304</t>
        </is>
      </c>
      <c r="M492" s="77" t="n">
        <v>2</v>
      </c>
    </row>
    <row r="493" customFormat="1" s="69">
      <c r="B493" s="92" t="inlineStr">
        <is>
          <t>11R22.5-14PR-HT1 Plus</t>
        </is>
      </c>
      <c r="C493" s="93" t="n">
        <v>33.5</v>
      </c>
      <c r="D493" s="495">
        <f>IF(C493="","",C493/(C493+$E$1/60))</f>
        <v/>
      </c>
      <c r="E493" s="95">
        <f>IFERROR(ROUND(1440/C493*2*D493,0),"")</f>
        <v/>
      </c>
      <c r="F493" s="96" t="n"/>
      <c r="G493" s="97" t="n"/>
      <c r="H493" s="74" t="n"/>
      <c r="I493" s="75" t="inlineStr">
        <is>
          <t>IDST175/80R13-6PR[ST200]91/87M GOODRIDE(好运)无内 NR</t>
        </is>
      </c>
      <c r="J493" s="76" t="n">
        <v>106.720866</v>
      </c>
      <c r="L493" s="77" t="inlineStr">
        <is>
          <t>12.00R20-TZ304</t>
        </is>
      </c>
      <c r="M493" s="77" t="n">
        <v>2</v>
      </c>
    </row>
    <row r="494" customFormat="1" s="69">
      <c r="B494" s="92" t="inlineStr">
        <is>
          <t>11R22.5-14PR-M-TRAC TR</t>
        </is>
      </c>
      <c r="C494" s="93" t="n">
        <v>33.5</v>
      </c>
      <c r="D494" s="495">
        <f>IF(C494="","",C494/(C494+$E$1/60))</f>
        <v/>
      </c>
      <c r="E494" s="95">
        <f>IFERROR(ROUND(1440/C494*2*D494,0),"")</f>
        <v/>
      </c>
      <c r="F494" s="96" t="n"/>
      <c r="G494" s="97" t="n"/>
      <c r="H494" s="74" t="n"/>
      <c r="I494" s="75" t="inlineStr">
        <is>
          <t>ID11.00-20-18PR[CR952PRO]153/148G 金冠</t>
        </is>
      </c>
      <c r="J494" s="76" t="n">
        <v>931.552111</v>
      </c>
      <c r="L494" s="77" t="inlineStr">
        <is>
          <t>12.00R24-ETOT</t>
        </is>
      </c>
      <c r="M494" s="77" t="n">
        <v>2</v>
      </c>
    </row>
    <row r="495" customFormat="1" s="69">
      <c r="B495" s="92" t="inlineStr">
        <is>
          <t>11R22.5-16PR-M-TRAC MS</t>
        </is>
      </c>
      <c r="C495" s="93" t="n">
        <v>38.5</v>
      </c>
      <c r="D495" s="495">
        <f>IF(C495="","",C495/(C495+$E$1/60))</f>
        <v/>
      </c>
      <c r="E495" s="95">
        <f>IFERROR(ROUND(1440/C495*2*D495,0),"")</f>
        <v/>
      </c>
      <c r="F495" s="96" t="n"/>
      <c r="G495" s="97" t="n"/>
      <c r="H495" s="74" t="n"/>
      <c r="I495" s="75" t="inlineStr">
        <is>
          <t>ID11.00R20-18PR(152/149K)[AT196]日升</t>
        </is>
      </c>
      <c r="J495" s="76" t="n">
        <v>964.549765</v>
      </c>
      <c r="L495" s="77" t="inlineStr">
        <is>
          <t>12.00R20-ETOD</t>
        </is>
      </c>
      <c r="M495" s="77" t="n">
        <v>2</v>
      </c>
    </row>
    <row r="496" customFormat="1" s="69">
      <c r="B496" s="92" t="inlineStr">
        <is>
          <t>11R22.5-16PR-M-TRAC OSD</t>
        </is>
      </c>
      <c r="C496" s="93" t="n">
        <v>41.5</v>
      </c>
      <c r="D496" s="495">
        <f>IF(C496="","",C496/(C496+$E$1/60))</f>
        <v/>
      </c>
      <c r="E496" s="95">
        <f>IFERROR(ROUND(1440/C496*2*D496,0),"")</f>
        <v/>
      </c>
      <c r="F496" s="96" t="n"/>
      <c r="G496" s="97" t="n"/>
      <c r="H496" s="74" t="n"/>
      <c r="I496" s="75" t="inlineStr">
        <is>
          <t>ID275/70R22.5-16PR(148/145L)[HF1 Plus]SUPERMAX无内</t>
        </is>
      </c>
      <c r="J496" s="76" t="n">
        <v>686.694709</v>
      </c>
      <c r="L496" s="77" t="inlineStr">
        <is>
          <t>11.00R20-SUPER ETOT</t>
        </is>
      </c>
      <c r="M496" s="77" t="n">
        <v>2</v>
      </c>
    </row>
    <row r="497" customFormat="1" s="69">
      <c r="B497" s="92" t="inlineStr">
        <is>
          <t>11R22.5-16PR-ECO-MILE CSD</t>
        </is>
      </c>
      <c r="C497" s="93" t="n">
        <v>41.5</v>
      </c>
      <c r="D497" s="495">
        <f>IF(C497="","",C497/(C497+$E$1/60))</f>
        <v/>
      </c>
      <c r="E497" s="95">
        <f>IFERROR(ROUND(1440/C497*2*D497,0),"")</f>
        <v/>
      </c>
      <c r="F497" s="96" t="n"/>
      <c r="G497" s="97" t="n"/>
      <c r="H497" s="74" t="n"/>
      <c r="I497" s="75" t="inlineStr">
        <is>
          <t>IDST235/80R16-12PR[ST-100A]126/122M 西湖无内</t>
        </is>
      </c>
      <c r="J497" s="76" t="n">
        <v>271.612145</v>
      </c>
      <c r="L497" s="77" t="inlineStr">
        <is>
          <t>11.00R20-ETRF</t>
        </is>
      </c>
      <c r="M497" s="77" t="n">
        <v>2</v>
      </c>
    </row>
    <row r="498" customFormat="1" s="69">
      <c r="B498" s="92" t="inlineStr">
        <is>
          <t>11R22.5-16PR-M-TRAC MST</t>
        </is>
      </c>
      <c r="C498" s="93" t="n">
        <v>36.5</v>
      </c>
      <c r="D498" s="495">
        <f>IF(C498="","",C498/(C498+$E$1/60))</f>
        <v/>
      </c>
      <c r="E498" s="95">
        <f>IFERROR(ROUND(1440/C498*2*D498,0),"")</f>
        <v/>
      </c>
      <c r="F498" s="96" t="n"/>
      <c r="G498" s="97" t="n"/>
      <c r="H498" s="74" t="n"/>
      <c r="I498" s="75" t="inlineStr">
        <is>
          <t>IDST175/80R13-8PR[DURAHAULER ST]97/93N EVERMAX无内</t>
        </is>
      </c>
      <c r="J498" s="76" t="n">
        <v>119.582743</v>
      </c>
      <c r="L498" s="77" t="inlineStr">
        <is>
          <t>11.00R20-TKAL III</t>
        </is>
      </c>
      <c r="M498" s="77" t="n">
        <v>2</v>
      </c>
    </row>
    <row r="499" customFormat="1" s="69">
      <c r="B499" s="92" t="inlineStr">
        <is>
          <t>11R22.5-16PR-STEALTH S01</t>
        </is>
      </c>
      <c r="C499" s="93" t="n">
        <v>37</v>
      </c>
      <c r="D499" s="495">
        <f>IF(C499="","",C499/(C499+$E$1/60))</f>
        <v/>
      </c>
      <c r="E499" s="95">
        <f>IFERROR(ROUND(1440/C499*2*D499,0),"")</f>
        <v/>
      </c>
      <c r="F499" s="96" t="n"/>
      <c r="G499" s="97" t="n"/>
      <c r="H499" s="74" t="n"/>
      <c r="I499" s="75" t="inlineStr">
        <is>
          <t>ID(G105006)100/80-14-4P[H-577]48P GOODRIDE 纳米高抓 TL</t>
        </is>
      </c>
      <c r="J499" s="76" t="n">
        <v>50.210146</v>
      </c>
      <c r="L499" s="77" t="inlineStr">
        <is>
          <t>10.00R20-TKAL III</t>
        </is>
      </c>
      <c r="M499" s="77" t="n">
        <v>2</v>
      </c>
    </row>
    <row r="500" customFormat="1" s="69">
      <c r="B500" s="92" t="inlineStr">
        <is>
          <t>11R22.5-16PR-DOMINATE D01</t>
        </is>
      </c>
      <c r="C500" s="93" t="n">
        <v>37</v>
      </c>
      <c r="D500" s="495">
        <f>IF(C500="","",C500/(C500+$E$1/60))</f>
        <v/>
      </c>
      <c r="E500" s="95">
        <f>IFERROR(ROUND(1440/C500*2*D500,0),"")</f>
        <v/>
      </c>
      <c r="F500" s="96" t="n"/>
      <c r="G500" s="97" t="n"/>
      <c r="H500" s="74" t="n"/>
      <c r="I500" s="75" t="inlineStr">
        <is>
          <t>IDST235/85R16-12PR[DURAHAULER ST]128/124N EVERMAX无内</t>
        </is>
      </c>
      <c r="J500" s="76" t="n">
        <v>278.758571</v>
      </c>
      <c r="L500" s="77" t="inlineStr">
        <is>
          <t>10.00R20-SUPER AM S</t>
        </is>
      </c>
      <c r="M500" s="77" t="n">
        <v>2</v>
      </c>
    </row>
    <row r="501" customFormat="1" s="69">
      <c r="B501" s="92" t="inlineStr">
        <is>
          <t>11R24.5-16PR-DOMINATE D01</t>
        </is>
      </c>
      <c r="C501" s="93" t="n">
        <v>37</v>
      </c>
      <c r="D501" s="495">
        <f>IF(C501="","",C501/(C501+$E$1/60))</f>
        <v/>
      </c>
      <c r="E501" s="95">
        <f>IFERROR(ROUND(1440/C501*2*D501,0),"")</f>
        <v/>
      </c>
      <c r="F501" s="96" t="n"/>
      <c r="G501" s="97" t="n"/>
      <c r="H501" s="74" t="n"/>
      <c r="I501" s="75" t="inlineStr">
        <is>
          <t>ID16.9-24-12PR[STRONG GUARD XR4]HERCULES无内</t>
        </is>
      </c>
      <c r="J501" s="76" t="n">
        <v>1330.781998</v>
      </c>
      <c r="L501" s="77" t="inlineStr">
        <is>
          <t>7.50R16-ETOD</t>
        </is>
      </c>
      <c r="M501" s="77" t="n">
        <v>2</v>
      </c>
    </row>
    <row r="502" customFormat="1" s="69">
      <c r="B502" s="92" t="inlineStr">
        <is>
          <t>11R24.5-16PR-M-TRAC CSD</t>
        </is>
      </c>
      <c r="C502" s="93" t="n">
        <v>42</v>
      </c>
      <c r="D502" s="495">
        <f>IF(C502="","",C502/(C502+$E$1/60))</f>
        <v/>
      </c>
      <c r="E502" s="95">
        <f>IFERROR(ROUND(1440/C502*2*D502,0),"")</f>
        <v/>
      </c>
      <c r="F502" s="96" t="n"/>
      <c r="G502" s="97" t="n"/>
      <c r="H502" s="74" t="n"/>
      <c r="I502" s="75" t="inlineStr">
        <is>
          <t>ID12.00R20-22PR(158/155F)[EZ336]威狮 东南亚</t>
        </is>
      </c>
      <c r="J502" s="76" t="n">
        <v>1215.732084</v>
      </c>
      <c r="L502" s="77" t="inlineStr">
        <is>
          <t>7.50R16-SUPER AM S</t>
        </is>
      </c>
      <c r="M502" s="77" t="n">
        <v>2</v>
      </c>
    </row>
    <row r="503" customFormat="1" s="69">
      <c r="B503" s="92" t="inlineStr">
        <is>
          <t>11R24.5-16PR-M-TRAC MS</t>
        </is>
      </c>
      <c r="C503" s="93" t="n">
        <v>40</v>
      </c>
      <c r="D503" s="495">
        <f>IF(C503="","",C503/(C503+$E$1/60))</f>
        <v/>
      </c>
      <c r="E503" s="95">
        <f>IFERROR(ROUND(1440/C503*2*D503,0),"")</f>
        <v/>
      </c>
      <c r="F503" s="96" t="n"/>
      <c r="G503" s="97" t="n"/>
      <c r="H503" s="74" t="n"/>
      <c r="I503" s="75" t="inlineStr">
        <is>
          <t>ID315/80R22.5-20PR(157/154K)[CR926B]TRAZANO(全诺)无内</t>
        </is>
      </c>
      <c r="J503" s="76" t="n">
        <v>949.8509790000001</v>
      </c>
      <c r="L503" s="77" t="inlineStr">
        <is>
          <t>7.50R16-TKAL III</t>
        </is>
      </c>
      <c r="M503" s="77" t="n">
        <v>2</v>
      </c>
    </row>
    <row r="504" customFormat="1" s="69">
      <c r="B504" s="92" t="inlineStr">
        <is>
          <t>11R24.5-16PR-M-TRAC MST</t>
        </is>
      </c>
      <c r="C504" s="93" t="n">
        <v>36.5</v>
      </c>
      <c r="D504" s="495">
        <f>IF(C504="","",C504/(C504+$E$1/60))</f>
        <v/>
      </c>
      <c r="E504" s="95">
        <f>IFERROR(ROUND(1440/C504*2*D504,0),"")</f>
        <v/>
      </c>
      <c r="F504" s="96" t="n"/>
      <c r="G504" s="97" t="n"/>
      <c r="H504" s="74" t="n"/>
      <c r="I504" s="75" t="inlineStr">
        <is>
          <t>ID295/80R22.5-18PR(152/149M)[AS668]ARISUN无内</t>
        </is>
      </c>
      <c r="J504" s="76" t="n">
        <v>832.429514</v>
      </c>
      <c r="L504" s="77" t="n"/>
      <c r="M504" s="77" t="n">
        <v>0</v>
      </c>
    </row>
    <row r="505" customFormat="1" s="69">
      <c r="B505" s="92" t="inlineStr">
        <is>
          <t>11R24.5-16PR-M-TRAC OSD</t>
        </is>
      </c>
      <c r="C505" s="93" t="n">
        <v>44</v>
      </c>
      <c r="D505" s="495">
        <f>IF(C505="","",C505/(C505+$E$1/60))</f>
        <v/>
      </c>
      <c r="E505" s="95">
        <f>IFERROR(ROUND(1440/C505*2*D505,0),"")</f>
        <v/>
      </c>
      <c r="F505" s="96" t="n"/>
      <c r="G505" s="97" t="n"/>
      <c r="H505" s="74" t="n"/>
      <c r="I505" s="75" t="inlineStr">
        <is>
          <t>ID295/80R22.5-18PR(152/149M)[AS678]TKV无内</t>
        </is>
      </c>
      <c r="J505" s="76" t="n">
        <v>772.852997</v>
      </c>
      <c r="L505" s="77" t="n"/>
      <c r="M505" s="77" t="n">
        <v>0</v>
      </c>
    </row>
    <row r="506" customFormat="1" s="69">
      <c r="B506" s="92" t="inlineStr">
        <is>
          <t>225/70R19.5-14PR-CM983</t>
        </is>
      </c>
      <c r="C506" s="93" t="n">
        <v>32.5</v>
      </c>
      <c r="D506" s="495">
        <f>IF(C506="","",C506/(C506+$E$1/60))</f>
        <v/>
      </c>
      <c r="E506" s="95">
        <f>IFERROR(ROUND(1440/C506*2*D506,0),"")</f>
        <v/>
      </c>
      <c r="F506" s="96" t="n"/>
      <c r="G506" s="97" t="n"/>
      <c r="H506" s="74" t="n"/>
      <c r="I506" s="75" t="inlineStr">
        <is>
          <t>ID295/75R22.5-16PR(146/143L)[RLINE-T1]REDCLIFF无内</t>
        </is>
      </c>
      <c r="J506" s="76" t="n">
        <v>691.353705</v>
      </c>
      <c r="L506" s="77" t="n"/>
      <c r="M506" s="77" t="n">
        <v>0</v>
      </c>
    </row>
    <row r="507" customFormat="1" s="69">
      <c r="B507" s="92" t="inlineStr">
        <is>
          <t>225/70R19.5-14PR-ECO-MILE RDW</t>
        </is>
      </c>
      <c r="C507" s="93" t="n">
        <v>32.5</v>
      </c>
      <c r="D507" s="495">
        <f>IF(C507="","",C507/(C507+$E$1/60))</f>
        <v/>
      </c>
      <c r="E507" s="95">
        <f>IFERROR(ROUND(1440/C507*2*D507,0),"")</f>
        <v/>
      </c>
      <c r="F507" s="96" t="n"/>
      <c r="G507" s="97" t="n"/>
      <c r="H507" s="74" t="n"/>
      <c r="I507" s="75" t="inlineStr">
        <is>
          <t>ID285/75R24.5-14PR(144/141M)[SL11]威狮无内</t>
        </is>
      </c>
      <c r="J507" s="76" t="n">
        <v>835.398326</v>
      </c>
      <c r="L507" s="77" t="n"/>
      <c r="M507" s="77" t="n">
        <v>0</v>
      </c>
    </row>
    <row r="508" customFormat="1" s="69">
      <c r="B508" s="92" t="inlineStr">
        <is>
          <t>225/70R19.5-14PR-ECO-MILE AP</t>
        </is>
      </c>
      <c r="C508" s="93" t="n">
        <v>30.3</v>
      </c>
      <c r="D508" s="495">
        <f>IF(C508="","",C508/(C508+$E$1/60))</f>
        <v/>
      </c>
      <c r="E508" s="95">
        <f>IFERROR(ROUND(1440/C508*2*D508,0),"")</f>
        <v/>
      </c>
      <c r="F508" s="96" t="n"/>
      <c r="G508" s="97" t="n"/>
      <c r="H508" s="74" t="n"/>
      <c r="I508" s="75" t="inlineStr">
        <is>
          <t>ID325/95R24-22PR(162/160K)[EZ509]TRAZANO(全诺)无内</t>
        </is>
      </c>
      <c r="J508" s="76" t="n">
        <v>1197.876134</v>
      </c>
      <c r="L508" s="77" t="n"/>
      <c r="M508" s="77" t="n">
        <v>0</v>
      </c>
    </row>
    <row r="509" customFormat="1" s="69">
      <c r="B509" s="92" t="inlineStr">
        <is>
          <t>225/70R19.5-14PR-ECO-MILE HTD</t>
        </is>
      </c>
      <c r="C509" s="93" t="n">
        <v>32.5</v>
      </c>
      <c r="D509" s="495">
        <f>IF(C509="","",C509/(C509+$E$1/60))</f>
        <v/>
      </c>
      <c r="E509" s="95">
        <f>IFERROR(ROUND(1440/C509*2*D509,0),"")</f>
        <v/>
      </c>
      <c r="F509" s="96" t="n"/>
      <c r="G509" s="97" t="n"/>
      <c r="H509" s="74" t="n"/>
      <c r="I509" s="75" t="inlineStr">
        <is>
          <t>ID29×12.5-15-8PR[STRONG GUARD R1]123A2 HERCULES无内</t>
        </is>
      </c>
      <c r="J509" s="76" t="n">
        <v>400.26959</v>
      </c>
      <c r="L509" s="77" t="n"/>
      <c r="M509" s="77" t="n">
        <v>0</v>
      </c>
    </row>
    <row r="510" customFormat="1" s="69">
      <c r="B510" s="92" t="inlineStr">
        <is>
          <t>235/75R17.5-18PR-M-TRAC AP</t>
        </is>
      </c>
      <c r="C510" s="93" t="n">
        <v>29.7</v>
      </c>
      <c r="D510" s="495">
        <f>IF(C510="","",C510/(C510+$E$1/60))</f>
        <v/>
      </c>
      <c r="E510" s="95">
        <f>IFERROR(ROUND(1440/C510*2*D510,0),"")</f>
        <v/>
      </c>
      <c r="F510" s="96" t="n"/>
      <c r="G510" s="97" t="n"/>
      <c r="H510" s="74" t="n"/>
      <c r="I510" s="75" t="inlineStr">
        <is>
          <t>ID185/70R14PR[Z-108]88T 西湖无内</t>
        </is>
      </c>
      <c r="J510" s="76" t="n">
        <v>113.022154</v>
      </c>
      <c r="L510" s="77" t="n"/>
      <c r="M510" s="77" t="n">
        <v>0</v>
      </c>
    </row>
    <row r="511" customFormat="1" s="69">
      <c r="B511" s="92" t="inlineStr">
        <is>
          <t>245/70R19.5-16PR-ECO-MILE AP</t>
        </is>
      </c>
      <c r="C511" s="93" t="n">
        <v>33.5</v>
      </c>
      <c r="D511" s="495">
        <f>IF(C511="","",C511/(C511+$E$1/60))</f>
        <v/>
      </c>
      <c r="E511" s="95">
        <f>IFERROR(ROUND(1440/C511*2*D511,0),"")</f>
        <v/>
      </c>
      <c r="F511" s="96" t="n"/>
      <c r="G511" s="97" t="n"/>
      <c r="H511" s="74" t="n"/>
      <c r="I511" s="75" t="inlineStr">
        <is>
          <t>ID175/65R14PR[Z-108]82H 西湖无内</t>
        </is>
      </c>
      <c r="J511" s="76" t="n">
        <v>106.182986</v>
      </c>
      <c r="L511" s="77" t="n"/>
      <c r="M511" s="77" t="n">
        <v>0</v>
      </c>
    </row>
    <row r="512" customFormat="1" s="69">
      <c r="B512" s="92" t="inlineStr">
        <is>
          <t>245/70R19.5-16PR-ECO-MILE HTD</t>
        </is>
      </c>
      <c r="C512" s="93" t="n">
        <v>32.5</v>
      </c>
      <c r="D512" s="495">
        <f>IF(C512="","",C512/(C512+$E$1/60))</f>
        <v/>
      </c>
      <c r="E512" s="95">
        <f>IFERROR(ROUND(1440/C512*2*D512,0),"")</f>
        <v/>
      </c>
      <c r="F512" s="96" t="n"/>
      <c r="G512" s="97" t="n"/>
      <c r="H512" s="74" t="n"/>
      <c r="I512" s="75" t="inlineStr">
        <is>
          <t>IDST235/80R16-10PR[ST100]124/120M 西湖无内</t>
        </is>
      </c>
      <c r="J512" s="76" t="n">
        <v>253.51522</v>
      </c>
      <c r="L512" s="77" t="n"/>
      <c r="M512" s="77" t="n">
        <v>0</v>
      </c>
    </row>
    <row r="513" customFormat="1" s="69">
      <c r="B513" s="92" t="inlineStr">
        <is>
          <t>245/70R19.5-16PR-M-TRAC AP</t>
        </is>
      </c>
      <c r="C513" s="93" t="n">
        <v>33.5</v>
      </c>
      <c r="D513" s="495">
        <f>IF(C513="","",C513/(C513+$E$1/60))</f>
        <v/>
      </c>
      <c r="E513" s="95">
        <f>IFERROR(ROUND(1440/C513*2*D513,0),"")</f>
        <v/>
      </c>
      <c r="F513" s="96" t="n"/>
      <c r="G513" s="97" t="n"/>
      <c r="H513" s="74" t="n"/>
      <c r="I513" s="75" t="inlineStr">
        <is>
          <t>IDST175/80R13-6PR[ST-100A]91/87M GOODRIDE(好运)无内</t>
        </is>
      </c>
      <c r="J513" s="76" t="n">
        <v>107.058469</v>
      </c>
      <c r="L513" s="77" t="n"/>
      <c r="M513" s="77" t="n">
        <v>0</v>
      </c>
    </row>
    <row r="514" customFormat="1" s="69">
      <c r="B514" s="92" t="inlineStr">
        <is>
          <t>245/70R19.5-16PR-M-TRAC HTD</t>
        </is>
      </c>
      <c r="C514" s="93" t="n">
        <v>32.5</v>
      </c>
      <c r="D514" s="495">
        <f>IF(C514="","",C514/(C514+$E$1/60))</f>
        <v/>
      </c>
      <c r="E514" s="95">
        <f>IFERROR(ROUND(1440/C514*2*D514,0),"")</f>
        <v/>
      </c>
      <c r="F514" s="96" t="n"/>
      <c r="G514" s="97" t="n"/>
      <c r="H514" s="74" t="n"/>
      <c r="I514" s="75" t="inlineStr">
        <is>
          <t>IDST205/75R15-10PR[ST-100A]111/106M 西湖无内</t>
        </is>
      </c>
      <c r="J514" s="76" t="n">
        <v>169.654849</v>
      </c>
      <c r="L514" s="77" t="n"/>
      <c r="M514" s="77" t="n">
        <v>0</v>
      </c>
    </row>
    <row r="515" customFormat="1" s="69">
      <c r="B515" s="92" t="inlineStr">
        <is>
          <t>245/75R22.5-14PR-Strong Guard H-RA</t>
        </is>
      </c>
      <c r="C515" s="93" t="n">
        <v>34</v>
      </c>
      <c r="D515" s="495">
        <f>IF(C515="","",C515/(C515+$E$1/60))</f>
        <v/>
      </c>
      <c r="E515" s="95">
        <f>IFERROR(ROUND(1440/C515*2*D515,0),"")</f>
        <v/>
      </c>
      <c r="F515" s="96" t="n"/>
      <c r="G515" s="97" t="n"/>
      <c r="H515" s="74" t="n"/>
      <c r="I515" s="75" t="inlineStr">
        <is>
          <t>IDST225/75R15-10PR[ST100]117/112M 西湖无内</t>
        </is>
      </c>
      <c r="J515" s="76" t="n">
        <v>204.915025</v>
      </c>
      <c r="L515" s="77" t="n"/>
      <c r="M515" s="77" t="n">
        <v>0</v>
      </c>
    </row>
    <row r="516" customFormat="1" s="69">
      <c r="B516" s="92" t="inlineStr">
        <is>
          <t>255/70R22.5-16PR-ECO-MILE AP</t>
        </is>
      </c>
      <c r="C516" s="93" t="n">
        <v>34</v>
      </c>
      <c r="D516" s="495">
        <f>IF(C516="","",C516/(C516+$E$1/60))</f>
        <v/>
      </c>
      <c r="E516" s="95">
        <f>IFERROR(ROUND(1440/C516*2*D516,0),"")</f>
        <v/>
      </c>
      <c r="F516" s="96" t="n"/>
      <c r="G516" s="97" t="n"/>
      <c r="H516" s="74" t="n"/>
      <c r="I516" s="75" t="inlineStr">
        <is>
          <t>IDST225/75R15-10PR[ASSURE ST]117/112N XCELLENT无内</t>
        </is>
      </c>
      <c r="J516" s="76" t="n">
        <v>184.722153</v>
      </c>
      <c r="L516" s="77" t="n"/>
      <c r="M516" s="77" t="n">
        <v>0</v>
      </c>
    </row>
    <row r="517" customFormat="1" s="69">
      <c r="B517" s="92" t="inlineStr">
        <is>
          <t>275/70R22.5-16PR-M-TRAC AP</t>
        </is>
      </c>
      <c r="C517" s="93" t="n">
        <v>35</v>
      </c>
      <c r="D517" s="495">
        <f>IF(C517="","",C517/(C517+$E$1/60))</f>
        <v/>
      </c>
      <c r="E517" s="95">
        <f>IFERROR(ROUND(1440/C517*2*D517,0),"")</f>
        <v/>
      </c>
      <c r="F517" s="96" t="n"/>
      <c r="G517" s="97" t="n"/>
      <c r="H517" s="74" t="n"/>
      <c r="I517" s="75" t="inlineStr">
        <is>
          <t>IDST215/75R14-8PR[Tow pro st]108/103M SUPERMAX无内</t>
        </is>
      </c>
      <c r="J517" s="76" t="n">
        <v>157.745329</v>
      </c>
      <c r="L517" s="77" t="n"/>
      <c r="M517" s="77" t="n">
        <v>0</v>
      </c>
    </row>
    <row r="518" customFormat="1" s="69">
      <c r="B518" s="92" t="inlineStr">
        <is>
          <t>275/80R22.5-16PR-BMD06 PRO</t>
        </is>
      </c>
      <c r="C518" s="93" t="n">
        <v>40</v>
      </c>
      <c r="D518" s="495">
        <f>IF(C518="","",C518/(C518+$E$1/60))</f>
        <v/>
      </c>
      <c r="E518" s="95">
        <f>IFERROR(ROUND(1440/C518*2*D518,0),"")</f>
        <v/>
      </c>
      <c r="F518" s="96" t="n"/>
      <c r="G518" s="97" t="n"/>
      <c r="H518" s="74" t="n"/>
      <c r="I518" s="75" t="inlineStr">
        <is>
          <t>IDST215/75R14-6PR[ASSURE ST]102/98N XCELLENT无内</t>
        </is>
      </c>
      <c r="J518" s="76" t="n">
        <v>138.106759</v>
      </c>
      <c r="L518" s="77" t="n"/>
      <c r="M518" s="77" t="n">
        <v>0</v>
      </c>
    </row>
    <row r="519" customFormat="1" s="69">
      <c r="B519" s="92" t="inlineStr">
        <is>
          <t>285/75R24.5-16PR-M-TRAC AP</t>
        </is>
      </c>
      <c r="C519" s="93" t="n">
        <v>37</v>
      </c>
      <c r="D519" s="495">
        <f>IF(C519="","",C519/(C519+$E$1/60))</f>
        <v/>
      </c>
      <c r="E519" s="95">
        <f>IFERROR(ROUND(1440/C519*2*D519,0),"")</f>
        <v/>
      </c>
      <c r="F519" s="96" t="n"/>
      <c r="G519" s="97" t="n"/>
      <c r="H519" s="74" t="n"/>
      <c r="I519" s="75" t="inlineStr">
        <is>
          <t>ID23×8.50-12-6PR[STRONG GUARD SS]101A2 HERCULES无内</t>
        </is>
      </c>
      <c r="J519" s="76" t="n">
        <v>190.639309</v>
      </c>
      <c r="L519" s="77" t="n"/>
      <c r="M519" s="77" t="n">
        <v>0</v>
      </c>
    </row>
    <row r="520" customFormat="1" s="69">
      <c r="B520" s="92" t="inlineStr">
        <is>
          <t>295/75R22.5-14PR-M-TRAC CSD</t>
        </is>
      </c>
      <c r="C520" s="93" t="n">
        <v>40</v>
      </c>
      <c r="D520" s="495">
        <f>IF(C520="","",C520/(C520+$E$1/60))</f>
        <v/>
      </c>
      <c r="E520" s="95">
        <f>IFERROR(ROUND(1440/C520*2*D520,0),"")</f>
        <v/>
      </c>
      <c r="F520" s="96" t="n"/>
      <c r="G520" s="97" t="n"/>
      <c r="H520" s="74" t="n"/>
      <c r="I520" s="75" t="inlineStr">
        <is>
          <t>ID(LB1206)ATV 25×10-12/6[AR12]FREE COUNTRY TL KOMODO</t>
        </is>
      </c>
      <c r="J520" s="76" t="n">
        <v>153.867476</v>
      </c>
      <c r="L520" s="77" t="n"/>
      <c r="M520" s="77" t="n">
        <v>0</v>
      </c>
    </row>
    <row r="521" customFormat="1" s="69">
      <c r="B521" s="92" t="inlineStr">
        <is>
          <t>295/75R22.5-14PR-M-TRAC OSD</t>
        </is>
      </c>
      <c r="C521" s="93" t="n">
        <v>40</v>
      </c>
      <c r="D521" s="495">
        <f>IF(C521="","",C521/(C521+$E$1/60))</f>
        <v/>
      </c>
      <c r="E521" s="95">
        <f>IFERROR(ROUND(1440/C521*2*D521,0),"")</f>
        <v/>
      </c>
      <c r="F521" s="96" t="n"/>
      <c r="G521" s="97" t="n"/>
      <c r="H521" s="74" t="n"/>
      <c r="I521" s="75" t="inlineStr">
        <is>
          <t>ID175/70R14PR[Z-108]84T 西湖无内</t>
        </is>
      </c>
      <c r="J521" s="76" t="n">
        <v>107.482823</v>
      </c>
      <c r="L521" s="77" t="n"/>
      <c r="M521" s="77" t="n">
        <v>0</v>
      </c>
    </row>
    <row r="522" customFormat="1" s="69">
      <c r="B522" s="92" t="inlineStr">
        <is>
          <t>295/75R22.5-14PR-M-TRAC TR</t>
        </is>
      </c>
      <c r="C522" s="93" t="n">
        <v>33.5</v>
      </c>
      <c r="D522" s="495">
        <f>IF(C522="","",C522/(C522+$E$1/60))</f>
        <v/>
      </c>
      <c r="E522" s="95">
        <f>IFERROR(ROUND(1440/C522*2*D522,0),"")</f>
        <v/>
      </c>
      <c r="F522" s="96" t="n"/>
      <c r="G522" s="97" t="n"/>
      <c r="H522" s="74" t="n"/>
      <c r="I522" s="75" t="inlineStr">
        <is>
          <t>ID12.00R20-18PR(154/151F)[CB332]C级GOODRIDE(好运)</t>
        </is>
      </c>
      <c r="J522" s="76" t="n">
        <v>1230.077058</v>
      </c>
      <c r="L522" s="77" t="n"/>
      <c r="M522" s="77" t="n">
        <v>0</v>
      </c>
    </row>
    <row r="523" customFormat="1" s="69">
      <c r="B523" s="92" t="inlineStr">
        <is>
          <t>295/75R22.5-14PR-Strong Guard H-RD</t>
        </is>
      </c>
      <c r="C523" s="93" t="n">
        <v>40.5</v>
      </c>
      <c r="D523" s="495">
        <f>IF(C523="","",C523/(C523+$E$1/60))</f>
        <v/>
      </c>
      <c r="E523" s="95">
        <f>IFERROR(ROUND(1440/C523*2*D523,0),"")</f>
        <v/>
      </c>
      <c r="F523" s="96" t="n"/>
      <c r="G523" s="97" t="n"/>
      <c r="H523" s="74" t="n"/>
      <c r="I523" s="75" t="inlineStr">
        <is>
          <t>ID11.00R20-18PR(152/149F)[CB332A]C级雅度</t>
        </is>
      </c>
      <c r="J523" s="76" t="n">
        <v>1018.714613</v>
      </c>
      <c r="L523" s="77" t="n"/>
      <c r="M523" s="77" t="n">
        <v>0</v>
      </c>
    </row>
    <row r="524" customFormat="1" s="69">
      <c r="B524" s="92" t="inlineStr">
        <is>
          <t>295/75R22.5-14PR-Strong Guard H-TL</t>
        </is>
      </c>
      <c r="C524" s="93" t="n">
        <v>35.5</v>
      </c>
      <c r="D524" s="495">
        <f>IF(C524="","",C524/(C524+$E$1/60))</f>
        <v/>
      </c>
      <c r="E524" s="95">
        <f>IFERROR(ROUND(1440/C524*2*D524,0),"")</f>
        <v/>
      </c>
      <c r="F524" s="96" t="n"/>
      <c r="G524" s="97" t="n"/>
      <c r="H524" s="74" t="n"/>
      <c r="I524" s="75" t="inlineStr">
        <is>
          <t>ID7.50R16-14PR(122/118F)[CB972]C级GOODRIDE(好运)</t>
        </is>
      </c>
      <c r="J524" s="76" t="n">
        <v>435.160628</v>
      </c>
      <c r="L524" s="77" t="n"/>
      <c r="M524" s="77" t="n">
        <v>0</v>
      </c>
    </row>
    <row r="525" customFormat="1" s="69">
      <c r="B525" s="92" t="inlineStr">
        <is>
          <t>295/75R22.5-16PR-AD759</t>
        </is>
      </c>
      <c r="C525" s="93" t="n">
        <v>44.5</v>
      </c>
      <c r="D525" s="495">
        <f>IF(C525="","",C525/(C525+$E$1/60))</f>
        <v/>
      </c>
      <c r="E525" s="95">
        <f>IFERROR(ROUND(1440/C525*2*D525,0),"")</f>
        <v/>
      </c>
      <c r="F525" s="96" t="n"/>
      <c r="G525" s="97" t="n"/>
      <c r="H525" s="74" t="n"/>
      <c r="I525" s="75" t="inlineStr">
        <is>
          <t>ID315/80R22.5-20PR(157/154K)[AD710A]TRAZANO(全诺)无内</t>
        </is>
      </c>
      <c r="J525" s="76" t="n">
        <v>1039.003637</v>
      </c>
      <c r="L525" s="77" t="n"/>
      <c r="M525" s="77" t="n">
        <v>0</v>
      </c>
    </row>
    <row r="526" customFormat="1" s="69">
      <c r="B526" s="92" t="inlineStr">
        <is>
          <t>295/75R22.5-16PR-AT563</t>
        </is>
      </c>
      <c r="C526" s="93" t="n">
        <v>36</v>
      </c>
      <c r="D526" s="495">
        <f>IF(C526="","",C526/(C526+$E$1/60))</f>
        <v/>
      </c>
      <c r="E526" s="95">
        <f>IFERROR(ROUND(1440/C526*2*D526,0),"")</f>
        <v/>
      </c>
      <c r="F526" s="96" t="n"/>
      <c r="G526" s="97" t="n"/>
      <c r="H526" s="74" t="n"/>
      <c r="I526" s="75" t="inlineStr">
        <is>
          <t>IDST175/80R13-6PR[DURAHAULER ST]91/87N EVERMAX无内</t>
        </is>
      </c>
      <c r="J526" s="76" t="n">
        <v>107.051091</v>
      </c>
      <c r="L526" s="77" t="n"/>
      <c r="M526" s="77" t="n">
        <v>0</v>
      </c>
    </row>
    <row r="527" customFormat="1" s="69">
      <c r="B527" s="92" t="inlineStr">
        <is>
          <t>295/75R22.5-16PR-ECO-MILE CSD</t>
        </is>
      </c>
      <c r="C527" s="93" t="n">
        <v>40</v>
      </c>
      <c r="D527" s="495">
        <f>IF(C527="","",C527/(C527+$E$1/60))</f>
        <v/>
      </c>
      <c r="E527" s="95">
        <f>IFERROR(ROUND(1440/C527*2*D527,0),"")</f>
        <v/>
      </c>
      <c r="F527" s="96" t="n"/>
      <c r="G527" s="97" t="n"/>
      <c r="H527" s="74" t="n"/>
      <c r="I527" s="75" t="inlineStr">
        <is>
          <t>ID235/75R17.5-18PR(143/141L)[AP-7318]VANTAGE无内</t>
        </is>
      </c>
      <c r="J527" s="76" t="n">
        <v>443.117563</v>
      </c>
      <c r="L527" s="77" t="n"/>
      <c r="M527" s="77" t="n">
        <v>0</v>
      </c>
    </row>
    <row r="528" customFormat="1" s="69">
      <c r="B528" s="92" t="inlineStr">
        <is>
          <t>295/75R22.5-16PR-M-TRAC CSD</t>
        </is>
      </c>
      <c r="C528" s="93" t="n">
        <v>40</v>
      </c>
      <c r="D528" s="495">
        <f>IF(C528="","",C528/(C528+$E$1/60))</f>
        <v/>
      </c>
      <c r="E528" s="95">
        <f>IFERROR(ROUND(1440/C528*2*D528,0),"")</f>
        <v/>
      </c>
      <c r="F528" s="96" t="n"/>
      <c r="G528" s="97" t="n"/>
      <c r="H528" s="74" t="n"/>
      <c r="I528" s="75" t="inlineStr">
        <is>
          <t>ID11.00R20-18PR(152/149K)[CM988]TRAZANO(全诺)</t>
        </is>
      </c>
      <c r="J528" s="76" t="n">
        <v>975.072196</v>
      </c>
      <c r="L528" s="77" t="n"/>
      <c r="M528" s="77" t="n">
        <v>0</v>
      </c>
    </row>
    <row r="529" customFormat="1" s="69">
      <c r="B529" s="92" t="inlineStr">
        <is>
          <t>295/75R22.5-16PR-Strong Guard H-RA</t>
        </is>
      </c>
      <c r="C529" s="93" t="n">
        <v>35.5</v>
      </c>
      <c r="D529" s="495">
        <f>IF(C529="","",C529/(C529+$E$1/60))</f>
        <v/>
      </c>
      <c r="E529" s="95">
        <f>IFERROR(ROUND(1440/C529*2*D529,0),"")</f>
        <v/>
      </c>
      <c r="F529" s="96" t="n"/>
      <c r="G529" s="97" t="n"/>
      <c r="H529" s="74" t="n"/>
      <c r="I529" s="75" t="inlineStr">
        <is>
          <t>ID295/80R22.5-18PR(152/149M)[AS678]朝阳无内</t>
        </is>
      </c>
      <c r="J529" s="76" t="n">
        <v>772.852997</v>
      </c>
      <c r="L529" s="77" t="n"/>
      <c r="M529" s="77" t="n">
        <v>0</v>
      </c>
    </row>
    <row r="530" customFormat="1" s="69">
      <c r="B530" s="92" t="inlineStr">
        <is>
          <t>295/75R22.5-16PR-STEALTH S01</t>
        </is>
      </c>
      <c r="C530" s="93" t="n">
        <v>37</v>
      </c>
      <c r="D530" s="495">
        <f>IF(C530="","",C530/(C530+$E$1/60))</f>
        <v/>
      </c>
      <c r="E530" s="95">
        <f>IFERROR(ROUND(1440/C530*2*D530,0),"")</f>
        <v/>
      </c>
      <c r="F530" s="96" t="n"/>
      <c r="G530" s="97" t="n"/>
      <c r="H530" s="74" t="n"/>
      <c r="I530" s="75" t="inlineStr">
        <is>
          <t>ID295/75R22.5-16PR(146/143L)[HD2 PlusX]SUPERMAX ECO无内</t>
        </is>
      </c>
      <c r="J530" s="76" t="n">
        <v>723.4119480000001</v>
      </c>
      <c r="L530" s="77" t="n"/>
      <c r="M530" s="77" t="n">
        <v>0</v>
      </c>
    </row>
    <row r="531" customFormat="1" s="69">
      <c r="B531" s="92" t="inlineStr">
        <is>
          <t>295/75R22.5-16PR-DOMINATE D01</t>
        </is>
      </c>
      <c r="C531" s="93" t="n">
        <v>37</v>
      </c>
      <c r="D531" s="495">
        <f>IF(C531="","",C531/(C531+$E$1/60))</f>
        <v/>
      </c>
      <c r="E531" s="95">
        <f>IFERROR(ROUND(1440/C531*2*D531,0),"")</f>
        <v/>
      </c>
      <c r="F531" s="96" t="n"/>
      <c r="G531" s="97" t="n"/>
      <c r="H531" s="74" t="n"/>
      <c r="I531" s="75" t="inlineStr">
        <is>
          <t>ID12.00R24-20PR(160/157F)[EZ345]朝阳</t>
        </is>
      </c>
      <c r="J531" s="76" t="n">
        <v>1135.223229</v>
      </c>
      <c r="L531" s="77" t="n"/>
      <c r="M531" s="77" t="n">
        <v>0</v>
      </c>
    </row>
    <row r="532" customFormat="1" s="69">
      <c r="B532" s="92" t="inlineStr">
        <is>
          <t>315/80R22.5-20PR-M-TRAC MS</t>
        </is>
      </c>
      <c r="C532" s="93" t="n">
        <v>42.5</v>
      </c>
      <c r="D532" s="495">
        <f>IF(C532="","",C532/(C532+$E$1/60))</f>
        <v/>
      </c>
      <c r="E532" s="95">
        <f>IFERROR(ROUND(1440/C532*2*D532,0),"")</f>
        <v/>
      </c>
      <c r="F532" s="96" t="n"/>
      <c r="G532" s="97" t="n"/>
      <c r="H532" s="74" t="n"/>
      <c r="I532" s="75" t="inlineStr">
        <is>
          <t>ID6.00-9-12PR[STRONG GUARD LIFT]125A5 HERCULES</t>
        </is>
      </c>
      <c r="J532" s="76" t="n">
        <v>199.948084</v>
      </c>
      <c r="L532" s="77" t="n"/>
      <c r="M532" s="77" t="n">
        <v>0</v>
      </c>
    </row>
    <row r="533" customFormat="1" s="69">
      <c r="B533" s="92" t="inlineStr">
        <is>
          <t>385/65R22.5-20PR-CR976A</t>
        </is>
      </c>
      <c r="C533" s="93" t="n">
        <v>45</v>
      </c>
      <c r="D533" s="495">
        <f>IF(C533="","",C533/(C533+$E$1/60))</f>
        <v/>
      </c>
      <c r="E533" s="95">
        <f>IFERROR(ROUND(1440/C533*2*D533,0),"")</f>
        <v/>
      </c>
      <c r="F533" s="96" t="n"/>
      <c r="G533" s="97" t="n"/>
      <c r="H533" s="74" t="n"/>
      <c r="I533" s="75" t="inlineStr">
        <is>
          <t>ID(G105002)80/80-14-4P[H-577]37P GOODRIDE 纳米高抓 TL</t>
        </is>
      </c>
      <c r="J533" s="76" t="n">
        <v>35.270291</v>
      </c>
      <c r="L533" s="77" t="n"/>
      <c r="M533" s="77" t="n">
        <v>0</v>
      </c>
    </row>
    <row r="534" customFormat="1" s="69">
      <c r="B534" s="92" t="inlineStr">
        <is>
          <t>385/65R22.5-20PR-HA4 Plus</t>
        </is>
      </c>
      <c r="C534" s="93" t="n">
        <v>45</v>
      </c>
      <c r="D534" s="495">
        <f>IF(C534="","",C534/(C534+$E$1/60))</f>
        <v/>
      </c>
      <c r="E534" s="95">
        <f>IFERROR(ROUND(1440/C534*2*D534,0),"")</f>
        <v/>
      </c>
      <c r="F534" s="96" t="n"/>
      <c r="G534" s="97" t="n"/>
      <c r="H534" s="74" t="n"/>
      <c r="I534" s="75" t="inlineStr">
        <is>
          <t>ID(LB6701)ATV 25×8-12/6[AR67]FREE COUNTRY TL SILVERBACK</t>
        </is>
      </c>
      <c r="J534" s="76" t="n">
        <v>135.080232</v>
      </c>
      <c r="L534" s="77" t="n"/>
      <c r="M534" s="77" t="n">
        <v>0</v>
      </c>
    </row>
    <row r="535" customFormat="1" s="69">
      <c r="B535" s="92" t="inlineStr">
        <is>
          <t>385/65R22.5-20PR-M-TRAC MSF</t>
        </is>
      </c>
      <c r="C535" s="93" t="n">
        <v>48</v>
      </c>
      <c r="D535" s="495">
        <f>IF(C535="","",C535/(C535+$E$1/60))</f>
        <v/>
      </c>
      <c r="E535" s="95">
        <f>IFERROR(ROUND(1440/C535*2*D535,0),"")</f>
        <v/>
      </c>
      <c r="F535" s="96" t="n"/>
      <c r="G535" s="97" t="n"/>
      <c r="H535" s="74" t="n"/>
      <c r="I535" s="75" t="inlineStr">
        <is>
          <t>ID185/65R14PR[Z-108]86H 西湖无内</t>
        </is>
      </c>
      <c r="J535" s="76" t="n">
        <v>110.90086</v>
      </c>
      <c r="L535" s="77" t="n"/>
      <c r="M535" s="77" t="n">
        <v>0</v>
      </c>
    </row>
    <row r="536" customFormat="1" s="69">
      <c r="B536" s="92" t="inlineStr">
        <is>
          <t>425/65R22.5-20PR-AT557</t>
        </is>
      </c>
      <c r="C536" s="93" t="n">
        <v>55</v>
      </c>
      <c r="D536" s="495">
        <f>IF(C536="","",C536/(C536+$E$1/60))</f>
        <v/>
      </c>
      <c r="E536" s="95">
        <f>IFERROR(ROUND(1440/C536*2*D536,0),"")</f>
        <v/>
      </c>
      <c r="F536" s="96" t="n"/>
      <c r="G536" s="97" t="n"/>
      <c r="H536" s="74" t="n"/>
      <c r="I536" s="75" t="inlineStr">
        <is>
          <t>ID12.00R20-20PR(156/153F)[CB972]金冠</t>
        </is>
      </c>
      <c r="J536" s="76" t="n">
        <v>1176.871444</v>
      </c>
      <c r="L536" s="77" t="n"/>
      <c r="M536" s="77" t="n">
        <v>0</v>
      </c>
    </row>
    <row r="537" customFormat="1" s="69">
      <c r="B537" s="92" t="inlineStr">
        <is>
          <t>425/65R22.5-20PR-HA4 Plus</t>
        </is>
      </c>
      <c r="C537" s="93" t="n">
        <v>55</v>
      </c>
      <c r="D537" s="495">
        <f>IF(C537="","",C537/(C537+$E$1/60))</f>
        <v/>
      </c>
      <c r="E537" s="95">
        <f>IFERROR(ROUND(1440/C537*2*D537,0),"")</f>
        <v/>
      </c>
      <c r="F537" s="96" t="n"/>
      <c r="G537" s="97" t="n"/>
      <c r="H537" s="74" t="n"/>
      <c r="I537" s="75" t="inlineStr">
        <is>
          <t>ID295/80R22.5-18PR(152/149L)[BRD02 ECO]Bransales无内</t>
        </is>
      </c>
      <c r="J537" s="76" t="n">
        <v>811.002374</v>
      </c>
      <c r="L537" s="77" t="n"/>
      <c r="M537" s="77" t="n">
        <v>0</v>
      </c>
    </row>
    <row r="538" customFormat="1" s="69">
      <c r="B538" s="92" t="inlineStr">
        <is>
          <t>425/65R22.5-20PR-M-TRAC MSF</t>
        </is>
      </c>
      <c r="C538" s="93" t="n">
        <v>55</v>
      </c>
      <c r="D538" s="495">
        <f>IF(C538="","",C538/(C538+$E$1/60))</f>
        <v/>
      </c>
      <c r="E538" s="95">
        <f>IFERROR(ROUND(1440/C538*2*D538,0),"")</f>
        <v/>
      </c>
      <c r="F538" s="96" t="n"/>
      <c r="G538" s="97" t="n"/>
      <c r="H538" s="74" t="n"/>
      <c r="I538" s="75" t="inlineStr">
        <is>
          <t>ID295/80R22.5-18PR(152/149M)[BRA02 ECO]Bransales无内</t>
        </is>
      </c>
      <c r="J538" s="76" t="n">
        <v>746.630038</v>
      </c>
      <c r="L538" s="77" t="n"/>
      <c r="M538" s="77" t="n">
        <v>0</v>
      </c>
    </row>
    <row r="539" customFormat="1" s="69">
      <c r="B539" s="92" t="inlineStr">
        <is>
          <t>445/50R22.5-20PR-AD781</t>
        </is>
      </c>
      <c r="C539" s="93" t="n">
        <v>58</v>
      </c>
      <c r="D539" s="495">
        <f>IF(C539="","",C539/(C539+$E$1/60))</f>
        <v/>
      </c>
      <c r="E539" s="95">
        <f>IFERROR(ROUND(1440/C539*2*D539,0),"")</f>
        <v/>
      </c>
      <c r="F539" s="96" t="n"/>
      <c r="G539" s="97" t="n"/>
      <c r="H539" s="74" t="n"/>
      <c r="I539" s="75" t="inlineStr">
        <is>
          <t>ID285/75R24.5-16PR(147/144L)[HF1 Plus]SUPERMAX无内</t>
        </is>
      </c>
      <c r="J539" s="76" t="n">
        <v>763.5454120000001</v>
      </c>
      <c r="L539" s="77" t="n"/>
      <c r="M539" s="77" t="n">
        <v>0</v>
      </c>
    </row>
    <row r="540" customFormat="1" s="69">
      <c r="B540" s="92" t="inlineStr">
        <is>
          <t>445/50R22.5-20PR-AT566</t>
        </is>
      </c>
      <c r="C540" s="93" t="n">
        <v>55</v>
      </c>
      <c r="D540" s="495">
        <f>IF(C540="","",C540/(C540+$E$1/60))</f>
        <v/>
      </c>
      <c r="E540" s="95">
        <f>IFERROR(ROUND(1440/C540*2*D540,0),"")</f>
        <v/>
      </c>
      <c r="F540" s="96" t="n"/>
      <c r="G540" s="97" t="n"/>
      <c r="H540" s="74" t="n"/>
      <c r="I540" s="75" t="inlineStr">
        <is>
          <t>IDST225/75R15-10PR[ST-100A]117/112M GOODRIDE(好运)无内</t>
        </is>
      </c>
      <c r="J540" s="76" t="n">
        <v>184.73203</v>
      </c>
      <c r="L540" s="77" t="n"/>
      <c r="M540" s="77" t="n">
        <v>0</v>
      </c>
    </row>
    <row r="541" customFormat="1" s="69">
      <c r="B541" s="92" t="inlineStr">
        <is>
          <t>11.00R20-18PR-EZ336</t>
        </is>
      </c>
      <c r="C541" s="93" t="n">
        <v>53</v>
      </c>
      <c r="D541" s="495">
        <f>IF(C541="","",C541/(C541+$E$1/60))</f>
        <v/>
      </c>
      <c r="E541" s="95">
        <f>IFERROR(ROUND(1440/C541*2*D541,0),"")</f>
        <v/>
      </c>
      <c r="F541" s="96" t="n"/>
      <c r="G541" s="97" t="n"/>
      <c r="H541" s="74" t="n"/>
      <c r="I541" s="75" t="inlineStr">
        <is>
          <t>IDST235/85R16-12PR[STZC]128/124L GOODRIDE(好运)无内</t>
        </is>
      </c>
      <c r="J541" s="76" t="n">
        <v>303.665509</v>
      </c>
      <c r="L541" s="77" t="n"/>
      <c r="M541" s="77" t="n">
        <v>0</v>
      </c>
    </row>
    <row r="542" customFormat="1" s="69">
      <c r="B542" s="92" t="inlineStr">
        <is>
          <t>11.00R20-18PR-AM4S.Q679</t>
        </is>
      </c>
      <c r="C542" s="93" t="n">
        <v>50</v>
      </c>
      <c r="D542" s="495">
        <f>IF(C542="","",C542/(C542+$E$1/60))</f>
        <v/>
      </c>
      <c r="E542" s="95">
        <f>IFERROR(ROUND(1440/C542*2*D542,0),"")</f>
        <v/>
      </c>
      <c r="F542" s="96" t="n"/>
      <c r="G542" s="97" t="n"/>
      <c r="H542" s="74" t="n"/>
      <c r="I542" s="75" t="inlineStr">
        <is>
          <t>IDST225/75R15-8PR[ST Radial]113/108M Tamarack无内 NR</t>
        </is>
      </c>
      <c r="J542" s="76" t="n">
        <v>168.812329</v>
      </c>
      <c r="L542" s="77" t="n"/>
      <c r="M542" s="77" t="n">
        <v>0</v>
      </c>
    </row>
    <row r="543" customFormat="1" s="69">
      <c r="B543" s="92" t="inlineStr">
        <is>
          <t>11.00R20-18PR-EZ867</t>
        </is>
      </c>
      <c r="C543" s="93" t="n">
        <v>54</v>
      </c>
      <c r="D543" s="495">
        <f>IF(C543="","",C543/(C543+$E$1/60))</f>
        <v/>
      </c>
      <c r="E543" s="95">
        <f>IFERROR(ROUND(1440/C543*2*D543,0),"")</f>
        <v/>
      </c>
      <c r="F543" s="96" t="n"/>
      <c r="G543" s="97" t="n"/>
      <c r="H543" s="74" t="n"/>
      <c r="I543" s="75" t="inlineStr">
        <is>
          <t>ID175/70R13PR[Z-108]82T 西湖无内</t>
        </is>
      </c>
      <c r="J543" s="76" t="n">
        <v>101.277925</v>
      </c>
      <c r="L543" s="77" t="n"/>
      <c r="M543" s="77" t="n">
        <v>0</v>
      </c>
    </row>
    <row r="544" customFormat="1" s="69">
      <c r="B544" s="92" t="inlineStr">
        <is>
          <t>7.50R16-14PR-FOLO.R109</t>
        </is>
      </c>
      <c r="C544" s="93" t="n">
        <v>26.5</v>
      </c>
      <c r="D544" s="495">
        <f>IF(C544="","",C544/(C544+$E$1/60))</f>
        <v/>
      </c>
      <c r="E544" s="95">
        <f>IFERROR(ROUND(1440/C544*2*D544,0),"")</f>
        <v/>
      </c>
      <c r="F544" s="96" t="n"/>
      <c r="G544" s="97" t="n"/>
      <c r="H544" s="74" t="n"/>
      <c r="I544" s="75" t="inlineStr">
        <is>
          <t>ID165/70R14PR[Z-108]81T 西湖无内</t>
        </is>
      </c>
      <c r="J544" s="76" t="n">
        <v>100.411724</v>
      </c>
      <c r="L544" s="77" t="n"/>
      <c r="M544" s="77" t="n">
        <v>0</v>
      </c>
    </row>
    <row r="545" customFormat="1" s="69">
      <c r="B545" s="92" t="inlineStr">
        <is>
          <t>12.00R20-20PR-CB332</t>
        </is>
      </c>
      <c r="C545" s="93" t="n">
        <v>54</v>
      </c>
      <c r="D545" s="495">
        <f>IF(C545="","",C545/(C545+$E$1/60))</f>
        <v/>
      </c>
      <c r="E545" s="95">
        <f>IFERROR(ROUND(1440/C545*2*D545,0),"")</f>
        <v/>
      </c>
      <c r="F545" s="96" t="n"/>
      <c r="G545" s="97" t="n"/>
      <c r="H545" s="74" t="n"/>
      <c r="I545" s="75" t="inlineStr">
        <is>
          <t>ID10.00R20-18PR(149/146F)[CB972]金冠</t>
        </is>
      </c>
      <c r="J545" s="76" t="n">
        <v>955.076269</v>
      </c>
      <c r="L545" s="77" t="n"/>
      <c r="M545" s="77" t="n">
        <v>0</v>
      </c>
    </row>
    <row r="546" customFormat="1" s="69">
      <c r="B546" s="92" t="inlineStr">
        <is>
          <t>11R22.5-16PR-M-TRAC CSD+</t>
        </is>
      </c>
      <c r="C546" s="93" t="n">
        <v>38.5</v>
      </c>
      <c r="D546" s="495">
        <f>IF(C546="","",C546/(C546+$E$1/60))</f>
        <v/>
      </c>
      <c r="E546" s="95">
        <f>IFERROR(ROUND(1440/C546*2*D546,0),"")</f>
        <v/>
      </c>
      <c r="F546" s="96" t="n"/>
      <c r="G546" s="97" t="n"/>
      <c r="H546" s="74" t="n"/>
      <c r="I546" s="75" t="inlineStr">
        <is>
          <t>ID245/70R19.5-16PR(136/134M)[DR-7318]VANTAGE无内</t>
        </is>
      </c>
      <c r="J546" s="76" t="n">
        <v>533.607186</v>
      </c>
      <c r="L546" s="77" t="n"/>
      <c r="M546" s="77" t="n">
        <v>0</v>
      </c>
    </row>
    <row r="547" customFormat="1" s="69">
      <c r="B547" s="92" t="inlineStr">
        <is>
          <t>11R22.5-16PR-M-TRAC HS+</t>
        </is>
      </c>
      <c r="C547" s="93" t="n">
        <v>38.5</v>
      </c>
      <c r="D547" s="495">
        <f>IF(C547="","",C547/(C547+$E$1/60))</f>
        <v/>
      </c>
      <c r="E547" s="95">
        <f>IFERROR(ROUND(1440/C547*2*D547,0),"")</f>
        <v/>
      </c>
      <c r="F547" s="96" t="n"/>
      <c r="G547" s="97" t="n"/>
      <c r="H547" s="74" t="n"/>
      <c r="I547" s="75" t="inlineStr">
        <is>
          <t>ID11R24.5-16PR(149/146M)[Strong Guard H-TL]HERCULES无内</t>
        </is>
      </c>
      <c r="J547" s="76" t="n">
        <v>769.1685189999999</v>
      </c>
      <c r="L547" s="77" t="n"/>
      <c r="M547" s="77" t="n">
        <v>0</v>
      </c>
    </row>
    <row r="548" customFormat="1" s="69">
      <c r="B548" s="92" t="inlineStr">
        <is>
          <t>11R22.5-16PR-RLINE-S1</t>
        </is>
      </c>
      <c r="C548" s="93" t="n">
        <v>41</v>
      </c>
      <c r="D548" s="495">
        <f>IF(C548="","",C548/(C548+$E$1/60))</f>
        <v/>
      </c>
      <c r="E548" s="95">
        <f>IFERROR(ROUND(1440/C548*2*D548,0),"")</f>
        <v/>
      </c>
      <c r="F548" s="96" t="n"/>
      <c r="G548" s="97" t="n"/>
      <c r="H548" s="74" t="n"/>
      <c r="I548" s="75" t="inlineStr">
        <is>
          <t>ID385/65R22.5-20PR(160K)[AT532]ARISUN无内</t>
        </is>
      </c>
      <c r="J548" s="76" t="n">
        <v>1048.347398</v>
      </c>
      <c r="L548" s="77" t="n"/>
      <c r="M548" s="77" t="n">
        <v>0</v>
      </c>
    </row>
    <row r="549" customFormat="1" s="69">
      <c r="B549" s="92" t="inlineStr">
        <is>
          <t>11R22.5-18PR-YTB-50</t>
        </is>
      </c>
      <c r="C549" s="93" t="n">
        <v>38</v>
      </c>
      <c r="D549" s="495">
        <f>IF(C549="","",C549/(C549+$E$1/60))</f>
        <v/>
      </c>
      <c r="E549" s="95">
        <f>IFERROR(ROUND(1440/C549*2*D549,0),"")</f>
        <v/>
      </c>
      <c r="F549" s="96" t="n"/>
      <c r="G549" s="97" t="n"/>
      <c r="H549" s="74" t="n"/>
      <c r="I549" s="75" t="inlineStr">
        <is>
          <t>IDST205/75R15-8PR[ST-100A]107/102M GOODRIDE(好运)无内</t>
        </is>
      </c>
      <c r="J549" s="76" t="n">
        <v>154.681198</v>
      </c>
      <c r="L549" s="77" t="n"/>
      <c r="M549" s="77" t="n">
        <v>0</v>
      </c>
    </row>
    <row r="550" customFormat="1" s="69">
      <c r="B550" s="92" t="inlineStr">
        <is>
          <t>11R24.5-16PR-M-TRAC AP</t>
        </is>
      </c>
      <c r="C550" s="93" t="n">
        <v>37</v>
      </c>
      <c r="D550" s="495">
        <f>IF(C550="","",C550/(C550+$E$1/60))</f>
        <v/>
      </c>
      <c r="E550" s="95">
        <f>IFERROR(ROUND(1440/C550*2*D550,0),"")</f>
        <v/>
      </c>
      <c r="F550" s="96" t="n"/>
      <c r="G550" s="97" t="n"/>
      <c r="H550" s="74" t="n"/>
      <c r="I550" s="75" t="inlineStr">
        <is>
          <t>ID26×12-12-8PR[STRONG GUARD R1]119A2 HERCULES无内</t>
        </is>
      </c>
      <c r="J550" s="76" t="n">
        <v>339.815329</v>
      </c>
      <c r="L550" s="77" t="n"/>
      <c r="M550" s="77" t="n">
        <v>0</v>
      </c>
    </row>
    <row r="551" customFormat="1" s="69">
      <c r="B551" s="92" t="inlineStr">
        <is>
          <t>295/75R22.5-14PR-AS600</t>
        </is>
      </c>
      <c r="C551" s="93" t="n">
        <v>35.5</v>
      </c>
      <c r="D551" s="495">
        <f>IF(C551="","",C551/(C551+$E$1/60))</f>
        <v/>
      </c>
      <c r="E551" s="95">
        <f>IFERROR(ROUND(1440/C551*2*D551,0),"")</f>
        <v/>
      </c>
      <c r="F551" s="96" t="n"/>
      <c r="G551" s="97" t="n"/>
      <c r="H551" s="74" t="n"/>
      <c r="I551" s="75" t="inlineStr">
        <is>
          <t>IDST235/80R16-10PR[ST Radial]124/120M Tamarack无内 NR</t>
        </is>
      </c>
      <c r="J551" s="76" t="n">
        <v>241.092096</v>
      </c>
      <c r="L551" s="77" t="n"/>
      <c r="M551" s="77" t="n">
        <v>0</v>
      </c>
    </row>
    <row r="552" customFormat="1" s="69">
      <c r="B552" s="92" t="inlineStr">
        <is>
          <t>295/75R22.5-16PR-M-TRAC CSD+</t>
        </is>
      </c>
      <c r="C552" s="93" t="n">
        <v>38.5</v>
      </c>
      <c r="D552" s="495">
        <f>IF(C552="","",C552/(C552+$E$1/60))</f>
        <v/>
      </c>
      <c r="E552" s="95">
        <f>IFERROR(ROUND(1440/C552*2*D552,0),"")</f>
        <v/>
      </c>
      <c r="F552" s="96" t="n"/>
      <c r="G552" s="97" t="n"/>
      <c r="H552" s="74" t="n"/>
      <c r="I552" s="75" t="inlineStr">
        <is>
          <t>ID10.00-20-16PR[R9038]146/142G GOODRIDE(好运)</t>
        </is>
      </c>
      <c r="J552" s="76" t="n">
        <v>928.045776</v>
      </c>
      <c r="L552" s="77" t="n"/>
      <c r="M552" s="77" t="n">
        <v>0</v>
      </c>
    </row>
    <row r="553" customFormat="1" s="69">
      <c r="B553" s="92" t="inlineStr">
        <is>
          <t>295/75R22.5-16PR-M-TRAC HS+</t>
        </is>
      </c>
      <c r="C553" s="93" t="n">
        <v>38.5</v>
      </c>
      <c r="D553" s="495">
        <f>IF(C553="","",C553/(C553+$E$1/60))</f>
        <v/>
      </c>
      <c r="E553" s="95">
        <f>IFERROR(ROUND(1440/C553*2*D553,0),"")</f>
        <v/>
      </c>
      <c r="F553" s="96" t="n"/>
      <c r="G553" s="97" t="n"/>
      <c r="H553" s="74" t="n"/>
      <c r="I553" s="75" t="inlineStr">
        <is>
          <t>ID7.50R16-14PR(122/118L)[EZ369]金冠</t>
        </is>
      </c>
      <c r="J553" s="76" t="n">
        <v>460.55142</v>
      </c>
      <c r="L553" s="77" t="n"/>
      <c r="M553" s="77" t="n">
        <v>0</v>
      </c>
    </row>
    <row r="554" customFormat="1" s="69">
      <c r="B554" s="92" t="inlineStr">
        <is>
          <t>295/75R22.5-16PR-RLINE-S1</t>
        </is>
      </c>
      <c r="C554" s="93" t="n">
        <v>38.5</v>
      </c>
      <c r="D554" s="495">
        <f>IF(C554="","",C554/(C554+$E$1/60))</f>
        <v/>
      </c>
      <c r="E554" s="95">
        <f>IFERROR(ROUND(1440/C554*2*D554,0),"")</f>
        <v/>
      </c>
      <c r="F554" s="96" t="n"/>
      <c r="G554" s="97" t="n"/>
      <c r="H554" s="74" t="n"/>
      <c r="I554" s="75" t="inlineStr">
        <is>
          <t>ID7.50R16-14PR(122/118L)[CR926+]朝阳</t>
        </is>
      </c>
      <c r="J554" s="76" t="n">
        <v>456.693916</v>
      </c>
      <c r="L554" s="77" t="n"/>
      <c r="M554" s="77" t="n">
        <v>0</v>
      </c>
    </row>
    <row r="555" customFormat="1" s="69">
      <c r="B555" s="92" t="inlineStr">
        <is>
          <t>295/75R22.5-16PR-RLINE-TⅡ</t>
        </is>
      </c>
      <c r="C555" s="93" t="n">
        <v>32.5</v>
      </c>
      <c r="D555" s="495">
        <f>IF(C555="","",C555/(C555+$E$1/60))</f>
        <v/>
      </c>
      <c r="E555" s="95">
        <f>IFERROR(ROUND(1440/C555*2*D555,0),"")</f>
        <v/>
      </c>
      <c r="F555" s="96" t="n"/>
      <c r="G555" s="97" t="n"/>
      <c r="H555" s="74" t="n"/>
      <c r="I555" s="75" t="inlineStr">
        <is>
          <t>ID295/80R22.5-18PR(152/149L)[AD153]ARISUN无内</t>
        </is>
      </c>
      <c r="J555" s="76" t="n">
        <v>811.002374</v>
      </c>
      <c r="L555" s="77" t="n"/>
      <c r="M555" s="77" t="n">
        <v>0</v>
      </c>
    </row>
    <row r="556" customFormat="1" s="69">
      <c r="B556" s="92" t="inlineStr">
        <is>
          <t>285/75R24.5-16PR-M-TRAC CSD</t>
        </is>
      </c>
      <c r="C556" s="93" t="n">
        <v>38.5</v>
      </c>
      <c r="D556" s="495">
        <f>IF(C556="","",C556/(C556+$E$1/60))</f>
        <v/>
      </c>
      <c r="E556" s="95">
        <f>IFERROR(ROUND(1440/C556*2*D556,0),"")</f>
        <v/>
      </c>
      <c r="F556" s="96" t="n"/>
      <c r="G556" s="97" t="n"/>
      <c r="H556" s="74" t="n"/>
      <c r="I556" s="75" t="inlineStr">
        <is>
          <t>ID245/70R17.5-18PR(143/141J)[AP-7318]VANTAGE无内</t>
        </is>
      </c>
      <c r="J556" s="76" t="n">
        <v>508.940509</v>
      </c>
      <c r="L556" s="77" t="n"/>
      <c r="M556" s="77" t="n">
        <v>0</v>
      </c>
    </row>
    <row r="557" customFormat="1" s="69">
      <c r="B557" s="92" t="inlineStr">
        <is>
          <t>215/75R17.5-18PR-AZ599</t>
        </is>
      </c>
      <c r="C557" s="93" t="n">
        <v>32.5</v>
      </c>
      <c r="D557" s="495">
        <f>IF(C557="","",C557/(C557+$E$1/60))</f>
        <v/>
      </c>
      <c r="E557" s="95">
        <f>IFERROR(ROUND(1440/C557*2*D557,0),"")</f>
        <v/>
      </c>
      <c r="F557" s="96" t="n"/>
      <c r="G557" s="97" t="n"/>
      <c r="H557" s="74" t="n"/>
      <c r="I557" s="75" t="inlineStr">
        <is>
          <t>IDST205/75R14-6PR[ST-100A]100/96M GOODRIDE(好运)无内</t>
        </is>
      </c>
      <c r="J557" s="76" t="n">
        <v>132.248627</v>
      </c>
      <c r="L557" s="77" t="n"/>
      <c r="M557" s="77" t="n">
        <v>0</v>
      </c>
    </row>
    <row r="558" customFormat="1" s="69">
      <c r="B558" s="92" t="inlineStr">
        <is>
          <t>225/70R19.5-14PR-M-TRAC RDW</t>
        </is>
      </c>
      <c r="C558" s="93" t="n">
        <v>32.5</v>
      </c>
      <c r="D558" s="495">
        <f>IF(C558="","",C558/(C558+$E$1/60))</f>
        <v/>
      </c>
      <c r="E558" s="95">
        <f>IFERROR(ROUND(1440/C558*2*D558,0),"")</f>
        <v/>
      </c>
      <c r="F558" s="96" t="n"/>
      <c r="G558" s="97" t="n"/>
      <c r="H558" s="74" t="n"/>
      <c r="I558" s="75" t="inlineStr">
        <is>
          <t>ID10.00R20中策垫带 （102凹）</t>
        </is>
      </c>
      <c r="J558" s="76" t="n">
        <v>20.005209</v>
      </c>
      <c r="L558" s="77" t="n"/>
      <c r="M558" s="77" t="n">
        <v>0</v>
      </c>
    </row>
    <row r="559" customFormat="1" s="69">
      <c r="B559" s="92" t="inlineStr">
        <is>
          <t>245/70R19.5-16PR-ECO-MILE RDW</t>
        </is>
      </c>
      <c r="C559" s="93" t="n">
        <v>34</v>
      </c>
      <c r="D559" s="495">
        <f>IF(C559="","",C559/(C559+$E$1/60))</f>
        <v/>
      </c>
      <c r="E559" s="95">
        <f>IFERROR(ROUND(1440/C559*2*D559,0),"")</f>
        <v/>
      </c>
      <c r="F559" s="96" t="n"/>
      <c r="G559" s="97" t="n"/>
      <c r="H559" s="74" t="n"/>
      <c r="I559" s="75" t="inlineStr">
        <is>
          <t>ID(D105007)100/80-14-6P[H-999-A]54P GOLDEN CROWN 纳米高抓 TL</t>
        </is>
      </c>
      <c r="J559" s="76" t="n">
        <v>50.825495</v>
      </c>
      <c r="L559" s="77" t="n"/>
      <c r="M559" s="77" t="n">
        <v>0</v>
      </c>
    </row>
    <row r="560" customFormat="1" s="69">
      <c r="B560" s="92" t="inlineStr">
        <is>
          <t>295/75R22.5-14PR-M-TRAC AP</t>
        </is>
      </c>
      <c r="C560" s="93" t="n">
        <v>38</v>
      </c>
      <c r="D560" s="495">
        <f>IF(C560="","",C560/(C560+$E$1/60))</f>
        <v/>
      </c>
      <c r="E560" s="95">
        <f>IFERROR(ROUND(1440/C560*2*D560,0),"")</f>
        <v/>
      </c>
      <c r="F560" s="96" t="n"/>
      <c r="G560" s="97" t="n"/>
      <c r="H560" s="74" t="n"/>
      <c r="I560" s="75" t="inlineStr">
        <is>
          <t>ID(LB1205)ATV 25×8-12/6[AR12]FREE COUNTRY TL KOMODO</t>
        </is>
      </c>
      <c r="J560" s="76" t="n">
        <v>125.624373</v>
      </c>
      <c r="L560" s="77" t="n"/>
      <c r="M560" s="77" t="n">
        <v>0</v>
      </c>
    </row>
    <row r="561" customFormat="1" s="69">
      <c r="B561" s="92" t="inlineStr">
        <is>
          <t>12R22.5-18PR-EZ870</t>
        </is>
      </c>
      <c r="C561" s="93" t="n">
        <v>54</v>
      </c>
      <c r="D561" s="495">
        <f>IF(C561="","",C561/(C561+$E$1/60))</f>
        <v/>
      </c>
      <c r="E561" s="95">
        <f>IFERROR(ROUND(1440/C561*2*D561,0),"")</f>
        <v/>
      </c>
      <c r="F561" s="96" t="n"/>
      <c r="G561" s="97" t="n"/>
      <c r="H561" s="74" t="n"/>
      <c r="I561" s="75" t="inlineStr">
        <is>
          <t>ID(LB6702)ATV 25×10-12/6[AR67]FREE COUNTRY TL SILVERBACK</t>
        </is>
      </c>
      <c r="J561" s="76" t="n">
        <v>160.716164</v>
      </c>
      <c r="L561" s="77" t="n"/>
      <c r="M561" s="77" t="n">
        <v>0</v>
      </c>
    </row>
    <row r="562" customFormat="1" s="69">
      <c r="B562" s="92" t="inlineStr">
        <is>
          <t>12R22.5-18PR-EZ867</t>
        </is>
      </c>
      <c r="C562" s="93" t="n">
        <v>52</v>
      </c>
      <c r="D562" s="495">
        <f>IF(C562="","",C562/(C562+$E$1/60))</f>
        <v/>
      </c>
      <c r="E562" s="95">
        <f>IFERROR(ROUND(1440/C562*2*D562,0),"")</f>
        <v/>
      </c>
      <c r="F562" s="96" t="n"/>
      <c r="G562" s="97" t="n"/>
      <c r="H562" s="74" t="n"/>
      <c r="I562" s="75" t="inlineStr">
        <is>
          <t>IDST205/75R14-6PR[ST-100A]100/96M 西湖无内</t>
        </is>
      </c>
      <c r="J562" s="76" t="n">
        <v>132.240178</v>
      </c>
      <c r="L562" s="77" t="n"/>
      <c r="M562" s="77" t="n">
        <v>0</v>
      </c>
    </row>
    <row r="563" customFormat="1" s="69">
      <c r="B563" s="92" t="inlineStr">
        <is>
          <t>10.00R20-18PR-BMA08</t>
        </is>
      </c>
      <c r="C563" s="93" t="n">
        <v>38.5</v>
      </c>
      <c r="D563" s="495">
        <f>IF(C563="","",C563/(C563+$E$1/60))</f>
        <v/>
      </c>
      <c r="E563" s="95">
        <f>IFERROR(ROUND(1440/C563*2*D563,0),"")</f>
        <v/>
      </c>
      <c r="F563" s="96" t="n"/>
      <c r="G563" s="97" t="n"/>
      <c r="H563" s="74" t="n"/>
      <c r="I563" s="75" t="inlineStr">
        <is>
          <t>IDST205/75R15-10PR[Tow pro st]111/106M SUPERMAX无内</t>
        </is>
      </c>
      <c r="J563" s="76" t="n">
        <v>169.654849</v>
      </c>
      <c r="L563" s="77" t="n"/>
      <c r="M563" s="77" t="n">
        <v>0</v>
      </c>
    </row>
    <row r="564" customFormat="1" s="69">
      <c r="B564" s="92" t="inlineStr">
        <is>
          <t>10.00R20-18PR-MT200</t>
        </is>
      </c>
      <c r="C564" s="93" t="n">
        <v>39</v>
      </c>
      <c r="D564" s="495">
        <f>IF(C564="","",C564/(C564+$E$1/60))</f>
        <v/>
      </c>
      <c r="E564" s="95">
        <f>IFERROR(ROUND(1440/C564*2*D564,0),"")</f>
        <v/>
      </c>
      <c r="F564" s="96" t="n"/>
      <c r="G564" s="97" t="n"/>
      <c r="H564" s="74" t="n"/>
      <c r="I564" s="75" t="inlineStr">
        <is>
          <t>ID175/70R13PR[G-118]82T GOODRIDE(好运)无内</t>
        </is>
      </c>
      <c r="J564" s="76" t="n">
        <v>99.33739199999999</v>
      </c>
      <c r="L564" s="77" t="n"/>
      <c r="M564" s="77" t="n">
        <v>0</v>
      </c>
    </row>
    <row r="565" customFormat="1" s="69">
      <c r="B565" s="92" t="inlineStr">
        <is>
          <t>11.00R20-18PR-MT200</t>
        </is>
      </c>
      <c r="C565" s="93" t="n">
        <v>42</v>
      </c>
      <c r="D565" s="495">
        <f>IF(C565="","",C565/(C565+$E$1/60))</f>
        <v/>
      </c>
      <c r="E565" s="95">
        <f>IFERROR(ROUND(1440/C565*2*D565,0),"")</f>
        <v/>
      </c>
      <c r="F565" s="96" t="n"/>
      <c r="G565" s="97" t="n"/>
      <c r="H565" s="74" t="n"/>
      <c r="I565" s="75" t="inlineStr">
        <is>
          <t>IDST205/75R14-8PR[ST200]105/101M GOODRIDE(好运)无内 NR</t>
        </is>
      </c>
      <c r="J565" s="76" t="n">
        <v>141.662003</v>
      </c>
      <c r="L565" s="77" t="n"/>
      <c r="M565" s="77" t="n">
        <v>0</v>
      </c>
    </row>
    <row r="566" customFormat="1" s="69">
      <c r="B566" s="92" t="inlineStr">
        <is>
          <t>12.00R24-20PR-TZ304</t>
        </is>
      </c>
      <c r="C566" s="93" t="n">
        <v>56.5</v>
      </c>
      <c r="D566" s="495">
        <f>IF(C566="","",C566/(C566+$E$1/60))</f>
        <v/>
      </c>
      <c r="E566" s="95">
        <f>IFERROR(ROUND(1440/C566*2*D566,0),"")</f>
        <v/>
      </c>
      <c r="F566" s="96" t="n"/>
      <c r="G566" s="97" t="n"/>
      <c r="H566" s="74" t="n"/>
      <c r="I566" s="75" t="inlineStr">
        <is>
          <t>IDST225/75R15-8PR[ST200]113/108M GOODRIDE(好运)无内 NR</t>
        </is>
      </c>
      <c r="J566" s="76" t="n">
        <v>169.21443</v>
      </c>
      <c r="L566" s="77" t="n"/>
      <c r="M566" s="77" t="n">
        <v>0</v>
      </c>
    </row>
    <row r="567" customFormat="1" s="69">
      <c r="B567" s="92" t="inlineStr">
        <is>
          <t>12.00R24-☆☆PR-XC819</t>
        </is>
      </c>
      <c r="C567" s="93" t="n">
        <v>56.5</v>
      </c>
      <c r="D567" s="495">
        <f>IF(C567="","",C567/(C567+$E$1/60))</f>
        <v/>
      </c>
      <c r="E567" s="95">
        <f>IFERROR(ROUND(1440/C567*2*D567,0),"")</f>
        <v/>
      </c>
      <c r="F567" s="96" t="n"/>
      <c r="G567" s="97" t="n"/>
      <c r="H567" s="74" t="n"/>
      <c r="I567" s="75" t="inlineStr">
        <is>
          <t>ID275/80R22.5-16PR(149/146M)[G-PRO S]GRIPMASTER无内</t>
        </is>
      </c>
      <c r="J567" s="76" t="n">
        <v>791.598472</v>
      </c>
      <c r="L567" s="77" t="n"/>
      <c r="M567" s="77" t="n">
        <v>0</v>
      </c>
    </row>
    <row r="568" customFormat="1" s="69">
      <c r="B568" s="92" t="inlineStr">
        <is>
          <t>7.50R16-14PR-CB972pro</t>
        </is>
      </c>
      <c r="C568" s="93" t="n">
        <v>30</v>
      </c>
      <c r="D568" s="495">
        <f>IF(C568="","",C568/(C568+$E$1/60))</f>
        <v/>
      </c>
      <c r="E568" s="95">
        <f>IFERROR(ROUND(1440/C568*2*D568,0),"")</f>
        <v/>
      </c>
      <c r="F568" s="96" t="n"/>
      <c r="G568" s="97" t="n"/>
      <c r="H568" s="74" t="n"/>
      <c r="I568" s="75" t="inlineStr">
        <is>
          <t>ID315/80R22.5-20PR(157/154K)[CM913A]雅度无内</t>
        </is>
      </c>
      <c r="J568" s="76" t="n">
        <v>982.58538</v>
      </c>
      <c r="L568" s="77" t="n"/>
      <c r="M568" s="77" t="n">
        <v>0</v>
      </c>
    </row>
    <row r="569" customFormat="1" s="69">
      <c r="B569" s="92" t="inlineStr">
        <is>
          <t>7.50R16-14PR-AZ601+</t>
        </is>
      </c>
      <c r="C569" s="93" t="n">
        <v>26.5</v>
      </c>
      <c r="D569" s="495">
        <f>IF(C569="","",C569/(C569+$E$1/60))</f>
        <v/>
      </c>
      <c r="E569" s="95">
        <f>IFERROR(ROUND(1440/C569*2*D569,0),"")</f>
        <v/>
      </c>
      <c r="F569" s="96" t="n"/>
      <c r="G569" s="97" t="n"/>
      <c r="H569" s="74" t="n"/>
      <c r="I569" s="75" t="inlineStr">
        <is>
          <t>IDST205/75R14-8PR[ST Radial]105/101M Tamarack无内 NR</t>
        </is>
      </c>
      <c r="J569" s="76" t="n">
        <v>141.376998</v>
      </c>
      <c r="L569" s="77" t="n"/>
      <c r="M569" s="77" t="n">
        <v>0</v>
      </c>
    </row>
    <row r="570" customFormat="1" s="69">
      <c r="B570" s="92" t="inlineStr">
        <is>
          <t>295/75R22.5-14PR-H-RD</t>
        </is>
      </c>
      <c r="C570" s="93" t="n">
        <v>40.5</v>
      </c>
      <c r="D570" s="495">
        <f>IF(C570="","",C570/(C570+$E$1/60))</f>
        <v/>
      </c>
      <c r="E570" s="95">
        <f>IFERROR(ROUND(1440/C570*2*D570,0),"")</f>
        <v/>
      </c>
      <c r="F570" s="96" t="n"/>
      <c r="G570" s="97" t="n"/>
      <c r="H570" s="74" t="n"/>
      <c r="I570" s="75" t="inlineStr">
        <is>
          <t>ID11.00R20-20PR(154/151D)[AZ850]朝阳 东南亚</t>
        </is>
      </c>
      <c r="J570" s="76" t="n">
        <v>985.844195</v>
      </c>
      <c r="L570" s="77" t="n"/>
      <c r="M570" s="77" t="n">
        <v>0</v>
      </c>
    </row>
    <row r="571" customFormat="1" s="69">
      <c r="B571" s="92" t="inlineStr">
        <is>
          <t>295/75R22.5-16PR-H-RA</t>
        </is>
      </c>
      <c r="C571" s="93" t="n">
        <v>35.5</v>
      </c>
      <c r="D571" s="495">
        <f>IF(C571="","",C571/(C571+$E$1/60))</f>
        <v/>
      </c>
      <c r="E571" s="95">
        <f>IFERROR(ROUND(1440/C571*2*D571,0),"")</f>
        <v/>
      </c>
      <c r="F571" s="96" t="n"/>
      <c r="G571" s="97" t="n"/>
      <c r="H571" s="74" t="n"/>
      <c r="I571" s="75" t="inlineStr">
        <is>
          <t>ID11R22.5-16PR(148/145L)[AD716]威狮无内</t>
        </is>
      </c>
      <c r="J571" s="76" t="n">
        <v>793.646224</v>
      </c>
      <c r="L571" s="77" t="n"/>
      <c r="M571" s="77" t="n">
        <v>0</v>
      </c>
    </row>
    <row r="572" customFormat="1" s="69">
      <c r="B572" s="92" t="inlineStr">
        <is>
          <t>275/70R22.5-16PR-H-RA</t>
        </is>
      </c>
      <c r="C572" s="93" t="n">
        <v>34.5</v>
      </c>
      <c r="D572" s="495">
        <f>IF(C572="","",C572/(C572+$E$1/60))</f>
        <v/>
      </c>
      <c r="E572" s="95">
        <f>IFERROR(ROUND(1440/C572*2*D572,0),"")</f>
        <v/>
      </c>
      <c r="F572" s="96" t="n"/>
      <c r="G572" s="97" t="n"/>
      <c r="H572" s="74" t="n"/>
      <c r="I572" s="75" t="inlineStr">
        <is>
          <t>IDST205/75R15-8PR[ST100]107/102M HI-RUN无内</t>
        </is>
      </c>
      <c r="J572" s="76" t="n">
        <v>160.461147</v>
      </c>
      <c r="L572" s="77" t="n"/>
      <c r="M572" s="77" t="n">
        <v>0</v>
      </c>
    </row>
    <row r="573" customFormat="1" s="69">
      <c r="B573" s="92" t="inlineStr">
        <is>
          <t>12.00R20-☆☆-XC809</t>
        </is>
      </c>
      <c r="C573" s="93" t="n">
        <v>47.7</v>
      </c>
      <c r="D573" s="495">
        <f>IF(C573="","",C573/(C573+$E$1/60))</f>
        <v/>
      </c>
      <c r="E573" s="95">
        <f>IFERROR(ROUND(1440/C573*2*D573,0),"")</f>
        <v/>
      </c>
      <c r="F573" s="96" t="n"/>
      <c r="G573" s="97" t="n"/>
      <c r="H573" s="74" t="n"/>
      <c r="I573" s="75" t="inlineStr">
        <is>
          <t>IDST185/80R13-8PR[ST226]99/95L CASTLE ROCK无内 NR</t>
        </is>
      </c>
      <c r="J573" s="76" t="n">
        <v>127.365581</v>
      </c>
      <c r="L573" s="77" t="n"/>
      <c r="M573" s="77" t="n">
        <v>0</v>
      </c>
    </row>
    <row r="574" customFormat="1" s="69">
      <c r="B574" s="92" t="inlineStr">
        <is>
          <t>12.00R24-☆☆-XC819</t>
        </is>
      </c>
      <c r="C574" s="93" t="n">
        <v>56.5</v>
      </c>
      <c r="D574" s="495">
        <f>IF(C574="","",C574/(C574+$E$1/60))</f>
        <v/>
      </c>
      <c r="E574" s="95">
        <f>IFERROR(ROUND(1440/C574*2*D574,0),"")</f>
        <v/>
      </c>
      <c r="F574" s="96" t="n"/>
      <c r="G574" s="97" t="n"/>
      <c r="H574" s="74" t="n"/>
      <c r="I574" s="75" t="inlineStr">
        <is>
          <t>ID11.00R20-18PR(152/149K)[CM988]威狮</t>
        </is>
      </c>
      <c r="J574" s="76" t="n">
        <v>975.072196</v>
      </c>
      <c r="L574" s="77" t="n"/>
      <c r="M574" s="77" t="n">
        <v>0</v>
      </c>
    </row>
    <row r="575" customFormat="1" s="69">
      <c r="B575" s="92" t="inlineStr">
        <is>
          <t>11R22.5-16PR-H-RD</t>
        </is>
      </c>
      <c r="C575" s="93" t="n">
        <v>40.5</v>
      </c>
      <c r="D575" s="495">
        <f>IF(C575="","",C575/(C575+$E$1/60))</f>
        <v/>
      </c>
      <c r="E575" s="95">
        <f>IFERROR(ROUND(1440/C575*2*D575,0),"")</f>
        <v/>
      </c>
      <c r="F575" s="96" t="n"/>
      <c r="G575" s="97" t="n"/>
      <c r="H575" s="74" t="n"/>
      <c r="I575" s="75" t="inlineStr">
        <is>
          <t>ID11.00R20-18PR(152/149F)[EZ336]威狮</t>
        </is>
      </c>
      <c r="J575" s="76" t="n">
        <v>1069.891872</v>
      </c>
      <c r="L575" s="77" t="n"/>
      <c r="M575" s="77" t="n">
        <v>0</v>
      </c>
    </row>
    <row r="576" customFormat="1" s="69">
      <c r="B576" s="92" t="inlineStr">
        <is>
          <t>215/75R17.5-16PR-H-RA</t>
        </is>
      </c>
      <c r="C576" s="93" t="n">
        <v>27.5</v>
      </c>
      <c r="D576" s="495">
        <f>IF(C576="","",C576/(C576+$E$1/60))</f>
        <v/>
      </c>
      <c r="E576" s="95">
        <f>IFERROR(ROUND(1440/C576*2*D576,0),"")</f>
        <v/>
      </c>
      <c r="F576" s="96" t="n"/>
      <c r="G576" s="97" t="n"/>
      <c r="H576" s="74" t="n"/>
      <c r="I576" s="75" t="inlineStr">
        <is>
          <t>ID295/80R22.5-18PR(152/149L)[AZ126T]STRADA R无内</t>
        </is>
      </c>
      <c r="J576" s="76" t="n">
        <v>775.03867</v>
      </c>
      <c r="L576" s="77" t="n"/>
      <c r="M576" s="77" t="n">
        <v>0</v>
      </c>
    </row>
    <row r="577" customFormat="1" s="69">
      <c r="B577" s="92" t="inlineStr">
        <is>
          <t>235/75R17.5-18PR-H-RA</t>
        </is>
      </c>
      <c r="C577" s="93" t="n">
        <v>29</v>
      </c>
      <c r="D577" s="495">
        <f>IF(C577="","",C577/(C577+$E$1/60))</f>
        <v/>
      </c>
      <c r="E577" s="95">
        <f>IFERROR(ROUND(1440/C577*2*D577,0),"")</f>
        <v/>
      </c>
      <c r="F577" s="96" t="n"/>
      <c r="G577" s="97" t="n"/>
      <c r="H577" s="74" t="n"/>
      <c r="I577" s="75" t="inlineStr">
        <is>
          <t>ID295/75R22.5-16PR(146/143L)[AD759]ARISUN无内</t>
        </is>
      </c>
      <c r="J577" s="76" t="n">
        <v>842.5848549999999</v>
      </c>
      <c r="L577" s="77" t="n"/>
      <c r="M577" s="77" t="n">
        <v>0</v>
      </c>
    </row>
    <row r="578" customFormat="1" s="69">
      <c r="B578" s="92" t="inlineStr">
        <is>
          <t>245/75R22.5-14PR-H-RA</t>
        </is>
      </c>
      <c r="C578" s="93" t="n">
        <v>32</v>
      </c>
      <c r="D578" s="495">
        <f>IF(C578="","",C578/(C578+$E$1/60))</f>
        <v/>
      </c>
      <c r="E578" s="95">
        <f>IFERROR(ROUND(1440/C578*2*D578,0),"")</f>
        <v/>
      </c>
      <c r="F578" s="96" t="n"/>
      <c r="G578" s="97" t="n"/>
      <c r="H578" s="74" t="n"/>
      <c r="I578" s="75" t="inlineStr">
        <is>
          <t>ID295/75R22.5-16PR(146/143L)[PD211]PEARLY无内</t>
        </is>
      </c>
      <c r="J578" s="76" t="n">
        <v>867.32317</v>
      </c>
      <c r="L578" s="77" t="n"/>
      <c r="M578" s="77" t="n">
        <v>0</v>
      </c>
    </row>
    <row r="579" customFormat="1" s="69">
      <c r="B579" s="92" t="inlineStr">
        <is>
          <t>12.00R20-22PR-TRD-79</t>
        </is>
      </c>
      <c r="C579" s="93" t="n">
        <v>52</v>
      </c>
      <c r="D579" s="495">
        <f>IF(C579="","",C579/(C579+$E$1/60))</f>
        <v/>
      </c>
      <c r="E579" s="95">
        <f>IFERROR(ROUND(1440/C579*2*D579,0),"")</f>
        <v/>
      </c>
      <c r="F579" s="96" t="n"/>
      <c r="G579" s="97" t="n"/>
      <c r="H579" s="74" t="n"/>
      <c r="I579" s="75" t="inlineStr">
        <is>
          <t>ID295/75R22.5-16PR(146/143L)[CM996+]威狮无内</t>
        </is>
      </c>
      <c r="J579" s="76" t="n">
        <v>842.5848549999999</v>
      </c>
      <c r="L579" s="77" t="n"/>
      <c r="M579" s="77" t="n">
        <v>0</v>
      </c>
    </row>
    <row r="580" customFormat="1" s="69">
      <c r="B580" s="92" t="inlineStr">
        <is>
          <t>12.00R24-20PR-TRD-79</t>
        </is>
      </c>
      <c r="C580" s="93" t="n">
        <v>56.5</v>
      </c>
      <c r="D580" s="495">
        <f>IF(C580="","",C580/(C580+$E$1/60))</f>
        <v/>
      </c>
      <c r="E580" s="95">
        <f>IFERROR(ROUND(1440/C580*2*D580,0),"")</f>
        <v/>
      </c>
      <c r="F580" s="96" t="n"/>
      <c r="G580" s="97" t="n"/>
      <c r="H580" s="74" t="n"/>
      <c r="I580" s="75" t="inlineStr">
        <is>
          <t>ID295/75R22.5-14PR(144/141M)[Strong Guard H-TL]HERCULES无内</t>
        </is>
      </c>
      <c r="J580" s="76" t="n">
        <v>725.66914</v>
      </c>
      <c r="L580" s="77" t="n"/>
      <c r="M580" s="77" t="n">
        <v>0</v>
      </c>
    </row>
    <row r="581" customFormat="1" s="69">
      <c r="B581" s="92" t="n"/>
      <c r="C581" s="93" t="n"/>
      <c r="D581" s="495">
        <f>IF(C581="","",C581/(C581+$E$1/60))</f>
        <v/>
      </c>
      <c r="E581" s="95">
        <f>IFERROR(ROUND(1440/C581*2*D581,0),"")</f>
        <v/>
      </c>
      <c r="F581" s="96" t="n"/>
      <c r="G581" s="97" t="n"/>
      <c r="H581" s="74" t="n"/>
      <c r="I581" s="75" t="inlineStr">
        <is>
          <t>ID225/70R19.5-14PR(128/126N)[AP-7318]VANTAGE无内</t>
        </is>
      </c>
      <c r="J581" s="76" t="n">
        <v>447.914453</v>
      </c>
      <c r="L581" s="77" t="n"/>
      <c r="M581" s="77" t="n">
        <v>0</v>
      </c>
    </row>
    <row r="582" customFormat="1" s="69">
      <c r="B582" s="92" t="n"/>
      <c r="C582" s="93" t="n"/>
      <c r="D582" s="495">
        <f>IF(C582="","",C582/(C582+$E$1/60))</f>
        <v/>
      </c>
      <c r="E582" s="95">
        <f>IFERROR(ROUND(1440/C582*2*D582,0),"")</f>
        <v/>
      </c>
      <c r="F582" s="96" t="n"/>
      <c r="G582" s="97" t="n"/>
      <c r="H582" s="74" t="n"/>
      <c r="I582" s="75" t="inlineStr">
        <is>
          <t>ID11R24.5-16PR(149/146L)[AS673]ARISUN无内</t>
        </is>
      </c>
      <c r="J582" s="76" t="n">
        <v>856.591988</v>
      </c>
      <c r="L582" s="77" t="n"/>
      <c r="M582" s="77" t="n">
        <v>0</v>
      </c>
    </row>
    <row r="583" customFormat="1" s="69">
      <c r="B583" s="92" t="n"/>
      <c r="C583" s="93" t="n"/>
      <c r="D583" s="495">
        <f>IF(C583="","",C583/(C583+$E$1/60))</f>
        <v/>
      </c>
      <c r="E583" s="95">
        <f>IFERROR(ROUND(1440/C583*2*D583,0),"")</f>
        <v/>
      </c>
      <c r="F583" s="96" t="n"/>
      <c r="G583" s="97" t="n"/>
      <c r="H583" s="74" t="n"/>
      <c r="I583" s="75" t="inlineStr">
        <is>
          <t>ID11R24.5-16PR(149/146L)[Strong Guard H-RD]HERCULES无内</t>
        </is>
      </c>
      <c r="J583" s="76" t="n">
        <v>840.591486</v>
      </c>
      <c r="L583" s="77" t="n"/>
      <c r="M583" s="77" t="n">
        <v>0</v>
      </c>
    </row>
    <row r="584" customFormat="1" s="69">
      <c r="B584" s="92" t="n"/>
      <c r="C584" s="93" t="n"/>
      <c r="D584" s="495">
        <f>IF(C584="","",C584/(C584+$E$1/60))</f>
        <v/>
      </c>
      <c r="E584" s="95">
        <f>IFERROR(ROUND(1440/C584*2*D584,0),"")</f>
        <v/>
      </c>
      <c r="F584" s="96" t="n"/>
      <c r="G584" s="97" t="n"/>
      <c r="H584" s="74" t="n"/>
      <c r="I584" s="75" t="inlineStr">
        <is>
          <t>ID11R22.5-16PR(146/143L)[AD178]金冠无内</t>
        </is>
      </c>
      <c r="J584" s="76" t="n">
        <v>750.651524</v>
      </c>
      <c r="L584" s="77" t="n"/>
      <c r="M584" s="77" t="n">
        <v>0</v>
      </c>
    </row>
    <row r="585" customFormat="1" s="69">
      <c r="B585" s="92" t="n"/>
      <c r="C585" s="93" t="n"/>
      <c r="D585" s="495">
        <f>IF(C585="","",C585/(C585+$E$1/60))</f>
        <v/>
      </c>
      <c r="E585" s="95">
        <f>IFERROR(ROUND(1440/C585*2*D585,0),"")</f>
        <v/>
      </c>
      <c r="F585" s="96" t="n"/>
      <c r="G585" s="97" t="n"/>
      <c r="H585" s="74" t="n"/>
      <c r="I585" s="75" t="inlineStr">
        <is>
          <t>ID11R22.5-16PR(146/143L)[CM996]ARISUN无内</t>
        </is>
      </c>
      <c r="J585" s="76" t="n">
        <v>793.646224</v>
      </c>
      <c r="L585" s="77" t="n"/>
      <c r="M585" s="77" t="n">
        <v>0</v>
      </c>
    </row>
    <row r="586" customFormat="1" s="69">
      <c r="B586" s="92" t="n"/>
      <c r="C586" s="93" t="n"/>
      <c r="D586" s="495">
        <f>IF(C586="","",C586/(C586+$E$1/60))</f>
        <v/>
      </c>
      <c r="E586" s="95">
        <f>IFERROR(ROUND(1440/C586*2*D586,0),"")</f>
        <v/>
      </c>
      <c r="F586" s="96" t="n"/>
      <c r="G586" s="97" t="n"/>
      <c r="H586" s="74" t="n"/>
      <c r="I586" s="75" t="inlineStr">
        <is>
          <t>ID11R22.5-16PR(148/145L)[AZ599]威狮无内</t>
        </is>
      </c>
      <c r="J586" s="76" t="n">
        <v>747.865853</v>
      </c>
      <c r="L586" s="77" t="n"/>
      <c r="M586" s="77" t="n">
        <v>0</v>
      </c>
    </row>
    <row r="587" customFormat="1" s="69">
      <c r="B587" s="92" t="n"/>
      <c r="C587" s="93" t="n"/>
      <c r="D587" s="495">
        <f>IF(C587="","",C587/(C587+$E$1/60))</f>
        <v/>
      </c>
      <c r="E587" s="95">
        <f>IFERROR(ROUND(1440/C587*2*D587,0),"")</f>
        <v/>
      </c>
      <c r="F587" s="96" t="n"/>
      <c r="G587" s="97" t="n"/>
      <c r="H587" s="74" t="n"/>
      <c r="I587" s="75" t="inlineStr">
        <is>
          <t>ID295/80R22.5-18PR(152/149J)[CB972]威狮无内</t>
        </is>
      </c>
      <c r="J587" s="76" t="n">
        <v>890.83757</v>
      </c>
      <c r="L587" s="77" t="n"/>
      <c r="M587" s="77" t="n">
        <v>0</v>
      </c>
    </row>
    <row r="588" customFormat="1" s="69">
      <c r="B588" s="92" t="n"/>
      <c r="C588" s="93" t="n"/>
      <c r="D588" s="495">
        <f>IF(C588="","",C588/(C588+$E$1/60))</f>
        <v/>
      </c>
      <c r="E588" s="95">
        <f>IFERROR(ROUND(1440/C588*2*D588,0),"")</f>
        <v/>
      </c>
      <c r="F588" s="96" t="n"/>
      <c r="G588" s="97" t="n"/>
      <c r="H588" s="74" t="n"/>
      <c r="I588" s="75" t="inlineStr">
        <is>
          <t>ID255/70R22.5-16PR(140/137M)[CR976A]威狮无内</t>
        </is>
      </c>
      <c r="J588" s="76" t="n">
        <v>614.178992</v>
      </c>
      <c r="L588" s="77" t="n"/>
      <c r="M588" s="77" t="n">
        <v>0</v>
      </c>
    </row>
    <row r="589" customFormat="1" s="69">
      <c r="B589" s="92" t="n"/>
      <c r="C589" s="93" t="n"/>
      <c r="D589" s="495">
        <f>IF(C589="","",C589/(C589+$E$1/60))</f>
        <v/>
      </c>
      <c r="E589" s="95">
        <f>IFERROR(ROUND(1440/C589*2*D589,0),"")</f>
        <v/>
      </c>
      <c r="F589" s="96" t="n"/>
      <c r="G589" s="97" t="n"/>
      <c r="H589" s="74" t="n"/>
      <c r="I589" s="75" t="inlineStr">
        <is>
          <t>ID425/65R22.5-20PR(165K)[VA916]VITOUR无内</t>
        </is>
      </c>
      <c r="J589" s="76" t="n">
        <v>1312.663891</v>
      </c>
      <c r="L589" s="77" t="n"/>
      <c r="M589" s="77" t="n">
        <v>0</v>
      </c>
    </row>
    <row r="590" customFormat="1" s="69">
      <c r="B590" s="92" t="n"/>
      <c r="C590" s="93" t="n"/>
      <c r="D590" s="495">
        <f>IF(C590="","",C590/(C590+$E$1/60))</f>
        <v/>
      </c>
      <c r="E590" s="95">
        <f>IFERROR(ROUND(1440/C590*2*D590,0),"")</f>
        <v/>
      </c>
      <c r="F590" s="96" t="n"/>
      <c r="G590" s="97" t="n"/>
      <c r="H590" s="74" t="n"/>
      <c r="I590" s="75" t="inlineStr">
        <is>
          <t>ID445/50R22.5-20PR(161L)[AD755]ARISUN无内</t>
        </is>
      </c>
      <c r="J590" s="76" t="n">
        <v>1358.789005</v>
      </c>
      <c r="L590" s="77" t="n"/>
      <c r="M590" s="77" t="n">
        <v>0</v>
      </c>
    </row>
    <row r="591" customFormat="1" s="69">
      <c r="B591" s="92" t="n"/>
      <c r="C591" s="93" t="n"/>
      <c r="D591" s="495">
        <f>IF(C591="","",C591/(C591+$E$1/60))</f>
        <v/>
      </c>
      <c r="E591" s="95">
        <f>IFERROR(ROUND(1440/C591*2*D591,0),"")</f>
        <v/>
      </c>
      <c r="F591" s="96" t="n"/>
      <c r="G591" s="97" t="n"/>
      <c r="H591" s="74" t="n"/>
      <c r="I591" s="75" t="inlineStr">
        <is>
          <t>IDST235/80R16-10PR[STZC]124/120L 西湖无内</t>
        </is>
      </c>
      <c r="J591" s="76" t="n">
        <v>247.173591</v>
      </c>
      <c r="L591" s="77" t="n"/>
      <c r="M591" s="77" t="n">
        <v>0</v>
      </c>
    </row>
    <row r="592" customFormat="1" s="69">
      <c r="B592" s="92" t="n"/>
      <c r="C592" s="93" t="n"/>
      <c r="D592" s="495">
        <f>IF(C592="","",C592/(C592+$E$1/60))</f>
        <v/>
      </c>
      <c r="E592" s="95">
        <f>IFERROR(ROUND(1440/C592*2*D592,0),"")</f>
        <v/>
      </c>
      <c r="F592" s="96" t="n"/>
      <c r="G592" s="97" t="n"/>
      <c r="H592" s="74" t="n"/>
      <c r="I592" s="75" t="inlineStr">
        <is>
          <t>IDST235/85R16-12PR[ST100]128/124M HI-RUN无内</t>
        </is>
      </c>
      <c r="J592" s="76" t="n">
        <v>296.325113</v>
      </c>
      <c r="L592" s="77" t="n"/>
      <c r="M592" s="77" t="n">
        <v>0</v>
      </c>
    </row>
    <row r="593" customFormat="1" s="69">
      <c r="B593" s="92" t="n"/>
      <c r="C593" s="93" t="n"/>
      <c r="D593" s="495">
        <f>IF(C593="","",C593/(C593+$E$1/60))</f>
        <v/>
      </c>
      <c r="E593" s="95">
        <f>IFERROR(ROUND(1440/C593*2*D593,0),"")</f>
        <v/>
      </c>
      <c r="F593" s="96" t="n"/>
      <c r="G593" s="97" t="n"/>
      <c r="H593" s="74" t="n"/>
      <c r="I593" s="75" t="inlineStr">
        <is>
          <t>IDST215/75R14-6PR[STZC]102/98L 西湖无内</t>
        </is>
      </c>
      <c r="J593" s="76" t="n">
        <v>145.480356</v>
      </c>
      <c r="L593" s="77" t="n"/>
      <c r="M593" s="77" t="n">
        <v>0</v>
      </c>
    </row>
    <row r="594" customFormat="1" s="69">
      <c r="B594" s="92" t="n"/>
      <c r="C594" s="93" t="n"/>
      <c r="D594" s="495">
        <f>IF(C594="","",C594/(C594+$E$1/60))</f>
        <v/>
      </c>
      <c r="E594" s="95">
        <f>IFERROR(ROUND(1440/C594*2*D594,0),"")</f>
        <v/>
      </c>
      <c r="F594" s="96" t="n"/>
      <c r="G594" s="97" t="n"/>
      <c r="H594" s="74" t="n"/>
      <c r="I594" s="75" t="inlineStr">
        <is>
          <t>ID23.5-25-20PR[CL728]威狮</t>
        </is>
      </c>
      <c r="J594" s="76" t="n">
        <v>3273.201624</v>
      </c>
      <c r="L594" s="77" t="n"/>
      <c r="M594" s="77" t="n">
        <v>0</v>
      </c>
    </row>
    <row r="595" customFormat="1" s="69">
      <c r="B595" s="92" t="n"/>
      <c r="C595" s="93" t="n"/>
      <c r="D595" s="495">
        <f>IF(C595="","",C595/(C595+$E$1/60))</f>
        <v/>
      </c>
      <c r="E595" s="95">
        <f>IFERROR(ROUND(1440/C595*2*D595,0),"")</f>
        <v/>
      </c>
      <c r="F595" s="96" t="n"/>
      <c r="G595" s="97" t="n"/>
      <c r="H595" s="74" t="n"/>
      <c r="I595" s="75" t="inlineStr">
        <is>
          <t>IDST205/75R15-8PR[ST Radial]107/102M Tamarack无内 NR</t>
        </is>
      </c>
      <c r="J595" s="76" t="n">
        <v>149.355234</v>
      </c>
      <c r="L595" s="77" t="n"/>
      <c r="M595" s="77" t="n">
        <v>0</v>
      </c>
    </row>
    <row r="596" customFormat="1" s="69">
      <c r="B596" s="92" t="n"/>
      <c r="C596" s="93" t="n"/>
      <c r="D596" s="495">
        <f>IF(C596="","",C596/(C596+$E$1/60))</f>
        <v/>
      </c>
      <c r="E596" s="95">
        <f>IFERROR(ROUND(1440/C596*2*D596,0),"")</f>
        <v/>
      </c>
      <c r="F596" s="96" t="n"/>
      <c r="G596" s="97" t="n"/>
      <c r="H596" s="74" t="n"/>
      <c r="I596" s="75" t="inlineStr">
        <is>
          <t>ID12.00R24-20PR(160/156F)[ETOT]EFFIPLUS</t>
        </is>
      </c>
      <c r="J596" s="76" t="n">
        <v>1395.404353</v>
      </c>
      <c r="L596" s="77" t="n"/>
      <c r="M596" s="77" t="n">
        <v>0</v>
      </c>
    </row>
    <row r="597" customFormat="1" s="69">
      <c r="B597" s="92" t="n"/>
      <c r="C597" s="93" t="n"/>
      <c r="D597" s="495">
        <f>IF(C597="","",C597/(C597+$E$1/60))</f>
        <v/>
      </c>
      <c r="E597" s="95">
        <f>IFERROR(ROUND(1440/C597*2*D597,0),"")</f>
        <v/>
      </c>
      <c r="F597" s="96" t="n"/>
      <c r="G597" s="97" t="n"/>
      <c r="H597" s="74" t="n"/>
      <c r="I597" s="75" t="inlineStr">
        <is>
          <t>ID275/80R22.5-16PR(149/146M)[ECOLINE A-II]NEBULA无内</t>
        </is>
      </c>
      <c r="J597" s="76" t="n">
        <v>733.845987</v>
      </c>
      <c r="L597" s="77" t="n"/>
      <c r="M597" s="77" t="n">
        <v>0</v>
      </c>
    </row>
    <row r="598" customFormat="1" s="69">
      <c r="B598" s="92" t="n"/>
      <c r="C598" s="93" t="n"/>
      <c r="D598" s="495">
        <f>IF(C598="","",C598/(C598+$E$1/60))</f>
        <v/>
      </c>
      <c r="E598" s="95">
        <f>IFERROR(ROUND(1440/C598*2*D598,0),"")</f>
        <v/>
      </c>
      <c r="F598" s="96" t="n"/>
      <c r="G598" s="97" t="n"/>
      <c r="H598" s="74" t="n"/>
      <c r="I598" s="75" t="inlineStr">
        <is>
          <t>IDST235/80R16-10PR[ST100]124/120M ARISUN无内</t>
        </is>
      </c>
      <c r="J598" s="76" t="n">
        <v>247.173591</v>
      </c>
      <c r="L598" s="77" t="n"/>
      <c r="M598" s="77" t="n">
        <v>0</v>
      </c>
    </row>
    <row r="599" customFormat="1" s="69">
      <c r="B599" s="92" t="n"/>
      <c r="C599" s="93" t="n"/>
      <c r="D599" s="495">
        <f>IF(C599="","",C599/(C599+$E$1/60))</f>
        <v/>
      </c>
      <c r="E599" s="95">
        <f>IFERROR(ROUND(1440/C599*2*D599,0),"")</f>
        <v/>
      </c>
      <c r="F599" s="96" t="n"/>
      <c r="G599" s="97" t="n"/>
      <c r="H599" s="74" t="n"/>
      <c r="I599" s="75" t="inlineStr">
        <is>
          <t>IDST215/75R14-8PR[ST-100A]108/103M 西湖无内</t>
        </is>
      </c>
      <c r="J599" s="76" t="n">
        <v>155.264298</v>
      </c>
      <c r="L599" s="77" t="n"/>
      <c r="M599" s="77" t="n">
        <v>0</v>
      </c>
    </row>
    <row r="600" customFormat="1" s="69">
      <c r="B600" s="92" t="n"/>
      <c r="C600" s="93" t="n"/>
      <c r="D600" s="495">
        <f>IF(C600="","",C600/(C600+$E$1/60))</f>
        <v/>
      </c>
      <c r="E600" s="95">
        <f>IFERROR(ROUND(1440/C600*2*D600,0),"")</f>
        <v/>
      </c>
      <c r="F600" s="96" t="n"/>
      <c r="G600" s="97" t="n"/>
      <c r="H600" s="74" t="n"/>
      <c r="I600" s="75" t="inlineStr">
        <is>
          <t>ID11.00R20-18PR(152/149L)[FOLO.R109]EFFIPLUS</t>
        </is>
      </c>
      <c r="J600" s="76" t="n">
        <v>1028.221999</v>
      </c>
      <c r="L600" s="77" t="n"/>
      <c r="M600" s="77" t="n">
        <v>0</v>
      </c>
    </row>
    <row r="601" customFormat="1" s="69">
      <c r="B601" s="92" t="n"/>
      <c r="C601" s="93" t="n"/>
      <c r="D601" s="495">
        <f>IF(C601="","",C601/(C601+$E$1/60))</f>
        <v/>
      </c>
      <c r="E601" s="95">
        <f>IFERROR(ROUND(1440/C601*2*D601,0),"")</f>
        <v/>
      </c>
      <c r="F601" s="96" t="n"/>
      <c r="G601" s="97" t="n"/>
      <c r="H601" s="74" t="n"/>
      <c r="I601" s="75" t="inlineStr">
        <is>
          <t>ID10.00R20-18PR(149/146F)[MT100]UNITED</t>
        </is>
      </c>
      <c r="J601" s="76" t="n">
        <v>955.076269</v>
      </c>
      <c r="L601" s="77" t="n"/>
      <c r="M601" s="77" t="n">
        <v>0</v>
      </c>
    </row>
    <row r="602" customFormat="1" s="69">
      <c r="B602" s="92" t="n"/>
      <c r="C602" s="93" t="n"/>
      <c r="D602" s="495">
        <f>IF(C602="","",C602/(C602+$E$1/60))</f>
        <v/>
      </c>
      <c r="E602" s="95">
        <f>IFERROR(ROUND(1440/C602*2*D602,0),"")</f>
        <v/>
      </c>
      <c r="F602" s="96" t="n"/>
      <c r="G602" s="97" t="n"/>
      <c r="H602" s="74" t="n"/>
      <c r="I602" s="75" t="inlineStr">
        <is>
          <t>ID315/80R22.5-20PR(157/154K)[WSR1]威狮无内</t>
        </is>
      </c>
      <c r="J602" s="76" t="n">
        <v>994.451941</v>
      </c>
      <c r="L602" s="77" t="n"/>
      <c r="M602" s="77" t="n">
        <v>0</v>
      </c>
    </row>
    <row r="603" customFormat="1" s="69">
      <c r="B603" s="92" t="n"/>
      <c r="C603" s="93" t="n"/>
      <c r="D603" s="495">
        <f>IF(C603="","",C603/(C603+$E$1/60))</f>
        <v/>
      </c>
      <c r="E603" s="95">
        <f>IFERROR(ROUND(1440/C603*2*D603,0),"")</f>
        <v/>
      </c>
      <c r="F603" s="96" t="n"/>
      <c r="G603" s="97" t="n"/>
      <c r="H603" s="74" t="n"/>
      <c r="I603" s="75" t="inlineStr">
        <is>
          <t>ID225/70R19.5-14PR(128/126N)[DR-7318]VANTAGE无内</t>
        </is>
      </c>
      <c r="J603" s="76" t="n">
        <v>469.661346</v>
      </c>
      <c r="L603" s="77" t="n"/>
      <c r="M603" s="77" t="n">
        <v>0</v>
      </c>
    </row>
    <row r="604" customFormat="1" s="69">
      <c r="B604" s="92" t="n"/>
      <c r="C604" s="93" t="n"/>
      <c r="D604" s="495">
        <f>IF(C604="","",C604/(C604+$E$1/60))</f>
        <v/>
      </c>
      <c r="E604" s="95">
        <f>IFERROR(ROUND(1440/C604*2*D604,0),"")</f>
        <v/>
      </c>
      <c r="F604" s="96" t="n"/>
      <c r="G604" s="97" t="n"/>
      <c r="H604" s="74" t="n"/>
      <c r="I604" s="75" t="inlineStr">
        <is>
          <t>IDST205/75R14-8PR[ST100]105/101M ARISUN无内</t>
        </is>
      </c>
      <c r="J604" s="76" t="n">
        <v>155.281434</v>
      </c>
      <c r="L604" s="77" t="n"/>
      <c r="M604" s="77" t="n">
        <v>0</v>
      </c>
    </row>
    <row r="605" customFormat="1" s="69">
      <c r="B605" s="92" t="n"/>
      <c r="C605" s="93" t="n"/>
      <c r="D605" s="495">
        <f>IF(C605="","",C605/(C605+$E$1/60))</f>
        <v/>
      </c>
      <c r="E605" s="95">
        <f>IFERROR(ROUND(1440/C605*2*D605,0),"")</f>
        <v/>
      </c>
      <c r="F605" s="96" t="n"/>
      <c r="G605" s="97" t="n"/>
      <c r="H605" s="74" t="n"/>
      <c r="I605" s="75" t="inlineStr">
        <is>
          <t>IDST215/75R14-8PR[ST100]108/103M 西湖无内</t>
        </is>
      </c>
      <c r="J605" s="76" t="n">
        <v>162.692992</v>
      </c>
      <c r="L605" s="77" t="n"/>
      <c r="M605" s="77" t="n">
        <v>0</v>
      </c>
    </row>
    <row r="606" customFormat="1" s="69">
      <c r="B606" s="92" t="n"/>
      <c r="C606" s="93" t="n"/>
      <c r="D606" s="495">
        <f>IF(C606="","",C606/(C606+$E$1/60))</f>
        <v/>
      </c>
      <c r="E606" s="95">
        <f>IFERROR(ROUND(1440/C606*2*D606,0),"")</f>
        <v/>
      </c>
      <c r="F606" s="96" t="n"/>
      <c r="G606" s="97" t="n"/>
      <c r="H606" s="74" t="n"/>
      <c r="I606" s="75" t="inlineStr">
        <is>
          <t>ID11R22.5-16PR(146/143M)[HT1 PlusX]SUPERMAX ECO无内</t>
        </is>
      </c>
      <c r="J606" s="76" t="n">
        <v>688.953356</v>
      </c>
      <c r="L606" s="77" t="n"/>
      <c r="M606" s="77" t="n">
        <v>0</v>
      </c>
    </row>
    <row r="607" customFormat="1" s="69">
      <c r="B607" s="92" t="n"/>
      <c r="C607" s="93" t="n"/>
      <c r="D607" s="495">
        <f>IF(C607="","",C607/(C607+$E$1/60))</f>
        <v/>
      </c>
      <c r="E607" s="95">
        <f>IFERROR(ROUND(1440/C607*2*D607,0),"")</f>
        <v/>
      </c>
      <c r="F607" s="96" t="n"/>
      <c r="G607" s="97" t="n"/>
      <c r="H607" s="74" t="n"/>
      <c r="I607" s="75" t="inlineStr">
        <is>
          <t>ID12.00R24-20PR(160/157C)[MT100]UNITED</t>
        </is>
      </c>
      <c r="J607" s="76" t="n">
        <v>1178.646567</v>
      </c>
      <c r="L607" s="77" t="n"/>
      <c r="M607" s="77" t="n">
        <v>0</v>
      </c>
    </row>
    <row r="608" customFormat="1" s="69">
      <c r="B608" s="92" t="n"/>
      <c r="C608" s="93" t="n"/>
      <c r="D608" s="495">
        <f>IF(C608="","",C608/(C608+$E$1/60))</f>
        <v/>
      </c>
      <c r="E608" s="95">
        <f>IFERROR(ROUND(1440/C608*2*D608,0),"")</f>
        <v/>
      </c>
      <c r="F608" s="96" t="n"/>
      <c r="G608" s="97" t="n"/>
      <c r="H608" s="74" t="n"/>
      <c r="I608" s="75" t="inlineStr">
        <is>
          <t>IDST225/75R15-10PR[STZC]117/112L 西湖无内</t>
        </is>
      </c>
      <c r="J608" s="76" t="n">
        <v>200.211193</v>
      </c>
      <c r="L608" s="77" t="n"/>
      <c r="M608" s="77" t="n">
        <v>0</v>
      </c>
    </row>
    <row r="609" customFormat="1" s="69">
      <c r="B609" s="92" t="n"/>
      <c r="C609" s="93" t="n"/>
      <c r="D609" s="495">
        <f>IF(C609="","",C609/(C609+$E$1/60))</f>
        <v/>
      </c>
      <c r="E609" s="95">
        <f>IFERROR(ROUND(1440/C609*2*D609,0),"")</f>
        <v/>
      </c>
      <c r="F609" s="96" t="n"/>
      <c r="G609" s="97" t="n"/>
      <c r="H609" s="74" t="n"/>
      <c r="I609" s="75" t="inlineStr">
        <is>
          <t>ID7.50-15-12PR[R8037]119/115J 金冠</t>
        </is>
      </c>
      <c r="J609" s="76" t="n">
        <v>317.413817</v>
      </c>
      <c r="L609" s="77" t="n"/>
      <c r="M609" s="77" t="n">
        <v>0</v>
      </c>
    </row>
    <row r="610" customFormat="1" s="69">
      <c r="B610" s="92" t="n"/>
      <c r="C610" s="93" t="n"/>
      <c r="D610" s="495">
        <f>IF(C610="","",C610/(C610+$E$1/60))</f>
        <v/>
      </c>
      <c r="E610" s="95">
        <f>IFERROR(ROUND(1440/C610*2*D610,0),"")</f>
        <v/>
      </c>
      <c r="F610" s="96" t="n"/>
      <c r="G610" s="97" t="n"/>
      <c r="H610" s="74" t="n"/>
      <c r="I610" s="75" t="inlineStr">
        <is>
          <t>ID245/70R19.5-14PR(133/131L)[Strong Guard H-RA]HERCULES无内</t>
        </is>
      </c>
      <c r="J610" s="76" t="n">
        <v>500.913483</v>
      </c>
      <c r="L610" s="77" t="n"/>
      <c r="M610" s="77" t="n">
        <v>0</v>
      </c>
    </row>
    <row r="611" customFormat="1" s="69">
      <c r="B611" s="92" t="n"/>
      <c r="C611" s="93" t="n"/>
      <c r="D611" s="495">
        <f>IF(C611="","",C611/(C611+$E$1/60))</f>
        <v/>
      </c>
      <c r="E611" s="95">
        <f>IFERROR(ROUND(1440/C611*2*D611,0),"")</f>
        <v/>
      </c>
      <c r="F611" s="96" t="n"/>
      <c r="G611" s="97" t="n"/>
      <c r="H611" s="74" t="n"/>
      <c r="I611" s="75" t="inlineStr">
        <is>
          <t>ID11R22.5-16PR(146/143M)[HF1 PlusX]SUPERMAX ECO无内</t>
        </is>
      </c>
      <c r="J611" s="76" t="n">
        <v>707.124656</v>
      </c>
      <c r="L611" s="77" t="n"/>
      <c r="M611" s="77" t="n">
        <v>0</v>
      </c>
    </row>
    <row r="612" customFormat="1" s="69">
      <c r="B612" s="92" t="n"/>
      <c r="C612" s="93" t="n"/>
      <c r="D612" s="495">
        <f>IF(C612="","",C612/(C612+$E$1/60))</f>
        <v/>
      </c>
      <c r="E612" s="95">
        <f>IFERROR(ROUND(1440/C612*2*D612,0),"")</f>
        <v/>
      </c>
      <c r="F612" s="96" t="n"/>
      <c r="G612" s="97" t="n"/>
      <c r="H612" s="74" t="n"/>
      <c r="I612" s="75" t="inlineStr">
        <is>
          <t>ID385/65R22.5-20PR(160K)[WSR1]威狮无内</t>
        </is>
      </c>
      <c r="J612" s="76" t="n">
        <v>1062.57837</v>
      </c>
      <c r="L612" s="77" t="n"/>
      <c r="M612" s="77" t="n">
        <v>0</v>
      </c>
    </row>
    <row r="613" customFormat="1" s="69">
      <c r="B613" s="92" t="n"/>
      <c r="C613" s="93" t="n"/>
      <c r="D613" s="495">
        <f>IF(C613="","",C613/(C613+$E$1/60))</f>
        <v/>
      </c>
      <c r="E613" s="95">
        <f>IFERROR(ROUND(1440/C613*2*D613,0),"")</f>
        <v/>
      </c>
      <c r="F613" s="96" t="n"/>
      <c r="G613" s="97" t="n"/>
      <c r="H613" s="74" t="n"/>
      <c r="I613" s="75" t="inlineStr">
        <is>
          <t>ID445/50R22.5-20PR(161L)[VA905]VITOUR无内</t>
        </is>
      </c>
      <c r="J613" s="76" t="n">
        <v>1140.466964</v>
      </c>
      <c r="L613" s="77" t="n"/>
      <c r="M613" s="77" t="n">
        <v>0</v>
      </c>
    </row>
    <row r="614" customFormat="1" s="69">
      <c r="B614" s="92" t="n"/>
      <c r="C614" s="93" t="n"/>
      <c r="D614" s="495">
        <f>IF(C614="","",C614/(C614+$E$1/60))</f>
        <v/>
      </c>
      <c r="E614" s="95">
        <f>IFERROR(ROUND(1440/C614*2*D614,0),"")</f>
        <v/>
      </c>
      <c r="F614" s="96" t="n"/>
      <c r="G614" s="97" t="n"/>
      <c r="H614" s="74" t="n"/>
      <c r="I614" s="75" t="inlineStr">
        <is>
          <t>IDST175/80R13-6PR[ST-100A]91/87M 西湖无内</t>
        </is>
      </c>
      <c r="J614" s="76" t="n">
        <v>105.462084</v>
      </c>
      <c r="L614" s="77" t="n"/>
      <c r="M614" s="77" t="n">
        <v>0</v>
      </c>
    </row>
    <row r="615" customFormat="1" s="69">
      <c r="B615" s="92" t="n"/>
      <c r="C615" s="93" t="n"/>
      <c r="D615" s="495">
        <f>IF(C615="","",C615/(C615+$E$1/60))</f>
        <v/>
      </c>
      <c r="E615" s="95">
        <f>IFERROR(ROUND(1440/C615*2*D615,0),"")</f>
        <v/>
      </c>
      <c r="F615" s="96" t="n"/>
      <c r="G615" s="97" t="n"/>
      <c r="H615" s="74" t="n"/>
      <c r="I615" s="75" t="inlineStr">
        <is>
          <t>IDST175/80R13-6PR[STZC]91/87L 西湖无内</t>
        </is>
      </c>
      <c r="J615" s="76" t="n">
        <v>115.579345</v>
      </c>
      <c r="L615" s="77" t="n"/>
      <c r="M615" s="77" t="n">
        <v>0</v>
      </c>
    </row>
    <row r="616" customFormat="1" s="69">
      <c r="B616" s="92" t="n"/>
      <c r="C616" s="93" t="n"/>
      <c r="D616" s="495">
        <f>IF(C616="","",C616/(C616+$E$1/60))</f>
        <v/>
      </c>
      <c r="E616" s="95">
        <f>IFERROR(ROUND(1440/C616*2*D616,0),"")</f>
        <v/>
      </c>
      <c r="F616" s="96" t="n"/>
      <c r="G616" s="97" t="n"/>
      <c r="H616" s="74" t="n"/>
      <c r="I616" s="75" t="inlineStr">
        <is>
          <t>ID17.5-25-16PR[CL729]威狮无内</t>
        </is>
      </c>
      <c r="J616" s="76" t="n">
        <v>1873.143895</v>
      </c>
      <c r="L616" s="77" t="n"/>
      <c r="M616" s="77" t="n">
        <v>0</v>
      </c>
    </row>
    <row r="617" customFormat="1" s="69">
      <c r="B617" s="92" t="n"/>
      <c r="C617" s="93" t="n"/>
      <c r="D617" s="495">
        <f>IF(C617="","",C617/(C617+$E$1/60))</f>
        <v/>
      </c>
      <c r="E617" s="95">
        <f>IFERROR(ROUND(1440/C617*2*D617,0),"")</f>
        <v/>
      </c>
      <c r="F617" s="96" t="n"/>
      <c r="G617" s="97" t="n"/>
      <c r="H617" s="74" t="n"/>
      <c r="I617" s="75" t="inlineStr">
        <is>
          <t>ID315/80R22.5-20PR(161/157L)[Strong Guard H-RD]HERCULES无内</t>
        </is>
      </c>
      <c r="J617" s="76" t="n">
        <v>893.8558860000001</v>
      </c>
      <c r="L617" s="77" t="n"/>
      <c r="M617" s="77" t="n">
        <v>0</v>
      </c>
    </row>
    <row r="618" customFormat="1" s="69">
      <c r="B618" s="92" t="n"/>
      <c r="C618" s="93" t="n"/>
      <c r="D618" s="495">
        <f>IF(C618="","",C618/(C618+$E$1/60))</f>
        <v/>
      </c>
      <c r="E618" s="95">
        <f>IFERROR(ROUND(1440/C618*2*D618,0),"")</f>
        <v/>
      </c>
      <c r="F618" s="96" t="n"/>
      <c r="G618" s="97" t="n"/>
      <c r="H618" s="74" t="n"/>
      <c r="I618" s="75" t="inlineStr">
        <is>
          <t>ID295/75R22.5-14PR(144/141M)[I-19A]C级IRONMAN无内</t>
        </is>
      </c>
      <c r="J618" s="76" t="n">
        <v>743.481893</v>
      </c>
      <c r="L618" s="77" t="n"/>
      <c r="M618" s="77" t="n">
        <v>0</v>
      </c>
    </row>
    <row r="619" customFormat="1" s="69">
      <c r="B619" s="92" t="n"/>
      <c r="C619" s="93" t="n"/>
      <c r="D619" s="495">
        <f>IF(C619="","",C619/(C619+$E$1/60))</f>
        <v/>
      </c>
      <c r="E619" s="95">
        <f>IFERROR(ROUND(1440/C619*2*D619,0),"")</f>
        <v/>
      </c>
      <c r="F619" s="96" t="n"/>
      <c r="G619" s="97" t="n"/>
      <c r="H619" s="74" t="n"/>
      <c r="I619" s="75" t="inlineStr">
        <is>
          <t>ID275/80R22.5-16PR(149/146M)[ECOTRAX D-II]NEBULA无内</t>
        </is>
      </c>
      <c r="J619" s="76" t="n">
        <v>785.117613</v>
      </c>
      <c r="L619" s="77" t="n"/>
      <c r="M619" s="77" t="n">
        <v>0</v>
      </c>
    </row>
    <row r="620" customFormat="1" s="69">
      <c r="B620" s="92" t="n"/>
      <c r="C620" s="93" t="n"/>
      <c r="D620" s="495">
        <f>IF(C620="","",C620/(C620+$E$1/60))</f>
        <v/>
      </c>
      <c r="E620" s="95">
        <f>IFERROR(ROUND(1440/C620*2*D620,0),"")</f>
        <v/>
      </c>
      <c r="F620" s="96" t="n"/>
      <c r="G620" s="97" t="n"/>
      <c r="H620" s="74" t="n"/>
      <c r="I620" s="75" t="inlineStr">
        <is>
          <t>ID425/65R22.5-20PR(165K)[Strong Guard H-MW]HERCULES无内</t>
        </is>
      </c>
      <c r="J620" s="76" t="n">
        <v>1376.124211</v>
      </c>
      <c r="L620" s="77" t="n"/>
      <c r="M620" s="77" t="n">
        <v>0</v>
      </c>
    </row>
    <row r="621" customFormat="1" s="69">
      <c r="B621" s="92" t="n"/>
      <c r="C621" s="93" t="n"/>
      <c r="D621" s="495">
        <f>IF(C621="","",C621/(C621+$E$1/60))</f>
        <v/>
      </c>
      <c r="E621" s="95">
        <f>IFERROR(ROUND(1440/C621*2*D621,0),"")</f>
        <v/>
      </c>
      <c r="F621" s="96" t="n"/>
      <c r="G621" s="97" t="n"/>
      <c r="H621" s="74" t="n"/>
      <c r="I621" s="75" t="inlineStr">
        <is>
          <t>ID325/95R24-22PR(162/160K)[AZ828]GOODRIDE(好运)无内</t>
        </is>
      </c>
      <c r="J621" s="76" t="n">
        <v>1230.37313</v>
      </c>
      <c r="L621" s="77" t="n"/>
      <c r="M621" s="77" t="n">
        <v>0</v>
      </c>
    </row>
    <row r="622" customFormat="1" s="69">
      <c r="B622" s="92" t="n"/>
      <c r="C622" s="93" t="n"/>
      <c r="D622" s="495">
        <f>IF(C622="","",C622/(C622+$E$1/60))</f>
        <v/>
      </c>
      <c r="E622" s="95">
        <f>IFERROR(ROUND(1440/C622*2*D622,0),"")</f>
        <v/>
      </c>
      <c r="F622" s="96" t="n"/>
      <c r="G622" s="97" t="n"/>
      <c r="H622" s="74" t="n"/>
      <c r="I622" s="75" t="inlineStr">
        <is>
          <t>IDST235/80R16-10PR[Tow pro st]124/120M SUPERMAX无内</t>
        </is>
      </c>
      <c r="J622" s="76" t="n">
        <v>223.097392</v>
      </c>
      <c r="L622" s="77" t="n"/>
      <c r="M622" s="77" t="n">
        <v>0</v>
      </c>
    </row>
    <row r="623" customFormat="1" s="69">
      <c r="B623" s="92" t="n"/>
      <c r="C623" s="93" t="n"/>
      <c r="D623" s="495">
        <f>IF(C623="","",C623/(C623+$E$1/60))</f>
        <v/>
      </c>
      <c r="E623" s="95">
        <f>IFERROR(ROUND(1440/C623*2*D623,0),"")</f>
        <v/>
      </c>
      <c r="F623" s="96" t="n"/>
      <c r="G623" s="97" t="n"/>
      <c r="H623" s="74" t="n"/>
      <c r="I623" s="75" t="inlineStr">
        <is>
          <t>IDST225/75R15-10PR[ST226]117/112L GOODRIDE(好运)无内 NR</t>
        </is>
      </c>
      <c r="J623" s="76" t="n">
        <v>180.147198</v>
      </c>
      <c r="L623" s="77" t="n"/>
      <c r="M623" s="77" t="n">
        <v>0</v>
      </c>
    </row>
    <row r="624" customFormat="1" s="69">
      <c r="B624" s="92" t="n"/>
      <c r="C624" s="93" t="n"/>
      <c r="D624" s="495">
        <f>IF(C624="","",C624/(C624+$E$1/60))</f>
        <v/>
      </c>
      <c r="E624" s="95">
        <f>IFERROR(ROUND(1440/C624*2*D624,0),"")</f>
        <v/>
      </c>
      <c r="F624" s="96" t="n"/>
      <c r="G624" s="97" t="n"/>
      <c r="H624" s="74" t="n"/>
      <c r="I624" s="75" t="inlineStr">
        <is>
          <t>ID17.5L-24-10PR[BHL-100]ACES无内</t>
        </is>
      </c>
      <c r="J624" s="76" t="n">
        <v>1282.64269</v>
      </c>
      <c r="L624" s="77" t="n"/>
      <c r="M624" s="77" t="n">
        <v>0</v>
      </c>
    </row>
    <row r="625" customFormat="1" s="69">
      <c r="B625" s="92" t="n"/>
      <c r="C625" s="93" t="n"/>
      <c r="D625" s="495">
        <f>IF(C625="","",C625/(C625+$E$1/60))</f>
        <v/>
      </c>
      <c r="E625" s="95">
        <f>IFERROR(ROUND(1440/C625*2*D625,0),"")</f>
        <v/>
      </c>
      <c r="F625" s="96" t="n"/>
      <c r="G625" s="97" t="n"/>
      <c r="H625" s="74" t="n"/>
      <c r="I625" s="75" t="inlineStr">
        <is>
          <t>ID(D105006)100/80-14-4P[H-999-A]48P GOLDEN CROWN 纳米高抓 TL</t>
        </is>
      </c>
      <c r="J625" s="76" t="n">
        <v>52.404506</v>
      </c>
      <c r="L625" s="77" t="n"/>
      <c r="M625" s="77" t="n">
        <v>0</v>
      </c>
    </row>
    <row r="626" customFormat="1" s="69">
      <c r="B626" s="92" t="n"/>
      <c r="C626" s="93" t="n"/>
      <c r="D626" s="495">
        <f>IF(C626="","",C626/(C626+$E$1/60))</f>
        <v/>
      </c>
      <c r="E626" s="95">
        <f>IFERROR(ROUND(1440/C626*2*D626,0),"")</f>
        <v/>
      </c>
      <c r="F626" s="96" t="n"/>
      <c r="G626" s="97" t="n"/>
      <c r="H626" s="74" t="n"/>
      <c r="I626" s="75" t="inlineStr">
        <is>
          <t>ID285/75R24.5-14PR(144/141L)[DA23]威狮无内</t>
        </is>
      </c>
      <c r="J626" s="76" t="n">
        <v>893.341687</v>
      </c>
      <c r="L626" s="77" t="n"/>
      <c r="M626" s="77" t="n">
        <v>0</v>
      </c>
    </row>
    <row r="627" customFormat="1" s="69">
      <c r="B627" s="92" t="n"/>
      <c r="C627" s="93" t="n"/>
      <c r="D627" s="495">
        <f>IF(C627="","",C627/(C627+$E$1/60))</f>
        <v/>
      </c>
      <c r="E627" s="95">
        <f>IFERROR(ROUND(1440/C627*2*D627,0),"")</f>
        <v/>
      </c>
      <c r="F627" s="96" t="n"/>
      <c r="G627" s="97" t="n"/>
      <c r="H627" s="74" t="n"/>
      <c r="I627" s="75" t="inlineStr">
        <is>
          <t>ID255/70R22.5-16PR(140/137L)[DA23]威狮无内</t>
        </is>
      </c>
      <c r="J627" s="76" t="n">
        <v>647.845996</v>
      </c>
      <c r="L627" s="77" t="n"/>
      <c r="M627" s="77" t="n">
        <v>0</v>
      </c>
    </row>
    <row r="628" customFormat="1" s="69">
      <c r="B628" s="92" t="n"/>
      <c r="C628" s="93" t="n"/>
      <c r="D628" s="495">
        <f>IF(C628="","",C628/(C628+$E$1/60))</f>
        <v/>
      </c>
      <c r="E628" s="95">
        <f>IFERROR(ROUND(1440/C628*2*D628,0),"")</f>
        <v/>
      </c>
      <c r="F628" s="96" t="n"/>
      <c r="G628" s="97" t="n"/>
      <c r="H628" s="74" t="n"/>
      <c r="I628" s="75" t="inlineStr">
        <is>
          <t>IDST235/80R16-10PR[ST-100A]124/120N ARISUN无内</t>
        </is>
      </c>
      <c r="J628" s="76" t="n">
        <v>225.748236</v>
      </c>
      <c r="L628" s="77" t="n"/>
      <c r="M628" s="77" t="n">
        <v>0</v>
      </c>
    </row>
    <row r="629" customFormat="1" s="69">
      <c r="B629" s="92" t="n"/>
      <c r="C629" s="93" t="n"/>
      <c r="D629" s="495">
        <f>IF(C629="","",C629/(C629+$E$1/60))</f>
        <v/>
      </c>
      <c r="E629" s="95">
        <f>IFERROR(ROUND(1440/C629*2*D629,0),"")</f>
        <v/>
      </c>
      <c r="F629" s="96" t="n"/>
      <c r="G629" s="97" t="n"/>
      <c r="H629" s="74" t="n"/>
      <c r="I629" s="75" t="inlineStr">
        <is>
          <t>IDST235/80R16-10PR[ST-100A]124/120N 西湖无内</t>
        </is>
      </c>
      <c r="J629" s="76" t="n">
        <v>225.748236</v>
      </c>
      <c r="L629" s="77" t="n"/>
      <c r="M629" s="77" t="n">
        <v>0</v>
      </c>
    </row>
    <row r="630" customFormat="1" s="69">
      <c r="B630" s="92" t="n"/>
      <c r="C630" s="93" t="n"/>
      <c r="D630" s="495">
        <f>IF(C630="","",C630/(C630+$E$1/60))</f>
        <v/>
      </c>
      <c r="E630" s="95">
        <f>IFERROR(ROUND(1440/C630*2*D630,0),"")</f>
        <v/>
      </c>
      <c r="F630" s="96" t="n"/>
      <c r="G630" s="97" t="n"/>
      <c r="H630" s="74" t="n"/>
      <c r="I630" s="75" t="inlineStr">
        <is>
          <t>ID12.00R20-22PR(158/155F)[CB972]朝阳 东南亚</t>
        </is>
      </c>
      <c r="J630" s="76" t="n">
        <v>1163.392909</v>
      </c>
      <c r="L630" s="77" t="n"/>
      <c r="M630" s="77" t="n">
        <v>0</v>
      </c>
    </row>
    <row r="631" customFormat="1" s="69">
      <c r="B631" s="92" t="n"/>
      <c r="C631" s="93" t="n"/>
      <c r="D631" s="495">
        <f>IF(C631="","",C631/(C631+$E$1/60))</f>
        <v/>
      </c>
      <c r="E631" s="95">
        <f>IFERROR(ROUND(1440/C631*2*D631,0),"")</f>
        <v/>
      </c>
      <c r="F631" s="96" t="n"/>
      <c r="G631" s="97" t="n"/>
      <c r="H631" s="74" t="n"/>
      <c r="I631" s="75" t="inlineStr">
        <is>
          <t>IDST175/80R13-6PR[ST226]91/87L 西湖无内 NR</t>
        </is>
      </c>
      <c r="J631" s="76" t="n">
        <v>110.135809</v>
      </c>
      <c r="L631" s="77" t="n"/>
      <c r="M631" s="77" t="n">
        <v>0</v>
      </c>
    </row>
    <row r="632" customFormat="1" s="69">
      <c r="B632" s="92" t="n"/>
      <c r="C632" s="93" t="n"/>
      <c r="D632" s="495">
        <f>IF(C632="","",C632/(C632+$E$1/60))</f>
        <v/>
      </c>
      <c r="E632" s="95">
        <f>IFERROR(ROUND(1440/C632*2*D632,0),"")</f>
        <v/>
      </c>
      <c r="F632" s="96" t="n"/>
      <c r="G632" s="97" t="n"/>
      <c r="H632" s="74" t="n"/>
      <c r="I632" s="75" t="inlineStr">
        <is>
          <t>ID10.00R20-18PR(149/146J)[CM998]威狮</t>
        </is>
      </c>
      <c r="J632" s="76" t="n">
        <v>938.7776720000001</v>
      </c>
      <c r="L632" s="77" t="n"/>
      <c r="M632" s="77" t="n">
        <v>0</v>
      </c>
    </row>
    <row r="633" customFormat="1" s="69">
      <c r="B633" s="92" t="n"/>
      <c r="C633" s="93" t="n"/>
      <c r="D633" s="495">
        <f>IF(C633="","",C633/(C633+$E$1/60))</f>
        <v/>
      </c>
      <c r="E633" s="95">
        <f>IFERROR(ROUND(1440/C633*2*D633,0),"")</f>
        <v/>
      </c>
      <c r="F633" s="96" t="n"/>
      <c r="G633" s="97" t="n"/>
      <c r="H633" s="74" t="n"/>
      <c r="I633" s="75" t="inlineStr">
        <is>
          <t>ID315/80R22.5-20PR(157/154K)[CM913A]威狮无内</t>
        </is>
      </c>
      <c r="J633" s="76" t="n">
        <v>982.58538</v>
      </c>
      <c r="L633" s="77" t="n"/>
      <c r="M633" s="77" t="n">
        <v>0</v>
      </c>
    </row>
    <row r="634" customFormat="1" s="69">
      <c r="B634" s="92" t="n"/>
      <c r="C634" s="93" t="n"/>
      <c r="D634" s="495">
        <f>IF(C634="","",C634/(C634+$E$1/60))</f>
        <v/>
      </c>
      <c r="E634" s="95">
        <f>IFERROR(ROUND(1440/C634*2*D634,0),"")</f>
        <v/>
      </c>
      <c r="F634" s="96" t="n"/>
      <c r="G634" s="97" t="n"/>
      <c r="H634" s="74" t="n"/>
      <c r="I634" s="75" t="inlineStr">
        <is>
          <t>ID295/80R22.5-18PR(152/149M)[G-PRO D]C级GRIPMASTER无内</t>
        </is>
      </c>
      <c r="J634" s="76" t="n">
        <v>951.973463</v>
      </c>
      <c r="L634" s="77" t="n"/>
      <c r="M634" s="77" t="n">
        <v>0</v>
      </c>
    </row>
    <row r="635" customFormat="1" s="69">
      <c r="B635" s="92" t="n"/>
      <c r="C635" s="93" t="n"/>
      <c r="D635" s="495">
        <f>IF(C635="","",C635/(C635+$E$1/60))</f>
        <v/>
      </c>
      <c r="E635" s="95">
        <f>IFERROR(ROUND(1440/C635*2*D635,0),"")</f>
        <v/>
      </c>
      <c r="F635" s="96" t="n"/>
      <c r="G635" s="97" t="n"/>
      <c r="H635" s="74" t="n"/>
      <c r="I635" s="75" t="inlineStr">
        <is>
          <t>ID445/65R22.5-20PR(169K)[AZ577]威狮无内</t>
        </is>
      </c>
      <c r="J635" s="76" t="n">
        <v>1336.754251</v>
      </c>
      <c r="L635" s="77" t="n"/>
      <c r="M635" s="77" t="n">
        <v>0</v>
      </c>
    </row>
    <row r="636" customFormat="1" s="69">
      <c r="B636" s="92" t="n"/>
      <c r="C636" s="93" t="n"/>
      <c r="D636" s="495">
        <f>IF(C636="","",C636/(C636+$E$1/60))</f>
        <v/>
      </c>
      <c r="E636" s="95">
        <f>IFERROR(ROUND(1440/C636*2*D636,0),"")</f>
        <v/>
      </c>
      <c r="F636" s="96" t="n"/>
      <c r="G636" s="97" t="n"/>
      <c r="H636" s="74" t="n"/>
      <c r="I636" s="75" t="inlineStr">
        <is>
          <t>IDST205/75R14-8PR[Tow pro st]105/101M SUPERMAX无内</t>
        </is>
      </c>
      <c r="J636" s="76" t="n">
        <v>141.191953</v>
      </c>
      <c r="L636" s="77" t="n"/>
      <c r="M636" s="77" t="n">
        <v>0</v>
      </c>
    </row>
    <row r="637" customFormat="1" s="69">
      <c r="B637" s="92" t="n"/>
      <c r="C637" s="93" t="n"/>
      <c r="D637" s="495">
        <f>IF(C637="","",C637/(C637+$E$1/60))</f>
        <v/>
      </c>
      <c r="E637" s="95">
        <f>IFERROR(ROUND(1440/C637*2*D637,0),"")</f>
        <v/>
      </c>
      <c r="F637" s="96" t="n"/>
      <c r="G637" s="97" t="n"/>
      <c r="H637" s="74" t="n"/>
      <c r="I637" s="75" t="inlineStr">
        <is>
          <t>IDST205/75R14-8PR[ASSURE ST]105/101N XCELLENT无内</t>
        </is>
      </c>
      <c r="J637" s="76" t="n">
        <v>142.967076</v>
      </c>
      <c r="L637" s="77" t="n"/>
      <c r="M637" s="77" t="n">
        <v>0</v>
      </c>
    </row>
    <row r="638" customFormat="1" s="69">
      <c r="B638" s="92" t="n"/>
      <c r="C638" s="93" t="n"/>
      <c r="D638" s="495">
        <f>IF(C638="","",C638/(C638+$E$1/60))</f>
        <v/>
      </c>
      <c r="E638" s="95">
        <f>IFERROR(ROUND(1440/C638*2*D638,0),"")</f>
        <v/>
      </c>
      <c r="F638" s="96" t="n"/>
      <c r="G638" s="97" t="n"/>
      <c r="H638" s="74" t="n"/>
      <c r="I638" s="75" t="inlineStr">
        <is>
          <t>IDST205/75R15-8PR[ST100]107/102M ARISUN无内</t>
        </is>
      </c>
      <c r="J638" s="76" t="n">
        <v>159.234376</v>
      </c>
      <c r="L638" s="77" t="n"/>
      <c r="M638" s="77" t="n">
        <v>0</v>
      </c>
    </row>
    <row r="639" customFormat="1" s="69">
      <c r="B639" s="92" t="n"/>
      <c r="C639" s="93" t="n"/>
      <c r="D639" s="495">
        <f>IF(C639="","",C639/(C639+$E$1/60))</f>
        <v/>
      </c>
      <c r="E639" s="95">
        <f>IFERROR(ROUND(1440/C639*2*D639,0),"")</f>
        <v/>
      </c>
      <c r="F639" s="96" t="n"/>
      <c r="G639" s="97" t="n"/>
      <c r="H639" s="74" t="n"/>
      <c r="I639" s="75" t="inlineStr">
        <is>
          <t>ID(SFA3301)ATV 25×8-12/6[A033]SUNF POWER TL</t>
        </is>
      </c>
      <c r="J639" s="76" t="n">
        <v>141.664264</v>
      </c>
      <c r="L639" s="77" t="n"/>
      <c r="M639" s="77" t="n">
        <v>0</v>
      </c>
    </row>
    <row r="640" customFormat="1" s="69">
      <c r="B640" s="92" t="n"/>
      <c r="C640" s="93" t="n"/>
      <c r="D640" s="495">
        <f>IF(C640="","",C640/(C640+$E$1/60))</f>
        <v/>
      </c>
      <c r="E640" s="95">
        <f>IFERROR(ROUND(1440/C640*2*D640,0),"")</f>
        <v/>
      </c>
      <c r="F640" s="96" t="n"/>
      <c r="G640" s="97" t="n"/>
      <c r="H640" s="74" t="n"/>
      <c r="I640" s="75" t="inlineStr">
        <is>
          <t>ID(SFA3302)ATV 25×10-12/6[A033]SUNF POWER TL</t>
        </is>
      </c>
      <c r="J640" s="76" t="n">
        <v>160.870864</v>
      </c>
      <c r="L640" s="77" t="n"/>
      <c r="M640" s="77" t="n">
        <v>0</v>
      </c>
    </row>
    <row r="641" customFormat="1" s="69">
      <c r="B641" s="92" t="n"/>
      <c r="C641" s="93" t="n"/>
      <c r="D641" s="495">
        <f>IF(C641="","",C641/(C641+$E$1/60))</f>
        <v/>
      </c>
      <c r="E641" s="95">
        <f>IFERROR(ROUND(1440/C641*2*D641,0),"")</f>
        <v/>
      </c>
      <c r="F641" s="96" t="n"/>
      <c r="G641" s="97" t="n"/>
      <c r="H641" s="74" t="n"/>
      <c r="I641" s="75" t="inlineStr">
        <is>
          <t>ID7.50-16LT-14PR[CL891]122/118B 威狮</t>
        </is>
      </c>
      <c r="J641" s="76" t="n">
        <v>397.846512</v>
      </c>
      <c r="L641" s="77" t="n"/>
      <c r="M641" s="77" t="n">
        <v>0</v>
      </c>
    </row>
    <row r="642" customFormat="1" s="69">
      <c r="B642" s="92" t="n"/>
      <c r="C642" s="93" t="n"/>
      <c r="D642" s="495">
        <f>IF(C642="","",C642/(C642+$E$1/60))</f>
        <v/>
      </c>
      <c r="E642" s="95">
        <f>IFERROR(ROUND(1440/C642*2*D642,0),"")</f>
        <v/>
      </c>
      <c r="F642" s="96" t="n"/>
      <c r="G642" s="97" t="n"/>
      <c r="H642" s="74" t="n"/>
      <c r="I642" s="75" t="inlineStr">
        <is>
          <t>ID7.50R16-14PR(122/118L)[CR926]ARISUN</t>
        </is>
      </c>
      <c r="J642" s="76" t="n">
        <v>432.256314</v>
      </c>
      <c r="L642" s="77" t="n"/>
      <c r="M642" s="77" t="n">
        <v>0</v>
      </c>
    </row>
    <row r="643" customFormat="1" s="69">
      <c r="B643" s="92" t="n"/>
      <c r="C643" s="93" t="n"/>
      <c r="D643" s="495">
        <f>IF(C643="","",C643/(C643+$E$1/60))</f>
        <v/>
      </c>
      <c r="E643" s="95">
        <f>IFERROR(ROUND(1440/C643*2*D643,0),"")</f>
        <v/>
      </c>
      <c r="F643" s="96" t="n"/>
      <c r="G643" s="97" t="n"/>
      <c r="H643" s="74" t="n"/>
      <c r="I643" s="75" t="inlineStr">
        <is>
          <t>ID315/80R22.5-20PR(157/154K)[HA3 Plus]SUPERMAX无内</t>
        </is>
      </c>
      <c r="J643" s="76" t="n">
        <v>994.451941</v>
      </c>
      <c r="L643" s="77" t="n"/>
      <c r="M643" s="77" t="n">
        <v>0</v>
      </c>
    </row>
    <row r="644" customFormat="1" s="69">
      <c r="B644" s="92" t="n"/>
      <c r="C644" s="93" t="n"/>
      <c r="D644" s="495">
        <f>IF(C644="","",C644/(C644+$E$1/60))</f>
        <v/>
      </c>
      <c r="E644" s="95">
        <f>IFERROR(ROUND(1440/C644*2*D644,0),"")</f>
        <v/>
      </c>
      <c r="F644" s="96" t="n"/>
      <c r="G644" s="97" t="n"/>
      <c r="H644" s="74" t="n"/>
      <c r="I644" s="75" t="inlineStr">
        <is>
          <t>ID(G104005)90/90-12-4P[H-565-2]54J GOODRIDE 纳米高抓 TL 配套 E4-75R-0011097</t>
        </is>
      </c>
      <c r="J644" s="76" t="n">
        <v>44.595964</v>
      </c>
      <c r="L644" s="77" t="n"/>
      <c r="M644" s="77" t="n">
        <v>0</v>
      </c>
    </row>
    <row r="645" customFormat="1" s="69">
      <c r="B645" s="92" t="n"/>
      <c r="C645" s="93" t="n"/>
      <c r="D645" s="495">
        <f>IF(C645="","",C645/(C645+$E$1/60))</f>
        <v/>
      </c>
      <c r="E645" s="95">
        <f>IFERROR(ROUND(1440/C645*2*D645,0),"")</f>
        <v/>
      </c>
      <c r="F645" s="96" t="n"/>
      <c r="G645" s="97" t="n"/>
      <c r="H645" s="74" t="n"/>
      <c r="I645" s="75" t="inlineStr">
        <is>
          <t>ID12.00R20-20PR(156/153F)[CB332]雅度</t>
        </is>
      </c>
      <c r="J645" s="76" t="n">
        <v>1277.257583</v>
      </c>
      <c r="L645" s="77" t="n"/>
      <c r="M645" s="77" t="n">
        <v>0</v>
      </c>
    </row>
    <row r="646" customFormat="1" s="69">
      <c r="B646" s="92" t="n"/>
      <c r="C646" s="93" t="n"/>
      <c r="D646" s="495">
        <f>IF(C646="","",C646/(C646+$E$1/60))</f>
        <v/>
      </c>
      <c r="E646" s="95">
        <f>IFERROR(ROUND(1440/C646*2*D646,0),"")</f>
        <v/>
      </c>
      <c r="F646" s="96" t="n"/>
      <c r="G646" s="97" t="n"/>
      <c r="H646" s="74" t="n"/>
      <c r="I646" s="75" t="inlineStr">
        <is>
          <t>ID295/80R22.5-18PR(154/149M)[GSR1]GOODRIDE(好运)无内</t>
        </is>
      </c>
      <c r="J646" s="76" t="n">
        <v>902.849668</v>
      </c>
      <c r="L646" s="77" t="n"/>
      <c r="M646" s="77" t="n">
        <v>0</v>
      </c>
    </row>
    <row r="647" customFormat="1" s="69">
      <c r="B647" s="92" t="n"/>
      <c r="C647" s="93" t="n"/>
      <c r="D647" s="495">
        <f>IF(C647="","",C647/(C647+$E$1/60))</f>
        <v/>
      </c>
      <c r="E647" s="95">
        <f>IFERROR(ROUND(1440/C647*2*D647,0),"")</f>
        <v/>
      </c>
      <c r="F647" s="96" t="n"/>
      <c r="G647" s="97" t="n"/>
      <c r="H647" s="74" t="n"/>
      <c r="I647" s="75" t="inlineStr">
        <is>
          <t>ID285/75R24.5-14PR(144/141L)[DL22]威狮无内</t>
        </is>
      </c>
      <c r="J647" s="76" t="n">
        <v>901.906355</v>
      </c>
      <c r="L647" s="77" t="n"/>
      <c r="M647" s="77" t="n">
        <v>0</v>
      </c>
    </row>
    <row r="648" customFormat="1" s="69">
      <c r="B648" s="92" t="n"/>
      <c r="C648" s="93" t="n"/>
      <c r="D648" s="495">
        <f>IF(C648="","",C648/(C648+$E$1/60))</f>
        <v/>
      </c>
      <c r="E648" s="95">
        <f>IFERROR(ROUND(1440/C648*2*D648,0),"")</f>
        <v/>
      </c>
      <c r="F648" s="96" t="n"/>
      <c r="G648" s="97" t="n"/>
      <c r="H648" s="74" t="n"/>
      <c r="I648" s="75" t="inlineStr">
        <is>
          <t>ID285/75R24.5-14PR(144/141L)[DL21]威狮无内</t>
        </is>
      </c>
      <c r="J648" s="76" t="n">
        <v>936.0296049999999</v>
      </c>
      <c r="L648" s="77" t="n"/>
      <c r="M648" s="77" t="n">
        <v>0</v>
      </c>
    </row>
    <row r="649" customFormat="1" s="69">
      <c r="B649" s="92" t="n"/>
      <c r="C649" s="93" t="n"/>
      <c r="D649" s="495">
        <f>IF(C649="","",C649/(C649+$E$1/60))</f>
        <v/>
      </c>
      <c r="E649" s="95">
        <f>IFERROR(ROUND(1440/C649*2*D649,0),"")</f>
        <v/>
      </c>
      <c r="F649" s="96" t="n"/>
      <c r="G649" s="97" t="n"/>
      <c r="H649" s="74" t="n"/>
      <c r="I649" s="75" t="inlineStr">
        <is>
          <t>ID425/65R22.5-20PR(165K)[AZ577]朝阳无内</t>
        </is>
      </c>
      <c r="J649" s="76" t="n">
        <v>1312.663891</v>
      </c>
      <c r="L649" s="77" t="n"/>
      <c r="M649" s="77" t="n">
        <v>0</v>
      </c>
    </row>
    <row r="650" customFormat="1" s="69">
      <c r="B650" s="92" t="n"/>
      <c r="C650" s="93" t="n"/>
      <c r="D650" s="495">
        <f>IF(C650="","",C650/(C650+$E$1/60))</f>
        <v/>
      </c>
      <c r="E650" s="95">
        <f>IFERROR(ROUND(1440/C650*2*D650,0),"")</f>
        <v/>
      </c>
      <c r="F650" s="96" t="n"/>
      <c r="G650" s="97" t="n"/>
      <c r="H650" s="74" t="n"/>
      <c r="I650" s="75" t="inlineStr">
        <is>
          <t>IDST205/75R15-8PR[ST-100A]107/102M 西湖无内</t>
        </is>
      </c>
      <c r="J650" s="76" t="n">
        <v>152.09509</v>
      </c>
      <c r="L650" s="77" t="n"/>
      <c r="M650" s="77" t="n">
        <v>0</v>
      </c>
    </row>
    <row r="651" customFormat="1" s="69">
      <c r="B651" s="92" t="n"/>
      <c r="C651" s="93" t="n"/>
      <c r="D651" s="495">
        <f>IF(C651="","",C651/(C651+$E$1/60))</f>
        <v/>
      </c>
      <c r="E651" s="95">
        <f>IFERROR(ROUND(1440/C651*2*D651,0),"")</f>
        <v/>
      </c>
      <c r="F651" s="96" t="n"/>
      <c r="G651" s="97" t="n"/>
      <c r="H651" s="74" t="n"/>
      <c r="I651" s="75" t="inlineStr">
        <is>
          <t>ID12.00R20-20PR(156/153J)[EZ867]威狮</t>
        </is>
      </c>
      <c r="J651" s="76" t="n">
        <v>1208.447023</v>
      </c>
      <c r="L651" s="77" t="n"/>
      <c r="M651" s="77" t="n">
        <v>0</v>
      </c>
    </row>
    <row r="652" customFormat="1" s="69">
      <c r="B652" s="92" t="n"/>
      <c r="C652" s="93" t="n"/>
      <c r="D652" s="495">
        <f>IF(C652="","",C652/(C652+$E$1/60))</f>
        <v/>
      </c>
      <c r="E652" s="95">
        <f>IFERROR(ROUND(1440/C652*2*D652,0),"")</f>
        <v/>
      </c>
      <c r="F652" s="96" t="n"/>
      <c r="G652" s="97" t="n"/>
      <c r="H652" s="74" t="n"/>
      <c r="I652" s="75" t="inlineStr">
        <is>
          <t>ID11R22.5-16PR(148/145M)[SL11]威狮无内</t>
        </is>
      </c>
      <c r="J652" s="76" t="n">
        <v>806.654114</v>
      </c>
      <c r="L652" s="77" t="n"/>
      <c r="M652" s="77" t="n">
        <v>0</v>
      </c>
    </row>
    <row r="653" customFormat="1" s="69">
      <c r="B653" s="92" t="n"/>
      <c r="C653" s="93" t="n"/>
      <c r="D653" s="495">
        <f>IF(C653="","",C653/(C653+$E$1/60))</f>
        <v/>
      </c>
      <c r="E653" s="95">
        <f>IFERROR(ROUND(1440/C653*2*D653,0),"")</f>
        <v/>
      </c>
      <c r="F653" s="96" t="n"/>
      <c r="G653" s="97" t="n"/>
      <c r="H653" s="74" t="n"/>
      <c r="I653" s="75" t="inlineStr">
        <is>
          <t>ID255/70R22.5-16PR(140/137M)[AZ599]威狮无内</t>
        </is>
      </c>
      <c r="J653" s="76" t="n">
        <v>613.838176</v>
      </c>
      <c r="L653" s="77" t="n"/>
      <c r="M653" s="77" t="n">
        <v>0</v>
      </c>
    </row>
    <row r="654" customFormat="1" s="69">
      <c r="B654" s="92" t="n"/>
      <c r="C654" s="93" t="n"/>
      <c r="D654" s="495">
        <f>IF(C654="","",C654/(C654+$E$1/60))</f>
        <v/>
      </c>
      <c r="E654" s="95">
        <f>IFERROR(ROUND(1440/C654*2*D654,0),"")</f>
        <v/>
      </c>
      <c r="F654" s="96" t="n"/>
      <c r="G654" s="97" t="n"/>
      <c r="H654" s="74" t="n"/>
      <c r="I654" s="75" t="inlineStr">
        <is>
          <t>IDST205/75R15-8PR[ST-100A]107/102M ARISUN无内</t>
        </is>
      </c>
      <c r="J654" s="76" t="n">
        <v>152.09509</v>
      </c>
      <c r="L654" s="77" t="n"/>
      <c r="M654" s="77" t="n">
        <v>0</v>
      </c>
    </row>
    <row r="655" customFormat="1" s="69">
      <c r="B655" s="92" t="n"/>
      <c r="C655" s="93" t="n"/>
      <c r="D655" s="495">
        <f>IF(C655="","",C655/(C655+$E$1/60))</f>
        <v/>
      </c>
      <c r="E655" s="95">
        <f>IFERROR(ROUND(1440/C655*2*D655,0),"")</f>
        <v/>
      </c>
      <c r="F655" s="96" t="n"/>
      <c r="G655" s="97" t="n"/>
      <c r="H655" s="74" t="n"/>
      <c r="I655" s="75" t="inlineStr">
        <is>
          <t>ID10.00R20-18PR(149/146J)[CM958]威狮</t>
        </is>
      </c>
      <c r="J655" s="76" t="n">
        <v>887.1848649999999</v>
      </c>
      <c r="L655" s="77" t="n"/>
      <c r="M655" s="77" t="n">
        <v>0</v>
      </c>
    </row>
    <row r="656" customFormat="1" s="69">
      <c r="B656" s="92" t="n"/>
      <c r="C656" s="93" t="n"/>
      <c r="D656" s="495">
        <f>IF(C656="","",C656/(C656+$E$1/60))</f>
        <v/>
      </c>
      <c r="E656" s="95">
        <f>IFERROR(ROUND(1440/C656*2*D656,0),"")</f>
        <v/>
      </c>
      <c r="F656" s="96" t="n"/>
      <c r="G656" s="97" t="n"/>
      <c r="H656" s="74" t="n"/>
      <c r="I656" s="75" t="inlineStr">
        <is>
          <t>ID315/80R22.5-20PR(157/154K)[CR926B]ARISUN无内</t>
        </is>
      </c>
      <c r="J656" s="76" t="n">
        <v>949.8509790000001</v>
      </c>
      <c r="L656" s="77" t="n"/>
      <c r="M656" s="77" t="n">
        <v>0</v>
      </c>
    </row>
    <row r="657" customFormat="1" s="69">
      <c r="B657" s="92" t="n"/>
      <c r="C657" s="93" t="n"/>
      <c r="D657" s="495">
        <f>IF(C657="","",C657/(C657+$E$1/60))</f>
        <v/>
      </c>
      <c r="E657" s="95">
        <f>IFERROR(ROUND(1440/C657*2*D657,0),"")</f>
        <v/>
      </c>
      <c r="F657" s="96" t="n"/>
      <c r="G657" s="97" t="n"/>
      <c r="H657" s="74" t="n"/>
      <c r="I657" s="75" t="inlineStr">
        <is>
          <t>ID295/75R22.5-16PR(146/143M)[CM980]威狮无内</t>
        </is>
      </c>
      <c r="J657" s="76" t="n">
        <v>801.077536</v>
      </c>
      <c r="L657" s="77" t="n"/>
      <c r="M657" s="77" t="n">
        <v>0</v>
      </c>
    </row>
    <row r="658" customFormat="1" s="69">
      <c r="B658" s="92" t="n"/>
      <c r="C658" s="93" t="n"/>
      <c r="D658" s="495">
        <f>IF(C658="","",C658/(C658+$E$1/60))</f>
        <v/>
      </c>
      <c r="E658" s="95">
        <f>IFERROR(ROUND(1440/C658*2*D658,0),"")</f>
        <v/>
      </c>
      <c r="F658" s="96" t="n"/>
      <c r="G658" s="97" t="n"/>
      <c r="H658" s="74" t="n"/>
      <c r="I658" s="75" t="inlineStr">
        <is>
          <t>ID275/70R22.5-16PR(148/145L)[AZ692]ARISUN无内</t>
        </is>
      </c>
      <c r="J658" s="76" t="n">
        <v>712.843677</v>
      </c>
      <c r="L658" s="77" t="n"/>
      <c r="M658" s="77" t="n">
        <v>0</v>
      </c>
    </row>
    <row r="659" customFormat="1" s="69">
      <c r="B659" s="92" t="n"/>
      <c r="C659" s="93" t="n"/>
      <c r="D659" s="495">
        <f>IF(C659="","",C659/(C659+$E$1/60))</f>
        <v/>
      </c>
      <c r="E659" s="95">
        <f>IFERROR(ROUND(1440/C659*2*D659,0),"")</f>
        <v/>
      </c>
      <c r="F659" s="96" t="n"/>
      <c r="G659" s="97" t="n"/>
      <c r="H659" s="74" t="n"/>
      <c r="I659" s="75" t="inlineStr">
        <is>
          <t>ID11R22.5-16PR(146/143L)[AS600+]ARISUN无内</t>
        </is>
      </c>
      <c r="J659" s="76" t="n">
        <v>793.442258</v>
      </c>
      <c r="L659" s="77" t="n"/>
      <c r="M659" s="77" t="n">
        <v>0</v>
      </c>
    </row>
    <row r="660" customFormat="1" s="69">
      <c r="B660" s="92" t="n"/>
      <c r="C660" s="93" t="n"/>
      <c r="D660" s="495">
        <f>IF(C660="","",C660/(C660+$E$1/60))</f>
        <v/>
      </c>
      <c r="E660" s="95">
        <f>IFERROR(ROUND(1440/C660*2*D660,0),"")</f>
        <v/>
      </c>
      <c r="F660" s="96" t="n"/>
      <c r="G660" s="97" t="n"/>
      <c r="H660" s="74" t="n"/>
      <c r="I660" s="75" t="inlineStr">
        <is>
          <t>IDST225/75R15-10PR[ST100]117/112M HI-RUN无内</t>
        </is>
      </c>
      <c r="J660" s="76" t="n">
        <v>200.211193</v>
      </c>
      <c r="L660" s="77" t="n"/>
      <c r="M660" s="77" t="n">
        <v>0</v>
      </c>
    </row>
    <row r="661" customFormat="1" s="69">
      <c r="B661" s="92" t="n"/>
      <c r="C661" s="93" t="n"/>
      <c r="D661" s="495">
        <f>IF(C661="","",C661/(C661+$E$1/60))</f>
        <v/>
      </c>
      <c r="E661" s="95">
        <f>IFERROR(ROUND(1440/C661*2*D661,0),"")</f>
        <v/>
      </c>
      <c r="F661" s="96" t="n"/>
      <c r="G661" s="97" t="n"/>
      <c r="H661" s="74" t="n"/>
      <c r="I661" s="75" t="inlineStr">
        <is>
          <t>ID10.00R20-18PR(149/146J)[CM998]GOODRIDE(好运)</t>
        </is>
      </c>
      <c r="J661" s="76" t="n">
        <v>938.7776720000001</v>
      </c>
      <c r="L661" s="77" t="n"/>
      <c r="M661" s="77" t="n">
        <v>0</v>
      </c>
    </row>
    <row r="662" customFormat="1" s="69">
      <c r="B662" s="92" t="n"/>
      <c r="C662" s="93" t="n"/>
      <c r="D662" s="495">
        <f>IF(C662="","",C662/(C662+$E$1/60))</f>
        <v/>
      </c>
      <c r="E662" s="95">
        <f>IFERROR(ROUND(1440/C662*2*D662,0),"")</f>
        <v/>
      </c>
      <c r="F662" s="96" t="n"/>
      <c r="G662" s="97" t="n"/>
      <c r="H662" s="74" t="n"/>
      <c r="I662" s="75" t="inlineStr">
        <is>
          <t>ID12.00R20-22PR(158/155F)[EZ345]雅度 东南亚</t>
        </is>
      </c>
      <c r="J662" s="76" t="n">
        <v>992.891732</v>
      </c>
      <c r="L662" s="77" t="n"/>
      <c r="M662" s="77" t="n">
        <v>0</v>
      </c>
    </row>
    <row r="663" customFormat="1" s="69">
      <c r="B663" s="92" t="n"/>
      <c r="C663" s="93" t="n"/>
      <c r="D663" s="495">
        <f>IF(C663="","",C663/(C663+$E$1/60))</f>
        <v/>
      </c>
      <c r="E663" s="95">
        <f>IFERROR(ROUND(1440/C663*2*D663,0),"")</f>
        <v/>
      </c>
      <c r="F663" s="96" t="n"/>
      <c r="G663" s="97" t="n"/>
      <c r="H663" s="74" t="n"/>
      <c r="I663" s="75" t="inlineStr">
        <is>
          <t>ID12.00R20-22PR(158/155F)[TRD-71]朝阳 东南亚</t>
        </is>
      </c>
      <c r="J663" s="76" t="n">
        <v>1163.392909</v>
      </c>
      <c r="L663" s="77" t="n"/>
      <c r="M663" s="77" t="n">
        <v>0</v>
      </c>
    </row>
    <row r="664" customFormat="1" s="69">
      <c r="B664" s="92" t="n"/>
      <c r="C664" s="93" t="n"/>
      <c r="D664" s="495">
        <f>IF(C664="","",C664/(C664+$E$1/60))</f>
        <v/>
      </c>
      <c r="E664" s="95">
        <f>IFERROR(ROUND(1440/C664*2*D664,0),"")</f>
        <v/>
      </c>
      <c r="F664" s="96" t="n"/>
      <c r="G664" s="97" t="n"/>
      <c r="H664" s="74" t="n"/>
      <c r="I664" s="75" t="inlineStr">
        <is>
          <t>ID10.00R20-18PR(149/146J)[CR926 MAX]威狮</t>
        </is>
      </c>
      <c r="J664" s="76" t="n">
        <v>906.484761</v>
      </c>
      <c r="L664" s="77" t="n"/>
      <c r="M664" s="77" t="n">
        <v>0</v>
      </c>
    </row>
    <row r="665" customFormat="1" s="69">
      <c r="B665" s="92" t="n"/>
      <c r="C665" s="93" t="n"/>
      <c r="D665" s="495">
        <f>IF(C665="","",C665/(C665+$E$1/60))</f>
        <v/>
      </c>
      <c r="E665" s="95">
        <f>IFERROR(ROUND(1440/C665*2*D665,0),"")</f>
        <v/>
      </c>
      <c r="F665" s="96" t="n"/>
      <c r="G665" s="97" t="n"/>
      <c r="H665" s="74" t="n"/>
      <c r="I665" s="75" t="inlineStr">
        <is>
          <t>ID10.00R20-18PR(149/146J)[AZ601]朝阳</t>
        </is>
      </c>
      <c r="J665" s="76" t="n">
        <v>848.916845</v>
      </c>
      <c r="L665" s="77" t="n"/>
      <c r="M665" s="77" t="n">
        <v>0</v>
      </c>
    </row>
    <row r="666" customFormat="1" s="69">
      <c r="B666" s="92" t="n"/>
      <c r="C666" s="93" t="n"/>
      <c r="D666" s="495">
        <f>IF(C666="","",C666/(C666+$E$1/60))</f>
        <v/>
      </c>
      <c r="E666" s="95">
        <f>IFERROR(ROUND(1440/C666*2*D666,0),"")</f>
        <v/>
      </c>
      <c r="F666" s="96" t="n"/>
      <c r="G666" s="97" t="n"/>
      <c r="H666" s="74" t="n"/>
      <c r="I666" s="75" t="inlineStr">
        <is>
          <t>ID12R22.5-20PR(154/151K)[EZ867]雅度无内</t>
        </is>
      </c>
      <c r="J666" s="76" t="n">
        <v>1016.350321</v>
      </c>
      <c r="L666" s="77" t="n"/>
      <c r="M666" s="77" t="n">
        <v>0</v>
      </c>
    </row>
    <row r="667" customFormat="1" s="69">
      <c r="B667" s="92" t="n"/>
      <c r="C667" s="93" t="n"/>
      <c r="D667" s="495">
        <f>IF(C667="","",C667/(C667+$E$1/60))</f>
        <v/>
      </c>
      <c r="E667" s="95">
        <f>IFERROR(ROUND(1440/C667*2*D667,0),"")</f>
        <v/>
      </c>
      <c r="F667" s="96" t="n"/>
      <c r="G667" s="97" t="n"/>
      <c r="H667" s="74" t="n"/>
      <c r="I667" s="75" t="inlineStr">
        <is>
          <t>ID12R22.5-18PR(152/149K)[EZ867]雅度无内</t>
        </is>
      </c>
      <c r="J667" s="76" t="n">
        <v>1016.350321</v>
      </c>
      <c r="L667" s="77" t="n"/>
      <c r="M667" s="77" t="n">
        <v>0</v>
      </c>
    </row>
    <row r="668" customFormat="1" s="69">
      <c r="B668" s="92" t="n"/>
      <c r="C668" s="93" t="n"/>
      <c r="D668" s="495">
        <f>IF(C668="","",C668/(C668+$E$1/60))</f>
        <v/>
      </c>
      <c r="E668" s="95">
        <f>IFERROR(ROUND(1440/C668*2*D668,0),"")</f>
        <v/>
      </c>
      <c r="F668" s="96" t="n"/>
      <c r="G668" s="97" t="n"/>
      <c r="H668" s="74" t="n"/>
      <c r="I668" s="75" t="inlineStr">
        <is>
          <t>ID11R24.5-16PR(149/146L)[AZ692]ARISUN无内</t>
        </is>
      </c>
      <c r="J668" s="76" t="n">
        <v>878.860101</v>
      </c>
      <c r="L668" s="77" t="n"/>
      <c r="M668" s="77" t="n">
        <v>0</v>
      </c>
    </row>
    <row r="669" customFormat="1" s="69">
      <c r="B669" s="92" t="n"/>
      <c r="C669" s="93" t="n"/>
      <c r="D669" s="495">
        <f>IF(C669="","",C669/(C669+$E$1/60))</f>
        <v/>
      </c>
      <c r="E669" s="95">
        <f>IFERROR(ROUND(1440/C669*2*D669,0),"")</f>
        <v/>
      </c>
      <c r="F669" s="96" t="n"/>
      <c r="G669" s="97" t="n"/>
      <c r="H669" s="74" t="n"/>
      <c r="I669" s="75" t="inlineStr">
        <is>
          <t>ID11R22.5-16PR(146/143L)[AS673]ARISUN无内</t>
        </is>
      </c>
      <c r="J669" s="76" t="n">
        <v>801.505817</v>
      </c>
      <c r="L669" s="77" t="n"/>
      <c r="M669" s="77" t="n">
        <v>0</v>
      </c>
    </row>
    <row r="670" customFormat="1" s="69">
      <c r="B670" s="92" t="n"/>
      <c r="C670" s="93" t="n"/>
      <c r="D670" s="495">
        <f>IF(C670="","",C670/(C670+$E$1/60))</f>
        <v/>
      </c>
      <c r="E670" s="95">
        <f>IFERROR(ROUND(1440/C670*2*D670,0),"")</f>
        <v/>
      </c>
      <c r="F670" s="96" t="n"/>
      <c r="G670" s="97" t="n"/>
      <c r="H670" s="74" t="n"/>
      <c r="I670" s="75" t="inlineStr">
        <is>
          <t>ID11R22.5-16PR(146/143L)[CR989+]朝阳无内</t>
        </is>
      </c>
      <c r="J670" s="76" t="n">
        <v>793.442258</v>
      </c>
      <c r="L670" s="77" t="n"/>
      <c r="M670" s="77" t="n">
        <v>0</v>
      </c>
    </row>
    <row r="671" customFormat="1" s="69">
      <c r="B671" s="92" t="n"/>
      <c r="C671" s="93" t="n"/>
      <c r="D671" s="495">
        <f>IF(C671="","",C671/(C671+$E$1/60))</f>
        <v/>
      </c>
      <c r="E671" s="95">
        <f>IFERROR(ROUND(1440/C671*2*D671,0),"")</f>
        <v/>
      </c>
      <c r="F671" s="96" t="n"/>
      <c r="G671" s="97" t="n"/>
      <c r="H671" s="74" t="n"/>
      <c r="I671" s="75" t="inlineStr">
        <is>
          <t>ID325/95R24-22PR(162/160K)[CM913A]C级DIDAR无内</t>
        </is>
      </c>
      <c r="J671" s="76" t="n">
        <v>1164.204965</v>
      </c>
      <c r="L671" s="77" t="n"/>
      <c r="M671" s="77" t="n">
        <v>0</v>
      </c>
    </row>
    <row r="672" customFormat="1" s="69">
      <c r="B672" s="92" t="n"/>
      <c r="C672" s="93" t="n"/>
      <c r="D672" s="495">
        <f>IF(C672="","",C672/(C672+$E$1/60))</f>
        <v/>
      </c>
      <c r="E672" s="95">
        <f>IFERROR(ROUND(1440/C672*2*D672,0),"")</f>
        <v/>
      </c>
      <c r="F672" s="96" t="n"/>
      <c r="G672" s="97" t="n"/>
      <c r="H672" s="74" t="n"/>
      <c r="I672" s="75" t="inlineStr">
        <is>
          <t>IDST205/75R14-8PR[ST-100A]105/101M 西湖无内</t>
        </is>
      </c>
      <c r="J672" s="76" t="n">
        <v>142.967076</v>
      </c>
      <c r="L672" s="77" t="n"/>
      <c r="M672" s="77" t="n">
        <v>0</v>
      </c>
    </row>
    <row r="673" customFormat="1" s="69">
      <c r="B673" s="92" t="n"/>
      <c r="C673" s="93" t="n"/>
      <c r="D673" s="495">
        <f>IF(C673="","",C673/(C673+$E$1/60))</f>
        <v/>
      </c>
      <c r="E673" s="95">
        <f>IFERROR(ROUND(1440/C673*2*D673,0),"")</f>
        <v/>
      </c>
      <c r="F673" s="96" t="n"/>
      <c r="G673" s="97" t="n"/>
      <c r="H673" s="74" t="n"/>
      <c r="I673" s="75" t="inlineStr">
        <is>
          <t>IDST215/75R14-8PR[ASSURE ST]108/103N XCELLENT无内</t>
        </is>
      </c>
      <c r="J673" s="76" t="n">
        <v>155.264298</v>
      </c>
      <c r="L673" s="77" t="n"/>
      <c r="M673" s="77" t="n">
        <v>0</v>
      </c>
    </row>
    <row r="674" customFormat="1" s="69">
      <c r="B674" s="92" t="n"/>
      <c r="C674" s="93" t="n"/>
      <c r="D674" s="495">
        <f>IF(C674="","",C674/(C674+$E$1/60))</f>
        <v/>
      </c>
      <c r="E674" s="95">
        <f>IFERROR(ROUND(1440/C674*2*D674,0),"")</f>
        <v/>
      </c>
      <c r="F674" s="96" t="n"/>
      <c r="G674" s="97" t="n"/>
      <c r="H674" s="74" t="n"/>
      <c r="I674" s="75" t="inlineStr">
        <is>
          <t>ID12.00R24-☆☆(162/160C)PR[XC819]路诚 综合型</t>
        </is>
      </c>
      <c r="J674" s="76" t="n">
        <v>1281.689024</v>
      </c>
      <c r="L674" s="77" t="n"/>
      <c r="M674" s="77" t="n">
        <v>0</v>
      </c>
    </row>
    <row r="675" customFormat="1" s="69">
      <c r="B675" s="92" t="n"/>
      <c r="C675" s="93" t="n"/>
      <c r="D675" s="495">
        <f>IF(C675="","",C675/(C675+$E$1/60))</f>
        <v/>
      </c>
      <c r="E675" s="95">
        <f>IFERROR(ROUND(1440/C675*2*D675,0),"")</f>
        <v/>
      </c>
      <c r="F675" s="96" t="n"/>
      <c r="G675" s="97" t="n"/>
      <c r="H675" s="74" t="n"/>
      <c r="I675" s="75" t="inlineStr">
        <is>
          <t>ID12R22.5-20PR(154/151L)[AZ850M]朝阳无内</t>
        </is>
      </c>
      <c r="J675" s="76" t="n">
        <v>989.26009</v>
      </c>
      <c r="L675" s="77" t="n"/>
      <c r="M675" s="77" t="n">
        <v>0</v>
      </c>
    </row>
    <row r="676" customFormat="1" s="69">
      <c r="B676" s="92" t="n"/>
      <c r="C676" s="93" t="n"/>
      <c r="D676" s="495">
        <f>IF(C676="","",C676/(C676+$E$1/60))</f>
        <v/>
      </c>
      <c r="E676" s="95">
        <f>IFERROR(ROUND(1440/C676*2*D676,0),"")</f>
        <v/>
      </c>
      <c r="F676" s="96" t="n"/>
      <c r="G676" s="97" t="n"/>
      <c r="H676" s="74" t="n"/>
      <c r="I676" s="75" t="inlineStr">
        <is>
          <t>ID255/70R22.5-16PR(140/137M)[AS678]朝阳无内</t>
        </is>
      </c>
      <c r="J676" s="76" t="n">
        <v>613.838176</v>
      </c>
      <c r="L676" s="77" t="n"/>
      <c r="M676" s="77" t="n">
        <v>0</v>
      </c>
    </row>
    <row r="677" customFormat="1" s="69">
      <c r="B677" s="92" t="n"/>
      <c r="C677" s="93" t="n"/>
      <c r="D677" s="495">
        <f>IF(C677="","",C677/(C677+$E$1/60))</f>
        <v/>
      </c>
      <c r="E677" s="95">
        <f>IFERROR(ROUND(1440/C677*2*D677,0),"")</f>
        <v/>
      </c>
      <c r="F677" s="96" t="n"/>
      <c r="G677" s="97" t="n"/>
      <c r="H677" s="74" t="n"/>
      <c r="I677" s="75" t="inlineStr">
        <is>
          <t>IDST225/75R15-10PR[ST-100A]117/112M 西湖无内</t>
        </is>
      </c>
      <c r="J677" s="76" t="n">
        <v>181.533905</v>
      </c>
      <c r="L677" s="77" t="n"/>
      <c r="M677" s="77" t="n">
        <v>0</v>
      </c>
    </row>
    <row r="678" customFormat="1" s="69">
      <c r="B678" s="92" t="n"/>
      <c r="C678" s="93" t="n"/>
      <c r="D678" s="495">
        <f>IF(C678="","",C678/(C678+$E$1/60))</f>
        <v/>
      </c>
      <c r="E678" s="95">
        <f>IFERROR(ROUND(1440/C678*2*D678,0),"")</f>
        <v/>
      </c>
      <c r="F678" s="96" t="n"/>
      <c r="G678" s="97" t="n"/>
      <c r="H678" s="74" t="n"/>
      <c r="I678" s="75" t="inlineStr">
        <is>
          <t>IDST225/75R15-10PR[Tow pro st]117/112M SUPERMAX无内</t>
        </is>
      </c>
      <c r="J678" s="76" t="n">
        <v>179.428319</v>
      </c>
      <c r="L678" s="77" t="n"/>
      <c r="M678" s="77" t="n">
        <v>0</v>
      </c>
    </row>
    <row r="679" customFormat="1" s="69">
      <c r="B679" s="92" t="n"/>
      <c r="C679" s="93" t="n"/>
      <c r="D679" s="495">
        <f>IF(C679="","",C679/(C679+$E$1/60))</f>
        <v/>
      </c>
      <c r="E679" s="95">
        <f>IFERROR(ROUND(1440/C679*2*D679,0),"")</f>
        <v/>
      </c>
      <c r="F679" s="96" t="n"/>
      <c r="G679" s="97" t="n"/>
      <c r="H679" s="74" t="n"/>
      <c r="I679" s="75" t="inlineStr">
        <is>
          <t>ID10.00R20-18PR(149/146J)[AZ183]日升</t>
        </is>
      </c>
      <c r="J679" s="76" t="n">
        <v>760.50639</v>
      </c>
      <c r="L679" s="77" t="n"/>
      <c r="M679" s="77" t="n">
        <v>0</v>
      </c>
    </row>
    <row r="680" customFormat="1" s="69">
      <c r="B680" s="92" t="n"/>
      <c r="C680" s="93" t="n"/>
      <c r="D680" s="495">
        <f>IF(C680="","",C680/(C680+$E$1/60))</f>
        <v/>
      </c>
      <c r="E680" s="95">
        <f>IFERROR(ROUND(1440/C680*2*D680,0),"")</f>
        <v/>
      </c>
      <c r="F680" s="96" t="n"/>
      <c r="G680" s="97" t="n"/>
      <c r="H680" s="74" t="n"/>
      <c r="I680" s="75" t="inlineStr">
        <is>
          <t>ID295/75R22.5-16PR(146/143L)[I-52A]IRONMAN无内 SMARTWAY</t>
        </is>
      </c>
      <c r="J680" s="76" t="n">
        <v>796.95728</v>
      </c>
      <c r="L680" s="77" t="n"/>
      <c r="M680" s="77" t="n">
        <v>0</v>
      </c>
    </row>
    <row r="681" customFormat="1" s="69">
      <c r="B681" s="92" t="n"/>
      <c r="C681" s="93" t="n"/>
      <c r="D681" s="495">
        <f>IF(C681="","",C681/(C681+$E$1/60))</f>
        <v/>
      </c>
      <c r="E681" s="95">
        <f>IFERROR(ROUND(1440/C681*2*D681,0),"")</f>
        <v/>
      </c>
      <c r="F681" s="96" t="n"/>
      <c r="G681" s="97" t="n"/>
      <c r="H681" s="74" t="n"/>
      <c r="I681" s="75" t="inlineStr">
        <is>
          <t>ID295/75R22.5-14PR(144/141L)[AD737]ARISUN无内</t>
        </is>
      </c>
      <c r="J681" s="76" t="n">
        <v>808.992107</v>
      </c>
      <c r="L681" s="77" t="n"/>
      <c r="M681" s="77" t="n">
        <v>0</v>
      </c>
    </row>
    <row r="682" customFormat="1" s="69">
      <c r="B682" s="92" t="n"/>
      <c r="C682" s="93" t="n"/>
      <c r="D682" s="495">
        <f>IF(C682="","",C682/(C682+$E$1/60))</f>
        <v/>
      </c>
      <c r="E682" s="95">
        <f>IFERROR(ROUND(1440/C682*2*D682,0),"")</f>
        <v/>
      </c>
      <c r="F682" s="96" t="n"/>
      <c r="G682" s="97" t="n"/>
      <c r="H682" s="74" t="n"/>
      <c r="I682" s="75" t="inlineStr">
        <is>
          <t>ID295/75R22.5-14PR(144/141L)[AS673]ARISUN无内</t>
        </is>
      </c>
      <c r="J682" s="76" t="n">
        <v>795.226663</v>
      </c>
      <c r="L682" s="77" t="n"/>
      <c r="M682" s="77" t="n">
        <v>0</v>
      </c>
    </row>
    <row r="683" customFormat="1" s="69">
      <c r="B683" s="92" t="n"/>
      <c r="C683" s="93" t="n"/>
      <c r="D683" s="495">
        <f>IF(C683="","",C683/(C683+$E$1/60))</f>
        <v/>
      </c>
      <c r="E683" s="95">
        <f>IFERROR(ROUND(1440/C683*2*D683,0),"")</f>
        <v/>
      </c>
      <c r="F683" s="96" t="n"/>
      <c r="G683" s="97" t="n"/>
      <c r="H683" s="74" t="n"/>
      <c r="I683" s="75" t="inlineStr">
        <is>
          <t>ID295/75R22.5-14PR(144/141L)[AD757]朝阳无内</t>
        </is>
      </c>
      <c r="J683" s="76" t="n">
        <v>780.120327</v>
      </c>
      <c r="L683" s="77" t="n"/>
      <c r="M683" s="77" t="n">
        <v>0</v>
      </c>
    </row>
    <row r="684" customFormat="1" s="69">
      <c r="B684" s="92" t="n"/>
      <c r="C684" s="93" t="n"/>
      <c r="D684" s="495">
        <f>IF(C684="","",C684/(C684+$E$1/60))</f>
        <v/>
      </c>
      <c r="E684" s="95">
        <f>IFERROR(ROUND(1440/C684*2*D684,0),"")</f>
        <v/>
      </c>
      <c r="F684" s="96" t="n"/>
      <c r="G684" s="97" t="n"/>
      <c r="H684" s="74" t="n"/>
      <c r="I684" s="75" t="inlineStr">
        <is>
          <t>ID11R22.5-18PR(149/146L)[AS858]GOODRIDE(好运)无内</t>
        </is>
      </c>
      <c r="J684" s="76" t="n">
        <v>851.583397</v>
      </c>
      <c r="L684" s="77" t="n"/>
      <c r="M684" s="77" t="n">
        <v>0</v>
      </c>
    </row>
    <row r="685" customFormat="1" s="69">
      <c r="B685" s="92" t="n"/>
      <c r="C685" s="93" t="n"/>
      <c r="D685" s="495">
        <f>IF(C685="","",C685/(C685+$E$1/60))</f>
        <v/>
      </c>
      <c r="E685" s="95">
        <f>IFERROR(ROUND(1440/C685*2*D685,0),"")</f>
        <v/>
      </c>
      <c r="F685" s="96" t="n"/>
      <c r="G685" s="97" t="n"/>
      <c r="H685" s="74" t="n"/>
      <c r="I685" s="75" t="inlineStr">
        <is>
          <t>ID11R22.5-16PR(146/143L)[AZ692]ARISUN无内</t>
        </is>
      </c>
      <c r="J685" s="76" t="n">
        <v>823.969566</v>
      </c>
      <c r="L685" s="77" t="n"/>
      <c r="M685" s="77" t="n">
        <v>0</v>
      </c>
    </row>
    <row r="686" customFormat="1" s="69">
      <c r="B686" s="92" t="n"/>
      <c r="C686" s="93" t="n"/>
      <c r="D686" s="495">
        <f>IF(C686="","",C686/(C686+$E$1/60))</f>
        <v/>
      </c>
      <c r="E686" s="95">
        <f>IFERROR(ROUND(1440/C686*2*D686,0),"")</f>
        <v/>
      </c>
      <c r="F686" s="96" t="n"/>
      <c r="G686" s="97" t="n"/>
      <c r="H686" s="74" t="n"/>
      <c r="I686" s="75" t="inlineStr">
        <is>
          <t>IDST235/85R16-12PR[ST-100A]128/124M 西湖无内</t>
        </is>
      </c>
      <c r="J686" s="76" t="n">
        <v>271.704132</v>
      </c>
      <c r="L686" s="77" t="n"/>
      <c r="M686" s="77" t="n">
        <v>0</v>
      </c>
    </row>
    <row r="687" customFormat="1" s="69">
      <c r="B687" s="92" t="n"/>
      <c r="C687" s="93" t="n"/>
      <c r="D687" s="495">
        <f>IF(C687="","",C687/(C687+$E$1/60))</f>
        <v/>
      </c>
      <c r="E687" s="95">
        <f>IFERROR(ROUND(1440/C687*2*D687,0),"")</f>
        <v/>
      </c>
      <c r="F687" s="96" t="n"/>
      <c r="G687" s="97" t="n"/>
      <c r="H687" s="74" t="n"/>
      <c r="I687" s="75" t="inlineStr">
        <is>
          <t>IDST205/75R15-8PR[STZC]107/102L 西湖无内</t>
        </is>
      </c>
      <c r="J687" s="76" t="n">
        <v>159.234376</v>
      </c>
      <c r="L687" s="77" t="n"/>
      <c r="M687" s="77" t="n">
        <v>0</v>
      </c>
    </row>
    <row r="688" customFormat="1" s="69">
      <c r="B688" s="92" t="n"/>
      <c r="C688" s="93" t="n"/>
      <c r="D688" s="495">
        <f>IF(C688="","",C688/(C688+$E$1/60))</f>
        <v/>
      </c>
      <c r="E688" s="95">
        <f>IFERROR(ROUND(1440/C688*2*D688,0),"")</f>
        <v/>
      </c>
      <c r="F688" s="96" t="n"/>
      <c r="G688" s="97" t="n"/>
      <c r="H688" s="74" t="n"/>
      <c r="I688" s="75" t="inlineStr">
        <is>
          <t>ID11.00R20-18PR(152/149F)[EZ336]雅度</t>
        </is>
      </c>
      <c r="J688" s="76" t="n">
        <v>1069.891872</v>
      </c>
      <c r="L688" s="77" t="n"/>
      <c r="M688" s="77" t="n">
        <v>0</v>
      </c>
    </row>
    <row r="689" customFormat="1" s="69">
      <c r="B689" s="92" t="n"/>
      <c r="C689" s="93" t="n"/>
      <c r="D689" s="495">
        <f>IF(C689="","",C689/(C689+$E$1/60))</f>
        <v/>
      </c>
      <c r="E689" s="95">
        <f>IFERROR(ROUND(1440/C689*2*D689,0),"")</f>
        <v/>
      </c>
      <c r="F689" s="96" t="n"/>
      <c r="G689" s="97" t="n"/>
      <c r="H689" s="74" t="n"/>
      <c r="I689" s="75" t="inlineStr">
        <is>
          <t>ID295/75R22.5-16PR(146/143M)[STEALTH S01]BLACKARROW无内</t>
        </is>
      </c>
      <c r="J689" s="76" t="n">
        <v>769.604059</v>
      </c>
      <c r="L689" s="77" t="n"/>
      <c r="M689" s="77" t="n">
        <v>0</v>
      </c>
    </row>
    <row r="690" customFormat="1" s="69">
      <c r="B690" s="92" t="n"/>
      <c r="C690" s="93" t="n"/>
      <c r="D690" s="495">
        <f>IF(C690="","",C690/(C690+$E$1/60))</f>
        <v/>
      </c>
      <c r="E690" s="95">
        <f>IFERROR(ROUND(1440/C690*2*D690,0),"")</f>
        <v/>
      </c>
      <c r="F690" s="96" t="n"/>
      <c r="G690" s="97" t="n"/>
      <c r="H690" s="74" t="n"/>
      <c r="I690" s="75" t="inlineStr">
        <is>
          <t>ID295/75R22.5-16PR(146/143L)[CR989+]朝阳无内</t>
        </is>
      </c>
      <c r="J690" s="76" t="n">
        <v>769.604059</v>
      </c>
      <c r="L690" s="77" t="n"/>
      <c r="M690" s="77" t="n">
        <v>0</v>
      </c>
    </row>
    <row r="691" customFormat="1" s="69">
      <c r="B691" s="92" t="n"/>
      <c r="C691" s="93" t="n"/>
      <c r="D691" s="495">
        <f>IF(C691="","",C691/(C691+$E$1/60))</f>
        <v/>
      </c>
      <c r="E691" s="95">
        <f>IFERROR(ROUND(1440/C691*2*D691,0),"")</f>
        <v/>
      </c>
      <c r="F691" s="96" t="n"/>
      <c r="G691" s="97" t="n"/>
      <c r="H691" s="74" t="n"/>
      <c r="I691" s="75" t="inlineStr">
        <is>
          <t>ID295/75R22.5-16PR(146/143L)[AS600+]ARISUN无内</t>
        </is>
      </c>
      <c r="J691" s="76" t="n">
        <v>769.604059</v>
      </c>
      <c r="L691" s="77" t="n"/>
      <c r="M691" s="77" t="n">
        <v>0</v>
      </c>
    </row>
    <row r="692" customFormat="1" s="69">
      <c r="B692" s="92" t="n"/>
      <c r="C692" s="93" t="n"/>
      <c r="D692" s="495">
        <f>IF(C692="","",C692/(C692+$E$1/60))</f>
        <v/>
      </c>
      <c r="E692" s="95">
        <f>IFERROR(ROUND(1440/C692*2*D692,0),"")</f>
        <v/>
      </c>
      <c r="F692" s="96" t="n"/>
      <c r="G692" s="97" t="n"/>
      <c r="H692" s="74" t="n"/>
      <c r="I692" s="75" t="inlineStr">
        <is>
          <t>ID215/75R17.5-16PR(135/133L)[AS673]ARISUN无内</t>
        </is>
      </c>
      <c r="J692" s="76" t="n">
        <v>402.482395</v>
      </c>
      <c r="L692" s="77" t="n"/>
      <c r="M692" s="77" t="n">
        <v>0</v>
      </c>
    </row>
    <row r="693" customFormat="1" s="69">
      <c r="B693" s="92" t="n"/>
      <c r="C693" s="93" t="n"/>
      <c r="D693" s="495">
        <f>IF(C693="","",C693/(C693+$E$1/60))</f>
        <v/>
      </c>
      <c r="E693" s="95">
        <f>IFERROR(ROUND(1440/C693*2*D693,0),"")</f>
        <v/>
      </c>
      <c r="F693" s="96" t="n"/>
      <c r="G693" s="97" t="n"/>
      <c r="H693" s="74" t="n"/>
      <c r="I693" s="75" t="inlineStr">
        <is>
          <t>ID11R22.5-14PR(144/142M)[AT598]威狮无内</t>
        </is>
      </c>
      <c r="J693" s="76" t="n">
        <v>705.1366420000001</v>
      </c>
      <c r="L693" s="77" t="n"/>
      <c r="M693" s="77" t="n">
        <v>0</v>
      </c>
    </row>
    <row r="694" customFormat="1" s="69">
      <c r="B694" s="92" t="n"/>
      <c r="C694" s="93" t="n"/>
      <c r="D694" s="495">
        <f>IF(C694="","",C694/(C694+$E$1/60))</f>
        <v/>
      </c>
      <c r="E694" s="95">
        <f>IFERROR(ROUND(1440/C694*2*D694,0),"")</f>
        <v/>
      </c>
      <c r="F694" s="96" t="n"/>
      <c r="G694" s="97" t="n"/>
      <c r="H694" s="74" t="n"/>
      <c r="I694" s="75" t="inlineStr">
        <is>
          <t>IDST205/75R15-8PR[STZC]107/102L 朝阳无内</t>
        </is>
      </c>
      <c r="J694" s="76" t="n">
        <v>158.552863</v>
      </c>
      <c r="L694" s="77" t="n"/>
      <c r="M694" s="77" t="n">
        <v>0</v>
      </c>
    </row>
    <row r="695" customFormat="1" s="69">
      <c r="B695" s="92" t="n"/>
      <c r="C695" s="93" t="n"/>
      <c r="D695" s="495">
        <f>IF(C695="","",C695/(C695+$E$1/60))</f>
        <v/>
      </c>
      <c r="E695" s="95">
        <f>IFERROR(ROUND(1440/C695*2*D695,0),"")</f>
        <v/>
      </c>
      <c r="F695" s="96" t="n"/>
      <c r="G695" s="97" t="n"/>
      <c r="H695" s="74" t="n"/>
      <c r="I695" s="75" t="inlineStr">
        <is>
          <t>IDST175/80R13-6PR[ST226]91/87L CASTLE ROCK无内 NR</t>
        </is>
      </c>
      <c r="J695" s="76" t="n">
        <v>110.135809</v>
      </c>
      <c r="L695" s="77" t="n"/>
      <c r="M695" s="77" t="n">
        <v>0</v>
      </c>
    </row>
    <row r="696" customFormat="1" s="69">
      <c r="B696" s="92" t="n"/>
      <c r="C696" s="93" t="n"/>
      <c r="D696" s="495">
        <f>IF(C696="","",C696/(C696+$E$1/60))</f>
        <v/>
      </c>
      <c r="E696" s="95">
        <f>IFERROR(ROUND(1440/C696*2*D696,0),"")</f>
        <v/>
      </c>
      <c r="F696" s="96" t="n"/>
      <c r="G696" s="97" t="n"/>
      <c r="H696" s="74" t="n"/>
      <c r="I696" s="75" t="inlineStr">
        <is>
          <t>ID315/80R22.5-20PR(161/157J)[VDM924]VITOUR无内</t>
        </is>
      </c>
      <c r="J696" s="76" t="n">
        <v>1053.679996</v>
      </c>
      <c r="L696" s="77" t="n"/>
      <c r="M696" s="77" t="n">
        <v>0</v>
      </c>
    </row>
    <row r="697" customFormat="1" s="69">
      <c r="B697" s="92" t="n"/>
      <c r="C697" s="93" t="n"/>
      <c r="D697" s="495">
        <f>IF(C697="","",C697/(C697+$E$1/60))</f>
        <v/>
      </c>
      <c r="E697" s="95">
        <f>IFERROR(ROUND(1440/C697*2*D697,0),"")</f>
        <v/>
      </c>
      <c r="F697" s="96" t="n"/>
      <c r="G697" s="97" t="n"/>
      <c r="H697" s="74" t="n"/>
      <c r="I697" s="75" t="inlineStr">
        <is>
          <t>ID295/80R22.5-18PR(152/149M)[Strong Guard H-RA]HERCULES无内</t>
        </is>
      </c>
      <c r="J697" s="76" t="n">
        <v>824.728915</v>
      </c>
      <c r="L697" s="77" t="n"/>
      <c r="M697" s="77" t="n">
        <v>0</v>
      </c>
    </row>
    <row r="698" customFormat="1" s="69">
      <c r="B698" s="92" t="n"/>
      <c r="C698" s="93" t="n"/>
      <c r="D698" s="495">
        <f>IF(C698="","",C698/(C698+$E$1/60))</f>
        <v/>
      </c>
      <c r="E698" s="95">
        <f>IFERROR(ROUND(1440/C698*2*D698,0),"")</f>
        <v/>
      </c>
      <c r="F698" s="96" t="n"/>
      <c r="G698" s="97" t="n"/>
      <c r="H698" s="74" t="n"/>
      <c r="I698" s="75" t="inlineStr">
        <is>
          <t>ID11R22.5-18PR(149/146L)[AS858]威狮无内</t>
        </is>
      </c>
      <c r="J698" s="76" t="n">
        <v>851.583452</v>
      </c>
      <c r="L698" s="77" t="n"/>
      <c r="M698" s="77" t="n">
        <v>0</v>
      </c>
    </row>
    <row r="699" customFormat="1" s="69">
      <c r="B699" s="92" t="n"/>
      <c r="C699" s="93" t="n"/>
      <c r="D699" s="495">
        <f>IF(C699="","",C699/(C699+$E$1/60))</f>
        <v/>
      </c>
      <c r="E699" s="95">
        <f>IFERROR(ROUND(1440/C699*2*D699,0),"")</f>
        <v/>
      </c>
      <c r="F699" s="96" t="n"/>
      <c r="G699" s="97" t="n"/>
      <c r="H699" s="74" t="n"/>
      <c r="I699" s="75" t="inlineStr">
        <is>
          <t>ID(LB1105)ATV 26×12R12/8[AR11]FREE COUNTRY TL BUFFALO</t>
        </is>
      </c>
      <c r="J699" s="76" t="n">
        <v>229.76</v>
      </c>
      <c r="L699" s="77" t="n"/>
      <c r="M699" s="77" t="n">
        <v>0</v>
      </c>
    </row>
    <row r="700" customFormat="1" s="69">
      <c r="B700" s="92" t="n"/>
      <c r="C700" s="93" t="n"/>
      <c r="D700" s="495">
        <f>IF(C700="","",C700/(C700+$E$1/60))</f>
        <v/>
      </c>
      <c r="E700" s="95">
        <f>IFERROR(ROUND(1440/C700*2*D700,0),"")</f>
        <v/>
      </c>
      <c r="F700" s="96" t="n"/>
      <c r="G700" s="97" t="n"/>
      <c r="H700" s="74" t="n"/>
      <c r="I700" s="75" t="inlineStr">
        <is>
          <t>ID295/80R22.5-18PR(152/149J)[CB972]朝阳无内</t>
        </is>
      </c>
      <c r="J700" s="76" t="n">
        <v>890.84</v>
      </c>
      <c r="L700" s="77" t="n"/>
      <c r="M700" s="77" t="n">
        <v>0</v>
      </c>
    </row>
    <row r="701" customFormat="1" s="69">
      <c r="B701" s="92" t="n"/>
      <c r="C701" s="93" t="n"/>
      <c r="D701" s="495">
        <f>IF(C701="","",C701/(C701+$E$1/60))</f>
        <v/>
      </c>
      <c r="E701" s="95">
        <f>IFERROR(ROUND(1440/C701*2*D701,0),"")</f>
        <v/>
      </c>
      <c r="F701" s="96" t="n"/>
      <c r="G701" s="97" t="n"/>
      <c r="H701" s="74" t="n"/>
      <c r="I701" s="75" t="inlineStr">
        <is>
          <t>ID295/75R22.5-16PR(146/143L)[CM996]朝阳无内</t>
        </is>
      </c>
      <c r="J701" s="76" t="n">
        <v>784.78</v>
      </c>
      <c r="L701" s="77" t="n"/>
      <c r="M701" s="77" t="n">
        <v>0</v>
      </c>
    </row>
    <row r="702" customFormat="1" s="69">
      <c r="B702" s="92" t="n"/>
      <c r="C702" s="93" t="n"/>
      <c r="D702" s="495">
        <f>IF(C702="","",C702/(C702+$E$1/60))</f>
        <v/>
      </c>
      <c r="E702" s="95">
        <f>IFERROR(ROUND(1440/C702*2*D702,0),"")</f>
        <v/>
      </c>
      <c r="F702" s="96" t="n"/>
      <c r="G702" s="97" t="n"/>
      <c r="H702" s="74" t="n"/>
      <c r="I702" s="75" t="inlineStr">
        <is>
          <t>ID11R24.5-16PR(149/146L)[AD778]ARISUN无内</t>
        </is>
      </c>
      <c r="J702" s="76" t="n">
        <v>911.3</v>
      </c>
      <c r="L702" s="77" t="n"/>
      <c r="M702" s="77" t="n">
        <v>0</v>
      </c>
    </row>
    <row r="703" customFormat="1" s="69">
      <c r="B703" s="92" t="n"/>
      <c r="C703" s="93" t="n"/>
      <c r="D703" s="495">
        <f>IF(C703="","",C703/(C703+$E$1/60))</f>
        <v/>
      </c>
      <c r="E703" s="95">
        <f>IFERROR(ROUND(1440/C703*2*D703,0),"")</f>
        <v/>
      </c>
      <c r="F703" s="96" t="n"/>
      <c r="G703" s="97" t="n"/>
      <c r="H703" s="74" t="n"/>
      <c r="I703" s="75" t="inlineStr">
        <is>
          <t>ID11R22.5-16PR(146/143L)[AD778]ARISUN无内</t>
        </is>
      </c>
      <c r="J703" s="76" t="n">
        <v>854.7</v>
      </c>
      <c r="L703" s="77" t="n"/>
      <c r="M703" s="77" t="n">
        <v>0</v>
      </c>
    </row>
    <row r="704" customFormat="1" s="69">
      <c r="B704" s="92" t="n"/>
      <c r="C704" s="93" t="n"/>
      <c r="D704" s="495">
        <f>IF(C704="","",C704/(C704+$E$1/60))</f>
        <v/>
      </c>
      <c r="E704" s="95">
        <f>IFERROR(ROUND(1440/C704*2*D704,0),"")</f>
        <v/>
      </c>
      <c r="F704" s="96" t="n"/>
      <c r="G704" s="97" t="n"/>
      <c r="H704" s="74" t="n"/>
      <c r="I704" s="75" t="inlineStr">
        <is>
          <t>ID11R22.5-16PR(146/143L)[Strong Guard H-RD]HERCULES无内</t>
        </is>
      </c>
      <c r="J704" s="76" t="n">
        <v>791.1</v>
      </c>
      <c r="L704" s="77" t="n"/>
      <c r="M704" s="77" t="n">
        <v>0</v>
      </c>
    </row>
    <row r="705" customFormat="1" s="69">
      <c r="B705" s="92" t="n"/>
      <c r="C705" s="93" t="n"/>
      <c r="D705" s="495">
        <f>IF(C705="","",C705/(C705+$E$1/60))</f>
        <v/>
      </c>
      <c r="E705" s="95">
        <f>IFERROR(ROUND(1440/C705*2*D705,0),"")</f>
        <v/>
      </c>
      <c r="F705" s="96" t="n"/>
      <c r="G705" s="97" t="n"/>
      <c r="H705" s="74" t="n"/>
      <c r="I705" s="75" t="inlineStr">
        <is>
          <t>ID12.00R20-20PR(156/153F)[TZ101]天力</t>
        </is>
      </c>
      <c r="J705" s="76" t="n">
        <v>1163.392909</v>
      </c>
      <c r="L705" s="77" t="n"/>
      <c r="M705" s="77" t="n">
        <v>0</v>
      </c>
    </row>
    <row r="706" customFormat="1" s="69">
      <c r="B706" s="92" t="n"/>
      <c r="C706" s="93" t="n"/>
      <c r="D706" s="495">
        <f>IF(C706="","",C706/(C706+$E$1/60))</f>
        <v/>
      </c>
      <c r="E706" s="95">
        <f>IFERROR(ROUND(1440/C706*2*D706,0),"")</f>
        <v/>
      </c>
      <c r="F706" s="96" t="n"/>
      <c r="G706" s="97" t="n"/>
      <c r="H706" s="74" t="n"/>
      <c r="I706" s="75" t="inlineStr">
        <is>
          <t>ID11.00R20-18PR(152/149K)[TZ202]C级TIANLI</t>
        </is>
      </c>
      <c r="J706" s="76" t="n">
        <v>925.293663</v>
      </c>
      <c r="L706" s="77" t="n"/>
      <c r="M706" s="77" t="n">
        <v>0</v>
      </c>
    </row>
    <row r="707" customFormat="1" s="69">
      <c r="B707" s="92" t="n"/>
      <c r="C707" s="93" t="n"/>
      <c r="D707" s="495">
        <f>IF(C707="","",C707/(C707+$E$1/60))</f>
        <v/>
      </c>
      <c r="E707" s="95">
        <f>IFERROR(ROUND(1440/C707*2*D707,0),"")</f>
        <v/>
      </c>
      <c r="F707" s="96" t="n"/>
      <c r="G707" s="97" t="n"/>
      <c r="H707" s="74" t="n"/>
      <c r="I707" s="75" t="inlineStr">
        <is>
          <t>ID11.00R20-18PR(152/149K)[AZ850]C级雅度</t>
        </is>
      </c>
      <c r="J707" s="76" t="n">
        <v>988.566677</v>
      </c>
      <c r="L707" s="77" t="n"/>
      <c r="M707" s="77" t="n">
        <v>0</v>
      </c>
    </row>
    <row r="708" customFormat="1" s="69">
      <c r="B708" s="92" t="n"/>
      <c r="C708" s="93" t="n"/>
      <c r="D708" s="495">
        <f>IF(C708="","",C708/(C708+$E$1/60))</f>
        <v/>
      </c>
      <c r="E708" s="95">
        <f>IFERROR(ROUND(1440/C708*2*D708,0),"")</f>
        <v/>
      </c>
      <c r="F708" s="96" t="n"/>
      <c r="G708" s="97" t="n"/>
      <c r="H708" s="74" t="n"/>
      <c r="I708" s="75" t="inlineStr">
        <is>
          <t>ID11.00R20-18PR(152/149K)[CR926+]C级威狮</t>
        </is>
      </c>
      <c r="J708" s="76" t="n">
        <v>925.293663</v>
      </c>
      <c r="L708" s="77" t="n"/>
      <c r="M708" s="77" t="n">
        <v>0</v>
      </c>
    </row>
    <row r="709" customFormat="1" s="69">
      <c r="B709" s="92" t="n"/>
      <c r="C709" s="93" t="n"/>
      <c r="D709" s="495">
        <f>IF(C709="","",C709/(C709+$E$1/60))</f>
        <v/>
      </c>
      <c r="E709" s="95">
        <f>IFERROR(ROUND(1440/C709*2*D709,0),"")</f>
        <v/>
      </c>
      <c r="F709" s="96" t="n"/>
      <c r="G709" s="97" t="n"/>
      <c r="H709" s="74" t="n"/>
      <c r="I709" s="75" t="inlineStr">
        <is>
          <t>ID11.00R20-18PR(152/149K)[CR926+]C级ARISUN</t>
        </is>
      </c>
      <c r="J709" s="76" t="n">
        <v>925.293663</v>
      </c>
      <c r="L709" s="77" t="n"/>
      <c r="M709" s="77" t="n">
        <v>0</v>
      </c>
    </row>
    <row r="710" customFormat="1" s="69">
      <c r="B710" s="92" t="n"/>
      <c r="C710" s="93" t="n"/>
      <c r="D710" s="495">
        <f>IF(C710="","",C710/(C710+$E$1/60))</f>
        <v/>
      </c>
      <c r="E710" s="95">
        <f>IFERROR(ROUND(1440/C710*2*D710,0),"")</f>
        <v/>
      </c>
      <c r="F710" s="96" t="n"/>
      <c r="G710" s="97" t="n"/>
      <c r="H710" s="74" t="n"/>
      <c r="I710" s="75" t="inlineStr">
        <is>
          <t>ID11.00R20-18PR(152/149K)[CR926+]C级金冠</t>
        </is>
      </c>
      <c r="J710" s="76" t="n">
        <v>925.293663</v>
      </c>
      <c r="L710" s="77" t="n"/>
      <c r="M710" s="77" t="n">
        <v>0</v>
      </c>
    </row>
    <row r="711" customFormat="1" s="69">
      <c r="B711" s="92" t="n"/>
      <c r="C711" s="93" t="n"/>
      <c r="D711" s="495">
        <f>IF(C711="","",C711/(C711+$E$1/60))</f>
        <v/>
      </c>
      <c r="E711" s="95">
        <f>IFERROR(ROUND(1440/C711*2*D711,0),"")</f>
        <v/>
      </c>
      <c r="F711" s="96" t="n"/>
      <c r="G711" s="97" t="n"/>
      <c r="H711" s="74" t="n"/>
      <c r="I711" s="75" t="inlineStr">
        <is>
          <t>ID11.00R20-18PR(152/149F)[CB332A]C级威狮</t>
        </is>
      </c>
      <c r="J711" s="76" t="n">
        <v>1018.714613</v>
      </c>
      <c r="L711" s="77" t="n"/>
      <c r="M711" s="77" t="n">
        <v>0</v>
      </c>
    </row>
    <row r="712" customFormat="1" s="69">
      <c r="B712" s="92" t="n"/>
      <c r="C712" s="93" t="n"/>
      <c r="D712" s="495">
        <f>IF(C712="","",C712/(C712+$E$1/60))</f>
        <v/>
      </c>
      <c r="E712" s="95">
        <f>IFERROR(ROUND(1440/C712*2*D712,0),"")</f>
        <v/>
      </c>
      <c r="F712" s="96" t="n"/>
      <c r="G712" s="97" t="n"/>
      <c r="H712" s="74" t="n"/>
      <c r="I712" s="75" t="inlineStr">
        <is>
          <t>ID11.00R20-18PR(152/149F)[CB905A]C级雅度</t>
        </is>
      </c>
      <c r="J712" s="76" t="n">
        <v>1018.714613</v>
      </c>
      <c r="L712" s="77" t="n"/>
      <c r="M712" s="77" t="n">
        <v>0</v>
      </c>
    </row>
    <row r="713" customFormat="1" s="69">
      <c r="B713" s="92" t="n"/>
      <c r="C713" s="93" t="n"/>
      <c r="D713" s="495">
        <f>IF(C713="","",C713/(C713+$E$1/60))</f>
        <v/>
      </c>
      <c r="E713" s="95">
        <f>IFERROR(ROUND(1440/C713*2*D713,0),"")</f>
        <v/>
      </c>
      <c r="F713" s="96" t="n"/>
      <c r="G713" s="97" t="n"/>
      <c r="H713" s="74" t="n"/>
      <c r="I713" s="75" t="inlineStr">
        <is>
          <t>ID10.00R20-18PR(149/146J)[CR926]C级ARISUN</t>
        </is>
      </c>
      <c r="J713" s="76" t="n">
        <v>903.423129</v>
      </c>
      <c r="L713" s="77" t="n"/>
      <c r="M713" s="77" t="n">
        <v>0</v>
      </c>
    </row>
    <row r="714" customFormat="1" s="69">
      <c r="B714" s="92" t="n"/>
      <c r="C714" s="93" t="n"/>
      <c r="D714" s="495">
        <f>IF(C714="","",C714/(C714+$E$1/60))</f>
        <v/>
      </c>
      <c r="E714" s="95">
        <f>IFERROR(ROUND(1440/C714*2*D714,0),"")</f>
        <v/>
      </c>
      <c r="F714" s="96" t="n"/>
      <c r="G714" s="97" t="n"/>
      <c r="H714" s="74" t="n"/>
      <c r="I714" s="75" t="inlineStr">
        <is>
          <t>ID10.00R20-18PR(149/146K)[MOBY.R856X]C级EFFIPLUS</t>
        </is>
      </c>
      <c r="J714" s="76" t="n">
        <v>928.314121</v>
      </c>
      <c r="L714" s="77" t="n"/>
      <c r="M714" s="77" t="n">
        <v>0</v>
      </c>
    </row>
    <row r="715" customFormat="1" s="69">
      <c r="B715" s="92" t="n"/>
      <c r="C715" s="93" t="n"/>
      <c r="D715" s="495">
        <f>IF(C715="","",C715/(C715+$E$1/60))</f>
        <v/>
      </c>
      <c r="E715" s="95">
        <f>IFERROR(ROUND(1440/C715*2*D715,0),"")</f>
        <v/>
      </c>
      <c r="F715" s="96" t="n"/>
      <c r="G715" s="97" t="n"/>
      <c r="H715" s="74" t="n"/>
      <c r="I715" s="75" t="inlineStr">
        <is>
          <t>ID7.50R16-14PR(122/118L)[CM988]C级金冠</t>
        </is>
      </c>
      <c r="J715" s="76" t="n">
        <v>446.181694</v>
      </c>
      <c r="L715" s="77" t="n"/>
      <c r="M715" s="77" t="n">
        <v>0</v>
      </c>
    </row>
    <row r="716" customFormat="1" s="69">
      <c r="B716" s="92" t="n"/>
      <c r="C716" s="93" t="n"/>
      <c r="D716" s="495">
        <f>IF(C716="","",C716/(C716+$E$1/60))</f>
        <v/>
      </c>
      <c r="E716" s="95">
        <f>IFERROR(ROUND(1440/C716*2*D716,0),"")</f>
        <v/>
      </c>
      <c r="F716" s="96" t="n"/>
      <c r="G716" s="97" t="n"/>
      <c r="H716" s="74" t="n"/>
      <c r="I716" s="75" t="inlineStr">
        <is>
          <t>ID315/80R22.5-20PR(157/154K)[CM958]C级雅度无内</t>
        </is>
      </c>
      <c r="J716" s="76" t="n">
        <v>986.903533</v>
      </c>
      <c r="L716" s="77" t="n"/>
      <c r="M716" s="77" t="n">
        <v>0</v>
      </c>
    </row>
    <row r="717" customFormat="1" s="69">
      <c r="B717" s="92" t="n"/>
      <c r="C717" s="93" t="n"/>
      <c r="D717" s="495">
        <f>IF(C717="","",C717/(C717+$E$1/60))</f>
        <v/>
      </c>
      <c r="E717" s="95">
        <f>IFERROR(ROUND(1440/C717*2*D717,0),"")</f>
        <v/>
      </c>
      <c r="F717" s="96" t="n"/>
      <c r="G717" s="97" t="n"/>
      <c r="H717" s="74" t="n"/>
      <c r="I717" s="75" t="inlineStr">
        <is>
          <t>ID315/80R22.5-20PR(157/154K)[CR926B]C级威狮无内</t>
        </is>
      </c>
      <c r="J717" s="76" t="n">
        <v>949.8509790000001</v>
      </c>
      <c r="L717" s="77" t="n"/>
      <c r="M717" s="77" t="n">
        <v>0</v>
      </c>
    </row>
    <row r="718" customFormat="1" s="69">
      <c r="B718" s="92" t="n"/>
      <c r="C718" s="93" t="n"/>
      <c r="D718" s="495">
        <f>IF(C718="","",C718/(C718+$E$1/60))</f>
        <v/>
      </c>
      <c r="E718" s="95">
        <f>IFERROR(ROUND(1440/C718*2*D718,0),"")</f>
        <v/>
      </c>
      <c r="F718" s="96" t="n"/>
      <c r="G718" s="97" t="n"/>
      <c r="H718" s="74" t="n"/>
      <c r="I718" s="75" t="inlineStr">
        <is>
          <t>ID315/80R22.5-20PR(161/157K)[VA996]C级VITOUR无内</t>
        </is>
      </c>
      <c r="J718" s="76" t="n">
        <v>976.4361740000001</v>
      </c>
      <c r="L718" s="77" t="n"/>
      <c r="M718" s="77" t="n">
        <v>0</v>
      </c>
    </row>
    <row r="719" customFormat="1" s="69">
      <c r="B719" s="92" t="n"/>
      <c r="C719" s="93" t="n"/>
      <c r="D719" s="495">
        <f>IF(C719="","",C719/(C719+$E$1/60))</f>
        <v/>
      </c>
      <c r="E719" s="95">
        <f>IFERROR(ROUND(1440/C719*2*D719,0),"")</f>
        <v/>
      </c>
      <c r="F719" s="96" t="n"/>
      <c r="G719" s="97" t="n"/>
      <c r="H719" s="74" t="n"/>
      <c r="I719" s="75" t="inlineStr">
        <is>
          <t>ID315/80R22.5-20PR(161/157K)[I-31M]C级IRONMAN无内</t>
        </is>
      </c>
      <c r="J719" s="76" t="n">
        <v>972.532974</v>
      </c>
      <c r="L719" s="77" t="n"/>
      <c r="M719" s="77" t="n">
        <v>0</v>
      </c>
    </row>
    <row r="720" customFormat="1" s="69">
      <c r="B720" s="92" t="n"/>
      <c r="C720" s="93" t="n"/>
      <c r="D720" s="495">
        <f>IF(C720="","",C720/(C720+$E$1/60))</f>
        <v/>
      </c>
      <c r="E720" s="95">
        <f>IFERROR(ROUND(1440/C720*2*D720,0),"")</f>
        <v/>
      </c>
      <c r="F720" s="96" t="n"/>
      <c r="G720" s="97" t="n"/>
      <c r="H720" s="74" t="n"/>
      <c r="I720" s="75" t="inlineStr">
        <is>
          <t>ID295/80R22.5-18PR(152/149M)[RF35]C级RODOFORT无内</t>
        </is>
      </c>
      <c r="J720" s="76" t="n">
        <v>772.852997</v>
      </c>
      <c r="L720" s="77" t="n"/>
      <c r="M720" s="77" t="n">
        <v>0</v>
      </c>
    </row>
    <row r="721" customFormat="1" s="69">
      <c r="B721" s="92" t="n"/>
      <c r="C721" s="93" t="n"/>
      <c r="D721" s="495">
        <f>IF(C721="","",C721/(C721+$E$1/60))</f>
        <v/>
      </c>
      <c r="E721" s="95">
        <f>IFERROR(ROUND(1440/C721*2*D721,0),"")</f>
        <v/>
      </c>
      <c r="F721" s="96" t="n"/>
      <c r="G721" s="97" t="n"/>
      <c r="H721" s="74" t="n"/>
      <c r="I721" s="75" t="inlineStr">
        <is>
          <t>ID295/80R22.5-18PR(152/149M)[AT167]C级金冠无内</t>
        </is>
      </c>
      <c r="J721" s="76" t="n">
        <v>746.630038</v>
      </c>
      <c r="L721" s="77" t="n"/>
      <c r="M721" s="77" t="n">
        <v>0</v>
      </c>
    </row>
    <row r="722" customFormat="1" s="69">
      <c r="B722" s="92" t="n"/>
      <c r="C722" s="93" t="n"/>
      <c r="D722" s="495">
        <f>IF(C722="","",C722/(C722+$E$1/60))</f>
        <v/>
      </c>
      <c r="E722" s="95">
        <f>IFERROR(ROUND(1440/C722*2*D722,0),"")</f>
        <v/>
      </c>
      <c r="F722" s="96" t="n"/>
      <c r="G722" s="97" t="n"/>
      <c r="H722" s="74" t="n"/>
      <c r="I722" s="75" t="inlineStr">
        <is>
          <t>ID295/80R22.5-18PR(152/149M)[ECOLINE A-I]C级NEBULA无内</t>
        </is>
      </c>
      <c r="J722" s="76" t="n">
        <v>758.343446</v>
      </c>
      <c r="L722" s="77" t="n"/>
      <c r="M722" s="77" t="n">
        <v>0</v>
      </c>
    </row>
    <row r="723" customFormat="1" s="69">
      <c r="B723" s="92" t="n"/>
      <c r="C723" s="93" t="n"/>
      <c r="D723" s="495">
        <f>IF(C723="","",C723/(C723+$E$1/60))</f>
        <v/>
      </c>
      <c r="E723" s="95">
        <f>IFERROR(ROUND(1440/C723*2*D723,0),"")</f>
        <v/>
      </c>
      <c r="F723" s="96" t="n"/>
      <c r="G723" s="97" t="n"/>
      <c r="H723" s="74" t="n"/>
      <c r="I723" s="75" t="inlineStr">
        <is>
          <t>ID295/80R22.5-18PR(152/149M)[AS567]C级威狮无内</t>
        </is>
      </c>
      <c r="J723" s="76" t="n">
        <v>824.399513</v>
      </c>
      <c r="L723" s="77" t="n"/>
      <c r="M723" s="77" t="n">
        <v>0</v>
      </c>
    </row>
    <row r="724" customFormat="1" s="69">
      <c r="B724" s="92" t="n"/>
      <c r="C724" s="93" t="n"/>
      <c r="D724" s="495">
        <f>IF(C724="","",C724/(C724+$E$1/60))</f>
        <v/>
      </c>
      <c r="E724" s="95">
        <f>IFERROR(ROUND(1440/C724*2*D724,0),"")</f>
        <v/>
      </c>
      <c r="F724" s="96" t="n"/>
      <c r="G724" s="97" t="n"/>
      <c r="H724" s="74" t="n"/>
      <c r="I724" s="75" t="inlineStr">
        <is>
          <t>ID295/80R22.5-18PR(154/149M)[WSR1]C级威狮无内</t>
        </is>
      </c>
      <c r="J724" s="76" t="n">
        <v>902.849668</v>
      </c>
      <c r="L724" s="77" t="n"/>
      <c r="M724" s="77" t="n">
        <v>0</v>
      </c>
    </row>
    <row r="725" customFormat="1" s="69">
      <c r="B725" s="92" t="n"/>
      <c r="C725" s="93" t="n"/>
      <c r="D725" s="495">
        <f>IF(C725="","",C725/(C725+$E$1/60))</f>
        <v/>
      </c>
      <c r="E725" s="95">
        <f>IFERROR(ROUND(1440/C725*2*D725,0),"")</f>
        <v/>
      </c>
      <c r="F725" s="96" t="n"/>
      <c r="G725" s="97" t="n"/>
      <c r="H725" s="74" t="n"/>
      <c r="I725" s="75" t="inlineStr">
        <is>
          <t>ID295/80R22.5-18PR(154/149L)[WDA2]C级威狮无内</t>
        </is>
      </c>
      <c r="J725" s="76" t="n">
        <v>1004.658809</v>
      </c>
      <c r="L725" s="77" t="n"/>
      <c r="M725" s="77" t="n">
        <v>0</v>
      </c>
    </row>
    <row r="726" customFormat="1" s="69">
      <c r="B726" s="92" t="n"/>
      <c r="C726" s="93" t="n"/>
      <c r="D726" s="495">
        <f>IF(C726="","",C726/(C726+$E$1/60))</f>
        <v/>
      </c>
      <c r="E726" s="95">
        <f>IFERROR(ROUND(1440/C726*2*D726,0),"")</f>
        <v/>
      </c>
      <c r="F726" s="96" t="n"/>
      <c r="G726" s="97" t="n"/>
      <c r="H726" s="74" t="n"/>
      <c r="I726" s="75" t="inlineStr">
        <is>
          <t>ID295/75R22.5-16PR(146/143M)[AS200]C级ANTINI无内</t>
        </is>
      </c>
      <c r="J726" s="76" t="n">
        <v>798.105154</v>
      </c>
      <c r="L726" s="77" t="n"/>
      <c r="M726" s="77" t="n">
        <v>0</v>
      </c>
    </row>
    <row r="727" customFormat="1" s="69">
      <c r="B727" s="92" t="n"/>
      <c r="C727" s="93" t="n"/>
      <c r="D727" s="495">
        <f>IF(C727="","",C727/(C727+$E$1/60))</f>
        <v/>
      </c>
      <c r="E727" s="95">
        <f>IFERROR(ROUND(1440/C727*2*D727,0),"")</f>
        <v/>
      </c>
      <c r="F727" s="96" t="n"/>
      <c r="G727" s="97" t="n"/>
      <c r="H727" s="74" t="n"/>
      <c r="I727" s="75" t="inlineStr">
        <is>
          <t>ID295/75R22.5-16PR(146/143M)[AS201]C级ANTINI无内</t>
        </is>
      </c>
      <c r="J727" s="76" t="n">
        <v>798.105154</v>
      </c>
      <c r="L727" s="77" t="n"/>
      <c r="M727" s="77" t="n">
        <v>0</v>
      </c>
    </row>
    <row r="728" customFormat="1" s="69">
      <c r="B728" s="92" t="n"/>
      <c r="C728" s="93" t="n"/>
      <c r="D728" s="495">
        <f>IF(C728="","",C728/(C728+$E$1/60))</f>
        <v/>
      </c>
      <c r="E728" s="95">
        <f>IFERROR(ROUND(1440/C728*2*D728,0),"")</f>
        <v/>
      </c>
      <c r="F728" s="96" t="n"/>
      <c r="G728" s="97" t="n"/>
      <c r="H728" s="74" t="n"/>
      <c r="I728" s="75" t="inlineStr">
        <is>
          <t>ID295/75R22.5-16PR(146/143M)[I-19A]C级IRONMAN无内</t>
        </is>
      </c>
      <c r="J728" s="76" t="n">
        <v>747.197549</v>
      </c>
      <c r="L728" s="77" t="n"/>
      <c r="M728" s="77" t="n">
        <v>0</v>
      </c>
    </row>
    <row r="729" customFormat="1" s="69">
      <c r="B729" s="92" t="n"/>
      <c r="C729" s="93" t="n"/>
      <c r="D729" s="495">
        <f>IF(C729="","",C729/(C729+$E$1/60))</f>
        <v/>
      </c>
      <c r="E729" s="95">
        <f>IFERROR(ROUND(1440/C729*2*D729,0),"")</f>
        <v/>
      </c>
      <c r="F729" s="96" t="n"/>
      <c r="G729" s="97" t="n"/>
      <c r="H729" s="74" t="n"/>
      <c r="I729" s="75" t="inlineStr">
        <is>
          <t>ID295/75R22.5-16PR(146/143L)[VXD932]C级VITOUR无内</t>
        </is>
      </c>
      <c r="J729" s="76" t="n">
        <v>856.046968</v>
      </c>
      <c r="L729" s="77" t="n"/>
      <c r="M729" s="77" t="n">
        <v>0</v>
      </c>
    </row>
    <row r="730" customFormat="1" s="69">
      <c r="B730" s="92" t="n"/>
      <c r="C730" s="93" t="n"/>
      <c r="D730" s="495">
        <f>IF(C730="","",C730/(C730+$E$1/60))</f>
        <v/>
      </c>
      <c r="E730" s="95">
        <f>IFERROR(ROUND(1440/C730*2*D730,0),"")</f>
        <v/>
      </c>
      <c r="F730" s="96" t="n"/>
      <c r="G730" s="97" t="n"/>
      <c r="H730" s="74" t="n"/>
      <c r="I730" s="75" t="inlineStr">
        <is>
          <t>ID295/75R22.5-16PR(146/143L)[RLINE-D2]C级REDCLIFF无内</t>
        </is>
      </c>
      <c r="J730" s="76" t="n">
        <v>784.783937</v>
      </c>
      <c r="L730" s="77" t="n"/>
      <c r="M730" s="77" t="n">
        <v>0</v>
      </c>
    </row>
    <row r="731" customFormat="1" s="69">
      <c r="B731" s="92" t="n"/>
      <c r="C731" s="93" t="n"/>
      <c r="D731" s="495">
        <f>IF(C731="","",C731/(C731+$E$1/60))</f>
        <v/>
      </c>
      <c r="E731" s="95">
        <f>IFERROR(ROUND(1440/C731*2*D731,0),"")</f>
        <v/>
      </c>
      <c r="F731" s="96" t="n"/>
      <c r="G731" s="97" t="n"/>
      <c r="H731" s="74" t="n"/>
      <c r="I731" s="75" t="inlineStr">
        <is>
          <t>ID295/75R22.5-16PR(146/143L)[KOBE APM]C级ITARO无内</t>
        </is>
      </c>
      <c r="J731" s="76" t="n">
        <v>690.716103</v>
      </c>
      <c r="L731" s="77" t="n"/>
      <c r="M731" s="77" t="n">
        <v>0</v>
      </c>
    </row>
    <row r="732" customFormat="1" s="69">
      <c r="B732" s="92" t="n"/>
      <c r="C732" s="93" t="n"/>
      <c r="D732" s="495">
        <f>IF(C732="","",C732/(C732+$E$1/60))</f>
        <v/>
      </c>
      <c r="E732" s="95">
        <f>IFERROR(ROUND(1440/C732*2*D732,0),"")</f>
        <v/>
      </c>
      <c r="F732" s="96" t="n"/>
      <c r="G732" s="97" t="n"/>
      <c r="H732" s="74" t="n"/>
      <c r="I732" s="75" t="inlineStr">
        <is>
          <t>ID295/75R22.5-16PR(146/143L)[KOBE DPM]C级ITARO无内</t>
        </is>
      </c>
      <c r="J732" s="76" t="n">
        <v>730.3534560000001</v>
      </c>
      <c r="L732" s="77" t="n"/>
      <c r="M732" s="77" t="n">
        <v>0</v>
      </c>
    </row>
    <row r="733" customFormat="1" s="69">
      <c r="B733" s="92" t="n"/>
      <c r="C733" s="93" t="n"/>
      <c r="D733" s="495">
        <f>IF(C733="","",C733/(C733+$E$1/60))</f>
        <v/>
      </c>
      <c r="E733" s="95">
        <f>IFERROR(ROUND(1440/C733*2*D733,0),"")</f>
        <v/>
      </c>
      <c r="F733" s="96" t="n"/>
      <c r="G733" s="97" t="n"/>
      <c r="H733" s="74" t="n"/>
      <c r="I733" s="75" t="inlineStr">
        <is>
          <t>ID295/75R22.5-16PR(146/143L)[M-TRAC AP]C级MASTERTRACK无内</t>
        </is>
      </c>
      <c r="J733" s="76" t="n">
        <v>745.860346</v>
      </c>
      <c r="L733" s="77" t="n"/>
      <c r="M733" s="77" t="n">
        <v>0</v>
      </c>
    </row>
    <row r="734" customFormat="1" s="69">
      <c r="B734" s="92" t="n"/>
      <c r="C734" s="93" t="n"/>
      <c r="D734" s="495">
        <f>IF(C734="","",C734/(C734+$E$1/60))</f>
        <v/>
      </c>
      <c r="E734" s="95">
        <f>IFERROR(ROUND(1440/C734*2*D734,0),"")</f>
        <v/>
      </c>
      <c r="F734" s="96" t="n"/>
      <c r="G734" s="97" t="n"/>
      <c r="H734" s="74" t="n"/>
      <c r="I734" s="75" t="inlineStr">
        <is>
          <t>ID295/75R22.5-16PR(146/143L)[HD1 Plus]C级SUPERMAX无内</t>
        </is>
      </c>
      <c r="J734" s="76" t="n">
        <v>774.215309</v>
      </c>
      <c r="L734" s="77" t="n"/>
      <c r="M734" s="77" t="n">
        <v>0</v>
      </c>
    </row>
    <row r="735" customFormat="1" s="69">
      <c r="B735" s="92" t="n"/>
      <c r="C735" s="93" t="n"/>
      <c r="D735" s="495">
        <f>IF(C735="","",C735/(C735+$E$1/60))</f>
        <v/>
      </c>
      <c r="E735" s="95">
        <f>IFERROR(ROUND(1440/C735*2*D735,0),"")</f>
        <v/>
      </c>
      <c r="F735" s="96" t="n"/>
      <c r="G735" s="97" t="n"/>
      <c r="H735" s="74" t="n"/>
      <c r="I735" s="75" t="inlineStr">
        <is>
          <t>ID295/75R22.5-14PR(144/141M)[CR915]C级TRAZANO(全诺)无内</t>
        </is>
      </c>
      <c r="J735" s="76" t="n">
        <v>695.7755069999999</v>
      </c>
      <c r="L735" s="77" t="n"/>
      <c r="M735" s="77" t="n">
        <v>0</v>
      </c>
    </row>
    <row r="736" customFormat="1" s="69">
      <c r="B736" s="92" t="n"/>
      <c r="C736" s="93" t="n"/>
      <c r="D736" s="495">
        <f>IF(C736="","",C736/(C736+$E$1/60))</f>
        <v/>
      </c>
      <c r="E736" s="95">
        <f>IFERROR(ROUND(1440/C736*2*D736,0),"")</f>
        <v/>
      </c>
      <c r="F736" s="96" t="n"/>
      <c r="G736" s="97" t="n"/>
      <c r="H736" s="74" t="n"/>
      <c r="I736" s="75" t="inlineStr">
        <is>
          <t>ID295/75R22.5-14PR(144/141L)[I-37D]C级IRONMAN无内</t>
        </is>
      </c>
      <c r="J736" s="76" t="n">
        <v>802.151392</v>
      </c>
      <c r="L736" s="77" t="n"/>
      <c r="M736" s="77" t="n">
        <v>0</v>
      </c>
    </row>
    <row r="737" customFormat="1" s="69">
      <c r="B737" s="92" t="n"/>
      <c r="C737" s="93" t="n"/>
      <c r="D737" s="495">
        <f>IF(C737="","",C737/(C737+$E$1/60))</f>
        <v/>
      </c>
      <c r="E737" s="95">
        <f>IFERROR(ROUND(1440/C737*2*D737,0),"")</f>
        <v/>
      </c>
      <c r="F737" s="96" t="n"/>
      <c r="G737" s="97" t="n"/>
      <c r="H737" s="74" t="n"/>
      <c r="I737" s="75" t="inlineStr">
        <is>
          <t>ID285/75R24.5-16PR(147/144L)[VA996]C级VITOUR无内</t>
        </is>
      </c>
      <c r="J737" s="76" t="n">
        <v>837.560437</v>
      </c>
      <c r="L737" s="77" t="n"/>
      <c r="M737" s="77" t="n">
        <v>0</v>
      </c>
    </row>
    <row r="738" customFormat="1" s="69">
      <c r="B738" s="92" t="n"/>
      <c r="C738" s="93" t="n"/>
      <c r="D738" s="495">
        <f>IF(C738="","",C738/(C738+$E$1/60))</f>
        <v/>
      </c>
      <c r="E738" s="95">
        <f>IFERROR(ROUND(1440/C738*2*D738,0),"")</f>
        <v/>
      </c>
      <c r="F738" s="96" t="n"/>
      <c r="G738" s="97" t="n"/>
      <c r="H738" s="74" t="n"/>
      <c r="I738" s="75" t="inlineStr">
        <is>
          <t>ID285/75R24.5-14PR(144/141M)[I-19A]C级IRONMAN无内</t>
        </is>
      </c>
      <c r="J738" s="76" t="n">
        <v>757.318023</v>
      </c>
      <c r="L738" s="77" t="n"/>
      <c r="M738" s="77" t="n">
        <v>0</v>
      </c>
    </row>
    <row r="739" customFormat="1" s="69">
      <c r="B739" s="92" t="n"/>
      <c r="C739" s="93" t="n"/>
      <c r="D739" s="495">
        <f>IF(C739="","",C739/(C739+$E$1/60))</f>
        <v/>
      </c>
      <c r="E739" s="95">
        <f>IFERROR(ROUND(1440/C739*2*D739,0),"")</f>
        <v/>
      </c>
      <c r="F739" s="96" t="n"/>
      <c r="G739" s="97" t="n"/>
      <c r="H739" s="74" t="n"/>
      <c r="I739" s="75" t="inlineStr">
        <is>
          <t>ID285/75R24.5-14PR(144/141L)[Strong Guard H-TL]C级HERCULES无内</t>
        </is>
      </c>
      <c r="J739" s="76" t="n">
        <v>715.093967</v>
      </c>
      <c r="L739" s="77" t="n"/>
      <c r="M739" s="77" t="n">
        <v>0</v>
      </c>
    </row>
    <row r="740" customFormat="1" s="69">
      <c r="B740" s="92" t="n"/>
      <c r="C740" s="93" t="n"/>
      <c r="D740" s="495">
        <f>IF(C740="","",C740/(C740+$E$1/60))</f>
        <v/>
      </c>
      <c r="E740" s="95">
        <f>IFERROR(ROUND(1440/C740*2*D740,0),"")</f>
        <v/>
      </c>
      <c r="F740" s="96" t="n"/>
      <c r="G740" s="97" t="n"/>
      <c r="H740" s="74" t="n"/>
      <c r="I740" s="75" t="inlineStr">
        <is>
          <t>ID285/75R24.5-14PR(144/141L)[HF1 Plus]C级SUPERMAX无内</t>
        </is>
      </c>
      <c r="J740" s="76" t="n">
        <v>763.5454120000001</v>
      </c>
      <c r="L740" s="77" t="n"/>
      <c r="M740" s="77" t="n">
        <v>0</v>
      </c>
    </row>
    <row r="741" customFormat="1" s="69">
      <c r="B741" s="92" t="n"/>
      <c r="C741" s="93" t="n"/>
      <c r="D741" s="495">
        <f>IF(C741="","",C741/(C741+$E$1/60))</f>
        <v/>
      </c>
      <c r="E741" s="95">
        <f>IFERROR(ROUND(1440/C741*2*D741,0),"")</f>
        <v/>
      </c>
      <c r="F741" s="96" t="n"/>
      <c r="G741" s="97" t="n"/>
      <c r="H741" s="74" t="n"/>
      <c r="I741" s="75" t="inlineStr">
        <is>
          <t>ID285/75R24.5-14PR(144/141L)[HD1 Plus]C级SUPERMAX无内</t>
        </is>
      </c>
      <c r="J741" s="76" t="n">
        <v>822.848348</v>
      </c>
      <c r="L741" s="77" t="n"/>
      <c r="M741" s="77" t="n">
        <v>0</v>
      </c>
    </row>
    <row r="742" customFormat="1" s="69">
      <c r="B742" s="92" t="n"/>
      <c r="C742" s="93" t="n"/>
      <c r="D742" s="495">
        <f>IF(C742="","",C742/(C742+$E$1/60))</f>
        <v/>
      </c>
      <c r="E742" s="95">
        <f>IFERROR(ROUND(1440/C742*2*D742,0),"")</f>
        <v/>
      </c>
      <c r="F742" s="96" t="n"/>
      <c r="G742" s="97" t="n"/>
      <c r="H742" s="74" t="n"/>
      <c r="I742" s="75" t="inlineStr">
        <is>
          <t>ID285/75R24.5-14PR(144/141L)[I-28D]C级IRONMAN无内</t>
        </is>
      </c>
      <c r="J742" s="76" t="n">
        <v>862.032192</v>
      </c>
      <c r="L742" s="77" t="n"/>
      <c r="M742" s="77" t="n">
        <v>0</v>
      </c>
    </row>
    <row r="743" customFormat="1" s="69">
      <c r="B743" s="92" t="n"/>
      <c r="C743" s="93" t="n"/>
      <c r="D743" s="495">
        <f>IF(C743="","",C743/(C743+$E$1/60))</f>
        <v/>
      </c>
      <c r="E743" s="95">
        <f>IFERROR(ROUND(1440/C743*2*D743,0),"")</f>
        <v/>
      </c>
      <c r="F743" s="96" t="n"/>
      <c r="G743" s="97" t="n"/>
      <c r="H743" s="74" t="n"/>
      <c r="I743" s="75" t="inlineStr">
        <is>
          <t>ID245/70R19.5-16PR(136/134M)[HF1 Plus]C级SUPERMAX无内</t>
        </is>
      </c>
      <c r="J743" s="76" t="n">
        <v>528.894786</v>
      </c>
      <c r="L743" s="77" t="n"/>
      <c r="M743" s="77" t="n">
        <v>0</v>
      </c>
    </row>
    <row r="744" customFormat="1" s="69">
      <c r="B744" s="92" t="n"/>
      <c r="C744" s="93" t="n"/>
      <c r="D744" s="495">
        <f>IF(C744="","",C744/(C744+$E$1/60))</f>
        <v/>
      </c>
      <c r="E744" s="95">
        <f>IFERROR(ROUND(1440/C744*2*D744,0),"")</f>
        <v/>
      </c>
      <c r="F744" s="96" t="n"/>
      <c r="G744" s="97" t="n"/>
      <c r="H744" s="74" t="n"/>
      <c r="I744" s="75" t="inlineStr">
        <is>
          <t>ID225/70R19.5-14PR(128/126M)[VD935]C级VITOUR无内</t>
        </is>
      </c>
      <c r="J744" s="76" t="n">
        <v>471.564632</v>
      </c>
      <c r="L744" s="77" t="n"/>
      <c r="M744" s="77" t="n">
        <v>0</v>
      </c>
    </row>
    <row r="745" customFormat="1" s="69">
      <c r="B745" s="92" t="n"/>
      <c r="C745" s="93" t="n"/>
      <c r="D745" s="495">
        <f>IF(C745="","",C745/(C745+$E$1/60))</f>
        <v/>
      </c>
      <c r="E745" s="95">
        <f>IFERROR(ROUND(1440/C745*2*D745,0),"")</f>
        <v/>
      </c>
      <c r="F745" s="96" t="n"/>
      <c r="G745" s="97" t="n"/>
      <c r="H745" s="74" t="n"/>
      <c r="I745" s="75" t="inlineStr">
        <is>
          <t>ID225/70R19.5-14PR(128/126N)[AZ599]C级GOODRIDE(好运)无内</t>
        </is>
      </c>
      <c r="J745" s="76" t="n">
        <v>447.914453</v>
      </c>
      <c r="L745" s="77" t="n"/>
      <c r="M745" s="77" t="n">
        <v>0</v>
      </c>
    </row>
    <row r="746" customFormat="1" s="69">
      <c r="B746" s="92" t="n"/>
      <c r="C746" s="93" t="n"/>
      <c r="D746" s="495">
        <f>IF(C746="","",C746/(C746+$E$1/60))</f>
        <v/>
      </c>
      <c r="E746" s="95">
        <f>IFERROR(ROUND(1440/C746*2*D746,0),"")</f>
        <v/>
      </c>
      <c r="F746" s="96" t="n"/>
      <c r="G746" s="97" t="n"/>
      <c r="H746" s="74" t="n"/>
      <c r="I746" s="75" t="inlineStr">
        <is>
          <t>ID225/70R19.5-14PR(128/126N)[M-TRAC AP]C级MASTERTRACK无内</t>
        </is>
      </c>
      <c r="J746" s="76" t="n">
        <v>447.914453</v>
      </c>
      <c r="L746" s="77" t="n"/>
      <c r="M746" s="77" t="n">
        <v>0</v>
      </c>
    </row>
    <row r="747" customFormat="1" s="69">
      <c r="B747" s="92" t="n"/>
      <c r="C747" s="93" t="n"/>
      <c r="D747" s="495">
        <f>IF(C747="","",C747/(C747+$E$1/60))</f>
        <v/>
      </c>
      <c r="E747" s="95">
        <f>IFERROR(ROUND(1440/C747*2*D747,0),"")</f>
        <v/>
      </c>
      <c r="F747" s="96" t="n"/>
      <c r="G747" s="97" t="n"/>
      <c r="H747" s="74" t="n"/>
      <c r="I747" s="75" t="inlineStr">
        <is>
          <t>ID225/70R19.5-14PR(128/126N)[HF1 Plus]C级SUPERMAX无内</t>
        </is>
      </c>
      <c r="J747" s="76" t="n">
        <v>447.914453</v>
      </c>
      <c r="L747" s="77" t="n"/>
      <c r="M747" s="77" t="n">
        <v>0</v>
      </c>
    </row>
    <row r="748" customFormat="1" s="69">
      <c r="B748" s="92" t="n"/>
      <c r="C748" s="93" t="n"/>
      <c r="D748" s="495">
        <f>IF(C748="","",C748/(C748+$E$1/60))</f>
        <v/>
      </c>
      <c r="E748" s="95">
        <f>IFERROR(ROUND(1440/C748*2*D748,0),"")</f>
        <v/>
      </c>
      <c r="F748" s="96" t="n"/>
      <c r="G748" s="97" t="n"/>
      <c r="H748" s="74" t="n"/>
      <c r="I748" s="75" t="inlineStr">
        <is>
          <t>ID225/70R19.5-14PR(128/126N)[HD3 Plus]C级SUPERMAX无内</t>
        </is>
      </c>
      <c r="J748" s="76" t="n">
        <v>469.661346</v>
      </c>
      <c r="L748" s="77" t="n"/>
      <c r="M748" s="77" t="n">
        <v>0</v>
      </c>
    </row>
    <row r="749" customFormat="1" s="69">
      <c r="B749" s="92" t="n"/>
      <c r="C749" s="93" t="n"/>
      <c r="D749" s="495">
        <f>IF(C749="","",C749/(C749+$E$1/60))</f>
        <v/>
      </c>
      <c r="E749" s="95">
        <f>IFERROR(ROUND(1440/C749*2*D749,0),"")</f>
        <v/>
      </c>
      <c r="F749" s="96" t="n"/>
      <c r="G749" s="97" t="n"/>
      <c r="H749" s="74" t="n"/>
      <c r="I749" s="75" t="inlineStr">
        <is>
          <t>ID215/75R17.5-16PR(135/133J)[CM986]C级雅度无内</t>
        </is>
      </c>
      <c r="J749" s="76" t="n">
        <v>390.89477</v>
      </c>
      <c r="L749" s="77" t="n"/>
      <c r="M749" s="77" t="n">
        <v>0</v>
      </c>
    </row>
    <row r="750" customFormat="1" s="69">
      <c r="B750" s="92" t="n"/>
      <c r="C750" s="93" t="n"/>
      <c r="D750" s="495">
        <f>IF(C750="","",C750/(C750+$E$1/60))</f>
        <v/>
      </c>
      <c r="E750" s="95">
        <f>IFERROR(ROUND(1440/C750*2*D750,0),"")</f>
        <v/>
      </c>
      <c r="F750" s="96" t="n"/>
      <c r="G750" s="97" t="n"/>
      <c r="H750" s="74" t="n"/>
      <c r="I750" s="75" t="inlineStr">
        <is>
          <t>ID11R24.5-16PR(149/146M)[AS200]C级ANTINI无内</t>
        </is>
      </c>
      <c r="J750" s="76" t="n">
        <v>860.814703</v>
      </c>
      <c r="L750" s="77" t="n"/>
      <c r="M750" s="77" t="n">
        <v>0</v>
      </c>
    </row>
    <row r="751" customFormat="1" s="69">
      <c r="B751" s="92" t="n"/>
      <c r="C751" s="93" t="n"/>
      <c r="D751" s="495">
        <f>IF(C751="","",C751/(C751+$E$1/60))</f>
        <v/>
      </c>
      <c r="E751" s="95">
        <f>IFERROR(ROUND(1440/C751*2*D751,0),"")</f>
        <v/>
      </c>
      <c r="F751" s="96" t="n"/>
      <c r="G751" s="97" t="n"/>
      <c r="H751" s="74" t="n"/>
      <c r="I751" s="75" t="inlineStr">
        <is>
          <t>ID11R24.5-16PR(149/146L)[VD908]C级VITOUR无内</t>
        </is>
      </c>
      <c r="J751" s="76" t="n">
        <v>937.886005</v>
      </c>
      <c r="L751" s="77" t="n"/>
      <c r="M751" s="77" t="n">
        <v>0</v>
      </c>
    </row>
    <row r="752" customFormat="1" s="69">
      <c r="B752" s="92" t="n"/>
      <c r="C752" s="93" t="n"/>
      <c r="D752" s="495">
        <f>IF(C752="","",C752/(C752+$E$1/60))</f>
        <v/>
      </c>
      <c r="E752" s="95">
        <f>IFERROR(ROUND(1440/C752*2*D752,0),"")</f>
        <v/>
      </c>
      <c r="F752" s="96" t="n"/>
      <c r="G752" s="97" t="n"/>
      <c r="H752" s="74" t="n"/>
      <c r="I752" s="75" t="inlineStr">
        <is>
          <t>ID11R24.5-16PR(149/146L)[VXD932]C级VITOUR无内</t>
        </is>
      </c>
      <c r="J752" s="76" t="n">
        <v>941.365089</v>
      </c>
      <c r="L752" s="77" t="n"/>
      <c r="M752" s="77" t="n">
        <v>0</v>
      </c>
    </row>
    <row r="753" customFormat="1" s="69">
      <c r="B753" s="92" t="n"/>
      <c r="C753" s="93" t="n"/>
      <c r="D753" s="495">
        <f>IF(C753="","",C753/(C753+$E$1/60))</f>
        <v/>
      </c>
      <c r="E753" s="95">
        <f>IFERROR(ROUND(1440/C753*2*D753,0),"")</f>
        <v/>
      </c>
      <c r="F753" s="96" t="n"/>
      <c r="G753" s="97" t="n"/>
      <c r="H753" s="74" t="n"/>
      <c r="I753" s="75" t="inlineStr">
        <is>
          <t>ID11R24.5-16PR(149/146L)[AD600]C级ANTINI无内</t>
        </is>
      </c>
      <c r="J753" s="76" t="n">
        <v>938.3683119999999</v>
      </c>
      <c r="L753" s="77" t="n"/>
      <c r="M753" s="77" t="n">
        <v>0</v>
      </c>
    </row>
    <row r="754" customFormat="1" s="69">
      <c r="B754" s="92" t="n"/>
      <c r="C754" s="93" t="n"/>
      <c r="D754" s="495">
        <f>IF(C754="","",C754/(C754+$E$1/60))</f>
        <v/>
      </c>
      <c r="E754" s="95">
        <f>IFERROR(ROUND(1440/C754*2*D754,0),"")</f>
        <v/>
      </c>
      <c r="F754" s="96" t="n"/>
      <c r="G754" s="97" t="n"/>
      <c r="H754" s="74" t="n"/>
      <c r="I754" s="75" t="inlineStr">
        <is>
          <t>ID11R24.5-16PR(149/146L)[KOBE DPM]C级ITARO无内</t>
        </is>
      </c>
      <c r="J754" s="76" t="n">
        <v>802.709621</v>
      </c>
      <c r="L754" s="77" t="n"/>
      <c r="M754" s="77" t="n">
        <v>0</v>
      </c>
    </row>
    <row r="755" customFormat="1" s="69">
      <c r="B755" s="92" t="n"/>
      <c r="C755" s="93" t="n"/>
      <c r="D755" s="495">
        <f>IF(C755="","",C755/(C755+$E$1/60))</f>
        <v/>
      </c>
      <c r="E755" s="95">
        <f>IFERROR(ROUND(1440/C755*2*D755,0),"")</f>
        <v/>
      </c>
      <c r="F755" s="96" t="n"/>
      <c r="G755" s="97" t="n"/>
      <c r="H755" s="74" t="n"/>
      <c r="I755" s="75" t="inlineStr">
        <is>
          <t>ID11R24.5-16PR(149/146L)[HF1 Plus]C级SUPERMAX无内</t>
        </is>
      </c>
      <c r="J755" s="76" t="n">
        <v>797.069021</v>
      </c>
      <c r="L755" s="77" t="n"/>
      <c r="M755" s="77" t="n">
        <v>0</v>
      </c>
    </row>
    <row r="756" customFormat="1" s="69">
      <c r="B756" s="92" t="n"/>
      <c r="C756" s="93" t="n"/>
      <c r="D756" s="495">
        <f>IF(C756="","",C756/(C756+$E$1/60))</f>
        <v/>
      </c>
      <c r="E756" s="95">
        <f>IFERROR(ROUND(1440/C756*2*D756,0),"")</f>
        <v/>
      </c>
      <c r="F756" s="96" t="n"/>
      <c r="G756" s="97" t="n"/>
      <c r="H756" s="74" t="n"/>
      <c r="I756" s="75" t="inlineStr">
        <is>
          <t>ID11R24.5-16PR(149/146L)[HD1 Plus]C级SUPERMAX无内</t>
        </is>
      </c>
      <c r="J756" s="76" t="n">
        <v>851.923142</v>
      </c>
      <c r="L756" s="77" t="n"/>
      <c r="M756" s="77" t="n">
        <v>0</v>
      </c>
    </row>
    <row r="757" customFormat="1" s="69">
      <c r="B757" s="92" t="n"/>
      <c r="C757" s="93" t="n"/>
      <c r="D757" s="495">
        <f>IF(C757="","",C757/(C757+$E$1/60))</f>
        <v/>
      </c>
      <c r="E757" s="95">
        <f>IFERROR(ROUND(1440/C757*2*D757,0),"")</f>
        <v/>
      </c>
      <c r="F757" s="96" t="n"/>
      <c r="G757" s="97" t="n"/>
      <c r="H757" s="74" t="n"/>
      <c r="I757" s="75" t="inlineStr">
        <is>
          <t>ID11R22.5-18PR(149/146L)[AZ850]C级雅度无内</t>
        </is>
      </c>
      <c r="J757" s="76" t="n">
        <v>821.776515</v>
      </c>
      <c r="L757" s="77" t="n"/>
      <c r="M757" s="77" t="n">
        <v>0</v>
      </c>
    </row>
    <row r="758" customFormat="1" s="69">
      <c r="B758" s="92" t="n"/>
      <c r="C758" s="93" t="n"/>
      <c r="D758" s="495">
        <f>IF(C758="","",C758/(C758+$E$1/60))</f>
        <v/>
      </c>
      <c r="E758" s="95">
        <f>IFERROR(ROUND(1440/C758*2*D758,0),"")</f>
        <v/>
      </c>
      <c r="F758" s="96" t="n"/>
      <c r="G758" s="97" t="n"/>
      <c r="H758" s="74" t="n"/>
      <c r="I758" s="75" t="inlineStr">
        <is>
          <t>ID11R22.5-16PR(146/143M)[AS200]C级ANTINI无内</t>
        </is>
      </c>
      <c r="J758" s="76" t="n">
        <v>806.654114</v>
      </c>
      <c r="L758" s="77" t="n"/>
      <c r="M758" s="77" t="n">
        <v>0</v>
      </c>
    </row>
    <row r="759" customFormat="1" s="69">
      <c r="B759" s="92" t="n"/>
      <c r="C759" s="93" t="n"/>
      <c r="D759" s="495">
        <f>IF(C759="","",C759/(C759+$E$1/60))</f>
        <v/>
      </c>
      <c r="E759" s="95">
        <f>IFERROR(ROUND(1440/C759*2*D759,0),"")</f>
        <v/>
      </c>
      <c r="F759" s="96" t="n"/>
      <c r="G759" s="97" t="n"/>
      <c r="H759" s="74" t="n"/>
      <c r="I759" s="75" t="inlineStr">
        <is>
          <t>ID11R22.5-16PR(146/143M)[KOBE APM]C级ITARO无内</t>
        </is>
      </c>
      <c r="J759" s="76" t="n">
        <v>701.916502</v>
      </c>
      <c r="L759" s="77" t="n"/>
      <c r="M759" s="77" t="n">
        <v>0</v>
      </c>
    </row>
    <row r="760" customFormat="1" s="69">
      <c r="B760" s="92" t="n"/>
      <c r="C760" s="93" t="n"/>
      <c r="D760" s="495">
        <f>IF(C760="","",C760/(C760+$E$1/60))</f>
        <v/>
      </c>
      <c r="E760" s="95">
        <f>IFERROR(ROUND(1440/C760*2*D760,0),"")</f>
        <v/>
      </c>
      <c r="F760" s="96" t="n"/>
      <c r="G760" s="97" t="n"/>
      <c r="H760" s="74" t="n"/>
      <c r="I760" s="75" t="inlineStr">
        <is>
          <t>ID11R22.5-16PR(146/143M)[Strong Guard H-RA]C级HERCULES无内</t>
        </is>
      </c>
      <c r="J760" s="76" t="n">
        <v>742.755636</v>
      </c>
      <c r="L760" s="77" t="n"/>
      <c r="M760" s="77" t="n">
        <v>0</v>
      </c>
    </row>
    <row r="761" customFormat="1" s="69">
      <c r="B761" s="92" t="n"/>
      <c r="C761" s="93" t="n"/>
      <c r="D761" s="495">
        <f>IF(C761="","",C761/(C761+$E$1/60))</f>
        <v/>
      </c>
      <c r="E761" s="95">
        <f>IFERROR(ROUND(1440/C761*2*D761,0),"")</f>
        <v/>
      </c>
      <c r="F761" s="96" t="n"/>
      <c r="G761" s="97" t="n"/>
      <c r="H761" s="74" t="n"/>
      <c r="I761" s="75" t="inlineStr">
        <is>
          <t>ID11R22.5-16PR(146/143L)[KOBE DPM]C级ITARO无内</t>
        </is>
      </c>
      <c r="J761" s="76" t="n">
        <v>750.651524</v>
      </c>
      <c r="L761" s="77" t="n"/>
      <c r="M761" s="77" t="n">
        <v>0</v>
      </c>
    </row>
    <row r="762" customFormat="1" s="69">
      <c r="B762" s="92" t="n"/>
      <c r="C762" s="93" t="n"/>
      <c r="D762" s="495">
        <f>IF(C762="","",C762/(C762+$E$1/60))</f>
        <v/>
      </c>
      <c r="E762" s="95">
        <f>IFERROR(ROUND(1440/C762*2*D762,0),"")</f>
        <v/>
      </c>
      <c r="F762" s="96" t="n"/>
      <c r="G762" s="97" t="n"/>
      <c r="H762" s="74" t="n"/>
      <c r="I762" s="75" t="inlineStr">
        <is>
          <t>ID11R22.5-16PR(148/145L)[M-TRAC AP]C级MASTERTRACK无内</t>
        </is>
      </c>
      <c r="J762" s="76" t="n">
        <v>747.865853</v>
      </c>
      <c r="L762" s="77" t="n"/>
      <c r="M762" s="77" t="n">
        <v>0</v>
      </c>
    </row>
    <row r="763" customFormat="1" s="69">
      <c r="B763" s="92" t="n"/>
      <c r="C763" s="93" t="n"/>
      <c r="D763" s="495">
        <f>IF(C763="","",C763/(C763+$E$1/60))</f>
        <v/>
      </c>
      <c r="E763" s="95">
        <f>IFERROR(ROUND(1440/C763*2*D763,0),"")</f>
        <v/>
      </c>
      <c r="F763" s="96" t="n"/>
      <c r="G763" s="97" t="n"/>
      <c r="H763" s="74" t="n"/>
      <c r="I763" s="75" t="inlineStr">
        <is>
          <t>ID11R22.5-16PR(148/145L)[HD1 Plus]C级SUPERMAX无内</t>
        </is>
      </c>
      <c r="J763" s="76" t="n">
        <v>793.646105</v>
      </c>
      <c r="L763" s="77" t="n"/>
      <c r="M763" s="77" t="n">
        <v>0</v>
      </c>
    </row>
    <row r="764" customFormat="1" s="69">
      <c r="B764" s="92" t="n"/>
      <c r="C764" s="93" t="n"/>
      <c r="D764" s="495">
        <f>IF(C764="","",C764/(C764+$E$1/60))</f>
        <v/>
      </c>
      <c r="E764" s="95">
        <f>IFERROR(ROUND(1440/C764*2*D764,0),"")</f>
        <v/>
      </c>
      <c r="F764" s="96" t="n"/>
      <c r="G764" s="97" t="n"/>
      <c r="H764" s="74" t="n"/>
      <c r="I764" s="75" t="inlineStr">
        <is>
          <t>ID11R22.5-16PR(148/145L)[I-52A]C级IRONMAN无内</t>
        </is>
      </c>
      <c r="J764" s="76" t="n">
        <v>827.4410339999999</v>
      </c>
      <c r="L764" s="77" t="n"/>
      <c r="M764" s="77" t="n">
        <v>0</v>
      </c>
    </row>
    <row r="765" customFormat="1" s="69">
      <c r="B765" s="92" t="n"/>
      <c r="C765" s="93" t="n"/>
      <c r="D765" s="495">
        <f>IF(C765="","",C765/(C765+$E$1/60))</f>
        <v/>
      </c>
      <c r="E765" s="95">
        <f>IFERROR(ROUND(1440/C765*2*D765,0),"")</f>
        <v/>
      </c>
      <c r="F765" s="96" t="n"/>
      <c r="G765" s="97" t="n"/>
      <c r="H765" s="74" t="n"/>
      <c r="I765" s="75" t="inlineStr">
        <is>
          <t>ID255/70R22.5-16PR(140/137M)[M-TRAC AP]C级MASTERTRACK无内</t>
        </is>
      </c>
      <c r="J765" s="76" t="n">
        <v>613.838176</v>
      </c>
      <c r="L765" s="77" t="n"/>
      <c r="M765" s="77" t="n">
        <v>0</v>
      </c>
    </row>
    <row r="766" customFormat="1" s="69">
      <c r="B766" s="92" t="n"/>
      <c r="C766" s="93" t="n"/>
      <c r="D766" s="495">
        <f>IF(C766="","",C766/(C766+$E$1/60))</f>
        <v/>
      </c>
      <c r="E766" s="95">
        <f>IFERROR(ROUND(1440/C766*2*D766,0),"")</f>
        <v/>
      </c>
      <c r="F766" s="96" t="n"/>
      <c r="G766" s="97" t="n"/>
      <c r="H766" s="74" t="n"/>
      <c r="I766" s="75" t="inlineStr">
        <is>
          <t>ID255/70R22.5-16PR(140/137M)[HF1 Plus]C级SUPERMAX无内</t>
        </is>
      </c>
      <c r="J766" s="76" t="n">
        <v>613.838176</v>
      </c>
      <c r="L766" s="77" t="n"/>
      <c r="M766" s="77" t="n">
        <v>0</v>
      </c>
    </row>
    <row r="767" customFormat="1" s="69">
      <c r="B767" s="92" t="n"/>
      <c r="C767" s="93" t="n"/>
      <c r="D767" s="495">
        <f>IF(C767="","",C767/(C767+$E$1/60))</f>
        <v/>
      </c>
      <c r="E767" s="95">
        <f>IFERROR(ROUND(1440/C767*2*D767,0),"")</f>
        <v/>
      </c>
      <c r="F767" s="96" t="n"/>
      <c r="G767" s="97" t="n"/>
      <c r="H767" s="74" t="n"/>
      <c r="I767" s="75" t="inlineStr">
        <is>
          <t>ID12.00R24-20PR(160/157F)[CB332]C级雅度</t>
        </is>
      </c>
      <c r="J767" s="76" t="n">
        <v>1286.988927</v>
      </c>
      <c r="L767" s="77" t="n"/>
      <c r="M767" s="77" t="n">
        <v>0</v>
      </c>
    </row>
    <row r="768" customFormat="1" s="69">
      <c r="B768" s="92" t="n"/>
      <c r="C768" s="93" t="n"/>
      <c r="D768" s="495">
        <f>IF(C768="","",C768/(C768+$E$1/60))</f>
        <v/>
      </c>
      <c r="E768" s="95">
        <f>IFERROR(ROUND(1440/C768*2*D768,0),"")</f>
        <v/>
      </c>
      <c r="F768" s="96" t="n"/>
      <c r="G768" s="97" t="n"/>
      <c r="H768" s="74" t="n"/>
      <c r="I768" s="75" t="inlineStr">
        <is>
          <t>ID275/80R22.5-16PR(149/146M)[AZ179]C级力奔无内</t>
        </is>
      </c>
      <c r="J768" s="76" t="n">
        <v>701.431339</v>
      </c>
      <c r="L768" s="77" t="n"/>
      <c r="M768" s="77" t="n">
        <v>0</v>
      </c>
    </row>
    <row r="769" customFormat="1" s="69">
      <c r="B769" s="92" t="n"/>
      <c r="C769" s="93" t="n"/>
      <c r="D769" s="495">
        <f>IF(C769="","",C769/(C769+$E$1/60))</f>
        <v/>
      </c>
      <c r="E769" s="95">
        <f>IFERROR(ROUND(1440/C769*2*D769,0),"")</f>
        <v/>
      </c>
      <c r="F769" s="96" t="n"/>
      <c r="G769" s="97" t="n"/>
      <c r="H769" s="74" t="n"/>
      <c r="I769" s="75" t="inlineStr">
        <is>
          <t>ID275/80R22.5-16PR(149/146L)[G-PRO MSA]C级GRIPMASTER无内</t>
        </is>
      </c>
      <c r="J769" s="76" t="n">
        <v>803.17146</v>
      </c>
      <c r="L769" s="77" t="n"/>
      <c r="M769" s="77" t="n">
        <v>0</v>
      </c>
    </row>
    <row r="770" customFormat="1" s="69">
      <c r="B770" s="92" t="n"/>
      <c r="C770" s="93" t="n"/>
      <c r="D770" s="495">
        <f>IF(C770="","",C770/(C770+$E$1/60))</f>
        <v/>
      </c>
      <c r="E770" s="95">
        <f>IFERROR(ROUND(1440/C770*2*D770,0),"")</f>
        <v/>
      </c>
      <c r="F770" s="96" t="n"/>
      <c r="G770" s="97" t="n"/>
      <c r="H770" s="74" t="n"/>
      <c r="I770" s="75" t="inlineStr">
        <is>
          <t>ID275/80R22.5-16PR(149/146L)[EZ573]C级朝阳无内</t>
        </is>
      </c>
      <c r="J770" s="76" t="n">
        <v>803.17146</v>
      </c>
      <c r="L770" s="77" t="n"/>
      <c r="M770" s="77" t="n">
        <v>0</v>
      </c>
    </row>
    <row r="771" customFormat="1" s="69">
      <c r="B771" s="92" t="n"/>
      <c r="C771" s="93" t="n"/>
      <c r="D771" s="495">
        <f>IF(C771="","",C771/(C771+$E$1/60))</f>
        <v/>
      </c>
      <c r="E771" s="95">
        <f>IFERROR(ROUND(1440/C771*2*D771,0),"")</f>
        <v/>
      </c>
      <c r="F771" s="96" t="n"/>
      <c r="G771" s="97" t="n"/>
      <c r="H771" s="74" t="n"/>
      <c r="I771" s="75" t="inlineStr">
        <is>
          <t>ID265/70R19.5-18PR(143/141K)[I-19A]C级IRONMAN无内</t>
        </is>
      </c>
      <c r="J771" s="76" t="n">
        <v>577.742739</v>
      </c>
      <c r="L771" s="77" t="n"/>
      <c r="M771" s="77" t="n">
        <v>0</v>
      </c>
    </row>
    <row r="772" customFormat="1" s="69">
      <c r="B772" s="92" t="n"/>
      <c r="C772" s="93" t="n"/>
      <c r="D772" s="495">
        <f>IF(C772="","",C772/(C772+$E$1/60))</f>
        <v/>
      </c>
      <c r="E772" s="95">
        <f>IFERROR(ROUND(1440/C772*2*D772,0),"")</f>
        <v/>
      </c>
      <c r="F772" s="96" t="n"/>
      <c r="G772" s="97" t="n"/>
      <c r="H772" s="74" t="n"/>
      <c r="I772" s="75" t="inlineStr">
        <is>
          <t>ID235/75R17.5-18PR(143/141L)[VA933]C级VITOUR无内</t>
        </is>
      </c>
      <c r="J772" s="76" t="n">
        <v>466.255209</v>
      </c>
      <c r="L772" s="77" t="n"/>
      <c r="M772" s="77" t="n">
        <v>0</v>
      </c>
    </row>
    <row r="773" customFormat="1" s="69">
      <c r="B773" s="92" t="n"/>
      <c r="C773" s="93" t="n"/>
      <c r="D773" s="495">
        <f>IF(C773="","",C773/(C773+$E$1/60))</f>
        <v/>
      </c>
      <c r="E773" s="95">
        <f>IFERROR(ROUND(1440/C773*2*D773,0),"")</f>
        <v/>
      </c>
      <c r="F773" s="96" t="n"/>
      <c r="G773" s="97" t="n"/>
      <c r="H773" s="74" t="n"/>
      <c r="I773" s="75" t="inlineStr">
        <is>
          <t>ID235/75R17.5-18PR(143/141L)[I-19A]C级IRONMAN无内</t>
        </is>
      </c>
      <c r="J773" s="76" t="n">
        <v>446.891767</v>
      </c>
      <c r="L773" s="77" t="n"/>
      <c r="M773" s="77" t="n">
        <v>0</v>
      </c>
    </row>
    <row r="774" customFormat="1" s="69">
      <c r="B774" s="92" t="n"/>
      <c r="C774" s="93" t="n"/>
      <c r="D774" s="495">
        <f>IF(C774="","",C774/(C774+$E$1/60))</f>
        <v/>
      </c>
      <c r="E774" s="95">
        <f>IFERROR(ROUND(1440/C774*2*D774,0),"")</f>
        <v/>
      </c>
      <c r="F774" s="96" t="n"/>
      <c r="G774" s="97" t="n"/>
      <c r="H774" s="74" t="n"/>
      <c r="I774" s="75" t="inlineStr">
        <is>
          <t>ID325/95R24-22PR(162/160K)[AZ691]C级DIDAR无内</t>
        </is>
      </c>
      <c r="J774" s="76" t="n">
        <v>1225.568148</v>
      </c>
      <c r="L774" s="77" t="n"/>
      <c r="M774" s="77" t="n">
        <v>0</v>
      </c>
    </row>
    <row r="775" customFormat="1" s="69">
      <c r="B775" s="92" t="n"/>
      <c r="C775" s="93" t="n"/>
      <c r="D775" s="495">
        <f>IF(C775="","",C775/(C775+$E$1/60))</f>
        <v/>
      </c>
      <c r="E775" s="95">
        <f>IFERROR(ROUND(1440/C775*2*D775,0),"")</f>
        <v/>
      </c>
      <c r="F775" s="96" t="n"/>
      <c r="G775" s="97" t="n"/>
      <c r="H775" s="74" t="n"/>
      <c r="I775" s="75" t="inlineStr">
        <is>
          <t>ID325/95R24-22PR(162/160K)[EZ865]C级ARISUN无内</t>
        </is>
      </c>
      <c r="J775" s="76" t="n">
        <v>1250.478061</v>
      </c>
      <c r="L775" s="77" t="n"/>
      <c r="M775" s="77" t="n">
        <v>0</v>
      </c>
    </row>
    <row r="776" customFormat="1" s="69">
      <c r="B776" s="92" t="n"/>
      <c r="C776" s="93" t="n"/>
      <c r="D776" s="495">
        <f>IF(C776="","",C776/(C776+$E$1/60))</f>
        <v/>
      </c>
      <c r="E776" s="95">
        <f>IFERROR(ROUND(1440/C776*2*D776,0),"")</f>
        <v/>
      </c>
      <c r="F776" s="96" t="n"/>
      <c r="G776" s="97" t="n"/>
      <c r="H776" s="74" t="n"/>
      <c r="I776" s="75" t="inlineStr">
        <is>
          <t>ID325/95R24-22PR(162/160F)[CB972]C级雅度无内</t>
        </is>
      </c>
      <c r="J776" s="76" t="n">
        <v>1197.284228</v>
      </c>
      <c r="L776" s="77" t="n"/>
      <c r="M776" s="77" t="n">
        <v>0</v>
      </c>
    </row>
    <row r="777" customFormat="1" s="69">
      <c r="B777" s="92" t="n"/>
      <c r="C777" s="93" t="n"/>
      <c r="D777" s="495">
        <f>IF(C777="","",C777/(C777+$E$1/60))</f>
        <v/>
      </c>
      <c r="E777" s="95">
        <f>IFERROR(ROUND(1440/C777*2*D777,0),"")</f>
        <v/>
      </c>
      <c r="F777" s="96" t="n"/>
      <c r="G777" s="97" t="n"/>
      <c r="H777" s="74" t="n"/>
      <c r="I777" s="75" t="inlineStr">
        <is>
          <t>ID445/50R22.5-20PR(161L)[AT570]C级ARISUN无内</t>
        </is>
      </c>
      <c r="J777" s="76" t="n">
        <v>1140.466964</v>
      </c>
      <c r="L777" s="77" t="n"/>
      <c r="M777" s="77" t="n">
        <v>0</v>
      </c>
    </row>
    <row r="778" customFormat="1" s="69">
      <c r="B778" s="92" t="n"/>
      <c r="C778" s="93" t="n"/>
      <c r="D778" s="495">
        <f>IF(C778="","",C778/(C778+$E$1/60))</f>
        <v/>
      </c>
      <c r="E778" s="95">
        <f>IFERROR(ROUND(1440/C778*2*D778,0),"")</f>
        <v/>
      </c>
      <c r="F778" s="96" t="n"/>
      <c r="G778" s="97" t="n"/>
      <c r="H778" s="74" t="n"/>
      <c r="I778" s="75" t="inlineStr">
        <is>
          <t>ID11.00R20-18PR(152/149K)[ETRF]C级TECHKING</t>
        </is>
      </c>
      <c r="J778" s="76" t="n">
        <v>1112.850396</v>
      </c>
      <c r="L778" s="77" t="n"/>
      <c r="M778" s="77" t="n">
        <v>0</v>
      </c>
    </row>
    <row r="779" customFormat="1" s="69">
      <c r="B779" s="92" t="n"/>
      <c r="C779" s="93" t="n"/>
      <c r="D779" s="495">
        <f>IF(C779="","",C779/(C779+$E$1/60))</f>
        <v/>
      </c>
      <c r="E779" s="95">
        <f>IFERROR(ROUND(1440/C779*2*D779,0),"")</f>
        <v/>
      </c>
      <c r="F779" s="96" t="n"/>
      <c r="G779" s="97" t="n"/>
      <c r="H779" s="74" t="n"/>
      <c r="I779" s="75" t="inlineStr">
        <is>
          <t>ID12.00R20-20PR(156/153F)[CB972]C级朝阳</t>
        </is>
      </c>
      <c r="J779" s="76" t="n">
        <v>1163.392909</v>
      </c>
      <c r="L779" s="77" t="n"/>
      <c r="M779" s="77" t="n">
        <v>0</v>
      </c>
    </row>
    <row r="780" customFormat="1" s="69">
      <c r="B780" s="92" t="n"/>
      <c r="C780" s="93" t="n"/>
      <c r="D780" s="495">
        <f>IF(C780="","",C780/(C780+$E$1/60))</f>
        <v/>
      </c>
      <c r="E780" s="95">
        <f>IFERROR(ROUND(1440/C780*2*D780,0),"")</f>
        <v/>
      </c>
      <c r="F780" s="96" t="n"/>
      <c r="G780" s="97" t="n"/>
      <c r="H780" s="74" t="n"/>
      <c r="I780" s="75" t="inlineStr">
        <is>
          <t>ID12.00R20-18PR(154/151F)[TZ304]C级TIANLI</t>
        </is>
      </c>
      <c r="J780" s="76" t="n">
        <v>1215.732084</v>
      </c>
      <c r="L780" s="77" t="n"/>
      <c r="M780" s="77" t="n">
        <v>0</v>
      </c>
    </row>
    <row r="781" customFormat="1" s="69">
      <c r="B781" s="92" t="n"/>
      <c r="C781" s="93" t="n"/>
      <c r="D781" s="495">
        <f>IF(C781="","",C781/(C781+$E$1/60))</f>
        <v/>
      </c>
      <c r="E781" s="95">
        <f>IFERROR(ROUND(1440/C781*2*D781,0),"")</f>
        <v/>
      </c>
      <c r="F781" s="96" t="n"/>
      <c r="G781" s="97" t="n"/>
      <c r="H781" s="74" t="n"/>
      <c r="I781" s="75" t="inlineStr">
        <is>
          <t>ID11.00R20-18PR(152/149K)[AZ850]C级朝阳</t>
        </is>
      </c>
      <c r="J781" s="76" t="n">
        <v>988.566677</v>
      </c>
      <c r="L781" s="77" t="n"/>
      <c r="M781" s="77" t="n">
        <v>0</v>
      </c>
    </row>
    <row r="782" customFormat="1" s="69">
      <c r="B782" s="92" t="n"/>
      <c r="C782" s="93" t="n"/>
      <c r="D782" s="495">
        <f>IF(C782="","",C782/(C782+$E$1/60))</f>
        <v/>
      </c>
      <c r="E782" s="95">
        <f>IFERROR(ROUND(1440/C782*2*D782,0),"")</f>
        <v/>
      </c>
      <c r="F782" s="96" t="n"/>
      <c r="G782" s="97" t="n"/>
      <c r="H782" s="74" t="n"/>
      <c r="I782" s="75" t="inlineStr">
        <is>
          <t>ID11.00R20-18PR(152/149F)[CB972]C级ARISUN</t>
        </is>
      </c>
      <c r="J782" s="76" t="n">
        <v>1068.348561</v>
      </c>
      <c r="L782" s="77" t="n"/>
      <c r="M782" s="77" t="n">
        <v>0</v>
      </c>
    </row>
    <row r="783" customFormat="1" s="69">
      <c r="B783" s="92" t="n"/>
      <c r="C783" s="93" t="n"/>
      <c r="D783" s="495">
        <f>IF(C783="","",C783/(C783+$E$1/60))</f>
        <v/>
      </c>
      <c r="E783" s="95">
        <f>IFERROR(ROUND(1440/C783*2*D783,0),"")</f>
        <v/>
      </c>
      <c r="F783" s="96" t="n"/>
      <c r="G783" s="97" t="n"/>
      <c r="H783" s="74" t="n"/>
      <c r="I783" s="75" t="inlineStr">
        <is>
          <t>ID11.00R20-18PR(152/149F)[TZ101]C级TIANLI</t>
        </is>
      </c>
      <c r="J783" s="76" t="n">
        <v>1068.348561</v>
      </c>
      <c r="L783" s="77" t="n"/>
      <c r="M783" s="77" t="n">
        <v>0</v>
      </c>
    </row>
    <row r="784" customFormat="1" s="69">
      <c r="B784" s="92" t="n"/>
      <c r="C784" s="93" t="n"/>
      <c r="D784" s="495">
        <f>IF(C784="","",C784/(C784+$E$1/60))</f>
        <v/>
      </c>
      <c r="E784" s="95">
        <f>IFERROR(ROUND(1440/C784*2*D784,0),"")</f>
        <v/>
      </c>
      <c r="F784" s="96" t="n"/>
      <c r="G784" s="97" t="n"/>
      <c r="H784" s="74" t="n"/>
      <c r="I784" s="75" t="inlineStr">
        <is>
          <t>ID10.00R20-18PR(149/146F)[CB972]C级ARISUN</t>
        </is>
      </c>
      <c r="J784" s="76" t="n">
        <v>955.076269</v>
      </c>
      <c r="L784" s="77" t="n"/>
      <c r="M784" s="77" t="n">
        <v>0</v>
      </c>
    </row>
    <row r="785" customFormat="1" s="69">
      <c r="B785" s="92" t="n"/>
      <c r="C785" s="93" t="n"/>
      <c r="D785" s="495">
        <f>IF(C785="","",C785/(C785+$E$1/60))</f>
        <v/>
      </c>
      <c r="E785" s="95">
        <f>IFERROR(ROUND(1440/C785*2*D785,0),"")</f>
        <v/>
      </c>
      <c r="F785" s="96" t="n"/>
      <c r="G785" s="97" t="n"/>
      <c r="H785" s="74" t="n"/>
      <c r="I785" s="75" t="inlineStr">
        <is>
          <t>ID295/80R22.5-18PR(152/149M)[CM335]C级威狮无内</t>
        </is>
      </c>
      <c r="J785" s="76" t="n">
        <v>859.619943</v>
      </c>
      <c r="L785" s="77" t="n"/>
      <c r="M785" s="77" t="n">
        <v>0</v>
      </c>
    </row>
    <row r="786" customFormat="1" s="69">
      <c r="B786" s="92" t="n"/>
      <c r="C786" s="93" t="n"/>
      <c r="D786" s="495">
        <f>IF(C786="","",C786/(C786+$E$1/60))</f>
        <v/>
      </c>
      <c r="E786" s="95">
        <f>IFERROR(ROUND(1440/C786*2*D786,0),"")</f>
        <v/>
      </c>
      <c r="F786" s="96" t="n"/>
      <c r="G786" s="97" t="n"/>
      <c r="H786" s="74" t="n"/>
      <c r="I786" s="75" t="inlineStr">
        <is>
          <t>ID295/80R22.5-18PR(152/149M)[AS868Pro]C级金冠无内</t>
        </is>
      </c>
      <c r="J786" s="76" t="n">
        <v>934.166303</v>
      </c>
      <c r="L786" s="77" t="n"/>
      <c r="M786" s="77" t="n">
        <v>0</v>
      </c>
    </row>
    <row r="787" customFormat="1" s="69">
      <c r="B787" s="92" t="n"/>
      <c r="C787" s="93" t="n"/>
      <c r="D787" s="495">
        <f>IF(C787="","",C787/(C787+$E$1/60))</f>
        <v/>
      </c>
      <c r="E787" s="95">
        <f>IFERROR(ROUND(1440/C787*2*D787,0),"")</f>
        <v/>
      </c>
      <c r="F787" s="96" t="n"/>
      <c r="G787" s="97" t="n"/>
      <c r="H787" s="74" t="n"/>
      <c r="I787" s="75" t="inlineStr">
        <is>
          <t>ID295/80R22.5-18PR(152/149M)[ECOTRAX D-I]C级NEBULA无内</t>
        </is>
      </c>
      <c r="J787" s="76" t="n">
        <v>763.642159</v>
      </c>
      <c r="L787" s="77" t="n"/>
      <c r="M787" s="77" t="n">
        <v>0</v>
      </c>
    </row>
    <row r="788" customFormat="1" s="69">
      <c r="B788" s="92" t="n"/>
      <c r="C788" s="93" t="n"/>
      <c r="D788" s="495">
        <f>IF(C788="","",C788/(C788+$E$1/60))</f>
        <v/>
      </c>
      <c r="E788" s="95">
        <f>IFERROR(ROUND(1440/C788*2*D788,0),"")</f>
        <v/>
      </c>
      <c r="F788" s="96" t="n"/>
      <c r="G788" s="97" t="n"/>
      <c r="H788" s="74" t="n"/>
      <c r="I788" s="75" t="inlineStr">
        <is>
          <t>ID295/75R22.5-16PR(146/143L)[VD998]C级VITOUR无内</t>
        </is>
      </c>
      <c r="J788" s="76" t="n">
        <v>870.777502</v>
      </c>
      <c r="L788" s="77" t="n"/>
      <c r="M788" s="77" t="n">
        <v>0</v>
      </c>
    </row>
    <row r="789" customFormat="1" s="69">
      <c r="B789" s="92" t="n"/>
      <c r="C789" s="93" t="n"/>
      <c r="D789" s="495">
        <f>IF(C789="","",C789/(C789+$E$1/60))</f>
        <v/>
      </c>
      <c r="E789" s="95">
        <f>IFERROR(ROUND(1440/C789*2*D789,0),"")</f>
        <v/>
      </c>
      <c r="F789" s="96" t="n"/>
      <c r="G789" s="97" t="n"/>
      <c r="H789" s="74" t="n"/>
      <c r="I789" s="75" t="inlineStr">
        <is>
          <t>ID295/75R22.5-14PR(144/141L)[HF1 Plus]C级SUPERMAX无内</t>
        </is>
      </c>
      <c r="J789" s="76" t="n">
        <v>736.961407</v>
      </c>
      <c r="L789" s="77" t="n"/>
      <c r="M789" s="77" t="n">
        <v>0</v>
      </c>
    </row>
    <row r="790" customFormat="1" s="69">
      <c r="B790" s="92" t="n"/>
      <c r="C790" s="93" t="n"/>
      <c r="D790" s="495">
        <f>IF(C790="","",C790/(C790+$E$1/60))</f>
        <v/>
      </c>
      <c r="E790" s="95">
        <f>IFERROR(ROUND(1440/C790*2*D790,0),"")</f>
        <v/>
      </c>
      <c r="F790" s="96" t="n"/>
      <c r="G790" s="97" t="n"/>
      <c r="H790" s="74" t="n"/>
      <c r="I790" s="75" t="inlineStr">
        <is>
          <t>ID295/75R22.5-14PR(144/141L)[HD1 Plus]C级SUPERMAX无内</t>
        </is>
      </c>
      <c r="J790" s="76" t="n">
        <v>736.961407</v>
      </c>
      <c r="L790" s="77" t="n"/>
      <c r="M790" s="77" t="n">
        <v>0</v>
      </c>
    </row>
    <row r="791" customFormat="1" s="69">
      <c r="B791" s="92" t="n"/>
      <c r="C791" s="93" t="n"/>
      <c r="D791" s="495">
        <f>IF(C791="","",C791/(C791+$E$1/60))</f>
        <v/>
      </c>
      <c r="E791" s="95">
        <f>IFERROR(ROUND(1440/C791*2*D791,0),"")</f>
        <v/>
      </c>
      <c r="F791" s="96" t="n"/>
      <c r="G791" s="97" t="n"/>
      <c r="H791" s="74" t="n"/>
      <c r="I791" s="75" t="inlineStr">
        <is>
          <t>ID285/75R24.5-16PR(147/144L)[VD998]C级VITOUR无内</t>
        </is>
      </c>
      <c r="J791" s="76" t="n">
        <v>913.058083</v>
      </c>
      <c r="L791" s="77" t="n"/>
      <c r="M791" s="77" t="n">
        <v>0</v>
      </c>
    </row>
    <row r="792" customFormat="1" s="69">
      <c r="B792" s="92" t="n"/>
      <c r="C792" s="93" t="n"/>
      <c r="D792" s="495">
        <f>IF(C792="","",C792/(C792+$E$1/60))</f>
        <v/>
      </c>
      <c r="E792" s="95">
        <f>IFERROR(ROUND(1440/C792*2*D792,0),"")</f>
        <v/>
      </c>
      <c r="F792" s="96" t="n"/>
      <c r="G792" s="97" t="n"/>
      <c r="H792" s="74" t="n"/>
      <c r="I792" s="75" t="inlineStr">
        <is>
          <t>ID285/75R24.5-16PR(148/145L)[I-52A]C级IRONMAN无内</t>
        </is>
      </c>
      <c r="J792" s="76" t="n">
        <v>823.339461</v>
      </c>
      <c r="L792" s="77" t="n"/>
      <c r="M792" s="77" t="n">
        <v>0</v>
      </c>
    </row>
    <row r="793" customFormat="1" s="69">
      <c r="B793" s="92" t="n"/>
      <c r="C793" s="93" t="n"/>
      <c r="D793" s="495">
        <f>IF(C793="","",C793/(C793+$E$1/60))</f>
        <v/>
      </c>
      <c r="E793" s="95">
        <f>IFERROR(ROUND(1440/C793*2*D793,0),"")</f>
        <v/>
      </c>
      <c r="F793" s="96" t="n"/>
      <c r="G793" s="97" t="n"/>
      <c r="H793" s="74" t="n"/>
      <c r="I793" s="75" t="inlineStr">
        <is>
          <t>ID285/75R24.5-16PR(147/144M)[I-61S]C级IRONMAN无内</t>
        </is>
      </c>
      <c r="J793" s="76" t="n">
        <v>761.26085</v>
      </c>
      <c r="L793" s="77" t="n"/>
      <c r="M793" s="77" t="n">
        <v>0</v>
      </c>
    </row>
    <row r="794" customFormat="1" s="69">
      <c r="B794" s="92" t="n"/>
      <c r="C794" s="93" t="n"/>
      <c r="D794" s="495">
        <f>IF(C794="","",C794/(C794+$E$1/60))</f>
        <v/>
      </c>
      <c r="E794" s="95">
        <f>IFERROR(ROUND(1440/C794*2*D794,0),"")</f>
        <v/>
      </c>
      <c r="F794" s="96" t="n"/>
      <c r="G794" s="97" t="n"/>
      <c r="H794" s="74" t="n"/>
      <c r="I794" s="75" t="inlineStr">
        <is>
          <t>ID245/70R19.5-16PR(136/134M)[VD935]C级VITOUR无内</t>
        </is>
      </c>
      <c r="J794" s="76" t="n">
        <v>533.72571</v>
      </c>
      <c r="L794" s="77" t="n"/>
      <c r="M794" s="77" t="n">
        <v>0</v>
      </c>
    </row>
    <row r="795" customFormat="1" s="69">
      <c r="B795" s="92" t="n"/>
      <c r="C795" s="93" t="n"/>
      <c r="D795" s="495">
        <f>IF(C795="","",C795/(C795+$E$1/60))</f>
        <v/>
      </c>
      <c r="E795" s="95">
        <f>IFERROR(ROUND(1440/C795*2*D795,0),"")</f>
        <v/>
      </c>
      <c r="F795" s="96" t="n"/>
      <c r="G795" s="97" t="n"/>
      <c r="H795" s="74" t="n"/>
      <c r="I795" s="75" t="inlineStr">
        <is>
          <t>ID245/70R19.5-16PR(136/134M)[HD3 Plus]C级SUPERMAX无内</t>
        </is>
      </c>
      <c r="J795" s="76" t="n">
        <v>533.607186</v>
      </c>
      <c r="L795" s="77" t="n"/>
      <c r="M795" s="77" t="n">
        <v>0</v>
      </c>
    </row>
    <row r="796" customFormat="1" s="69">
      <c r="B796" s="92" t="n"/>
      <c r="C796" s="93" t="n"/>
      <c r="D796" s="495">
        <f>IF(C796="","",C796/(C796+$E$1/60))</f>
        <v/>
      </c>
      <c r="E796" s="95">
        <f>IFERROR(ROUND(1440/C796*2*D796,0),"")</f>
        <v/>
      </c>
      <c r="F796" s="96" t="n"/>
      <c r="G796" s="97" t="n"/>
      <c r="H796" s="74" t="n"/>
      <c r="I796" s="75" t="inlineStr">
        <is>
          <t>ID215/75R17.5-16PR(135/133J)[HF1 Plus]C级SUPERMAX无内</t>
        </is>
      </c>
      <c r="J796" s="76" t="n">
        <v>398.184234</v>
      </c>
      <c r="L796" s="77" t="n"/>
      <c r="M796" s="77" t="n">
        <v>0</v>
      </c>
    </row>
    <row r="797" customFormat="1" s="69">
      <c r="B797" s="92" t="n"/>
      <c r="C797" s="93" t="n"/>
      <c r="D797" s="495">
        <f>IF(C797="","",C797/(C797+$E$1/60))</f>
        <v/>
      </c>
      <c r="E797" s="95">
        <f>IFERROR(ROUND(1440/C797*2*D797,0),"")</f>
        <v/>
      </c>
      <c r="F797" s="96" t="n"/>
      <c r="G797" s="97" t="n"/>
      <c r="H797" s="74" t="n"/>
      <c r="I797" s="75" t="inlineStr">
        <is>
          <t>ID11R24.5-16PR(149/146M)[VA996]C级VITOUR无内</t>
        </is>
      </c>
      <c r="J797" s="76" t="n">
        <v>860.814703</v>
      </c>
      <c r="L797" s="77" t="n"/>
      <c r="M797" s="77" t="n">
        <v>0</v>
      </c>
    </row>
    <row r="798" customFormat="1" s="69">
      <c r="B798" s="92" t="n"/>
      <c r="C798" s="93" t="n"/>
      <c r="D798" s="495">
        <f>IF(C798="","",C798/(C798+$E$1/60))</f>
        <v/>
      </c>
      <c r="E798" s="95">
        <f>IFERROR(ROUND(1440/C798*2*D798,0),"")</f>
        <v/>
      </c>
      <c r="F798" s="96" t="n"/>
      <c r="G798" s="97" t="n"/>
      <c r="H798" s="74" t="n"/>
      <c r="I798" s="75" t="inlineStr">
        <is>
          <t>ID11R24.5-16PR(149/146L)[KOBE APM]C级ITARO无内</t>
        </is>
      </c>
      <c r="J798" s="76" t="n">
        <v>752.3162150000001</v>
      </c>
      <c r="L798" s="77" t="n"/>
      <c r="M798" s="77" t="n">
        <v>0</v>
      </c>
    </row>
    <row r="799" customFormat="1" s="69">
      <c r="B799" s="92" t="n"/>
      <c r="C799" s="93" t="n"/>
      <c r="D799" s="495">
        <f>IF(C799="","",C799/(C799+$E$1/60))</f>
        <v/>
      </c>
      <c r="E799" s="95">
        <f>IFERROR(ROUND(1440/C799*2*D799,0),"")</f>
        <v/>
      </c>
      <c r="F799" s="96" t="n"/>
      <c r="G799" s="97" t="n"/>
      <c r="H799" s="74" t="n"/>
      <c r="I799" s="75" t="inlineStr">
        <is>
          <t>ID11R24.5-16PR(149/146L)[AZ579]C级威狮无内</t>
        </is>
      </c>
      <c r="J799" s="76" t="n">
        <v>833.266084</v>
      </c>
      <c r="L799" s="77" t="n"/>
      <c r="M799" s="77" t="n">
        <v>0</v>
      </c>
    </row>
    <row r="800" customFormat="1" s="69">
      <c r="B800" s="92" t="n"/>
      <c r="C800" s="93" t="n"/>
      <c r="D800" s="495">
        <f>IF(C800="","",C800/(C800+$E$1/60))</f>
        <v/>
      </c>
      <c r="E800" s="95">
        <f>IFERROR(ROUND(1440/C800*2*D800,0),"")</f>
        <v/>
      </c>
      <c r="F800" s="96" t="n"/>
      <c r="G800" s="97" t="n"/>
      <c r="H800" s="74" t="n"/>
      <c r="I800" s="75" t="inlineStr">
        <is>
          <t>ID11R22.5-16PR(146/143M)[VA996]C级VITOUR无内</t>
        </is>
      </c>
      <c r="J800" s="76" t="n">
        <v>806.654114</v>
      </c>
      <c r="L800" s="77" t="n"/>
      <c r="M800" s="77" t="n">
        <v>0</v>
      </c>
    </row>
    <row r="801" customFormat="1" s="69">
      <c r="B801" s="92" t="n"/>
      <c r="C801" s="93" t="n"/>
      <c r="D801" s="495">
        <f>IF(C801="","",C801/(C801+$E$1/60))</f>
        <v/>
      </c>
      <c r="E801" s="95">
        <f>IFERROR(ROUND(1440/C801*2*D801,0),"")</f>
        <v/>
      </c>
      <c r="F801" s="96" t="n"/>
      <c r="G801" s="97" t="n"/>
      <c r="H801" s="74" t="n"/>
      <c r="I801" s="75" t="inlineStr">
        <is>
          <t>ID11R22.5-16PR(146/143M)[VT993]C级VITOUR无内</t>
        </is>
      </c>
      <c r="J801" s="76" t="n">
        <v>697.352376</v>
      </c>
      <c r="L801" s="77" t="n"/>
      <c r="M801" s="77" t="n">
        <v>0</v>
      </c>
    </row>
    <row r="802" customFormat="1" s="69">
      <c r="B802" s="92" t="n"/>
      <c r="C802" s="93" t="n"/>
      <c r="D802" s="495">
        <f>IF(C802="","",C802/(C802+$E$1/60))</f>
        <v/>
      </c>
      <c r="E802" s="95">
        <f>IFERROR(ROUND(1440/C802*2*D802,0),"")</f>
        <v/>
      </c>
      <c r="F802" s="96" t="n"/>
      <c r="G802" s="97" t="n"/>
      <c r="H802" s="74" t="n"/>
      <c r="I802" s="75" t="inlineStr">
        <is>
          <t>ID11R22.5-16PR(148/145L)[M-TRAC CSD]C级MASTERTRACK无内</t>
        </is>
      </c>
      <c r="J802" s="76" t="n">
        <v>793.646105</v>
      </c>
      <c r="L802" s="77" t="n"/>
      <c r="M802" s="77" t="n">
        <v>0</v>
      </c>
    </row>
    <row r="803" customFormat="1" s="69">
      <c r="B803" s="92" t="n"/>
      <c r="C803" s="93" t="n"/>
      <c r="D803" s="495">
        <f>IF(C803="","",C803/(C803+$E$1/60))</f>
        <v/>
      </c>
      <c r="E803" s="95">
        <f>IFERROR(ROUND(1440/C803*2*D803,0),"")</f>
        <v/>
      </c>
      <c r="F803" s="96" t="n"/>
      <c r="G803" s="97" t="n"/>
      <c r="H803" s="74" t="n"/>
      <c r="I803" s="75" t="inlineStr">
        <is>
          <t>ID12.00R24-20PR(160/157F)[CB972]C级GOODRIDE(好运)</t>
        </is>
      </c>
      <c r="J803" s="76" t="n">
        <v>1178.646567</v>
      </c>
      <c r="L803" s="77" t="n"/>
      <c r="M803" s="77" t="n">
        <v>0</v>
      </c>
    </row>
    <row r="804" customFormat="1" s="69">
      <c r="B804" s="92" t="n"/>
      <c r="C804" s="93" t="n"/>
      <c r="D804" s="495">
        <f>IF(C804="","",C804/(C804+$E$1/60))</f>
        <v/>
      </c>
      <c r="E804" s="95">
        <f>IFERROR(ROUND(1440/C804*2*D804,0),"")</f>
        <v/>
      </c>
      <c r="F804" s="96" t="n"/>
      <c r="G804" s="97" t="n"/>
      <c r="H804" s="74" t="n"/>
      <c r="I804" s="75" t="inlineStr">
        <is>
          <t>ID12.00R24-20PR(160/157F)[TZ101]C级TIANLI</t>
        </is>
      </c>
      <c r="J804" s="76" t="n">
        <v>1178.646567</v>
      </c>
      <c r="L804" s="77" t="n"/>
      <c r="M804" s="77" t="n">
        <v>0</v>
      </c>
    </row>
    <row r="805" customFormat="1" s="69">
      <c r="B805" s="92" t="n"/>
      <c r="C805" s="93" t="n"/>
      <c r="D805" s="495">
        <f>IF(C805="","",C805/(C805+$E$1/60))</f>
        <v/>
      </c>
      <c r="E805" s="95">
        <f>IFERROR(ROUND(1440/C805*2*D805,0),"")</f>
        <v/>
      </c>
      <c r="F805" s="96" t="n"/>
      <c r="G805" s="97" t="n"/>
      <c r="H805" s="74" t="n"/>
      <c r="I805" s="75" t="inlineStr">
        <is>
          <t>ID325/95R24-22PR(162/160K)[CM912A]C级DIDAR无内</t>
        </is>
      </c>
      <c r="J805" s="76" t="n">
        <v>1175.15594</v>
      </c>
      <c r="L805" s="77" t="n"/>
      <c r="M805" s="77" t="n">
        <v>0</v>
      </c>
    </row>
    <row r="806" customFormat="1" s="69">
      <c r="B806" s="92" t="n"/>
      <c r="C806" s="93" t="n"/>
      <c r="D806" s="495">
        <f>IF(C806="","",C806/(C806+$E$1/60))</f>
        <v/>
      </c>
      <c r="E806" s="95">
        <f>IFERROR(ROUND(1440/C806*2*D806,0),"")</f>
        <v/>
      </c>
      <c r="F806" s="96" t="n"/>
      <c r="G806" s="97" t="n"/>
      <c r="H806" s="74" t="n"/>
      <c r="I806" s="75" t="inlineStr">
        <is>
          <t>ID445/50R22.5-20PR(161L)[M-TRAC WBT]C级MASTERTRACK无内</t>
        </is>
      </c>
      <c r="J806" s="76" t="n">
        <v>1140.466964</v>
      </c>
      <c r="L806" s="77" t="n"/>
      <c r="M806" s="77" t="n">
        <v>0</v>
      </c>
    </row>
    <row r="807" customFormat="1" s="69">
      <c r="B807" s="92" t="n"/>
      <c r="C807" s="93" t="n"/>
      <c r="D807" s="495">
        <f>IF(C807="","",C807/(C807+$E$1/60))</f>
        <v/>
      </c>
      <c r="E807" s="95">
        <f>IFERROR(ROUND(1440/C807*2*D807,0),"")</f>
        <v/>
      </c>
      <c r="F807" s="96" t="n"/>
      <c r="G807" s="97" t="n"/>
      <c r="H807" s="74" t="n"/>
      <c r="I807" s="75" t="inlineStr">
        <is>
          <t>ID(G104004)80/90-12-6P[H-565-2]53J GOODRIDE  纳米高抓 TL 配套</t>
        </is>
      </c>
      <c r="J807" s="76" t="n">
        <v>31.714452</v>
      </c>
      <c r="L807" s="77" t="n"/>
      <c r="M807" s="77" t="n">
        <v>0</v>
      </c>
    </row>
    <row r="808" customFormat="1" s="69">
      <c r="B808" s="92" t="n"/>
      <c r="C808" s="93" t="n"/>
      <c r="D808" s="495">
        <f>IF(C808="","",C808/(C808+$E$1/60))</f>
        <v/>
      </c>
      <c r="E808" s="95">
        <f>IFERROR(ROUND(1440/C808*2*D808,0),"")</f>
        <v/>
      </c>
      <c r="F808" s="96" t="n"/>
      <c r="G808" s="97" t="n"/>
      <c r="H808" s="74" t="n"/>
      <c r="I808" s="75" t="inlineStr">
        <is>
          <t>ID12.00R20-18PR(154/151F)[CB919]C级ARISUN</t>
        </is>
      </c>
      <c r="J808" s="76" t="n">
        <v>1230.077058</v>
      </c>
      <c r="L808" s="77" t="n"/>
      <c r="M808" s="77" t="n">
        <v>0</v>
      </c>
    </row>
    <row r="809" customFormat="1" s="69">
      <c r="B809" s="92" t="n"/>
      <c r="C809" s="93" t="n"/>
      <c r="D809" s="495">
        <f>IF(C809="","",C809/(C809+$E$1/60))</f>
        <v/>
      </c>
      <c r="E809" s="95">
        <f>IFERROR(ROUND(1440/C809*2*D809,0),"")</f>
        <v/>
      </c>
      <c r="F809" s="96" t="n"/>
      <c r="G809" s="97" t="n"/>
      <c r="H809" s="74" t="n"/>
      <c r="I809" s="75" t="inlineStr">
        <is>
          <t>ID10.00R20-18PR(149/146J)[CM988]C级GOODRIDE(好运)</t>
        </is>
      </c>
      <c r="J809" s="76" t="n">
        <v>924.825874</v>
      </c>
      <c r="L809" s="77" t="n"/>
      <c r="M809" s="77" t="n">
        <v>0</v>
      </c>
    </row>
    <row r="810" customFormat="1" s="69">
      <c r="B810" s="92" t="n"/>
      <c r="C810" s="93" t="n"/>
      <c r="D810" s="495">
        <f>IF(C810="","",C810/(C810+$E$1/60))</f>
        <v/>
      </c>
      <c r="E810" s="95">
        <f>IFERROR(ROUND(1440/C810*2*D810,0),"")</f>
        <v/>
      </c>
      <c r="F810" s="96" t="n"/>
      <c r="G810" s="97" t="n"/>
      <c r="H810" s="74" t="n"/>
      <c r="I810" s="75" t="inlineStr">
        <is>
          <t>ID10.00R20-16PR(146/143K)[I-181]C级IRONMAN</t>
        </is>
      </c>
      <c r="J810" s="76" t="n">
        <v>781.539402</v>
      </c>
      <c r="L810" s="77" t="n"/>
      <c r="M810" s="77" t="n">
        <v>0</v>
      </c>
    </row>
    <row r="811" customFormat="1" s="69">
      <c r="B811" s="92" t="n"/>
      <c r="C811" s="93" t="n"/>
      <c r="D811" s="495">
        <f>IF(C811="","",C811/(C811+$E$1/60))</f>
        <v/>
      </c>
      <c r="E811" s="95">
        <f>IFERROR(ROUND(1440/C811*2*D811,0),"")</f>
        <v/>
      </c>
      <c r="F811" s="96" t="n"/>
      <c r="G811" s="97" t="n"/>
      <c r="H811" s="74" t="n"/>
      <c r="I811" s="75" t="inlineStr">
        <is>
          <t>ID8.25R16-16PR(128/124L)[CR926]C级威狮</t>
        </is>
      </c>
      <c r="J811" s="76" t="n">
        <v>483.259238</v>
      </c>
      <c r="L811" s="77" t="n"/>
      <c r="M811" s="77" t="n">
        <v>0</v>
      </c>
    </row>
    <row r="812" customFormat="1" s="69">
      <c r="B812" s="92" t="n"/>
      <c r="C812" s="93" t="n"/>
      <c r="D812" s="495">
        <f>IF(C812="","",C812/(C812+$E$1/60))</f>
        <v/>
      </c>
      <c r="E812" s="95">
        <f>IFERROR(ROUND(1440/C812*2*D812,0),"")</f>
        <v/>
      </c>
      <c r="F812" s="96" t="n"/>
      <c r="G812" s="97" t="n"/>
      <c r="H812" s="74" t="n"/>
      <c r="I812" s="75" t="inlineStr">
        <is>
          <t>ID7.50R16-14PR(122/118L)[MOBY.R856X]C级EFFIPLUS</t>
        </is>
      </c>
      <c r="J812" s="76" t="n">
        <v>439.126898</v>
      </c>
      <c r="L812" s="77" t="n"/>
      <c r="M812" s="77" t="n">
        <v>0</v>
      </c>
    </row>
    <row r="813" customFormat="1" s="69">
      <c r="B813" s="92" t="n"/>
      <c r="C813" s="93" t="n"/>
      <c r="D813" s="495">
        <f>IF(C813="","",C813/(C813+$E$1/60))</f>
        <v/>
      </c>
      <c r="E813" s="95">
        <f>IFERROR(ROUND(1440/C813*2*D813,0),"")</f>
        <v/>
      </c>
      <c r="F813" s="96" t="n"/>
      <c r="G813" s="97" t="n"/>
      <c r="H813" s="74" t="n"/>
      <c r="I813" s="75" t="inlineStr">
        <is>
          <t>ID295/80R22.5-18PR(152/149L)[AZ183]C级金冠无内</t>
        </is>
      </c>
      <c r="J813" s="76" t="n">
        <v>765.102646</v>
      </c>
      <c r="L813" s="77" t="n"/>
      <c r="M813" s="77" t="n">
        <v>0</v>
      </c>
    </row>
    <row r="814" customFormat="1" s="69">
      <c r="B814" s="92" t="n"/>
      <c r="C814" s="93" t="n"/>
      <c r="D814" s="495">
        <f>IF(C814="","",C814/(C814+$E$1/60))</f>
        <v/>
      </c>
      <c r="E814" s="95">
        <f>IFERROR(ROUND(1440/C814*2*D814,0),"")</f>
        <v/>
      </c>
      <c r="F814" s="96" t="n"/>
      <c r="G814" s="97" t="n"/>
      <c r="H814" s="74" t="n"/>
      <c r="I814" s="75" t="inlineStr">
        <is>
          <t>ID295/80R22.5-18PR(152/149M)[AD818]C级朝阳无内</t>
        </is>
      </c>
      <c r="J814" s="76" t="n">
        <v>951.973463</v>
      </c>
      <c r="L814" s="77" t="n"/>
      <c r="M814" s="77" t="n">
        <v>0</v>
      </c>
    </row>
    <row r="815" customFormat="1" s="69">
      <c r="B815" s="92" t="n"/>
      <c r="C815" s="93" t="n"/>
      <c r="D815" s="495">
        <f>IF(C815="","",C815/(C815+$E$1/60))</f>
        <v/>
      </c>
      <c r="E815" s="95">
        <f>IFERROR(ROUND(1440/C815*2*D815,0),"")</f>
        <v/>
      </c>
      <c r="F815" s="96" t="n"/>
      <c r="G815" s="97" t="n"/>
      <c r="H815" s="74" t="n"/>
      <c r="I815" s="75" t="inlineStr">
        <is>
          <t>ID295/75R22.5-16PR(146/143M)[AT100]C级ANTINI无内</t>
        </is>
      </c>
      <c r="J815" s="76" t="n">
        <v>699.59981</v>
      </c>
      <c r="L815" s="77" t="n"/>
      <c r="M815" s="77" t="n">
        <v>0</v>
      </c>
    </row>
    <row r="816" customFormat="1" s="69">
      <c r="B816" s="92" t="n"/>
      <c r="C816" s="93" t="n"/>
      <c r="D816" s="495">
        <f>IF(C816="","",C816/(C816+$E$1/60))</f>
        <v/>
      </c>
      <c r="E816" s="95">
        <f>IFERROR(ROUND(1440/C816*2*D816,0),"")</f>
        <v/>
      </c>
      <c r="F816" s="96" t="n"/>
      <c r="G816" s="97" t="n"/>
      <c r="H816" s="74" t="n"/>
      <c r="I816" s="75" t="inlineStr">
        <is>
          <t>ID295/75R22.5-16PR(146/143L)[HF1 Plus]C级SUPERMAX无内</t>
        </is>
      </c>
      <c r="J816" s="76" t="n">
        <v>745.860346</v>
      </c>
      <c r="L816" s="77" t="n"/>
      <c r="M816" s="77" t="n">
        <v>0</v>
      </c>
    </row>
    <row r="817" customFormat="1" s="69">
      <c r="B817" s="92" t="n"/>
      <c r="C817" s="93" t="n"/>
      <c r="D817" s="495">
        <f>IF(C817="","",C817/(C817+$E$1/60))</f>
        <v/>
      </c>
      <c r="E817" s="95">
        <f>IFERROR(ROUND(1440/C817*2*D817,0),"")</f>
        <v/>
      </c>
      <c r="F817" s="96" t="n"/>
      <c r="G817" s="97" t="n"/>
      <c r="H817" s="74" t="n"/>
      <c r="I817" s="75" t="inlineStr">
        <is>
          <t>ID295/75R22.5-14PR(144/141M)[VA996]C级VITOUR无内</t>
        </is>
      </c>
      <c r="J817" s="76" t="n">
        <v>793.912189</v>
      </c>
      <c r="L817" s="77" t="n"/>
      <c r="M817" s="77" t="n">
        <v>0</v>
      </c>
    </row>
    <row r="818" customFormat="1" s="69">
      <c r="B818" s="92" t="n"/>
      <c r="C818" s="93" t="n"/>
      <c r="D818" s="495">
        <f>IF(C818="","",C818/(C818+$E$1/60))</f>
        <v/>
      </c>
      <c r="E818" s="95">
        <f>IFERROR(ROUND(1440/C818*2*D818,0),"")</f>
        <v/>
      </c>
      <c r="F818" s="96" t="n"/>
      <c r="G818" s="97" t="n"/>
      <c r="H818" s="74" t="n"/>
      <c r="I818" s="75" t="inlineStr">
        <is>
          <t>ID295/75R22.5-14PR(144/141L)[AD716]C级GOODRIDE(好运)无内</t>
        </is>
      </c>
      <c r="J818" s="76" t="n">
        <v>774.215309</v>
      </c>
      <c r="L818" s="77" t="n"/>
      <c r="M818" s="77" t="n">
        <v>0</v>
      </c>
    </row>
    <row r="819" customFormat="1" s="69">
      <c r="B819" s="92" t="n"/>
      <c r="C819" s="93" t="n"/>
      <c r="D819" s="495">
        <f>IF(C819="","",C819/(C819+$E$1/60))</f>
        <v/>
      </c>
      <c r="E819" s="95">
        <f>IFERROR(ROUND(1440/C819*2*D819,0),"")</f>
        <v/>
      </c>
      <c r="F819" s="96" t="n"/>
      <c r="G819" s="97" t="n"/>
      <c r="H819" s="74" t="n"/>
      <c r="I819" s="75" t="inlineStr">
        <is>
          <t>ID285/75R24.5-16PR(147/144M)[SL11]C级威狮无内</t>
        </is>
      </c>
      <c r="J819" s="76" t="n">
        <v>837.560437</v>
      </c>
      <c r="L819" s="77" t="n"/>
      <c r="M819" s="77" t="n">
        <v>0</v>
      </c>
    </row>
    <row r="820" customFormat="1" s="69">
      <c r="B820" s="92" t="n"/>
      <c r="C820" s="93" t="n"/>
      <c r="D820" s="495">
        <f>IF(C820="","",C820/(C820+$E$1/60))</f>
        <v/>
      </c>
      <c r="E820" s="95">
        <f>IFERROR(ROUND(1440/C820*2*D820,0),"")</f>
        <v/>
      </c>
      <c r="F820" s="96" t="n"/>
      <c r="G820" s="97" t="n"/>
      <c r="H820" s="74" t="n"/>
      <c r="I820" s="75" t="inlineStr">
        <is>
          <t>ID275/70R22.5-18PR(152/148L)[I-19A]C级IRONMAN无内</t>
        </is>
      </c>
      <c r="J820" s="76" t="n">
        <v>710.973116</v>
      </c>
      <c r="L820" s="77" t="n"/>
      <c r="M820" s="77" t="n">
        <v>0</v>
      </c>
    </row>
    <row r="821" customFormat="1" s="69">
      <c r="B821" s="92" t="n"/>
      <c r="C821" s="93" t="n"/>
      <c r="D821" s="495">
        <f>IF(C821="","",C821/(C821+$E$1/60))</f>
        <v/>
      </c>
      <c r="E821" s="95">
        <f>IFERROR(ROUND(1440/C821*2*D821,0),"")</f>
        <v/>
      </c>
      <c r="F821" s="96" t="n"/>
      <c r="G821" s="97" t="n"/>
      <c r="H821" s="74" t="n"/>
      <c r="I821" s="75" t="inlineStr">
        <is>
          <t>ID11R22.5-16PR(146/143L)[VXD932]C级VITOUR无内</t>
        </is>
      </c>
      <c r="J821" s="76" t="n">
        <v>890.705004</v>
      </c>
      <c r="L821" s="77" t="inlineStr">
        <is>
          <t>295/75R22.5</t>
        </is>
      </c>
      <c r="M821" s="77" t="inlineStr">
        <is>
          <t>AD600/PD211</t>
        </is>
      </c>
    </row>
    <row r="822" customFormat="1" s="69">
      <c r="B822" s="92" t="n"/>
      <c r="C822" s="93" t="n"/>
      <c r="D822" s="495">
        <f>IF(C822="","",C822/(C822+$E$1/60))</f>
        <v/>
      </c>
      <c r="E822" s="95">
        <f>IFERROR(ROUND(1440/C822*2*D822,0),"")</f>
        <v/>
      </c>
      <c r="F822" s="96" t="n"/>
      <c r="G822" s="97" t="n"/>
      <c r="H822" s="74" t="n"/>
      <c r="I822" s="75" t="inlineStr">
        <is>
          <t>ID11R22.5-16PR(146/143L)[HD2 Plus]C级SUPERMAX无内</t>
        </is>
      </c>
      <c r="J822" s="76" t="n">
        <v>815.685976</v>
      </c>
      <c r="L822" s="77" t="inlineStr">
        <is>
          <t>295/75R22.5</t>
        </is>
      </c>
      <c r="M822" s="77" t="inlineStr">
        <is>
          <t>AD600/PD211</t>
        </is>
      </c>
    </row>
    <row r="823" customFormat="1" s="69">
      <c r="B823" s="92" t="n"/>
      <c r="C823" s="93" t="n"/>
      <c r="D823" s="495">
        <f>IF(C823="","",C823/(C823+$E$1/60))</f>
        <v/>
      </c>
      <c r="E823" s="95">
        <f>IFERROR(ROUND(1440/C823*2*D823,0),"")</f>
        <v/>
      </c>
      <c r="F823" s="96" t="n"/>
      <c r="G823" s="97" t="n"/>
      <c r="H823" s="74" t="n"/>
      <c r="I823" s="75" t="inlineStr">
        <is>
          <t>ID11R22.5-16PR(148/145L)[HF1 Plus]C级SUPERMAX无内</t>
        </is>
      </c>
      <c r="J823" s="76" t="n">
        <v>747.865853</v>
      </c>
      <c r="L823" s="77" t="inlineStr">
        <is>
          <t>295/75R22.5</t>
        </is>
      </c>
      <c r="M823" s="77" t="inlineStr">
        <is>
          <t>AD600/PD211</t>
        </is>
      </c>
    </row>
    <row r="824" customFormat="1" s="69">
      <c r="B824" s="92" t="n"/>
      <c r="C824" s="93" t="n"/>
      <c r="D824" s="495">
        <f>IF(C824="","",C824/(C824+$E$1/60))</f>
        <v/>
      </c>
      <c r="E824" s="95">
        <f>IFERROR(ROUND(1440/C824*2*D824,0),"")</f>
        <v/>
      </c>
      <c r="F824" s="96" t="n"/>
      <c r="G824" s="97" t="n"/>
      <c r="H824" s="74" t="n"/>
      <c r="I824" s="75" t="inlineStr">
        <is>
          <t>ID235/75R17.5-16PR(143/141J)[HF1 Plus]C级SUPERMAX无内</t>
        </is>
      </c>
      <c r="J824" s="76" t="n">
        <v>442.51221</v>
      </c>
      <c r="L824" s="77" t="inlineStr">
        <is>
          <t>295/75R22.5</t>
        </is>
      </c>
      <c r="M824" s="77" t="inlineStr">
        <is>
          <t>AD600/PD211</t>
        </is>
      </c>
    </row>
    <row r="825" customFormat="1" s="69">
      <c r="B825" s="92" t="n"/>
      <c r="C825" s="93" t="n"/>
      <c r="D825" s="495">
        <f>IF(C825="","",C825/(C825+$E$1/60))</f>
        <v/>
      </c>
      <c r="E825" s="95">
        <f>IFERROR(ROUND(1440/C825*2*D825,0),"")</f>
        <v/>
      </c>
      <c r="F825" s="96" t="n"/>
      <c r="G825" s="97" t="n"/>
      <c r="H825" s="74" t="n"/>
      <c r="I825" s="75" t="inlineStr">
        <is>
          <t>IDST205/75R14-8PR[ST-100A]105/101M ARISUN无内</t>
        </is>
      </c>
      <c r="J825" s="76" t="n">
        <v>141.191953</v>
      </c>
      <c r="L825" s="77" t="inlineStr">
        <is>
          <t>295/75R22.5</t>
        </is>
      </c>
      <c r="M825" s="77" t="inlineStr">
        <is>
          <t>AD600/PD211</t>
        </is>
      </c>
    </row>
    <row r="826" customFormat="1" s="69">
      <c r="B826" s="92" t="n"/>
      <c r="C826" s="93" t="n"/>
      <c r="D826" s="495">
        <f>IF(C826="","",C826/(C826+$E$1/60))</f>
        <v/>
      </c>
      <c r="E826" s="95">
        <f>IFERROR(ROUND(1440/C826*2*D826,0),"")</f>
        <v/>
      </c>
      <c r="F826" s="96" t="n"/>
      <c r="G826" s="97" t="n"/>
      <c r="H826" s="74" t="n"/>
      <c r="I826" s="75" t="inlineStr">
        <is>
          <t>ID(D105001)70/90-14-4P[H-999-A]34P GOLDEN CROWN 纳米高抓 TL</t>
        </is>
      </c>
      <c r="J826" s="76" t="n">
        <v>32.331586</v>
      </c>
      <c r="L826" s="77" t="inlineStr">
        <is>
          <t>295/75R22.5</t>
        </is>
      </c>
      <c r="M826" s="77" t="inlineStr">
        <is>
          <t>AD600/PD211</t>
        </is>
      </c>
    </row>
    <row r="827" customFormat="1" s="69">
      <c r="B827" s="92" t="n"/>
      <c r="C827" s="93" t="n"/>
      <c r="D827" s="495">
        <f>IF(C827="","",C827/(C827+$E$1/60))</f>
        <v/>
      </c>
      <c r="E827" s="95">
        <f>IFERROR(ROUND(1440/C827*2*D827,0),"")</f>
        <v/>
      </c>
      <c r="F827" s="96" t="n"/>
      <c r="G827" s="97" t="n"/>
      <c r="H827" s="74" t="n"/>
      <c r="I827" s="75" t="inlineStr">
        <is>
          <t>ID11.00R20-20PR(154/151D)[AZ850]C级雅度</t>
        </is>
      </c>
      <c r="J827" s="76" t="n">
        <v>985.844195</v>
      </c>
      <c r="L827" s="77" t="inlineStr">
        <is>
          <t>11R22.5</t>
        </is>
      </c>
      <c r="M827" s="77" t="inlineStr">
        <is>
          <t>AD600/PD211</t>
        </is>
      </c>
    </row>
    <row r="828" customFormat="1" s="69">
      <c r="B828" s="92" t="n"/>
      <c r="C828" s="93" t="n"/>
      <c r="D828" s="495">
        <f>IF(C828="","",C828/(C828+$E$1/60))</f>
        <v/>
      </c>
      <c r="E828" s="95">
        <f>IFERROR(ROUND(1440/C828*2*D828,0),"")</f>
        <v/>
      </c>
      <c r="F828" s="96" t="n"/>
      <c r="G828" s="97" t="n"/>
      <c r="H828" s="74" t="n"/>
      <c r="I828" s="75" t="inlineStr">
        <is>
          <t>ID11.00R20-20PR(154/151D)[CB905A]C级雅度</t>
        </is>
      </c>
      <c r="J828" s="76" t="n">
        <v>1034.991909</v>
      </c>
      <c r="L828" s="77" t="inlineStr">
        <is>
          <t>11R22.5</t>
        </is>
      </c>
      <c r="M828" s="77" t="inlineStr">
        <is>
          <t>AD600/PD211</t>
        </is>
      </c>
    </row>
    <row r="829" customFormat="1" s="69">
      <c r="B829" s="92" t="n"/>
      <c r="C829" s="93" t="n"/>
      <c r="D829" s="495">
        <f>IF(C829="","",C829/(C829+$E$1/60))</f>
        <v/>
      </c>
      <c r="E829" s="95">
        <f>IFERROR(ROUND(1440/C829*2*D829,0),"")</f>
        <v/>
      </c>
      <c r="F829" s="96" t="n"/>
      <c r="G829" s="97" t="n"/>
      <c r="H829" s="74" t="n"/>
      <c r="I829" s="75" t="inlineStr">
        <is>
          <t>ID11.00R20-18PR(152/149K)[CM988]C级GOODRIDE(好运)</t>
        </is>
      </c>
      <c r="J829" s="76" t="n">
        <v>975.072196</v>
      </c>
      <c r="L829" s="77" t="inlineStr">
        <is>
          <t>11R24.5</t>
        </is>
      </c>
      <c r="M829" s="77" t="inlineStr">
        <is>
          <t>AD600/PD211</t>
        </is>
      </c>
    </row>
    <row r="830" customFormat="1" s="69">
      <c r="B830" s="92" t="n"/>
      <c r="C830" s="93" t="n"/>
      <c r="D830" s="495">
        <f>IF(C830="","",C830/(C830+$E$1/60))</f>
        <v/>
      </c>
      <c r="E830" s="95">
        <f>IFERROR(ROUND(1440/C830*2*D830,0),"")</f>
        <v/>
      </c>
      <c r="F830" s="96" t="n"/>
      <c r="G830" s="97" t="n"/>
      <c r="H830" s="74" t="n"/>
      <c r="I830" s="75" t="inlineStr">
        <is>
          <t>ID10.00R20-18PR(149/146J)[CM988]C级金冠</t>
        </is>
      </c>
      <c r="J830" s="76" t="n">
        <v>924.825874</v>
      </c>
      <c r="L830" s="77" t="inlineStr">
        <is>
          <t>11R24.5</t>
        </is>
      </c>
      <c r="M830" s="77" t="inlineStr">
        <is>
          <t>AD600/PD211</t>
        </is>
      </c>
    </row>
    <row r="831" customFormat="1" s="69">
      <c r="B831" s="92" t="n"/>
      <c r="C831" s="93" t="n"/>
      <c r="D831" s="495">
        <f>IF(C831="","",C831/(C831+$E$1/60))</f>
        <v/>
      </c>
      <c r="E831" s="95">
        <f>IFERROR(ROUND(1440/C831*2*D831,0),"")</f>
        <v/>
      </c>
      <c r="F831" s="96" t="n"/>
      <c r="G831" s="97" t="n"/>
      <c r="H831" s="74" t="n"/>
      <c r="I831" s="75" t="inlineStr">
        <is>
          <t>ID315/80R22.5-20PR(157/154K)[CR926B]C级雅度无内</t>
        </is>
      </c>
      <c r="J831" s="76" t="n">
        <v>949.8509790000001</v>
      </c>
      <c r="L831" s="77" t="inlineStr">
        <is>
          <t>295/75R22.5</t>
        </is>
      </c>
      <c r="M831" s="77" t="inlineStr">
        <is>
          <t>AS200/PS221</t>
        </is>
      </c>
    </row>
    <row r="832" customFormat="1" s="69">
      <c r="B832" s="92" t="n"/>
      <c r="C832" s="93" t="n"/>
      <c r="D832" s="495">
        <f>IF(C832="","",C832/(C832+$E$1/60))</f>
        <v/>
      </c>
      <c r="E832" s="95">
        <f>IFERROR(ROUND(1440/C832*2*D832,0),"")</f>
        <v/>
      </c>
      <c r="F832" s="96" t="n"/>
      <c r="G832" s="97" t="n"/>
      <c r="H832" s="74" t="n"/>
      <c r="I832" s="75" t="inlineStr">
        <is>
          <t>ID295/80R22.5-18PR(152/149M)[AD733]C级威狮无内</t>
        </is>
      </c>
      <c r="J832" s="76" t="n">
        <v>946.221003</v>
      </c>
      <c r="L832" s="77" t="inlineStr">
        <is>
          <t>295/75R22.5</t>
        </is>
      </c>
      <c r="M832" s="77" t="inlineStr">
        <is>
          <t>AS200/PS221</t>
        </is>
      </c>
    </row>
    <row r="833" customFormat="1" s="69">
      <c r="B833" s="92" t="n"/>
      <c r="C833" s="93" t="n"/>
      <c r="D833" s="495">
        <f>IF(C833="","",C833/(C833+$E$1/60))</f>
        <v/>
      </c>
      <c r="E833" s="95">
        <f>IFERROR(ROUND(1440/C833*2*D833,0),"")</f>
        <v/>
      </c>
      <c r="F833" s="96" t="n"/>
      <c r="G833" s="97" t="n"/>
      <c r="H833" s="74" t="n"/>
      <c r="I833" s="75" t="inlineStr">
        <is>
          <t>ID295/80R22.5-18PR(152/149M)[AS898]C级雅度无内</t>
        </is>
      </c>
      <c r="J833" s="76" t="n">
        <v>904.6390709999999</v>
      </c>
      <c r="L833" s="77" t="inlineStr">
        <is>
          <t>11R22.5</t>
        </is>
      </c>
      <c r="M833" s="77" t="inlineStr">
        <is>
          <t>AS200/PS221</t>
        </is>
      </c>
    </row>
    <row r="834" customFormat="1" s="69">
      <c r="B834" s="92" t="n"/>
      <c r="C834" s="93" t="n"/>
      <c r="D834" s="495">
        <f>IF(C834="","",C834/(C834+$E$1/60))</f>
        <v/>
      </c>
      <c r="E834" s="95">
        <f>IFERROR(ROUND(1440/C834*2*D834,0),"")</f>
        <v/>
      </c>
      <c r="F834" s="96" t="n"/>
      <c r="G834" s="97" t="n"/>
      <c r="H834" s="74" t="n"/>
      <c r="I834" s="75" t="inlineStr">
        <is>
          <t>ID295/80R22.5-18PR(154/149L)[WSA2]C级威狮无内</t>
        </is>
      </c>
      <c r="J834" s="76" t="n">
        <v>907.3874949999999</v>
      </c>
      <c r="L834" s="77" t="inlineStr">
        <is>
          <t>11R22.5</t>
        </is>
      </c>
      <c r="M834" s="77" t="inlineStr">
        <is>
          <t>AS200/PS221</t>
        </is>
      </c>
    </row>
    <row r="835" customFormat="1" s="69">
      <c r="B835" s="92" t="n"/>
      <c r="C835" s="93" t="n"/>
      <c r="D835" s="495">
        <f>IF(C835="","",C835/(C835+$E$1/60))</f>
        <v/>
      </c>
      <c r="E835" s="95">
        <f>IFERROR(ROUND(1440/C835*2*D835,0),"")</f>
        <v/>
      </c>
      <c r="F835" s="96" t="n"/>
      <c r="G835" s="97" t="n"/>
      <c r="H835" s="74" t="n"/>
      <c r="I835" s="75" t="inlineStr">
        <is>
          <t>ID215/75R17.5-16PR(135/133J)[CM986]TRAZANO(全诺)无内</t>
        </is>
      </c>
      <c r="J835" s="76" t="n">
        <v>390.89477</v>
      </c>
      <c r="L835" s="77" t="inlineStr">
        <is>
          <t>11R24.5</t>
        </is>
      </c>
      <c r="M835" s="77" t="inlineStr">
        <is>
          <t>AS200/PS221</t>
        </is>
      </c>
    </row>
    <row r="836" customFormat="1" s="69">
      <c r="B836" s="92" t="n"/>
      <c r="C836" s="93" t="n"/>
      <c r="D836" s="495">
        <f>IF(C836="","",C836/(C836+$E$1/60))</f>
        <v/>
      </c>
      <c r="E836" s="95">
        <f>IFERROR(ROUND(1440/C836*2*D836,0),"")</f>
        <v/>
      </c>
      <c r="F836" s="96" t="n"/>
      <c r="G836" s="97" t="n"/>
      <c r="H836" s="74" t="n"/>
      <c r="I836" s="75" t="inlineStr">
        <is>
          <t>ID11R24.5-16PR(149/146L)[ZA12]C级威狮无内</t>
        </is>
      </c>
      <c r="J836" s="76" t="n">
        <v>884.876979</v>
      </c>
      <c r="L836" s="77" t="inlineStr">
        <is>
          <t>11R24.5</t>
        </is>
      </c>
      <c r="M836" s="77" t="inlineStr">
        <is>
          <t>AS200/PS221</t>
        </is>
      </c>
    </row>
    <row r="837" customFormat="1" s="69">
      <c r="B837" s="92" t="n"/>
      <c r="C837" s="93" t="n"/>
      <c r="D837" s="495">
        <f>IF(C837="","",C837/(C837+$E$1/60))</f>
        <v/>
      </c>
      <c r="E837" s="95">
        <f>IFERROR(ROUND(1440/C837*2*D837,0),"")</f>
        <v/>
      </c>
      <c r="F837" s="96" t="n"/>
      <c r="G837" s="97" t="n"/>
      <c r="H837" s="74" t="n"/>
      <c r="I837" s="75" t="inlineStr">
        <is>
          <t>ID11R24.5-16PR(149/146L)[AD716]C级GOODRIDE(好运)无内</t>
        </is>
      </c>
      <c r="J837" s="76" t="n">
        <v>851.923142</v>
      </c>
      <c r="L837" s="77" t="inlineStr">
        <is>
          <t>295/75R22.5</t>
        </is>
      </c>
      <c r="M837" s="77" t="inlineStr">
        <is>
          <t>AT100/PT101</t>
        </is>
      </c>
    </row>
    <row r="838" customFormat="1" s="69">
      <c r="B838" s="92" t="n"/>
      <c r="C838" s="93" t="n"/>
      <c r="D838" s="495">
        <f>IF(C838="","",C838/(C838+$E$1/60))</f>
        <v/>
      </c>
      <c r="E838" s="95">
        <f>IFERROR(ROUND(1440/C838*2*D838,0),"")</f>
        <v/>
      </c>
      <c r="F838" s="96" t="n"/>
      <c r="G838" s="97" t="n"/>
      <c r="H838" s="74" t="n"/>
      <c r="I838" s="75" t="inlineStr">
        <is>
          <t>ID11R24.5-16PR(149/146L)[HD2 Plus]C级SUPERMAX无内</t>
        </is>
      </c>
      <c r="J838" s="76" t="n">
        <v>872.854647</v>
      </c>
      <c r="L838" s="77" t="inlineStr">
        <is>
          <t>295/75R22.5</t>
        </is>
      </c>
      <c r="M838" s="77" t="inlineStr">
        <is>
          <t>AT100/PT101</t>
        </is>
      </c>
    </row>
    <row r="839" customFormat="1" s="69">
      <c r="B839" s="92" t="n"/>
      <c r="C839" s="93" t="n"/>
      <c r="D839" s="495">
        <f>IF(C839="","",C839/(C839+$E$1/60))</f>
        <v/>
      </c>
      <c r="E839" s="95">
        <f>IFERROR(ROUND(1440/C839*2*D839,0),"")</f>
        <v/>
      </c>
      <c r="F839" s="96" t="n"/>
      <c r="G839" s="97" t="n"/>
      <c r="H839" s="74" t="n"/>
      <c r="I839" s="75" t="inlineStr">
        <is>
          <t>ID11R22.5-16PR(146/143L)[VD908]C级VITOUR无内</t>
        </is>
      </c>
      <c r="J839" s="76" t="n">
        <v>889.150269</v>
      </c>
      <c r="L839" s="77" t="inlineStr">
        <is>
          <t>295/75R22.5</t>
        </is>
      </c>
      <c r="M839" s="77" t="inlineStr">
        <is>
          <t>AS201/PS210</t>
        </is>
      </c>
    </row>
    <row r="840" customFormat="1" s="69">
      <c r="B840" s="92" t="n"/>
      <c r="C840" s="93" t="n"/>
      <c r="D840" s="495">
        <f>IF(C840="","",C840/(C840+$E$1/60))</f>
        <v/>
      </c>
      <c r="E840" s="95">
        <f>IFERROR(ROUND(1440/C840*2*D840,0),"")</f>
        <v/>
      </c>
      <c r="F840" s="96" t="n"/>
      <c r="G840" s="97" t="n"/>
      <c r="H840" s="74" t="n"/>
      <c r="I840" s="75" t="inlineStr">
        <is>
          <t>ID11R22.5-16PR(146/143L)[VA991]C级VITOUR无内</t>
        </is>
      </c>
      <c r="J840" s="76" t="n">
        <v>822.3535460000001</v>
      </c>
      <c r="L840" s="77" t="inlineStr">
        <is>
          <t>295/75R22.5</t>
        </is>
      </c>
      <c r="M840" s="77" t="inlineStr">
        <is>
          <t>AS201/PS210</t>
        </is>
      </c>
    </row>
    <row r="841" customFormat="1" s="69">
      <c r="B841" s="92" t="n"/>
      <c r="C841" s="93" t="n"/>
      <c r="D841" s="495">
        <f>IF(C841="","",C841/(C841+$E$1/60))</f>
        <v/>
      </c>
      <c r="E841" s="95">
        <f>IFERROR(ROUND(1440/C841*2*D841,0),"")</f>
        <v/>
      </c>
      <c r="F841" s="96" t="n"/>
      <c r="G841" s="97" t="n"/>
      <c r="H841" s="74" t="n"/>
      <c r="I841" s="75" t="inlineStr">
        <is>
          <t>ID11R22.5-16PR(148/145L)[RLINE-D2]C级REDCLIFF无内</t>
        </is>
      </c>
      <c r="J841" s="76" t="n">
        <v>793.646105</v>
      </c>
      <c r="L841" s="77" t="n"/>
      <c r="M841" s="77" t="n"/>
    </row>
    <row r="842" customFormat="1" s="69">
      <c r="B842" s="92" t="n"/>
      <c r="C842" s="93" t="n"/>
      <c r="D842" s="495">
        <f>IF(C842="","",C842/(C842+$E$1/60))</f>
        <v/>
      </c>
      <c r="E842" s="95">
        <f>IFERROR(ROUND(1440/C842*2*D842,0),"")</f>
        <v/>
      </c>
      <c r="F842" s="96" t="n"/>
      <c r="G842" s="97" t="n"/>
      <c r="H842" s="74" t="n"/>
      <c r="I842" s="75" t="inlineStr">
        <is>
          <t>ID11R22.5-16PR(148/145L)[AZ850]C级雅度无内</t>
        </is>
      </c>
      <c r="J842" s="76" t="n">
        <v>803.970545</v>
      </c>
      <c r="L842" s="77" t="n"/>
      <c r="M842" s="77" t="n"/>
    </row>
    <row r="843" customFormat="1" s="69">
      <c r="B843" s="92" t="n"/>
      <c r="C843" s="93" t="n"/>
      <c r="D843" s="495">
        <f>IF(C843="","",C843/(C843+$E$1/60))</f>
        <v/>
      </c>
      <c r="E843" s="95">
        <f>IFERROR(ROUND(1440/C843*2*D843,0),"")</f>
        <v/>
      </c>
      <c r="F843" s="96" t="n"/>
      <c r="G843" s="97" t="n"/>
      <c r="H843" s="74" t="n"/>
      <c r="I843" s="75" t="inlineStr">
        <is>
          <t>ID11R22.5-16PR(148/145L)[AZ599]C级GOODRIDE(好运)无内</t>
        </is>
      </c>
      <c r="J843" s="76" t="n">
        <v>747.865853</v>
      </c>
      <c r="L843" s="77" t="n"/>
      <c r="M843" s="77" t="n"/>
    </row>
    <row r="844" customFormat="1" s="69">
      <c r="B844" s="92" t="n"/>
      <c r="C844" s="93" t="n"/>
      <c r="D844" s="495">
        <f>IF(C844="","",C844/(C844+$E$1/60))</f>
        <v/>
      </c>
      <c r="E844" s="95">
        <f>IFERROR(ROUND(1440/C844*2*D844,0),"")</f>
        <v/>
      </c>
      <c r="F844" s="96" t="n"/>
      <c r="G844" s="97" t="n"/>
      <c r="H844" s="74" t="n"/>
      <c r="I844" s="75" t="inlineStr">
        <is>
          <t>ID11R22.5-14PR(144/142M)[Strong Guard H-TL]HERCULES无内</t>
        </is>
      </c>
      <c r="J844" s="76" t="n">
        <v>711.929995</v>
      </c>
      <c r="L844" s="77" t="n"/>
      <c r="M844" s="77" t="n"/>
    </row>
    <row r="845" customFormat="1" s="69">
      <c r="B845" s="92" t="n"/>
      <c r="C845" s="93" t="n"/>
      <c r="D845" s="495">
        <f>IF(C845="","",C845/(C845+$E$1/60))</f>
        <v/>
      </c>
      <c r="E845" s="95">
        <f>IFERROR(ROUND(1440/C845*2*D845,0),"")</f>
        <v/>
      </c>
      <c r="F845" s="96" t="n"/>
      <c r="G845" s="97" t="n"/>
      <c r="H845" s="74" t="n"/>
      <c r="I845" s="75" t="inlineStr">
        <is>
          <t>ID12.00R24-20PR(160/157F)[CB919]C级ARISUN</t>
        </is>
      </c>
      <c r="J845" s="76" t="n">
        <v>1298.806698</v>
      </c>
      <c r="L845" s="77" t="n"/>
      <c r="M845" s="77" t="n"/>
    </row>
    <row r="846" customFormat="1" s="69">
      <c r="B846" s="92" t="n"/>
      <c r="C846" s="93" t="n"/>
      <c r="D846" s="495">
        <f>IF(C846="","",C846/(C846+$E$1/60))</f>
        <v/>
      </c>
      <c r="E846" s="95">
        <f>IFERROR(ROUND(1440/C846*2*D846,0),"")</f>
        <v/>
      </c>
      <c r="F846" s="96" t="n"/>
      <c r="G846" s="97" t="n"/>
      <c r="H846" s="74" t="n"/>
      <c r="I846" s="75" t="inlineStr">
        <is>
          <t>ID275/80R22.5-16PR(149/146J)[CR906]C级威狮无内</t>
        </is>
      </c>
      <c r="J846" s="76" t="n">
        <v>842.817381</v>
      </c>
      <c r="L846" s="77" t="n"/>
      <c r="M846" s="77" t="n"/>
    </row>
    <row r="847" customFormat="1" s="69">
      <c r="B847" s="92" t="n"/>
      <c r="C847" s="93" t="n"/>
      <c r="D847" s="495">
        <f>IF(C847="","",C847/(C847+$E$1/60))</f>
        <v/>
      </c>
      <c r="E847" s="95">
        <f>IFERROR(ROUND(1440/C847*2*D847,0),"")</f>
        <v/>
      </c>
      <c r="F847" s="96" t="n"/>
      <c r="G847" s="97" t="n"/>
      <c r="H847" s="74" t="n"/>
      <c r="I847" s="75" t="inlineStr">
        <is>
          <t>ID235/75R17.5-18PR(143/141L)[Strong Guard H-RA]HERCULES无内</t>
        </is>
      </c>
      <c r="J847" s="76" t="n">
        <v>443.117563</v>
      </c>
      <c r="L847" s="77" t="n"/>
      <c r="M847" s="77" t="n"/>
    </row>
    <row r="848" customFormat="1" s="69">
      <c r="B848" s="92" t="n"/>
      <c r="C848" s="93" t="n"/>
      <c r="D848" s="495">
        <f>IF(C848="","",C848/(C848+$E$1/60))</f>
        <v/>
      </c>
      <c r="E848" s="95">
        <f>IFERROR(ROUND(1440/C848*2*D848,0),"")</f>
        <v/>
      </c>
      <c r="F848" s="96" t="n"/>
      <c r="G848" s="97" t="n"/>
      <c r="H848" s="74" t="n"/>
      <c r="I848" s="75" t="inlineStr">
        <is>
          <t>ID325/95R24-22PR(162/160K)[MD752]C级TRAZANO(全诺)无内</t>
        </is>
      </c>
      <c r="J848" s="76" t="n">
        <v>1160.946983</v>
      </c>
      <c r="L848" s="77" t="n"/>
      <c r="M848" s="77" t="n"/>
    </row>
    <row r="849" customFormat="1" s="69">
      <c r="B849" s="92" t="n"/>
      <c r="C849" s="93" t="n"/>
      <c r="D849" s="495">
        <f>IF(C849="","",C849/(C849+$E$1/60))</f>
        <v/>
      </c>
      <c r="E849" s="95">
        <f>IFERROR(ROUND(1440/C849*2*D849,0),"")</f>
        <v/>
      </c>
      <c r="F849" s="96" t="n"/>
      <c r="G849" s="97" t="n"/>
      <c r="H849" s="74" t="n"/>
      <c r="I849" s="75" t="inlineStr">
        <is>
          <t>ID325/95R24-22PR(162/160F)[CB972]C级威狮无内</t>
        </is>
      </c>
      <c r="J849" s="76" t="n">
        <v>1197.284228</v>
      </c>
      <c r="L849" s="77" t="n"/>
      <c r="M849" s="77" t="n"/>
    </row>
    <row r="850" customFormat="1" s="69">
      <c r="B850" s="92" t="n"/>
      <c r="C850" s="93" t="n"/>
      <c r="D850" s="495">
        <f>IF(C850="","",C850/(C850+$E$1/60))</f>
        <v/>
      </c>
      <c r="E850" s="95">
        <f>IFERROR(ROUND(1440/C850*2*D850,0),"")</f>
        <v/>
      </c>
      <c r="F850" s="96" t="n"/>
      <c r="G850" s="97" t="n"/>
      <c r="H850" s="74" t="n"/>
      <c r="I850" s="75" t="inlineStr">
        <is>
          <t>ID325/95R24-22PR(162/160F)[CM913A]C级威狮无内</t>
        </is>
      </c>
      <c r="J850" s="76" t="n">
        <v>1164.204965</v>
      </c>
      <c r="L850" s="77" t="n"/>
      <c r="M850" s="77" t="n"/>
    </row>
    <row r="851" customFormat="1" s="69">
      <c r="B851" s="92" t="n"/>
      <c r="C851" s="93" t="n"/>
      <c r="D851" s="495">
        <f>IF(C851="","",C851/(C851+$E$1/60))</f>
        <v/>
      </c>
      <c r="E851" s="95">
        <f>IFERROR(ROUND(1440/C851*2*D851,0),"")</f>
        <v/>
      </c>
      <c r="F851" s="96" t="n"/>
      <c r="G851" s="97" t="n"/>
      <c r="H851" s="74" t="n"/>
      <c r="I851" s="75" t="inlineStr">
        <is>
          <t>IDST215/75R14-8PR[ST100]108/103M ARISUN无内</t>
        </is>
      </c>
      <c r="J851" s="76" t="n">
        <v>161.769076</v>
      </c>
      <c r="L851" s="77" t="n"/>
      <c r="M851" s="77" t="n"/>
    </row>
    <row r="852" customFormat="1" s="69">
      <c r="B852" s="92" t="n"/>
      <c r="C852" s="93" t="n"/>
      <c r="D852" s="495">
        <f>IF(C852="","",C852/(C852+$E$1/60))</f>
        <v/>
      </c>
      <c r="E852" s="95">
        <f>IFERROR(ROUND(1440/C852*2*D852,0),"")</f>
        <v/>
      </c>
      <c r="F852" s="96" t="n"/>
      <c r="G852" s="97" t="n"/>
      <c r="H852" s="74" t="n"/>
      <c r="I852" s="75" t="inlineStr">
        <is>
          <t>IDST215/75R14-8PR[ST-100A]108/103M ARISUN无内</t>
        </is>
      </c>
      <c r="J852" s="76" t="n">
        <v>153.253317</v>
      </c>
      <c r="L852" s="77" t="n"/>
      <c r="M852" s="77" t="n"/>
    </row>
    <row r="853" customFormat="1" s="69">
      <c r="B853" s="92" t="n"/>
      <c r="C853" s="93" t="n"/>
      <c r="D853" s="495">
        <f>IF(C853="","",C853/(C853+$E$1/60))</f>
        <v/>
      </c>
      <c r="E853" s="95">
        <f>IFERROR(ROUND(1440/C853*2*D853,0),"")</f>
        <v/>
      </c>
      <c r="F853" s="96" t="n"/>
      <c r="G853" s="97" t="n"/>
      <c r="H853" s="74" t="n"/>
      <c r="I853" s="75" t="inlineStr">
        <is>
          <t>IDST205/75R14-8PR[ST226]105/101L GOODRIDE(好运)无内 NR</t>
        </is>
      </c>
      <c r="J853" s="76" t="n">
        <v>145.374922</v>
      </c>
      <c r="L853" s="77" t="n"/>
      <c r="M853" s="77" t="n"/>
    </row>
    <row r="854" customFormat="1" s="69">
      <c r="B854" s="92" t="n"/>
      <c r="C854" s="93" t="n"/>
      <c r="D854" s="495">
        <f>IF(C854="","",C854/(C854+$E$1/60))</f>
        <v/>
      </c>
      <c r="E854" s="95">
        <f>IFERROR(ROUND(1440/C854*2*D854,0),"")</f>
        <v/>
      </c>
      <c r="F854" s="96" t="n"/>
      <c r="G854" s="97" t="n"/>
      <c r="H854" s="74" t="n"/>
      <c r="I854" s="75" t="inlineStr">
        <is>
          <t>ID12R22.5-20PR(154/151L)[AZ850M]雅度无内</t>
        </is>
      </c>
      <c r="J854" s="76" t="n">
        <v>989.26009</v>
      </c>
      <c r="L854" s="77" t="n"/>
      <c r="M854" s="77" t="n"/>
    </row>
    <row r="855" customFormat="1" s="69">
      <c r="B855" s="92" t="n"/>
      <c r="C855" s="93" t="n"/>
      <c r="D855" s="495">
        <f>IF(C855="","",C855/(C855+$E$1/60))</f>
        <v/>
      </c>
      <c r="E855" s="95">
        <f>IFERROR(ROUND(1440/C855*2*D855,0),"")</f>
        <v/>
      </c>
      <c r="F855" s="96" t="n"/>
      <c r="G855" s="97" t="n"/>
      <c r="H855" s="74" t="n"/>
      <c r="I855" s="75" t="inlineStr">
        <is>
          <t>ID(LB1209)ATV 26×12-12/6[AR12]FREE COUNTRY TL KOMODO</t>
        </is>
      </c>
      <c r="J855" s="76" t="n">
        <v>184.656941</v>
      </c>
      <c r="L855" s="77" t="n"/>
      <c r="M855" s="77" t="n"/>
    </row>
    <row r="856" customFormat="1" s="69">
      <c r="B856" s="92" t="n"/>
      <c r="C856" s="93" t="n"/>
      <c r="D856" s="495">
        <f>IF(C856="","",C856/(C856+$E$1/60))</f>
        <v/>
      </c>
      <c r="E856" s="95">
        <f>IFERROR(ROUND(1440/C856*2*D856,0),"")</f>
        <v/>
      </c>
      <c r="F856" s="96" t="n"/>
      <c r="G856" s="97" t="n"/>
      <c r="H856" s="74" t="n"/>
      <c r="I856" s="75" t="inlineStr">
        <is>
          <t>ID10.00R20-18PR(149/146J)[CM988]C级威狮</t>
        </is>
      </c>
      <c r="J856" s="76" t="n">
        <v>924.825874</v>
      </c>
      <c r="L856" s="77" t="n"/>
      <c r="M856" s="77" t="n"/>
    </row>
    <row r="857" customFormat="1" s="69">
      <c r="B857" s="92" t="n"/>
      <c r="C857" s="93" t="n"/>
      <c r="D857" s="495">
        <f>IF(C857="","",C857/(C857+$E$1/60))</f>
        <v/>
      </c>
      <c r="E857" s="95">
        <f>IFERROR(ROUND(1440/C857*2*D857,0),"")</f>
        <v/>
      </c>
      <c r="F857" s="96" t="n"/>
      <c r="G857" s="97" t="n"/>
      <c r="H857" s="74" t="n"/>
      <c r="I857" s="75" t="inlineStr">
        <is>
          <t>ID295/75R22.5-16PR(146/143M)[VT993]C级VITOUR无内</t>
        </is>
      </c>
      <c r="J857" s="76" t="n">
        <v>683.3454809999999</v>
      </c>
      <c r="L857" s="77" t="n"/>
      <c r="M857" s="77" t="n"/>
    </row>
    <row r="858" customFormat="1" s="69">
      <c r="B858" s="92" t="n"/>
      <c r="C858" s="93" t="n"/>
      <c r="D858" s="495">
        <f>IF(C858="","",C858/(C858+$E$1/60))</f>
        <v/>
      </c>
      <c r="E858" s="95">
        <f>IFERROR(ROUND(1440/C858*2*D858,0),"")</f>
        <v/>
      </c>
      <c r="F858" s="96" t="n"/>
      <c r="G858" s="97" t="n"/>
      <c r="H858" s="74" t="n"/>
      <c r="I858" s="75" t="inlineStr">
        <is>
          <t>ID325/95R24-22PR(162/160K)[AZ828]C级TRAZANO(全诺)无内</t>
        </is>
      </c>
      <c r="J858" s="76" t="n">
        <v>1230.37313</v>
      </c>
      <c r="L858" s="77" t="n"/>
      <c r="M858" s="77" t="n"/>
    </row>
    <row r="859" customFormat="1" s="69">
      <c r="B859" s="92" t="n"/>
      <c r="C859" s="93" t="n"/>
      <c r="D859" s="495">
        <f>IF(C859="","",C859/(C859+$E$1/60))</f>
        <v/>
      </c>
      <c r="E859" s="95">
        <f>IFERROR(ROUND(1440/C859*2*D859,0),"")</f>
        <v/>
      </c>
      <c r="F859" s="96" t="n"/>
      <c r="G859" s="97" t="n"/>
      <c r="H859" s="74" t="n"/>
      <c r="I859" s="75" t="inlineStr">
        <is>
          <t>ID11.00-20-18PR[CL969]153/148G 朝阳</t>
        </is>
      </c>
      <c r="J859" s="76" t="n">
        <v>920.908275</v>
      </c>
      <c r="L859" s="77" t="n"/>
      <c r="M859" s="77" t="n"/>
    </row>
    <row r="860" customFormat="1" s="69">
      <c r="B860" s="92" t="n"/>
      <c r="C860" s="93" t="n"/>
      <c r="D860" s="495">
        <f>IF(C860="","",C860/(C860+$E$1/60))</f>
        <v/>
      </c>
      <c r="E860" s="95">
        <f>IFERROR(ROUND(1440/C860*2*D860,0),"")</f>
        <v/>
      </c>
      <c r="F860" s="96" t="n"/>
      <c r="G860" s="97" t="n"/>
      <c r="H860" s="74" t="n"/>
      <c r="I860" s="75" t="inlineStr">
        <is>
          <t>ID12.00R20-18PR(154/151F)[CB332]C级威狮</t>
        </is>
      </c>
      <c r="J860" s="76" t="n">
        <v>1230.077058</v>
      </c>
      <c r="L860" s="77" t="n"/>
      <c r="M860" s="77" t="n"/>
    </row>
    <row r="861" customFormat="1" s="69">
      <c r="B861" s="92" t="n"/>
      <c r="C861" s="93" t="n"/>
      <c r="D861" s="495">
        <f>IF(C861="","",C861/(C861+$E$1/60))</f>
        <v/>
      </c>
      <c r="E861" s="95">
        <f>IFERROR(ROUND(1440/C861*2*D861,0),"")</f>
        <v/>
      </c>
      <c r="F861" s="96" t="n"/>
      <c r="G861" s="97" t="n"/>
      <c r="H861" s="74" t="n"/>
      <c r="I861" s="75" t="inlineStr">
        <is>
          <t>ID295/80R22.5-18PR(152/149M)[BRA07 ECO]C级BRANSALES无内</t>
        </is>
      </c>
      <c r="J861" s="76" t="n">
        <v>758.343446</v>
      </c>
      <c r="L861" s="77" t="n"/>
      <c r="M861" s="77" t="n"/>
    </row>
    <row r="862" customFormat="1" s="69">
      <c r="B862" s="92" t="n"/>
      <c r="C862" s="93" t="n"/>
      <c r="D862" s="495">
        <f>IF(C862="","",C862/(C862+$E$1/60))</f>
        <v/>
      </c>
      <c r="E862" s="95">
        <f>IFERROR(ROUND(1440/C862*2*D862,0),"")</f>
        <v/>
      </c>
      <c r="F862" s="96" t="n"/>
      <c r="G862" s="97" t="n"/>
      <c r="H862" s="74" t="n"/>
      <c r="I862" s="75" t="inlineStr">
        <is>
          <t>ID11R24.5-14PR(146/143M)[Strong Guard H-TL]HERCULES无内</t>
        </is>
      </c>
      <c r="J862" s="76" t="n">
        <v>769.1685189999999</v>
      </c>
      <c r="L862" s="77" t="n"/>
      <c r="M862" s="77" t="n"/>
    </row>
    <row r="863" customFormat="1" s="69">
      <c r="B863" s="92" t="n"/>
      <c r="C863" s="93" t="n"/>
      <c r="D863" s="495">
        <f>IF(C863="","",C863/(C863+$E$1/60))</f>
        <v/>
      </c>
      <c r="E863" s="95">
        <f>IFERROR(ROUND(1440/C863*2*D863,0),"")</f>
        <v/>
      </c>
      <c r="F863" s="96" t="n"/>
      <c r="G863" s="97" t="n"/>
      <c r="H863" s="74" t="n"/>
      <c r="I863" s="75" t="inlineStr">
        <is>
          <t>ID10.00R20-18PR(149/146J)[TZ202]C级TIANLI</t>
        </is>
      </c>
      <c r="J863" s="76" t="n">
        <v>903.423129</v>
      </c>
      <c r="L863" s="77" t="n"/>
      <c r="M863" s="77" t="n"/>
    </row>
    <row r="864" customFormat="1" s="69">
      <c r="B864" s="92" t="n"/>
      <c r="C864" s="93" t="n"/>
      <c r="D864" s="495">
        <f>IF(C864="","",C864/(C864+$E$1/60))</f>
        <v/>
      </c>
      <c r="E864" s="95">
        <f>IFERROR(ROUND(1440/C864*2*D864,0),"")</f>
        <v/>
      </c>
      <c r="F864" s="96" t="n"/>
      <c r="G864" s="97" t="n"/>
      <c r="H864" s="74" t="n"/>
      <c r="I864" s="75" t="inlineStr">
        <is>
          <t>ID7.50R16-14PR(122/118L)[CB981]ARISUN</t>
        </is>
      </c>
      <c r="J864" s="76" t="n">
        <v>442.430695</v>
      </c>
      <c r="L864" s="77" t="n"/>
      <c r="M864" s="77" t="n"/>
    </row>
    <row r="865" customFormat="1" s="69">
      <c r="B865" s="92" t="n"/>
      <c r="C865" s="93" t="n"/>
      <c r="D865" s="495">
        <f>IF(C865="","",C865/(C865+$E$1/60))</f>
        <v/>
      </c>
      <c r="E865" s="95">
        <f>IFERROR(ROUND(1440/C865*2*D865,0),"")</f>
        <v/>
      </c>
      <c r="F865" s="96" t="n"/>
      <c r="G865" s="97" t="n"/>
      <c r="H865" s="74" t="n"/>
      <c r="I865" s="75" t="inlineStr">
        <is>
          <t>ID295/75R22.5-14PR(144/141M)[I-19A]IRONMAN无内 SMARTWAY</t>
        </is>
      </c>
      <c r="J865" s="76" t="n">
        <v>743.481893</v>
      </c>
      <c r="L865" s="77" t="n"/>
      <c r="M865" s="77" t="n"/>
    </row>
    <row r="866" customFormat="1" s="69">
      <c r="B866" s="92" t="n"/>
      <c r="C866" s="93" t="n"/>
      <c r="D866" s="495">
        <f>IF(C866="","",C866/(C866+$E$1/60))</f>
        <v/>
      </c>
      <c r="E866" s="95">
        <f>IFERROR(ROUND(1440/C866*2*D866,0),"")</f>
        <v/>
      </c>
      <c r="F866" s="96" t="n"/>
      <c r="G866" s="97" t="n"/>
      <c r="H866" s="74" t="n"/>
      <c r="I866" s="75" t="inlineStr">
        <is>
          <t>ID385/65R22.5-20PR(160K)[VA916]VITOUR无内</t>
        </is>
      </c>
      <c r="J866" s="76" t="n">
        <v>1092.271012</v>
      </c>
      <c r="L866" s="77" t="n"/>
      <c r="M866" s="77" t="n"/>
    </row>
    <row r="867" customFormat="1" s="69">
      <c r="B867" s="92" t="n"/>
      <c r="C867" s="93" t="n"/>
      <c r="D867" s="495">
        <f>IF(C867="","",C867/(C867+$E$1/60))</f>
        <v/>
      </c>
      <c r="E867" s="95">
        <f>IFERROR(ROUND(1440/C867*2*D867,0),"")</f>
        <v/>
      </c>
      <c r="F867" s="96" t="n"/>
      <c r="G867" s="97" t="n"/>
      <c r="H867" s="74" t="n"/>
      <c r="I867" s="75" t="inlineStr">
        <is>
          <t>ID12.00R24-20PR(160/156F)[ETOT]C级TECHKING</t>
        </is>
      </c>
      <c r="J867" s="76" t="n">
        <v>1395.404353</v>
      </c>
      <c r="L867" s="77" t="n"/>
      <c r="M867" s="77" t="n"/>
    </row>
    <row r="868" customFormat="1" s="69">
      <c r="B868" s="92" t="n"/>
      <c r="C868" s="93" t="n"/>
      <c r="D868" s="495">
        <f>IF(C868="","",C868/(C868+$E$1/60))</f>
        <v/>
      </c>
      <c r="E868" s="95">
        <f>IFERROR(ROUND(1440/C868*2*D868,0),"")</f>
        <v/>
      </c>
      <c r="F868" s="96" t="n"/>
      <c r="G868" s="97" t="n"/>
      <c r="H868" s="74" t="n"/>
      <c r="I868" s="75" t="inlineStr">
        <is>
          <t>ID445/50R22.5-20PR(161L)[AT566]威狮无内</t>
        </is>
      </c>
      <c r="J868" s="76" t="n">
        <v>1140.466964</v>
      </c>
      <c r="L868" s="77" t="n"/>
      <c r="M868" s="77" t="n"/>
    </row>
    <row r="869" customFormat="1" s="69">
      <c r="B869" s="92" t="n"/>
      <c r="C869" s="93" t="n"/>
      <c r="D869" s="495">
        <f>IF(C869="","",C869/(C869+$E$1/60))</f>
        <v/>
      </c>
      <c r="E869" s="95">
        <f>IFERROR(ROUND(1440/C869*2*D869,0),"")</f>
        <v/>
      </c>
      <c r="F869" s="96" t="n"/>
      <c r="G869" s="97" t="n"/>
      <c r="H869" s="74" t="n"/>
      <c r="I869" s="75" t="inlineStr">
        <is>
          <t>ID295/80R22.5-18PR(152/149M)[G-PRO S]C级GRIPMASTER无内</t>
        </is>
      </c>
      <c r="J869" s="76" t="n">
        <v>904.6390709999999</v>
      </c>
      <c r="L869" s="77" t="n"/>
      <c r="M869" s="77" t="n"/>
    </row>
    <row r="870" customFormat="1" s="69">
      <c r="B870" s="92" t="n"/>
      <c r="C870" s="93" t="n"/>
      <c r="D870" s="495">
        <f>IF(C870="","",C870/(C870+$E$1/60))</f>
        <v/>
      </c>
      <c r="E870" s="95">
        <f>IFERROR(ROUND(1440/C870*2*D870,0),"")</f>
        <v/>
      </c>
      <c r="F870" s="96" t="n"/>
      <c r="G870" s="97" t="n"/>
      <c r="H870" s="74" t="n"/>
      <c r="I870" s="75" t="inlineStr">
        <is>
          <t>ID295/75R22.5-16PR(146/143M)[VA996]C级VITOUR无内</t>
        </is>
      </c>
      <c r="J870" s="76" t="n">
        <v>798.105154</v>
      </c>
      <c r="L870" s="77" t="n"/>
      <c r="M870" s="77" t="n"/>
    </row>
    <row r="871" customFormat="1" s="69">
      <c r="B871" s="92" t="n"/>
      <c r="C871" s="93" t="n"/>
      <c r="D871" s="495">
        <f>IF(C871="","",C871/(C871+$E$1/60))</f>
        <v/>
      </c>
      <c r="E871" s="95">
        <f>IFERROR(ROUND(1440/C871*2*D871,0),"")</f>
        <v/>
      </c>
      <c r="F871" s="96" t="n"/>
      <c r="G871" s="97" t="n"/>
      <c r="H871" s="74" t="n"/>
      <c r="I871" s="75" t="inlineStr">
        <is>
          <t>ID425/65R22.5-20PR(165K)[I-42W]IRONMAN无内</t>
        </is>
      </c>
      <c r="J871" s="76" t="n">
        <v>1302.394429</v>
      </c>
      <c r="L871" s="77" t="n"/>
      <c r="M871" s="77" t="n"/>
    </row>
    <row r="872" customFormat="1" s="69">
      <c r="B872" s="92" t="n"/>
      <c r="C872" s="93" t="n"/>
      <c r="D872" s="495">
        <f>IF(C872="","",C872/(C872+$E$1/60))</f>
        <v/>
      </c>
      <c r="E872" s="95">
        <f>IFERROR(ROUND(1440/C872*2*D872,0),"")</f>
        <v/>
      </c>
      <c r="F872" s="96" t="n"/>
      <c r="G872" s="97" t="n"/>
      <c r="H872" s="74" t="n"/>
      <c r="I872" s="75" t="inlineStr">
        <is>
          <t>ID245/70R17.5-18PR(143/141J)[I-19A]C级IRONMAN无内</t>
        </is>
      </c>
      <c r="J872" s="76" t="n">
        <v>498.649627</v>
      </c>
      <c r="L872" s="77" t="n"/>
      <c r="M872" s="77" t="n"/>
    </row>
    <row r="873" customFormat="1" s="69">
      <c r="B873" s="92" t="n"/>
      <c r="C873" s="93" t="n"/>
      <c r="D873" s="495">
        <f>IF(C873="","",C873/(C873+$E$1/60))</f>
        <v/>
      </c>
      <c r="E873" s="95">
        <f>IFERROR(ROUND(1440/C873*2*D873,0),"")</f>
        <v/>
      </c>
      <c r="F873" s="96" t="n"/>
      <c r="G873" s="97" t="n"/>
      <c r="H873" s="74" t="n"/>
      <c r="I873" s="75" t="inlineStr">
        <is>
          <t>ID12.00R20-20PR(156/153J)[EZ865]朝阳</t>
        </is>
      </c>
      <c r="J873" s="76" t="n">
        <v>1209.646067</v>
      </c>
      <c r="L873" s="77" t="n"/>
      <c r="M873" s="77" t="n"/>
    </row>
    <row r="874" customFormat="1" s="69">
      <c r="B874" s="92" t="n"/>
      <c r="C874" s="93" t="n"/>
      <c r="D874" s="495">
        <f>IF(C874="","",C874/(C874+$E$1/60))</f>
        <v/>
      </c>
      <c r="E874" s="95">
        <f>IFERROR(ROUND(1440/C874*2*D874,0),"")</f>
        <v/>
      </c>
      <c r="F874" s="96" t="n"/>
      <c r="G874" s="97" t="n"/>
      <c r="H874" s="74" t="n"/>
      <c r="I874" s="75" t="inlineStr">
        <is>
          <t>ID10.00R20-18PR(149/146F)[EZ835]朝阳</t>
        </is>
      </c>
      <c r="J874" s="76" t="n">
        <v>964.881036</v>
      </c>
      <c r="L874" s="77" t="n"/>
      <c r="M874" s="77" t="n"/>
    </row>
    <row r="875" customFormat="1" s="69">
      <c r="B875" s="92" t="n"/>
      <c r="C875" s="93" t="n"/>
      <c r="D875" s="495">
        <f>IF(C875="","",C875/(C875+$E$1/60))</f>
        <v/>
      </c>
      <c r="E875" s="95">
        <f>IFERROR(ROUND(1440/C875*2*D875,0),"")</f>
        <v/>
      </c>
      <c r="F875" s="96" t="n"/>
      <c r="G875" s="97" t="n"/>
      <c r="H875" s="74" t="n"/>
      <c r="I875" s="75" t="inlineStr">
        <is>
          <t>ID295/75R22.5-16PR(146/143M)[HT1 PlusX]SUPERMAX ECO无内</t>
        </is>
      </c>
      <c r="J875" s="76" t="n">
        <v>666.553867</v>
      </c>
      <c r="L875" s="77" t="n"/>
      <c r="M875" s="77" t="n"/>
    </row>
    <row r="876" customFormat="1" s="69">
      <c r="B876" s="92" t="n"/>
      <c r="C876" s="93" t="n"/>
      <c r="D876" s="495">
        <f>IF(C876="","",C876/(C876+$E$1/60))</f>
        <v/>
      </c>
      <c r="E876" s="95">
        <f>IFERROR(ROUND(1440/C876*2*D876,0),"")</f>
        <v/>
      </c>
      <c r="F876" s="96" t="n"/>
      <c r="G876" s="97" t="n"/>
      <c r="H876" s="74" t="n"/>
      <c r="I876" s="75" t="inlineStr">
        <is>
          <t>IDST215/75R14-8PR[ST100]108/103M GOODRIDE(好运)无内</t>
        </is>
      </c>
      <c r="J876" s="76" t="n">
        <v>161.769076</v>
      </c>
      <c r="L876" s="77" t="n"/>
      <c r="M876" s="77" t="n"/>
    </row>
    <row r="877" customFormat="1" s="69">
      <c r="B877" s="92" t="n"/>
      <c r="C877" s="93" t="n"/>
      <c r="D877" s="495">
        <f>IF(C877="","",C877/(C877+$E$1/60))</f>
        <v/>
      </c>
      <c r="E877" s="95">
        <f>IFERROR(ROUND(1440/C877*2*D877,0),"")</f>
        <v/>
      </c>
      <c r="F877" s="96" t="n"/>
      <c r="G877" s="97" t="n"/>
      <c r="H877" s="74" t="n"/>
      <c r="I877" s="75" t="inlineStr">
        <is>
          <t>ID10.00R20-18PR(149/146J)[TZ303]TIANLI</t>
        </is>
      </c>
      <c r="J877" s="76" t="n">
        <v>904.1739</v>
      </c>
      <c r="L877" s="77" t="n"/>
      <c r="M877" s="77" t="n"/>
    </row>
    <row r="878" customFormat="1" s="69">
      <c r="B878" s="92" t="n"/>
      <c r="C878" s="93" t="n"/>
      <c r="D878" s="495">
        <f>IF(C878="","",C878/(C878+$E$1/60))</f>
        <v/>
      </c>
      <c r="E878" s="95">
        <f>IFERROR(ROUND(1440/C878*2*D878,0),"")</f>
        <v/>
      </c>
      <c r="F878" s="96" t="n"/>
      <c r="G878" s="97" t="n"/>
      <c r="H878" s="74" t="n"/>
      <c r="I878" s="75" t="inlineStr">
        <is>
          <t>ID295/75R22.5-14PR(144/141L)[HT1 Plus]SUPERMAX无内</t>
        </is>
      </c>
      <c r="J878" s="76" t="n">
        <v>686.847889</v>
      </c>
      <c r="L878" s="77" t="n"/>
      <c r="M878" s="77" t="n"/>
    </row>
    <row r="879" customFormat="1" s="69">
      <c r="B879" s="92" t="n"/>
      <c r="C879" s="93" t="n"/>
      <c r="D879" s="495">
        <f>IF(C879="","",C879/(C879+$E$1/60))</f>
        <v/>
      </c>
      <c r="E879" s="95">
        <f>IFERROR(ROUND(1440/C879*2*D879,0),"")</f>
        <v/>
      </c>
      <c r="F879" s="96" t="n"/>
      <c r="G879" s="97" t="n"/>
      <c r="H879" s="74" t="n"/>
      <c r="I879" s="75" t="inlineStr">
        <is>
          <t>ID215/75R17.5-16PR(135/133J)[AP-7318]VANTAGE无内</t>
        </is>
      </c>
      <c r="J879" s="76" t="n">
        <v>398.184234</v>
      </c>
      <c r="L879" s="77" t="n"/>
      <c r="M879" s="77" t="n"/>
    </row>
    <row r="880" customFormat="1" s="69">
      <c r="B880" s="92" t="n"/>
      <c r="C880" s="93" t="n"/>
      <c r="D880" s="495">
        <f>IF(C880="","",C880/(C880+$E$1/60))</f>
        <v/>
      </c>
      <c r="E880" s="95">
        <f>IFERROR(ROUND(1440/C880*2*D880,0),"")</f>
        <v/>
      </c>
      <c r="F880" s="96" t="n"/>
      <c r="G880" s="97" t="n"/>
      <c r="H880" s="74" t="n"/>
      <c r="I880" s="75" t="inlineStr">
        <is>
          <t>IDST215/75R14-8PR[DURAHAULER ST]108/103N EVERMAX无内</t>
        </is>
      </c>
      <c r="J880" s="76" t="n">
        <v>153.253317</v>
      </c>
      <c r="L880" s="77" t="n"/>
      <c r="M880" s="77" t="n"/>
    </row>
    <row r="881" customFormat="1" s="69">
      <c r="B881" s="92" t="n"/>
      <c r="C881" s="93" t="n"/>
      <c r="D881" s="495">
        <f>IF(C881="","",C881/(C881+$E$1/60))</f>
        <v/>
      </c>
      <c r="E881" s="95">
        <f>IFERROR(ROUND(1440/C881*2*D881,0),"")</f>
        <v/>
      </c>
      <c r="F881" s="96" t="n"/>
      <c r="G881" s="97" t="n"/>
      <c r="H881" s="74" t="n"/>
      <c r="I881" s="75" t="inlineStr">
        <is>
          <t>ID(LB1103)ATV 26×9R12/8[AR11]FREE COUNTRY TL BUFFALO</t>
        </is>
      </c>
      <c r="J881" s="76" t="n">
        <v>193.784598</v>
      </c>
      <c r="L881" s="77" t="n"/>
      <c r="M881" s="77" t="n"/>
    </row>
    <row r="882" customFormat="1" s="69">
      <c r="B882" s="92" t="n"/>
      <c r="C882" s="93" t="n"/>
      <c r="D882" s="495">
        <f>IF(C882="","",C882/(C882+$E$1/60))</f>
        <v/>
      </c>
      <c r="E882" s="95">
        <f>IFERROR(ROUND(1440/C882*2*D882,0),"")</f>
        <v/>
      </c>
      <c r="F882" s="96" t="n"/>
      <c r="G882" s="97" t="n"/>
      <c r="H882" s="74" t="n"/>
      <c r="I882" s="75" t="inlineStr">
        <is>
          <t>ID(LB1104)ATV 26×10R12/8[AR11]FREE COUNTRY TL BUFFALO</t>
        </is>
      </c>
      <c r="J882" s="76" t="n">
        <v>207.922036</v>
      </c>
      <c r="L882" s="77" t="n"/>
      <c r="M882" s="77" t="n"/>
    </row>
    <row r="883" customFormat="1" s="69">
      <c r="B883" s="92" t="n"/>
      <c r="C883" s="93" t="n"/>
      <c r="D883" s="495">
        <f>IF(C883="","",C883/(C883+$E$1/60))</f>
        <v/>
      </c>
      <c r="E883" s="95">
        <f>IFERROR(ROUND(1440/C883*2*D883,0),"")</f>
        <v/>
      </c>
      <c r="F883" s="96" t="n"/>
      <c r="G883" s="97" t="n"/>
      <c r="H883" s="74" t="n"/>
      <c r="I883" s="75" t="inlineStr">
        <is>
          <t>ID10.00-20-18PR[CL956]150/145G 朝阳</t>
        </is>
      </c>
      <c r="J883" s="76" t="n">
        <v>879.366089</v>
      </c>
      <c r="L883" s="77" t="n"/>
      <c r="M883" s="77" t="n"/>
    </row>
    <row r="884" customFormat="1" s="69">
      <c r="B884" s="92" t="n"/>
      <c r="C884" s="93" t="n"/>
      <c r="D884" s="495">
        <f>IF(C884="","",C884/(C884+$E$1/60))</f>
        <v/>
      </c>
      <c r="E884" s="95">
        <f>IFERROR(ROUND(1440/C884*2*D884,0),"")</f>
        <v/>
      </c>
      <c r="F884" s="96" t="n"/>
      <c r="G884" s="97" t="n"/>
      <c r="H884" s="74" t="n"/>
      <c r="I884" s="75" t="inlineStr">
        <is>
          <t>ID11.00R20-18PR(152/149F)[MT100]UNITED</t>
        </is>
      </c>
      <c r="J884" s="76" t="n">
        <v>1068.348561</v>
      </c>
      <c r="L884" s="77" t="n"/>
      <c r="M884" s="77" t="n"/>
    </row>
    <row r="885" customFormat="1" s="69">
      <c r="B885" s="92" t="n"/>
      <c r="C885" s="93" t="n"/>
      <c r="D885" s="495">
        <f>IF(C885="","",C885/(C885+$E$1/60))</f>
        <v/>
      </c>
      <c r="E885" s="95">
        <f>IFERROR(ROUND(1440/C885*2*D885,0),"")</f>
        <v/>
      </c>
      <c r="F885" s="96" t="n"/>
      <c r="G885" s="97" t="n"/>
      <c r="H885" s="74" t="n"/>
      <c r="I885" s="75" t="inlineStr">
        <is>
          <t>IDST215/75R14-8PR[ST-100A]108/103M GOODRIDE(好运)无内</t>
        </is>
      </c>
      <c r="J885" s="76" t="n">
        <v>153.253317</v>
      </c>
      <c r="L885" s="77" t="n"/>
      <c r="M885" s="77" t="n"/>
    </row>
    <row r="886" customFormat="1" s="69">
      <c r="B886" s="92" t="n"/>
      <c r="C886" s="93" t="n"/>
      <c r="D886" s="495">
        <f>IF(C886="","",C886/(C886+$E$1/60))</f>
        <v/>
      </c>
      <c r="E886" s="95">
        <f>IFERROR(ROUND(1440/C886*2*D886,0),"")</f>
        <v/>
      </c>
      <c r="F886" s="96" t="n"/>
      <c r="G886" s="97" t="n"/>
      <c r="H886" s="74" t="n"/>
      <c r="I886" s="75" t="inlineStr">
        <is>
          <t>ID385/65R22.5-20PR(160K)[Strong Guard H-MW]HERCULES无内</t>
        </is>
      </c>
      <c r="J886" s="76" t="n">
        <v>1153.70857</v>
      </c>
      <c r="L886" s="77" t="n"/>
      <c r="M886" s="77" t="n"/>
    </row>
    <row r="887" customFormat="1" s="69">
      <c r="B887" s="92" t="n"/>
      <c r="C887" s="93" t="n"/>
      <c r="D887" s="495">
        <f>IF(C887="","",C887/(C887+$E$1/60))</f>
        <v/>
      </c>
      <c r="E887" s="95">
        <f>IFERROR(ROUND(1440/C887*2*D887,0),"")</f>
        <v/>
      </c>
      <c r="F887" s="96" t="n"/>
      <c r="G887" s="97" t="n"/>
      <c r="H887" s="74" t="n"/>
      <c r="I887" s="75" t="inlineStr">
        <is>
          <t>ID295/75R22.5-16PR(146/143L)[HF1 PlusX]SUPERMAX ECO无内</t>
        </is>
      </c>
      <c r="J887" s="76" t="n">
        <v>694.360954</v>
      </c>
      <c r="L887" s="77" t="n"/>
      <c r="M887" s="77" t="n"/>
    </row>
    <row r="888" customFormat="1" s="69">
      <c r="B888" s="92" t="n"/>
      <c r="C888" s="93" t="n"/>
      <c r="D888" s="495">
        <f>IF(C888="","",C888/(C888+$E$1/60))</f>
        <v/>
      </c>
      <c r="E888" s="95">
        <f>IFERROR(ROUND(1440/C888*2*D888,0),"")</f>
        <v/>
      </c>
      <c r="F888" s="96" t="n"/>
      <c r="G888" s="97" t="n"/>
      <c r="H888" s="74" t="n"/>
      <c r="I888" s="75" t="inlineStr">
        <is>
          <t>ID275/70R22.5-16PR(148/145M)[Strong Guard H-RA]HERCULES无内</t>
        </is>
      </c>
      <c r="J888" s="76" t="n">
        <v>689.877629</v>
      </c>
      <c r="L888" s="77" t="n"/>
      <c r="M888" s="77" t="n"/>
    </row>
    <row r="889" customFormat="1" s="69">
      <c r="B889" s="92" t="n"/>
      <c r="C889" s="93" t="n"/>
      <c r="D889" s="495">
        <f>IF(C889="","",C889/(C889+$E$1/60))</f>
        <v/>
      </c>
      <c r="E889" s="95">
        <f>IFERROR(ROUND(1440/C889*2*D889,0),"")</f>
        <v/>
      </c>
      <c r="F889" s="96" t="n"/>
      <c r="G889" s="97" t="n"/>
      <c r="H889" s="74" t="n"/>
      <c r="I889" s="75" t="inlineStr">
        <is>
          <t>ID12R22.5-20PR(154/151L)[AS898H]雅度无内</t>
        </is>
      </c>
      <c r="J889" s="76" t="n">
        <v>1035.286672</v>
      </c>
      <c r="L889" s="77" t="n"/>
      <c r="M889" s="77" t="n"/>
    </row>
    <row r="890" customFormat="1" s="69">
      <c r="B890" s="92" t="n"/>
      <c r="C890" s="93" t="n"/>
      <c r="D890" s="495">
        <f>IF(C890="","",C890/(C890+$E$1/60))</f>
        <v/>
      </c>
      <c r="E890" s="95">
        <f>IFERROR(ROUND(1440/C890*2*D890,0),"")</f>
        <v/>
      </c>
      <c r="F890" s="96" t="n"/>
      <c r="G890" s="97" t="n"/>
      <c r="H890" s="74" t="n"/>
      <c r="I890" s="75" t="inlineStr">
        <is>
          <t>ID255/70R22.5-16PR(140/137L)[Strong Guard H-RA]HERCULES无内</t>
        </is>
      </c>
      <c r="J890" s="76" t="n">
        <v>611.205658</v>
      </c>
      <c r="L890" s="77" t="n"/>
      <c r="M890" s="77" t="n"/>
    </row>
    <row r="891" customFormat="1" s="69">
      <c r="B891" s="92" t="n"/>
      <c r="C891" s="93" t="n"/>
      <c r="D891" s="495">
        <f>IF(C891="","",C891/(C891+$E$1/60))</f>
        <v/>
      </c>
      <c r="E891" s="95">
        <f>IFERROR(ROUND(1440/C891*2*D891,0),"")</f>
        <v/>
      </c>
      <c r="F891" s="96" t="n"/>
      <c r="G891" s="97" t="n"/>
      <c r="H891" s="74" t="n"/>
      <c r="I891" s="75" t="inlineStr">
        <is>
          <t>ID445/50R22.5-20PR(161L)[TL32]C级威狮无内</t>
        </is>
      </c>
      <c r="J891" s="76" t="n">
        <v>1140.466964</v>
      </c>
      <c r="L891" s="77" t="n"/>
      <c r="M891" s="77" t="n"/>
    </row>
    <row r="892" customFormat="1" s="69">
      <c r="B892" s="92" t="n"/>
      <c r="C892" s="93" t="n"/>
      <c r="D892" s="495">
        <f>IF(C892="","",C892/(C892+$E$1/60))</f>
        <v/>
      </c>
      <c r="E892" s="95">
        <f>IFERROR(ROUND(1440/C892*2*D892,0),"")</f>
        <v/>
      </c>
      <c r="F892" s="96" t="n"/>
      <c r="G892" s="97" t="n"/>
      <c r="H892" s="74" t="n"/>
      <c r="I892" s="75" t="inlineStr">
        <is>
          <t>ID11R22.5-16PR(148/145K)[Strong Guard H-MD]HERCULES无内</t>
        </is>
      </c>
      <c r="J892" s="76" t="n">
        <v>869.122688</v>
      </c>
      <c r="L892" s="77" t="n"/>
      <c r="M892" s="77" t="n"/>
    </row>
    <row r="893" customFormat="1" s="69">
      <c r="B893" s="92" t="n"/>
      <c r="C893" s="93" t="n"/>
      <c r="D893" s="495">
        <f>IF(C893="","",C893/(C893+$E$1/60))</f>
        <v/>
      </c>
      <c r="E893" s="95">
        <f>IFERROR(ROUND(1440/C893*2*D893,0),"")</f>
        <v/>
      </c>
      <c r="F893" s="96" t="n"/>
      <c r="G893" s="97" t="n"/>
      <c r="H893" s="74" t="n"/>
      <c r="I893" s="75" t="inlineStr">
        <is>
          <t>ID445/65R22.5-20PR(169K)[Strong Guard H-MW]HERCULES无内</t>
        </is>
      </c>
      <c r="J893" s="76" t="n">
        <v>1452.538157</v>
      </c>
      <c r="L893" s="77" t="n"/>
      <c r="M893" s="77" t="n"/>
    </row>
    <row r="894" customFormat="1" s="69">
      <c r="B894" s="92" t="n"/>
      <c r="C894" s="93" t="n"/>
      <c r="D894" s="495">
        <f>IF(C894="","",C894/(C894+$E$1/60))</f>
        <v/>
      </c>
      <c r="E894" s="95">
        <f>IFERROR(ROUND(1440/C894*2*D894,0),"")</f>
        <v/>
      </c>
      <c r="F894" s="96" t="n"/>
      <c r="G894" s="97" t="n"/>
      <c r="H894" s="74" t="n"/>
      <c r="I894" s="75" t="inlineStr">
        <is>
          <t>ID295/80R22.5-18PR(152/149M)[WDR1]C级威狮无内</t>
        </is>
      </c>
      <c r="J894" s="76" t="n">
        <v>945.605654</v>
      </c>
      <c r="L894" s="77" t="n"/>
      <c r="M894" s="77" t="n"/>
    </row>
    <row r="895" customFormat="1" s="69">
      <c r="B895" s="92" t="n"/>
      <c r="C895" s="93" t="n"/>
      <c r="D895" s="495">
        <f>IF(C895="","",C895/(C895+$E$1/60))</f>
        <v/>
      </c>
      <c r="E895" s="95">
        <f>IFERROR(ROUND(1440/C895*2*D895,0),"")</f>
        <v/>
      </c>
      <c r="F895" s="96" t="n"/>
      <c r="G895" s="97" t="n"/>
      <c r="H895" s="74" t="n"/>
      <c r="I895" s="75" t="inlineStr">
        <is>
          <t>ID12R22.5-18PR(152/149K)[Strong Guard H-MD]HERCULES无内</t>
        </is>
      </c>
      <c r="J895" s="76" t="n">
        <v>978.6972929999999</v>
      </c>
      <c r="L895" s="77" t="n"/>
      <c r="M895" s="77" t="n"/>
    </row>
    <row r="896" customFormat="1" s="69">
      <c r="B896" s="92" t="n"/>
      <c r="C896" s="93" t="n"/>
      <c r="D896" s="495">
        <f>IF(C896="","",C896/(C896+$E$1/60))</f>
        <v/>
      </c>
      <c r="E896" s="95">
        <f>IFERROR(ROUND(1440/C896*2*D896,0),"")</f>
        <v/>
      </c>
      <c r="F896" s="96" t="n"/>
      <c r="G896" s="97" t="n"/>
      <c r="H896" s="74" t="n"/>
      <c r="I896" s="75" t="inlineStr">
        <is>
          <t>ID255/70R22.5-16PR(140/137M)[VA996]VITOUR无内</t>
        </is>
      </c>
      <c r="J896" s="76" t="n">
        <v>621.653858</v>
      </c>
      <c r="L896" s="77" t="n"/>
      <c r="M896" s="77" t="n"/>
    </row>
    <row r="897" customFormat="1" s="69">
      <c r="B897" s="92" t="n"/>
      <c r="C897" s="93" t="n"/>
      <c r="D897" s="495">
        <f>IF(C897="","",C897/(C897+$E$1/60))</f>
        <v/>
      </c>
      <c r="E897" s="95">
        <f>IFERROR(ROUND(1440/C897*2*D897,0),"")</f>
        <v/>
      </c>
      <c r="F897" s="96" t="n"/>
      <c r="G897" s="97" t="n"/>
      <c r="H897" s="74" t="n"/>
      <c r="I897" s="75" t="inlineStr">
        <is>
          <t>ID445/65R22.5-20PR(169K)[I-42W]IRONMAN无内</t>
        </is>
      </c>
      <c r="J897" s="76" t="n">
        <v>1336.754251</v>
      </c>
      <c r="L897" s="77" t="n"/>
      <c r="M897" s="77" t="n"/>
    </row>
    <row r="898" customFormat="1" s="69">
      <c r="B898" s="92" t="n"/>
      <c r="C898" s="93" t="n"/>
      <c r="D898" s="495">
        <f>IF(C898="","",C898/(C898+$E$1/60))</f>
        <v/>
      </c>
      <c r="E898" s="95">
        <f>IFERROR(ROUND(1440/C898*2*D898,0),"")</f>
        <v/>
      </c>
      <c r="F898" s="96" t="n"/>
      <c r="G898" s="97" t="n"/>
      <c r="H898" s="74" t="n"/>
      <c r="I898" s="75" t="inlineStr">
        <is>
          <t>ID295/75R22.5-16PR(146/143M)[Strong Guard H-RA]HERCULES无内</t>
        </is>
      </c>
      <c r="J898" s="76" t="n">
        <v>742.554288</v>
      </c>
      <c r="L898" s="77" t="n"/>
      <c r="M898" s="77" t="n"/>
    </row>
    <row r="899" customFormat="1" s="69">
      <c r="B899" s="92" t="n"/>
      <c r="C899" s="93" t="n"/>
      <c r="D899" s="495">
        <f>IF(C899="","",C899/(C899+$E$1/60))</f>
        <v/>
      </c>
      <c r="E899" s="95">
        <f>IFERROR(ROUND(1440/C899*2*D899,0),"")</f>
        <v/>
      </c>
      <c r="F899" s="96" t="n"/>
      <c r="G899" s="97" t="n"/>
      <c r="H899" s="74" t="n"/>
      <c r="I899" s="75" t="inlineStr">
        <is>
          <t>ID11R24.5-16PR(149/146L)[VD998]C级VITOUR无内</t>
        </is>
      </c>
      <c r="J899" s="76" t="n">
        <v>937.886005</v>
      </c>
      <c r="L899" s="77" t="n"/>
      <c r="M899" s="77" t="n"/>
    </row>
    <row r="900" customFormat="1" s="69">
      <c r="B900" s="92" t="n"/>
      <c r="C900" s="93" t="n"/>
      <c r="D900" s="495">
        <f>IF(C900="","",C900/(C900+$E$1/60))</f>
        <v/>
      </c>
      <c r="E900" s="95">
        <f>IFERROR(ROUND(1440/C900*2*D900,0),"")</f>
        <v/>
      </c>
      <c r="F900" s="96" t="n"/>
      <c r="G900" s="97" t="n"/>
      <c r="H900" s="74" t="n"/>
      <c r="I900" s="75" t="inlineStr">
        <is>
          <t>IDST205/75R15-10PR[ST100]111/106M ARISUN无内</t>
        </is>
      </c>
      <c r="J900" s="76" t="n">
        <v>173.949321</v>
      </c>
      <c r="L900" s="77" t="n"/>
      <c r="M900" s="77" t="n"/>
    </row>
    <row r="901" customFormat="1" s="69">
      <c r="B901" s="92" t="n"/>
      <c r="C901" s="93" t="n"/>
      <c r="D901" s="495">
        <f>IF(C901="","",C901/(C901+$E$1/60))</f>
        <v/>
      </c>
      <c r="E901" s="95">
        <f>IFERROR(ROUND(1440/C901*2*D901,0),"")</f>
        <v/>
      </c>
      <c r="F901" s="96" t="n"/>
      <c r="G901" s="97" t="n"/>
      <c r="H901" s="74" t="n"/>
      <c r="I901" s="75" t="inlineStr">
        <is>
          <t>ID(D105002)80/80-14-4P[H-999-A]37P GOLDEN CROWN 纳米高抓 TL E4-75R-0015453</t>
        </is>
      </c>
      <c r="J901" s="76" t="n">
        <v>36.889048</v>
      </c>
      <c r="L901" s="77" t="n"/>
      <c r="M901" s="77" t="n"/>
    </row>
    <row r="902" customFormat="1" s="69">
      <c r="B902" s="92" t="n"/>
      <c r="C902" s="93" t="n"/>
      <c r="D902" s="495">
        <f>IF(C902="","",C902/(C902+$E$1/60))</f>
        <v/>
      </c>
      <c r="E902" s="95">
        <f>IFERROR(ROUND(1440/C902*2*D902,0),"")</f>
        <v/>
      </c>
      <c r="F902" s="96" t="n"/>
      <c r="G902" s="97" t="n"/>
      <c r="H902" s="74" t="n"/>
      <c r="I902" s="75" t="inlineStr">
        <is>
          <t>ID12.00R20-20PR(156/153F)[CB972]C级雅度</t>
        </is>
      </c>
      <c r="J902" s="76" t="n">
        <v>1163.392909</v>
      </c>
      <c r="L902" s="77" t="n"/>
      <c r="M902" s="77" t="n"/>
    </row>
    <row r="903" customFormat="1" s="69">
      <c r="B903" s="92" t="n"/>
      <c r="C903" s="93" t="n"/>
      <c r="D903" s="495">
        <f>IF(C903="","",C903/(C903+$E$1/60))</f>
        <v/>
      </c>
      <c r="E903" s="95">
        <f>IFERROR(ROUND(1440/C903*2*D903,0),"")</f>
        <v/>
      </c>
      <c r="F903" s="96" t="n"/>
      <c r="G903" s="97" t="n"/>
      <c r="H903" s="74" t="n"/>
      <c r="I903" s="75" t="inlineStr">
        <is>
          <t>ID12.00R20-18PR(154/151F)[MT100]UNITED</t>
        </is>
      </c>
      <c r="J903" s="76" t="n">
        <v>1142.314915</v>
      </c>
      <c r="L903" s="77" t="n"/>
      <c r="M903" s="77" t="n"/>
    </row>
    <row r="904" customFormat="1" s="69">
      <c r="B904" s="92" t="n"/>
      <c r="C904" s="93" t="n"/>
      <c r="D904" s="495">
        <f>IF(C904="","",C904/(C904+$E$1/60))</f>
        <v/>
      </c>
      <c r="E904" s="95">
        <f>IFERROR(ROUND(1440/C904*2*D904,0),"")</f>
        <v/>
      </c>
      <c r="F904" s="96" t="n"/>
      <c r="G904" s="97" t="n"/>
      <c r="H904" s="74" t="n"/>
      <c r="I904" s="75" t="inlineStr">
        <is>
          <t>ID12.00R20-22PR(158/155F)[CB972]雅度 东南亚</t>
        </is>
      </c>
      <c r="J904" s="76" t="n">
        <v>1163.392909</v>
      </c>
      <c r="L904" s="77" t="n"/>
      <c r="M904" s="77" t="n"/>
    </row>
    <row r="905" customFormat="1" s="69">
      <c r="B905" s="92" t="n"/>
      <c r="C905" s="93" t="n"/>
      <c r="D905" s="495">
        <f>IF(C905="","",C905/(C905+$E$1/60))</f>
        <v/>
      </c>
      <c r="E905" s="95">
        <f>IFERROR(ROUND(1440/C905*2*D905,0),"")</f>
        <v/>
      </c>
      <c r="F905" s="96" t="n"/>
      <c r="G905" s="97" t="n"/>
      <c r="H905" s="74" t="n"/>
      <c r="I905" s="75" t="inlineStr">
        <is>
          <t>ID12R22.5-20PR(154/151L)[AS898H]C级威狮无内</t>
        </is>
      </c>
      <c r="J905" s="76" t="n">
        <v>1035.286672</v>
      </c>
      <c r="L905" s="77" t="n"/>
      <c r="M905" s="77" t="n"/>
    </row>
    <row r="906" customFormat="1" s="69">
      <c r="B906" s="92" t="n"/>
      <c r="C906" s="93" t="n"/>
      <c r="D906" s="495">
        <f>IF(C906="","",C906/(C906+$E$1/60))</f>
        <v/>
      </c>
      <c r="E906" s="95">
        <f>IFERROR(ROUND(1440/C906*2*D906,0),"")</f>
        <v/>
      </c>
      <c r="F906" s="96" t="n"/>
      <c r="G906" s="97" t="n"/>
      <c r="H906" s="74" t="n"/>
      <c r="I906" s="75" t="inlineStr">
        <is>
          <t>ID(D105003)80/90-14-4P[H-999-A]40P GOLDEN CROWN 纳米高抓 TL E4-75R-0018686</t>
        </is>
      </c>
      <c r="J906" s="76" t="n">
        <v>42.421834</v>
      </c>
      <c r="L906" s="77" t="n"/>
      <c r="M906" s="77" t="n"/>
    </row>
    <row r="907" customFormat="1" s="69">
      <c r="B907" s="92" t="n"/>
      <c r="C907" s="93" t="n"/>
      <c r="D907" s="495">
        <f>IF(C907="","",C907/(C907+$E$1/60))</f>
        <v/>
      </c>
      <c r="E907" s="95">
        <f>IFERROR(ROUND(1440/C907*2*D907,0),"")</f>
        <v/>
      </c>
      <c r="F907" s="96" t="n"/>
      <c r="G907" s="97" t="n"/>
      <c r="H907" s="74" t="n"/>
      <c r="I907" s="75" t="inlineStr">
        <is>
          <t>ID(LBF201)ATV 18×8.50-8/4[TF02]FREE COUNTRY TL NEO-RIDE</t>
        </is>
      </c>
      <c r="J907" s="76" t="n">
        <v>68.434639</v>
      </c>
      <c r="L907" s="77" t="n"/>
      <c r="M907" s="77" t="n"/>
    </row>
    <row r="908" customFormat="1" s="69">
      <c r="B908" s="92" t="n"/>
      <c r="C908" s="93" t="n"/>
      <c r="D908" s="495">
        <f>IF(C908="","",C908/(C908+$E$1/60))</f>
        <v/>
      </c>
      <c r="E908" s="95">
        <f>IFERROR(ROUND(1440/C908*2*D908,0),"")</f>
        <v/>
      </c>
      <c r="F908" s="96" t="n"/>
      <c r="G908" s="97" t="n"/>
      <c r="H908" s="74" t="n"/>
      <c r="I908" s="75" t="inlineStr">
        <is>
          <t>ID295/80R22.5-18PR(152/149M)[AD733]STRADA R无内</t>
        </is>
      </c>
      <c r="J908" s="76" t="n">
        <v>946.221003</v>
      </c>
      <c r="L908" s="77" t="n"/>
      <c r="M908" s="77" t="n"/>
    </row>
    <row r="909" customFormat="1" s="69">
      <c r="B909" s="92" t="n"/>
      <c r="C909" s="93" t="n"/>
      <c r="D909" s="495">
        <f>IF(C909="","",C909/(C909+$E$1/60))</f>
        <v/>
      </c>
      <c r="E909" s="95">
        <f>IFERROR(ROUND(1440/C909*2*D909,0),"")</f>
        <v/>
      </c>
      <c r="F909" s="96" t="n"/>
      <c r="G909" s="97" t="n"/>
      <c r="H909" s="74" t="n"/>
      <c r="I909" s="75" t="inlineStr">
        <is>
          <t>IDST235/80R16-10PR[ST100]124/120M HI-RUN无内</t>
        </is>
      </c>
      <c r="J909" s="76" t="n">
        <v>240.974167</v>
      </c>
      <c r="L909" s="77" t="n"/>
      <c r="M909" s="77" t="n"/>
    </row>
    <row r="910" customFormat="1" s="69">
      <c r="B910" s="92" t="n"/>
      <c r="C910" s="93" t="n"/>
      <c r="D910" s="495">
        <f>IF(C910="","",C910/(C910+$E$1/60))</f>
        <v/>
      </c>
      <c r="E910" s="95">
        <f>IFERROR(ROUND(1440/C910*2*D910,0),"")</f>
        <v/>
      </c>
      <c r="F910" s="96" t="n"/>
      <c r="G910" s="97" t="n"/>
      <c r="H910" s="74" t="n"/>
      <c r="I910" s="75" t="inlineStr">
        <is>
          <t>IDST225/75R15-10PR[ST226]117/112L CASTLE ROCK无内 NR</t>
        </is>
      </c>
      <c r="J910" s="76" t="n">
        <v>180.147198</v>
      </c>
      <c r="L910" s="77" t="n"/>
      <c r="M910" s="77" t="n"/>
    </row>
    <row r="911" customFormat="1" s="69">
      <c r="B911" s="103" t="n"/>
      <c r="C911" s="93" t="n"/>
      <c r="D911" s="495">
        <f>IF(C911="","",C911/(C911+$E$1/60))</f>
        <v/>
      </c>
      <c r="E911" s="95">
        <f>IFERROR(ROUND(1440/C911*2*D911,0),"")</f>
        <v/>
      </c>
      <c r="F911" s="96" t="n"/>
      <c r="G911" s="97" t="n"/>
      <c r="H911" s="74" t="n"/>
      <c r="I911" s="75" t="inlineStr">
        <is>
          <t>ID(G101001)3.00-10-6P[H-788-2]47J GOODRIDE 纳米高抓 TL 配套 E4-75R-0015074</t>
        </is>
      </c>
      <c r="J911" s="76" t="n">
        <v>33.009648</v>
      </c>
      <c r="L911" s="77" t="n"/>
      <c r="M911" s="77" t="n"/>
    </row>
    <row r="912" customFormat="1" s="69">
      <c r="B912" s="103" t="n"/>
      <c r="C912" s="93" t="n"/>
      <c r="D912" s="495">
        <f>IF(C912="","",C912/(C912+$E$1/60))</f>
        <v/>
      </c>
      <c r="E912" s="95">
        <f>IFERROR(ROUND(1440/C912*2*D912,0),"")</f>
        <v/>
      </c>
      <c r="F912" s="96" t="n"/>
      <c r="G912" s="97" t="n"/>
      <c r="H912" s="74" t="n"/>
      <c r="I912" s="75" t="inlineStr">
        <is>
          <t>ID5.70-8-6PR[SU201]77M HI RUN无内</t>
        </is>
      </c>
      <c r="J912" s="76" t="n">
        <v>61.696264</v>
      </c>
      <c r="L912" s="77" t="n"/>
      <c r="M912" s="77" t="n"/>
    </row>
    <row r="913" customFormat="1" s="69">
      <c r="B913" s="103" t="n"/>
      <c r="C913" s="93" t="n"/>
      <c r="D913" s="495">
        <f>IF(C913="","",C913/(C913+$E$1/60))</f>
        <v/>
      </c>
      <c r="E913" s="95">
        <f>IFERROR(ROUND(1440/C913*2*D913,0),"")</f>
        <v/>
      </c>
      <c r="F913" s="96" t="n"/>
      <c r="G913" s="97" t="n"/>
      <c r="H913" s="74" t="n"/>
      <c r="I913" s="75" t="inlineStr">
        <is>
          <t>ID11R24.5-16PR(149/146L)[AD737]ARISUN无内</t>
        </is>
      </c>
      <c r="J913" s="76" t="n">
        <v>883.733508</v>
      </c>
      <c r="L913" s="77" t="n"/>
      <c r="M913" s="77" t="n"/>
    </row>
    <row r="914" customFormat="1" s="69">
      <c r="B914" s="92" t="n"/>
      <c r="C914" s="93" t="n"/>
      <c r="D914" s="495">
        <f>IF(C914="","",C914/(C914+$E$1/60))</f>
        <v/>
      </c>
      <c r="E914" s="95">
        <f>IFERROR(ROUND(1440/C914*2*D914,0),"")</f>
        <v/>
      </c>
      <c r="F914" s="96" t="n"/>
      <c r="G914" s="97" t="n"/>
      <c r="H914" s="74" t="n"/>
      <c r="I914" s="75" t="inlineStr">
        <is>
          <t>ID11R22.5-16PR(148/145M)[CR960A]威狮无内</t>
        </is>
      </c>
      <c r="J914" s="76" t="n">
        <v>751.4238340000001</v>
      </c>
      <c r="L914" s="77" t="n"/>
      <c r="M914" s="77" t="n"/>
    </row>
    <row r="915" customFormat="1" s="69">
      <c r="B915" s="92" t="n"/>
      <c r="C915" s="93" t="n"/>
      <c r="D915" s="495">
        <f>IF(C915="","",C915/(C915+$E$1/60))</f>
        <v/>
      </c>
      <c r="E915" s="95">
        <f>IFERROR(ROUND(1440/C915*2*D915,0),"")</f>
        <v/>
      </c>
      <c r="F915" s="96" t="n"/>
      <c r="G915" s="97" t="n"/>
      <c r="H915" s="74" t="n"/>
      <c r="I915" s="75" t="inlineStr">
        <is>
          <t>ID11R22.5-16PR(146/143L)[AS600]ARISUN无内</t>
        </is>
      </c>
      <c r="J915" s="76" t="n">
        <v>751.65517</v>
      </c>
      <c r="L915" s="77" t="n"/>
      <c r="M915" s="77" t="n"/>
    </row>
    <row r="916" customFormat="1" s="69">
      <c r="B916" s="92" t="n"/>
      <c r="C916" s="93" t="n"/>
      <c r="D916" s="495">
        <f>IF(C916="","",C916/(C916+$E$1/60))</f>
        <v/>
      </c>
      <c r="E916" s="95">
        <f>IFERROR(ROUND(1440/C916*2*D916,0),"")</f>
        <v/>
      </c>
      <c r="F916" s="96" t="n"/>
      <c r="G916" s="97" t="n"/>
      <c r="H916" s="74" t="n"/>
      <c r="I916" s="75" t="inlineStr">
        <is>
          <t>ID12.00R20-18PR(154/151F)[CB332]C级雅度</t>
        </is>
      </c>
      <c r="J916" s="76" t="n">
        <v>1228.080476</v>
      </c>
      <c r="L916" s="77" t="n"/>
      <c r="M916" s="77" t="n"/>
    </row>
    <row r="917" customFormat="1" s="69">
      <c r="B917" s="92" t="n"/>
      <c r="C917" s="93" t="n"/>
      <c r="D917" s="495">
        <f>IF(C917="","",C917/(C917+$E$1/60))</f>
        <v/>
      </c>
      <c r="E917" s="95">
        <f>IFERROR(ROUND(1440/C917*2*D917,0),"")</f>
        <v/>
      </c>
      <c r="F917" s="96" t="n"/>
      <c r="G917" s="97" t="n"/>
      <c r="H917" s="74" t="n"/>
      <c r="I917" s="75" t="inlineStr">
        <is>
          <t>ID11.00R20-18PR(152/149K)[AS678]C级GOODRIDE(好运)</t>
        </is>
      </c>
      <c r="J917" s="76" t="n">
        <v>957.981059</v>
      </c>
      <c r="L917" s="77" t="n"/>
      <c r="M917" s="77" t="n"/>
    </row>
    <row r="918" customFormat="1" s="69">
      <c r="B918" s="92" t="n"/>
      <c r="C918" s="93" t="n"/>
      <c r="D918" s="495">
        <f>IF(C918="","",C918/(C918+$E$1/60))</f>
        <v/>
      </c>
      <c r="E918" s="95">
        <f>IFERROR(ROUND(1440/C918*2*D918,0),"")</f>
        <v/>
      </c>
      <c r="F918" s="96" t="n"/>
      <c r="G918" s="97" t="n"/>
      <c r="H918" s="74" t="n"/>
      <c r="I918" s="75" t="inlineStr">
        <is>
          <t>ID11.00R20-18PR(152/149F)[CB972]C级TRAZANO(全诺)</t>
        </is>
      </c>
      <c r="J918" s="76" t="n">
        <v>1066.932818</v>
      </c>
      <c r="L918" s="77" t="n"/>
      <c r="M918" s="77" t="n"/>
    </row>
    <row r="919" customFormat="1" s="69">
      <c r="B919" s="92" t="n"/>
      <c r="C919" s="93" t="n"/>
      <c r="D919" s="495">
        <f>IF(C919="","",C919/(C919+$E$1/60))</f>
        <v/>
      </c>
      <c r="E919" s="95">
        <f>IFERROR(ROUND(1440/C919*2*D919,0),"")</f>
        <v/>
      </c>
      <c r="F919" s="96" t="n"/>
      <c r="G919" s="97" t="n"/>
      <c r="H919" s="74" t="n"/>
      <c r="I919" s="75" t="inlineStr">
        <is>
          <t>ID11.00R20-18PR(152/149F)[EZ330A]C级GOODRIDE(好运)</t>
        </is>
      </c>
      <c r="J919" s="76" t="n">
        <v>1017.358608</v>
      </c>
      <c r="L919" s="77" t="n"/>
      <c r="M919" s="77" t="n"/>
    </row>
    <row r="920" customFormat="1" s="69">
      <c r="B920" s="92" t="n"/>
      <c r="C920" s="93" t="n"/>
      <c r="D920" s="495">
        <f>IF(C920="","",C920/(C920+$E$1/60))</f>
        <v/>
      </c>
      <c r="E920" s="95">
        <f>IFERROR(ROUND(1440/C920*2*D920,0),"")</f>
        <v/>
      </c>
      <c r="F920" s="96" t="n"/>
      <c r="G920" s="97" t="n"/>
      <c r="H920" s="74" t="n"/>
      <c r="I920" s="75" t="inlineStr">
        <is>
          <t>ID11.00R20-18PR(152/149F)[CB905A]C级金冠</t>
        </is>
      </c>
      <c r="J920" s="76" t="n">
        <v>1017.358608</v>
      </c>
      <c r="L920" s="77" t="n"/>
      <c r="M920" s="77" t="n"/>
    </row>
    <row r="921" customFormat="1" s="69">
      <c r="B921" s="92" t="n"/>
      <c r="C921" s="93" t="n"/>
      <c r="D921" s="495">
        <f>IF(C921="","",C921/(C921+$E$1/60))</f>
        <v/>
      </c>
      <c r="E921" s="95">
        <f>IFERROR(ROUND(1440/C921*2*D921,0),"")</f>
        <v/>
      </c>
      <c r="F921" s="96" t="n"/>
      <c r="G921" s="97" t="n"/>
      <c r="H921" s="74" t="n"/>
      <c r="I921" s="75" t="inlineStr">
        <is>
          <t>ID315/80R22.5-20PR(157/154K)[CR926B]雅度无内</t>
        </is>
      </c>
      <c r="J921" s="76" t="n">
        <v>948.190096</v>
      </c>
      <c r="L921" s="77" t="n"/>
      <c r="M921" s="77" t="n"/>
    </row>
    <row r="922" customFormat="1" s="69">
      <c r="B922" s="92" t="n"/>
      <c r="C922" s="93" t="n"/>
      <c r="D922" s="495">
        <f>IF(C922="","",C922/(C922+$E$1/60))</f>
        <v/>
      </c>
      <c r="E922" s="95">
        <f>IFERROR(ROUND(1440/C922*2*D922,0),"")</f>
        <v/>
      </c>
      <c r="F922" s="96" t="n"/>
      <c r="G922" s="97" t="n"/>
      <c r="H922" s="74" t="n"/>
      <c r="I922" s="75" t="inlineStr">
        <is>
          <t>ID295/80R22.5-18PR(152/149M)[AD818]朝阳无内</t>
        </is>
      </c>
      <c r="J922" s="76" t="n">
        <v>950.276642</v>
      </c>
      <c r="L922" s="77" t="n"/>
      <c r="M922" s="77" t="n"/>
    </row>
    <row r="923" customFormat="1" s="69">
      <c r="B923" s="92" t="n"/>
      <c r="C923" s="93" t="n"/>
      <c r="D923" s="495">
        <f>IF(C923="","",C923/(C923+$E$1/60))</f>
        <v/>
      </c>
      <c r="E923" s="95">
        <f>IFERROR(ROUND(1440/C923*2*D923,0),"")</f>
        <v/>
      </c>
      <c r="F923" s="96" t="n"/>
      <c r="G923" s="97" t="n"/>
      <c r="H923" s="74" t="n"/>
      <c r="I923" s="75" t="inlineStr">
        <is>
          <t>ID285/75R24.5-16PR(147/144M)[I-61S]IRONMAN无内 SMARTWAY</t>
        </is>
      </c>
      <c r="J923" s="76" t="n">
        <v>759.360301</v>
      </c>
      <c r="L923" s="77" t="n"/>
      <c r="M923" s="77" t="n"/>
    </row>
    <row r="924" customFormat="1" s="69">
      <c r="B924" s="92" t="n"/>
      <c r="C924" s="93" t="n"/>
      <c r="D924" s="495">
        <f>IF(C924="","",C924/(C924+$E$1/60))</f>
        <v/>
      </c>
      <c r="E924" s="95">
        <f>IFERROR(ROUND(1440/C924*2*D924,0),"")</f>
        <v/>
      </c>
      <c r="F924" s="96" t="n"/>
      <c r="G924" s="97" t="n"/>
      <c r="H924" s="74" t="n"/>
      <c r="I924" s="75" t="inlineStr">
        <is>
          <t>ID285/75R24.5-14PR(144/141M)[I-48T]IRONMAN无内 SMARTWAY</t>
        </is>
      </c>
      <c r="J924" s="76" t="n">
        <v>730.694153</v>
      </c>
      <c r="L924" s="77" t="n"/>
      <c r="M924" s="77" t="n"/>
    </row>
    <row r="925" customFormat="1" s="69">
      <c r="B925" s="92" t="n"/>
      <c r="C925" s="93" t="n"/>
      <c r="D925" s="495">
        <f>IF(C925="","",C925/(C925+$E$1/60))</f>
        <v/>
      </c>
      <c r="E925" s="95">
        <f>IFERROR(ROUND(1440/C925*2*D925,0),"")</f>
        <v/>
      </c>
      <c r="F925" s="96" t="n"/>
      <c r="G925" s="97" t="n"/>
      <c r="H925" s="74" t="n"/>
      <c r="I925" s="75" t="inlineStr">
        <is>
          <t>ID285/75R24.5-14PR(144/141L)[I-37D]IRONMAN无内</t>
        </is>
      </c>
      <c r="J925" s="76" t="n">
        <v>819.179578</v>
      </c>
      <c r="L925" s="77" t="n"/>
      <c r="M925" s="77" t="n"/>
    </row>
    <row r="926" customFormat="1" s="69">
      <c r="B926" s="92" t="n"/>
      <c r="C926" s="93" t="n"/>
      <c r="D926" s="495">
        <f>IF(C926="","",C926/(C926+$E$1/60))</f>
        <v/>
      </c>
      <c r="E926" s="95">
        <f>IFERROR(ROUND(1440/C926*2*D926,0),"")</f>
        <v/>
      </c>
      <c r="F926" s="96" t="n"/>
      <c r="G926" s="97" t="n"/>
      <c r="H926" s="74" t="n"/>
      <c r="I926" s="75" t="inlineStr">
        <is>
          <t>ID11R24.5-16PR(149/146L)[I-37D]C级IRONMAN无内</t>
        </is>
      </c>
      <c r="J926" s="76" t="n">
        <v>885.241357</v>
      </c>
      <c r="L926" s="77" t="n"/>
      <c r="M926" s="77" t="n"/>
    </row>
    <row r="927" customFormat="1" s="69">
      <c r="B927" s="92" t="n"/>
      <c r="C927" s="93" t="n"/>
      <c r="D927" s="495">
        <f>IF(C927="","",C927/(C927+$E$1/60))</f>
        <v/>
      </c>
      <c r="E927" s="95">
        <f>IFERROR(ROUND(1440/C927*2*D927,0),"")</f>
        <v/>
      </c>
      <c r="F927" s="96" t="n"/>
      <c r="G927" s="97" t="n"/>
      <c r="H927" s="74" t="n"/>
      <c r="I927" s="75" t="inlineStr">
        <is>
          <t>ID11R22.5-18PR(149/146L)[AZ850]雅度无内</t>
        </is>
      </c>
      <c r="J927" s="76" t="n">
        <v>820.189174</v>
      </c>
      <c r="L927" s="77" t="n"/>
      <c r="M927" s="77" t="n"/>
    </row>
    <row r="928" customFormat="1" s="69">
      <c r="B928" s="92" t="n"/>
      <c r="C928" s="93" t="n"/>
      <c r="D928" s="495">
        <f>IF(C928="","",C928/(C928+$E$1/60))</f>
        <v/>
      </c>
      <c r="E928" s="95">
        <f>IFERROR(ROUND(1440/C928*2*D928,0),"")</f>
        <v/>
      </c>
      <c r="F928" s="96" t="n"/>
      <c r="G928" s="97" t="n"/>
      <c r="H928" s="74" t="n"/>
      <c r="I928" s="75" t="inlineStr">
        <is>
          <t>ID12.00R24-20PR(160/157F)[MT100 MAX]C级UNITED</t>
        </is>
      </c>
      <c r="J928" s="76" t="n">
        <v>1296.555099</v>
      </c>
      <c r="L928" s="77" t="n"/>
      <c r="M928" s="77" t="n"/>
    </row>
    <row r="929" customFormat="1" s="69">
      <c r="B929" s="92" t="n"/>
      <c r="C929" s="93" t="n"/>
      <c r="D929" s="495">
        <f>IF(C929="","",C929/(C929+$E$1/60))</f>
        <v/>
      </c>
      <c r="E929" s="95">
        <f>IFERROR(ROUND(1440/C929*2*D929,0),"")</f>
        <v/>
      </c>
      <c r="F929" s="96" t="n"/>
      <c r="G929" s="97" t="n"/>
      <c r="H929" s="74" t="n"/>
      <c r="I929" s="75" t="inlineStr">
        <is>
          <t>ID325/95R24-22PR(162/160F)[CB332]威狮无内</t>
        </is>
      </c>
      <c r="J929" s="76" t="n">
        <v>1324.06778</v>
      </c>
      <c r="L929" s="77" t="n"/>
      <c r="M929" s="77" t="n"/>
    </row>
    <row r="930" customFormat="1" s="69">
      <c r="B930" s="92" t="n"/>
      <c r="C930" s="93" t="n"/>
      <c r="D930" s="495">
        <f>IF(C930="","",C930/(C930+$E$1/60))</f>
        <v/>
      </c>
      <c r="E930" s="95">
        <f>IFERROR(ROUND(1440/C930*2*D930,0),"")</f>
        <v/>
      </c>
      <c r="F930" s="96" t="n"/>
      <c r="G930" s="97" t="n"/>
      <c r="H930" s="74" t="n"/>
      <c r="I930" s="75" t="inlineStr">
        <is>
          <t>ID11.00-20-18PR[CR952]153/148G 金冠</t>
        </is>
      </c>
      <c r="J930" s="76" t="n">
        <v>848.030533</v>
      </c>
      <c r="L930" s="77" t="n"/>
      <c r="M930" s="77" t="n"/>
    </row>
    <row r="931" customFormat="1" s="69">
      <c r="B931" s="92" t="n"/>
      <c r="C931" s="93" t="n"/>
      <c r="D931" s="495">
        <f>IF(C931="","",C931/(C931+$E$1/60))</f>
        <v/>
      </c>
      <c r="E931" s="95">
        <f>IFERROR(ROUND(1440/C931*2*D931,0),"")</f>
        <v/>
      </c>
      <c r="F931" s="96" t="n"/>
      <c r="G931" s="97" t="n"/>
      <c r="H931" s="74" t="n"/>
      <c r="I931" s="75" t="inlineStr">
        <is>
          <t>ID10.00R20-18PR(149/146F)[CB972]C级TRAZANO(全诺)</t>
        </is>
      </c>
      <c r="J931" s="76" t="n">
        <v>953.595314</v>
      </c>
      <c r="L931" s="77" t="n"/>
      <c r="M931" s="77" t="n"/>
    </row>
    <row r="932" customFormat="1" s="69">
      <c r="B932" s="92" t="n"/>
      <c r="C932" s="93" t="n"/>
      <c r="D932" s="495">
        <f>IF(C932="","",C932/(C932+$E$1/60))</f>
        <v/>
      </c>
      <c r="E932" s="95">
        <f>IFERROR(ROUND(1440/C932*2*D932,0),"")</f>
        <v/>
      </c>
      <c r="F932" s="96" t="n"/>
      <c r="G932" s="97" t="n"/>
      <c r="H932" s="74" t="n"/>
      <c r="I932" s="75" t="inlineStr">
        <is>
          <t>ID10.00R20-18PR(149/146F)[CB332]C级朝阳</t>
        </is>
      </c>
      <c r="J932" s="76" t="n">
        <v>995.641941</v>
      </c>
      <c r="L932" s="77" t="n"/>
      <c r="M932" s="77" t="n"/>
    </row>
    <row r="933" customFormat="1" s="69">
      <c r="B933" s="92" t="n"/>
      <c r="C933" s="93" t="n"/>
      <c r="D933" s="495">
        <f>IF(C933="","",C933/(C933+$E$1/60))</f>
        <v/>
      </c>
      <c r="E933" s="95">
        <f>IFERROR(ROUND(1440/C933*2*D933,0),"")</f>
        <v/>
      </c>
      <c r="F933" s="96" t="n"/>
      <c r="G933" s="97" t="n"/>
      <c r="H933" s="74" t="n"/>
      <c r="I933" s="75" t="inlineStr">
        <is>
          <t>ID10.00R20-16PR(146/143K)[I-181]IRONMAN</t>
        </is>
      </c>
      <c r="J933" s="76" t="n">
        <v>779.764041</v>
      </c>
      <c r="L933" s="77" t="n"/>
      <c r="M933" s="77" t="n"/>
    </row>
    <row r="934" customFormat="1" s="69">
      <c r="B934" s="92" t="n"/>
      <c r="C934" s="93" t="n"/>
      <c r="D934" s="495">
        <f>IF(C934="","",C934/(C934+$E$1/60))</f>
        <v/>
      </c>
      <c r="E934" s="95">
        <f>IFERROR(ROUND(1440/C934*2*D934,0),"")</f>
        <v/>
      </c>
      <c r="F934" s="96" t="n"/>
      <c r="G934" s="97" t="n"/>
      <c r="H934" s="74" t="n"/>
      <c r="I934" s="75" t="inlineStr">
        <is>
          <t>ID295/75R22.5-16PR(146/143M)[AT100]ANTINI无内</t>
        </is>
      </c>
      <c r="J934" s="76" t="n">
        <v>698.032342</v>
      </c>
      <c r="L934" s="77" t="n"/>
      <c r="M934" s="77" t="n"/>
    </row>
    <row r="935" customFormat="1" s="69">
      <c r="B935" s="92" t="n"/>
      <c r="C935" s="93" t="n"/>
      <c r="D935" s="495">
        <f>IF(C935="","",C935/(C935+$E$1/60))</f>
        <v/>
      </c>
      <c r="E935" s="95">
        <f>IFERROR(ROUND(1440/C935*2*D935,0),"")</f>
        <v/>
      </c>
      <c r="F935" s="96" t="n"/>
      <c r="G935" s="97" t="n"/>
      <c r="H935" s="74" t="n"/>
      <c r="I935" s="75" t="inlineStr">
        <is>
          <t>ID11R24.5-16PR(149/146L)[AT167]金冠无内</t>
        </is>
      </c>
      <c r="J935" s="76" t="n">
        <v>749.840896</v>
      </c>
      <c r="L935" s="77" t="n"/>
      <c r="M935" s="77" t="n"/>
    </row>
    <row r="936" customFormat="1" s="69">
      <c r="B936" s="92" t="n"/>
      <c r="C936" s="93" t="n"/>
      <c r="D936" s="495">
        <f>IF(C936="","",C936/(C936+$E$1/60))</f>
        <v/>
      </c>
      <c r="E936" s="95">
        <f>IFERROR(ROUND(1440/C936*2*D936,0),"")</f>
        <v/>
      </c>
      <c r="F936" s="96" t="n"/>
      <c r="G936" s="97" t="n"/>
      <c r="H936" s="74" t="n"/>
      <c r="I936" s="75" t="inlineStr">
        <is>
          <t>ID325/95R24-22PR(162/160K)[EZ865]ARISUN无内</t>
        </is>
      </c>
      <c r="J936" s="76" t="n">
        <v>1247.80068</v>
      </c>
      <c r="L936" s="77" t="n"/>
      <c r="M936" s="77" t="n"/>
    </row>
    <row r="937" customFormat="1" s="69">
      <c r="B937" s="92" t="n"/>
      <c r="C937" s="93" t="n"/>
      <c r="D937" s="495">
        <f>IF(C937="","",C937/(C937+$E$1/60))</f>
        <v/>
      </c>
      <c r="E937" s="95">
        <f>IFERROR(ROUND(1440/C937*2*D937,0),"")</f>
        <v/>
      </c>
      <c r="F937" s="96" t="n"/>
      <c r="G937" s="97" t="n"/>
      <c r="H937" s="74" t="n"/>
      <c r="I937" s="75" t="inlineStr">
        <is>
          <t>ID445/50R22.5-20PR(161L)[M-TRAC WBT]MASTERTRACK无内</t>
        </is>
      </c>
      <c r="J937" s="76" t="n">
        <v>1138.411596</v>
      </c>
      <c r="L937" s="77" t="n"/>
      <c r="M937" s="77" t="n"/>
    </row>
    <row r="938" customFormat="1" s="69">
      <c r="B938" s="92" t="n"/>
      <c r="C938" s="93" t="n"/>
      <c r="D938" s="495">
        <f>IF(C938="","",C938/(C938+$E$1/60))</f>
        <v/>
      </c>
      <c r="E938" s="95">
        <f>IFERROR(ROUND(1440/C938*2*D938,0),"")</f>
        <v/>
      </c>
      <c r="F938" s="96" t="n"/>
      <c r="G938" s="97" t="n"/>
      <c r="H938" s="74" t="n"/>
      <c r="I938" s="75" t="inlineStr">
        <is>
          <t>ID11.00R20-20PR(154/151D)[CB905A]雅度 东南亚</t>
        </is>
      </c>
      <c r="J938" s="76" t="n">
        <v>1033.103379</v>
      </c>
      <c r="L938" s="77" t="n"/>
      <c r="M938" s="77" t="n"/>
    </row>
    <row r="939" customFormat="1" s="69">
      <c r="B939" s="92" t="n"/>
      <c r="C939" s="105" t="n"/>
      <c r="D939" s="496">
        <f>IF(C939="","",C939/(C939+$E$1/60))</f>
        <v/>
      </c>
      <c r="E939" s="95">
        <f>IFERROR(ROUND(1440/C939*2*D939,0),"")</f>
        <v/>
      </c>
      <c r="F939" s="107" t="n"/>
      <c r="G939" s="97" t="n"/>
      <c r="H939" s="74" t="n"/>
      <c r="I939" s="75" t="inlineStr">
        <is>
          <t>ID295/80R22.5-18PR(152/149M)[AT196]金冠无内</t>
        </is>
      </c>
      <c r="J939" s="76" t="n">
        <v>757.236032</v>
      </c>
      <c r="L939" s="77" t="n"/>
      <c r="M939" s="77" t="n"/>
    </row>
    <row r="940" customFormat="1" s="69">
      <c r="B940" s="92" t="n"/>
      <c r="C940" s="93" t="n"/>
      <c r="D940" s="495">
        <f>IF(C940="","",C940/(C940+$E$1/60))</f>
        <v/>
      </c>
      <c r="E940" s="95">
        <f>IFERROR(ROUND(1440/C940*2*D940,0),"")</f>
        <v/>
      </c>
      <c r="F940" s="96" t="n"/>
      <c r="G940" s="97" t="n"/>
      <c r="H940" s="74" t="n"/>
      <c r="I940" s="75" t="inlineStr">
        <is>
          <t>ID11R22.5-16PR(146/143M)[KOBE APM]ITARO无内</t>
        </is>
      </c>
      <c r="J940" s="76" t="n">
        <v>699.637057</v>
      </c>
      <c r="L940" s="77" t="n"/>
      <c r="M940" s="77" t="n"/>
    </row>
    <row r="941" customFormat="1" s="69">
      <c r="B941" s="92" t="n"/>
      <c r="C941" s="93" t="n"/>
      <c r="D941" s="495">
        <f>IF(C941="","",C941/(C941+$E$1/60))</f>
        <v/>
      </c>
      <c r="E941" s="95">
        <f>IFERROR(ROUND(1440/C941*2*D941,0),"")</f>
        <v/>
      </c>
      <c r="F941" s="96" t="n"/>
      <c r="G941" s="97" t="n"/>
      <c r="H941" s="74" t="n"/>
      <c r="I941" s="75" t="inlineStr">
        <is>
          <t>IDST235/85R16-12PR[ST226]128/124L CASTLE ROCK无内 NR</t>
        </is>
      </c>
      <c r="J941" s="76" t="n">
        <v>278.043738</v>
      </c>
      <c r="L941" s="77" t="n"/>
      <c r="M941" s="77" t="n"/>
    </row>
    <row r="942" customFormat="1" s="69">
      <c r="B942" s="92" t="n"/>
      <c r="C942" s="93" t="n"/>
      <c r="D942" s="495">
        <f>IF(C942="","",C942/(C942+$E$1/60))</f>
        <v/>
      </c>
      <c r="E942" s="95">
        <f>IFERROR(ROUND(1440/C942*2*D942,0),"")</f>
        <v/>
      </c>
      <c r="F942" s="96" t="n"/>
      <c r="G942" s="97" t="n"/>
      <c r="H942" s="74" t="n"/>
      <c r="I942" s="75" t="inlineStr">
        <is>
          <t>ID10.00-20-18PR[CL956]150/145G 威狮</t>
        </is>
      </c>
      <c r="J942" s="76" t="n">
        <v>878.153717</v>
      </c>
      <c r="L942" s="77" t="n"/>
      <c r="M942" s="77" t="n"/>
    </row>
    <row r="943" customFormat="1" s="69">
      <c r="B943" s="92" t="n"/>
      <c r="C943" s="93" t="n"/>
      <c r="D943" s="495">
        <f>IF(C943="","",C943/(C943+$E$1/60))</f>
        <v/>
      </c>
      <c r="E943" s="95">
        <f>IFERROR(ROUND(1440/C943*2*D943,0),"")</f>
        <v/>
      </c>
      <c r="F943" s="96" t="n"/>
      <c r="G943" s="97" t="n"/>
      <c r="H943" s="74" t="n"/>
      <c r="I943" s="75" t="inlineStr">
        <is>
          <t>ID7.50-16-14PR[M8087]122/118G 雅度</t>
        </is>
      </c>
      <c r="J943" s="76" t="n">
        <v>413.713377</v>
      </c>
      <c r="L943" s="77" t="n"/>
      <c r="M943" s="77" t="n"/>
    </row>
    <row r="944" customFormat="1" s="69">
      <c r="B944" s="92" t="n"/>
      <c r="C944" s="93" t="n"/>
      <c r="D944" s="495">
        <f>IF(C944="","",C944/(C944+$E$1/60))</f>
        <v/>
      </c>
      <c r="E944" s="95">
        <f>IFERROR(ROUND(1440/C944*2*D944,0),"")</f>
        <v/>
      </c>
      <c r="F944" s="96" t="n"/>
      <c r="G944" s="97" t="n"/>
      <c r="H944" s="74" t="n"/>
      <c r="I944" s="75" t="inlineStr">
        <is>
          <t>ID10.00R20-18PR(149/146K)[MOBY.R856X]EFFIPLUS</t>
        </is>
      </c>
      <c r="J944" s="76" t="n">
        <v>926.784733</v>
      </c>
      <c r="L944" s="77" t="n"/>
      <c r="M944" s="77" t="n"/>
    </row>
    <row r="945" customFormat="1" s="69">
      <c r="B945" s="92" t="n"/>
      <c r="C945" s="93" t="n"/>
      <c r="D945" s="495">
        <f>IF(C945="","",C945/(C945+$E$1/60))</f>
        <v/>
      </c>
      <c r="E945" s="95">
        <f>IFERROR(ROUND(1440/C945*2*D945,0),"")</f>
        <v/>
      </c>
      <c r="F945" s="96" t="n"/>
      <c r="G945" s="97" t="n"/>
      <c r="H945" s="74" t="n"/>
      <c r="I945" s="75" t="inlineStr">
        <is>
          <t>ID315/80R22.5-20PR(161/157K)[I-52A]C级IRONMAN无内</t>
        </is>
      </c>
      <c r="J945" s="76" t="n">
        <v>979.1732929999999</v>
      </c>
      <c r="L945" s="77" t="n"/>
      <c r="M945" s="77" t="n"/>
    </row>
    <row r="946" customFormat="1" s="69">
      <c r="B946" s="92" t="n"/>
      <c r="C946" s="93" t="n"/>
      <c r="D946" s="495">
        <f>IF(C946="","",C946/(C946+$E$1/60))</f>
        <v/>
      </c>
      <c r="E946" s="95">
        <f>IFERROR(ROUND(1440/C946*2*D946,0),"")</f>
        <v/>
      </c>
      <c r="F946" s="96" t="n"/>
      <c r="G946" s="97" t="n"/>
      <c r="H946" s="74" t="n"/>
      <c r="I946" s="75" t="inlineStr">
        <is>
          <t>ID295/80R22.5-18PR(152/149M)[TUCSON D]C级STRYKER无内</t>
        </is>
      </c>
      <c r="J946" s="76" t="n">
        <v>762.522726</v>
      </c>
      <c r="L946" s="77" t="n"/>
      <c r="M946" s="77" t="n"/>
    </row>
    <row r="947" customFormat="1" s="69">
      <c r="B947" s="92" t="n"/>
      <c r="C947" s="93" t="n"/>
      <c r="D947" s="495">
        <f>IF(C947="","",C947/(C947+$E$1/60))</f>
        <v/>
      </c>
      <c r="E947" s="95">
        <f>IFERROR(ROUND(1440/C947*2*D947,0),"")</f>
        <v/>
      </c>
      <c r="F947" s="96" t="n"/>
      <c r="G947" s="97" t="n"/>
      <c r="H947" s="74" t="n"/>
      <c r="I947" s="75" t="inlineStr">
        <is>
          <t>ID295/75R22.5-16PR(146/143L)[AD600]C级ANTINI无内</t>
        </is>
      </c>
      <c r="J947" s="76" t="n">
        <v>865.695726</v>
      </c>
      <c r="L947" s="77" t="n"/>
      <c r="M947" s="77" t="n"/>
    </row>
    <row r="948" customFormat="1" s="69">
      <c r="B948" s="92" t="n"/>
      <c r="C948" s="93" t="n"/>
      <c r="D948" s="495">
        <f>IF(C948="","",C948/(C948+$E$1/60))</f>
        <v/>
      </c>
      <c r="E948" s="95">
        <f>IFERROR(ROUND(1440/C948*2*D948,0),"")</f>
        <v/>
      </c>
      <c r="F948" s="96" t="n"/>
      <c r="G948" s="97" t="n"/>
      <c r="H948" s="74" t="n"/>
      <c r="I948" s="75" t="inlineStr">
        <is>
          <t>ID285/75R24.5-16PR(148/145L)[I-52A]IRONMAN无内 SMARTWAY</t>
        </is>
      </c>
      <c r="J948" s="76" t="n">
        <v>821.534826</v>
      </c>
      <c r="L948" s="77" t="n"/>
      <c r="M948" s="77" t="n"/>
    </row>
    <row r="949" customFormat="1" s="69">
      <c r="B949" s="92" t="n"/>
      <c r="C949" s="93" t="n"/>
      <c r="D949" s="495">
        <f>IF(C949="","",C949/(C949+$E$1/60))</f>
        <v/>
      </c>
      <c r="E949" s="95">
        <f>IFERROR(ROUND(1440/C949*2*D949,0),"")</f>
        <v/>
      </c>
      <c r="F949" s="96" t="n"/>
      <c r="G949" s="97" t="n"/>
      <c r="H949" s="74" t="n"/>
      <c r="I949" s="75" t="inlineStr">
        <is>
          <t>ID225/70R19.5-14PR(128/126N)[M-TRAC HTD]C级MASTERTRACK无内</t>
        </is>
      </c>
      <c r="J949" s="76" t="n">
        <v>468.63152</v>
      </c>
      <c r="L949" s="77" t="n"/>
      <c r="M949" s="77" t="n"/>
    </row>
    <row r="950" customFormat="1" s="69">
      <c r="B950" s="92" t="n"/>
      <c r="C950" s="93" t="n"/>
      <c r="D950" s="495">
        <f>IF(C950="","",C950/(C950+$E$1/60))</f>
        <v/>
      </c>
      <c r="E950" s="95">
        <f>IFERROR(ROUND(1440/C950*2*D950,0),"")</f>
        <v/>
      </c>
      <c r="F950" s="96" t="n"/>
      <c r="G950" s="97" t="n"/>
      <c r="H950" s="74" t="n"/>
      <c r="I950" s="75" t="inlineStr">
        <is>
          <t>ID11R22.5-16PR(146/143L)[VD998]C级VITOUR无内</t>
        </is>
      </c>
      <c r="J950" s="76" t="n">
        <v>887.502119</v>
      </c>
      <c r="L950" s="77" t="n"/>
      <c r="M950" s="77" t="n"/>
    </row>
    <row r="951" customFormat="1" s="69">
      <c r="B951" s="92" t="n"/>
      <c r="C951" s="93" t="n"/>
      <c r="D951" s="495">
        <f>IF(C951="","",C951/(C951+$E$1/60))</f>
        <v/>
      </c>
      <c r="E951" s="95">
        <f>IFERROR(ROUND(1440/C951*2*D951,0),"")</f>
        <v/>
      </c>
      <c r="F951" s="96" t="n"/>
      <c r="G951" s="97" t="n"/>
      <c r="H951" s="74" t="n"/>
      <c r="I951" s="75" t="inlineStr">
        <is>
          <t>ID275/80R22.5-16PR(149/146M)[AZ179]C级金冠无内</t>
        </is>
      </c>
      <c r="J951" s="76" t="n">
        <v>700.0511770000001</v>
      </c>
      <c r="L951" s="77" t="n"/>
      <c r="M951" s="77" t="n"/>
    </row>
    <row r="952" customFormat="1" s="69">
      <c r="B952" s="92" t="n"/>
      <c r="C952" s="93" t="n"/>
      <c r="D952" s="495">
        <f>IF(C952="","",C952/(C952+$E$1/60))</f>
        <v/>
      </c>
      <c r="E952" s="95">
        <f>IFERROR(ROUND(1440/C952*2*D952,0),"")</f>
        <v/>
      </c>
      <c r="F952" s="96" t="n"/>
      <c r="G952" s="97" t="n"/>
      <c r="H952" s="74" t="n"/>
      <c r="I952" s="75" t="inlineStr">
        <is>
          <t>IDST205/75R14-8PR[ST100]105/101M HI-RUN无内</t>
        </is>
      </c>
      <c r="J952" s="76" t="n">
        <v>160.9118</v>
      </c>
      <c r="L952" s="77" t="n"/>
      <c r="M952" s="77" t="n"/>
    </row>
    <row r="953" customFormat="1" s="69">
      <c r="B953" s="92" t="n"/>
      <c r="C953" s="93" t="n"/>
      <c r="D953" s="495">
        <f>IF(C953="","",C953/(C953+$E$1/60))</f>
        <v/>
      </c>
      <c r="E953" s="95">
        <f>IFERROR(ROUND(1440/C953*2*D953,0),"")</f>
        <v/>
      </c>
      <c r="F953" s="96" t="n"/>
      <c r="G953" s="97" t="n"/>
      <c r="H953" s="74" t="n"/>
      <c r="I953" s="75" t="inlineStr">
        <is>
          <t>IDST205/75R15-6PR[ST226]101/97L GOODRIDE(好运)无内 NR</t>
        </is>
      </c>
      <c r="J953" s="76" t="n">
        <v>142.624475</v>
      </c>
      <c r="L953" s="77" t="n"/>
      <c r="M953" s="77" t="n"/>
    </row>
    <row r="954" customFormat="1" s="69">
      <c r="B954" s="92" t="n"/>
      <c r="C954" s="93" t="n"/>
      <c r="D954" s="495">
        <f>IF(C954="","",C954/(C954+$E$1/60))</f>
        <v/>
      </c>
      <c r="E954" s="95">
        <f>IFERROR(ROUND(1440/C954*2*D954,0),"")</f>
        <v/>
      </c>
      <c r="F954" s="96" t="n"/>
      <c r="G954" s="97" t="n"/>
      <c r="H954" s="74" t="n"/>
      <c r="I954" s="75" t="inlineStr">
        <is>
          <t>ID17.5-25-12PR[STRONG GUARD LG2]大力神无内</t>
        </is>
      </c>
      <c r="J954" s="76" t="n">
        <v>1516.644885</v>
      </c>
      <c r="L954" s="77" t="n"/>
      <c r="M954" s="77" t="n"/>
    </row>
    <row r="955" customFormat="1" s="69">
      <c r="B955" s="92" t="n"/>
      <c r="C955" s="93" t="n"/>
      <c r="D955" s="495">
        <f>IF(C955="","",C955/(C955+$E$1/60))</f>
        <v/>
      </c>
      <c r="E955" s="95">
        <f>IFERROR(ROUND(1440/C955*2*D955,0),"")</f>
        <v/>
      </c>
      <c r="F955" s="96" t="n"/>
      <c r="G955" s="97" t="n"/>
      <c r="H955" s="74" t="n"/>
      <c r="I955" s="75" t="inlineStr">
        <is>
          <t>ID(D105004)90/80-14-4P[H-999-A]43P GOLDEN CROWN 纳米高抓 TL</t>
        </is>
      </c>
      <c r="J955" s="76" t="n">
        <v>40.908868</v>
      </c>
      <c r="L955" s="77" t="n"/>
      <c r="M955" s="77" t="n"/>
    </row>
    <row r="956" customFormat="1" s="69">
      <c r="B956" s="92" t="n"/>
      <c r="C956" s="93" t="n"/>
      <c r="D956" s="495">
        <f>IF(C956="","",C956/(C956+$E$1/60))</f>
        <v/>
      </c>
      <c r="E956" s="95">
        <f>IFERROR(ROUND(1440/C956*2*D956,0),"")</f>
        <v/>
      </c>
      <c r="F956" s="96" t="n"/>
      <c r="G956" s="97" t="n"/>
      <c r="H956" s="74" t="n"/>
      <c r="I956" s="75" t="inlineStr">
        <is>
          <t>ID325/95R24-22PR(162/160K)[EZ865]雅度无内</t>
        </is>
      </c>
      <c r="J956" s="76" t="n">
        <v>1248.467004</v>
      </c>
      <c r="L956" s="77" t="n"/>
      <c r="M956" s="77" t="n"/>
    </row>
    <row r="957" customFormat="1" s="69">
      <c r="B957" s="92" t="n"/>
      <c r="C957" s="93" t="n"/>
      <c r="D957" s="495">
        <f>IF(C957="","",C957/(C957+$E$1/60))</f>
        <v/>
      </c>
      <c r="E957" s="95">
        <f>IFERROR(ROUND(1440/C957*2*D957,0),"")</f>
        <v/>
      </c>
      <c r="F957" s="96" t="n"/>
      <c r="G957" s="97" t="n"/>
      <c r="H957" s="74" t="n"/>
      <c r="I957" s="75" t="inlineStr">
        <is>
          <t>ID20.5-25-16PR[STRONG GUARD L-3]HERCULES无内</t>
        </is>
      </c>
      <c r="J957" s="76" t="n">
        <v>2652.844033</v>
      </c>
      <c r="L957" s="77" t="n"/>
      <c r="M957" s="77" t="n"/>
    </row>
    <row r="958" customFormat="1" s="69">
      <c r="B958" s="92" t="n"/>
      <c r="C958" s="93" t="n"/>
      <c r="D958" s="495">
        <f>IF(C958="","",C958/(C958+$E$1/60))</f>
        <v/>
      </c>
      <c r="E958" s="95">
        <f>IFERROR(ROUND(1440/C958*2*D958,0),"")</f>
        <v/>
      </c>
      <c r="F958" s="96" t="n"/>
      <c r="G958" s="97" t="n"/>
      <c r="H958" s="74" t="n"/>
      <c r="I958" s="75" t="inlineStr">
        <is>
          <t>ID20.5-25-16PR[STRONG GUARD LG2]HERCULES无内</t>
        </is>
      </c>
      <c r="J958" s="76" t="n">
        <v>2249.065847</v>
      </c>
      <c r="L958" s="77" t="n"/>
      <c r="M958" s="77" t="n"/>
    </row>
    <row r="959" customFormat="1" s="69">
      <c r="B959" s="92" t="n"/>
      <c r="C959" s="93" t="n"/>
      <c r="D959" s="495">
        <f>IF(C959="","",C959/(C959+$E$1/60))</f>
        <v/>
      </c>
      <c r="E959" s="95">
        <f>IFERROR(ROUND(1440/C959*2*D959,0),"")</f>
        <v/>
      </c>
      <c r="F959" s="96" t="n"/>
      <c r="G959" s="97" t="n"/>
      <c r="H959" s="74" t="n"/>
      <c r="I959" s="75" t="inlineStr">
        <is>
          <t>ID13.00-24-16PR[STRONG GUARD LG2]HERCULES无内</t>
        </is>
      </c>
      <c r="J959" s="76" t="n">
        <v>1375.293591</v>
      </c>
      <c r="L959" s="77" t="n"/>
      <c r="M959" s="77" t="n"/>
    </row>
    <row r="960" customFormat="1" s="69">
      <c r="B960" s="92" t="n"/>
      <c r="C960" s="93" t="n"/>
      <c r="D960" s="495">
        <f>IF(C960="","",C960/(C960+$E$1/60))</f>
        <v/>
      </c>
      <c r="E960" s="95">
        <f>IFERROR(ROUND(1440/C960*2*D960,0),"")</f>
        <v/>
      </c>
      <c r="F960" s="96" t="n"/>
      <c r="G960" s="97" t="n"/>
      <c r="H960" s="74" t="n"/>
      <c r="I960" s="75" t="inlineStr">
        <is>
          <t>ID285/75R24.5-16PR(147/144L)[VA996]VITOUR无内</t>
        </is>
      </c>
      <c r="J960" s="76" t="n">
        <v>836.267475</v>
      </c>
      <c r="L960" s="77" t="n"/>
      <c r="M960" s="77" t="n"/>
    </row>
    <row r="961" customFormat="1" s="69">
      <c r="B961" s="92" t="n"/>
      <c r="C961" s="93" t="n"/>
      <c r="D961" s="495">
        <f>IF(C961="","",C961/(C961+$E$1/60))</f>
        <v/>
      </c>
      <c r="E961" s="95">
        <f>IFERROR(ROUND(1440/C961*2*D961,0),"")</f>
        <v/>
      </c>
      <c r="F961" s="96" t="n"/>
      <c r="G961" s="97" t="n"/>
      <c r="H961" s="74" t="n"/>
      <c r="I961" s="75" t="inlineStr">
        <is>
          <t>ID5.70-8-4PR[SU201]69M HI-RUN无内</t>
        </is>
      </c>
      <c r="J961" s="76" t="n">
        <v>60.439386</v>
      </c>
      <c r="L961" s="77" t="n"/>
      <c r="M961" s="77" t="n"/>
    </row>
    <row r="962" customFormat="1" s="69">
      <c r="B962" s="92" t="n"/>
      <c r="C962" s="93" t="n"/>
      <c r="D962" s="495">
        <f>IF(C962="","",C962/(C962+$E$1/60))</f>
        <v/>
      </c>
      <c r="E962" s="95">
        <f>IFERROR(ROUND(1440/C962*2*D962,0),"")</f>
        <v/>
      </c>
      <c r="F962" s="96" t="n"/>
      <c r="G962" s="97" t="n"/>
      <c r="H962" s="74" t="n"/>
      <c r="I962" s="75" t="inlineStr">
        <is>
          <t>ID295/80R22.5-18PR(152/149M)[AS868Pro]金冠无内</t>
        </is>
      </c>
      <c r="J962" s="76" t="n">
        <v>933.096537</v>
      </c>
      <c r="L962" s="77" t="n"/>
      <c r="M962" s="77" t="n"/>
    </row>
    <row r="963" customFormat="1" s="69">
      <c r="B963" s="92" t="n"/>
      <c r="C963" s="93" t="n"/>
      <c r="D963" s="495">
        <f>IF(C963="","",C963/(C963+$E$1/60))</f>
        <v/>
      </c>
      <c r="E963" s="95">
        <f>IFERROR(ROUND(1440/C963*2*D963,0),"")</f>
        <v/>
      </c>
      <c r="F963" s="96" t="n"/>
      <c r="G963" s="97" t="n"/>
      <c r="H963" s="74" t="n"/>
      <c r="I963" s="75" t="inlineStr">
        <is>
          <t>ID285/75R24.5-14PR(144/141L)[Strong Guard H-TL]HERCULES无内</t>
        </is>
      </c>
      <c r="J963" s="76" t="n">
        <v>713.801016</v>
      </c>
      <c r="L963" s="77" t="n"/>
      <c r="M963" s="77" t="n"/>
    </row>
    <row r="964" customFormat="1" s="69">
      <c r="B964" s="92" t="n"/>
      <c r="C964" s="93" t="n"/>
      <c r="D964" s="495">
        <f>IF(C964="","",C964/(C964+$E$1/60))</f>
        <v/>
      </c>
      <c r="E964" s="95">
        <f>IFERROR(ROUND(1440/C964*2*D964,0),"")</f>
        <v/>
      </c>
      <c r="F964" s="96" t="n"/>
      <c r="G964" s="97" t="n"/>
      <c r="H964" s="74" t="n"/>
      <c r="I964" s="75" t="inlineStr">
        <is>
          <t>ID11R22.5-16PR(148/145L)[AZ850]GOODRIDE(好运)无内</t>
        </is>
      </c>
      <c r="J964" s="76" t="n">
        <v>802.834348</v>
      </c>
      <c r="L964" s="77" t="n"/>
      <c r="M964" s="77" t="n"/>
    </row>
    <row r="965" customFormat="1" s="69">
      <c r="B965" s="92" t="n"/>
      <c r="C965" s="93" t="n"/>
      <c r="D965" s="495">
        <f>IF(C965="","",C965/(C965+$E$1/60))</f>
        <v/>
      </c>
      <c r="E965" s="95">
        <f>IFERROR(ROUND(1440/C965*2*D965,0),"")</f>
        <v/>
      </c>
      <c r="F965" s="96" t="n"/>
      <c r="G965" s="97" t="n"/>
      <c r="H965" s="74" t="n"/>
      <c r="I965" s="75" t="inlineStr">
        <is>
          <t>ID285/75R24.5-14PR(144/141L)[Strong Guard H-RD]HERCULES无内</t>
        </is>
      </c>
      <c r="J965" s="76" t="n">
        <v>809.292738</v>
      </c>
      <c r="L965" s="77" t="n"/>
      <c r="M965" s="77" t="n"/>
    </row>
    <row r="966" customFormat="1" s="69">
      <c r="B966" s="92" t="n"/>
      <c r="C966" s="93" t="n"/>
      <c r="D966" s="495">
        <f>IF(C966="","",C966/(C966+$E$1/60))</f>
        <v/>
      </c>
      <c r="E966" s="95">
        <f>IFERROR(ROUND(1440/C966*2*D966,0),"")</f>
        <v/>
      </c>
      <c r="F966" s="96" t="n"/>
      <c r="G966" s="97" t="n"/>
      <c r="H966" s="74" t="n"/>
      <c r="I966" s="75" t="inlineStr">
        <is>
          <t>ID16.5X6.5-8-6PR[SU202]72M HI-RUN无内</t>
        </is>
      </c>
      <c r="J966" s="76" t="n">
        <v>63.123907</v>
      </c>
      <c r="L966" s="77" t="n"/>
      <c r="M966" s="77" t="n"/>
    </row>
    <row r="967" customFormat="1" s="69">
      <c r="B967" s="92" t="n"/>
      <c r="C967" s="93" t="n"/>
      <c r="D967" s="495">
        <f>IF(C967="","",C967/(C967+$E$1/60))</f>
        <v/>
      </c>
      <c r="E967" s="95">
        <f>IFERROR(ROUND(1440/C967*2*D967,0),"")</f>
        <v/>
      </c>
      <c r="F967" s="96" t="n"/>
      <c r="G967" s="97" t="n"/>
      <c r="H967" s="74" t="n"/>
      <c r="I967" s="75" t="inlineStr">
        <is>
          <t>ID275/70R22.5-18PR(152/148L)[I-19A]IRONMAN无内 美国</t>
        </is>
      </c>
      <c r="J967" s="76" t="n">
        <v>710.066723</v>
      </c>
      <c r="L967" s="77" t="n"/>
      <c r="M967" s="77" t="n"/>
    </row>
    <row r="968" customFormat="1" s="69">
      <c r="B968" s="92" t="n"/>
      <c r="C968" s="93" t="n"/>
      <c r="D968" s="495">
        <f>IF(C968="","",C968/(C968+$E$1/60))</f>
        <v/>
      </c>
      <c r="E968" s="95">
        <f>IFERROR(ROUND(1440/C968*2*D968,0),"")</f>
        <v/>
      </c>
      <c r="F968" s="96" t="n"/>
      <c r="G968" s="97" t="n"/>
      <c r="H968" s="74" t="n"/>
      <c r="I968" s="75" t="inlineStr">
        <is>
          <t>ID11R24.5-16PR(149/146L)[AZ599]GOODRIDE(好运)无内</t>
        </is>
      </c>
      <c r="J968" s="76" t="n">
        <v>795.46412</v>
      </c>
      <c r="L968" s="77" t="n"/>
      <c r="M968" s="77" t="n"/>
    </row>
    <row r="969" customFormat="1" s="69">
      <c r="B969" s="92" t="n"/>
      <c r="C969" s="93" t="n"/>
      <c r="D969" s="495">
        <f>IF(C969="","",C969/(C969+$E$1/60))</f>
        <v/>
      </c>
      <c r="E969" s="95">
        <f>IFERROR(ROUND(1440/C969*2*D969,0),"")</f>
        <v/>
      </c>
      <c r="F969" s="96" t="n"/>
      <c r="G969" s="97" t="n"/>
      <c r="H969" s="74" t="n"/>
      <c r="I969" s="75" t="inlineStr">
        <is>
          <t>ID11R22.5-18PR(149/146L)[AS858]雅度无内</t>
        </is>
      </c>
      <c r="J969" s="76" t="n">
        <v>850.447645</v>
      </c>
      <c r="L969" s="77" t="n"/>
      <c r="M969" s="77" t="n"/>
    </row>
    <row r="970" customFormat="1" s="69">
      <c r="B970" s="92" t="n"/>
      <c r="C970" s="93" t="n"/>
      <c r="D970" s="495">
        <f>IF(C970="","",C970/(C970+$E$1/60))</f>
        <v/>
      </c>
      <c r="E970" s="95">
        <f>IFERROR(ROUND(1440/C970*2*D970,0),"")</f>
        <v/>
      </c>
      <c r="F970" s="96" t="n"/>
      <c r="G970" s="97" t="n"/>
      <c r="H970" s="74" t="n"/>
      <c r="I970" s="75" t="inlineStr">
        <is>
          <t>ID385/65R22.5-20PR(160K)[I-42W]IRONMAN无内</t>
        </is>
      </c>
      <c r="J970" s="76" t="n">
        <v>1080.470349</v>
      </c>
      <c r="L970" s="77" t="n"/>
      <c r="M970" s="77" t="n"/>
    </row>
    <row r="971" customFormat="1" s="69">
      <c r="B971" s="92" t="n"/>
      <c r="C971" s="93" t="n"/>
      <c r="D971" s="495">
        <f>IF(C971="","",C971/(C971+$E$1/60))</f>
        <v/>
      </c>
      <c r="E971" s="95">
        <f>IFERROR(ROUND(1440/C971*2*D971,0),"")</f>
        <v/>
      </c>
      <c r="F971" s="96" t="n"/>
      <c r="G971" s="97" t="n"/>
      <c r="H971" s="74" t="n"/>
      <c r="I971" s="75" t="inlineStr">
        <is>
          <t>ID7.50-16LT-14PR[MR881]122/118K 威狮</t>
        </is>
      </c>
      <c r="J971" s="76" t="n">
        <v>345.1119</v>
      </c>
      <c r="L971" s="77" t="n"/>
      <c r="M971" s="77" t="n"/>
    </row>
    <row r="972" customFormat="1" s="69">
      <c r="B972" s="92" t="n"/>
      <c r="C972" s="93" t="n"/>
      <c r="D972" s="495">
        <f>IF(C972="","",C972/(C972+$E$1/60))</f>
        <v/>
      </c>
      <c r="E972" s="95">
        <f>IFERROR(ROUND(1440/C972*2*D972,0),"")</f>
        <v/>
      </c>
      <c r="F972" s="96" t="n"/>
      <c r="G972" s="97" t="n"/>
      <c r="H972" s="74" t="n"/>
      <c r="I972" s="75" t="inlineStr">
        <is>
          <t>ID11.00-20-18PR[CL969]153/148G 威狮</t>
        </is>
      </c>
      <c r="J972" s="76" t="n">
        <v>920.908275</v>
      </c>
      <c r="L972" s="77" t="n"/>
      <c r="M972" s="77" t="n"/>
    </row>
    <row r="973" customFormat="1" s="69">
      <c r="B973" s="92" t="n"/>
      <c r="C973" s="93" t="n"/>
      <c r="D973" s="495">
        <f>IF(C973="","",C973/(C973+$E$1/60))</f>
        <v/>
      </c>
      <c r="E973" s="95">
        <f>IFERROR(ROUND(1440/C973*2*D973,0),"")</f>
        <v/>
      </c>
      <c r="F973" s="96" t="n"/>
      <c r="G973" s="97" t="n"/>
      <c r="H973" s="74" t="n"/>
      <c r="I973" s="75" t="inlineStr">
        <is>
          <t>ID12.00R20-20PR(156/153F)[CB332]威狮</t>
        </is>
      </c>
      <c r="J973" s="76" t="n">
        <v>1275.963403</v>
      </c>
      <c r="L973" s="77" t="n"/>
      <c r="M973" s="77" t="n"/>
    </row>
    <row r="974" customFormat="1" s="69">
      <c r="B974" s="92" t="n"/>
      <c r="C974" s="93" t="n"/>
      <c r="D974" s="495">
        <f>IF(C974="","",C974/(C974+$E$1/60))</f>
        <v/>
      </c>
      <c r="E974" s="95">
        <f>IFERROR(ROUND(1440/C974*2*D974,0),"")</f>
        <v/>
      </c>
      <c r="F974" s="96" t="n"/>
      <c r="G974" s="97" t="n"/>
      <c r="H974" s="74" t="n"/>
      <c r="I974" s="75" t="inlineStr">
        <is>
          <t>ID12.00R20-18PR(154/151F)[CB905]朝阳</t>
        </is>
      </c>
      <c r="J974" s="76" t="n">
        <v>1214.139096</v>
      </c>
      <c r="L974" s="77" t="n"/>
      <c r="M974" s="77" t="n"/>
    </row>
    <row r="975" customFormat="1" s="69">
      <c r="B975" s="92" t="n"/>
      <c r="C975" s="93" t="n"/>
      <c r="D975" s="495">
        <f>IF(C975="","",C975/(C975+$E$1/60))</f>
        <v/>
      </c>
      <c r="E975" s="95">
        <f>IFERROR(ROUND(1440/C975*2*D975,0),"")</f>
        <v/>
      </c>
      <c r="F975" s="96" t="n"/>
      <c r="G975" s="97" t="n"/>
      <c r="H975" s="74" t="n"/>
      <c r="I975" s="75" t="inlineStr">
        <is>
          <t>ID315/80R22.5-20PR(157/154K)[CR926B]朝阳无内</t>
        </is>
      </c>
      <c r="J975" s="76" t="n">
        <v>948.654644</v>
      </c>
      <c r="L975" s="77" t="n"/>
      <c r="M975" s="77" t="n"/>
    </row>
    <row r="976" customFormat="1" s="69">
      <c r="B976" s="92" t="n"/>
      <c r="C976" s="93" t="n"/>
      <c r="D976" s="495">
        <f>IF(C976="","",C976/(C976+$E$1/60))</f>
        <v/>
      </c>
      <c r="E976" s="95">
        <f>IFERROR(ROUND(1440/C976*2*D976,0),"")</f>
        <v/>
      </c>
      <c r="F976" s="96" t="n"/>
      <c r="G976" s="97" t="n"/>
      <c r="H976" s="74" t="n"/>
      <c r="I976" s="75" t="inlineStr">
        <is>
          <t>ID295/75R22.5-16PR(146/143M)[AT552]ARISUN无内</t>
        </is>
      </c>
      <c r="J976" s="76" t="n">
        <v>683.170076</v>
      </c>
      <c r="L976" s="77" t="n"/>
      <c r="M976" s="77" t="n"/>
    </row>
    <row r="977" customFormat="1" s="69">
      <c r="B977" s="92" t="n"/>
      <c r="C977" s="93" t="n"/>
      <c r="D977" s="495">
        <f>IF(C977="","",C977/(C977+$E$1/60))</f>
        <v/>
      </c>
      <c r="E977" s="95">
        <f>IFERROR(ROUND(1440/C977*2*D977,0),"")</f>
        <v/>
      </c>
      <c r="F977" s="96" t="n"/>
      <c r="G977" s="97" t="n"/>
      <c r="H977" s="74" t="n"/>
      <c r="I977" s="75" t="inlineStr">
        <is>
          <t>ID295/75R22.5-14PR(144/141M)[TL31]威狮无内</t>
        </is>
      </c>
      <c r="J977" s="76" t="n">
        <v>678.975995</v>
      </c>
      <c r="L977" s="77" t="n"/>
      <c r="M977" s="77" t="n"/>
    </row>
    <row r="978" customFormat="1" s="69">
      <c r="B978" s="92" t="n"/>
      <c r="C978" s="93" t="n"/>
      <c r="D978" s="495">
        <f>IF(C978="","",C978/(C978+$E$1/60))</f>
        <v/>
      </c>
      <c r="E978" s="95">
        <f>IFERROR(ROUND(1440/C978*2*D978,0),"")</f>
        <v/>
      </c>
      <c r="F978" s="96" t="n"/>
      <c r="G978" s="97" t="n"/>
      <c r="H978" s="74" t="n"/>
      <c r="I978" s="75" t="inlineStr">
        <is>
          <t>ID285/75R24.5-16PR(147/144M)[SL11]威狮无内</t>
        </is>
      </c>
      <c r="J978" s="76" t="n">
        <v>836.267475</v>
      </c>
      <c r="L978" s="77" t="n"/>
      <c r="M978" s="77" t="n"/>
    </row>
    <row r="979" customFormat="1" s="69">
      <c r="B979" s="92" t="n"/>
      <c r="C979" s="93" t="n"/>
      <c r="D979" s="495">
        <f>IF(C979="","",C979/(C979+$E$1/60))</f>
        <v/>
      </c>
      <c r="E979" s="95">
        <f>IFERROR(ROUND(1440/C979*2*D979,0),"")</f>
        <v/>
      </c>
      <c r="F979" s="96" t="n"/>
      <c r="G979" s="97" t="n"/>
      <c r="H979" s="74" t="n"/>
      <c r="I979" s="75" t="inlineStr">
        <is>
          <t>ID12R22.5-18PR(152/149L)[AZ850M]朝阳无内</t>
        </is>
      </c>
      <c r="J979" s="76" t="n">
        <v>987.9615230000001</v>
      </c>
      <c r="L979" s="77" t="n"/>
      <c r="M979" s="77" t="n"/>
    </row>
    <row r="980" customFormat="1" s="69">
      <c r="B980" s="92" t="n"/>
      <c r="C980" s="93" t="n"/>
      <c r="D980" s="495">
        <f>IF(C980="","",C980/(C980+$E$1/60))</f>
        <v/>
      </c>
      <c r="E980" s="95">
        <f>IFERROR(ROUND(1440/C980*2*D980,0),"")</f>
        <v/>
      </c>
      <c r="F980" s="96" t="n"/>
      <c r="G980" s="97" t="n"/>
      <c r="H980" s="74" t="n"/>
      <c r="I980" s="75" t="inlineStr">
        <is>
          <t>ID11R24.5-16PR(149/146L)[CM980]威狮无内</t>
        </is>
      </c>
      <c r="J980" s="76" t="n">
        <v>865.604281</v>
      </c>
      <c r="L980" s="77" t="n"/>
      <c r="M980" s="77" t="n"/>
    </row>
    <row r="981" customFormat="1" s="69">
      <c r="B981" s="92" t="n"/>
      <c r="C981" s="93" t="n"/>
      <c r="D981" s="495">
        <f>IF(C981="","",C981/(C981+$E$1/60))</f>
        <v/>
      </c>
      <c r="E981" s="95">
        <f>IFERROR(ROUND(1440/C981*2*D981,0),"")</f>
        <v/>
      </c>
      <c r="F981" s="96" t="n"/>
      <c r="G981" s="97" t="n"/>
      <c r="H981" s="74" t="n"/>
      <c r="I981" s="75" t="inlineStr">
        <is>
          <t>ID11R24.5-16PR(149/146L)[AS600]ARISUN无内</t>
        </is>
      </c>
      <c r="J981" s="76" t="n">
        <v>801.968254</v>
      </c>
      <c r="L981" s="77" t="n"/>
      <c r="M981" s="77" t="n"/>
    </row>
    <row r="982" customFormat="1" s="69">
      <c r="B982" s="92" t="n"/>
      <c r="C982" s="93" t="n"/>
      <c r="D982" s="495">
        <f>IF(C982="","",C982/(C982+$E$1/60))</f>
        <v/>
      </c>
      <c r="E982" s="95">
        <f>IFERROR(ROUND(1440/C982*2*D982,0),"")</f>
        <v/>
      </c>
      <c r="F982" s="96" t="n"/>
      <c r="G982" s="97" t="n"/>
      <c r="H982" s="74" t="n"/>
      <c r="I982" s="75" t="inlineStr">
        <is>
          <t>ID11R24.5-16PR(149/146L)[AZ579]威狮无内</t>
        </is>
      </c>
      <c r="J982" s="76" t="n">
        <v>832.022739</v>
      </c>
      <c r="L982" s="77" t="n"/>
      <c r="M982" s="77" t="n"/>
    </row>
    <row r="983" customFormat="1" s="69">
      <c r="B983" s="92" t="n"/>
      <c r="C983" s="93" t="n"/>
      <c r="D983" s="495">
        <f>IF(C983="","",C983/(C983+$E$1/60))</f>
        <v/>
      </c>
      <c r="E983" s="95">
        <f>IFERROR(ROUND(1440/C983*2*D983,0),"")</f>
        <v/>
      </c>
      <c r="F983" s="96" t="n"/>
      <c r="G983" s="97" t="n"/>
      <c r="H983" s="74" t="n"/>
      <c r="I983" s="75" t="inlineStr">
        <is>
          <t>ID11R22.5-18PR(149/146L)[AZ850]威狮无内</t>
        </is>
      </c>
      <c r="J983" s="76" t="n">
        <v>820.6406940000001</v>
      </c>
      <c r="L983" s="77" t="n"/>
      <c r="M983" s="77" t="n"/>
    </row>
    <row r="984" customFormat="1" s="69">
      <c r="B984" s="92" t="n"/>
      <c r="C984" s="93" t="n"/>
      <c r="D984" s="495">
        <f>IF(C984="","",C984/(C984+$E$1/60))</f>
        <v/>
      </c>
      <c r="E984" s="95">
        <f>IFERROR(ROUND(1440/C984*2*D984,0),"")</f>
        <v/>
      </c>
      <c r="F984" s="96" t="n"/>
      <c r="G984" s="97" t="n"/>
      <c r="H984" s="74" t="n"/>
      <c r="I984" s="75" t="inlineStr">
        <is>
          <t>ID11R22.5-16PR(146/143M)[Strong Guard H-RA]HERCULES无内</t>
        </is>
      </c>
      <c r="J984" s="76" t="n">
        <v>741.602185</v>
      </c>
      <c r="L984" s="77" t="n"/>
      <c r="M984" s="77" t="n"/>
    </row>
    <row r="985" customFormat="1" s="69">
      <c r="B985" s="92" t="n"/>
      <c r="C985" s="93" t="n"/>
      <c r="D985" s="495">
        <f>IF(C985="","",C985/(C985+$E$1/60))</f>
        <v/>
      </c>
      <c r="E985" s="95">
        <f>IFERROR(ROUND(1440/C985*2*D985,0),"")</f>
        <v/>
      </c>
      <c r="F985" s="96" t="n"/>
      <c r="G985" s="97" t="n"/>
      <c r="H985" s="74" t="n"/>
      <c r="I985" s="75" t="inlineStr">
        <is>
          <t>ID11R22.5-16PR(146/143L)[AD737]ARISUN无内</t>
        </is>
      </c>
      <c r="J985" s="76" t="n">
        <v>822.702409</v>
      </c>
      <c r="L985" s="77" t="n"/>
      <c r="M985" s="77" t="n"/>
    </row>
    <row r="986" customFormat="1" s="69">
      <c r="B986" s="92" t="n"/>
      <c r="C986" s="93" t="n"/>
      <c r="D986" s="495">
        <f>IF(C986="","",C986/(C986+$E$1/60))</f>
        <v/>
      </c>
      <c r="E986" s="95">
        <f>IFERROR(ROUND(1440/C986*2*D986,0),"")</f>
        <v/>
      </c>
      <c r="F986" s="96" t="n"/>
      <c r="G986" s="97" t="n"/>
      <c r="H986" s="74" t="n"/>
      <c r="I986" s="75" t="inlineStr">
        <is>
          <t>ID11R22.5-16PR(146/143L)[AZ579]威狮无内</t>
        </is>
      </c>
      <c r="J986" s="76" t="n">
        <v>777.9945300000001</v>
      </c>
      <c r="L986" s="77" t="n"/>
      <c r="M986" s="77" t="n"/>
    </row>
    <row r="987" customFormat="1" s="69">
      <c r="B987" s="92" t="n"/>
      <c r="C987" s="93" t="n"/>
      <c r="D987" s="495">
        <f>IF(C987="","",C987/(C987+$E$1/60))</f>
        <v/>
      </c>
      <c r="E987" s="95">
        <f>IFERROR(ROUND(1440/C987*2*D987,0),"")</f>
        <v/>
      </c>
      <c r="F987" s="96" t="n"/>
      <c r="G987" s="97" t="n"/>
      <c r="H987" s="74" t="n"/>
      <c r="I987" s="75" t="inlineStr">
        <is>
          <t>ID11R22.5-16PR(146/143L)[HCC1 Plus]SUPERMAX无内</t>
        </is>
      </c>
      <c r="J987" s="76" t="n">
        <v>777.9945300000001</v>
      </c>
      <c r="L987" s="77" t="n"/>
      <c r="M987" s="77" t="n"/>
    </row>
    <row r="988" customFormat="1" s="69">
      <c r="B988" s="92" t="n"/>
      <c r="C988" s="93" t="n"/>
      <c r="D988" s="495">
        <f>IF(C988="","",C988/(C988+$E$1/60))</f>
        <v/>
      </c>
      <c r="E988" s="95">
        <f>IFERROR(ROUND(1440/C988*2*D988,0),"")</f>
        <v/>
      </c>
      <c r="F988" s="96" t="n"/>
      <c r="G988" s="97" t="n"/>
      <c r="H988" s="74" t="n"/>
      <c r="I988" s="75" t="inlineStr">
        <is>
          <t>ID11R22.5-16PR(148/145L)[CM958]威狮无内</t>
        </is>
      </c>
      <c r="J988" s="76" t="n">
        <v>822.0734179999999</v>
      </c>
      <c r="L988" s="77" t="n"/>
      <c r="M988" s="77" t="n"/>
    </row>
    <row r="989" customFormat="1" s="69">
      <c r="B989" s="92" t="n"/>
      <c r="C989" s="93" t="n"/>
      <c r="D989" s="495">
        <f>IF(C989="","",C989/(C989+$E$1/60))</f>
        <v/>
      </c>
      <c r="E989" s="95">
        <f>IFERROR(ROUND(1440/C989*2*D989,0),"")</f>
        <v/>
      </c>
      <c r="F989" s="96" t="n"/>
      <c r="G989" s="97" t="n"/>
      <c r="H989" s="74" t="n"/>
      <c r="I989" s="75" t="inlineStr">
        <is>
          <t>ID255/70R22.5-16PR(140/137M)[HF1 Plus]SUPERMAX无内</t>
        </is>
      </c>
      <c r="J989" s="76" t="n">
        <v>612.861635</v>
      </c>
      <c r="L989" s="77" t="n"/>
      <c r="M989" s="77" t="n"/>
    </row>
    <row r="990" customFormat="1" s="69">
      <c r="B990" s="92" t="n"/>
      <c r="C990" s="93" t="n"/>
      <c r="D990" s="495">
        <f>IF(C990="","",C990/(C990+$E$1/60))</f>
        <v/>
      </c>
      <c r="E990" s="95">
        <f>IFERROR(ROUND(1440/C990*2*D990,0),"")</f>
        <v/>
      </c>
      <c r="F990" s="96" t="n"/>
      <c r="G990" s="97" t="n"/>
      <c r="H990" s="74" t="n"/>
      <c r="I990" s="75" t="inlineStr">
        <is>
          <t>ID12.00R24-20PR(160/157C)[TZ101 PRO]TIANLI</t>
        </is>
      </c>
      <c r="J990" s="76" t="n">
        <v>1297.221784</v>
      </c>
      <c r="L990" s="77" t="n"/>
      <c r="M990" s="77" t="n"/>
    </row>
    <row r="991" customFormat="1" s="69">
      <c r="B991" s="92" t="n"/>
      <c r="C991" s="93" t="n"/>
      <c r="D991" s="495">
        <f>IF(C991="","",C991/(C991+$E$1/60))</f>
        <v/>
      </c>
      <c r="E991" s="95">
        <f>IFERROR(ROUND(1440/C991*2*D991,0),"")</f>
        <v/>
      </c>
      <c r="F991" s="96" t="n"/>
      <c r="G991" s="97" t="n"/>
      <c r="H991" s="74" t="n"/>
      <c r="I991" s="75" t="inlineStr">
        <is>
          <t>ID275/80R22.5-16PR(149/146M)[AZ179]力奔无内</t>
        </is>
      </c>
      <c r="J991" s="76" t="n">
        <v>700.420172</v>
      </c>
      <c r="L991" s="77" t="n"/>
      <c r="M991" s="77" t="n"/>
    </row>
    <row r="992" customFormat="1" s="69">
      <c r="B992" s="92" t="n"/>
      <c r="C992" s="93" t="n"/>
      <c r="D992" s="495">
        <f>IF(C992="","",C992/(C992+$E$1/60))</f>
        <v/>
      </c>
      <c r="E992" s="95">
        <f>IFERROR(ROUND(1440/C992*2*D992,0),"")</f>
        <v/>
      </c>
      <c r="F992" s="96" t="n"/>
      <c r="G992" s="97" t="n"/>
      <c r="H992" s="74" t="n"/>
      <c r="I992" s="75" t="inlineStr">
        <is>
          <t>ID275/80R22.5-16PR(149/146M)[AT196]金冠无内</t>
        </is>
      </c>
      <c r="J992" s="76" t="n">
        <v>728.447219</v>
      </c>
      <c r="L992" s="77" t="n"/>
      <c r="M992" s="77" t="n"/>
    </row>
    <row r="993" customFormat="1" s="69">
      <c r="B993" s="92" t="n"/>
      <c r="C993" s="93" t="n"/>
      <c r="D993" s="495">
        <f>IF(C993="","",C993/(C993+$E$1/60))</f>
        <v/>
      </c>
      <c r="E993" s="95">
        <f>IFERROR(ROUND(1440/C993*2*D993,0),"")</f>
        <v/>
      </c>
      <c r="F993" s="96" t="n"/>
      <c r="G993" s="97" t="n"/>
      <c r="H993" s="74" t="n"/>
      <c r="I993" s="75" t="inlineStr">
        <is>
          <t>ID325/95R24-22PR(162/160K)[CM913A]DIDAR无内</t>
        </is>
      </c>
      <c r="J993" s="76" t="n">
        <v>1162.194284</v>
      </c>
      <c r="L993" s="77" t="n"/>
      <c r="M993" s="77" t="n"/>
    </row>
    <row r="994" customFormat="1" s="69">
      <c r="B994" s="92" t="n"/>
      <c r="C994" s="93" t="n"/>
      <c r="D994" s="495">
        <f>IF(C994="","",C994/(C994+$E$1/60))</f>
        <v/>
      </c>
      <c r="E994" s="95">
        <f>IFERROR(ROUND(1440/C994*2*D994,0),"")</f>
        <v/>
      </c>
      <c r="F994" s="96" t="n"/>
      <c r="G994" s="97" t="n"/>
      <c r="H994" s="74" t="n"/>
      <c r="I994" s="75" t="inlineStr">
        <is>
          <t>IDST215/75R14-6PR[ST100]102/98M ARISUN无内</t>
        </is>
      </c>
      <c r="J994" s="76" t="n">
        <v>151.011476</v>
      </c>
      <c r="L994" s="77" t="n"/>
      <c r="M994" s="77" t="n"/>
    </row>
    <row r="995" customFormat="1" s="69">
      <c r="B995" s="92" t="n"/>
      <c r="C995" s="93" t="n"/>
      <c r="D995" s="495">
        <f>IF(C995="","",C995/(C995+$E$1/60))</f>
        <v/>
      </c>
      <c r="E995" s="95">
        <f>IFERROR(ROUND(1440/C995*2*D995,0),"")</f>
        <v/>
      </c>
      <c r="F995" s="96" t="n"/>
      <c r="G995" s="97" t="n"/>
      <c r="H995" s="74" t="n"/>
      <c r="I995" s="75" t="inlineStr">
        <is>
          <t>IDST215/75R14-6PR[ST-100A]102/98M ARISUN无内</t>
        </is>
      </c>
      <c r="J995" s="76" t="n">
        <v>140.00588</v>
      </c>
      <c r="L995" s="77" t="n"/>
      <c r="M995" s="77" t="n"/>
    </row>
    <row r="996" customFormat="1" s="69">
      <c r="B996" s="92" t="n"/>
      <c r="C996" s="93" t="n"/>
      <c r="D996" s="495">
        <f>IF(C996="","",C996/(C996+$E$1/60))</f>
        <v/>
      </c>
      <c r="E996" s="95">
        <f>IFERROR(ROUND(1440/C996*2*D996,0),"")</f>
        <v/>
      </c>
      <c r="F996" s="96" t="n"/>
      <c r="G996" s="97" t="n"/>
      <c r="H996" s="74" t="n"/>
      <c r="I996" s="75" t="inlineStr">
        <is>
          <t>ID(D105005)90/90-14-4P[H-999-A]46P GOLDEN CROWN 纳米高抓 TL E4-75R-0014568</t>
        </is>
      </c>
      <c r="J996" s="76" t="n">
        <v>46.698456</v>
      </c>
      <c r="L996" s="77" t="n"/>
      <c r="M996" s="77" t="n"/>
    </row>
    <row r="997" customFormat="1" s="69">
      <c r="B997" s="92" t="n"/>
      <c r="C997" s="93" t="n"/>
      <c r="D997" s="495">
        <f>IF(C997="","",C997/(C997+$E$1/60))</f>
        <v/>
      </c>
      <c r="E997" s="95">
        <f>IFERROR(ROUND(1440/C997*2*D997,0),"")</f>
        <v/>
      </c>
      <c r="F997" s="96" t="n"/>
      <c r="G997" s="97" t="n"/>
      <c r="H997" s="74" t="n"/>
      <c r="I997" s="75" t="inlineStr">
        <is>
          <t>ID5.70-8-8PR[SU201]83M HI-RUN无内</t>
        </is>
      </c>
      <c r="J997" s="76" t="n">
        <v>66.588711</v>
      </c>
      <c r="L997" s="77" t="n"/>
      <c r="M997" s="77" t="n"/>
    </row>
    <row r="998" customFormat="1" s="69">
      <c r="B998" s="92" t="n"/>
      <c r="C998" s="93" t="n"/>
      <c r="D998" s="495">
        <f>IF(C998="","",C998/(C998+$E$1/60))</f>
        <v/>
      </c>
      <c r="E998" s="95">
        <f>IFERROR(ROUND(1440/C998*2*D998,0),"")</f>
        <v/>
      </c>
      <c r="F998" s="96" t="n"/>
      <c r="G998" s="97" t="n"/>
      <c r="H998" s="74" t="n"/>
      <c r="I998" s="75" t="inlineStr">
        <is>
          <t>ID10.00R20-18PR(149/146K)[SUPER AM S]TECHKING</t>
        </is>
      </c>
      <c r="J998" s="76" t="n">
        <v>927.308633</v>
      </c>
      <c r="L998" s="77" t="n"/>
      <c r="M998" s="77" t="n"/>
    </row>
    <row r="999" customFormat="1" s="69">
      <c r="B999" s="92" t="n"/>
      <c r="C999" s="93" t="n"/>
      <c r="D999" s="495">
        <f>IF(C999="","",C999/(C999+$E$1/60))</f>
        <v/>
      </c>
      <c r="E999" s="95">
        <f>IFERROR(ROUND(1440/C999*2*D999,0),"")</f>
        <v/>
      </c>
      <c r="F999" s="96" t="n"/>
      <c r="G999" s="97" t="n"/>
      <c r="H999" s="74" t="n"/>
      <c r="I999" s="75" t="inlineStr">
        <is>
          <t>ID295/75R22.5-14PR(144/141L)[DA25]威狮无内</t>
        </is>
      </c>
      <c r="J999" s="76" t="n">
        <v>854.918367</v>
      </c>
      <c r="L999" s="77" t="n"/>
      <c r="M999" s="77" t="n"/>
    </row>
    <row r="1000" customFormat="1" s="69">
      <c r="B1000" s="92" t="n"/>
      <c r="C1000" s="93" t="n"/>
      <c r="D1000" s="495">
        <f>IF(C1000="","",C1000/(C1000+$E$1/60))</f>
        <v/>
      </c>
      <c r="E1000" s="95">
        <f>IFERROR(ROUND(1440/C1000*2*D1000,0),"")</f>
        <v/>
      </c>
      <c r="F1000" s="96" t="n"/>
      <c r="G1000" s="97" t="n"/>
      <c r="H1000" s="74" t="n"/>
      <c r="I1000" s="75" t="inlineStr">
        <is>
          <t>ID295/75R22.5-14PR(144/141L)[Strong Guard H-RD]HERCULES无内</t>
        </is>
      </c>
      <c r="J1000" s="76" t="n">
        <v>781.763117</v>
      </c>
      <c r="L1000" s="77" t="n"/>
      <c r="M1000" s="77" t="n"/>
    </row>
    <row r="1001" customFormat="1" s="69">
      <c r="B1001" s="92" t="n"/>
      <c r="C1001" s="93" t="n"/>
      <c r="D1001" s="495">
        <f>IF(C1001="","",C1001/(C1001+$E$1/60))</f>
        <v/>
      </c>
      <c r="E1001" s="95">
        <f>IFERROR(ROUND(1440/C1001*2*D1001,0),"")</f>
        <v/>
      </c>
      <c r="F1001" s="96" t="n"/>
      <c r="G1001" s="97" t="n"/>
      <c r="H1001" s="74" t="n"/>
      <c r="I1001" s="75" t="inlineStr">
        <is>
          <t>ID11R24.5-16PR(149/146L)[AZ599]威狮无内</t>
        </is>
      </c>
      <c r="J1001" s="76" t="n">
        <v>795.46412</v>
      </c>
      <c r="L1001" s="77" t="n"/>
      <c r="M1001" s="77" t="n"/>
    </row>
    <row r="1002" customFormat="1" s="69">
      <c r="B1002" s="92" t="n"/>
      <c r="C1002" s="93" t="n"/>
      <c r="D1002" s="495">
        <f>IF(C1002="","",C1002/(C1002+$E$1/60))</f>
        <v/>
      </c>
      <c r="E1002" s="95">
        <f>IFERROR(ROUND(1440/C1002*2*D1002,0),"")</f>
        <v/>
      </c>
      <c r="F1002" s="96" t="n"/>
      <c r="G1002" s="97" t="n"/>
      <c r="H1002" s="74" t="n"/>
      <c r="I1002" s="75" t="inlineStr">
        <is>
          <t>ID11R22.5-16PR(146/143M)[AT167]金冠无内 美国</t>
        </is>
      </c>
      <c r="J1002" s="76" t="n">
        <v>700.053553</v>
      </c>
      <c r="L1002" s="77" t="n"/>
      <c r="M1002" s="77" t="n"/>
    </row>
    <row r="1003" customFormat="1" s="69">
      <c r="B1003" s="92" t="n"/>
      <c r="C1003" s="93" t="n"/>
      <c r="D1003" s="495">
        <f>IF(C1003="","",C1003/(C1003+$E$1/60))</f>
        <v/>
      </c>
      <c r="E1003" s="95">
        <f>IFERROR(ROUND(1440/C1003*2*D1003,0),"")</f>
        <v/>
      </c>
      <c r="F1003" s="96" t="n"/>
      <c r="G1003" s="97" t="n"/>
      <c r="H1003" s="74" t="n"/>
      <c r="I1003" s="75" t="inlineStr">
        <is>
          <t>ID11R22.5-16PR(146/143J)[VDM924]VITOUR无内</t>
        </is>
      </c>
      <c r="J1003" s="76" t="n">
        <v>855.553658</v>
      </c>
      <c r="L1003" s="77" t="n"/>
      <c r="M1003" s="77" t="n"/>
    </row>
    <row r="1004" customFormat="1" s="69">
      <c r="B1004" s="92" t="n"/>
      <c r="C1004" s="93" t="n"/>
      <c r="D1004" s="495">
        <f>IF(C1004="","",C1004/(C1004+$E$1/60))</f>
        <v/>
      </c>
      <c r="E1004" s="95">
        <f>IFERROR(ROUND(1440/C1004*2*D1004,0),"")</f>
        <v/>
      </c>
      <c r="F1004" s="96" t="n"/>
      <c r="G1004" s="97" t="n"/>
      <c r="H1004" s="74" t="n"/>
      <c r="I1004" s="75" t="inlineStr">
        <is>
          <t>ID11R22.5-16PR(148/145L)[CM980]威狮无内</t>
        </is>
      </c>
      <c r="J1004" s="76" t="n">
        <v>812.3276519999999</v>
      </c>
      <c r="L1004" s="77" t="n"/>
      <c r="M1004" s="77" t="n"/>
    </row>
    <row r="1005" customFormat="1" s="69">
      <c r="B1005" s="92" t="n"/>
      <c r="C1005" s="93" t="n"/>
      <c r="D1005" s="495">
        <f>IF(C1005="","",C1005/(C1005+$E$1/60))</f>
        <v/>
      </c>
      <c r="E1005" s="95">
        <f>IFERROR(ROUND(1440/C1005*2*D1005,0),"")</f>
        <v/>
      </c>
      <c r="F1005" s="96" t="n"/>
      <c r="G1005" s="97" t="n"/>
      <c r="H1005" s="74" t="n"/>
      <c r="I1005" s="75" t="inlineStr">
        <is>
          <t>ID11R22.5-16PR(148/145L)[DA25]威狮无内</t>
        </is>
      </c>
      <c r="J1005" s="76" t="n">
        <v>889.55154</v>
      </c>
      <c r="L1005" s="77" t="n"/>
      <c r="M1005" s="77" t="n"/>
    </row>
    <row r="1006" customFormat="1" s="69">
      <c r="B1006" s="92" t="n"/>
      <c r="C1006" s="93" t="n"/>
      <c r="D1006" s="495">
        <f>IF(C1006="","",C1006/(C1006+$E$1/60))</f>
        <v/>
      </c>
      <c r="E1006" s="95">
        <f>IFERROR(ROUND(1440/C1006*2*D1006,0),"")</f>
        <v/>
      </c>
      <c r="F1006" s="96" t="n"/>
      <c r="G1006" s="97" t="n"/>
      <c r="H1006" s="74" t="n"/>
      <c r="I1006" s="75" t="inlineStr">
        <is>
          <t>ID235/75R17.5-16PR(143/141J)[CM986]朝阳无内</t>
        </is>
      </c>
      <c r="J1006" s="76" t="n">
        <v>442.068691</v>
      </c>
      <c r="L1006" s="77" t="n"/>
      <c r="M1006" s="77" t="n"/>
    </row>
    <row r="1007" customFormat="1" s="69">
      <c r="B1007" s="92" t="n"/>
      <c r="C1007" s="93" t="n"/>
      <c r="D1007" s="495">
        <f>IF(C1007="","",C1007/(C1007+$E$1/60))</f>
        <v/>
      </c>
      <c r="E1007" s="95">
        <f>IFERROR(ROUND(1440/C1007*2*D1007,0),"")</f>
        <v/>
      </c>
      <c r="F1007" s="96" t="n"/>
      <c r="G1007" s="97" t="n"/>
      <c r="H1007" s="74" t="n"/>
      <c r="I1007" s="75" t="inlineStr">
        <is>
          <t>ID12.00R20-20PR(156/153J)[AZ850]朝阳</t>
        </is>
      </c>
      <c r="J1007" s="76" t="n">
        <v>1166.213754</v>
      </c>
      <c r="L1007" s="77" t="n"/>
      <c r="M1007" s="77" t="n"/>
    </row>
    <row r="1008" customFormat="1" s="69">
      <c r="B1008" s="92" t="n"/>
      <c r="C1008" s="93" t="n"/>
      <c r="D1008" s="495">
        <f>IF(C1008="","",C1008/(C1008+$E$1/60))</f>
        <v/>
      </c>
      <c r="E1008" s="95">
        <f>IFERROR(ROUND(1440/C1008*2*D1008,0),"")</f>
        <v/>
      </c>
      <c r="F1008" s="96" t="n"/>
      <c r="G1008" s="97" t="n"/>
      <c r="H1008" s="74" t="n"/>
      <c r="I1008" s="75" t="inlineStr">
        <is>
          <t>ID315/80R22.5-20PR(157/154K)[AZ599]朝阳无内</t>
        </is>
      </c>
      <c r="J1008" s="76" t="n">
        <v>922.626107</v>
      </c>
      <c r="L1008" s="77" t="n"/>
      <c r="M1008" s="77" t="n"/>
    </row>
    <row r="1009" customFormat="1" s="69">
      <c r="B1009" s="92" t="n"/>
      <c r="C1009" s="93" t="n"/>
      <c r="D1009" s="495">
        <f>IF(C1009="","",C1009/(C1009+$E$1/60))</f>
        <v/>
      </c>
      <c r="E1009" s="95">
        <f>IFERROR(ROUND(1440/C1009*2*D1009,0),"")</f>
        <v/>
      </c>
      <c r="F1009" s="96" t="n"/>
      <c r="G1009" s="97" t="n"/>
      <c r="H1009" s="74" t="n"/>
      <c r="I1009" s="75" t="inlineStr">
        <is>
          <t>ID295/75R22.5-14PR(144/141M)[SL11]威狮无内</t>
        </is>
      </c>
      <c r="J1009" s="76" t="n">
        <v>792.766428</v>
      </c>
      <c r="L1009" s="77" t="n"/>
      <c r="M1009" s="77" t="n"/>
    </row>
    <row r="1010" customFormat="1" s="69">
      <c r="B1010" s="92" t="n"/>
      <c r="C1010" s="93" t="n"/>
      <c r="D1010" s="495">
        <f>IF(C1010="","",C1010/(C1010+$E$1/60))</f>
        <v/>
      </c>
      <c r="E1010" s="95">
        <f>IFERROR(ROUND(1440/C1010*2*D1010,0),"")</f>
        <v/>
      </c>
      <c r="F1010" s="96" t="n"/>
      <c r="G1010" s="97" t="n"/>
      <c r="H1010" s="74" t="n"/>
      <c r="I1010" s="75" t="inlineStr">
        <is>
          <t>ID245/70R19.5-16PR(136/134M)[AS673]ARISUN无内</t>
        </is>
      </c>
      <c r="J1010" s="76" t="n">
        <v>515.652674</v>
      </c>
      <c r="L1010" s="77" t="n"/>
      <c r="M1010" s="77" t="n"/>
    </row>
    <row r="1011" customFormat="1" s="69">
      <c r="B1011" s="92" t="n"/>
      <c r="C1011" s="93" t="n"/>
      <c r="D1011" s="495">
        <f>IF(C1011="","",C1011/(C1011+$E$1/60))</f>
        <v/>
      </c>
      <c r="E1011" s="95">
        <f>IFERROR(ROUND(1440/C1011*2*D1011,0),"")</f>
        <v/>
      </c>
      <c r="F1011" s="96" t="n"/>
      <c r="G1011" s="97" t="n"/>
      <c r="H1011" s="74" t="n"/>
      <c r="I1011" s="75" t="inlineStr">
        <is>
          <t>ID225/70R19.5-14PR(128/126M)[AD778]ARISUN无内</t>
        </is>
      </c>
      <c r="J1011" s="76" t="n">
        <v>462.040385</v>
      </c>
      <c r="L1011" s="77" t="n"/>
      <c r="M1011" s="77" t="n"/>
    </row>
    <row r="1012" customFormat="1" s="69">
      <c r="B1012" s="92" t="n"/>
      <c r="C1012" s="93" t="n"/>
      <c r="D1012" s="495">
        <f>IF(C1012="","",C1012/(C1012+$E$1/60))</f>
        <v/>
      </c>
      <c r="E1012" s="95">
        <f>IFERROR(ROUND(1440/C1012*2*D1012,0),"")</f>
        <v/>
      </c>
      <c r="F1012" s="96" t="n"/>
      <c r="G1012" s="97" t="n"/>
      <c r="H1012" s="74" t="n"/>
      <c r="I1012" s="75" t="inlineStr">
        <is>
          <t>ID12R22.5-20PR(154/151L)[AS898H]威狮无内</t>
        </is>
      </c>
      <c r="J1012" s="76" t="n">
        <v>1033.988011</v>
      </c>
      <c r="L1012" s="77" t="n"/>
      <c r="M1012" s="77" t="n"/>
    </row>
    <row r="1013" customFormat="1" s="69">
      <c r="B1013" s="92" t="n"/>
      <c r="C1013" s="93" t="n"/>
      <c r="D1013" s="495">
        <f>IF(C1013="","",C1013/(C1013+$E$1/60))</f>
        <v/>
      </c>
      <c r="E1013" s="95">
        <f>IFERROR(ROUND(1440/C1013*2*D1013,0),"")</f>
        <v/>
      </c>
      <c r="F1013" s="96" t="n"/>
      <c r="G1013" s="97" t="n"/>
      <c r="H1013" s="74" t="n"/>
      <c r="I1013" s="75" t="inlineStr">
        <is>
          <t>ID12R22.5-20PR(154/151F)[EZ870]雅度无内</t>
        </is>
      </c>
      <c r="J1013" s="76" t="n">
        <v>1088.165508</v>
      </c>
      <c r="L1013" s="77" t="n"/>
      <c r="M1013" s="77" t="n"/>
    </row>
    <row r="1014" customFormat="1" s="69">
      <c r="B1014" s="92" t="n"/>
      <c r="C1014" s="93" t="n"/>
      <c r="D1014" s="495">
        <f>IF(C1014="","",C1014/(C1014+$E$1/60))</f>
        <v/>
      </c>
      <c r="E1014" s="95">
        <f>IFERROR(ROUND(1440/C1014*2*D1014,0),"")</f>
        <v/>
      </c>
      <c r="F1014" s="96" t="n"/>
      <c r="G1014" s="97" t="n"/>
      <c r="H1014" s="74" t="n"/>
      <c r="I1014" s="75" t="inlineStr">
        <is>
          <t>ID11R24.5-16PR(149/146L)[AS678]朝阳无内</t>
        </is>
      </c>
      <c r="J1014" s="76" t="n">
        <v>796.990899</v>
      </c>
      <c r="L1014" s="77" t="n"/>
      <c r="M1014" s="77" t="n"/>
    </row>
    <row r="1015" customFormat="1" s="69">
      <c r="B1015" s="92" t="n"/>
      <c r="C1015" s="93" t="n"/>
      <c r="D1015" s="495">
        <f>IF(C1015="","",C1015/(C1015+$E$1/60))</f>
        <v/>
      </c>
      <c r="E1015" s="95">
        <f>IFERROR(ROUND(1440/C1015*2*D1015,0),"")</f>
        <v/>
      </c>
      <c r="F1015" s="96" t="n"/>
      <c r="G1015" s="97" t="n"/>
      <c r="H1015" s="74" t="n"/>
      <c r="I1015" s="75" t="inlineStr">
        <is>
          <t>ID11R24.5-16PR(149/146L)[ZM41]威狮无内</t>
        </is>
      </c>
      <c r="J1015" s="76" t="n">
        <v>897.110048</v>
      </c>
      <c r="L1015" s="77" t="n"/>
      <c r="M1015" s="77" t="n"/>
    </row>
    <row r="1016" customFormat="1" s="69">
      <c r="B1016" s="92" t="n"/>
      <c r="C1016" s="93" t="n"/>
      <c r="D1016" s="495">
        <f>IF(C1016="","",C1016/(C1016+$E$1/60))</f>
        <v/>
      </c>
      <c r="E1016" s="95">
        <f>IFERROR(ROUND(1440/C1016*2*D1016,0),"")</f>
        <v/>
      </c>
      <c r="F1016" s="96" t="n"/>
      <c r="G1016" s="97" t="n"/>
      <c r="H1016" s="74" t="n"/>
      <c r="I1016" s="75" t="inlineStr">
        <is>
          <t>ID11R24.5-16PR(149/146L)[ZA12]威狮无内</t>
        </is>
      </c>
      <c r="J1016" s="76" t="n">
        <v>883.633537</v>
      </c>
      <c r="L1016" s="77" t="n"/>
      <c r="M1016" s="77" t="n"/>
    </row>
    <row r="1017" customFormat="1" s="69">
      <c r="B1017" s="92" t="n"/>
      <c r="C1017" s="93" t="n"/>
      <c r="D1017" s="495">
        <f>IF(C1017="","",C1017/(C1017+$E$1/60))</f>
        <v/>
      </c>
      <c r="E1017" s="95">
        <f>IFERROR(ROUND(1440/C1017*2*D1017,0),"")</f>
        <v/>
      </c>
      <c r="F1017" s="96" t="n"/>
      <c r="G1017" s="97" t="n"/>
      <c r="H1017" s="74" t="n"/>
      <c r="I1017" s="75" t="inlineStr">
        <is>
          <t>ID11R22.5-16PR(148/145M)[TL31]威狮无内</t>
        </is>
      </c>
      <c r="J1017" s="76" t="n">
        <v>690.932543</v>
      </c>
      <c r="L1017" s="77" t="n"/>
      <c r="M1017" s="77" t="n"/>
    </row>
    <row r="1018" customFormat="1" s="69">
      <c r="B1018" s="92" t="n"/>
      <c r="C1018" s="93" t="n"/>
      <c r="D1018" s="495">
        <f>IF(C1018="","",C1018/(C1018+$E$1/60))</f>
        <v/>
      </c>
      <c r="E1018" s="95">
        <f>IFERROR(ROUND(1440/C1018*2*D1018,0),"")</f>
        <v/>
      </c>
      <c r="F1018" s="96" t="n"/>
      <c r="G1018" s="97" t="n"/>
      <c r="H1018" s="74" t="n"/>
      <c r="I1018" s="75" t="inlineStr">
        <is>
          <t>ID11R22.5-16PR(146/143L)[AS678]威狮无内</t>
        </is>
      </c>
      <c r="J1018" s="76" t="n">
        <v>744.879503</v>
      </c>
      <c r="L1018" s="77" t="n"/>
      <c r="M1018" s="77" t="n"/>
    </row>
    <row r="1019" customFormat="1" s="69">
      <c r="B1019" s="92" t="n"/>
      <c r="C1019" s="93" t="n"/>
      <c r="D1019" s="495">
        <f>IF(C1019="","",C1019/(C1019+$E$1/60))</f>
        <v/>
      </c>
      <c r="E1019" s="95">
        <f>IFERROR(ROUND(1440/C1019*2*D1019,0),"")</f>
        <v/>
      </c>
      <c r="F1019" s="96" t="n"/>
      <c r="G1019" s="97" t="n"/>
      <c r="H1019" s="74" t="n"/>
      <c r="I1019" s="75" t="inlineStr">
        <is>
          <t>ID11R22.5-16PR(148/145L)[ZM41]威狮无内</t>
        </is>
      </c>
      <c r="J1019" s="76" t="n">
        <v>844.472822</v>
      </c>
      <c r="L1019" s="77" t="n"/>
      <c r="M1019" s="77" t="n"/>
    </row>
    <row r="1020" customFormat="1" s="69">
      <c r="B1020" s="92" t="n"/>
      <c r="C1020" s="93" t="n"/>
      <c r="D1020" s="495">
        <f>IF(C1020="","",C1020/(C1020+$E$1/60))</f>
        <v/>
      </c>
      <c r="E1020" s="95">
        <f>IFERROR(ROUND(1440/C1020*2*D1020,0),"")</f>
        <v/>
      </c>
      <c r="F1020" s="96" t="n"/>
      <c r="G1020" s="97" t="n"/>
      <c r="H1020" s="74" t="n"/>
      <c r="I1020" s="75" t="inlineStr">
        <is>
          <t>ID11R22.5-16PR(148/145L)[ZA12]威狮无内</t>
        </is>
      </c>
      <c r="J1020" s="76" t="n">
        <v>817.703166</v>
      </c>
      <c r="L1020" s="77" t="n"/>
      <c r="M1020" s="77" t="n"/>
    </row>
    <row r="1021" customFormat="1" s="69">
      <c r="B1021" s="92" t="n"/>
      <c r="C1021" s="93" t="n"/>
      <c r="D1021" s="495">
        <f>IF(C1021="","",C1021/(C1021+$E$1/60))</f>
        <v/>
      </c>
      <c r="E1021" s="95">
        <f>IFERROR(ROUND(1440/C1021*2*D1021,0),"")</f>
        <v/>
      </c>
      <c r="F1021" s="96" t="n"/>
      <c r="G1021" s="97" t="n"/>
      <c r="H1021" s="74" t="n"/>
      <c r="I1021" s="75" t="inlineStr">
        <is>
          <t>ID385/65R22.5-20PR(160K)[ZM42]威狮无内</t>
        </is>
      </c>
      <c r="J1021" s="76" t="n">
        <v>1087.267801</v>
      </c>
      <c r="L1021" s="77" t="n"/>
      <c r="M1021" s="77" t="n"/>
    </row>
    <row r="1022" customFormat="1" s="69">
      <c r="B1022" s="92" t="n"/>
      <c r="C1022" s="93" t="n"/>
      <c r="D1022" s="495">
        <f>IF(C1022="","",C1022/(C1022+$E$1/60))</f>
        <v/>
      </c>
      <c r="E1022" s="95">
        <f>IFERROR(ROUND(1440/C1022*2*D1022,0),"")</f>
        <v/>
      </c>
      <c r="F1022" s="96" t="n"/>
      <c r="G1022" s="97" t="n"/>
      <c r="H1022" s="74" t="n"/>
      <c r="I1022" s="75" t="inlineStr">
        <is>
          <t>ID12.00R24-20PR(160/157F)[EZ309]威狮</t>
        </is>
      </c>
      <c r="J1022" s="76" t="n">
        <v>1126.342031</v>
      </c>
      <c r="L1022" s="77" t="n"/>
      <c r="M1022" s="77" t="n"/>
    </row>
    <row r="1023" customFormat="1" s="69">
      <c r="B1023" s="92" t="n"/>
      <c r="C1023" s="93" t="n"/>
      <c r="D1023" s="495">
        <f>IF(C1023="","",C1023/(C1023+$E$1/60))</f>
        <v/>
      </c>
      <c r="E1023" s="95">
        <f>IFERROR(ROUND(1440/C1023*2*D1023,0),"")</f>
        <v/>
      </c>
      <c r="F1023" s="96" t="n"/>
      <c r="G1023" s="97" t="n"/>
      <c r="H1023" s="74" t="n"/>
      <c r="I1023" s="75" t="inlineStr">
        <is>
          <t>ID265/70R19.5-18PR(143/141J)[ZA15]威狮无内</t>
        </is>
      </c>
      <c r="J1023" s="76" t="n">
        <v>592.952998</v>
      </c>
      <c r="L1023" s="77" t="n"/>
      <c r="M1023" s="77" t="n"/>
    </row>
    <row r="1024" customFormat="1" s="69">
      <c r="B1024" s="92" t="n"/>
      <c r="C1024" s="93" t="n"/>
      <c r="D1024" s="495">
        <f>IF(C1024="","",C1024/(C1024+$E$1/60))</f>
        <v/>
      </c>
      <c r="E1024" s="95">
        <f>IFERROR(ROUND(1440/C1024*2*D1024,0),"")</f>
        <v/>
      </c>
      <c r="F1024" s="96" t="n"/>
      <c r="G1024" s="97" t="n"/>
      <c r="H1024" s="74" t="n"/>
      <c r="I1024" s="75" t="inlineStr">
        <is>
          <t>ID265/70R19.5-18PR(143/141J)[DA24]威狮无内</t>
        </is>
      </c>
      <c r="J1024" s="76" t="n">
        <v>609.036275</v>
      </c>
      <c r="L1024" s="77" t="n"/>
      <c r="M1024" s="77" t="n"/>
    </row>
    <row r="1025" customFormat="1" s="69">
      <c r="B1025" s="92" t="n"/>
      <c r="C1025" s="93" t="n"/>
      <c r="D1025" s="495">
        <f>IF(C1025="","",C1025/(C1025+$E$1/60))</f>
        <v/>
      </c>
      <c r="E1025" s="95">
        <f>IFERROR(ROUND(1440/C1025*2*D1025,0),"")</f>
        <v/>
      </c>
      <c r="F1025" s="96" t="n"/>
      <c r="G1025" s="97" t="n"/>
      <c r="H1025" s="74" t="n"/>
      <c r="I1025" s="75" t="inlineStr">
        <is>
          <t>ID265/70R19.5-18PR(143/141J)[AZ599]威狮无内</t>
        </is>
      </c>
      <c r="J1025" s="76" t="n">
        <v>576.043704</v>
      </c>
      <c r="L1025" s="77" t="n"/>
      <c r="M1025" s="77" t="n"/>
    </row>
    <row r="1026" customFormat="1" s="69">
      <c r="B1026" s="92" t="n"/>
      <c r="C1026" s="93" t="n"/>
      <c r="D1026" s="495">
        <f>IF(C1026="","",C1026/(C1026+$E$1/60))</f>
        <v/>
      </c>
      <c r="E1026" s="95">
        <f>IFERROR(ROUND(1440/C1026*2*D1026,0),"")</f>
        <v/>
      </c>
      <c r="F1026" s="96" t="n"/>
      <c r="G1026" s="97" t="n"/>
      <c r="H1026" s="74" t="n"/>
      <c r="I1026" s="75" t="inlineStr">
        <is>
          <t>ID445/50R22.5-20PR(161L)[TL32]威狮无内</t>
        </is>
      </c>
      <c r="J1026" s="76" t="n">
        <v>1139.137249</v>
      </c>
      <c r="L1026" s="77" t="n"/>
      <c r="M1026" s="77" t="n"/>
    </row>
    <row r="1027" customFormat="1" s="69">
      <c r="B1027" s="92" t="n"/>
      <c r="C1027" s="93" t="n"/>
      <c r="D1027" s="495">
        <f>IF(C1027="","",C1027/(C1027+$E$1/60))</f>
        <v/>
      </c>
      <c r="E1027" s="95">
        <f>IFERROR(ROUND(1440/C1027*2*D1027,0),"")</f>
        <v/>
      </c>
      <c r="F1027" s="96" t="n"/>
      <c r="G1027" s="97" t="n"/>
      <c r="H1027" s="74" t="n"/>
      <c r="I1027" s="75" t="inlineStr">
        <is>
          <t>ID11.00-20-18PR[CR952]153/148G GOODRIDE(好运)</t>
        </is>
      </c>
      <c r="J1027" s="76" t="n">
        <v>848.030533</v>
      </c>
      <c r="L1027" s="77" t="n"/>
      <c r="M1027" s="77" t="n"/>
    </row>
    <row r="1028" customFormat="1" s="69">
      <c r="B1028" s="92" t="n"/>
      <c r="C1028" s="93" t="n"/>
      <c r="D1028" s="495">
        <f>IF(C1028="","",C1028/(C1028+$E$1/60))</f>
        <v/>
      </c>
      <c r="E1028" s="95">
        <f>IFERROR(ROUND(1440/C1028*2*D1028,0),"")</f>
        <v/>
      </c>
      <c r="F1028" s="96" t="n"/>
      <c r="G1028" s="97" t="n"/>
      <c r="H1028" s="74" t="n"/>
      <c r="I1028" s="75" t="inlineStr">
        <is>
          <t>ID11.00R20-20PR(154/151D)[AZ850]雅度 东南亚</t>
        </is>
      </c>
      <c r="J1028" s="76" t="n">
        <v>984.491094</v>
      </c>
      <c r="L1028" s="77" t="n"/>
      <c r="M1028" s="77" t="n"/>
    </row>
    <row r="1029" customFormat="1" s="69">
      <c r="B1029" s="92" t="n"/>
      <c r="C1029" s="93" t="n"/>
      <c r="D1029" s="495">
        <f>IF(C1029="","",C1029/(C1029+$E$1/60))</f>
        <v/>
      </c>
      <c r="E1029" s="95">
        <f>IFERROR(ROUND(1440/C1029*2*D1029,0),"")</f>
        <v/>
      </c>
      <c r="F1029" s="96" t="n"/>
      <c r="G1029" s="97" t="n"/>
      <c r="H1029" s="74" t="n"/>
      <c r="I1029" s="75" t="inlineStr">
        <is>
          <t>ID11R24.5-16PR(149/146L)[DL21]威狮无内</t>
        </is>
      </c>
      <c r="J1029" s="76" t="n">
        <v>959.100606</v>
      </c>
      <c r="L1029" s="77" t="n"/>
      <c r="M1029" s="77" t="n"/>
    </row>
    <row r="1030" customFormat="1" s="69">
      <c r="B1030" s="92" t="n"/>
      <c r="C1030" s="93" t="n"/>
      <c r="D1030" s="495">
        <f>IF(C1030="","",C1030/(C1030+$E$1/60))</f>
        <v/>
      </c>
      <c r="E1030" s="95">
        <f>IFERROR(ROUND(1440/C1030*2*D1030,0),"")</f>
        <v/>
      </c>
      <c r="F1030" s="96" t="n"/>
      <c r="G1030" s="97" t="n"/>
      <c r="H1030" s="74" t="n"/>
      <c r="I1030" s="75" t="inlineStr">
        <is>
          <t>IDST225/75R15-8PR[ST226]113/108L CASTLE ROCK无内 NR</t>
        </is>
      </c>
      <c r="J1030" s="76" t="n">
        <v>171.756746</v>
      </c>
      <c r="L1030" s="77" t="n"/>
      <c r="M1030" s="77" t="n"/>
    </row>
    <row r="1031" customFormat="1" s="69">
      <c r="B1031" s="92" t="n"/>
      <c r="C1031" s="93" t="n"/>
      <c r="D1031" s="495">
        <f>IF(C1031="","",C1031/(C1031+$E$1/60))</f>
        <v/>
      </c>
      <c r="E1031" s="95">
        <f>IFERROR(ROUND(1440/C1031*2*D1031,0),"")</f>
        <v/>
      </c>
      <c r="F1031" s="96" t="n"/>
      <c r="G1031" s="97" t="n"/>
      <c r="H1031" s="74" t="n"/>
      <c r="I1031" s="75" t="inlineStr">
        <is>
          <t>ID18.5x8.5-8-6PR[SU202]HI-RUN无内</t>
        </is>
      </c>
      <c r="J1031" s="76" t="n">
        <v>81.32222</v>
      </c>
      <c r="L1031" s="77" t="n"/>
      <c r="M1031" s="77" t="n"/>
    </row>
    <row r="1032" customFormat="1" s="69">
      <c r="B1032" s="92" t="n"/>
      <c r="C1032" s="93" t="n"/>
      <c r="D1032" s="495">
        <f>IF(C1032="","",C1032/(C1032+$E$1/60))</f>
        <v/>
      </c>
      <c r="E1032" s="95">
        <f>IFERROR(ROUND(1440/C1032*2*D1032,0),"")</f>
        <v/>
      </c>
      <c r="F1032" s="96" t="n"/>
      <c r="G1032" s="97" t="n"/>
      <c r="H1032" s="74" t="n"/>
      <c r="I1032" s="75" t="inlineStr">
        <is>
          <t>ID295/80R22.5-18PR(152/149M)[AS898]朝阳无内</t>
        </is>
      </c>
      <c r="J1032" s="76" t="n">
        <v>904.6390709999999</v>
      </c>
      <c r="L1032" s="77" t="n"/>
      <c r="M1032" s="77" t="n"/>
    </row>
    <row r="1033" customFormat="1" s="69">
      <c r="B1033" s="92" t="n"/>
      <c r="C1033" s="93" t="n"/>
      <c r="D1033" s="495">
        <f>IF(C1033="","",C1033/(C1033+$E$1/60))</f>
        <v/>
      </c>
      <c r="E1033" s="95">
        <f>IFERROR(ROUND(1440/C1033*2*D1033,0),"")</f>
        <v/>
      </c>
      <c r="F1033" s="96" t="n"/>
      <c r="G1033" s="97" t="n"/>
      <c r="H1033" s="74" t="n"/>
      <c r="I1033" s="75" t="inlineStr">
        <is>
          <t>ID275/80R22.5-16PR(149/146M)[AS678]GOODRIDE(好运)无内</t>
        </is>
      </c>
      <c r="J1033" s="76" t="n">
        <v>744.26884</v>
      </c>
      <c r="L1033" s="77" t="n"/>
      <c r="M1033" s="77" t="n"/>
    </row>
    <row r="1034" customFormat="1" s="69">
      <c r="B1034" s="92" t="n"/>
      <c r="C1034" s="93" t="n"/>
      <c r="D1034" s="495">
        <f>IF(C1034="","",C1034/(C1034+$E$1/60))</f>
        <v/>
      </c>
      <c r="E1034" s="95">
        <f>IFERROR(ROUND(1440/C1034*2*D1034,0),"")</f>
        <v/>
      </c>
      <c r="F1034" s="96" t="n"/>
      <c r="G1034" s="97" t="n"/>
      <c r="H1034" s="74" t="n"/>
      <c r="I1034" s="75" t="inlineStr">
        <is>
          <t>ID7.50-16中策垫带</t>
        </is>
      </c>
      <c r="J1034" s="76" t="n">
        <v>13.329428</v>
      </c>
      <c r="L1034" s="77" t="n"/>
      <c r="M1034" s="77" t="n"/>
    </row>
    <row r="1035" customFormat="1" s="69">
      <c r="B1035" s="92" t="n"/>
      <c r="C1035" s="93" t="n"/>
      <c r="D1035" s="495">
        <f>IF(C1035="","",C1035/(C1035+$E$1/60))</f>
        <v/>
      </c>
      <c r="E1035" s="95">
        <f>IFERROR(ROUND(1440/C1035*2*D1035,0),"")</f>
        <v/>
      </c>
      <c r="F1035" s="96" t="n"/>
      <c r="G1035" s="97" t="n"/>
      <c r="H1035" s="74" t="n"/>
      <c r="I1035" s="75" t="inlineStr">
        <is>
          <t>ID(G104003)90/90-12-4P[H-565-2]54P GOODRIDE 纳米高抓 TL 配套 E4-75R-0015058</t>
        </is>
      </c>
      <c r="J1035" s="76" t="n">
        <v>43.020047</v>
      </c>
      <c r="L1035" s="77" t="n"/>
      <c r="M1035" s="77" t="n"/>
    </row>
    <row r="1036" customFormat="1" s="69">
      <c r="B1036" s="92" t="n"/>
      <c r="C1036" s="93" t="n"/>
      <c r="D1036" s="495">
        <f>IF(C1036="","",C1036/(C1036+$E$1/60))</f>
        <v/>
      </c>
      <c r="E1036" s="95">
        <f>IFERROR(ROUND(1440/C1036*2*D1036,0),"")</f>
        <v/>
      </c>
      <c r="F1036" s="96" t="n"/>
      <c r="G1036" s="97" t="n"/>
      <c r="H1036" s="74" t="n"/>
      <c r="I1036" s="75" t="inlineStr">
        <is>
          <t>ID(LB1102)ATV 25×10R12/8[AR11]FREE COUNTRY TL BUFFALO</t>
        </is>
      </c>
      <c r="J1036" s="76" t="n">
        <v>184.509024</v>
      </c>
      <c r="L1036" s="77" t="n"/>
      <c r="M1036" s="77" t="n"/>
    </row>
    <row r="1037" customFormat="1" s="69">
      <c r="B1037" s="92" t="n"/>
      <c r="C1037" s="93" t="n"/>
      <c r="D1037" s="495">
        <f>IF(C1037="","",C1037/(C1037+$E$1/60))</f>
        <v/>
      </c>
      <c r="E1037" s="95">
        <f>IFERROR(ROUND(1440/C1037*2*D1037,0),"")</f>
        <v/>
      </c>
      <c r="F1037" s="96" t="n"/>
      <c r="G1037" s="97" t="n"/>
      <c r="H1037" s="74" t="n"/>
      <c r="I1037" s="75" t="inlineStr">
        <is>
          <t>ID(LB1101)ATV 25×8R12/8[AR11]FREE COUNTRY TL BUFFALO</t>
        </is>
      </c>
      <c r="J1037" s="76" t="n">
        <v>154.465213</v>
      </c>
      <c r="L1037" s="77" t="n"/>
      <c r="M1037" s="77" t="n"/>
    </row>
    <row r="1038" customFormat="1" s="69">
      <c r="B1038" s="92" t="n"/>
      <c r="C1038" s="93" t="n"/>
      <c r="D1038" s="495">
        <f>IF(C1038="","",C1038/(C1038+$E$1/60))</f>
        <v/>
      </c>
      <c r="E1038" s="95">
        <f>IFERROR(ROUND(1440/C1038*2*D1038,0),"")</f>
        <v/>
      </c>
      <c r="F1038" s="96" t="n"/>
      <c r="G1038" s="97" t="n"/>
      <c r="H1038" s="74" t="n"/>
      <c r="I1038" s="75" t="inlineStr">
        <is>
          <t>ID7.50-15-12PR[R8037]119/115J 威狮</t>
        </is>
      </c>
      <c r="J1038" s="76" t="n">
        <v>293.702591</v>
      </c>
      <c r="L1038" s="77" t="n"/>
      <c r="M1038" s="77" t="n"/>
    </row>
    <row r="1039" customFormat="1" s="69">
      <c r="B1039" s="92" t="n"/>
      <c r="C1039" s="93" t="n"/>
      <c r="D1039" s="495">
        <f>IF(C1039="","",C1039/(C1039+$E$1/60))</f>
        <v/>
      </c>
      <c r="E1039" s="95">
        <f>IFERROR(ROUND(1440/C1039*2*D1039,0),"")</f>
        <v/>
      </c>
      <c r="F1039" s="96" t="n"/>
      <c r="G1039" s="97" t="n"/>
      <c r="H1039" s="74" t="n"/>
      <c r="I1039" s="75" t="inlineStr">
        <is>
          <t>ID10.00R20-18PR(149/146J)[CR926]金冠</t>
        </is>
      </c>
      <c r="J1039" s="76" t="n">
        <v>902.417341</v>
      </c>
      <c r="L1039" s="77" t="n"/>
      <c r="M1039" s="77" t="n"/>
    </row>
    <row r="1040" customFormat="1" s="69">
      <c r="B1040" s="92" t="n"/>
      <c r="C1040" s="93" t="n"/>
      <c r="D1040" s="495">
        <f>IF(C1040="","",C1040/(C1040+$E$1/60))</f>
        <v/>
      </c>
      <c r="E1040" s="95">
        <f>IFERROR(ROUND(1440/C1040*2*D1040,0),"")</f>
        <v/>
      </c>
      <c r="F1040" s="96" t="n"/>
      <c r="G1040" s="97" t="n"/>
      <c r="H1040" s="74" t="n"/>
      <c r="I1040" s="75" t="inlineStr">
        <is>
          <t>ID295/75R22.5-16PR(146/143L)[M-TRAC AP]MASTERTRACK无内</t>
        </is>
      </c>
      <c r="J1040" s="76" t="n">
        <v>734.987792</v>
      </c>
      <c r="L1040" s="77" t="n"/>
      <c r="M1040" s="77" t="n"/>
    </row>
    <row r="1041" customFormat="1" s="69">
      <c r="B1041" s="92" t="n"/>
      <c r="C1041" s="93" t="n"/>
      <c r="D1041" s="495">
        <f>IF(C1041="","",C1041/(C1041+$E$1/60))</f>
        <v/>
      </c>
      <c r="E1041" s="95">
        <f>IFERROR(ROUND(1440/C1041*2*D1041,0),"")</f>
        <v/>
      </c>
      <c r="F1041" s="96" t="n"/>
      <c r="G1041" s="97" t="n"/>
      <c r="H1041" s="74" t="n"/>
      <c r="I1041" s="75" t="inlineStr">
        <is>
          <t>ID11R24.5-16PR(149/146L)[VD908]VITOUR无内</t>
        </is>
      </c>
      <c r="J1041" s="76" t="n">
        <v>936.642455</v>
      </c>
      <c r="L1041" s="77" t="n"/>
      <c r="M1041" s="77" t="n"/>
    </row>
    <row r="1042" customFormat="1" s="69">
      <c r="B1042" s="92" t="n"/>
      <c r="C1042" s="93" t="n"/>
      <c r="D1042" s="495">
        <f>IF(C1042="","",C1042/(C1042+$E$1/60))</f>
        <v/>
      </c>
      <c r="E1042" s="95">
        <f>IFERROR(ROUND(1440/C1042*2*D1042,0),"")</f>
        <v/>
      </c>
      <c r="F1042" s="96" t="n"/>
      <c r="G1042" s="97" t="n"/>
      <c r="H1042" s="74" t="n"/>
      <c r="I1042" s="75" t="inlineStr">
        <is>
          <t>ID11R22.5-16PR(146/143L)[HD2 Plus]SUPERMAX无内</t>
        </is>
      </c>
      <c r="J1042" s="76" t="n">
        <v>814.549526</v>
      </c>
      <c r="L1042" s="77" t="n"/>
      <c r="M1042" s="77" t="n"/>
    </row>
    <row r="1043" customFormat="1" s="69">
      <c r="B1043" s="92" t="n"/>
      <c r="C1043" s="93" t="n"/>
      <c r="D1043" s="495">
        <f>IF(C1043="","",C1043/(C1043+$E$1/60))</f>
        <v/>
      </c>
      <c r="E1043" s="95">
        <f>IFERROR(ROUND(1440/C1043*2*D1043,0),"")</f>
        <v/>
      </c>
      <c r="F1043" s="96" t="n"/>
      <c r="G1043" s="97" t="n"/>
      <c r="H1043" s="74" t="n"/>
      <c r="I1043" s="75" t="inlineStr">
        <is>
          <t>ID275/80R22.5-16PR(149/146M)[G-PRO MSD]C级GRIPMASTER无内</t>
        </is>
      </c>
      <c r="J1043" s="76" t="n">
        <v>814.024498</v>
      </c>
      <c r="L1043" s="77" t="n"/>
      <c r="M1043" s="77" t="n"/>
    </row>
    <row r="1044" customFormat="1" s="69">
      <c r="B1044" s="92" t="n"/>
      <c r="C1044" s="93" t="n"/>
      <c r="D1044" s="495">
        <f>IF(C1044="","",C1044/(C1044+$E$1/60))</f>
        <v/>
      </c>
      <c r="E1044" s="95">
        <f>IFERROR(ROUND(1440/C1044*2*D1044,0),"")</f>
        <v/>
      </c>
      <c r="F1044" s="96" t="n"/>
      <c r="G1044" s="97" t="n"/>
      <c r="H1044" s="74" t="n"/>
      <c r="I1044" s="75" t="inlineStr">
        <is>
          <t>ID325/95R24-22PR(162/160K)[AZ272]DIDAR无内</t>
        </is>
      </c>
      <c r="J1044" s="76" t="n">
        <v>1132.712448</v>
      </c>
      <c r="L1044" s="77" t="n"/>
      <c r="M1044" s="77" t="n"/>
    </row>
    <row r="1045" customFormat="1" s="69">
      <c r="B1045" s="92" t="n"/>
      <c r="C1045" s="93" t="n"/>
      <c r="D1045" s="495">
        <f>IF(C1045="","",C1045/(C1045+$E$1/60))</f>
        <v/>
      </c>
      <c r="E1045" s="95">
        <f>IFERROR(ROUND(1440/C1045*2*D1045,0),"")</f>
        <v/>
      </c>
      <c r="F1045" s="96" t="n"/>
      <c r="G1045" s="97" t="n"/>
      <c r="H1045" s="74" t="n"/>
      <c r="I1045" s="75" t="inlineStr">
        <is>
          <t>ID(LB1005)ATV 25×8-12/6[AR10]FREE COUNTRY TL BLACK ELK</t>
        </is>
      </c>
      <c r="J1045" s="76" t="n">
        <v>125.016283</v>
      </c>
      <c r="L1045" s="77" t="n"/>
      <c r="M1045" s="77" t="n"/>
    </row>
    <row r="1046" customFormat="1" s="69">
      <c r="B1046" s="92" t="n"/>
      <c r="C1046" s="93" t="n"/>
      <c r="D1046" s="495">
        <f>IF(C1046="","",C1046/(C1046+$E$1/60))</f>
        <v/>
      </c>
      <c r="E1046" s="95">
        <f>IFERROR(ROUND(1440/C1046*2*D1046,0),"")</f>
        <v/>
      </c>
      <c r="F1046" s="96" t="n"/>
      <c r="G1046" s="97" t="n"/>
      <c r="H1046" s="74" t="n"/>
      <c r="I1046" s="75" t="inlineStr">
        <is>
          <t>ID315/80R22.5-20PR(161/157K)[I-31M]IRONMAN无内</t>
        </is>
      </c>
      <c r="J1046" s="76" t="n">
        <v>970.318027</v>
      </c>
      <c r="L1046" s="77" t="n"/>
      <c r="M1046" s="77" t="n"/>
    </row>
    <row r="1047" customFormat="1" s="69">
      <c r="B1047" s="92" t="n"/>
      <c r="C1047" s="93" t="n"/>
      <c r="D1047" s="495">
        <f>IF(C1047="","",C1047/(C1047+$E$1/60))</f>
        <v/>
      </c>
      <c r="E1047" s="95">
        <f>IFERROR(ROUND(1440/C1047*2*D1047,0),"")</f>
        <v/>
      </c>
      <c r="F1047" s="96" t="n"/>
      <c r="G1047" s="97" t="n"/>
      <c r="H1047" s="74" t="n"/>
      <c r="I1047" s="75" t="inlineStr">
        <is>
          <t>ID215/75R17.5-16PR(135/133J)[HF1 Plus]SUPERMAX无内</t>
        </is>
      </c>
      <c r="J1047" s="76" t="n">
        <v>397.679555</v>
      </c>
      <c r="L1047" s="77" t="n"/>
      <c r="M1047" s="77" t="n"/>
    </row>
    <row r="1048" customFormat="1" s="69">
      <c r="B1048" s="92" t="n"/>
      <c r="C1048" s="93" t="n"/>
      <c r="D1048" s="495">
        <f>IF(C1048="","",C1048/(C1048+$E$1/60))</f>
        <v/>
      </c>
      <c r="E1048" s="95">
        <f>IFERROR(ROUND(1440/C1048*2*D1048,0),"")</f>
        <v/>
      </c>
      <c r="F1048" s="96" t="n"/>
      <c r="G1048" s="97" t="n"/>
      <c r="H1048" s="74" t="n"/>
      <c r="I1048" s="75" t="inlineStr">
        <is>
          <t>ID11R22.5-16PR(148/145L)[AZ599]GOODRIDE(好运)无内</t>
        </is>
      </c>
      <c r="J1048" s="76" t="n">
        <v>746.3996540000001</v>
      </c>
      <c r="L1048" s="77" t="n"/>
      <c r="M1048" s="77" t="n"/>
    </row>
    <row r="1049" customFormat="1" s="69">
      <c r="B1049" s="92" t="n"/>
      <c r="C1049" s="93" t="n"/>
      <c r="D1049" s="495">
        <f>IF(C1049="","",C1049/(C1049+$E$1/60))</f>
        <v/>
      </c>
      <c r="E1049" s="95">
        <f>IFERROR(ROUND(1440/C1049*2*D1049,0),"")</f>
        <v/>
      </c>
      <c r="F1049" s="96" t="n"/>
      <c r="G1049" s="97" t="n"/>
      <c r="H1049" s="74" t="n"/>
      <c r="I1049" s="75" t="inlineStr">
        <is>
          <t>ID11R22.5-16PR(148/145L)[HD1 Plus]SUPERMAX无内</t>
        </is>
      </c>
      <c r="J1049" s="76" t="n">
        <v>792.181334</v>
      </c>
      <c r="L1049" s="77" t="n"/>
      <c r="M1049" s="77" t="n"/>
    </row>
    <row r="1050" customFormat="1" s="69">
      <c r="B1050" s="92" t="n"/>
      <c r="C1050" s="93" t="n"/>
      <c r="D1050" s="495">
        <f>IF(C1050="","",C1050/(C1050+$E$1/60))</f>
        <v/>
      </c>
      <c r="E1050" s="95">
        <f>IFERROR(ROUND(1440/C1050*2*D1050,0),"")</f>
        <v/>
      </c>
      <c r="F1050" s="96" t="n"/>
      <c r="G1050" s="97" t="n"/>
      <c r="H1050" s="74" t="n"/>
      <c r="I1050" s="75" t="inlineStr">
        <is>
          <t>ID315/80R22.5-20PR(161/157K)[I-52A]IRONMAN无内</t>
        </is>
      </c>
      <c r="J1050" s="76" t="n">
        <v>979.684993</v>
      </c>
      <c r="L1050" s="77" t="n"/>
      <c r="M1050" s="77" t="n"/>
    </row>
    <row r="1051" customFormat="1" s="69">
      <c r="B1051" s="92" t="n"/>
      <c r="C1051" s="93" t="n"/>
      <c r="D1051" s="495">
        <f>IF(C1051="","",C1051/(C1051+$E$1/60))</f>
        <v/>
      </c>
      <c r="E1051" s="95">
        <f>IFERROR(ROUND(1440/C1051*2*D1051,0),"")</f>
        <v/>
      </c>
      <c r="F1051" s="96" t="n"/>
      <c r="G1051" s="97" t="n"/>
      <c r="H1051" s="74" t="n"/>
      <c r="I1051" s="75" t="inlineStr">
        <is>
          <t>ID11R24.5-16PR(149/146L)[VA991]VITOUR无内</t>
        </is>
      </c>
      <c r="J1051" s="76" t="n">
        <v>875.580104</v>
      </c>
      <c r="L1051" s="77" t="n"/>
      <c r="M1051" s="77" t="n"/>
    </row>
    <row r="1052" customFormat="1" s="69">
      <c r="B1052" s="92" t="n"/>
      <c r="C1052" s="93" t="n"/>
      <c r="D1052" s="495">
        <f>IF(C1052="","",C1052/(C1052+$E$1/60))</f>
        <v/>
      </c>
      <c r="E1052" s="95">
        <f>IFERROR(ROUND(1440/C1052*2*D1052,0),"")</f>
        <v/>
      </c>
      <c r="F1052" s="96" t="n"/>
      <c r="G1052" s="97" t="n"/>
      <c r="H1052" s="74" t="n"/>
      <c r="I1052" s="75" t="inlineStr">
        <is>
          <t>ID11R22.5-16PR(146/143L)[HD1 PlusX]SUPERMAX ECO无内</t>
        </is>
      </c>
      <c r="J1052" s="76" t="n">
        <v>748.795481</v>
      </c>
      <c r="L1052" s="77" t="n"/>
      <c r="M1052" s="77" t="n"/>
    </row>
    <row r="1053" customFormat="1" s="69">
      <c r="B1053" s="92" t="n"/>
      <c r="C1053" s="93" t="n"/>
      <c r="D1053" s="495">
        <f>IF(C1053="","",C1053/(C1053+$E$1/60))</f>
        <v/>
      </c>
      <c r="E1053" s="95">
        <f>IFERROR(ROUND(1440/C1053*2*D1053,0),"")</f>
        <v/>
      </c>
      <c r="F1053" s="96" t="n"/>
      <c r="G1053" s="97" t="n"/>
      <c r="H1053" s="74" t="n"/>
      <c r="I1053" s="75" t="inlineStr">
        <is>
          <t>ID11R22.5-16PR(146/143L)[HD2 PlusX]SUPERMAX ECO无内</t>
        </is>
      </c>
      <c r="J1053" s="76" t="n">
        <v>747.877515</v>
      </c>
      <c r="L1053" s="77" t="n"/>
      <c r="M1053" s="77" t="n"/>
    </row>
    <row r="1054" customFormat="1" s="69">
      <c r="B1054" s="92" t="n"/>
      <c r="C1054" s="93" t="n"/>
      <c r="D1054" s="495">
        <f>IF(C1054="","",C1054/(C1054+$E$1/60))</f>
        <v/>
      </c>
      <c r="E1054" s="95">
        <f>IFERROR(ROUND(1440/C1054*2*D1054,0),"")</f>
        <v/>
      </c>
      <c r="F1054" s="96" t="n"/>
      <c r="G1054" s="97" t="n"/>
      <c r="H1054" s="74" t="n"/>
      <c r="I1054" s="75" t="inlineStr">
        <is>
          <t>ID11R22.5-16PR(148/145L)[AZ599]朝阳无内</t>
        </is>
      </c>
      <c r="J1054" s="76" t="n">
        <v>746.3996540000001</v>
      </c>
      <c r="L1054" s="77" t="n"/>
      <c r="M1054" s="77" t="n"/>
    </row>
    <row r="1055" customFormat="1" s="69">
      <c r="B1055" s="92" t="n"/>
      <c r="C1055" s="93" t="n"/>
      <c r="D1055" s="495">
        <f>IF(C1055="","",C1055/(C1055+$E$1/60))</f>
        <v/>
      </c>
      <c r="E1055" s="95">
        <f>IFERROR(ROUND(1440/C1055*2*D1055,0),"")</f>
        <v/>
      </c>
      <c r="F1055" s="96" t="n"/>
      <c r="G1055" s="97" t="n"/>
      <c r="H1055" s="74" t="n"/>
      <c r="I1055" s="75" t="inlineStr">
        <is>
          <t>ID11R22.5-16PR(148/145L)[HF1 Plus]SUPERMAX无内</t>
        </is>
      </c>
      <c r="J1055" s="76" t="n">
        <v>746.3996540000001</v>
      </c>
      <c r="L1055" s="77" t="n"/>
      <c r="M1055" s="77" t="n"/>
    </row>
    <row r="1056" customFormat="1" s="69">
      <c r="B1056" s="92" t="n"/>
      <c r="C1056" s="93" t="n"/>
      <c r="D1056" s="495">
        <f>IF(C1056="","",C1056/(C1056+$E$1/60))</f>
        <v/>
      </c>
      <c r="E1056" s="95">
        <f>IFERROR(ROUND(1440/C1056*2*D1056,0),"")</f>
        <v/>
      </c>
      <c r="F1056" s="96" t="n"/>
      <c r="G1056" s="97" t="n"/>
      <c r="H1056" s="74" t="n"/>
      <c r="I1056" s="75" t="inlineStr">
        <is>
          <t>ID8.25R16-16PR(128/124L)[CR926]威狮</t>
        </is>
      </c>
      <c r="J1056" s="76" t="n">
        <v>482.536075</v>
      </c>
      <c r="L1056" s="77" t="n"/>
      <c r="M1056" s="77" t="n"/>
    </row>
    <row r="1057" customFormat="1" s="69">
      <c r="B1057" s="92" t="n"/>
      <c r="C1057" s="93" t="n"/>
      <c r="D1057" s="495">
        <f>IF(C1057="","",C1057/(C1057+$E$1/60))</f>
        <v/>
      </c>
      <c r="E1057" s="95">
        <f>IFERROR(ROUND(1440/C1057*2*D1057,0),"")</f>
        <v/>
      </c>
      <c r="F1057" s="96" t="n"/>
      <c r="G1057" s="97" t="n"/>
      <c r="H1057" s="74" t="n"/>
      <c r="I1057" s="75" t="inlineStr">
        <is>
          <t>ID225/70R19.5-14PR(128/126N)[HF1 Plus]SUPERMAX无内</t>
        </is>
      </c>
      <c r="J1057" s="76" t="n">
        <v>447.194027</v>
      </c>
      <c r="L1057" s="77" t="n"/>
      <c r="M1057" s="77" t="n"/>
    </row>
    <row r="1058" customFormat="1" s="69">
      <c r="B1058" s="92" t="n"/>
      <c r="C1058" s="93" t="n"/>
      <c r="D1058" s="495">
        <f>IF(C1058="","",C1058/(C1058+$E$1/60))</f>
        <v/>
      </c>
      <c r="E1058" s="95">
        <f>IFERROR(ROUND(1440/C1058*2*D1058,0),"")</f>
        <v/>
      </c>
      <c r="F1058" s="96" t="n"/>
      <c r="G1058" s="97" t="n"/>
      <c r="H1058" s="74" t="n"/>
      <c r="I1058" s="75" t="inlineStr">
        <is>
          <t>ID11R24.5-16PR(149/146L)[KOBE DPM]ITARO无内</t>
        </is>
      </c>
      <c r="J1058" s="76" t="n">
        <v>800.68198</v>
      </c>
      <c r="L1058" s="77" t="n"/>
      <c r="M1058" s="77" t="n"/>
    </row>
    <row r="1059" customFormat="1" s="69">
      <c r="B1059" s="92" t="n"/>
      <c r="C1059" s="93" t="n"/>
      <c r="D1059" s="495">
        <f>IF(C1059="","",C1059/(C1059+$E$1/60))</f>
        <v/>
      </c>
      <c r="E1059" s="95">
        <f>IFERROR(ROUND(1440/C1059*2*D1059,0),"")</f>
        <v/>
      </c>
      <c r="F1059" s="96" t="n"/>
      <c r="G1059" s="97" t="n"/>
      <c r="H1059" s="74" t="n"/>
      <c r="I1059" s="75" t="inlineStr">
        <is>
          <t>ID(LB1006)ATV 25×10-12/6[AR10]FREE COUNTRY TL BLACK ELK</t>
        </is>
      </c>
      <c r="J1059" s="76" t="n">
        <v>147.390544</v>
      </c>
      <c r="L1059" s="77" t="n"/>
      <c r="M1059" s="77" t="n"/>
    </row>
    <row r="1060" customFormat="1" s="69">
      <c r="B1060" s="92" t="n"/>
      <c r="C1060" s="93" t="n"/>
      <c r="D1060" s="495">
        <f>IF(C1060="","",C1060/(C1060+$E$1/60))</f>
        <v/>
      </c>
      <c r="E1060" s="95">
        <f>IFERROR(ROUND(1440/C1060*2*D1060,0),"")</f>
        <v/>
      </c>
      <c r="F1060" s="96" t="n"/>
      <c r="G1060" s="97" t="n"/>
      <c r="H1060" s="74" t="n"/>
      <c r="I1060" s="75" t="inlineStr">
        <is>
          <t>ID215/75R17.5-16PR(135/133J)[CM986]雅度无内</t>
        </is>
      </c>
      <c r="J1060" s="76" t="n">
        <v>390.390091</v>
      </c>
      <c r="L1060" s="77" t="n"/>
      <c r="M1060" s="77" t="n"/>
    </row>
    <row r="1061" customFormat="1" s="69">
      <c r="B1061" s="92" t="n"/>
      <c r="C1061" s="93" t="n"/>
      <c r="D1061" s="495">
        <f>IF(C1061="","",C1061/(C1061+$E$1/60))</f>
        <v/>
      </c>
      <c r="E1061" s="95">
        <f>IFERROR(ROUND(1440/C1061*2*D1061,0),"")</f>
        <v/>
      </c>
      <c r="F1061" s="96" t="n"/>
      <c r="G1061" s="97" t="n"/>
      <c r="H1061" s="74" t="n"/>
      <c r="I1061" s="75" t="inlineStr">
        <is>
          <t>ID11R24.5-16PR(149/146L)[HD2 Plus]SUPERMAX无内</t>
        </is>
      </c>
      <c r="J1061" s="76" t="n">
        <v>871.611097</v>
      </c>
      <c r="L1061" s="77" t="n"/>
      <c r="M1061" s="77" t="n"/>
    </row>
    <row r="1062" customFormat="1" s="69">
      <c r="B1062" s="92" t="n"/>
      <c r="C1062" s="93" t="n"/>
      <c r="D1062" s="495">
        <f>IF(C1062="","",C1062/(C1062+$E$1/60))</f>
        <v/>
      </c>
      <c r="E1062" s="95">
        <f>IFERROR(ROUND(1440/C1062*2*D1062,0),"")</f>
        <v/>
      </c>
      <c r="F1062" s="96" t="n"/>
      <c r="G1062" s="97" t="n"/>
      <c r="H1062" s="74" t="n"/>
      <c r="I1062" s="75" t="inlineStr">
        <is>
          <t>ID23.5-25-20PR[T318]天力</t>
        </is>
      </c>
      <c r="J1062" s="76" t="n">
        <v>3273.201624</v>
      </c>
      <c r="L1062" s="77" t="n"/>
      <c r="M1062" s="77" t="n"/>
    </row>
    <row r="1063" customFormat="1" s="69">
      <c r="B1063" s="92" t="n"/>
      <c r="C1063" s="93" t="n"/>
      <c r="D1063" s="495">
        <f>IF(C1063="","",C1063/(C1063+$E$1/60))</f>
        <v/>
      </c>
      <c r="E1063" s="95">
        <f>IFERROR(ROUND(1440/C1063*2*D1063,0),"")</f>
        <v/>
      </c>
      <c r="F1063" s="96" t="n"/>
      <c r="G1063" s="97" t="n"/>
      <c r="H1063" s="74" t="n"/>
      <c r="I1063" s="75" t="inlineStr">
        <is>
          <t>ID295/75R22.5-16PR(146/143M)[CR915]威狮无内 SMARTWAY</t>
        </is>
      </c>
      <c r="J1063" s="76" t="n">
        <v>699.432139</v>
      </c>
      <c r="L1063" s="77" t="n"/>
      <c r="M1063" s="77" t="n"/>
    </row>
    <row r="1064" customFormat="1" s="69">
      <c r="B1064" s="92" t="n"/>
      <c r="C1064" s="93" t="n"/>
      <c r="D1064" s="495">
        <f>IF(C1064="","",C1064/(C1064+$E$1/60))</f>
        <v/>
      </c>
      <c r="E1064" s="95">
        <f>IFERROR(ROUND(1440/C1064*2*D1064,0),"")</f>
        <v/>
      </c>
      <c r="F1064" s="96" t="n"/>
      <c r="G1064" s="97" t="n"/>
      <c r="H1064" s="74" t="n"/>
      <c r="I1064" s="75" t="inlineStr">
        <is>
          <t>ID325/95R24-22PR(162/160K)[CM912A]DIDAR无内</t>
        </is>
      </c>
      <c r="J1064" s="76" t="n">
        <v>1173.145078</v>
      </c>
      <c r="L1064" s="77" t="n"/>
      <c r="M1064" s="77" t="n"/>
    </row>
    <row r="1065" customFormat="1" s="69">
      <c r="B1065" s="92" t="n"/>
      <c r="C1065" s="93" t="n"/>
      <c r="D1065" s="495">
        <f>IF(C1065="","",C1065/(C1065+$E$1/60))</f>
        <v/>
      </c>
      <c r="E1065" s="95">
        <f>IFERROR(ROUND(1440/C1065*2*D1065,0),"")</f>
        <v/>
      </c>
      <c r="F1065" s="96" t="n"/>
      <c r="G1065" s="97" t="n"/>
      <c r="H1065" s="74" t="n"/>
      <c r="I1065" s="75" t="inlineStr">
        <is>
          <t>ID295/75R22.5-16PR(146/143M)[KOBE TPM]ITARO无内</t>
        </is>
      </c>
      <c r="J1065" s="76" t="n">
        <v>665.070889</v>
      </c>
      <c r="L1065" s="77" t="n"/>
      <c r="M1065" s="77" t="n"/>
    </row>
    <row r="1066" customFormat="1" s="69">
      <c r="B1066" s="92" t="n"/>
      <c r="C1066" s="93" t="n"/>
      <c r="D1066" s="495">
        <f>IF(C1066="","",C1066/(C1066+$E$1/60))</f>
        <v/>
      </c>
      <c r="E1066" s="95">
        <f>IFERROR(ROUND(1440/C1066*2*D1066,0),"")</f>
        <v/>
      </c>
      <c r="F1066" s="96" t="n"/>
      <c r="G1066" s="97" t="n"/>
      <c r="H1066" s="74" t="n"/>
      <c r="I1066" s="75" t="inlineStr">
        <is>
          <t>ID295/75R22.5-14PR(144/141L)[HF1 Plus]SUPERMAX无内</t>
        </is>
      </c>
      <c r="J1066" s="76" t="n">
        <v>734.987792</v>
      </c>
      <c r="L1066" s="77" t="n"/>
      <c r="M1066" s="77" t="n"/>
    </row>
    <row r="1067" customFormat="1" s="69">
      <c r="B1067" s="92" t="n"/>
      <c r="C1067" s="93" t="n"/>
      <c r="D1067" s="495">
        <f>IF(C1067="","",C1067/(C1067+$E$1/60))</f>
        <v/>
      </c>
      <c r="E1067" s="95">
        <f>IFERROR(ROUND(1440/C1067*2*D1067,0),"")</f>
        <v/>
      </c>
      <c r="F1067" s="96" t="n"/>
      <c r="G1067" s="97" t="n"/>
      <c r="H1067" s="74" t="n"/>
      <c r="I1067" s="75" t="inlineStr">
        <is>
          <t>ID295/75R22.5-14PR(144/141L)[I-37D]IRONMAN无内</t>
        </is>
      </c>
      <c r="J1067" s="76" t="n">
        <v>801.023629</v>
      </c>
      <c r="L1067" s="77" t="n"/>
      <c r="M1067" s="77" t="n"/>
    </row>
    <row r="1068" customFormat="1" s="69">
      <c r="B1068" s="92" t="n"/>
      <c r="C1068" s="93" t="n"/>
      <c r="D1068" s="495">
        <f>IF(C1068="","",C1068/(C1068+$E$1/60))</f>
        <v/>
      </c>
      <c r="E1068" s="95">
        <f>IFERROR(ROUND(1440/C1068*2*D1068,0),"")</f>
        <v/>
      </c>
      <c r="F1068" s="96" t="n"/>
      <c r="G1068" s="97" t="n"/>
      <c r="H1068" s="74" t="n"/>
      <c r="I1068" s="75" t="inlineStr">
        <is>
          <t>ID225/70R19.5-14PR(128/126N)[HD3 Plus]SUPERMAX无内</t>
        </is>
      </c>
      <c r="J1068" s="76" t="n">
        <v>468.94092</v>
      </c>
      <c r="L1068" s="77" t="n"/>
      <c r="M1068" s="77" t="n"/>
    </row>
    <row r="1069" customFormat="1" s="69">
      <c r="B1069" s="92" t="n"/>
      <c r="C1069" s="93" t="n"/>
      <c r="D1069" s="495">
        <f>IF(C1069="","",C1069/(C1069+$E$1/60))</f>
        <v/>
      </c>
      <c r="E1069" s="95">
        <f>IFERROR(ROUND(1440/C1069*2*D1069,0),"")</f>
        <v/>
      </c>
      <c r="F1069" s="96" t="n"/>
      <c r="G1069" s="97" t="n"/>
      <c r="H1069" s="74" t="n"/>
      <c r="I1069" s="75" t="inlineStr">
        <is>
          <t>ID11R24.5-16PR(149/146M)[AS200]ANTINI无内</t>
        </is>
      </c>
      <c r="J1069" s="76" t="n">
        <v>859.571867</v>
      </c>
      <c r="L1069" s="77" t="n"/>
      <c r="M1069" s="77" t="n"/>
    </row>
    <row r="1070" customFormat="1" s="69">
      <c r="B1070" s="92" t="n"/>
      <c r="C1070" s="93" t="n"/>
      <c r="D1070" s="495">
        <f>IF(C1070="","",C1070/(C1070+$E$1/60))</f>
        <v/>
      </c>
      <c r="E1070" s="95">
        <f>IFERROR(ROUND(1440/C1070*2*D1070,0),"")</f>
        <v/>
      </c>
      <c r="F1070" s="96" t="n"/>
      <c r="G1070" s="97" t="n"/>
      <c r="H1070" s="74" t="n"/>
      <c r="I1070" s="75" t="inlineStr">
        <is>
          <t>ID235/75R17.5-16PR(143/141J)[HF1 Plus]SUPERMAX无内</t>
        </is>
      </c>
      <c r="J1070" s="76" t="n">
        <v>441.8351</v>
      </c>
      <c r="L1070" s="77" t="n"/>
      <c r="M1070" s="77" t="n"/>
    </row>
    <row r="1071" customFormat="1" s="69">
      <c r="B1071" s="92" t="n"/>
      <c r="C1071" s="93" t="n"/>
      <c r="D1071" s="495">
        <f>IF(C1071="","",C1071/(C1071+$E$1/60))</f>
        <v/>
      </c>
      <c r="E1071" s="95">
        <f>IFERROR(ROUND(1440/C1071*2*D1071,0),"")</f>
        <v/>
      </c>
      <c r="F1071" s="96" t="n"/>
      <c r="G1071" s="97" t="n"/>
      <c r="H1071" s="74" t="n"/>
      <c r="I1071" s="75" t="inlineStr">
        <is>
          <t>ID4.80-12-4PR[SU201]HI RUN无内</t>
        </is>
      </c>
      <c r="J1071" s="76" t="n">
        <v>64.873445</v>
      </c>
      <c r="L1071" s="77" t="n"/>
      <c r="M1071" s="77" t="n"/>
    </row>
    <row r="1072" customFormat="1" s="69">
      <c r="B1072" s="92" t="n"/>
      <c r="C1072" s="93" t="n"/>
      <c r="D1072" s="495">
        <f>IF(C1072="","",C1072/(C1072+$E$1/60))</f>
        <v/>
      </c>
      <c r="E1072" s="95">
        <f>IFERROR(ROUND(1440/C1072*2*D1072,0),"")</f>
        <v/>
      </c>
      <c r="F1072" s="96" t="n"/>
      <c r="G1072" s="97" t="n"/>
      <c r="H1072" s="74" t="n"/>
      <c r="I1072" s="75" t="inlineStr">
        <is>
          <t>ID4.80-8-6PR[SU201]71M HI RUN无内</t>
        </is>
      </c>
      <c r="J1072" s="76" t="n">
        <v>45.660419</v>
      </c>
      <c r="L1072" s="77" t="n"/>
      <c r="M1072" s="77" t="n"/>
    </row>
    <row r="1073" customFormat="1" s="69">
      <c r="B1073" s="92" t="n"/>
      <c r="C1073" s="93" t="n"/>
      <c r="D1073" s="495">
        <f>IF(C1073="","",C1073/(C1073+$E$1/60))</f>
        <v/>
      </c>
      <c r="E1073" s="95">
        <f>IFERROR(ROUND(1440/C1073*2*D1073,0),"")</f>
        <v/>
      </c>
      <c r="F1073" s="96" t="n"/>
      <c r="G1073" s="97" t="n"/>
      <c r="H1073" s="74" t="n"/>
      <c r="I1073" s="75" t="inlineStr">
        <is>
          <t>ID12.00R20-20PR(156/153F)[EZ336]朝阳</t>
        </is>
      </c>
      <c r="J1073" s="76" t="n">
        <v>1214.437602</v>
      </c>
      <c r="L1073" s="77" t="n"/>
      <c r="M1073" s="77" t="n"/>
    </row>
    <row r="1074" customFormat="1" s="69">
      <c r="B1074" s="92" t="n"/>
      <c r="C1074" s="93" t="n"/>
      <c r="D1074" s="495">
        <f>IF(C1074="","",C1074/(C1074+$E$1/60))</f>
        <v/>
      </c>
      <c r="E1074" s="95">
        <f>IFERROR(ROUND(1440/C1074*2*D1074,0),"")</f>
        <v/>
      </c>
      <c r="F1074" s="96" t="n"/>
      <c r="G1074" s="97" t="n"/>
      <c r="H1074" s="74" t="n"/>
      <c r="I1074" s="75" t="inlineStr">
        <is>
          <t>ID11.00R20-18PR(152/149F)[EZ330A]雅度</t>
        </is>
      </c>
      <c r="J1074" s="76" t="n">
        <v>1017.870308</v>
      </c>
      <c r="L1074" s="77" t="n"/>
      <c r="M1074" s="77" t="n"/>
    </row>
    <row r="1075" customFormat="1" s="69">
      <c r="B1075" s="92" t="n"/>
      <c r="C1075" s="93" t="n"/>
      <c r="D1075" s="495">
        <f>IF(C1075="","",C1075/(C1075+$E$1/60))</f>
        <v/>
      </c>
      <c r="E1075" s="95">
        <f>IFERROR(ROUND(1440/C1075*2*D1075,0),"")</f>
        <v/>
      </c>
      <c r="F1075" s="96" t="n"/>
      <c r="G1075" s="97" t="n"/>
      <c r="H1075" s="74" t="n"/>
      <c r="I1075" s="75" t="inlineStr">
        <is>
          <t>ID295/75R22.5-16PR(146/143L)[HF1 Plus]SUPERMAX无内</t>
        </is>
      </c>
      <c r="J1075" s="76" t="n">
        <v>734.987792</v>
      </c>
      <c r="L1075" s="77" t="n"/>
      <c r="M1075" s="77" t="n"/>
    </row>
    <row r="1076" customFormat="1" s="69">
      <c r="B1076" s="92" t="n"/>
      <c r="C1076" s="93" t="n"/>
      <c r="D1076" s="495">
        <f>IF(C1076="","",C1076/(C1076+$E$1/60))</f>
        <v/>
      </c>
      <c r="E1076" s="95">
        <f>IFERROR(ROUND(1440/C1076*2*D1076,0),"")</f>
        <v/>
      </c>
      <c r="F1076" s="96" t="n"/>
      <c r="G1076" s="97" t="n"/>
      <c r="H1076" s="74" t="n"/>
      <c r="I1076" s="75" t="inlineStr">
        <is>
          <t>ID285/75R24.5-14PR(144/141M)[I-19A]IRONMAN无内 SMARTWAY</t>
        </is>
      </c>
      <c r="J1076" s="76" t="n">
        <v>755.9603519999999</v>
      </c>
      <c r="L1076" s="77" t="n"/>
      <c r="M1076" s="77" t="n"/>
    </row>
    <row r="1077" customFormat="1" s="69">
      <c r="B1077" s="92" t="n"/>
      <c r="C1077" s="93" t="n"/>
      <c r="D1077" s="495">
        <f>IF(C1077="","",C1077/(C1077+$E$1/60))</f>
        <v/>
      </c>
      <c r="E1077" s="95">
        <f>IFERROR(ROUND(1440/C1077*2*D1077,0),"")</f>
        <v/>
      </c>
      <c r="F1077" s="96" t="n"/>
      <c r="G1077" s="97" t="n"/>
      <c r="H1077" s="74" t="n"/>
      <c r="I1077" s="75" t="inlineStr">
        <is>
          <t>ID11R22.5-16PR(146/143L)[KOBE DPM]ITARO无内</t>
        </is>
      </c>
      <c r="J1077" s="76" t="n">
        <v>748.795481</v>
      </c>
      <c r="L1077" s="77" t="n"/>
      <c r="M1077" s="77" t="n"/>
    </row>
    <row r="1078" customFormat="1" s="69">
      <c r="B1078" s="92" t="n"/>
      <c r="C1078" s="93" t="n"/>
      <c r="D1078" s="495">
        <f>IF(C1078="","",C1078/(C1078+$E$1/60))</f>
        <v/>
      </c>
      <c r="E1078" s="95">
        <f>IFERROR(ROUND(1440/C1078*2*D1078,0),"")</f>
        <v/>
      </c>
      <c r="F1078" s="96" t="n"/>
      <c r="G1078" s="97" t="n"/>
      <c r="H1078" s="74" t="n"/>
      <c r="I1078" s="75" t="inlineStr">
        <is>
          <t>ID325/95R24-22PR(162/160K)[AZ691]DIDAR无内</t>
        </is>
      </c>
      <c r="J1078" s="76" t="n">
        <v>1223.557167</v>
      </c>
      <c r="L1078" s="77" t="n"/>
      <c r="M1078" s="77" t="n"/>
    </row>
    <row r="1079" customFormat="1" s="69">
      <c r="B1079" s="92" t="n"/>
      <c r="C1079" s="93" t="n"/>
      <c r="D1079" s="495">
        <f>IF(C1079="","",C1079/(C1079+$E$1/60))</f>
        <v/>
      </c>
      <c r="E1079" s="95">
        <f>IFERROR(ROUND(1440/C1079*2*D1079,0),"")</f>
        <v/>
      </c>
      <c r="F1079" s="96" t="n"/>
      <c r="G1079" s="97" t="n"/>
      <c r="H1079" s="74" t="n"/>
      <c r="I1079" s="75" t="inlineStr">
        <is>
          <t>ID11R24.5-16PR(149/146L)[AD716]GOODRIDE(好运)无内</t>
        </is>
      </c>
      <c r="J1079" s="76" t="n">
        <v>850.317713</v>
      </c>
      <c r="L1079" s="77" t="n"/>
      <c r="M1079" s="77" t="n"/>
    </row>
    <row r="1080" customFormat="1" s="69">
      <c r="B1080" s="92" t="n"/>
      <c r="C1080" s="93" t="n"/>
      <c r="D1080" s="495">
        <f>IF(C1080="","",C1080/(C1080+$E$1/60))</f>
        <v/>
      </c>
      <c r="E1080" s="95">
        <f>IFERROR(ROUND(1440/C1080*2*D1080,0),"")</f>
        <v/>
      </c>
      <c r="F1080" s="96" t="n"/>
      <c r="G1080" s="97" t="n"/>
      <c r="H1080" s="74" t="n"/>
      <c r="I1080" s="75" t="inlineStr">
        <is>
          <t>ID20.5×8.0-10-6PR[SU202]HI RUN无内</t>
        </is>
      </c>
      <c r="J1080" s="76" t="n">
        <v>109.406339</v>
      </c>
      <c r="L1080" s="77" t="n"/>
      <c r="M1080" s="77" t="n"/>
    </row>
    <row r="1081" customFormat="1" s="69">
      <c r="B1081" s="92" t="n"/>
      <c r="C1081" s="93" t="n"/>
      <c r="D1081" s="495">
        <f>IF(C1081="","",C1081/(C1081+$E$1/60))</f>
        <v/>
      </c>
      <c r="E1081" s="95">
        <f>IFERROR(ROUND(1440/C1081*2*D1081,0),"")</f>
        <v/>
      </c>
      <c r="F1081" s="96" t="n"/>
      <c r="G1081" s="97" t="n"/>
      <c r="H1081" s="74" t="n"/>
      <c r="I1081" s="75" t="inlineStr">
        <is>
          <t>ID10.00R20-18PR(149/146F)[CB972]ARISUN</t>
        </is>
      </c>
      <c r="J1081" s="76" t="n">
        <v>953.636964</v>
      </c>
      <c r="L1081" s="77" t="n"/>
      <c r="M1081" s="77" t="n"/>
    </row>
    <row r="1082" customFormat="1" s="69">
      <c r="B1082" s="92" t="n"/>
      <c r="C1082" s="93" t="n"/>
      <c r="D1082" s="495">
        <f>IF(C1082="","",C1082/(C1082+$E$1/60))</f>
        <v/>
      </c>
      <c r="E1082" s="95">
        <f>IFERROR(ROUND(1440/C1082*2*D1082,0),"")</f>
        <v/>
      </c>
      <c r="F1082" s="96" t="n"/>
      <c r="G1082" s="97" t="n"/>
      <c r="H1082" s="74" t="n"/>
      <c r="I1082" s="75" t="inlineStr">
        <is>
          <t>ID11R22.5-16PR(148/145L)[AD716]GOODRIDE(好运)无内</t>
        </is>
      </c>
      <c r="J1082" s="76" t="n">
        <v>792.181334</v>
      </c>
      <c r="L1082" s="77" t="n"/>
      <c r="M1082" s="77" t="n"/>
    </row>
    <row r="1083" customFormat="1" s="69">
      <c r="B1083" s="92" t="n"/>
      <c r="C1083" s="93" t="n"/>
      <c r="D1083" s="495">
        <f>IF(C1083="","",C1083/(C1083+$E$1/60))</f>
        <v/>
      </c>
      <c r="E1083" s="95">
        <f>IFERROR(ROUND(1440/C1083*2*D1083,0),"")</f>
        <v/>
      </c>
      <c r="F1083" s="96" t="n"/>
      <c r="G1083" s="97" t="n"/>
      <c r="H1083" s="74" t="n"/>
      <c r="I1083" s="75" t="inlineStr">
        <is>
          <t>ID12.00R24-20PR(160/157F)[CB919]ARISUN</t>
        </is>
      </c>
      <c r="J1083" s="76" t="n">
        <v>1297.221499</v>
      </c>
      <c r="L1083" s="77" t="n"/>
      <c r="M1083" s="77" t="n"/>
    </row>
    <row r="1084" customFormat="1" s="69">
      <c r="B1084" s="92" t="n"/>
      <c r="C1084" s="93" t="n"/>
      <c r="D1084" s="495">
        <f>IF(C1084="","",C1084/(C1084+$E$1/60))</f>
        <v/>
      </c>
      <c r="E1084" s="95">
        <f>IFERROR(ROUND(1440/C1084*2*D1084,0),"")</f>
        <v/>
      </c>
      <c r="F1084" s="96" t="n"/>
      <c r="G1084" s="97" t="n"/>
      <c r="H1084" s="74" t="n"/>
      <c r="I1084" s="75" t="inlineStr">
        <is>
          <t>ID315/80R22.5-20PR(157/154K)[CR926B]威狮无内</t>
        </is>
      </c>
      <c r="J1084" s="76" t="n">
        <v>948.654196</v>
      </c>
      <c r="L1084" s="77" t="n"/>
      <c r="M1084" s="77" t="n"/>
    </row>
    <row r="1085" customFormat="1" s="69">
      <c r="B1085" s="92" t="n"/>
      <c r="C1085" s="93" t="n"/>
      <c r="D1085" s="495">
        <f>IF(C1085="","",C1085/(C1085+$E$1/60))</f>
        <v/>
      </c>
      <c r="E1085" s="95">
        <f>IFERROR(ROUND(1440/C1085*2*D1085,0),"")</f>
        <v/>
      </c>
      <c r="F1085" s="96" t="n"/>
      <c r="G1085" s="97" t="n"/>
      <c r="H1085" s="74" t="n"/>
      <c r="I1085" s="75" t="inlineStr">
        <is>
          <t>ID295/80R22.5-18PR(152/149M)[ECOLINE A-I]NEBULA无内</t>
        </is>
      </c>
      <c r="J1085" s="76" t="n">
        <v>758.837772</v>
      </c>
      <c r="L1085" s="77" t="n"/>
      <c r="M1085" s="77" t="n"/>
    </row>
    <row r="1086" customFormat="1" s="69">
      <c r="B1086" s="92" t="n"/>
      <c r="C1086" s="93" t="n"/>
      <c r="D1086" s="495">
        <f>IF(C1086="","",C1086/(C1086+$E$1/60))</f>
        <v/>
      </c>
      <c r="E1086" s="95">
        <f>IFERROR(ROUND(1440/C1086*2*D1086,0),"")</f>
        <v/>
      </c>
      <c r="F1086" s="96" t="n"/>
      <c r="G1086" s="97" t="n"/>
      <c r="H1086" s="74" t="n"/>
      <c r="I1086" s="75" t="inlineStr">
        <is>
          <t>ID295/75R22.5-14PR(144/141L)[VD998]VITOUR无内</t>
        </is>
      </c>
      <c r="J1086" s="76" t="n">
        <v>869.648787</v>
      </c>
      <c r="L1086" s="77" t="n"/>
      <c r="M1086" s="77" t="n"/>
    </row>
    <row r="1087" customFormat="1" s="69">
      <c r="B1087" s="92" t="n"/>
      <c r="C1087" s="93" t="n"/>
      <c r="D1087" s="495">
        <f>IF(C1087="","",C1087/(C1087+$E$1/60))</f>
        <v/>
      </c>
      <c r="E1087" s="95">
        <f>IFERROR(ROUND(1440/C1087*2*D1087,0),"")</f>
        <v/>
      </c>
      <c r="F1087" s="96" t="n"/>
      <c r="G1087" s="97" t="n"/>
      <c r="H1087" s="74" t="n"/>
      <c r="I1087" s="75" t="inlineStr">
        <is>
          <t>ID11R24.5-16PR(149/146L)[HF1 Plus]SUPERMAX无内</t>
        </is>
      </c>
      <c r="J1087" s="76" t="n">
        <v>795.46383</v>
      </c>
      <c r="L1087" s="77" t="n"/>
      <c r="M1087" s="77" t="n"/>
    </row>
    <row r="1088" customFormat="1" s="69">
      <c r="B1088" s="92" t="n"/>
      <c r="C1088" s="93" t="n"/>
      <c r="D1088" s="495">
        <f>IF(C1088="","",C1088/(C1088+$E$1/60))</f>
        <v/>
      </c>
      <c r="E1088" s="95">
        <f>IFERROR(ROUND(1440/C1088*2*D1088,0),"")</f>
        <v/>
      </c>
      <c r="F1088" s="96" t="n"/>
      <c r="G1088" s="97" t="n"/>
      <c r="H1088" s="74" t="n"/>
      <c r="I1088" s="75" t="inlineStr">
        <is>
          <t>ID11R22.5-16PR(148/145L)[AS868]金冠无内</t>
        </is>
      </c>
      <c r="J1088" s="76" t="n">
        <v>830.771606</v>
      </c>
      <c r="L1088" s="77" t="n"/>
      <c r="M1088" s="77" t="n"/>
    </row>
    <row r="1089" customFormat="1" s="69">
      <c r="B1089" s="92" t="n"/>
      <c r="C1089" s="93" t="n"/>
      <c r="D1089" s="495">
        <f>IF(C1089="","",C1089/(C1089+$E$1/60))</f>
        <v/>
      </c>
      <c r="E1089" s="95">
        <f>IFERROR(ROUND(1440/C1089*2*D1089,0),"")</f>
        <v/>
      </c>
      <c r="F1089" s="96" t="n"/>
      <c r="G1089" s="97" t="n"/>
      <c r="H1089" s="74" t="n"/>
      <c r="I1089" s="75" t="inlineStr">
        <is>
          <t>ID295/75R22.5-16PR(146/143L)[KOBE APM]ITARO无内</t>
        </is>
      </c>
      <c r="J1089" s="76" t="n">
        <v>689.10163</v>
      </c>
      <c r="L1089" s="77" t="n"/>
      <c r="M1089" s="77" t="n"/>
    </row>
    <row r="1090" customFormat="1" s="69">
      <c r="B1090" s="92" t="n"/>
      <c r="C1090" s="93" t="n"/>
      <c r="D1090" s="495">
        <f>IF(C1090="","",C1090/(C1090+$E$1/60))</f>
        <v/>
      </c>
      <c r="E1090" s="95">
        <f>IFERROR(ROUND(1440/C1090*2*D1090,0),"")</f>
        <v/>
      </c>
      <c r="F1090" s="96" t="n"/>
      <c r="G1090" s="97" t="n"/>
      <c r="H1090" s="74" t="n"/>
      <c r="I1090" s="75" t="inlineStr">
        <is>
          <t>ID11R24.5-16PR(149/146L)[HD1 Plus]SUPERMAX无内</t>
        </is>
      </c>
      <c r="J1090" s="76" t="n">
        <v>850.317713</v>
      </c>
      <c r="L1090" s="77" t="n"/>
      <c r="M1090" s="77" t="n"/>
    </row>
    <row r="1091" customFormat="1" s="69">
      <c r="B1091" s="92" t="n"/>
      <c r="C1091" s="93" t="n"/>
      <c r="D1091" s="495">
        <f>IF(C1091="","",C1091/(C1091+$E$1/60))</f>
        <v/>
      </c>
      <c r="E1091" s="95">
        <f>IFERROR(ROUND(1440/C1091*2*D1091,0),"")</f>
        <v/>
      </c>
      <c r="F1091" s="96" t="n"/>
      <c r="G1091" s="97" t="n"/>
      <c r="H1091" s="74" t="n"/>
      <c r="I1091" s="75" t="inlineStr">
        <is>
          <t>ID11.00-20-18PR[CR952]153/148G 威狮</t>
        </is>
      </c>
      <c r="J1091" s="76" t="n">
        <v>848.030533</v>
      </c>
      <c r="L1091" s="77" t="n"/>
      <c r="M1091" s="77" t="n"/>
    </row>
    <row r="1092" customFormat="1" s="69">
      <c r="B1092" s="92" t="n"/>
      <c r="C1092" s="93" t="n"/>
      <c r="D1092" s="495">
        <f>IF(C1092="","",C1092/(C1092+$E$1/60))</f>
        <v/>
      </c>
      <c r="E1092" s="95">
        <f>IFERROR(ROUND(1440/C1092*2*D1092,0),"")</f>
        <v/>
      </c>
      <c r="F1092" s="96" t="n"/>
      <c r="G1092" s="97" t="n"/>
      <c r="H1092" s="74" t="n"/>
      <c r="I1092" s="75" t="inlineStr">
        <is>
          <t>ID11.00R20-18PR(152/149K)[CR926+]金冠</t>
        </is>
      </c>
      <c r="J1092" s="76" t="n">
        <v>854.918372</v>
      </c>
      <c r="L1092" s="77" t="n"/>
      <c r="M1092" s="77" t="n"/>
    </row>
    <row r="1093" customFormat="1" s="69">
      <c r="B1093" s="92" t="n"/>
      <c r="C1093" s="93" t="n"/>
      <c r="D1093" s="495">
        <f>IF(C1093="","",C1093/(C1093+$E$1/60))</f>
        <v/>
      </c>
      <c r="E1093" s="95">
        <f>IFERROR(ROUND(1440/C1093*2*D1093,0),"")</f>
        <v/>
      </c>
      <c r="F1093" s="96" t="n"/>
      <c r="G1093" s="97" t="n"/>
      <c r="H1093" s="74" t="n"/>
      <c r="I1093" s="75" t="inlineStr">
        <is>
          <t>ID295/75R22.5-16PR(146/143L)[KOBE DPM]ITARO无内</t>
        </is>
      </c>
      <c r="J1093" s="76" t="n">
        <v>728.510146</v>
      </c>
      <c r="L1093" s="77" t="n"/>
      <c r="M1093" s="77" t="n"/>
    </row>
    <row r="1094" customFormat="1" s="69">
      <c r="B1094" s="92" t="n"/>
      <c r="C1094" s="93" t="n"/>
      <c r="D1094" s="495">
        <f>IF(C1094="","",C1094/(C1094+$E$1/60))</f>
        <v/>
      </c>
      <c r="E1094" s="95">
        <f>IFERROR(ROUND(1440/C1094*2*D1094,0),"")</f>
        <v/>
      </c>
      <c r="F1094" s="96" t="n"/>
      <c r="G1094" s="97" t="n"/>
      <c r="H1094" s="74" t="n"/>
      <c r="I1094" s="75" t="inlineStr">
        <is>
          <t>ID285/75R24.5-14PR(144/141L)[I-28D]IRONMAN无内 SMARTWAY</t>
        </is>
      </c>
      <c r="J1094" s="76" t="n">
        <v>860.674521</v>
      </c>
      <c r="L1094" s="77" t="n"/>
      <c r="M1094" s="77" t="n"/>
    </row>
    <row r="1095" customFormat="1" s="69">
      <c r="B1095" s="92" t="n"/>
      <c r="C1095" s="93" t="n"/>
      <c r="D1095" s="495">
        <f>IF(C1095="","",C1095/(C1095+$E$1/60))</f>
        <v/>
      </c>
      <c r="E1095" s="95">
        <f>IFERROR(ROUND(1440/C1095*2*D1095,0),"")</f>
        <v/>
      </c>
      <c r="F1095" s="96" t="n"/>
      <c r="G1095" s="97" t="n"/>
      <c r="H1095" s="74" t="n"/>
      <c r="I1095" s="75" t="inlineStr">
        <is>
          <t>ID245/70R19.5-16PR(136/134M)[HD3 Plus]SUPERMAX无内</t>
        </is>
      </c>
      <c r="J1095" s="76" t="n">
        <v>532.845229</v>
      </c>
      <c r="L1095" s="77" t="n"/>
      <c r="M1095" s="77" t="n"/>
    </row>
    <row r="1096" customFormat="1" s="69">
      <c r="B1096" s="92" t="n"/>
      <c r="C1096" s="93" t="n"/>
      <c r="D1096" s="495">
        <f>IF(C1096="","",C1096/(C1096+$E$1/60))</f>
        <v/>
      </c>
      <c r="E1096" s="95">
        <f>IFERROR(ROUND(1440/C1096*2*D1096,0),"")</f>
        <v/>
      </c>
      <c r="F1096" s="96" t="n"/>
      <c r="G1096" s="97" t="n"/>
      <c r="H1096" s="74" t="n"/>
      <c r="I1096" s="75" t="inlineStr">
        <is>
          <t>ID12.00R20-18PR(154/151F)[CB919]ARISUN</t>
        </is>
      </c>
      <c r="J1096" s="76" t="n">
        <v>1228.782576</v>
      </c>
      <c r="L1096" s="77" t="n"/>
      <c r="M1096" s="77" t="n"/>
    </row>
    <row r="1097" customFormat="1" s="69">
      <c r="B1097" s="92" t="n"/>
      <c r="C1097" s="93" t="n"/>
      <c r="D1097" s="495">
        <f>IF(C1097="","",C1097/(C1097+$E$1/60))</f>
        <v/>
      </c>
      <c r="E1097" s="95">
        <f>IFERROR(ROUND(1440/C1097*2*D1097,0),"")</f>
        <v/>
      </c>
      <c r="F1097" s="96" t="n"/>
      <c r="G1097" s="97" t="n"/>
      <c r="H1097" s="74" t="n"/>
      <c r="I1097" s="75" t="inlineStr">
        <is>
          <t>ID11.00R20-18PR(152/149K)[CR926+]ARISUN</t>
        </is>
      </c>
      <c r="J1097" s="76" t="n">
        <v>854.918372</v>
      </c>
      <c r="L1097" s="77" t="n"/>
      <c r="M1097" s="77" t="n"/>
    </row>
    <row r="1098" customFormat="1" s="69">
      <c r="B1098" s="92" t="n"/>
      <c r="C1098" s="93" t="n"/>
      <c r="D1098" s="495">
        <f>IF(C1098="","",C1098/(C1098+$E$1/60))</f>
        <v/>
      </c>
      <c r="E1098" s="95">
        <f>IFERROR(ROUND(1440/C1098*2*D1098,0),"")</f>
        <v/>
      </c>
      <c r="F1098" s="96" t="n"/>
      <c r="G1098" s="97" t="n"/>
      <c r="H1098" s="74" t="n"/>
      <c r="I1098" s="75" t="inlineStr">
        <is>
          <t>ID10.00R20-18PR(149/146F)[CB972]ARISUN无内</t>
        </is>
      </c>
      <c r="J1098" s="76" t="n">
        <v>953.636964</v>
      </c>
      <c r="L1098" s="77" t="n"/>
      <c r="M1098" s="77" t="n"/>
    </row>
    <row r="1099" customFormat="1" s="69">
      <c r="B1099" s="92" t="n"/>
      <c r="C1099" s="93" t="n"/>
      <c r="D1099" s="495">
        <f>IF(C1099="","",C1099/(C1099+$E$1/60))</f>
        <v/>
      </c>
      <c r="E1099" s="95">
        <f>IFERROR(ROUND(1440/C1099*2*D1099,0),"")</f>
        <v/>
      </c>
      <c r="F1099" s="96" t="n"/>
      <c r="G1099" s="97" t="n"/>
      <c r="H1099" s="74" t="n"/>
      <c r="I1099" s="75" t="inlineStr">
        <is>
          <t>ID225/70R19.5-14PR(128/126N)[AZ599]GOODRIDE(好运)无内 US</t>
        </is>
      </c>
      <c r="J1099" s="76" t="n">
        <v>447.194027</v>
      </c>
      <c r="L1099" s="77" t="n"/>
      <c r="M1099" s="77" t="n"/>
    </row>
    <row r="1100" customFormat="1" s="69">
      <c r="B1100" s="92" t="n"/>
      <c r="C1100" s="93" t="n"/>
      <c r="D1100" s="495">
        <f>IF(C1100="","",C1100/(C1100+$E$1/60))</f>
        <v/>
      </c>
      <c r="E1100" s="95">
        <f>IFERROR(ROUND(1440/C1100*2*D1100,0),"")</f>
        <v/>
      </c>
      <c r="F1100" s="96" t="n"/>
      <c r="G1100" s="97" t="n"/>
      <c r="H1100" s="74" t="n"/>
      <c r="I1100" s="75" t="inlineStr">
        <is>
          <t>ID11.00R20-18PR(152/149F)[CB972]ARISUN</t>
        </is>
      </c>
      <c r="J1100" s="76" t="n">
        <v>1067.504018</v>
      </c>
      <c r="L1100" s="77" t="n"/>
      <c r="M1100" s="77" t="n"/>
    </row>
    <row r="1101" customFormat="1" s="69">
      <c r="B1101" s="92" t="n"/>
      <c r="C1101" s="93" t="n"/>
      <c r="D1101" s="495">
        <f>IF(C1101="","",C1101/(C1101+$E$1/60))</f>
        <v/>
      </c>
      <c r="E1101" s="95">
        <f>IFERROR(ROUND(1440/C1101*2*D1101,0),"")</f>
        <v/>
      </c>
      <c r="F1101" s="96" t="n"/>
      <c r="G1101" s="97" t="n"/>
      <c r="H1101" s="74" t="n"/>
      <c r="I1101" s="75" t="inlineStr">
        <is>
          <t>IDST235/80R16-10PR[ST226]124/120L CASTLE ROCK无内 NR</t>
        </is>
      </c>
      <c r="J1101" s="76" t="n">
        <v>237.859818</v>
      </c>
      <c r="L1101" s="77" t="n"/>
      <c r="M1101" s="77" t="n"/>
    </row>
    <row r="1102" customFormat="1" s="69">
      <c r="B1102" s="92" t="n"/>
      <c r="C1102" s="93" t="n"/>
      <c r="D1102" s="495">
        <f>IF(C1102="","",C1102/(C1102+$E$1/60))</f>
        <v/>
      </c>
      <c r="E1102" s="95">
        <f>IFERROR(ROUND(1440/C1102*2*D1102,0),"")</f>
        <v/>
      </c>
      <c r="F1102" s="96" t="n"/>
      <c r="G1102" s="97" t="n"/>
      <c r="H1102" s="74" t="n"/>
      <c r="I1102" s="75" t="inlineStr">
        <is>
          <t>ID275/70R22.5-16PR(148/145L)[AZ599]GOODRIDE(好运)无内</t>
        </is>
      </c>
      <c r="J1102" s="76" t="n">
        <v>685.791288</v>
      </c>
      <c r="L1102" s="77" t="n"/>
      <c r="M1102" s="77" t="n"/>
    </row>
    <row r="1103" customFormat="1" s="69">
      <c r="B1103" s="92" t="n"/>
      <c r="C1103" s="93" t="n"/>
      <c r="D1103" s="495">
        <f>IF(C1103="","",C1103/(C1103+$E$1/60))</f>
        <v/>
      </c>
      <c r="E1103" s="95">
        <f>IFERROR(ROUND(1440/C1103*2*D1103,0),"")</f>
        <v/>
      </c>
      <c r="F1103" s="96" t="n"/>
      <c r="G1103" s="97" t="n"/>
      <c r="H1103" s="74" t="n"/>
      <c r="I1103" s="75" t="inlineStr">
        <is>
          <t>ID225/70R19.5-14PR(128/126M)[VD935]VITOUR无内</t>
        </is>
      </c>
      <c r="J1103" s="76" t="n">
        <v>470.844206</v>
      </c>
      <c r="L1103" s="77" t="n"/>
      <c r="M1103" s="77" t="n"/>
    </row>
    <row r="1104" customFormat="1" s="69">
      <c r="B1104" s="92" t="n"/>
      <c r="C1104" s="93" t="n"/>
      <c r="D1104" s="495">
        <f>IF(C1104="","",C1104/(C1104+$E$1/60))</f>
        <v/>
      </c>
      <c r="E1104" s="95">
        <f>IFERROR(ROUND(1440/C1104*2*D1104,0),"")</f>
        <v/>
      </c>
      <c r="F1104" s="96" t="n"/>
      <c r="G1104" s="97" t="n"/>
      <c r="H1104" s="74" t="n"/>
      <c r="I1104" s="75" t="inlineStr">
        <is>
          <t>ID11R24.5-16PR(149/146J)[VDM924]VITOUR无内</t>
        </is>
      </c>
      <c r="J1104" s="76" t="n">
        <v>911.189545</v>
      </c>
      <c r="L1104" s="77" t="n"/>
      <c r="M1104" s="77" t="n"/>
    </row>
    <row r="1105" customFormat="1" s="69">
      <c r="B1105" s="92" t="n"/>
      <c r="C1105" s="93" t="n"/>
      <c r="D1105" s="495">
        <f>IF(C1105="","",C1105/(C1105+$E$1/60))</f>
        <v/>
      </c>
      <c r="E1105" s="95">
        <f>IFERROR(ROUND(1440/C1105*2*D1105,0),"")</f>
        <v/>
      </c>
      <c r="F1105" s="96" t="n"/>
      <c r="G1105" s="97" t="n"/>
      <c r="H1105" s="74" t="n"/>
      <c r="I1105" s="75" t="inlineStr">
        <is>
          <t>ID285/75R24.5-14PR(144/141L)[HF1 Plus]SUPERMAX无内</t>
        </is>
      </c>
      <c r="J1105" s="76" t="n">
        <v>762.18548</v>
      </c>
      <c r="L1105" s="77" t="n"/>
      <c r="M1105" s="77" t="n"/>
    </row>
    <row r="1106" customFormat="1" s="69">
      <c r="B1106" s="92" t="n"/>
      <c r="C1106" s="93" t="n"/>
      <c r="D1106" s="495">
        <f>IF(C1106="","",C1106/(C1106+$E$1/60))</f>
        <v/>
      </c>
      <c r="E1106" s="95">
        <f>IFERROR(ROUND(1440/C1106*2*D1106,0),"")</f>
        <v/>
      </c>
      <c r="F1106" s="96" t="n"/>
      <c r="G1106" s="97" t="n"/>
      <c r="H1106" s="74" t="n"/>
      <c r="I1106" s="75" t="inlineStr">
        <is>
          <t>ID(LB1207)ATV 26×9-12/6[AR12]FREE COUNTRY TL KOMODO</t>
        </is>
      </c>
      <c r="J1106" s="76" t="n">
        <v>23.552837</v>
      </c>
      <c r="L1106" s="77" t="n"/>
      <c r="M1106" s="77" t="n"/>
    </row>
    <row r="1107" customFormat="1" s="69">
      <c r="B1107" s="92" t="n"/>
      <c r="C1107" s="93" t="n"/>
      <c r="D1107" s="495">
        <f>IF(C1107="","",C1107/(C1107+$E$1/60))</f>
        <v/>
      </c>
      <c r="E1107" s="95">
        <f>IFERROR(ROUND(1440/C1107*2*D1107,0),"")</f>
        <v/>
      </c>
      <c r="F1107" s="96" t="n"/>
      <c r="G1107" s="97" t="n"/>
      <c r="H1107" s="74" t="n"/>
      <c r="I1107" s="75" t="inlineStr">
        <is>
          <t>ID(LB1208)ATV 26×10-12/6[AR12]FREE COUNTRY TL KOMODO</t>
        </is>
      </c>
      <c r="J1107" s="76" t="n">
        <v>157.701894</v>
      </c>
      <c r="L1107" s="77" t="n"/>
      <c r="M1107" s="77" t="n"/>
    </row>
    <row r="1108" customFormat="1" s="69">
      <c r="B1108" s="92" t="n"/>
      <c r="C1108" s="93" t="n"/>
      <c r="D1108" s="495">
        <f>IF(C1108="","",C1108/(C1108+$E$1/60))</f>
        <v/>
      </c>
      <c r="E1108" s="95">
        <f>IFERROR(ROUND(1440/C1108*2*D1108,0),"")</f>
        <v/>
      </c>
      <c r="F1108" s="96" t="n"/>
      <c r="G1108" s="97" t="n"/>
      <c r="H1108" s="74" t="n"/>
      <c r="I1108" s="75" t="inlineStr">
        <is>
          <t>ID11R24.5-16PR(149/146L)[KOBE APM]ITARO无内</t>
        </is>
      </c>
      <c r="J1108" s="76" t="n">
        <v>750.293096</v>
      </c>
      <c r="L1108" s="77" t="n"/>
      <c r="M1108" s="77" t="n"/>
    </row>
    <row r="1109" customFormat="1" s="69">
      <c r="B1109" s="92" t="n"/>
      <c r="C1109" s="93" t="n"/>
      <c r="D1109" s="495">
        <f>IF(C1109="","",C1109/(C1109+$E$1/60))</f>
        <v/>
      </c>
      <c r="E1109" s="95">
        <f>IFERROR(ROUND(1440/C1109*2*D1109,0),"")</f>
        <v/>
      </c>
      <c r="F1109" s="96" t="n"/>
      <c r="G1109" s="97" t="n"/>
      <c r="H1109" s="74" t="n"/>
      <c r="I1109" s="75" t="inlineStr">
        <is>
          <t>ID4.80-8-4PR[SU201]62M HI-RUN无内</t>
        </is>
      </c>
      <c r="J1109" s="76" t="n">
        <v>46.01373</v>
      </c>
      <c r="L1109" s="77" t="n"/>
      <c r="M1109" s="77" t="n"/>
    </row>
    <row r="1110" customFormat="1" s="69">
      <c r="B1110" s="92" t="n"/>
      <c r="C1110" s="93" t="n"/>
      <c r="D1110" s="495">
        <f>IF(C1110="","",C1110/(C1110+$E$1/60))</f>
        <v/>
      </c>
      <c r="E1110" s="95">
        <f>IFERROR(ROUND(1440/C1110*2*D1110,0),"")</f>
        <v/>
      </c>
      <c r="F1110" s="96" t="n"/>
      <c r="G1110" s="97" t="n"/>
      <c r="H1110" s="74" t="n"/>
      <c r="I1110" s="75" t="inlineStr">
        <is>
          <t>ID10.00R20-18PR(149/146J)[CM988]金冠</t>
        </is>
      </c>
      <c r="J1110" s="76" t="n">
        <v>923.819848</v>
      </c>
      <c r="L1110" s="77" t="n"/>
      <c r="M1110" s="77" t="n"/>
    </row>
    <row r="1111" customFormat="1" s="69">
      <c r="B1111" s="92" t="n"/>
      <c r="C1111" s="93" t="n"/>
      <c r="D1111" s="495">
        <f>IF(C1111="","",C1111/(C1111+$E$1/60))</f>
        <v/>
      </c>
      <c r="E1111" s="95">
        <f>IFERROR(ROUND(1440/C1111*2*D1111,0),"")</f>
        <v/>
      </c>
      <c r="F1111" s="96" t="n"/>
      <c r="G1111" s="97" t="n"/>
      <c r="H1111" s="74" t="n"/>
      <c r="I1111" s="75" t="inlineStr">
        <is>
          <t>ID10.00R20-18PR(149/146J)[CR926]ARISUN</t>
        </is>
      </c>
      <c r="J1111" s="76" t="n">
        <v>902.417341</v>
      </c>
      <c r="L1111" s="77" t="n"/>
      <c r="M1111" s="77" t="n"/>
    </row>
    <row r="1112" customFormat="1" s="69">
      <c r="B1112" s="92" t="n"/>
      <c r="C1112" s="93" t="n"/>
      <c r="D1112" s="495">
        <f>IF(C1112="","",C1112/(C1112+$E$1/60))</f>
        <v/>
      </c>
      <c r="E1112" s="95">
        <f>IFERROR(ROUND(1440/C1112*2*D1112,0),"")</f>
        <v/>
      </c>
      <c r="F1112" s="96" t="n"/>
      <c r="G1112" s="97" t="n"/>
      <c r="H1112" s="74" t="n"/>
      <c r="I1112" s="75" t="inlineStr">
        <is>
          <t>ID10.00R20-18PR(149/146J)[CM988]朝阳</t>
        </is>
      </c>
      <c r="J1112" s="76" t="n">
        <v>923.819848</v>
      </c>
      <c r="L1112" s="77" t="n"/>
      <c r="M1112" s="77" t="n"/>
    </row>
    <row r="1113" customFormat="1" s="69">
      <c r="B1113" s="92" t="n"/>
      <c r="C1113" s="93" t="n"/>
      <c r="D1113" s="495">
        <f>IF(C1113="","",C1113/(C1113+$E$1/60))</f>
        <v/>
      </c>
      <c r="E1113" s="95">
        <f>IFERROR(ROUND(1440/C1113*2*D1113,0),"")</f>
        <v/>
      </c>
      <c r="F1113" s="96" t="n"/>
      <c r="G1113" s="97" t="n"/>
      <c r="H1113" s="74" t="n"/>
      <c r="I1113" s="75" t="inlineStr">
        <is>
          <t>ID315/80R22.5-20PR(161/157K)[VA996]VITOUR无内</t>
        </is>
      </c>
      <c r="J1113" s="76" t="n">
        <v>975.239748</v>
      </c>
      <c r="L1113" s="77" t="n"/>
      <c r="M1113" s="77" t="n"/>
    </row>
    <row r="1114" customFormat="1" s="69">
      <c r="B1114" s="92" t="n"/>
      <c r="C1114" s="93" t="n"/>
      <c r="D1114" s="495">
        <f>IF(C1114="","",C1114/(C1114+$E$1/60))</f>
        <v/>
      </c>
      <c r="E1114" s="95">
        <f>IFERROR(ROUND(1440/C1114*2*D1114,0),"")</f>
        <v/>
      </c>
      <c r="F1114" s="96" t="n"/>
      <c r="G1114" s="97" t="n"/>
      <c r="H1114" s="74" t="n"/>
      <c r="I1114" s="75" t="inlineStr">
        <is>
          <t>ID295/80R22.5-18PR(152/149M)[ECOTRAX D-I]NEBULA无内</t>
        </is>
      </c>
      <c r="J1114" s="76" t="n">
        <v>764.1228</v>
      </c>
      <c r="L1114" s="77" t="n"/>
      <c r="M1114" s="77" t="n"/>
    </row>
    <row r="1115" customFormat="1" s="69">
      <c r="B1115" s="92" t="n"/>
      <c r="C1115" s="93" t="n"/>
      <c r="D1115" s="495">
        <f>IF(C1115="","",C1115/(C1115+$E$1/60))</f>
        <v/>
      </c>
      <c r="E1115" s="95">
        <f>IFERROR(ROUND(1440/C1115*2*D1115,0),"")</f>
        <v/>
      </c>
      <c r="F1115" s="96" t="n"/>
      <c r="G1115" s="97" t="n"/>
      <c r="H1115" s="74" t="n"/>
      <c r="I1115" s="75" t="inlineStr">
        <is>
          <t>ID295/75R22.5-16PR(146/143L)[HD1 Plus]SUPERMAX无内</t>
        </is>
      </c>
      <c r="J1115" s="76" t="n">
        <v>773.086594</v>
      </c>
      <c r="L1115" s="77" t="n"/>
      <c r="M1115" s="77" t="n"/>
    </row>
    <row r="1116" customFormat="1" s="69">
      <c r="B1116" s="92" t="n"/>
      <c r="C1116" s="93" t="n"/>
      <c r="D1116" s="495">
        <f>IF(C1116="","",C1116/(C1116+$E$1/60))</f>
        <v/>
      </c>
      <c r="E1116" s="95">
        <f>IFERROR(ROUND(1440/C1116*2*D1116,0),"")</f>
        <v/>
      </c>
      <c r="F1116" s="96" t="n"/>
      <c r="G1116" s="97" t="n"/>
      <c r="H1116" s="74" t="n"/>
      <c r="I1116" s="75" t="inlineStr">
        <is>
          <t>ID295/75R22.5-14PR(144/141L)[HD1 Plus]SUPERMAX无内</t>
        </is>
      </c>
      <c r="J1116" s="76" t="n">
        <v>734.987792</v>
      </c>
      <c r="L1116" s="77" t="n"/>
      <c r="M1116" s="77" t="n"/>
    </row>
    <row r="1117" customFormat="1" s="69">
      <c r="B1117" s="92" t="n"/>
      <c r="C1117" s="93" t="n"/>
      <c r="D1117" s="495">
        <f>IF(C1117="","",C1117/(C1117+$E$1/60))</f>
        <v/>
      </c>
      <c r="E1117" s="95">
        <f>IFERROR(ROUND(1440/C1117*2*D1117,0),"")</f>
        <v/>
      </c>
      <c r="F1117" s="96" t="n"/>
      <c r="G1117" s="97" t="n"/>
      <c r="H1117" s="74" t="n"/>
      <c r="I1117" s="75" t="inlineStr">
        <is>
          <t>ID285/75R24.5-16PR(147/144L)[VD998]VITOUR无内</t>
        </is>
      </c>
      <c r="J1117" s="76" t="n">
        <v>911.700055</v>
      </c>
      <c r="L1117" s="77" t="n"/>
      <c r="M1117" s="77" t="n"/>
    </row>
    <row r="1118" customFormat="1" s="69">
      <c r="B1118" s="92" t="n"/>
      <c r="C1118" s="93" t="n"/>
      <c r="D1118" s="495">
        <f>IF(C1118="","",C1118/(C1118+$E$1/60))</f>
        <v/>
      </c>
      <c r="E1118" s="95">
        <f>IFERROR(ROUND(1440/C1118*2*D1118,0),"")</f>
        <v/>
      </c>
      <c r="F1118" s="96" t="n"/>
      <c r="G1118" s="97" t="n"/>
      <c r="H1118" s="74" t="n"/>
      <c r="I1118" s="75" t="inlineStr">
        <is>
          <t>ID285/75R24.5-14PR(144/141L)[HD1 Plus]SUPERMAX无内</t>
        </is>
      </c>
      <c r="J1118" s="76" t="n">
        <v>821.488416</v>
      </c>
      <c r="L1118" s="77" t="n"/>
      <c r="M1118" s="77" t="n"/>
    </row>
    <row r="1119" customFormat="1" s="69">
      <c r="B1119" s="92" t="n"/>
      <c r="C1119" s="93" t="n"/>
      <c r="D1119" s="495">
        <f>IF(C1119="","",C1119/(C1119+$E$1/60))</f>
        <v/>
      </c>
      <c r="E1119" s="95">
        <f>IFERROR(ROUND(1440/C1119*2*D1119,0),"")</f>
        <v/>
      </c>
      <c r="F1119" s="96" t="n"/>
      <c r="G1119" s="97" t="n"/>
      <c r="H1119" s="74" t="n"/>
      <c r="I1119" s="75" t="inlineStr">
        <is>
          <t>ID11R22.5-16PR(148/145L)[AZ850]雅度无内</t>
        </is>
      </c>
      <c r="J1119" s="76" t="n">
        <v>802.834333</v>
      </c>
      <c r="L1119" s="77" t="n"/>
      <c r="M1119" s="77" t="n"/>
    </row>
    <row r="1120" customFormat="1" s="69">
      <c r="B1120" s="92" t="n"/>
      <c r="C1120" s="93" t="n"/>
      <c r="D1120" s="495">
        <f>IF(C1120="","",C1120/(C1120+$E$1/60))</f>
        <v/>
      </c>
      <c r="E1120" s="95">
        <f>IFERROR(ROUND(1440/C1120*2*D1120,0),"")</f>
        <v/>
      </c>
      <c r="F1120" s="96" t="n"/>
      <c r="G1120" s="97" t="n"/>
      <c r="H1120" s="74" t="n"/>
      <c r="I1120" s="75" t="inlineStr">
        <is>
          <t>ID12.00R24-22PR(162/160F)[XC809]路诚</t>
        </is>
      </c>
      <c r="J1120" s="76" t="n">
        <v>1126.341902</v>
      </c>
      <c r="L1120" s="77" t="n"/>
      <c r="M1120" s="77" t="n"/>
    </row>
    <row r="1121" customFormat="1" s="69">
      <c r="B1121" s="92" t="n"/>
      <c r="C1121" s="93" t="n"/>
      <c r="D1121" s="495">
        <f>IF(C1121="","",C1121/(C1121+$E$1/60))</f>
        <v/>
      </c>
      <c r="E1121" s="95">
        <f>IFERROR(ROUND(1440/C1121*2*D1121,0),"")</f>
        <v/>
      </c>
      <c r="F1121" s="96" t="n"/>
      <c r="G1121" s="97" t="n"/>
      <c r="H1121" s="74" t="n"/>
      <c r="I1121" s="75" t="inlineStr">
        <is>
          <t>ID245/70R17.5-18PR(143/141J)[I-19A]IRONMAN无内</t>
        </is>
      </c>
      <c r="J1121" s="76" t="n">
        <v>497.961807</v>
      </c>
      <c r="L1121" s="77" t="n"/>
      <c r="M1121" s="77" t="n"/>
    </row>
    <row r="1122" customFormat="1" s="69">
      <c r="B1122" s="92" t="n"/>
      <c r="C1122" s="93" t="n"/>
      <c r="D1122" s="495">
        <f>IF(C1122="","",C1122/(C1122+$E$1/60))</f>
        <v/>
      </c>
      <c r="E1122" s="95">
        <f>IFERROR(ROUND(1440/C1122*2*D1122,0),"")</f>
        <v/>
      </c>
      <c r="F1122" s="96" t="n"/>
      <c r="G1122" s="97" t="n"/>
      <c r="H1122" s="74" t="n"/>
      <c r="I1122" s="75" t="inlineStr">
        <is>
          <t>ID445/50R22.5-20PR(161L)[AT570]ARISUN无内</t>
        </is>
      </c>
      <c r="J1122" s="76" t="n">
        <v>1124.107796</v>
      </c>
      <c r="L1122" s="77" t="n"/>
      <c r="M1122" s="77" t="n"/>
    </row>
    <row r="1123" customFormat="1" s="69">
      <c r="B1123" s="92" t="n"/>
      <c r="C1123" s="93" t="n"/>
      <c r="D1123" s="495">
        <f>IF(C1123="","",C1123/(C1123+$E$1/60))</f>
        <v/>
      </c>
      <c r="E1123" s="95">
        <f>IFERROR(ROUND(1440/C1123*2*D1123,0),"")</f>
        <v/>
      </c>
      <c r="F1123" s="96" t="n"/>
      <c r="G1123" s="97" t="n"/>
      <c r="H1123" s="74" t="n"/>
      <c r="I1123" s="75" t="inlineStr">
        <is>
          <t>ID445/50R22.5-20PR(161L)[ECO-MILE WBT]TRAVELSTAR无内</t>
        </is>
      </c>
      <c r="J1123" s="76" t="n">
        <v>1140.467</v>
      </c>
      <c r="L1123" s="77" t="n"/>
      <c r="M1123" s="77" t="n"/>
    </row>
    <row r="1124" customFormat="1" s="69">
      <c r="B1124" s="92" t="n"/>
      <c r="C1124" s="93" t="n"/>
      <c r="D1124" s="495">
        <f>IF(C1124="","",C1124/(C1124+$E$1/60))</f>
        <v/>
      </c>
      <c r="E1124" s="95">
        <f>IFERROR(ROUND(1440/C1124*2*D1124,0),"")</f>
        <v/>
      </c>
      <c r="F1124" s="96" t="n"/>
      <c r="G1124" s="97" t="n"/>
      <c r="H1124" s="74" t="n"/>
      <c r="I1124" s="75" t="inlineStr">
        <is>
          <t>ID11R22.5-14PR(144/142M)[I-48T]IRONMAN无内 SMARTWAY</t>
        </is>
      </c>
      <c r="J1124" s="76" t="n">
        <v>706.6458</v>
      </c>
      <c r="L1124" s="77" t="n"/>
      <c r="M1124" s="77" t="n"/>
    </row>
    <row r="1125" customFormat="1" s="69">
      <c r="B1125" s="92" t="n"/>
      <c r="C1125" s="93" t="n"/>
      <c r="D1125" s="495">
        <f>IF(C1125="","",C1125/(C1125+$E$1/60))</f>
        <v/>
      </c>
      <c r="E1125" s="95">
        <f>IFERROR(ROUND(1440/C1125*2*D1125,0),"")</f>
        <v/>
      </c>
      <c r="F1125" s="96" t="n"/>
      <c r="G1125" s="97" t="n"/>
      <c r="H1125" s="74" t="n"/>
      <c r="I1125" s="75" t="inlineStr">
        <is>
          <t>ID325/95R24-22PR(162/160K)[EZ865]朝阳无内</t>
        </is>
      </c>
      <c r="J1125" s="76" t="n">
        <v>1255.7237</v>
      </c>
      <c r="L1125" s="77" t="n"/>
      <c r="M1125" s="77" t="n"/>
    </row>
    <row r="1126" customFormat="1" s="69">
      <c r="B1126" s="92" t="n"/>
      <c r="C1126" s="93" t="n"/>
      <c r="D1126" s="495">
        <f>IF(C1126="","",C1126/(C1126+$E$1/60))</f>
        <v/>
      </c>
      <c r="E1126" s="95">
        <f>IFERROR(ROUND(1440/C1126*2*D1126,0),"")</f>
        <v/>
      </c>
      <c r="F1126" s="96" t="n"/>
      <c r="G1126" s="97" t="n"/>
      <c r="H1126" s="74" t="n"/>
      <c r="I1126" s="75" t="inlineStr">
        <is>
          <t>ID325/95R24-22PR(162/160K)[CM912A]威狮无内</t>
        </is>
      </c>
      <c r="J1126" s="76" t="n">
        <v>1182.7172</v>
      </c>
      <c r="L1126" s="77" t="n"/>
      <c r="M1126" s="77" t="n"/>
    </row>
    <row r="1127" customFormat="1" s="69">
      <c r="B1127" s="92" t="n"/>
      <c r="C1127" s="93" t="n"/>
      <c r="D1127" s="495">
        <f>IF(C1127="","",C1127/(C1127+$E$1/60))</f>
        <v/>
      </c>
      <c r="E1127" s="95">
        <f>IFERROR(ROUND(1440/C1127*2*D1127,0),"")</f>
        <v/>
      </c>
      <c r="F1127" s="96" t="n"/>
      <c r="G1127" s="97" t="n"/>
      <c r="H1127" s="74" t="n"/>
      <c r="I1127" s="75" t="inlineStr">
        <is>
          <t>ID315/80R22.5-20PR(157/154K)[AS578]朝阳无内</t>
        </is>
      </c>
      <c r="J1127" s="76" t="n">
        <v>974.6457</v>
      </c>
      <c r="L1127" s="77" t="n"/>
      <c r="M1127" s="77" t="n"/>
    </row>
    <row r="1128" customFormat="1" s="69">
      <c r="B1128" s="92" t="n"/>
      <c r="C1128" s="93" t="n"/>
      <c r="D1128" s="495">
        <f>IF(C1128="","",C1128/(C1128+$E$1/60))</f>
        <v/>
      </c>
      <c r="E1128" s="95">
        <f>IFERROR(ROUND(1440/C1128*2*D1128,0),"")</f>
        <v/>
      </c>
      <c r="F1128" s="96" t="n"/>
      <c r="G1128" s="97" t="n"/>
      <c r="H1128" s="74" t="n"/>
      <c r="I1128" s="75" t="inlineStr">
        <is>
          <t>ID295/75R22.5-14PR(144/141L)[DL21]威狮无内</t>
        </is>
      </c>
      <c r="J1128" s="76" t="n">
        <v>885.836</v>
      </c>
      <c r="L1128" s="77" t="n"/>
      <c r="M1128" s="77" t="n"/>
    </row>
    <row r="1129" customFormat="1" s="69">
      <c r="B1129" s="92" t="n"/>
      <c r="C1129" s="93" t="n"/>
      <c r="D1129" s="495">
        <f>IF(C1129="","",C1129/(C1129+$E$1/60))</f>
        <v/>
      </c>
      <c r="E1129" s="95">
        <f>IFERROR(ROUND(1440/C1129*2*D1129,0),"")</f>
        <v/>
      </c>
      <c r="F1129" s="96" t="n"/>
      <c r="G1129" s="97" t="n"/>
      <c r="H1129" s="74" t="n"/>
      <c r="I1129" s="75" t="inlineStr">
        <is>
          <t>ID11R24.5-14PR(146/143M)[I-48T]IRONMAN无内 SMARTWAY</t>
        </is>
      </c>
      <c r="J1129" s="76" t="n">
        <v>758.3513</v>
      </c>
      <c r="L1129" s="77" t="n"/>
      <c r="M1129" s="77" t="n"/>
    </row>
    <row r="1130" customFormat="1" s="69">
      <c r="B1130" s="92" t="n"/>
      <c r="C1130" s="93" t="n"/>
      <c r="D1130" s="495">
        <f>IF(C1130="","",C1130/(C1130+$E$1/60))</f>
        <v/>
      </c>
      <c r="E1130" s="95">
        <f>IFERROR(ROUND(1440/C1130*2*D1130,0),"")</f>
        <v/>
      </c>
      <c r="F1130" s="96" t="n"/>
      <c r="G1130" s="97" t="n"/>
      <c r="H1130" s="74" t="n"/>
      <c r="I1130" s="75" t="inlineStr">
        <is>
          <t>ID11R22.5-16PR(148/145L)[DL21]威狮无内</t>
        </is>
      </c>
      <c r="J1130" s="76" t="n">
        <v>908.9458</v>
      </c>
      <c r="L1130" s="77" t="n"/>
      <c r="M1130" s="77" t="n"/>
    </row>
    <row r="1131" customFormat="1" s="69">
      <c r="B1131" s="92" t="n"/>
      <c r="C1131" s="93" t="n"/>
      <c r="D1131" s="495">
        <f>IF(C1131="","",C1131/(C1131+$E$1/60))</f>
        <v/>
      </c>
      <c r="E1131" s="95">
        <f>IFERROR(ROUND(1440/C1131*2*D1131,0),"")</f>
        <v/>
      </c>
      <c r="F1131" s="96" t="n"/>
      <c r="G1131" s="97" t="n"/>
      <c r="H1131" s="74" t="n"/>
      <c r="I1131" s="75" t="inlineStr">
        <is>
          <t>ID315/80R22.5-20PR(157/154K)[AD710A]朝阳无内</t>
        </is>
      </c>
      <c r="J1131" s="76" t="n">
        <v>1045.9148</v>
      </c>
      <c r="L1131" s="77" t="n"/>
      <c r="M1131" s="77" t="n"/>
    </row>
    <row r="1132" customFormat="1" s="69">
      <c r="B1132" s="92" t="n"/>
      <c r="C1132" s="93" t="n"/>
      <c r="D1132" s="495">
        <f>IF(C1132="","",C1132/(C1132+$E$1/60))</f>
        <v/>
      </c>
      <c r="E1132" s="95">
        <f>IFERROR(ROUND(1440/C1132*2*D1132,0),"")</f>
        <v/>
      </c>
      <c r="F1132" s="96" t="n"/>
      <c r="G1132" s="97" t="n"/>
      <c r="H1132" s="74" t="n"/>
      <c r="I1132" s="75" t="inlineStr">
        <is>
          <t>ID295/80R22.5-18PR(152/149M)[AS589]威狮无内</t>
        </is>
      </c>
      <c r="J1132" s="76" t="n">
        <v>795.5864</v>
      </c>
      <c r="L1132" s="77" t="n"/>
      <c r="M1132" s="77" t="n"/>
    </row>
    <row r="1133" customFormat="1" s="69">
      <c r="B1133" s="92" t="n"/>
      <c r="C1133" s="93" t="n"/>
      <c r="D1133" s="495">
        <f>IF(C1133="","",C1133/(C1133+$E$1/60))</f>
        <v/>
      </c>
      <c r="E1133" s="95">
        <f>IFERROR(ROUND(1440/C1133*2*D1133,0),"")</f>
        <v/>
      </c>
      <c r="F1133" s="96" t="n"/>
      <c r="G1133" s="97" t="n"/>
      <c r="H1133" s="74" t="n"/>
      <c r="I1133" s="75" t="inlineStr">
        <is>
          <t>ID295/80R22.5-18PR(152/149M)[AS567]威狮无内</t>
        </is>
      </c>
      <c r="J1133" s="76" t="n">
        <v>837.0222</v>
      </c>
      <c r="L1133" s="77" t="n"/>
      <c r="M1133" s="77" t="n"/>
    </row>
    <row r="1134" customFormat="1" s="69">
      <c r="B1134" s="92" t="n"/>
      <c r="C1134" s="93" t="n"/>
      <c r="D1134" s="495">
        <f>IF(C1134="","",C1134/(C1134+$E$1/60))</f>
        <v/>
      </c>
      <c r="E1134" s="95">
        <f>IFERROR(ROUND(1440/C1134*2*D1134,0),"")</f>
        <v/>
      </c>
      <c r="F1134" s="96" t="n"/>
      <c r="G1134" s="97" t="n"/>
      <c r="H1134" s="74" t="n"/>
      <c r="I1134" s="75" t="inlineStr">
        <is>
          <t>ID11R22.5-16PR(148/145J)[CR906Ⅱ]TRAZANO(全诺)无内</t>
        </is>
      </c>
      <c r="J1134" s="76" t="n">
        <v>931.5676999999999</v>
      </c>
      <c r="L1134" s="77" t="n"/>
      <c r="M1134" s="77" t="n"/>
    </row>
    <row r="1135" customFormat="1" s="69">
      <c r="B1135" s="92" t="n"/>
      <c r="C1135" s="93" t="n"/>
      <c r="D1135" s="495">
        <f>IF(C1135="","",C1135/(C1135+$E$1/60))</f>
        <v/>
      </c>
      <c r="E1135" s="95">
        <f>IFERROR(ROUND(1440/C1135*2*D1135,0),"")</f>
        <v/>
      </c>
      <c r="F1135" s="96" t="n"/>
      <c r="G1135" s="97" t="n"/>
      <c r="H1135" s="74" t="n"/>
      <c r="I1135" s="75" t="inlineStr">
        <is>
          <t>ID12.00R24-22PR(162/160F)[EZ336]TRAZANO(全诺)</t>
        </is>
      </c>
      <c r="J1135" s="76" t="n">
        <v>1285.8188</v>
      </c>
      <c r="L1135" s="77" t="n"/>
      <c r="M1135" s="77" t="n"/>
    </row>
    <row r="1136" customFormat="1" s="69">
      <c r="B1136" s="92" t="n"/>
      <c r="C1136" s="93" t="n"/>
      <c r="D1136" s="495">
        <f>IF(C1136="","",C1136/(C1136+$E$1/60))</f>
        <v/>
      </c>
      <c r="E1136" s="95">
        <f>IFERROR(ROUND(1440/C1136*2*D1136,0),"")</f>
        <v/>
      </c>
      <c r="F1136" s="96" t="n"/>
      <c r="G1136" s="97" t="n"/>
      <c r="H1136" s="74" t="n"/>
      <c r="I1136" s="75" t="inlineStr">
        <is>
          <t>ID235/75R17.5-18PR(143/141L)[I-19A]IRONMAN无内</t>
        </is>
      </c>
      <c r="J1136" s="76" t="n">
        <v>450.6054</v>
      </c>
      <c r="L1136" s="77" t="n"/>
      <c r="M1136" s="77" t="n"/>
    </row>
    <row r="1137" customFormat="1" s="69">
      <c r="B1137" s="92" t="n"/>
      <c r="C1137" s="93" t="n"/>
      <c r="D1137" s="495">
        <f>IF(C1137="","",C1137/(C1137+$E$1/60))</f>
        <v/>
      </c>
      <c r="E1137" s="95">
        <f>IFERROR(ROUND(1440/C1137*2*D1137,0),"")</f>
        <v/>
      </c>
      <c r="F1137" s="96" t="n"/>
      <c r="G1137" s="97" t="n"/>
      <c r="H1137" s="74" t="n"/>
      <c r="I1137" s="75" t="inlineStr">
        <is>
          <t>ID7.50R15中策垫带 (70凹）</t>
        </is>
      </c>
      <c r="J1137" s="76" t="n">
        <v>10.140347</v>
      </c>
      <c r="L1137" s="77" t="n"/>
      <c r="M1137" s="77" t="n"/>
    </row>
    <row r="1138" customFormat="1" s="69">
      <c r="B1138" s="92" t="n"/>
      <c r="C1138" s="93" t="n"/>
      <c r="D1138" s="495">
        <f>IF(C1138="","",C1138/(C1138+$E$1/60))</f>
        <v/>
      </c>
      <c r="E1138" s="95">
        <f>IFERROR(ROUND(1440/C1138*2*D1138,0),"")</f>
        <v/>
      </c>
      <c r="F1138" s="96" t="n"/>
      <c r="G1138" s="97" t="n"/>
      <c r="H1138" s="74" t="n"/>
      <c r="I1138" s="75" t="inlineStr">
        <is>
          <t>ID225/70R19.5-14PR(128/126N)[AZ599]威狮无内 US</t>
        </is>
      </c>
      <c r="J1138" s="76" t="n">
        <v>447.1901</v>
      </c>
      <c r="L1138" s="77" t="n"/>
      <c r="M1138" s="77" t="n"/>
    </row>
    <row r="1139" customFormat="1" s="69">
      <c r="B1139" s="92" t="n"/>
      <c r="C1139" s="93" t="n"/>
      <c r="D1139" s="495">
        <f>IF(C1139="","",C1139/(C1139+$E$1/60))</f>
        <v/>
      </c>
      <c r="E1139" s="95">
        <f>IFERROR(ROUND(1440/C1139*2*D1139,0),"")</f>
        <v/>
      </c>
      <c r="F1139" s="96" t="n"/>
      <c r="G1139" s="97" t="n"/>
      <c r="H1139" s="74" t="n"/>
      <c r="I1139" s="75" t="inlineStr">
        <is>
          <t>ID7.50R16-14PR(122/118L)[CM988]金冠</t>
        </is>
      </c>
      <c r="J1139" s="76" t="n">
        <v>450.2008</v>
      </c>
      <c r="L1139" s="77" t="n"/>
      <c r="M1139" s="77" t="n"/>
    </row>
    <row r="1140" customFormat="1" s="69">
      <c r="B1140" s="92" t="n"/>
      <c r="C1140" s="93" t="n"/>
      <c r="D1140" s="495">
        <f>IF(C1140="","",C1140/(C1140+$E$1/60))</f>
        <v/>
      </c>
      <c r="E1140" s="95">
        <f>IFERROR(ROUND(1440/C1140*2*D1140,0),"")</f>
        <v/>
      </c>
      <c r="F1140" s="96" t="n"/>
      <c r="G1140" s="97" t="n"/>
      <c r="H1140" s="74" t="n"/>
      <c r="I1140" s="75" t="inlineStr">
        <is>
          <t>ID7.50R16-14PR(122/118F)[CB972]金冠</t>
        </is>
      </c>
      <c r="J1140" s="76" t="n">
        <v>441.7399</v>
      </c>
      <c r="L1140" s="77" t="n"/>
      <c r="M1140" s="77" t="n"/>
    </row>
    <row r="1141" customFormat="1" s="69">
      <c r="B1141" s="92" t="n"/>
      <c r="C1141" s="93" t="n"/>
      <c r="D1141" s="495">
        <f>IF(C1141="","",C1141/(C1141+$E$1/60))</f>
        <v/>
      </c>
      <c r="E1141" s="95">
        <f>IFERROR(ROUND(1440/C1141*2*D1141,0),"")</f>
        <v/>
      </c>
      <c r="F1141" s="96" t="n"/>
      <c r="G1141" s="97" t="n"/>
      <c r="H1141" s="74" t="n"/>
      <c r="I1141" s="75" t="inlineStr">
        <is>
          <t>ID7.50R16-14PR(122/118F)[EZ377]朝阳</t>
        </is>
      </c>
      <c r="J1141" s="76" t="n">
        <v>456.246</v>
      </c>
      <c r="L1141" s="77" t="n"/>
      <c r="M1141" s="77" t="n"/>
    </row>
    <row r="1142" customFormat="1" s="69">
      <c r="B1142" s="92" t="n"/>
      <c r="C1142" s="93" t="n"/>
      <c r="D1142" s="495">
        <f>IF(C1142="","",C1142/(C1142+$E$1/60))</f>
        <v/>
      </c>
      <c r="E1142" s="95">
        <f>IFERROR(ROUND(1440/C1142*2*D1142,0),"")</f>
        <v/>
      </c>
      <c r="F1142" s="96" t="n"/>
      <c r="G1142" s="97" t="n"/>
      <c r="H1142" s="74" t="n"/>
      <c r="I1142" s="75" t="inlineStr">
        <is>
          <t>ID295/80R22.5-18PR(152/149L)[AD153]朝阳无内</t>
        </is>
      </c>
      <c r="J1142" s="76" t="n">
        <v>815.5665</v>
      </c>
      <c r="L1142" s="77" t="n"/>
      <c r="M1142" s="77" t="n"/>
    </row>
    <row r="1143" customFormat="1" s="69">
      <c r="B1143" s="92" t="n"/>
      <c r="C1143" s="93" t="n"/>
      <c r="D1143" s="495">
        <f>IF(C1143="","",C1143/(C1143+$E$1/60))</f>
        <v/>
      </c>
      <c r="E1143" s="95">
        <f>IFERROR(ROUND(1440/C1143*2*D1143,0),"")</f>
        <v/>
      </c>
      <c r="F1143" s="96" t="n"/>
      <c r="G1143" s="97" t="n"/>
      <c r="H1143" s="74" t="n"/>
      <c r="I1143" s="75" t="inlineStr">
        <is>
          <t>ID245/70R19.5-16PR(136/134M)[AZ599]威狮无内</t>
        </is>
      </c>
      <c r="J1143" s="76" t="n">
        <v>528.1339</v>
      </c>
      <c r="L1143" s="77" t="n"/>
      <c r="M1143" s="77" t="n"/>
    </row>
    <row r="1144" customFormat="1" s="69">
      <c r="B1144" s="92" t="n"/>
      <c r="C1144" s="93" t="n"/>
      <c r="D1144" s="495">
        <f>IF(C1144="","",C1144/(C1144+$E$1/60))</f>
        <v/>
      </c>
      <c r="E1144" s="95">
        <f>IFERROR(ROUND(1440/C1144*2*D1144,0),"")</f>
        <v/>
      </c>
      <c r="F1144" s="96" t="n"/>
      <c r="G1144" s="97" t="n"/>
      <c r="H1144" s="74" t="n"/>
      <c r="I1144" s="75" t="inlineStr">
        <is>
          <t>ID265/70R19.5-18PR(143/141J)[VA933]VITOUR无内</t>
        </is>
      </c>
      <c r="J1144" s="76" t="n">
        <v>592.9532</v>
      </c>
      <c r="L1144" s="77" t="n"/>
      <c r="M1144" s="77" t="n"/>
    </row>
    <row r="1145" customFormat="1" s="69">
      <c r="B1145" s="92" t="n"/>
      <c r="C1145" s="93" t="n"/>
      <c r="D1145" s="495">
        <f>IF(C1145="","",C1145/(C1145+$E$1/60))</f>
        <v/>
      </c>
      <c r="E1145" s="95">
        <f>IFERROR(ROUND(1440/C1145*2*D1145,0),"")</f>
        <v/>
      </c>
      <c r="F1145" s="96" t="n"/>
      <c r="G1145" s="97" t="n"/>
      <c r="H1145" s="74" t="n"/>
      <c r="I1145" s="75" t="inlineStr">
        <is>
          <t>ID265/70R19.5-18PR(143/141K)[I-19A]IRONMAN无内</t>
        </is>
      </c>
      <c r="J1145" s="76" t="n">
        <v>576.912</v>
      </c>
      <c r="L1145" s="77" t="n"/>
      <c r="M1145" s="77" t="n"/>
    </row>
    <row r="1146" customFormat="1" s="69">
      <c r="B1146" s="92" t="n"/>
      <c r="C1146" s="93" t="n"/>
      <c r="D1146" s="495">
        <f>IF(C1146="","",C1146/(C1146+$E$1/60))</f>
        <v/>
      </c>
      <c r="E1146" s="95">
        <f>IFERROR(ROUND(1440/C1146*2*D1146,0),"")</f>
        <v/>
      </c>
      <c r="F1146" s="96" t="n"/>
      <c r="G1146" s="97" t="n"/>
      <c r="H1146" s="74" t="n"/>
      <c r="I1146" s="75" t="inlineStr">
        <is>
          <t>ID235/75R17.5-16PR(143/141J)[AS673]ARISUN无内</t>
        </is>
      </c>
      <c r="J1146" s="76" t="n">
        <v>446.2262</v>
      </c>
      <c r="L1146" s="77" t="n"/>
      <c r="M1146" s="77" t="n"/>
    </row>
    <row r="1147" customFormat="1" s="69">
      <c r="B1147" s="92" t="n"/>
      <c r="C1147" s="93" t="n"/>
      <c r="D1147" s="495">
        <f>IF(C1147="","",C1147/(C1147+$E$1/60))</f>
        <v/>
      </c>
      <c r="E1147" s="95">
        <f>IFERROR(ROUND(1440/C1147*2*D1147,0),"")</f>
        <v/>
      </c>
      <c r="F1147" s="96" t="n"/>
      <c r="G1147" s="97" t="n"/>
      <c r="H1147" s="74" t="n"/>
      <c r="I1147" s="75" t="inlineStr">
        <is>
          <t>ID295/75R22.5-14PR(144/141L)[AT563]C级ARISUN无内</t>
        </is>
      </c>
      <c r="J1147" s="76" t="n">
        <v>734.7298</v>
      </c>
      <c r="L1147" s="77" t="n"/>
      <c r="M1147" s="77" t="n"/>
    </row>
    <row r="1148" customFormat="1" s="69">
      <c r="B1148" s="92" t="n"/>
      <c r="C1148" s="93" t="n"/>
      <c r="D1148" s="495">
        <f>IF(C1148="","",C1148/(C1148+$E$1/60))</f>
        <v/>
      </c>
      <c r="E1148" s="95">
        <f>IFERROR(ROUND(1440/C1148*2*D1148,0),"")</f>
        <v/>
      </c>
      <c r="F1148" s="96" t="n"/>
      <c r="G1148" s="97" t="n"/>
      <c r="H1148" s="74" t="n"/>
      <c r="I1148" s="75" t="inlineStr">
        <is>
          <t>ID11R24.5-16PR(149/146L)[I-37D]IRONMAN无内</t>
        </is>
      </c>
      <c r="J1148" s="76" t="n">
        <v>890.6436</v>
      </c>
      <c r="L1148" s="77" t="n"/>
      <c r="M1148" s="77" t="n"/>
    </row>
    <row r="1149" customFormat="1" s="69">
      <c r="B1149" s="92" t="n"/>
      <c r="C1149" s="93" t="n"/>
      <c r="D1149" s="495">
        <f>IF(C1149="","",C1149/(C1149+$E$1/60))</f>
        <v/>
      </c>
      <c r="E1149" s="95">
        <f>IFERROR(ROUND(1440/C1149*2*D1149,0),"")</f>
        <v/>
      </c>
      <c r="F1149" s="96" t="n"/>
      <c r="G1149" s="97" t="n"/>
      <c r="H1149" s="74" t="n"/>
      <c r="I1149" s="75" t="inlineStr">
        <is>
          <t>ID11R24.5-16PR(149/146L)[I-52A]IRONMAN无内 SMARTWAY</t>
        </is>
      </c>
      <c r="J1149" s="76" t="n">
        <v>884.6935999999999</v>
      </c>
      <c r="L1149" s="77" t="n"/>
      <c r="M1149" s="77" t="n"/>
    </row>
    <row r="1150" customFormat="1" s="69">
      <c r="B1150" s="92" t="n"/>
      <c r="C1150" s="93" t="n"/>
      <c r="D1150" s="495">
        <f>IF(C1150="","",C1150/(C1150+$E$1/60))</f>
        <v/>
      </c>
      <c r="E1150" s="95">
        <f>IFERROR(ROUND(1440/C1150*2*D1150,0),"")</f>
        <v/>
      </c>
      <c r="F1150" s="96" t="n"/>
      <c r="G1150" s="97" t="n"/>
      <c r="H1150" s="74" t="n"/>
      <c r="I1150" s="75" t="inlineStr">
        <is>
          <t>ID11R22.5-16PR(148/145L)[I-37D]IRONMAN无内</t>
        </is>
      </c>
      <c r="J1150" s="76" t="n">
        <v>833.2023</v>
      </c>
      <c r="L1150" s="77" t="n"/>
      <c r="M1150" s="77" t="n"/>
    </row>
    <row r="1151" customFormat="1" s="69">
      <c r="B1151" s="92" t="n"/>
      <c r="C1151" s="93" t="n"/>
      <c r="D1151" s="495">
        <f>IF(C1151="","",C1151/(C1151+$E$1/60))</f>
        <v/>
      </c>
      <c r="E1151" s="95">
        <f>IFERROR(ROUND(1440/C1151*2*D1151,0),"")</f>
        <v/>
      </c>
      <c r="F1151" s="96" t="n"/>
      <c r="G1151" s="97" t="n"/>
      <c r="H1151" s="74" t="n"/>
      <c r="I1151" s="75" t="inlineStr">
        <is>
          <t>ID11R22.5-16PR(148/145L)[I-52A]IRONMAN无内 SMARTWAY</t>
        </is>
      </c>
      <c r="J1151" s="76" t="n">
        <v>830.7152</v>
      </c>
      <c r="L1151" s="77" t="n"/>
      <c r="M1151" s="77" t="n"/>
    </row>
    <row r="1152" customFormat="1" s="69">
      <c r="B1152" s="92" t="n"/>
      <c r="C1152" s="93" t="n"/>
      <c r="D1152" s="495">
        <f>IF(C1152="","",C1152/(C1152+$E$1/60))</f>
        <v/>
      </c>
      <c r="E1152" s="95">
        <f>IFERROR(ROUND(1440/C1152*2*D1152,0),"")</f>
        <v/>
      </c>
      <c r="F1152" s="96" t="n"/>
      <c r="G1152" s="97" t="n"/>
      <c r="H1152" s="74" t="n"/>
      <c r="I1152" s="75" t="inlineStr">
        <is>
          <t>ID295/80R22.5-18PR(152/149L)[CR926D]C级威狮无内</t>
        </is>
      </c>
      <c r="J1152" s="76" t="n">
        <v>800.767184</v>
      </c>
      <c r="L1152" s="77" t="n"/>
      <c r="M1152" s="77" t="n"/>
    </row>
    <row r="1153" customFormat="1" s="69">
      <c r="B1153" s="92" t="n"/>
      <c r="C1153" s="93" t="n"/>
      <c r="D1153" s="495">
        <f>IF(C1153="","",C1153/(C1153+$E$1/60))</f>
        <v/>
      </c>
      <c r="E1153" s="95">
        <f>IFERROR(ROUND(1440/C1153*2*D1153,0),"")</f>
        <v/>
      </c>
      <c r="F1153" s="96" t="n"/>
      <c r="G1153" s="97" t="n"/>
      <c r="H1153" s="74" t="n"/>
      <c r="I1153" s="75" t="inlineStr">
        <is>
          <t>ID12.00R20-20PR(156/153F)[EZ345]C级雅度</t>
        </is>
      </c>
      <c r="J1153" s="76" t="n">
        <v>321.549305</v>
      </c>
      <c r="L1153" s="77" t="n"/>
      <c r="M1153" s="77" t="n"/>
    </row>
    <row r="1154" customFormat="1" s="69">
      <c r="B1154" s="92" t="n"/>
      <c r="C1154" s="93" t="n"/>
      <c r="D1154" s="495">
        <f>IF(C1154="","",C1154/(C1154+$E$1/60))</f>
        <v/>
      </c>
      <c r="E1154" s="95">
        <f>IFERROR(ROUND(1440/C1154*2*D1154,0),"")</f>
        <v/>
      </c>
      <c r="F1154" s="96" t="n"/>
      <c r="G1154" s="97" t="n"/>
      <c r="H1154" s="74" t="n"/>
      <c r="I1154" s="75" t="inlineStr">
        <is>
          <t>ID10.00R20-18PR(149/146F)[TZ101]C级TIANLI</t>
        </is>
      </c>
      <c r="J1154" s="76" t="n">
        <v>961.760975</v>
      </c>
      <c r="L1154" s="77" t="n"/>
      <c r="M1154" s="77" t="n"/>
    </row>
    <row r="1155" customFormat="1" s="69">
      <c r="B1155" s="92" t="n"/>
      <c r="C1155" s="93" t="n"/>
      <c r="D1155" s="495">
        <f>IF(C1155="","",C1155/(C1155+$E$1/60))</f>
        <v/>
      </c>
      <c r="E1155" s="95">
        <f>IFERROR(ROUND(1440/C1155*2*D1155,0),"")</f>
        <v/>
      </c>
      <c r="F1155" s="96" t="n"/>
      <c r="G1155" s="97" t="n"/>
      <c r="H1155" s="74" t="n"/>
      <c r="I1155" s="75" t="inlineStr">
        <is>
          <t>ID295/80R22.5-18PR(152/149M)[AD733pro]C级威狮无内</t>
        </is>
      </c>
      <c r="J1155" s="76" t="n">
        <v>1015.339178</v>
      </c>
      <c r="L1155" s="77" t="n"/>
      <c r="M1155" s="77" t="n"/>
    </row>
    <row r="1156" customFormat="1" s="69">
      <c r="B1156" s="92" t="n"/>
      <c r="C1156" s="93" t="n"/>
      <c r="D1156" s="495">
        <f>IF(C1156="","",C1156/(C1156+$E$1/60))</f>
        <v/>
      </c>
      <c r="E1156" s="95">
        <f>IFERROR(ROUND(1440/C1156*2*D1156,0),"")</f>
        <v/>
      </c>
      <c r="F1156" s="96" t="n"/>
      <c r="G1156" s="97" t="n"/>
      <c r="H1156" s="74" t="n"/>
      <c r="I1156" s="75" t="inlineStr">
        <is>
          <t>ID295/80R22.5-18PR(152/149J)[CB919]C级威狮无内</t>
        </is>
      </c>
      <c r="J1156" s="76" t="n">
        <v>880.538953</v>
      </c>
      <c r="L1156" s="77" t="n"/>
      <c r="M1156" s="77" t="n"/>
    </row>
    <row r="1157" customFormat="1" s="69">
      <c r="B1157" s="92" t="n"/>
      <c r="C1157" s="93" t="n"/>
      <c r="D1157" s="495">
        <f>IF(C1157="","",C1157/(C1157+$E$1/60))</f>
        <v/>
      </c>
      <c r="E1157" s="95">
        <f>IFERROR(ROUND(1440/C1157*2*D1157,0),"")</f>
        <v/>
      </c>
      <c r="F1157" s="96" t="n"/>
      <c r="G1157" s="97" t="n"/>
      <c r="H1157" s="74" t="n"/>
      <c r="I1157" s="75" t="inlineStr">
        <is>
          <t>ID295/80R22.5-18PR(150/147M)[ECOPLUS]C级XBRI无内</t>
        </is>
      </c>
      <c r="J1157" s="76" t="n">
        <v>754.799388</v>
      </c>
      <c r="L1157" s="77" t="n"/>
      <c r="M1157" s="77" t="n"/>
    </row>
    <row r="1158" customFormat="1" s="69">
      <c r="B1158" s="92" t="n"/>
      <c r="C1158" s="93" t="n"/>
      <c r="D1158" s="495">
        <f>IF(C1158="","",C1158/(C1158+$E$1/60))</f>
        <v/>
      </c>
      <c r="E1158" s="95">
        <f>IFERROR(ROUND(1440/C1158*2*D1158,0),"")</f>
        <v/>
      </c>
      <c r="F1158" s="96" t="n"/>
      <c r="G1158" s="97" t="n"/>
      <c r="H1158" s="74" t="n"/>
      <c r="I1158" s="75" t="inlineStr">
        <is>
          <t>ID295/75R22.5-14PR(144/141L)[AD716]C级威狮无内</t>
        </is>
      </c>
      <c r="J1158" s="76" t="n">
        <v>777.547071</v>
      </c>
      <c r="L1158" s="77" t="n"/>
      <c r="M1158" s="77" t="n"/>
    </row>
    <row r="1159" customFormat="1" s="69">
      <c r="B1159" s="92" t="n"/>
      <c r="C1159" s="93" t="n"/>
      <c r="D1159" s="495">
        <f>IF(C1159="","",C1159/(C1159+$E$1/60))</f>
        <v/>
      </c>
      <c r="E1159" s="95">
        <f>IFERROR(ROUND(1440/C1159*2*D1159,0),"")</f>
        <v/>
      </c>
      <c r="F1159" s="96" t="n"/>
      <c r="G1159" s="97" t="n"/>
      <c r="H1159" s="74" t="n"/>
      <c r="I1159" s="75" t="inlineStr">
        <is>
          <t>ID215/75R17.5-18PR(135/133L)[M-TRAC AP]MASTERTRACK无内</t>
        </is>
      </c>
      <c r="J1159" s="76" t="n">
        <v>397.679555</v>
      </c>
      <c r="L1159" s="77" t="n"/>
      <c r="M1159" s="77" t="n"/>
    </row>
    <row r="1160" customFormat="1" s="69">
      <c r="B1160" s="92" t="n"/>
      <c r="C1160" s="93" t="n"/>
      <c r="D1160" s="495">
        <f>IF(C1160="","",C1160/(C1160+$E$1/60))</f>
        <v/>
      </c>
      <c r="E1160" s="95">
        <f>IFERROR(ROUND(1440/C1160*2*D1160,0),"")</f>
        <v/>
      </c>
      <c r="F1160" s="96" t="n"/>
      <c r="G1160" s="97" t="n"/>
      <c r="H1160" s="74" t="n"/>
      <c r="I1160" s="75" t="inlineStr">
        <is>
          <t>ID11R24.5-16PR(149/146M)[I-61S]C级IRONMAN无内</t>
        </is>
      </c>
      <c r="J1160" s="76" t="n">
        <v>819.15792</v>
      </c>
      <c r="L1160" s="77" t="n"/>
      <c r="M1160" s="77" t="n"/>
    </row>
    <row r="1161" customFormat="1" s="69">
      <c r="B1161" s="92" t="n"/>
      <c r="C1161" s="93" t="n"/>
      <c r="D1161" s="495">
        <f>IF(C1161="","",C1161/(C1161+$E$1/60))</f>
        <v/>
      </c>
      <c r="E1161" s="95">
        <f>IFERROR(ROUND(1440/C1161*2*D1161,0),"")</f>
        <v/>
      </c>
      <c r="F1161" s="96" t="n"/>
      <c r="G1161" s="97" t="n"/>
      <c r="H1161" s="74" t="n"/>
      <c r="I1161" s="75" t="inlineStr">
        <is>
          <t>ID11R24.5-16PR(149/146L)[CR960A]C级威狮无内</t>
        </is>
      </c>
      <c r="J1161" s="76" t="n">
        <v>807.556967</v>
      </c>
      <c r="L1161" s="77" t="n"/>
      <c r="M1161" s="77" t="n"/>
    </row>
    <row r="1162" customFormat="1" s="69">
      <c r="B1162" s="92" t="n"/>
      <c r="C1162" s="93" t="n"/>
      <c r="D1162" s="495">
        <f>IF(C1162="","",C1162/(C1162+$E$1/60))</f>
        <v/>
      </c>
      <c r="E1162" s="95">
        <f>IFERROR(ROUND(1440/C1162*2*D1162,0),"")</f>
        <v/>
      </c>
      <c r="F1162" s="96" t="n"/>
      <c r="G1162" s="97" t="n"/>
      <c r="H1162" s="74" t="n"/>
      <c r="I1162" s="75" t="inlineStr">
        <is>
          <t>ID11R24.5-16PR(149/146L)[I-28D]C级IRONMAN无内</t>
        </is>
      </c>
      <c r="J1162" s="76" t="n">
        <v>911.217272</v>
      </c>
      <c r="L1162" s="77" t="n"/>
      <c r="M1162" s="77" t="n"/>
    </row>
    <row r="1163" customFormat="1" s="69">
      <c r="B1163" s="92" t="n"/>
      <c r="C1163" s="93" t="n"/>
      <c r="D1163" s="495">
        <f>IF(C1163="","",C1163/(C1163+$E$1/60))</f>
        <v/>
      </c>
      <c r="E1163" s="95">
        <f>IFERROR(ROUND(1440/C1163*2*D1163,0),"")</f>
        <v/>
      </c>
      <c r="F1163" s="96" t="n"/>
      <c r="G1163" s="97" t="n"/>
      <c r="H1163" s="74" t="n"/>
      <c r="I1163" s="75" t="inlineStr">
        <is>
          <t>ID11R24.5-16PR(149/146L)[I-31M]C级IRONMAN无内</t>
        </is>
      </c>
      <c r="J1163" s="76" t="n">
        <v>876.946105</v>
      </c>
      <c r="L1163" s="77" t="n"/>
      <c r="M1163" s="77" t="n"/>
    </row>
    <row r="1164" customFormat="1" s="69">
      <c r="B1164" s="92" t="n"/>
      <c r="C1164" s="93" t="n"/>
      <c r="D1164" s="495">
        <f>IF(C1164="","",C1164/(C1164+$E$1/60))</f>
        <v/>
      </c>
      <c r="E1164" s="95">
        <f>IFERROR(ROUND(1440/C1164*2*D1164,0),"")</f>
        <v/>
      </c>
      <c r="F1164" s="96" t="n"/>
      <c r="G1164" s="97" t="n"/>
      <c r="H1164" s="74" t="n"/>
      <c r="I1164" s="75" t="inlineStr">
        <is>
          <t>ID11R22.5-16PR(148/145M)[I-61S]C级IRONMAN无内</t>
        </is>
      </c>
      <c r="J1164" s="76" t="n">
        <v>766.485783</v>
      </c>
      <c r="L1164" s="77" t="n"/>
      <c r="M1164" s="77" t="n"/>
    </row>
    <row r="1165" customFormat="1" s="69">
      <c r="B1165" s="92" t="n"/>
      <c r="C1165" s="93" t="n"/>
      <c r="D1165" s="495">
        <f>IF(C1165="","",C1165/(C1165+$E$1/60))</f>
        <v/>
      </c>
      <c r="E1165" s="95">
        <f>IFERROR(ROUND(1440/C1165*2*D1165,0),"")</f>
        <v/>
      </c>
      <c r="F1165" s="96" t="n"/>
      <c r="G1165" s="97" t="n"/>
      <c r="H1165" s="74" t="n"/>
      <c r="I1165" s="75" t="inlineStr">
        <is>
          <t>ID11R22.5-16PR(148/145L)[I-28D]C级IRONMAN无内</t>
        </is>
      </c>
      <c r="J1165" s="76" t="n">
        <v>852.818617</v>
      </c>
      <c r="L1165" s="77" t="n"/>
      <c r="M1165" s="77" t="n"/>
    </row>
    <row r="1166" customFormat="1" s="69">
      <c r="B1166" s="92" t="n"/>
      <c r="C1166" s="93" t="n"/>
      <c r="D1166" s="495">
        <f>IF(C1166="","",C1166/(C1166+$E$1/60))</f>
        <v/>
      </c>
      <c r="E1166" s="95">
        <f>IFERROR(ROUND(1440/C1166*2*D1166,0),"")</f>
        <v/>
      </c>
      <c r="F1166" s="96" t="n"/>
      <c r="G1166" s="97" t="n"/>
      <c r="H1166" s="74" t="n"/>
      <c r="I1166" s="75" t="inlineStr">
        <is>
          <t>ID11R22.5-16PR(148/145L)[I-31M]C级IRONMAN无内</t>
        </is>
      </c>
      <c r="J1166" s="76" t="n">
        <v>822.770403</v>
      </c>
      <c r="L1166" s="77" t="n"/>
      <c r="M1166" s="77" t="n"/>
    </row>
    <row r="1167" customFormat="1" s="69">
      <c r="B1167" s="92" t="n"/>
      <c r="C1167" s="93" t="n"/>
      <c r="D1167" s="495">
        <f>IF(C1167="","",C1167/(C1167+$E$1/60))</f>
        <v/>
      </c>
      <c r="E1167" s="95">
        <f>IFERROR(ROUND(1440/C1167*2*D1167,0),"")</f>
        <v/>
      </c>
      <c r="F1167" s="96" t="n"/>
      <c r="G1167" s="97" t="n"/>
      <c r="H1167" s="74" t="n"/>
      <c r="I1167" s="75" t="inlineStr">
        <is>
          <t>ID11R22.5-14PR(144/142M)[CR915 eco]C级威狮无内</t>
        </is>
      </c>
      <c r="J1167" s="76" t="n">
        <v>681.404115</v>
      </c>
      <c r="L1167" s="77" t="n"/>
      <c r="M1167" s="77" t="n"/>
    </row>
    <row r="1168" customFormat="1" s="69">
      <c r="B1168" s="92" t="n"/>
      <c r="C1168" s="93" t="n"/>
      <c r="D1168" s="495">
        <f>IF(C1168="","",C1168/(C1168+$E$1/60))</f>
        <v/>
      </c>
      <c r="E1168" s="95">
        <f>IFERROR(ROUND(1440/C1168*2*D1168,0),"")</f>
        <v/>
      </c>
      <c r="F1168" s="96" t="n"/>
      <c r="G1168" s="97" t="n"/>
      <c r="H1168" s="74" t="n"/>
      <c r="I1168" s="75" t="inlineStr">
        <is>
          <t>ID12.00R24-20PR(160/157F)[CB332]C级威狮</t>
        </is>
      </c>
      <c r="J1168" s="76" t="n">
        <v>1291.115609</v>
      </c>
      <c r="L1168" s="77" t="n"/>
      <c r="M1168" s="77" t="n"/>
    </row>
    <row r="1169" customFormat="1" s="69">
      <c r="B1169" s="92" t="n"/>
      <c r="C1169" s="93" t="n"/>
      <c r="D1169" s="495">
        <f>IF(C1169="","",C1169/(C1169+$E$1/60))</f>
        <v/>
      </c>
      <c r="E1169" s="95">
        <f>IFERROR(ROUND(1440/C1169*2*D1169,0),"")</f>
        <v/>
      </c>
      <c r="F1169" s="96" t="n"/>
      <c r="G1169" s="97" t="n"/>
      <c r="H1169" s="74" t="n"/>
      <c r="I1169" s="75" t="inlineStr">
        <is>
          <t>ID275/80R22.5-16PR(149/146M)[CR976A]C级雅度无内</t>
        </is>
      </c>
      <c r="J1169" s="76" t="n">
        <v>738.561005</v>
      </c>
      <c r="L1169" s="77" t="n"/>
      <c r="M1169" s="77" t="n"/>
    </row>
    <row r="1170" customFormat="1" s="69">
      <c r="B1170" s="92" t="n"/>
      <c r="C1170" s="93" t="n"/>
      <c r="D1170" s="495">
        <f>IF(C1170="","",C1170/(C1170+$E$1/60))</f>
        <v/>
      </c>
      <c r="E1170" s="95">
        <f>IFERROR(ROUND(1440/C1170*2*D1170,0),"")</f>
        <v/>
      </c>
      <c r="F1170" s="96" t="n"/>
      <c r="G1170" s="97" t="n"/>
      <c r="H1170" s="74" t="n"/>
      <c r="I1170" s="75" t="inlineStr">
        <is>
          <t>ID275/80R22.5-16PR(149/146L)[G-PERFORM D]C级GRIPMASTER无内</t>
        </is>
      </c>
      <c r="J1170" s="76" t="n">
        <v>780.786132</v>
      </c>
      <c r="L1170" s="77" t="n"/>
      <c r="M1170" s="77" t="n"/>
    </row>
    <row r="1171" customFormat="1" s="69">
      <c r="B1171" s="92" t="n"/>
      <c r="C1171" s="93" t="n"/>
      <c r="D1171" s="495">
        <f>IF(C1171="","",C1171/(C1171+$E$1/60))</f>
        <v/>
      </c>
      <c r="E1171" s="95">
        <f>IFERROR(ROUND(1440/C1171*2*D1171,0),"")</f>
        <v/>
      </c>
      <c r="F1171" s="96" t="n"/>
      <c r="G1171" s="97" t="n"/>
      <c r="H1171" s="74" t="n"/>
      <c r="I1171" s="75" t="inlineStr">
        <is>
          <t>ID325/95R24-22PR(162/160K)[MD752]C级威狮无内</t>
        </is>
      </c>
      <c r="J1171" s="76" t="n">
        <v>1168.537517</v>
      </c>
      <c r="L1171" s="77" t="n"/>
      <c r="M1171" s="77" t="n"/>
    </row>
    <row r="1172" customFormat="1" s="69">
      <c r="B1172" s="92" t="n"/>
      <c r="C1172" s="93" t="n"/>
      <c r="D1172" s="495">
        <f>IF(C1172="","",C1172/(C1172+$E$1/60))</f>
        <v/>
      </c>
      <c r="E1172" s="95">
        <f>IFERROR(ROUND(1440/C1172*2*D1172,0),"")</f>
        <v/>
      </c>
      <c r="F1172" s="96" t="n"/>
      <c r="G1172" s="97" t="n"/>
      <c r="H1172" s="74" t="n"/>
      <c r="I1172" s="75" t="inlineStr">
        <is>
          <t>ID325/95R24-22PR(162/160K)[AZ691]C级朝阳无内</t>
        </is>
      </c>
      <c r="J1172" s="76" t="n">
        <v>1233.158563</v>
      </c>
      <c r="L1172" s="77" t="n"/>
      <c r="M1172" s="77" t="n"/>
    </row>
    <row r="1173" customFormat="1" s="69">
      <c r="B1173" s="92" t="n"/>
      <c r="C1173" s="93" t="n"/>
      <c r="D1173" s="495">
        <f>IF(C1173="","",C1173/(C1173+$E$1/60))</f>
        <v/>
      </c>
      <c r="E1173" s="95">
        <f>IFERROR(ROUND(1440/C1173*2*D1173,0),"")</f>
        <v/>
      </c>
      <c r="F1173" s="96" t="n"/>
      <c r="G1173" s="97" t="n"/>
      <c r="H1173" s="74" t="n"/>
      <c r="I1173" s="75" t="inlineStr">
        <is>
          <t>ID12.00R20-☆☆(158/155C)PR[XC809]C级路诚</t>
        </is>
      </c>
      <c r="J1173" s="76" t="n">
        <v>1032.411513</v>
      </c>
      <c r="L1173" s="77" t="n"/>
      <c r="M1173" s="77" t="n"/>
    </row>
    <row r="1174" customFormat="1" s="69">
      <c r="B1174" s="92" t="n"/>
      <c r="C1174" s="93" t="n"/>
      <c r="D1174" s="495">
        <f>IF(C1174="","",C1174/(C1174+$E$1/60))</f>
        <v/>
      </c>
      <c r="E1174" s="95">
        <f>IFERROR(ROUND(1440/C1174*2*D1174,0),"")</f>
        <v/>
      </c>
      <c r="F1174" s="96" t="n"/>
      <c r="G1174" s="97" t="n"/>
      <c r="H1174" s="74" t="n"/>
      <c r="I1174" s="75" t="inlineStr">
        <is>
          <t>ID295/80R22.5-18PR(152/149M)[RF45]C级RODOFORT无内</t>
        </is>
      </c>
      <c r="J1174" s="76" t="n">
        <v>946.6032310000001</v>
      </c>
      <c r="L1174" s="77" t="n"/>
      <c r="M1174" s="77" t="n"/>
    </row>
    <row r="1175" customFormat="1" s="69">
      <c r="B1175" s="92" t="n"/>
      <c r="C1175" s="93" t="n"/>
      <c r="D1175" s="495">
        <f>IF(C1175="","",C1175/(C1175+$E$1/60))</f>
        <v/>
      </c>
      <c r="E1175" s="95">
        <f>IFERROR(ROUND(1440/C1175*2*D1175,0),"")</f>
        <v/>
      </c>
      <c r="F1175" s="96" t="n"/>
      <c r="G1175" s="97" t="n"/>
      <c r="H1175" s="74" t="n"/>
      <c r="I1175" s="75" t="inlineStr">
        <is>
          <t>ID295/80R22.5-18PR(154/149M)[RF15]C级RODOFORT无内</t>
        </is>
      </c>
      <c r="J1175" s="76" t="n">
        <v>923.066816</v>
      </c>
      <c r="L1175" s="77" t="n"/>
      <c r="M1175" s="77" t="n"/>
    </row>
    <row r="1176" customFormat="1" s="69">
      <c r="B1176" s="92" t="n"/>
      <c r="C1176" s="93" t="n"/>
      <c r="D1176" s="495">
        <f>IF(C1176="","",C1176/(C1176+$E$1/60))</f>
        <v/>
      </c>
      <c r="E1176" s="95">
        <f>IFERROR(ROUND(1440/C1176*2*D1176,0),"")</f>
        <v/>
      </c>
      <c r="F1176" s="96" t="n"/>
      <c r="G1176" s="97" t="n"/>
      <c r="H1176" s="74" t="n"/>
      <c r="I1176" s="75" t="inlineStr">
        <is>
          <t>ID11R22.5-16PR(146/143L)[AD600]C级ANTINI无内</t>
        </is>
      </c>
      <c r="J1176" s="76" t="n">
        <v>889.86058</v>
      </c>
      <c r="L1176" s="77" t="n"/>
      <c r="M1176" s="77" t="n"/>
    </row>
    <row r="1177" customFormat="1" s="69">
      <c r="B1177" s="92" t="n"/>
      <c r="C1177" s="93" t="n"/>
      <c r="D1177" s="495">
        <f>IF(C1177="","",C1177/(C1177+$E$1/60))</f>
        <v/>
      </c>
      <c r="E1177" s="95">
        <f>IFERROR(ROUND(1440/C1177*2*D1177,0),"")</f>
        <v/>
      </c>
      <c r="F1177" s="96" t="n"/>
      <c r="G1177" s="97" t="n"/>
      <c r="H1177" s="74" t="n"/>
      <c r="I1177" s="75" t="inlineStr">
        <is>
          <t>ID255/70R22.5-16PR(140/137M)[I-19A]C级IRONMAN无内</t>
        </is>
      </c>
      <c r="J1177" s="76" t="n">
        <v>618.7513290000001</v>
      </c>
      <c r="L1177" s="77" t="n"/>
      <c r="M1177" s="77" t="n"/>
    </row>
    <row r="1178" customFormat="1" s="69">
      <c r="B1178" s="92" t="n"/>
      <c r="C1178" s="93" t="n"/>
      <c r="D1178" s="495">
        <f>IF(C1178="","",C1178/(C1178+$E$1/60))</f>
        <v/>
      </c>
      <c r="E1178" s="95">
        <f>IFERROR(ROUND(1440/C1178*2*D1178,0),"")</f>
        <v/>
      </c>
      <c r="F1178" s="96" t="n"/>
      <c r="G1178" s="97" t="n"/>
      <c r="H1178" s="74" t="n"/>
      <c r="I1178" s="75" t="inlineStr">
        <is>
          <t>ID295/80R22.5-18PR(152/149K)[MD777]朝阳无内</t>
        </is>
      </c>
      <c r="J1178" s="76" t="n">
        <v>948.852331</v>
      </c>
      <c r="L1178" s="77" t="n"/>
      <c r="M1178" s="77" t="n"/>
    </row>
    <row r="1179" customFormat="1" s="69">
      <c r="B1179" s="92" t="n"/>
      <c r="C1179" s="93" t="n"/>
      <c r="D1179" s="495">
        <f>IF(C1179="","",C1179/(C1179+$E$1/60))</f>
        <v/>
      </c>
      <c r="E1179" s="95">
        <f>IFERROR(ROUND(1440/C1179*2*D1179,0),"")</f>
        <v/>
      </c>
      <c r="F1179" s="96" t="n"/>
      <c r="G1179" s="97" t="n"/>
      <c r="H1179" s="74" t="n"/>
      <c r="I1179" s="75" t="inlineStr">
        <is>
          <t>ID11R22.5-16PR(148/145L)[RLINE-D2]REDCLIFF无内</t>
        </is>
      </c>
      <c r="J1179" s="76" t="n">
        <v>796.60385</v>
      </c>
      <c r="L1179" s="77" t="n"/>
      <c r="M1179" s="77" t="n"/>
    </row>
    <row r="1180" customFormat="1" s="69">
      <c r="B1180" s="92" t="n"/>
      <c r="C1180" s="93" t="n"/>
      <c r="D1180" s="495">
        <f>IF(C1180="","",C1180/(C1180+$E$1/60))</f>
        <v/>
      </c>
      <c r="E1180" s="95">
        <f>IFERROR(ROUND(1440/C1180*2*D1180,0),"")</f>
        <v/>
      </c>
      <c r="F1180" s="96" t="n"/>
      <c r="G1180" s="97" t="n"/>
      <c r="H1180" s="74" t="n"/>
      <c r="I1180" s="75" t="inlineStr">
        <is>
          <t>ID10.00-20-18PR[CR952]150/145G 雅度</t>
        </is>
      </c>
      <c r="J1180" s="76" t="n">
        <v>864.940076</v>
      </c>
      <c r="L1180" s="77" t="n"/>
      <c r="M1180" s="77" t="n"/>
    </row>
    <row r="1181" customFormat="1" s="69">
      <c r="B1181" s="92" t="n"/>
      <c r="C1181" s="93" t="n"/>
      <c r="D1181" s="495">
        <f>IF(C1181="","",C1181/(C1181+$E$1/60))</f>
        <v/>
      </c>
      <c r="E1181" s="95">
        <f>IFERROR(ROUND(1440/C1181*2*D1181,0),"")</f>
        <v/>
      </c>
      <c r="F1181" s="96" t="n"/>
      <c r="G1181" s="97" t="n"/>
      <c r="H1181" s="74" t="n"/>
      <c r="I1181" s="75" t="inlineStr">
        <is>
          <t>ID295/75R22.5-16PR(146/143L)[RLINE-D2]REDCLIFF无内</t>
        </is>
      </c>
      <c r="J1181" s="76" t="n">
        <v>787.997532</v>
      </c>
      <c r="L1181" s="77" t="n"/>
      <c r="M1181" s="77" t="n"/>
    </row>
    <row r="1182" customFormat="1" s="69">
      <c r="B1182" s="92" t="n"/>
      <c r="C1182" s="93" t="n"/>
      <c r="D1182" s="495">
        <f>IF(C1182="","",C1182/(C1182+$E$1/60))</f>
        <v/>
      </c>
      <c r="E1182" s="95">
        <f>IFERROR(ROUND(1440/C1182*2*D1182,0),"")</f>
        <v/>
      </c>
      <c r="F1182" s="96" t="n"/>
      <c r="G1182" s="97" t="n"/>
      <c r="H1182" s="74" t="n"/>
      <c r="I1182" s="75" t="inlineStr">
        <is>
          <t>ID5.30-12-6PR[SU201]HI-RUN无内</t>
        </is>
      </c>
      <c r="J1182" s="76" t="n">
        <v>73.65052799999999</v>
      </c>
      <c r="L1182" s="77" t="n"/>
      <c r="M1182" s="77" t="n"/>
    </row>
    <row r="1183" customFormat="1" s="69">
      <c r="B1183" s="92" t="n"/>
      <c r="C1183" s="93" t="n"/>
      <c r="D1183" s="495">
        <f>IF(C1183="","",C1183/(C1183+$E$1/60))</f>
        <v/>
      </c>
      <c r="E1183" s="95">
        <f>IFERROR(ROUND(1440/C1183*2*D1183,0),"")</f>
        <v/>
      </c>
      <c r="F1183" s="96" t="n"/>
      <c r="G1183" s="97" t="n"/>
      <c r="H1183" s="74" t="n"/>
      <c r="I1183" s="75" t="inlineStr">
        <is>
          <t>ID295/80R22.5-18PR(152/149M)[AT161]金冠无内</t>
        </is>
      </c>
      <c r="J1183" s="76" t="n">
        <v>772.5568060000001</v>
      </c>
      <c r="L1183" s="77" t="n"/>
      <c r="M1183" s="77" t="n"/>
    </row>
    <row r="1184" customFormat="1" s="69">
      <c r="B1184" s="92" t="n"/>
      <c r="C1184" s="93" t="n"/>
      <c r="D1184" s="495">
        <f>IF(C1184="","",C1184/(C1184+$E$1/60))</f>
        <v/>
      </c>
      <c r="E1184" s="95">
        <f>IFERROR(ROUND(1440/C1184*2*D1184,0),"")</f>
        <v/>
      </c>
      <c r="F1184" s="96" t="n"/>
      <c r="G1184" s="97" t="n"/>
      <c r="H1184" s="74" t="n"/>
      <c r="I1184" s="75" t="inlineStr">
        <is>
          <t>ID12.00R24-20PR(160/157K)[I-301]C级IRONMAN</t>
        </is>
      </c>
      <c r="J1184" s="76" t="n">
        <v>1087.72307</v>
      </c>
      <c r="L1184" s="77" t="n"/>
      <c r="M1184" s="77" t="n"/>
    </row>
    <row r="1185" customFormat="1" s="69">
      <c r="B1185" s="92" t="n"/>
      <c r="C1185" s="93" t="n"/>
      <c r="D1185" s="495">
        <f>IF(C1185="","",C1185/(C1185+$E$1/60))</f>
        <v/>
      </c>
      <c r="E1185" s="95">
        <f>IFERROR(ROUND(1440/C1185*2*D1185,0),"")</f>
        <v/>
      </c>
      <c r="F1185" s="96" t="n"/>
      <c r="G1185" s="97" t="n"/>
      <c r="H1185" s="74" t="n"/>
      <c r="I1185" s="75" t="inlineStr">
        <is>
          <t>ID12.00R20-20PR(156/153F)[CB972]C级威狮</t>
        </is>
      </c>
      <c r="J1185" s="76" t="n">
        <v>1163.419327</v>
      </c>
      <c r="L1185" s="77" t="n"/>
      <c r="M1185" s="77" t="n"/>
    </row>
    <row r="1186" customFormat="1" s="69">
      <c r="B1186" s="92" t="n"/>
      <c r="C1186" s="93" t="n"/>
      <c r="D1186" s="495">
        <f>IF(C1186="","",C1186/(C1186+$E$1/60))</f>
        <v/>
      </c>
      <c r="E1186" s="95">
        <f>IFERROR(ROUND(1440/C1186*2*D1186,0),"")</f>
        <v/>
      </c>
      <c r="F1186" s="96" t="n"/>
      <c r="G1186" s="97" t="n"/>
      <c r="H1186" s="74" t="n"/>
      <c r="I1186" s="75" t="inlineStr">
        <is>
          <t>ID11.00R20-18PR(152/149F)[CB905A]C级朝阳</t>
        </is>
      </c>
      <c r="J1186" s="76" t="n">
        <v>1019.905208</v>
      </c>
      <c r="L1186" s="77" t="n"/>
      <c r="M1186" s="77" t="n"/>
    </row>
    <row r="1187" customFormat="1" s="69">
      <c r="B1187" s="92" t="n"/>
      <c r="C1187" s="93" t="n"/>
      <c r="D1187" s="495">
        <f>IF(C1187="","",C1187/(C1187+$E$1/60))</f>
        <v/>
      </c>
      <c r="E1187" s="95">
        <f>IFERROR(ROUND(1440/C1187*2*D1187,0),"")</f>
        <v/>
      </c>
      <c r="F1187" s="96" t="n"/>
      <c r="G1187" s="97" t="n"/>
      <c r="H1187" s="74" t="n"/>
      <c r="I1187" s="75" t="inlineStr">
        <is>
          <t>ID295/80R22.5-18PR(152/149L)[AD153]C级朝阳无内</t>
        </is>
      </c>
      <c r="J1187" s="76" t="n">
        <v>811.730297</v>
      </c>
      <c r="L1187" s="77" t="n"/>
      <c r="M1187" s="77" t="n"/>
    </row>
    <row r="1188" customFormat="1" s="69">
      <c r="B1188" s="92" t="n"/>
      <c r="C1188" s="93" t="n"/>
      <c r="D1188" s="495">
        <f>IF(C1188="","",C1188/(C1188+$E$1/60))</f>
        <v/>
      </c>
      <c r="E1188" s="95">
        <f>IFERROR(ROUND(1440/C1188*2*D1188,0),"")</f>
        <v/>
      </c>
      <c r="F1188" s="96" t="n"/>
      <c r="G1188" s="97" t="n"/>
      <c r="H1188" s="74" t="n"/>
      <c r="I1188" s="75" t="inlineStr">
        <is>
          <t>ID295/80R22.5-18PR(152/149L)[G-PRO MSA]C级GRIPMASTER无内</t>
        </is>
      </c>
      <c r="J1188" s="76" t="n">
        <v>797.569654</v>
      </c>
      <c r="L1188" s="77" t="n"/>
      <c r="M1188" s="77" t="n"/>
    </row>
    <row r="1189" customFormat="1" s="69">
      <c r="B1189" s="92" t="n"/>
      <c r="C1189" s="93" t="n"/>
      <c r="D1189" s="495">
        <f>IF(C1189="","",C1189/(C1189+$E$1/60))</f>
        <v/>
      </c>
      <c r="E1189" s="95">
        <f>IFERROR(ROUND(1440/C1189*2*D1189,0),"")</f>
        <v/>
      </c>
      <c r="F1189" s="96" t="n"/>
      <c r="G1189" s="97" t="n"/>
      <c r="H1189" s="74" t="n"/>
      <c r="I1189" s="75" t="inlineStr">
        <is>
          <t>ID295/80R22.5-18PR(152/149M)[CR976A]C级朝阳无内</t>
        </is>
      </c>
      <c r="J1189" s="76" t="n">
        <v>772.5568060000001</v>
      </c>
      <c r="L1189" s="77" t="n"/>
      <c r="M1189" s="77" t="n"/>
    </row>
    <row r="1190" customFormat="1" s="69">
      <c r="B1190" s="92" t="n"/>
      <c r="C1190" s="93" t="n"/>
      <c r="D1190" s="495">
        <f>IF(C1190="","",C1190/(C1190+$E$1/60))</f>
        <v/>
      </c>
      <c r="E1190" s="95">
        <f>IFERROR(ROUND(1440/C1190*2*D1190,0),"")</f>
        <v/>
      </c>
      <c r="F1190" s="96" t="n"/>
      <c r="G1190" s="97" t="n"/>
      <c r="H1190" s="74" t="n"/>
      <c r="I1190" s="75" t="inlineStr">
        <is>
          <t>ID295/80R22.5-18PR(152/149M)[AT161]C级STRADA R无内</t>
        </is>
      </c>
      <c r="J1190" s="76" t="n">
        <v>772.5568060000001</v>
      </c>
      <c r="L1190" s="77" t="n"/>
      <c r="M1190" s="77" t="n"/>
    </row>
    <row r="1191" customFormat="1" s="69">
      <c r="B1191" s="92" t="n"/>
      <c r="C1191" s="93" t="n"/>
      <c r="D1191" s="495">
        <f>IF(C1191="","",C1191/(C1191+$E$1/60))</f>
        <v/>
      </c>
      <c r="E1191" s="95">
        <f>IFERROR(ROUND(1440/C1191*2*D1191,0),"")</f>
        <v/>
      </c>
      <c r="F1191" s="96" t="n"/>
      <c r="G1191" s="97" t="n"/>
      <c r="H1191" s="74" t="n"/>
      <c r="I1191" s="75" t="inlineStr">
        <is>
          <t>ID295/80R22.5-18PR(152/149M)[AT196]C级雅度无内</t>
        </is>
      </c>
      <c r="J1191" s="76" t="n">
        <v>759.611272</v>
      </c>
      <c r="L1191" s="77" t="n"/>
      <c r="M1191" s="77" t="n"/>
    </row>
    <row r="1192" customFormat="1" s="69">
      <c r="B1192" s="92" t="n"/>
      <c r="C1192" s="93" t="n"/>
      <c r="D1192" s="495">
        <f>IF(C1192="","",C1192/(C1192+$E$1/60))</f>
        <v/>
      </c>
      <c r="E1192" s="95">
        <f>IFERROR(ROUND(1440/C1192*2*D1192,0),"")</f>
        <v/>
      </c>
      <c r="F1192" s="96" t="n"/>
      <c r="G1192" s="97" t="n"/>
      <c r="H1192" s="74" t="n"/>
      <c r="I1192" s="75" t="inlineStr">
        <is>
          <t>ID295/75R22.5-16PR(146/143M)[I-61S]C级IRONMAN无内</t>
        </is>
      </c>
      <c r="J1192" s="76" t="n">
        <v>746.369428</v>
      </c>
      <c r="L1192" s="77" t="n"/>
      <c r="M1192" s="77" t="n"/>
    </row>
    <row r="1193" customFormat="1" s="69">
      <c r="B1193" s="92" t="n"/>
      <c r="C1193" s="93" t="n"/>
      <c r="D1193" s="495">
        <f>IF(C1193="","",C1193/(C1193+$E$1/60))</f>
        <v/>
      </c>
      <c r="E1193" s="95">
        <f>IFERROR(ROUND(1440/C1193*2*D1193,0),"")</f>
        <v/>
      </c>
      <c r="F1193" s="96" t="n"/>
      <c r="G1193" s="97" t="n"/>
      <c r="H1193" s="74" t="n"/>
      <c r="I1193" s="75" t="inlineStr">
        <is>
          <t>ID295/75R22.5-14PR(144/141M)[VT993]C级VITOUR无内</t>
        </is>
      </c>
      <c r="J1193" s="76" t="n">
        <v>679.73752</v>
      </c>
      <c r="L1193" s="77" t="n"/>
      <c r="M1193" s="77" t="n"/>
    </row>
    <row r="1194" customFormat="1" s="69">
      <c r="B1194" s="92" t="n"/>
      <c r="C1194" s="93" t="n"/>
      <c r="D1194" s="495">
        <f>IF(C1194="","",C1194/(C1194+$E$1/60))</f>
        <v/>
      </c>
      <c r="E1194" s="95">
        <f>IFERROR(ROUND(1440/C1194*2*D1194,0),"")</f>
        <v/>
      </c>
      <c r="F1194" s="96" t="n"/>
      <c r="G1194" s="97" t="n"/>
      <c r="H1194" s="74" t="n"/>
      <c r="I1194" s="75" t="inlineStr">
        <is>
          <t>ID245/70R19.5-16PR(136/134N)[I-37D]C级IRONMAN无内</t>
        </is>
      </c>
      <c r="J1194" s="76" t="n">
        <v>535.439667</v>
      </c>
      <c r="L1194" s="77" t="n"/>
      <c r="M1194" s="77" t="n"/>
    </row>
    <row r="1195" customFormat="1" s="69">
      <c r="B1195" s="92" t="n"/>
      <c r="C1195" s="93" t="n"/>
      <c r="D1195" s="495">
        <f>IF(C1195="","",C1195/(C1195+$E$1/60))</f>
        <v/>
      </c>
      <c r="E1195" s="95">
        <f>IFERROR(ROUND(1440/C1195*2*D1195,0),"")</f>
        <v/>
      </c>
      <c r="F1195" s="96" t="n"/>
      <c r="G1195" s="97" t="n"/>
      <c r="H1195" s="74" t="n"/>
      <c r="I1195" s="75" t="inlineStr">
        <is>
          <t>ID225/70R19.5-14PR(128/126L)[I-208]C级IRONMAN无内</t>
        </is>
      </c>
      <c r="J1195" s="76" t="n">
        <v>452.913048</v>
      </c>
      <c r="L1195" s="77" t="n"/>
      <c r="M1195" s="77" t="n"/>
    </row>
    <row r="1196" customFormat="1" s="69">
      <c r="B1196" s="92" t="n"/>
      <c r="C1196" s="93" t="n"/>
      <c r="D1196" s="495">
        <f>IF(C1196="","",C1196/(C1196+$E$1/60))</f>
        <v/>
      </c>
      <c r="E1196" s="95">
        <f>IFERROR(ROUND(1440/C1196*2*D1196,0),"")</f>
        <v/>
      </c>
      <c r="F1196" s="96" t="n"/>
      <c r="G1196" s="97" t="n"/>
      <c r="H1196" s="74" t="n"/>
      <c r="I1196" s="75" t="inlineStr">
        <is>
          <t>ID225/70R19.5-14PR(128/126N)[M-TRAC AP]MASTERTRACK无内</t>
        </is>
      </c>
      <c r="J1196" s="76" t="n">
        <v>447.194027</v>
      </c>
      <c r="L1196" s="77" t="n"/>
      <c r="M1196" s="77" t="n"/>
    </row>
    <row r="1197" customFormat="1" s="69">
      <c r="B1197" s="92" t="n"/>
      <c r="C1197" s="93" t="n"/>
      <c r="D1197" s="495">
        <f>IF(C1197="","",C1197/(C1197+$E$1/60))</f>
        <v/>
      </c>
      <c r="E1197" s="95">
        <f>IFERROR(ROUND(1440/C1197*2*D1197,0),"")</f>
        <v/>
      </c>
      <c r="F1197" s="96" t="n"/>
      <c r="G1197" s="97" t="n"/>
      <c r="H1197" s="74" t="n"/>
      <c r="I1197" s="75" t="inlineStr">
        <is>
          <t>ID225/70R19.5-14PR(128/126N)[M-TRAC HTD]MASTERTRACK无内</t>
        </is>
      </c>
      <c r="J1197" s="76" t="n">
        <v>468.94092</v>
      </c>
      <c r="L1197" s="77" t="n"/>
      <c r="M1197" s="77" t="n"/>
    </row>
    <row r="1198" customFormat="1" s="69">
      <c r="B1198" s="92" t="n"/>
      <c r="C1198" s="93" t="n"/>
      <c r="D1198" s="495">
        <f>IF(C1198="","",C1198/(C1198+$E$1/60))</f>
        <v/>
      </c>
      <c r="E1198" s="95">
        <f>IFERROR(ROUND(1440/C1198*2*D1198,0),"")</f>
        <v/>
      </c>
      <c r="F1198" s="96" t="n"/>
      <c r="G1198" s="97" t="n"/>
      <c r="H1198" s="74" t="n"/>
      <c r="I1198" s="75" t="inlineStr">
        <is>
          <t>ID11R24.5-16PR(149/146L)[AT563]C级ARISUN无内</t>
        </is>
      </c>
      <c r="J1198" s="76" t="n">
        <v>796.464382</v>
      </c>
      <c r="L1198" s="77" t="n"/>
      <c r="M1198" s="77" t="n"/>
    </row>
    <row r="1199" customFormat="1" s="69">
      <c r="B1199" s="92" t="n"/>
      <c r="C1199" s="93" t="n"/>
      <c r="D1199" s="495">
        <f>IF(C1199="","",C1199/(C1199+$E$1/60))</f>
        <v/>
      </c>
      <c r="E1199" s="95">
        <f>IFERROR(ROUND(1440/C1199*2*D1199,0),"")</f>
        <v/>
      </c>
      <c r="F1199" s="96" t="n"/>
      <c r="G1199" s="97" t="n"/>
      <c r="H1199" s="74" t="n"/>
      <c r="I1199" s="75" t="inlineStr">
        <is>
          <t>ID11R22.5-16PR(148/145L)[I-37D]C级IRONMAN无内</t>
        </is>
      </c>
      <c r="J1199" s="76" t="n">
        <v>829.525557</v>
      </c>
      <c r="L1199" s="77" t="n"/>
      <c r="M1199" s="77" t="n"/>
    </row>
    <row r="1200" customFormat="1" s="69">
      <c r="B1200" s="92" t="n"/>
      <c r="C1200" s="93" t="n"/>
      <c r="D1200" s="495">
        <f>IF(C1200="","",C1200/(C1200+$E$1/60))</f>
        <v/>
      </c>
      <c r="E1200" s="95">
        <f>IFERROR(ROUND(1440/C1200*2*D1200,0),"")</f>
        <v/>
      </c>
      <c r="F1200" s="96" t="n"/>
      <c r="G1200" s="97" t="n"/>
      <c r="H1200" s="74" t="n"/>
      <c r="I1200" s="75" t="inlineStr">
        <is>
          <t>ID11R22.5-14PR(144/142M)[I-48T]C级IRONMAN无内</t>
        </is>
      </c>
      <c r="J1200" s="76" t="n">
        <v>702.9671530000001</v>
      </c>
      <c r="L1200" s="77" t="n"/>
      <c r="M1200" s="77" t="n"/>
    </row>
    <row r="1201" customFormat="1" s="69">
      <c r="B1201" s="92" t="n"/>
      <c r="C1201" s="93" t="n"/>
      <c r="D1201" s="495">
        <f>IF(C1201="","",C1201/(C1201+$E$1/60))</f>
        <v/>
      </c>
      <c r="E1201" s="95">
        <f>IFERROR(ROUND(1440/C1201*2*D1201,0),"")</f>
        <v/>
      </c>
      <c r="F1201" s="96" t="n"/>
      <c r="G1201" s="97" t="n"/>
      <c r="H1201" s="74" t="n"/>
      <c r="I1201" s="75" t="inlineStr">
        <is>
          <t>ID255/70R22.5-16PR(140/137M)[M-TRAC AP]MASTERTRACK无内</t>
        </is>
      </c>
      <c r="J1201" s="76" t="n">
        <v>613.420843</v>
      </c>
      <c r="L1201" s="77" t="n"/>
      <c r="M1201" s="77" t="n"/>
    </row>
    <row r="1202" customFormat="1" s="69">
      <c r="B1202" s="92" t="n"/>
      <c r="C1202" s="93" t="n"/>
      <c r="D1202" s="495">
        <f>IF(C1202="","",C1202/(C1202+$E$1/60))</f>
        <v/>
      </c>
      <c r="E1202" s="95">
        <f>IFERROR(ROUND(1440/C1202*2*D1202,0),"")</f>
        <v/>
      </c>
      <c r="F1202" s="96" t="n"/>
      <c r="G1202" s="97" t="n"/>
      <c r="H1202" s="74" t="n"/>
      <c r="I1202" s="75" t="inlineStr">
        <is>
          <t>ID325/95R24-22PR(162/160F)[CB972]雅度无内</t>
        </is>
      </c>
      <c r="J1202" s="76" t="n">
        <v>1196.867966</v>
      </c>
      <c r="L1202" s="77" t="n"/>
      <c r="M1202" s="77" t="n"/>
    </row>
    <row r="1203" customFormat="1" s="69">
      <c r="B1203" s="92" t="n"/>
      <c r="C1203" s="93" t="n"/>
      <c r="D1203" s="495">
        <f>IF(C1203="","",C1203/(C1203+$E$1/60))</f>
        <v/>
      </c>
      <c r="E1203" s="95">
        <f>IFERROR(ROUND(1440/C1203*2*D1203,0),"")</f>
        <v/>
      </c>
      <c r="F1203" s="96" t="n"/>
      <c r="G1203" s="97" t="n"/>
      <c r="H1203" s="74" t="n"/>
      <c r="I1203" s="75" t="inlineStr">
        <is>
          <t>ID275/80R22.5-16PR(149/146M)[CR976A]C级朝阳无内</t>
        </is>
      </c>
      <c r="J1203" s="76" t="n">
        <v>733.803623</v>
      </c>
      <c r="L1203" s="77" t="n"/>
      <c r="M1203" s="77" t="n"/>
    </row>
    <row r="1204" customFormat="1" s="69">
      <c r="B1204" s="92" t="n"/>
      <c r="C1204" s="93" t="n"/>
      <c r="D1204" s="495">
        <f>IF(C1204="","",C1204/(C1204+$E$1/60))</f>
        <v/>
      </c>
      <c r="E1204" s="95">
        <f>IFERROR(ROUND(1440/C1204*2*D1204,0),"")</f>
        <v/>
      </c>
      <c r="F1204" s="96" t="n"/>
      <c r="G1204" s="97" t="n"/>
      <c r="H1204" s="74" t="n"/>
      <c r="I1204" s="75" t="inlineStr">
        <is>
          <t>ID275/80R22.5-16PR(149/146M)[G-PERFORM S]C级GRIPMASTER无内</t>
        </is>
      </c>
      <c r="J1204" s="76" t="n">
        <v>733.803623</v>
      </c>
      <c r="L1204" s="77" t="n"/>
      <c r="M1204" s="77" t="n"/>
    </row>
    <row r="1205" customFormat="1" s="69">
      <c r="B1205" s="92" t="n"/>
      <c r="C1205" s="93" t="n"/>
      <c r="D1205" s="495">
        <f>IF(C1205="","",C1205/(C1205+$E$1/60))</f>
        <v/>
      </c>
      <c r="E1205" s="95">
        <f>IFERROR(ROUND(1440/C1205*2*D1205,0),"")</f>
        <v/>
      </c>
      <c r="F1205" s="96" t="n"/>
      <c r="G1205" s="97" t="n"/>
      <c r="H1205" s="74" t="n"/>
      <c r="I1205" s="75" t="inlineStr">
        <is>
          <t>ID325/95R24-22PR(162/160K)[AZ828]C级威狮无内</t>
        </is>
      </c>
      <c r="J1205" s="76" t="n">
        <v>1229.981739</v>
      </c>
      <c r="L1205" s="77" t="n"/>
      <c r="M1205" s="77" t="n"/>
    </row>
    <row r="1206" customFormat="1" s="69">
      <c r="B1206" s="92" t="n"/>
      <c r="C1206" s="93" t="n"/>
      <c r="D1206" s="495">
        <f>IF(C1206="","",C1206/(C1206+$E$1/60))</f>
        <v/>
      </c>
      <c r="E1206" s="95">
        <f>IFERROR(ROUND(1440/C1206*2*D1206,0),"")</f>
        <v/>
      </c>
      <c r="F1206" s="96" t="n"/>
      <c r="G1206" s="97" t="n"/>
      <c r="H1206" s="74" t="n"/>
      <c r="I1206" s="75" t="inlineStr">
        <is>
          <t>ID325/95R24-22PR(162/160K)[AZ828]C级雅度无内</t>
        </is>
      </c>
      <c r="J1206" s="76" t="n">
        <v>1229.981739</v>
      </c>
      <c r="L1206" s="77" t="n"/>
      <c r="M1206" s="77" t="n"/>
    </row>
    <row r="1207" customFormat="1" s="69">
      <c r="B1207" s="92" t="n"/>
      <c r="C1207" s="93" t="n"/>
      <c r="D1207" s="495">
        <f>IF(C1207="","",C1207/(C1207+$E$1/60))</f>
        <v/>
      </c>
      <c r="E1207" s="95">
        <f>IFERROR(ROUND(1440/C1207*2*D1207,0),"")</f>
        <v/>
      </c>
      <c r="F1207" s="96" t="n"/>
      <c r="G1207" s="97" t="n"/>
      <c r="H1207" s="74" t="n"/>
      <c r="I1207" s="75" t="inlineStr">
        <is>
          <t>ID12.00R24-☆☆(162/160C)PR[XC809]C级路诚</t>
        </is>
      </c>
      <c r="J1207" s="76" t="n">
        <v>1127.293902</v>
      </c>
      <c r="L1207" s="77" t="n"/>
      <c r="M1207" s="77" t="n"/>
    </row>
    <row r="1208" customFormat="1" s="69">
      <c r="B1208" s="92" t="n"/>
      <c r="C1208" s="93" t="n"/>
      <c r="D1208" s="495">
        <f>IF(C1208="","",C1208/(C1208+$E$1/60))</f>
        <v/>
      </c>
      <c r="E1208" s="95">
        <f>IFERROR(ROUND(1440/C1208*2*D1208,0),"")</f>
        <v/>
      </c>
      <c r="F1208" s="96" t="n"/>
      <c r="G1208" s="97" t="n"/>
      <c r="H1208" s="74" t="n"/>
      <c r="I1208" s="75" t="inlineStr">
        <is>
          <t>ID275/80R22.5-18PR(149/146L)[AZ179]金冠无内</t>
        </is>
      </c>
      <c r="J1208" s="76" t="n">
        <v>687.725395</v>
      </c>
      <c r="L1208" s="77" t="n"/>
      <c r="M1208" s="77" t="n"/>
    </row>
    <row r="1209" customFormat="1" s="69">
      <c r="B1209" s="92" t="n"/>
      <c r="C1209" s="93" t="n"/>
      <c r="D1209" s="495">
        <f>IF(C1209="","",C1209/(C1209+$E$1/60))</f>
        <v/>
      </c>
      <c r="E1209" s="95">
        <f>IFERROR(ROUND(1440/C1209*2*D1209,0),"")</f>
        <v/>
      </c>
      <c r="F1209" s="96" t="n"/>
      <c r="G1209" s="97" t="n"/>
      <c r="H1209" s="74" t="n"/>
      <c r="I1209" s="75" t="inlineStr">
        <is>
          <t>ID275/80R22.5-16PR(149/146M)[AZ179]金冠无内</t>
        </is>
      </c>
      <c r="J1209" s="76" t="n">
        <v>687.725395</v>
      </c>
      <c r="L1209" s="77" t="n"/>
      <c r="M1209" s="77" t="n"/>
    </row>
    <row r="1210" customFormat="1" s="69">
      <c r="B1210" s="92" t="n"/>
      <c r="C1210" s="93" t="n"/>
      <c r="D1210" s="495">
        <f>IF(C1210="","",C1210/(C1210+$E$1/60))</f>
        <v/>
      </c>
      <c r="E1210" s="95">
        <f>IFERROR(ROUND(1440/C1210*2*D1210,0),"")</f>
        <v/>
      </c>
      <c r="F1210" s="96" t="n"/>
      <c r="G1210" s="97" t="n"/>
      <c r="H1210" s="74" t="n"/>
      <c r="I1210" s="75" t="inlineStr">
        <is>
          <t>ID295/80R22.5-18PR(152/149L)[AZ183]金冠无内</t>
        </is>
      </c>
      <c r="J1210" s="76" t="n">
        <v>764.8824959999999</v>
      </c>
      <c r="L1210" s="77" t="n"/>
      <c r="M1210" s="77" t="n"/>
    </row>
    <row r="1211" customFormat="1" s="69">
      <c r="B1211" s="92" t="n"/>
      <c r="C1211" s="93" t="n"/>
      <c r="D1211" s="495">
        <f>IF(C1211="","",C1211/(C1211+$E$1/60))</f>
        <v/>
      </c>
      <c r="E1211" s="95">
        <f>IFERROR(ROUND(1440/C1211*2*D1211,0),"")</f>
        <v/>
      </c>
      <c r="F1211" s="96" t="n"/>
      <c r="G1211" s="97" t="n"/>
      <c r="H1211" s="74" t="n"/>
      <c r="I1211" s="75" t="inlineStr">
        <is>
          <t>ID295/75R22.5-16PR(146/143L)[AD600]ANTINI无内</t>
        </is>
      </c>
      <c r="J1211" s="76" t="n">
        <v>866.195526</v>
      </c>
      <c r="L1211" s="77" t="n"/>
      <c r="M1211" s="77" t="n"/>
    </row>
    <row r="1212" customFormat="1" s="69">
      <c r="B1212" s="92" t="n"/>
      <c r="C1212" s="93" t="n"/>
      <c r="D1212" s="495">
        <f>IF(C1212="","",C1212/(C1212+$E$1/60))</f>
        <v/>
      </c>
      <c r="E1212" s="95">
        <f>IFERROR(ROUND(1440/C1212*2*D1212,0),"")</f>
        <v/>
      </c>
      <c r="F1212" s="96" t="n"/>
      <c r="G1212" s="97" t="n"/>
      <c r="H1212" s="74" t="n"/>
      <c r="I1212" s="75" t="inlineStr">
        <is>
          <t>ID295/75R22.5-14PR(144/141L)[ZA12]威狮无内</t>
        </is>
      </c>
      <c r="J1212" s="76" t="n">
        <v>804.269949</v>
      </c>
      <c r="L1212" s="77" t="n"/>
      <c r="M1212" s="77" t="n"/>
    </row>
    <row r="1213" ht="16.35" customFormat="1" customHeight="1" s="69">
      <c r="B1213" s="108" t="n"/>
      <c r="C1213" s="109" t="n"/>
      <c r="D1213" s="497">
        <f>IF(C1213="","",C1213/(C1213+$E$1/60))</f>
        <v/>
      </c>
      <c r="E1213" s="111" t="n"/>
      <c r="F1213" s="111" t="n"/>
      <c r="G1213" s="112" t="n"/>
      <c r="H1213" s="74" t="n"/>
      <c r="I1213" s="75" t="inlineStr">
        <is>
          <t>ID11R24.5-16PR(149/146L)[VD998]VITOUR无内</t>
        </is>
      </c>
      <c r="J1213" s="76" t="n">
        <v>936.642455</v>
      </c>
      <c r="L1213" s="77" t="n"/>
      <c r="M1213" s="77" t="n"/>
    </row>
    <row r="1214" customFormat="1" s="69">
      <c r="B1214" s="70" t="n"/>
      <c r="C1214" s="71" t="n"/>
      <c r="D1214" s="491" t="n"/>
      <c r="E1214" s="73" t="n"/>
      <c r="F1214" s="71" t="n"/>
      <c r="G1214" s="71" t="n"/>
      <c r="H1214" s="74" t="n"/>
      <c r="I1214" s="75" t="inlineStr">
        <is>
          <t>ID295/80R22.5-18PR(152/149L)[CR906]C级威狮无内</t>
        </is>
      </c>
      <c r="J1214" s="76" t="n">
        <v>925.943879</v>
      </c>
      <c r="L1214" s="77" t="n"/>
      <c r="M1214" s="77" t="n"/>
    </row>
    <row r="1215" customFormat="1" s="69">
      <c r="B1215" s="70" t="n"/>
      <c r="C1215" s="71" t="n"/>
      <c r="D1215" s="491" t="n"/>
      <c r="E1215" s="73" t="n"/>
      <c r="F1215" s="71" t="n"/>
      <c r="G1215" s="71" t="n"/>
      <c r="H1215" s="74" t="n"/>
      <c r="I1215" s="75" t="inlineStr">
        <is>
          <t>ID295/80R22.5-18PR(152/149M)[BRD06 PRO]C级BRANSALES无内</t>
        </is>
      </c>
      <c r="J1215" s="76" t="n">
        <v>944.244294</v>
      </c>
      <c r="L1215" s="77" t="n"/>
      <c r="M1215" s="77" t="n"/>
    </row>
    <row r="1216" customFormat="1" s="69">
      <c r="B1216" s="70" t="n"/>
      <c r="C1216" s="71" t="n"/>
      <c r="D1216" s="491" t="n"/>
      <c r="E1216" s="73" t="n"/>
      <c r="F1216" s="71" t="n"/>
      <c r="G1216" s="71" t="n"/>
      <c r="H1216" s="74" t="n"/>
      <c r="I1216" s="75" t="inlineStr">
        <is>
          <t>ID295/80R22.5-18PR(152/149K)[MD777]C级朝阳无内</t>
        </is>
      </c>
      <c r="J1216" s="76" t="n">
        <v>944.244294</v>
      </c>
      <c r="L1216" s="77" t="n"/>
      <c r="M1216" s="77" t="n"/>
    </row>
    <row r="1217" customFormat="1" s="69">
      <c r="B1217" s="70" t="n"/>
      <c r="C1217" s="71" t="n"/>
      <c r="D1217" s="491" t="n"/>
      <c r="E1217" s="73" t="n"/>
      <c r="F1217" s="71" t="n"/>
      <c r="G1217" s="71" t="n"/>
      <c r="H1217" s="74" t="n"/>
      <c r="I1217" s="75" t="inlineStr">
        <is>
          <t>ID295/80R22.5-18PR(154/149M)[BRA06 PRO]C级BRANSALES无内</t>
        </is>
      </c>
      <c r="J1217" s="76" t="n">
        <v>918.3874980000001</v>
      </c>
      <c r="L1217" s="77" t="n"/>
      <c r="M1217" s="77" t="n"/>
    </row>
    <row r="1218" customFormat="1" s="69">
      <c r="B1218" s="70" t="n"/>
      <c r="C1218" s="71" t="n"/>
      <c r="D1218" s="491" t="n"/>
      <c r="E1218" s="73" t="n"/>
      <c r="F1218" s="71" t="n"/>
      <c r="G1218" s="71" t="n"/>
      <c r="H1218" s="74" t="n"/>
      <c r="I1218" s="75" t="inlineStr">
        <is>
          <t>ID295/75R22.5-14PR(144/141M)[CR915 eco]C级威狮无内</t>
        </is>
      </c>
      <c r="J1218" s="76" t="n">
        <v>666.117732</v>
      </c>
      <c r="L1218" s="77" t="n"/>
      <c r="M1218" s="77" t="n"/>
    </row>
    <row r="1219" customFormat="1" s="69">
      <c r="B1219" s="70" t="n"/>
      <c r="C1219" s="71" t="n"/>
      <c r="D1219" s="491" t="n"/>
      <c r="E1219" s="73" t="n"/>
      <c r="F1219" s="71" t="n"/>
      <c r="G1219" s="71" t="n"/>
      <c r="H1219" s="74" t="n"/>
      <c r="I1219" s="75" t="inlineStr">
        <is>
          <t>ID215/75R17.5-18PR(135/133L)[M-TRAC AP]C级MASTERTRACK无内</t>
        </is>
      </c>
      <c r="J1219" s="76" t="n">
        <v>397.679555</v>
      </c>
      <c r="L1219" s="77" t="n"/>
      <c r="M1219" s="77" t="n"/>
    </row>
    <row r="1220" customFormat="1" s="69">
      <c r="B1220" s="70" t="n"/>
      <c r="C1220" s="71" t="n"/>
      <c r="D1220" s="491" t="n"/>
      <c r="E1220" s="73" t="n"/>
      <c r="F1220" s="71" t="n"/>
      <c r="G1220" s="71" t="n"/>
      <c r="H1220" s="74" t="n"/>
      <c r="I1220" s="75" t="inlineStr">
        <is>
          <t>ID11R24.5-14PR(146/143M)[I-48T]C级IRONMAN无内</t>
        </is>
      </c>
      <c r="J1220" s="76" t="n">
        <v>753.45802</v>
      </c>
      <c r="L1220" s="77" t="n"/>
      <c r="M1220" s="77" t="n"/>
    </row>
    <row r="1221" customFormat="1" s="69">
      <c r="B1221" s="70" t="n"/>
      <c r="C1221" s="71" t="n"/>
      <c r="D1221" s="491" t="n"/>
      <c r="E1221" s="73" t="n"/>
      <c r="F1221" s="71" t="n"/>
      <c r="G1221" s="71" t="n"/>
      <c r="H1221" s="74" t="n"/>
      <c r="I1221" s="75" t="inlineStr">
        <is>
          <t>ID11R22.5-16PR(146/143L)[VD908]VITOUR无内</t>
        </is>
      </c>
      <c r="J1221" s="76" t="n">
        <v>888.013819</v>
      </c>
      <c r="L1221" s="77" t="n"/>
      <c r="M1221" s="77" t="n"/>
    </row>
    <row r="1222" customFormat="1" s="69">
      <c r="B1222" s="70" t="n"/>
      <c r="C1222" s="71" t="n"/>
      <c r="D1222" s="491" t="n"/>
      <c r="E1222" s="73" t="n"/>
      <c r="F1222" s="71" t="n"/>
      <c r="G1222" s="71" t="n"/>
      <c r="H1222" s="74" t="n"/>
      <c r="I1222" s="75" t="inlineStr">
        <is>
          <t>ID265/70R19.5-18PR(143/141J)[VA933]C级VITOUR无内</t>
        </is>
      </c>
      <c r="J1222" s="76" t="n">
        <v>592.952962</v>
      </c>
      <c r="L1222" s="77" t="n"/>
      <c r="M1222" s="77" t="n"/>
    </row>
    <row r="1223" customFormat="1" s="69">
      <c r="B1223" s="70" t="n"/>
      <c r="C1223" s="71" t="n"/>
      <c r="D1223" s="491" t="n"/>
      <c r="E1223" s="73" t="n"/>
      <c r="F1223" s="71" t="n"/>
      <c r="G1223" s="71" t="n"/>
      <c r="H1223" s="74" t="n"/>
      <c r="I1223" s="75" t="inlineStr">
        <is>
          <t>ID235/75R17.5-18PR(143/141L)[VA933]VITOUR无内</t>
        </is>
      </c>
      <c r="J1223" s="76" t="n">
        <v>464.976911</v>
      </c>
      <c r="L1223" s="77" t="n"/>
      <c r="M1223" s="77" t="n"/>
    </row>
    <row r="1224" customFormat="1" s="69">
      <c r="B1224" s="70" t="n"/>
      <c r="C1224" s="71" t="n"/>
      <c r="D1224" s="491" t="n"/>
      <c r="E1224" s="73" t="n"/>
      <c r="F1224" s="71" t="n"/>
      <c r="G1224" s="71" t="n"/>
      <c r="H1224" s="74" t="n"/>
      <c r="I1224" s="75" t="inlineStr">
        <is>
          <t>ID275/80R22.5-16PR(149/146L)[EZ573]朝阳无内</t>
        </is>
      </c>
      <c r="J1224" s="76" t="n">
        <v>802.165315</v>
      </c>
      <c r="L1224" s="77" t="n"/>
      <c r="M1224" s="77" t="n"/>
    </row>
    <row r="1225" customFormat="1" s="69">
      <c r="B1225" s="70" t="n"/>
      <c r="C1225" s="71" t="n"/>
      <c r="D1225" s="491" t="n"/>
      <c r="E1225" s="73" t="n"/>
      <c r="F1225" s="71" t="n"/>
      <c r="G1225" s="71" t="n"/>
      <c r="H1225" s="74" t="n"/>
      <c r="I1225" s="75" t="inlineStr">
        <is>
          <t>ID325/95R24-22PR(162/160F)[CB972E]威狮无内</t>
        </is>
      </c>
      <c r="J1225" s="76" t="n">
        <v>1312.185511</v>
      </c>
      <c r="L1225" s="77" t="n"/>
      <c r="M1225" s="77" t="n"/>
    </row>
    <row r="1226" customFormat="1" s="69">
      <c r="B1226" s="70" t="n"/>
      <c r="C1226" s="71" t="n"/>
      <c r="D1226" s="491" t="n"/>
      <c r="E1226" s="73" t="n"/>
      <c r="F1226" s="71" t="n"/>
      <c r="G1226" s="71" t="n"/>
      <c r="H1226" s="74" t="n"/>
      <c r="I1226" s="75" t="inlineStr">
        <is>
          <t>ID245/70R19.5-16PR(136/134M)[HF1 Plus]SUPERMAX无内</t>
        </is>
      </c>
      <c r="J1226" s="76" t="n">
        <v>528.132829</v>
      </c>
      <c r="L1226" s="77" t="n"/>
      <c r="M1226" s="77" t="n"/>
    </row>
    <row r="1227" customFormat="1" s="69">
      <c r="B1227" s="70" t="n"/>
      <c r="C1227" s="71" t="n"/>
      <c r="D1227" s="491" t="n"/>
      <c r="E1227" s="73" t="n"/>
      <c r="F1227" s="71" t="n"/>
      <c r="G1227" s="71" t="n"/>
      <c r="H1227" s="74" t="n"/>
      <c r="I1227" s="75" t="inlineStr">
        <is>
          <t>ID295/75R22.5-16PR(146/143M)[AS200]ANTINI无内</t>
        </is>
      </c>
      <c r="J1227" s="76" t="n">
        <v>796.983103</v>
      </c>
      <c r="L1227" s="77" t="n"/>
      <c r="M1227" s="77" t="n"/>
    </row>
    <row r="1228" customFormat="1" s="69">
      <c r="B1228" s="70" t="n"/>
      <c r="C1228" s="71" t="n"/>
      <c r="D1228" s="491" t="n"/>
      <c r="E1228" s="73" t="n"/>
      <c r="F1228" s="71" t="n"/>
      <c r="G1228" s="71" t="n"/>
      <c r="H1228" s="74" t="n"/>
      <c r="I1228" s="75" t="inlineStr">
        <is>
          <t>ID295/75R22.5-16PR(146/143M)[AS201]ANTINI无内</t>
        </is>
      </c>
      <c r="J1228" s="76" t="n">
        <v>796.983103</v>
      </c>
      <c r="L1228" s="77" t="n"/>
      <c r="M1228" s="77" t="n"/>
    </row>
    <row r="1229" customFormat="1" s="69">
      <c r="B1229" s="70" t="n"/>
      <c r="C1229" s="71" t="n"/>
      <c r="D1229" s="491" t="n"/>
      <c r="E1229" s="73" t="n"/>
      <c r="F1229" s="71" t="n"/>
      <c r="G1229" s="71" t="n"/>
      <c r="H1229" s="74" t="n"/>
      <c r="I1229" s="75" t="inlineStr">
        <is>
          <t>ID295/75R22.5-16PR(146/143L)[VXD932]VITOUR无内</t>
        </is>
      </c>
      <c r="J1229" s="76" t="n">
        <v>861.015099</v>
      </c>
      <c r="L1229" s="77" t="n"/>
      <c r="M1229" s="77" t="n"/>
    </row>
    <row r="1230">
      <c r="I1230" s="75" t="inlineStr">
        <is>
          <t>ID11R22.5-16PR(146/143L)[VA991]VITOUR无内</t>
        </is>
      </c>
      <c r="J1230" s="76" t="n">
        <v>821.217096</v>
      </c>
    </row>
    <row r="1231">
      <c r="I1231" s="75" t="inlineStr">
        <is>
          <t>ID11R22.5-16PR(148/145L)[M-TRAC AP]MASTERTRACK无内</t>
        </is>
      </c>
      <c r="J1231" s="76" t="n">
        <v>746.3996540000001</v>
      </c>
    </row>
    <row r="1232">
      <c r="I1232" s="75" t="inlineStr">
        <is>
          <t>ID11R22.5-16PR(148/145L)[M-TRAC CSD]MASTERTRACK无内</t>
        </is>
      </c>
      <c r="J1232" s="76" t="n">
        <v>792.181334</v>
      </c>
    </row>
    <row r="1233">
      <c r="I1233" s="75" t="inlineStr">
        <is>
          <t>ID325/95R24-22PR(162/160F)[CB972]威狮无内</t>
        </is>
      </c>
      <c r="J1233" s="76" t="n">
        <v>1195.273366</v>
      </c>
    </row>
    <row r="1234">
      <c r="I1234" s="75" t="inlineStr">
        <is>
          <t>ID12.00R20-22PR(158/155F)[CB972]威狮 东南亚</t>
        </is>
      </c>
      <c r="J1234" s="76" t="n">
        <v>1162.098427</v>
      </c>
    </row>
    <row r="1235">
      <c r="I1235" s="75" t="inlineStr">
        <is>
          <t>ID12.00R20-22PR(158/155F)[EZ336]雅度 东南亚</t>
        </is>
      </c>
      <c r="J1235" s="76" t="n">
        <v>1214.437602</v>
      </c>
    </row>
    <row r="1236">
      <c r="I1236" s="75" t="inlineStr">
        <is>
          <t>ID295/80R22.5-18PR(152/149M)[AD528]C级朝阳无内</t>
        </is>
      </c>
      <c r="J1236" s="76" t="n">
        <v>857.902416</v>
      </c>
    </row>
    <row r="1237">
      <c r="I1237" s="75" t="inlineStr">
        <is>
          <t>ID11R24.5-16PR(149/146L)[AD600]ANTINI无内</t>
        </is>
      </c>
      <c r="J1237" s="76" t="n">
        <v>937.1258329999999</v>
      </c>
    </row>
    <row r="1238">
      <c r="I1238" s="75" t="inlineStr">
        <is>
          <t>IDST205/75R15-8PR[ST200]107/102M ARISUN无内 NR</t>
        </is>
      </c>
      <c r="J1238" s="76" t="n">
        <v>146.183051</v>
      </c>
    </row>
    <row r="1239">
      <c r="I1239" s="75" t="inlineStr">
        <is>
          <t>ID315/80R22.5-20PR(157/154K)[CM958]雅度无内</t>
        </is>
      </c>
      <c r="J1239" s="76" t="n">
        <v>985.706988</v>
      </c>
    </row>
    <row r="1240">
      <c r="I1240" s="75" t="inlineStr">
        <is>
          <t>ID245/70R19.5-16PR(136/134M)[VD935]VITOUR无内</t>
        </is>
      </c>
      <c r="J1240" s="76" t="n">
        <v>532.963753</v>
      </c>
    </row>
    <row r="1241">
      <c r="I1241" s="75" t="inlineStr">
        <is>
          <t>IDST205/75R15-8PR[ST226]107/102L CASTLE ROCK无内 NR</t>
        </is>
      </c>
      <c r="J1241" s="76" t="n">
        <v>149.65559</v>
      </c>
    </row>
    <row r="1242">
      <c r="I1242" s="75" t="inlineStr">
        <is>
          <t>IDST205/75R15-6PR[ST226]101/97L CASTLE ROCK无内 NR</t>
        </is>
      </c>
      <c r="J1242" s="76" t="n">
        <v>142.624475</v>
      </c>
    </row>
    <row r="1243">
      <c r="I1243" s="75" t="inlineStr">
        <is>
          <t>ID23.5-25-24PR[EL37]威狮</t>
        </is>
      </c>
      <c r="J1243" s="76" t="n">
        <v>3107.528634</v>
      </c>
    </row>
    <row r="1244">
      <c r="I1244" s="75" t="inlineStr">
        <is>
          <t>ID12.00R20-20PR(156/153F)[CB972]朝阳</t>
        </is>
      </c>
      <c r="J1244" s="76" t="n">
        <v>1169.91</v>
      </c>
    </row>
    <row r="1245">
      <c r="I1245" s="75" t="inlineStr">
        <is>
          <t>ID295/80R22.5-18PR(152/149M)[RF45]RODOFORT无内</t>
        </is>
      </c>
      <c r="J1245" s="76" t="n">
        <v>946.6</v>
      </c>
    </row>
    <row r="1246">
      <c r="I1246" s="75" t="inlineStr">
        <is>
          <t>ID295/80R22.5-18PR(154/149M)[RF15]RODOFORT无内</t>
        </is>
      </c>
      <c r="J1246" s="76" t="n">
        <v>923.0700000000001</v>
      </c>
    </row>
    <row r="1247">
      <c r="I1247" s="75" t="inlineStr">
        <is>
          <t>ID7.50R16-14PR(122/118L)[TZ303]TIANLI</t>
        </is>
      </c>
      <c r="J1247" s="76" t="n">
        <v>466.8132</v>
      </c>
    </row>
    <row r="1248">
      <c r="I1248" s="75" t="inlineStr">
        <is>
          <t>ID295/80R22.5-18PR(152/149M)[AT161]STRADA R无内</t>
        </is>
      </c>
      <c r="J1248" s="76" t="n">
        <v>776.3917</v>
      </c>
    </row>
    <row r="1249">
      <c r="I1249" s="75" t="inlineStr">
        <is>
          <t>ID295/80R22.5-18PR(152/149M)[AS868Pro]威狮无内</t>
        </is>
      </c>
      <c r="J1249" s="76" t="n">
        <v>945.4788</v>
      </c>
    </row>
    <row r="1250">
      <c r="I1250" s="75" t="inlineStr">
        <is>
          <t>ID295/80R22.5-18PR(154/149M)[WSR1]威狮无内</t>
        </is>
      </c>
      <c r="J1250" s="76" t="n">
        <v>923.0711</v>
      </c>
    </row>
    <row r="1251">
      <c r="I1251" s="75" t="inlineStr">
        <is>
          <t>ID12.00R24-20PR(160/157F)[EZ336]C级雅度</t>
        </is>
      </c>
      <c r="J1251" s="76" t="n">
        <v>1285.8188</v>
      </c>
    </row>
    <row r="1252">
      <c r="I1252" s="75" t="inlineStr">
        <is>
          <t>ID295/80R22.5-18PR(154/149L)[WSA2]威狮无内</t>
        </is>
      </c>
      <c r="J1252" s="76" t="n">
        <v>900.7229</v>
      </c>
    </row>
    <row r="1253">
      <c r="I1253" s="75" t="inlineStr">
        <is>
          <t>ID10.00-20-18PR[M9097]150/145G TRAZANO(全诺)</t>
        </is>
      </c>
      <c r="J1253" s="76" t="n">
        <v>1058.278067</v>
      </c>
    </row>
    <row r="1254">
      <c r="I1254" s="75" t="inlineStr">
        <is>
          <t>ID11.00R20-18PR(152/149F)[TZ101]TIANLI</t>
        </is>
      </c>
      <c r="J1254" s="76" t="n">
        <v>1074.9984</v>
      </c>
    </row>
    <row r="1255">
      <c r="I1255" s="75" t="inlineStr">
        <is>
          <t>ID275/80R22.5-16PR(149/146M)[G-PERFORM S]GRIPMASTER无内</t>
        </is>
      </c>
      <c r="J1255" s="76" t="n">
        <v>738.5616</v>
      </c>
    </row>
    <row r="1256">
      <c r="I1256" s="75" t="inlineStr">
        <is>
          <t>ID(570-4205)ATV 27×11-12/6[WL6A]SEDONA TL COYOTE(USA)</t>
        </is>
      </c>
      <c r="J1256" s="76" t="n">
        <v>178.274852</v>
      </c>
    </row>
    <row r="1257">
      <c r="I1257" s="75" t="inlineStr">
        <is>
          <t>ID11.00R20-18PR(152/149K)[AS678]雅度</t>
        </is>
      </c>
      <c r="J1257" s="76" t="n">
        <v>959.753326</v>
      </c>
    </row>
    <row r="1258">
      <c r="I1258" s="75" t="inlineStr">
        <is>
          <t>ID11.00R20-18PR(152/149K)[AS578]C级雅度</t>
        </is>
      </c>
      <c r="J1258" s="76" t="n">
        <v>959.753326</v>
      </c>
    </row>
    <row r="1259">
      <c r="I1259" s="75" t="inlineStr">
        <is>
          <t>ID11.00R20-18PR(152/149F)[CB972]C级雅度</t>
        </is>
      </c>
      <c r="J1259" s="76" t="n">
        <v>1074.99721</v>
      </c>
    </row>
    <row r="1260">
      <c r="I1260" s="75" t="inlineStr">
        <is>
          <t>ID10.00R20-18PR(149/146J)[TZ202]TIANLI</t>
        </is>
      </c>
      <c r="J1260" s="76" t="n">
        <v>874.859559</v>
      </c>
    </row>
    <row r="1261">
      <c r="I1261" s="75" t="inlineStr">
        <is>
          <t>ID275/80R22.5-16PR(149/146L)[AD153]朝阳无内</t>
        </is>
      </c>
      <c r="J1261" s="76" t="n">
        <v>780.786132</v>
      </c>
    </row>
    <row r="1262">
      <c r="I1262" s="75" t="inlineStr">
        <is>
          <t>ID275/80R22.5-16PR(149/146L)[G-PERFORM D]GRIPMASTER无内</t>
        </is>
      </c>
      <c r="J1262" s="76" t="n">
        <v>780.786132</v>
      </c>
    </row>
    <row r="1263">
      <c r="I1263" s="75" t="inlineStr">
        <is>
          <t>ID12.00R20-18PR(154/151F)[TZ101]TIANLI</t>
        </is>
      </c>
      <c r="J1263" s="76" t="n">
        <v>1148.818622</v>
      </c>
    </row>
    <row r="1264">
      <c r="I1264" s="75" t="inlineStr">
        <is>
          <t>ID12.00R24-20PR(160/157F)[TZ101]TIANLI</t>
        </is>
      </c>
      <c r="J1264" s="76" t="n">
        <v>1302.93338</v>
      </c>
    </row>
    <row r="1265">
      <c r="I1265" s="75" t="inlineStr">
        <is>
          <t>ID325/95R24-22PR(162/160F)[CM913A]威狮无内 印尼</t>
        </is>
      </c>
      <c r="J1265" s="76" t="n">
        <v>1171.795499</v>
      </c>
    </row>
    <row r="1266">
      <c r="I1266" s="75" t="inlineStr">
        <is>
          <t>ID10.00R20中策丁基内胎 (TR78A)</t>
        </is>
      </c>
      <c r="J1266" s="76" t="n">
        <v>54.240438</v>
      </c>
    </row>
    <row r="1267">
      <c r="I1267" s="75" t="inlineStr">
        <is>
          <t>ID255/70R22.5-16PR(140/137M)[I-19A]IRONMAN无内</t>
        </is>
      </c>
      <c r="J1267" s="76" t="n">
        <v>618.7513290000001</v>
      </c>
    </row>
    <row r="1268">
      <c r="I1268" s="75" t="inlineStr">
        <is>
          <t>ID12.00R20-20PR(156/153F)[CB972]雅度</t>
        </is>
      </c>
      <c r="J1268" s="76" t="n">
        <v>1169.908397</v>
      </c>
    </row>
    <row r="1269">
      <c r="I1269" s="75" t="inlineStr">
        <is>
          <t>ID12.00R20-18PR(154/151F)[TZ304]TIANLI</t>
        </is>
      </c>
      <c r="J1269" s="76" t="n">
        <v>1222.223772</v>
      </c>
    </row>
    <row r="1270">
      <c r="I1270" s="75" t="inlineStr">
        <is>
          <t>ID10.00-20-16PR[M9097]146/142G 威狮</t>
        </is>
      </c>
      <c r="J1270" s="76" t="n">
        <v>1032.745665</v>
      </c>
    </row>
    <row r="1271">
      <c r="I1271" s="75" t="inlineStr">
        <is>
          <t>ID295/80R22.5-18PR(152/149M)[AS678]C级威狮无内</t>
        </is>
      </c>
      <c r="J1271" s="76" t="n">
        <v>789.289753</v>
      </c>
    </row>
    <row r="1272">
      <c r="I1272" s="75" t="inlineStr">
        <is>
          <t>ID295/80R22.5-18PR(154/149L)[WDA2]威狮无内</t>
        </is>
      </c>
      <c r="J1272" s="76" t="n">
        <v>1008.52143</v>
      </c>
    </row>
    <row r="1273">
      <c r="I1273" s="75" t="inlineStr">
        <is>
          <t>ID11R24.5-16PR(149/146M)[VA996]VITOUR无内</t>
        </is>
      </c>
      <c r="J1273" s="76" t="n">
        <v>864.465385</v>
      </c>
    </row>
    <row r="1274">
      <c r="I1274" s="75" t="inlineStr">
        <is>
          <t>ID11R24.5-16PR(149/146M)[I-19A]C级IRONMAN无内</t>
        </is>
      </c>
      <c r="J1274" s="76" t="n">
        <v>819.254191</v>
      </c>
    </row>
    <row r="1275">
      <c r="I1275" s="75" t="inlineStr">
        <is>
          <t>ID4.80-12-6PR[SU201]HI RUN无内</t>
        </is>
      </c>
      <c r="J1275" s="76" t="n">
        <v>64.873445</v>
      </c>
    </row>
    <row r="1276">
      <c r="I1276" s="75" t="inlineStr">
        <is>
          <t>ID12.00R20-20PR(156/153F)[CB972]TRAZANO(全诺)</t>
        </is>
      </c>
      <c r="J1276" s="76" t="n">
        <v>1169.908397</v>
      </c>
    </row>
    <row r="1277">
      <c r="I1277" s="75" t="inlineStr">
        <is>
          <t>ID295/80R22.5-18PR(152/149M)[AS868Pro]雅度无内</t>
        </is>
      </c>
      <c r="J1277" s="76" t="n">
        <v>945.483322</v>
      </c>
    </row>
    <row r="1278">
      <c r="I1278" s="75" t="inlineStr">
        <is>
          <t>ID12.00R24-☆☆(162/160C)PR[XC809]路诚 综合型</t>
        </is>
      </c>
      <c r="J1278" s="76" t="n">
        <v>1132.041764</v>
      </c>
    </row>
    <row r="1279">
      <c r="I1279" s="75" t="inlineStr">
        <is>
          <t>ID10.00-20-18PR[CL956]150/145G GOODRIDE(好运)</t>
        </is>
      </c>
      <c r="J1279" s="76" t="n">
        <v>878.153717</v>
      </c>
    </row>
    <row r="1280">
      <c r="I1280" s="75" t="inlineStr">
        <is>
          <t>ID10.00R20-18PR(149/146F)[TZ101]TIANLI</t>
        </is>
      </c>
      <c r="J1280" s="76" t="n">
        <v>957.908945</v>
      </c>
    </row>
    <row r="1281">
      <c r="I1281" s="75" t="inlineStr">
        <is>
          <t>ID325/95R24-22PR(162/160F)[CB972E]雅度无内</t>
        </is>
      </c>
      <c r="J1281" s="76" t="n">
        <v>1321.775007</v>
      </c>
    </row>
    <row r="1282">
      <c r="I1282" s="75" t="inlineStr">
        <is>
          <t>ID275/80R22.5-16PR(149/146M)[CR976A]雅度无内</t>
        </is>
      </c>
      <c r="J1282" s="76" t="n">
        <v>738.561005</v>
      </c>
    </row>
    <row r="1283">
      <c r="I1283" s="75" t="inlineStr">
        <is>
          <t>ID23.5-25-24PR[T317]TIANLI</t>
        </is>
      </c>
      <c r="J1283" s="76" t="n">
        <v>3107.528634</v>
      </c>
    </row>
    <row r="1284">
      <c r="I1284" s="75" t="inlineStr">
        <is>
          <t>ID12.00R20中策垫带 （110凹）</t>
        </is>
      </c>
      <c r="J1284" s="76" t="n">
        <v>21.28791</v>
      </c>
    </row>
    <row r="1285">
      <c r="I1285" s="75" t="inlineStr">
        <is>
          <t>ID7.50R16/8.25R16中策垫带 （87凹）</t>
        </is>
      </c>
      <c r="J1285" s="76" t="n">
        <v>13.504239</v>
      </c>
    </row>
    <row r="1286">
      <c r="I1286" s="75" t="inlineStr">
        <is>
          <t>ID12.00R24中策垫带 (110凹）</t>
        </is>
      </c>
      <c r="J1286" s="76" t="n">
        <v>23.504523</v>
      </c>
    </row>
    <row r="1287">
      <c r="I1287" s="75" t="inlineStr">
        <is>
          <t>ID(570-4204)ATV 27×9-12/6[WL6A]SEDONA TL COYOTE(USA)</t>
        </is>
      </c>
      <c r="J1287" s="76" t="n">
        <v>163.829323</v>
      </c>
    </row>
    <row r="1288">
      <c r="I1288" s="75" t="inlineStr">
        <is>
          <t>ID11.00R20-18PR(152/149K)[TZ202]TIANLI</t>
        </is>
      </c>
      <c r="J1288" s="76" t="n">
        <v>935.247061</v>
      </c>
    </row>
    <row r="1289">
      <c r="I1289" s="75" t="inlineStr">
        <is>
          <t>ID295/80R22.5-18PR(152/149M)[AT196]雅度无内</t>
        </is>
      </c>
      <c r="J1289" s="76" t="n">
        <v>763.44569</v>
      </c>
    </row>
    <row r="1290">
      <c r="I1290" s="75" t="inlineStr">
        <is>
          <t>ID295/75R22.5-16PR(146/143L)[VD998]VITOUR无内</t>
        </is>
      </c>
      <c r="J1290" s="76" t="n">
        <v>874.1092640000001</v>
      </c>
    </row>
    <row r="1291">
      <c r="I1291" s="75" t="inlineStr">
        <is>
          <t>ID11R24.5-16PR(149/146L)[VXD932]VITOUR无内</t>
        </is>
      </c>
      <c r="J1291" s="76" t="n">
        <v>942.911018</v>
      </c>
    </row>
    <row r="1292">
      <c r="I1292" s="75" t="inlineStr">
        <is>
          <t>ID11R22.5-16PR(146/143M)[AT115]金冠无内</t>
        </is>
      </c>
      <c r="J1292" s="76" t="n">
        <v>686.62524</v>
      </c>
    </row>
    <row r="1293">
      <c r="I1293" s="75" t="inlineStr">
        <is>
          <t>ID11R22.5-16PR(146/143L)[VD998]VITOUR无内</t>
        </is>
      </c>
      <c r="J1293" s="76" t="n">
        <v>892.486315</v>
      </c>
    </row>
    <row r="1294">
      <c r="I1294" s="75" t="inlineStr">
        <is>
          <t>ID295/75R22.5-14PR(144/141M)[CR915 eco]威狮无内</t>
        </is>
      </c>
      <c r="J1294" s="76" t="n">
        <v>670.566309</v>
      </c>
    </row>
    <row r="1295">
      <c r="I1295" s="75" t="inlineStr">
        <is>
          <t>ID245/70R19.5-16PR(136/134N)[I-37D]IRONMAN无内</t>
        </is>
      </c>
      <c r="J1295" s="76" t="n">
        <v>535.439667</v>
      </c>
    </row>
    <row r="1296">
      <c r="I1296" s="75" t="inlineStr">
        <is>
          <t>ID225/70R19.5-14PR(128/126L)[I-208]IRONMAN无内</t>
        </is>
      </c>
      <c r="J1296" s="76" t="n">
        <v>452.913048</v>
      </c>
    </row>
    <row r="1297">
      <c r="I1297" s="75" t="inlineStr">
        <is>
          <t>ID11R24.5-16PR(149/146M)[I-61S]IRONMAN无内 SMARTWAY</t>
        </is>
      </c>
      <c r="J1297" s="76" t="n">
        <v>819.254191</v>
      </c>
    </row>
    <row r="1298">
      <c r="I1298" s="75" t="inlineStr">
        <is>
          <t>ID11R22.5-16PR(148/145L)[I-28D]IRONMAN无内 SMARTWAY</t>
        </is>
      </c>
      <c r="J1298" s="76" t="n">
        <v>852.818617</v>
      </c>
    </row>
    <row r="1299">
      <c r="I1299" s="75" t="inlineStr">
        <is>
          <t>ID11R22.5-16PR(148/145L)[I-31M]IRONMAN无内</t>
        </is>
      </c>
      <c r="J1299" s="76" t="n">
        <v>822.770403</v>
      </c>
    </row>
    <row r="1300">
      <c r="I1300" s="75" t="inlineStr">
        <is>
          <t>ID295/80R22.5-18PR(152/149L)[CR906]威狮无内</t>
        </is>
      </c>
      <c r="J1300" s="76" t="n">
        <v>930.6156999999999</v>
      </c>
    </row>
    <row r="1301">
      <c r="I1301" s="75" t="inlineStr">
        <is>
          <t>ID295/80R22.5-18PR(152/149J)[CB919]威狮无内</t>
        </is>
      </c>
      <c r="J1301" s="76" t="n">
        <v>880.5405</v>
      </c>
    </row>
    <row r="1302">
      <c r="I1302" s="75" t="inlineStr">
        <is>
          <t>ID295/75R22.5-16PR(146/143M)[I-61S]IRONMAN无内 SMARTWAY</t>
        </is>
      </c>
      <c r="J1302" s="76" t="n">
        <v>750.0094</v>
      </c>
    </row>
    <row r="1303">
      <c r="I1303" s="75" t="inlineStr">
        <is>
          <t>ID295/75R22.5-16PR(146/143M)[I-19A]IRONMAN无内 SMARTWAY</t>
        </is>
      </c>
      <c r="J1303" s="76" t="n">
        <v>750.0094</v>
      </c>
    </row>
    <row r="1304">
      <c r="I1304" s="75" t="inlineStr">
        <is>
          <t>ID11R22.5-16PR(148/145M)[I-61S]IRONMAN无内 SMARTWAY</t>
        </is>
      </c>
      <c r="J1304" s="76" t="n">
        <v>766.4909</v>
      </c>
    </row>
    <row r="1305">
      <c r="I1305" s="75" t="inlineStr">
        <is>
          <t>IDST205/75R14-8PR[ST226]105/101L CASTLE ROCK无内 NR</t>
        </is>
      </c>
      <c r="J1305" s="76" t="n">
        <v>140.886004</v>
      </c>
    </row>
    <row r="1306">
      <c r="I1306" s="75" t="inlineStr">
        <is>
          <t>IDST205/75R14-6PR[ST226]100/96L CASTLE ROCK无内 NR</t>
        </is>
      </c>
      <c r="J1306" s="76" t="n">
        <v>133.92498</v>
      </c>
    </row>
    <row r="1307">
      <c r="I1307" s="75" t="inlineStr">
        <is>
          <t>ID11.00-20-18PR[CL969]153/148G 金冠</t>
        </is>
      </c>
      <c r="J1307" s="76" t="n">
        <v>920.908275</v>
      </c>
    </row>
    <row r="1308">
      <c r="I1308" s="75" t="inlineStr">
        <is>
          <t>ID12.00R20-20PR(156/153F)[EZ345]雅度</t>
        </is>
      </c>
      <c r="J1308" s="76" t="n">
        <v>999.4334</v>
      </c>
    </row>
    <row r="1309">
      <c r="I1309" s="75" t="inlineStr">
        <is>
          <t>ID11R22.5-16PR(146/143M)[AS200]ANTINI无内</t>
        </is>
      </c>
      <c r="J1309" s="76" t="n">
        <v>809.9616</v>
      </c>
    </row>
    <row r="1310">
      <c r="I1310" s="75" t="inlineStr">
        <is>
          <t>ID11R22.5-16PR(146/143L)[AD600]ANTINI无内</t>
        </is>
      </c>
      <c r="J1310" s="76" t="n">
        <v>889.8582</v>
      </c>
    </row>
    <row r="1311">
      <c r="I1311" s="75" t="inlineStr">
        <is>
          <t>ID11R22.5-14PR(144/142M)[CR915 eco]威狮无内</t>
        </is>
      </c>
      <c r="J1311" s="76" t="n">
        <v>681.4059</v>
      </c>
    </row>
    <row r="1312">
      <c r="I1312" s="75" t="inlineStr">
        <is>
          <t>ID12.00R20-20PR(156/153F)[CB972]威狮</t>
        </is>
      </c>
      <c r="J1312" s="76" t="n">
        <v>1169.9128</v>
      </c>
    </row>
    <row r="1313">
      <c r="I1313" s="75" t="inlineStr">
        <is>
          <t>ID11.00-20-20PR[CL969]155/150B 金冠</t>
        </is>
      </c>
      <c r="J1313" s="76" t="n">
        <v>1030.375185</v>
      </c>
    </row>
    <row r="1314">
      <c r="I1314" s="75" t="inlineStr">
        <is>
          <t>ID20.5×8.0-10-10PR[SU202]HI RUN无内</t>
        </is>
      </c>
      <c r="J1314" s="76" t="n">
        <v>129.347883</v>
      </c>
    </row>
    <row r="1315">
      <c r="I1315" s="75" t="inlineStr">
        <is>
          <t>ID7.50-15-12PR[R8037]119/115J 朝阳</t>
        </is>
      </c>
      <c r="J1315" s="76" t="n">
        <v>299.875835</v>
      </c>
    </row>
    <row r="1316">
      <c r="I1316" s="75" t="inlineStr">
        <is>
          <t>ID295/80R22.5-18PR(152/149M)[CR976A]朝阳无内</t>
        </is>
      </c>
      <c r="J1316" s="76" t="n">
        <v>776.3917</v>
      </c>
    </row>
    <row r="1317">
      <c r="I1317" s="75" t="inlineStr">
        <is>
          <t>ID11R24.5-16PR(149/146L)[I-28D]IRONMAN无内 SMARTWAY</t>
        </is>
      </c>
      <c r="J1317" s="76" t="n">
        <v>911.2187</v>
      </c>
    </row>
    <row r="1318">
      <c r="I1318" s="75" t="inlineStr">
        <is>
          <t>ID11R24.5-16PR(149/146L)[I-31M]IRONMAN无内</t>
        </is>
      </c>
      <c r="J1318" s="76" t="n">
        <v>876.9467</v>
      </c>
    </row>
    <row r="1319">
      <c r="I1319" s="75" t="inlineStr">
        <is>
          <t>ID12.00R24-20PR(160/157K)[I-301]IRONMAN</t>
        </is>
      </c>
      <c r="J1319" s="76" t="n">
        <v>1092.5152</v>
      </c>
    </row>
    <row r="1320">
      <c r="I1320" s="75" t="inlineStr">
        <is>
          <t>IDST205/75D15-6PR[H180]101/97M HI RUN无内</t>
        </is>
      </c>
      <c r="J1320" s="76" t="n">
        <v>127.544319</v>
      </c>
    </row>
    <row r="1321">
      <c r="I1321" s="75" t="inlineStr">
        <is>
          <t>IDST205/75D14-6PR[ST600]GOODRIDE(好运)无内</t>
        </is>
      </c>
      <c r="J1321" s="76" t="n">
        <v>125.602001</v>
      </c>
    </row>
    <row r="1322">
      <c r="I1322" s="75" t="inlineStr">
        <is>
          <t>IDST205/75D14-6PR[H180]100/96M HI RUN无内</t>
        </is>
      </c>
      <c r="J1322" s="76" t="n">
        <v>124.288003</v>
      </c>
    </row>
    <row r="1323">
      <c r="I1323" s="75" t="inlineStr">
        <is>
          <t>IDST225/75D15-8PR[H180]113/108M HI RUN无内</t>
        </is>
      </c>
      <c r="J1323" s="76" t="n">
        <v>166.983656</v>
      </c>
    </row>
    <row r="1324">
      <c r="I1324" s="75" t="inlineStr">
        <is>
          <t>IDST215/75D14-6PR[H180]102/98M HI RUN无内</t>
        </is>
      </c>
      <c r="J1324" s="76" t="n">
        <v>141.440544</v>
      </c>
    </row>
    <row r="1325">
      <c r="I1325" s="75" t="inlineStr">
        <is>
          <t>ID5.30-12-6PR[ST5000]GOODRIDE(好运)无内</t>
        </is>
      </c>
      <c r="J1325" s="76" t="n">
        <v>84.767627</v>
      </c>
    </row>
    <row r="1326">
      <c r="I1326" s="75" t="inlineStr">
        <is>
          <t>ID295/80R22.5-18PR(152/149M)[CM335]威狮无内</t>
        </is>
      </c>
      <c r="J1326" s="76" t="n">
        <v>863.4045</v>
      </c>
    </row>
    <row r="1327">
      <c r="I1327" s="75" t="inlineStr">
        <is>
          <t>ID275/80R22.5-16PR(149/146J)[CR906]威狮无内</t>
        </is>
      </c>
      <c r="J1327" s="76" t="n">
        <v>847.5299</v>
      </c>
    </row>
    <row r="1328">
      <c r="I1328" s="75" t="inlineStr">
        <is>
          <t>ID275/80R22.5-16PR(149/146M)[AD528]威狮无内</t>
        </is>
      </c>
      <c r="J1328" s="76" t="n">
        <v>789.8506</v>
      </c>
    </row>
    <row r="1329">
      <c r="I1329" s="75" t="inlineStr">
        <is>
          <t>ID325/95R24-22PR(162/160K)[AZ828]TRAZANO(全诺)无内</t>
        </is>
      </c>
      <c r="J1329" s="76" t="n">
        <v>1223.1177</v>
      </c>
    </row>
    <row r="1330">
      <c r="I1330" s="75" t="inlineStr">
        <is>
          <t>ID17.5-25-16PR[EL36]朝阳无内</t>
        </is>
      </c>
      <c r="J1330" s="76" t="n">
        <v>1745.054437</v>
      </c>
    </row>
    <row r="1331">
      <c r="I1331" s="75" t="inlineStr">
        <is>
          <t>ID12.00R20-☆☆(158/155C)PR[XC809]路诚 综合型</t>
        </is>
      </c>
      <c r="J1331" s="76" t="n">
        <v>1008.5131</v>
      </c>
    </row>
    <row r="1332">
      <c r="I1332" s="75" t="inlineStr">
        <is>
          <t>ID295/80R22.5-18PR(152/149M)[AS898]威狮无内 东南亚</t>
        </is>
      </c>
      <c r="J1332" s="76" t="n">
        <v>951.9405</v>
      </c>
    </row>
    <row r="1333">
      <c r="I1333" s="75" t="inlineStr">
        <is>
          <t>ID12.00R20-20PR(156/153F)[EZ336]C级雅度</t>
        </is>
      </c>
      <c r="J1333" s="76" t="n">
        <v>1222.2252</v>
      </c>
    </row>
    <row r="1334">
      <c r="I1334" s="75" t="inlineStr">
        <is>
          <t>ID10.00R20-18PR(149/146J)[AZ850]雅度</t>
        </is>
      </c>
      <c r="J1334" s="76" t="n">
        <v>932.9124</v>
      </c>
    </row>
    <row r="1335">
      <c r="I1335" s="75" t="inlineStr">
        <is>
          <t>ID295/80R22.5-18PR(150/147M)[ECOPLUS]XBRI无内 巴拉圭</t>
        </is>
      </c>
      <c r="J1335" s="76" t="n">
        <v>754.8051</v>
      </c>
    </row>
    <row r="1336">
      <c r="I1336" s="75" t="inlineStr">
        <is>
          <t>ID325/95R24-22PR(162/160K)[AZ691]TRAZANO(全诺)无内</t>
        </is>
      </c>
      <c r="J1336" s="76" t="n">
        <v>1233.1613</v>
      </c>
    </row>
    <row r="1337">
      <c r="I1337" s="75" t="inlineStr">
        <is>
          <t>ID7.50R16中策丁基内胎 (TR77A)</t>
        </is>
      </c>
      <c r="J1337" s="76" t="n">
        <v>31.609256</v>
      </c>
    </row>
    <row r="1338">
      <c r="I1338" s="75" t="inlineStr">
        <is>
          <t>IDLT7.00-16-12PR[R8037]115/110J GOODRIDE(好运)</t>
        </is>
      </c>
      <c r="J1338" s="76" t="n">
        <v>293.076889</v>
      </c>
    </row>
    <row r="1339">
      <c r="I1339" s="75" t="inlineStr">
        <is>
          <t>ID295/80R22.5-18PR(152/149M)[ECOPLUS]XBRI无内</t>
        </is>
      </c>
      <c r="J1339" s="76" t="n">
        <v>776.3917</v>
      </c>
    </row>
    <row r="1340">
      <c r="I1340" s="75" t="inlineStr">
        <is>
          <t>ID10.00R20-18PR(149/146J)[AZ697]TRAZANO(全诺)无内</t>
        </is>
      </c>
      <c r="J1340" s="76" t="n">
        <v>856.0265000000001</v>
      </c>
    </row>
    <row r="1341">
      <c r="I1341" s="75" t="inlineStr">
        <is>
          <t>ID(570-4004)ATV 25×10-12/6[AT12]SEDONA TL MUD REBEL(USA)</t>
        </is>
      </c>
      <c r="J1341" s="76" t="n">
        <v>144.265366</v>
      </c>
    </row>
    <row r="1342">
      <c r="I1342" s="75" t="inlineStr">
        <is>
          <t>ID11.00R20-18PR(152/149L)[TKAL Ⅲ]TECHKING</t>
        </is>
      </c>
      <c r="J1342" s="76" t="n">
        <v>1039.1318</v>
      </c>
    </row>
    <row r="1343">
      <c r="I1343" s="75" t="inlineStr">
        <is>
          <t>ID11.00R20-18PR(152/149K)[AS678]朝阳</t>
        </is>
      </c>
      <c r="J1343" s="76" t="n">
        <v>959.7588</v>
      </c>
    </row>
    <row r="1344">
      <c r="I1344" s="75" t="inlineStr">
        <is>
          <t>ID11.00R20-18PR(152/149K)[AS578]朝阳</t>
        </is>
      </c>
      <c r="J1344" s="76" t="n">
        <v>959.7588</v>
      </c>
    </row>
    <row r="1345">
      <c r="I1345" s="75" t="inlineStr">
        <is>
          <t>ID12.00R20-18PR(154/151F)[CB332]GOODRIDE(好运)</t>
        </is>
      </c>
      <c r="J1345" s="76" t="n">
        <v>1236.5647</v>
      </c>
    </row>
    <row r="1346">
      <c r="I1346" s="75" t="inlineStr">
        <is>
          <t>ID11.00R20-18PR(152/149K)[AZ676]TRAZANO(全诺)</t>
        </is>
      </c>
      <c r="J1346" s="76" t="n">
        <v>946.2404</v>
      </c>
    </row>
    <row r="1347">
      <c r="I1347" s="75" t="inlineStr">
        <is>
          <t>ID11.00R20-18PR(152/149J)[CM998]GOODRIDE(好运)</t>
        </is>
      </c>
      <c r="J1347" s="76" t="n">
        <v>1115.2204</v>
      </c>
    </row>
    <row r="1348">
      <c r="I1348" s="75" t="inlineStr">
        <is>
          <t>ID295/80R22.5-18PR(152/149M)[AS668]朝阳无内</t>
        </is>
      </c>
      <c r="J1348" s="76" t="n">
        <v>836.7961</v>
      </c>
    </row>
    <row r="1349">
      <c r="I1349" s="75" t="inlineStr">
        <is>
          <t>ID295/80R22.5-18PR(154/149M)[BRA06 PRO]BRANSALES无内</t>
        </is>
      </c>
      <c r="J1349" s="76" t="n">
        <v>923.0711</v>
      </c>
    </row>
    <row r="1350">
      <c r="I1350" s="75" t="inlineStr">
        <is>
          <t>ID275/80R22.5-16PR(149/146M)[G-PRO MSD]GRIPMASTER无内</t>
        </is>
      </c>
      <c r="J1350" s="76" t="n">
        <v>819.7910000000001</v>
      </c>
    </row>
    <row r="1351">
      <c r="I1351" s="75" t="inlineStr">
        <is>
          <t>ID275/80R22.5-16PR(149/146L)[G-PRO MSA]GRIPMASTER无内</t>
        </is>
      </c>
      <c r="J1351" s="76" t="n">
        <v>807.891</v>
      </c>
    </row>
    <row r="1352">
      <c r="I1352" s="75" t="inlineStr">
        <is>
          <t>ID295/80R22.5-18PR(152/149M)[WDR1]威狮无内</t>
        </is>
      </c>
      <c r="J1352" s="76" t="n">
        <v>946.5974</v>
      </c>
    </row>
    <row r="1353">
      <c r="I1353" s="75" t="inlineStr">
        <is>
          <t>ID11R22.5-16PR(146/143M)[VA996]VITOUR无内</t>
        </is>
      </c>
      <c r="J1353" s="76" t="n">
        <v>809.9616</v>
      </c>
    </row>
    <row r="1354">
      <c r="I1354" s="75" t="inlineStr">
        <is>
          <t>ID(570-4000)ATV 25×8-12/6[AT12]SEDONA TL MUD REBEL(USA)</t>
        </is>
      </c>
      <c r="J1354" s="76" t="n">
        <v>122.307248</v>
      </c>
    </row>
    <row r="1355">
      <c r="I1355" s="75" t="inlineStr">
        <is>
          <t>ID10.00-20-16PR[R9038]146/142G 雅度</t>
        </is>
      </c>
      <c r="J1355" s="76" t="n">
        <v>924.74067</v>
      </c>
    </row>
    <row r="1356">
      <c r="I1356" s="75" t="inlineStr">
        <is>
          <t>ID10.00-20-16PR[R9038]146/142G TRAZANO(全诺)</t>
        </is>
      </c>
      <c r="J1356" s="76" t="n">
        <v>924.74067</v>
      </c>
    </row>
    <row r="1357">
      <c r="I1357" s="75" t="inlineStr">
        <is>
          <t>IDST175/80D13-6PR[TE898]91/87L TRANSEAGLE无内</t>
        </is>
      </c>
      <c r="J1357" s="76" t="n">
        <v>97.701142</v>
      </c>
    </row>
    <row r="1358">
      <c r="I1358" s="75" t="inlineStr">
        <is>
          <t>ID295/80R22.5-18PR(152/149M)[TUCSON A]C级STRYKER无内</t>
        </is>
      </c>
      <c r="J1358" s="76" t="n">
        <v>763.4444999999999</v>
      </c>
    </row>
    <row r="1359">
      <c r="I1359" s="75" t="inlineStr">
        <is>
          <t>ID295/80R22.5-18PR(152/149M)[AT186]C级金冠无内</t>
        </is>
      </c>
      <c r="J1359" s="76" t="n">
        <v>763.4444999999999</v>
      </c>
    </row>
    <row r="1360">
      <c r="I1360" s="75" t="inlineStr">
        <is>
          <t>ID295/80R22.5-18PR(152/149M)[AD528]C级威狮无内</t>
        </is>
      </c>
      <c r="J1360" s="76" t="n">
        <v>862.5239</v>
      </c>
    </row>
    <row r="1361">
      <c r="I1361" s="75" t="inlineStr">
        <is>
          <t>ID295/80R22.5-18PR(152/149M)[AT196]C级力奔无内</t>
        </is>
      </c>
      <c r="J1361" s="76" t="n">
        <v>763.4444999999999</v>
      </c>
    </row>
    <row r="1362">
      <c r="I1362" s="75" t="inlineStr">
        <is>
          <t>ID295/75R22.5-14PR(144/141M)[I-48T]C级IRONMAN无内</t>
        </is>
      </c>
      <c r="J1362" s="76" t="n">
        <v>703.8612000000001</v>
      </c>
    </row>
    <row r="1363">
      <c r="I1363" s="75" t="inlineStr">
        <is>
          <t>ID245/70R19.5-16PR(136/134M)[CM986]C级GOODRIDE(好运)无内</t>
        </is>
      </c>
      <c r="J1363" s="76" t="n">
        <v>512.4378</v>
      </c>
    </row>
    <row r="1364">
      <c r="I1364" s="75" t="inlineStr">
        <is>
          <t>ID245/70R19.5-16PR(136/134N)[ZA15]C级威狮无内</t>
        </is>
      </c>
      <c r="J1364" s="76" t="n">
        <v>543.1755000000001</v>
      </c>
    </row>
    <row r="1365">
      <c r="I1365" s="75" t="inlineStr">
        <is>
          <t>ID245/70R19.5-16PR(136/134N)[DA24]C级威狮无内</t>
        </is>
      </c>
      <c r="J1365" s="76" t="n">
        <v>540.5813000000001</v>
      </c>
    </row>
    <row r="1366">
      <c r="I1366" s="75" t="inlineStr">
        <is>
          <t>ID245/70R19.5-16PR(136/134N)[I-19A]C级IRONMAN无内</t>
        </is>
      </c>
      <c r="J1366" s="76" t="n">
        <v>538.0466</v>
      </c>
    </row>
    <row r="1367">
      <c r="I1367" s="75" t="inlineStr">
        <is>
          <t>ID225/70R19.5-14PR(128/126L)[Strong Guard H-RA]C级HERCULES无内</t>
        </is>
      </c>
      <c r="J1367" s="76" t="n">
        <v>436.4206</v>
      </c>
    </row>
    <row r="1368">
      <c r="I1368" s="75" t="inlineStr">
        <is>
          <t>ID225/70R19.5-14PR(128/126N)[CR960A]C级威狮无内</t>
        </is>
      </c>
      <c r="J1368" s="76" t="n">
        <v>439.1933</v>
      </c>
    </row>
    <row r="1369">
      <c r="I1369" s="75" t="inlineStr">
        <is>
          <t>ID225/70R19.5-14PR(128/126N)[CM986]C级威狮无内</t>
        </is>
      </c>
      <c r="J1369" s="76" t="n">
        <v>449.1655</v>
      </c>
    </row>
    <row r="1370">
      <c r="I1370" s="75" t="inlineStr">
        <is>
          <t>ID225/70R19.5-14PR(128/126N)[ZA15]C级威狮无内</t>
        </is>
      </c>
      <c r="J1370" s="76" t="n">
        <v>467.6462</v>
      </c>
    </row>
    <row r="1371">
      <c r="I1371" s="75" t="inlineStr">
        <is>
          <t>ID225/70R19.5-14PR(128/126N)[I-19A]C级IRONMAN无内</t>
        </is>
      </c>
      <c r="J1371" s="76" t="n">
        <v>447.1901</v>
      </c>
    </row>
    <row r="1372">
      <c r="I1372" s="75" t="inlineStr">
        <is>
          <t>ID225/70R19.5-14PR(128/126N)[I-37D]C级IRONMAN无内</t>
        </is>
      </c>
      <c r="J1372" s="76" t="n">
        <v>465.6827</v>
      </c>
    </row>
    <row r="1373">
      <c r="I1373" s="75" t="inlineStr">
        <is>
          <t>ID215/75R17.5-18PR(135/133L)[VA933]C级VITOUR无内</t>
        </is>
      </c>
      <c r="J1373" s="76" t="n">
        <v>412.93</v>
      </c>
    </row>
    <row r="1374">
      <c r="I1374" s="75" t="inlineStr">
        <is>
          <t>ID215/75R17.5-16PR(135/133L)[I-19A]C级IRONMAN无内</t>
        </is>
      </c>
      <c r="J1374" s="76" t="n">
        <v>402.2676</v>
      </c>
    </row>
    <row r="1375">
      <c r="I1375" s="75" t="inlineStr">
        <is>
          <t>ID11R22.5-14PR(144/142M)[AT563]C级ARISUN无内</t>
        </is>
      </c>
      <c r="J1375" s="76" t="n">
        <v>747.8436</v>
      </c>
    </row>
    <row r="1376">
      <c r="I1376" s="75" t="inlineStr">
        <is>
          <t>ID12.00R24-20PR(160/157F)[CB972]C级雅度</t>
        </is>
      </c>
      <c r="J1376" s="76" t="n">
        <v>1182.7648</v>
      </c>
    </row>
    <row r="1377">
      <c r="I1377" s="75" t="inlineStr">
        <is>
          <t>ID275/80R22.5-16PR(149/146M)[CR976A]C级TRAZANO(全诺)无内</t>
        </is>
      </c>
      <c r="J1377" s="76" t="n">
        <v>738.5616</v>
      </c>
    </row>
    <row r="1378">
      <c r="I1378" s="75" t="inlineStr">
        <is>
          <t>ID325/95R24-22PR(162/160K)[CM913A]C级雅度无内</t>
        </is>
      </c>
      <c r="J1378" s="76" t="n">
        <v>1171.793</v>
      </c>
    </row>
    <row r="1379">
      <c r="I1379" s="75" t="inlineStr">
        <is>
          <t>ID325/95R24-22PR(162/160K)[CM913A]C级朝阳无内</t>
        </is>
      </c>
      <c r="J1379" s="76" t="n">
        <v>1171.793</v>
      </c>
    </row>
    <row r="1380">
      <c r="I1380" s="75" t="inlineStr">
        <is>
          <t>ID12.00R24-20PR(160/157F)[TZ101 PRO]C级天力</t>
        </is>
      </c>
      <c r="J1380" s="76" t="n">
        <v>1302.931</v>
      </c>
    </row>
    <row r="1381">
      <c r="I1381" s="75" t="inlineStr">
        <is>
          <t>IDST205/75D14-6PR[TE898]100/96L TRANSEAGLE无内</t>
        </is>
      </c>
      <c r="J1381" s="76" t="n">
        <v>125.602001</v>
      </c>
    </row>
    <row r="1382">
      <c r="I1382" s="75" t="inlineStr">
        <is>
          <t>ID4.80-12-6PR[TE898]80L TRANSEAGLE无内</t>
        </is>
      </c>
      <c r="J1382" s="76" t="n">
        <v>69.71745900000001</v>
      </c>
    </row>
    <row r="1383">
      <c r="I1383" s="75" t="inlineStr">
        <is>
          <t>ID12.00R20-18PR(154/151F)[CB972]C级雅度</t>
        </is>
      </c>
      <c r="J1383" s="76" t="n">
        <v>1148.8141</v>
      </c>
    </row>
    <row r="1384">
      <c r="I1384" s="75" t="inlineStr">
        <is>
          <t>ID12.00R20-22PR(158/155F)[EZ310 pro]C级雅度</t>
        </is>
      </c>
      <c r="J1384" s="76" t="n">
        <v>1378.3175</v>
      </c>
    </row>
    <row r="1385">
      <c r="I1385" s="75" t="inlineStr">
        <is>
          <t>ID11.00R20-18PR(152/149K)[CR926+]C级GOODRIDE(好运)</t>
        </is>
      </c>
      <c r="J1385" s="76" t="n">
        <v>935.2448000000001</v>
      </c>
    </row>
    <row r="1386">
      <c r="I1386" s="75" t="inlineStr">
        <is>
          <t>ID10.00R20-18PR(149/146J)[AZ697]C级雅度</t>
        </is>
      </c>
      <c r="J1386" s="76" t="n">
        <v>856.0265000000001</v>
      </c>
    </row>
    <row r="1387">
      <c r="I1387" s="75" t="inlineStr">
        <is>
          <t>ID8.25R16-14PR(128/126L)[CR926]C级GOODRIDE(好运)</t>
        </is>
      </c>
      <c r="J1387" s="76" t="n">
        <v>482.0333</v>
      </c>
    </row>
    <row r="1388">
      <c r="I1388" s="75" t="inlineStr">
        <is>
          <t>ID8.25R16-14PR(128/126L)[CR926]C级朝阳</t>
        </is>
      </c>
      <c r="J1388" s="76" t="n">
        <v>482.0333</v>
      </c>
    </row>
    <row r="1389">
      <c r="I1389" s="75" t="inlineStr">
        <is>
          <t>ID7.50R16-14PR(122/118L)[TZ202]TIANLI</t>
        </is>
      </c>
      <c r="J1389" s="76" t="n">
        <v>446.8807</v>
      </c>
    </row>
    <row r="1390">
      <c r="I1390" s="75" t="inlineStr">
        <is>
          <t>ID295/80R22.5-18PR(152/149M)[AD156A]C级力奔无内</t>
        </is>
      </c>
      <c r="J1390" s="76" t="n">
        <v>768.7281</v>
      </c>
    </row>
    <row r="1391">
      <c r="I1391" s="75" t="inlineStr">
        <is>
          <t>ID295/80R22.5-18PR(152/149M)[G-PERFORM S]C级GRIPMASTER无内</t>
        </is>
      </c>
      <c r="J1391" s="76" t="n">
        <v>776.3917</v>
      </c>
    </row>
    <row r="1392">
      <c r="I1392" s="75" t="inlineStr">
        <is>
          <t>ID295/80R22.5-18PR(152/149M)[AS898]C级威狮无内</t>
        </is>
      </c>
      <c r="J1392" s="76" t="n">
        <v>900.1755000000001</v>
      </c>
    </row>
    <row r="1393">
      <c r="I1393" s="75" t="inlineStr">
        <is>
          <t>ID295/80R22.5-18PR(152/149K)[G-PRO MSD]C级GRIPMASTER无内</t>
        </is>
      </c>
      <c r="J1393" s="76" t="n">
        <v>948.8465</v>
      </c>
    </row>
    <row r="1394">
      <c r="I1394" s="75" t="inlineStr">
        <is>
          <t>ID295/80R22.5-18PR(152/149J)[EZ177]C级金冠无内</t>
        </is>
      </c>
      <c r="J1394" s="76" t="n">
        <v>801.7148999999999</v>
      </c>
    </row>
    <row r="1395">
      <c r="I1395" s="75" t="inlineStr">
        <is>
          <t>ID295/75R22.5-14PR(144/141L)[I-28D]C级IRONMAN无内</t>
        </is>
      </c>
      <c r="J1395" s="76" t="n">
        <v>837.0222</v>
      </c>
    </row>
    <row r="1396">
      <c r="I1396" s="75" t="inlineStr">
        <is>
          <t>ID245/70R19.5-16PR(136/134M)[VA933]C级VITOUR无内</t>
        </is>
      </c>
      <c r="J1396" s="76" t="n">
        <v>543.1755000000001</v>
      </c>
    </row>
    <row r="1397">
      <c r="I1397" s="75" t="inlineStr">
        <is>
          <t>ID225/70R19.5-14PR(128/126M)[VA933]C级VITOUR无内</t>
        </is>
      </c>
      <c r="J1397" s="76" t="n">
        <v>467.6462</v>
      </c>
    </row>
    <row r="1398">
      <c r="I1398" s="75" t="inlineStr">
        <is>
          <t>ID225/70R19.5-14PR(128/126N)[DA24]C级威狮无内</t>
        </is>
      </c>
      <c r="J1398" s="76" t="n">
        <v>478.1777</v>
      </c>
    </row>
    <row r="1399">
      <c r="I1399" s="75" t="inlineStr">
        <is>
          <t>ID215/75R17.5-16PR(135/133L)[Strong Guard H-RA]C级HERCULES无内</t>
        </is>
      </c>
      <c r="J1399" s="76" t="n">
        <v>379.3006</v>
      </c>
    </row>
    <row r="1400">
      <c r="I1400" s="75" t="inlineStr">
        <is>
          <t>ID12.00R24-20PR(160/157F)[CB332]雅度</t>
        </is>
      </c>
      <c r="J1400" s="76" t="n">
        <v>1291.1143</v>
      </c>
    </row>
    <row r="1401">
      <c r="I1401" s="75" t="inlineStr">
        <is>
          <t>ID275/80R22.5-16PR(149/146M)[CR976A]C级威狮无内</t>
        </is>
      </c>
      <c r="J1401" s="76" t="n">
        <v>738.5616</v>
      </c>
    </row>
    <row r="1402">
      <c r="I1402" s="75" t="inlineStr">
        <is>
          <t>ID275/80R22.5-16PR(149/146M)[BRA04]C级BRANSALES无内</t>
        </is>
      </c>
      <c r="J1402" s="76" t="n">
        <v>738.5616</v>
      </c>
    </row>
    <row r="1403">
      <c r="I1403" s="75" t="inlineStr">
        <is>
          <t>ID275/80R22.5-16PR(149/146L)[AD153]C级威狮无内</t>
        </is>
      </c>
      <c r="J1403" s="76" t="n">
        <v>780.7828</v>
      </c>
    </row>
    <row r="1404">
      <c r="I1404" s="75" t="inlineStr">
        <is>
          <t>ID275/80R22.5-16PR(149/146L)[BMA03 ECO]C级BRANSALES无内</t>
        </is>
      </c>
      <c r="J1404" s="76" t="n">
        <v>807.891</v>
      </c>
    </row>
    <row r="1405">
      <c r="I1405" s="75" t="inlineStr">
        <is>
          <t>ID275/80R22.5-16PR(149/146L)[EZ573]C级威狮无内</t>
        </is>
      </c>
      <c r="J1405" s="76" t="n">
        <v>807.891</v>
      </c>
    </row>
    <row r="1406">
      <c r="I1406" s="75" t="inlineStr">
        <is>
          <t>ID275/80R22.5-16PR(149/146L)[EZ573]C级TRAZANO(全诺)无内</t>
        </is>
      </c>
      <c r="J1406" s="76" t="n">
        <v>807.891</v>
      </c>
    </row>
    <row r="1407">
      <c r="I1407" s="75" t="inlineStr">
        <is>
          <t>ID325/95R24-22PR(162/160K)[CM913A]C级GOODRIDE(好运)无内</t>
        </is>
      </c>
      <c r="J1407" s="76" t="n">
        <v>1171.793</v>
      </c>
    </row>
    <row r="1408">
      <c r="I1408" s="75" t="inlineStr">
        <is>
          <t>ID325/95R24-22PR(162/160K)[CM912A]C级GOODRIDE(好运)无内</t>
        </is>
      </c>
      <c r="J1408" s="76" t="n">
        <v>1182.7172</v>
      </c>
    </row>
    <row r="1409">
      <c r="I1409" s="75" t="inlineStr">
        <is>
          <t>ID10.00-20-14PR[CR918]威狮</t>
        </is>
      </c>
      <c r="J1409" s="76" t="n">
        <v>523.059026</v>
      </c>
    </row>
    <row r="1410">
      <c r="I1410" s="75" t="inlineStr">
        <is>
          <t>IDST205/75D15-6PR[TE898]101/97L TRANSEAGLE无内</t>
        </is>
      </c>
      <c r="J1410" s="76" t="n">
        <v>130.674138</v>
      </c>
    </row>
    <row r="1411">
      <c r="I1411" s="75" t="inlineStr">
        <is>
          <t>ID7.50R16-14PR(122/118L)[TKAL Ⅲ]C级TECHKING</t>
        </is>
      </c>
      <c r="J1411" s="76" t="n">
        <v>446.8807</v>
      </c>
    </row>
    <row r="1412">
      <c r="I1412" s="75" t="inlineStr">
        <is>
          <t>ID7.50R16-14PR(122/118J)[AM4S.Q669]C级EFFIPLUS</t>
        </is>
      </c>
      <c r="J1412" s="76" t="n">
        <v>467.7533</v>
      </c>
    </row>
    <row r="1413">
      <c r="I1413" s="75" t="inlineStr">
        <is>
          <t>ID295/80R22.5-18PR(152/149L)[G-PERFORM D]C级GRIPMASTER无内</t>
        </is>
      </c>
      <c r="J1413" s="76" t="n">
        <v>815.5665</v>
      </c>
    </row>
    <row r="1414">
      <c r="I1414" s="75" t="inlineStr">
        <is>
          <t>ID295/80R22.5-18PR(152/149M)[AD156A]C级金冠无内</t>
        </is>
      </c>
      <c r="J1414" s="76" t="n">
        <v>768.7281</v>
      </c>
    </row>
    <row r="1415">
      <c r="I1415" s="75" t="inlineStr">
        <is>
          <t>ID295/80R22.5-18PR(152/149K)[MD777]C级威狮无内</t>
        </is>
      </c>
      <c r="J1415" s="76" t="n">
        <v>948.8465</v>
      </c>
    </row>
    <row r="1416">
      <c r="I1416" s="75" t="inlineStr">
        <is>
          <t>ID11R22.5-16PR(148/145L)[AS858]C级雅度无内</t>
        </is>
      </c>
      <c r="J1416" s="76" t="n">
        <v>835.2491</v>
      </c>
    </row>
    <row r="1417">
      <c r="I1417" s="75" t="inlineStr">
        <is>
          <t>ID275/80R22.5-16PR(149/146L)[AD153]C级TRAZANO(全诺)无内</t>
        </is>
      </c>
      <c r="J1417" s="76" t="n">
        <v>780.7828</v>
      </c>
    </row>
    <row r="1418">
      <c r="I1418" s="75" t="inlineStr">
        <is>
          <t>ID325/95R24-22PR(162/160K)[MD752]C级ARISUN无内</t>
        </is>
      </c>
      <c r="J1418" s="76" t="n">
        <v>1168.5324</v>
      </c>
    </row>
    <row r="1419">
      <c r="I1419" s="75" t="inlineStr">
        <is>
          <t>ID325/95R24-22PR(162/160K)[CM912A]C级TRAZANO(全诺)无内</t>
        </is>
      </c>
      <c r="J1419" s="76" t="n">
        <v>1182.7172</v>
      </c>
    </row>
    <row r="1420">
      <c r="I1420" s="75" t="inlineStr">
        <is>
          <t>ID11.00R20-16PR(150/147F)[SUPER ETOT]TECHKING</t>
        </is>
      </c>
      <c r="J1420" s="76" t="n">
        <v>1238.7305</v>
      </c>
    </row>
    <row r="1421">
      <c r="I1421" s="75" t="inlineStr">
        <is>
          <t>ID275/80R22.5-16PR(149/146L)[BRD02 ECO]C级BRANSALES无内</t>
        </is>
      </c>
      <c r="J1421" s="76" t="n">
        <v>780.7828</v>
      </c>
    </row>
    <row r="1422">
      <c r="I1422" s="75" t="inlineStr">
        <is>
          <t>ID325/95R24-22PR(162/160K)[AZ828]C级ARISUN无内</t>
        </is>
      </c>
      <c r="J1422" s="76" t="n">
        <v>1223.1177</v>
      </c>
    </row>
    <row r="1423">
      <c r="I1423" s="75" t="inlineStr">
        <is>
          <t>IDST225/75D15-8PR[TE898]113/108L TRANSEAGLE无内</t>
        </is>
      </c>
      <c r="J1423" s="76" t="n">
        <v>163.418773</v>
      </c>
    </row>
    <row r="1424">
      <c r="I1424" s="75" t="inlineStr">
        <is>
          <t>ID12.00R20-20PR(156/153F)[CB972]C级GOODRIDE(好运)</t>
        </is>
      </c>
      <c r="J1424" s="76" t="n">
        <v>1169.9128</v>
      </c>
    </row>
    <row r="1425">
      <c r="I1425" s="75" t="inlineStr">
        <is>
          <t>ID11.00R20-18PR(152/149K)[EZ369]GOODRIDE(好运)</t>
        </is>
      </c>
      <c r="J1425" s="76" t="n">
        <v>1080.1273</v>
      </c>
    </row>
    <row r="1426">
      <c r="I1426" s="75" t="inlineStr">
        <is>
          <t>ID11.00R20-18PR(152/149K)[ETRF]TECHKING</t>
        </is>
      </c>
      <c r="J1426" s="76" t="n">
        <v>1209.5636</v>
      </c>
    </row>
    <row r="1427">
      <c r="I1427" s="75" t="inlineStr">
        <is>
          <t>ID10.00R20-18PR(149/146F)[EZ330]C级GOODRIDE(好运)</t>
        </is>
      </c>
      <c r="J1427" s="76" t="n">
        <v>1000.3021</v>
      </c>
    </row>
    <row r="1428">
      <c r="I1428" s="75" t="inlineStr">
        <is>
          <t>ID295/80R22.5-18PR(152/149L)[EZ573]C级威狮无内</t>
        </is>
      </c>
      <c r="J1428" s="76" t="n">
        <v>801.4055</v>
      </c>
    </row>
    <row r="1429">
      <c r="I1429" s="75" t="inlineStr">
        <is>
          <t>ID295/80R22.5-18PR(152/149M)[AS858Pro]GOODRIDE(好运)无内</t>
        </is>
      </c>
      <c r="J1429" s="76" t="n">
        <v>945.4788</v>
      </c>
    </row>
    <row r="1430">
      <c r="I1430" s="75" t="inlineStr">
        <is>
          <t>ID295/80R22.5-18PR(152/149M)[RF35]RODOFORT无内</t>
        </is>
      </c>
      <c r="J1430" s="76" t="n">
        <v>789.2913</v>
      </c>
    </row>
    <row r="1431">
      <c r="I1431" s="75" t="inlineStr">
        <is>
          <t>ID295/75R22.5-16PR(146/143M)[VA996]VITOUR无内</t>
        </is>
      </c>
      <c r="J1431" s="76" t="n">
        <v>796.0386</v>
      </c>
    </row>
    <row r="1432">
      <c r="I1432" s="75" t="inlineStr">
        <is>
          <t>ID11.00R20-18PR(152/149K)[EZ369]朝阳</t>
        </is>
      </c>
      <c r="J1432" s="76" t="n">
        <v>1080.1273</v>
      </c>
    </row>
    <row r="1433">
      <c r="I1433" s="75" t="inlineStr">
        <is>
          <t>ID295/75R22.5-14PR(144/141M)[VA996]VITOUR无内</t>
        </is>
      </c>
      <c r="J1433" s="76" t="n">
        <v>796.0386</v>
      </c>
    </row>
    <row r="1434">
      <c r="I1434" s="75" t="inlineStr">
        <is>
          <t>ID325/95R24-22PR(162/160K)[CM913A]C级TRAZANO(全诺)无内</t>
        </is>
      </c>
      <c r="J1434" s="76" t="n">
        <v>1171.793</v>
      </c>
    </row>
    <row r="1435">
      <c r="I1435" s="75" t="inlineStr">
        <is>
          <t>ID325/95R24-22PR(162/160K)[MD752]C级雅度无内</t>
        </is>
      </c>
      <c r="J1435" s="76" t="n">
        <v>1168.5324</v>
      </c>
    </row>
    <row r="1436">
      <c r="I1436" s="75" t="inlineStr">
        <is>
          <t>ID325/95R24-22PR(162/160K)[AZ691]C级GOODRIDE(好运)无内</t>
        </is>
      </c>
      <c r="J1436" s="76" t="n">
        <v>1233.1613</v>
      </c>
    </row>
    <row r="1437">
      <c r="I1437" s="75" t="inlineStr">
        <is>
          <t>ID325/95R24-22PR(162/160K)[CM912A]C级朝阳无内</t>
        </is>
      </c>
      <c r="J1437" s="76" t="n">
        <v>1182.7172</v>
      </c>
    </row>
    <row r="1438">
      <c r="I1438" s="75" t="inlineStr">
        <is>
          <t>ID325/95R24-22PR(162/160K)[AZ272]C级朝阳无内</t>
        </is>
      </c>
      <c r="J1438" s="76" t="n">
        <v>1142.2929</v>
      </c>
    </row>
    <row r="1439">
      <c r="I1439" s="75" t="inlineStr">
        <is>
          <t>ID325/95R24-22PR(162/160K)[AZ272]C级TRAZANO(全诺)无内</t>
        </is>
      </c>
      <c r="J1439" s="76" t="n">
        <v>1142.2929</v>
      </c>
    </row>
    <row r="1440">
      <c r="I1440" s="75" t="inlineStr">
        <is>
          <t>ID295/80R22.5-18PR(152/149M)[CM958]威狮无内</t>
        </is>
      </c>
      <c r="J1440" s="76" t="n">
        <v>917.3234</v>
      </c>
    </row>
    <row r="1441">
      <c r="I1441" s="75" t="inlineStr">
        <is>
          <t>ID295/80R22.5-18PR(152/149M)[AS858Pro]雅度无内</t>
        </is>
      </c>
      <c r="J1441" s="76" t="n">
        <v>945.4788</v>
      </c>
    </row>
    <row r="1442">
      <c r="I1442" s="75" t="inlineStr">
        <is>
          <t>ID11R22.5-16PR(146/143L)[VXD932]VITOUR无内</t>
        </is>
      </c>
      <c r="J1442" s="76" t="n">
        <v>892.3572</v>
      </c>
    </row>
    <row r="1443">
      <c r="I1443" s="75" t="inlineStr">
        <is>
          <t>ID295/80R22.5-18PR(152/149M)[AS858Pro]朝阳无内</t>
        </is>
      </c>
      <c r="J1443" s="76" t="n">
        <v>945.4788</v>
      </c>
    </row>
    <row r="1444">
      <c r="I1444" s="75" t="inlineStr">
        <is>
          <t>ID11R22.5-16PR(148/145M)[I-19A]C级IRONMAN无内</t>
        </is>
      </c>
      <c r="J1444" s="76" t="n">
        <v>766.4909</v>
      </c>
    </row>
    <row r="1445">
      <c r="I1445" s="75" t="inlineStr">
        <is>
          <t>ID295/80R22.5-18PR(152/149J)[CM997]威狮无内</t>
        </is>
      </c>
      <c r="J1445" s="76" t="n">
        <v>888.8586</v>
      </c>
    </row>
    <row r="1446">
      <c r="I1446" s="75" t="inlineStr">
        <is>
          <t>ID23.5-25-24PR[EL37]朝阳</t>
        </is>
      </c>
      <c r="J1446" s="76" t="n">
        <v>3107.528634</v>
      </c>
    </row>
    <row r="1447">
      <c r="I1447" s="75" t="inlineStr">
        <is>
          <t>ID11.00R20-18PR(152/149K)[AZ850]GOODRIDE(好运)</t>
        </is>
      </c>
      <c r="J1447" s="76" t="n">
        <v>999.8499</v>
      </c>
    </row>
    <row r="1448">
      <c r="I1448" s="75" t="inlineStr">
        <is>
          <t>ID325/95R24-22PR(162/160K)[MD752]GOODRIDE(好运)无内</t>
        </is>
      </c>
      <c r="J1448" s="76" t="n">
        <v>1168.5324</v>
      </c>
    </row>
    <row r="1449">
      <c r="I1449" s="75" t="inlineStr">
        <is>
          <t>ID17.5-25-16PR[CL729]朝阳</t>
        </is>
      </c>
      <c r="J1449" s="76" t="n">
        <v>1833.087186</v>
      </c>
    </row>
    <row r="1450">
      <c r="I1450" s="75" t="inlineStr">
        <is>
          <t>ID275/80R22.5-16PR(149/146M)[AD528]朝阳无内</t>
        </is>
      </c>
      <c r="J1450" s="76" t="n">
        <v>789.8506</v>
      </c>
    </row>
    <row r="1451">
      <c r="I1451" s="75" t="inlineStr">
        <is>
          <t>ID275/80R22.5-16PR(149/146L)[BRD02 ECO]BRANSALES无内</t>
        </is>
      </c>
      <c r="J1451" s="76" t="n">
        <v>780.7828</v>
      </c>
    </row>
    <row r="1452">
      <c r="I1452" s="75" t="inlineStr">
        <is>
          <t>ID11.00R20-18PR(152/149F)[CB905A]威狮</t>
        </is>
      </c>
      <c r="J1452" s="76" t="n">
        <v>1030.0045</v>
      </c>
    </row>
    <row r="1453">
      <c r="I1453" s="75" t="inlineStr">
        <is>
          <t>ID17.5-25-16PR[CL729]朝阳无内</t>
        </is>
      </c>
      <c r="J1453" s="76" t="n">
        <v>1868.784449</v>
      </c>
    </row>
    <row r="1454">
      <c r="I1454" s="75" t="inlineStr">
        <is>
          <t>ID17.5-25-16PR[EL36]朝阳</t>
        </is>
      </c>
      <c r="J1454" s="76" t="n">
        <v>1712.832807</v>
      </c>
    </row>
    <row r="1455">
      <c r="I1455" s="75" t="inlineStr">
        <is>
          <t>ID10.00-20-18PR[CR952]150/145G 朝阳</t>
        </is>
      </c>
      <c r="J1455" s="76" t="n">
        <v>862.2026</v>
      </c>
    </row>
    <row r="1456">
      <c r="I1456" s="75" t="inlineStr">
        <is>
          <t>ID11.00R20-18PR(152/149F)[CB905A]GOODRIDE(好运)</t>
        </is>
      </c>
      <c r="J1456" s="76" t="n">
        <v>1030.0045</v>
      </c>
    </row>
    <row r="1457">
      <c r="I1457" s="75" t="inlineStr">
        <is>
          <t>ID11.00R20-18PR(152/149F)[CB905A]金冠</t>
        </is>
      </c>
      <c r="J1457" s="76" t="n">
        <v>1030.0045</v>
      </c>
    </row>
    <row r="1458">
      <c r="I1458" s="75" t="inlineStr">
        <is>
          <t>ID11.00R20-18PR(152/149F)[CB905A]雅度</t>
        </is>
      </c>
      <c r="J1458" s="76" t="n">
        <v>1030.0045</v>
      </c>
    </row>
    <row r="1459">
      <c r="I1459" s="75" t="inlineStr">
        <is>
          <t>ID11.00R20-18PR(152/149F)[CB905A]TRAZANO(全诺)</t>
        </is>
      </c>
      <c r="J1459" s="76" t="n">
        <v>1030.0045</v>
      </c>
    </row>
    <row r="1460">
      <c r="I1460" s="75" t="inlineStr">
        <is>
          <t>ID8.25R16-14PR(128/126L)[CR926]朝阳</t>
        </is>
      </c>
      <c r="J1460" s="76" t="n">
        <v>482.0333</v>
      </c>
    </row>
    <row r="1461">
      <c r="I1461" s="75" t="inlineStr">
        <is>
          <t>ID8.25R16-14PR(128/126L)[CR926]GOODRIDE(好运)</t>
        </is>
      </c>
      <c r="J1461" s="76" t="n">
        <v>482.0333</v>
      </c>
    </row>
    <row r="1462">
      <c r="I1462" s="75" t="inlineStr">
        <is>
          <t>ID8.25R16-14PR(128/126L)[CR926]威狮</t>
        </is>
      </c>
      <c r="J1462" s="76" t="n">
        <v>482.0333</v>
      </c>
    </row>
    <row r="1463">
      <c r="I1463" s="75" t="inlineStr">
        <is>
          <t>ID8.25R16-14PR(128/126L)[CR926]金冠</t>
        </is>
      </c>
      <c r="J1463" s="76" t="n">
        <v>482.0333</v>
      </c>
    </row>
    <row r="1464">
      <c r="I1464" s="75" t="inlineStr">
        <is>
          <t>ID8.25R16-14PR(128/126L)[CR926]雅度</t>
        </is>
      </c>
      <c r="J1464" s="76" t="n">
        <v>482.0333</v>
      </c>
    </row>
    <row r="1465">
      <c r="I1465" s="75" t="inlineStr">
        <is>
          <t>ID8.25R16-14PR(128/126L)[CR926]TRAZANO(全诺)</t>
        </is>
      </c>
      <c r="J1465" s="76" t="n">
        <v>482.0333</v>
      </c>
    </row>
    <row r="1466">
      <c r="I1466" s="75" t="inlineStr">
        <is>
          <t>ID7.50R16-14PR(122/118L)[CR926]金冠</t>
        </is>
      </c>
      <c r="J1466" s="76" t="n">
        <v>437.8724</v>
      </c>
    </row>
    <row r="1467">
      <c r="I1467" s="75" t="inlineStr">
        <is>
          <t>ID12.00R24-20PR(160/157F)[CB919]C级GOODRIDE(好运)</t>
        </is>
      </c>
      <c r="J1467" s="76" t="n">
        <v>1302.931</v>
      </c>
    </row>
    <row r="1468">
      <c r="I1468" s="75" t="inlineStr">
        <is>
          <t>ID12.00R24-20PR(160/157F)[EZ336]朝阳</t>
        </is>
      </c>
      <c r="J1468" s="76" t="n">
        <v>1285.8188</v>
      </c>
    </row>
    <row r="1469">
      <c r="I1469" s="75" t="inlineStr">
        <is>
          <t>ID12.00R24-20PR(160/157F)[EZ336]GOODRIDE(好运)</t>
        </is>
      </c>
      <c r="J1469" s="76" t="n">
        <v>1285.8188</v>
      </c>
    </row>
    <row r="1470">
      <c r="I1470" s="75" t="inlineStr">
        <is>
          <t>ID12.00R24-20PR(160/157F)[EZ336]威狮</t>
        </is>
      </c>
      <c r="J1470" s="76" t="n">
        <v>1285.8188</v>
      </c>
    </row>
    <row r="1471">
      <c r="I1471" s="75" t="inlineStr">
        <is>
          <t>ID12.00R24-20PR(160/157F)[EZ336]TRAZANO(全诺)</t>
        </is>
      </c>
      <c r="J1471" s="76" t="n">
        <v>1285.8188</v>
      </c>
    </row>
    <row r="1472">
      <c r="I1472" s="75" t="inlineStr">
        <is>
          <t>ID275/80R22.5-16PR(149/146M)[BRA04]BRANSALES无内</t>
        </is>
      </c>
      <c r="J1472" s="76" t="n">
        <v>738.5616</v>
      </c>
    </row>
    <row r="1473">
      <c r="I1473" s="75" t="inlineStr">
        <is>
          <t>ID7.50R16-14PR(122/118L)[TKAL Ⅲ]TECHKING</t>
        </is>
      </c>
      <c r="J1473" s="76" t="n">
        <v>446.8807</v>
      </c>
    </row>
    <row r="1474">
      <c r="I1474" s="75" t="inlineStr">
        <is>
          <t>ID295/80R22.5-18PR(152/149M)[BRD06 PRO]BRANSALES无内</t>
        </is>
      </c>
      <c r="J1474" s="76" t="n">
        <v>946.5974</v>
      </c>
    </row>
    <row r="1475">
      <c r="I1475" s="75" t="inlineStr">
        <is>
          <t>ID12.00R20-18PR(154/151F)[CB919]GOODRIDE(好运)</t>
        </is>
      </c>
      <c r="J1475" s="76" t="n">
        <v>1236.5647</v>
      </c>
    </row>
    <row r="1476">
      <c r="I1476" s="75" t="inlineStr">
        <is>
          <t>ID295/80R22.5-18PR(152/149K)[G-PRO MSD]GRIPMASTER无内</t>
        </is>
      </c>
      <c r="J1476" s="76" t="n">
        <v>948.8465</v>
      </c>
    </row>
    <row r="1477">
      <c r="I1477" s="75" t="inlineStr">
        <is>
          <t>ID245/70R19.5-16PR(136/134M)[CM986]GOODRIDE(好运)无内 US</t>
        </is>
      </c>
      <c r="J1477" s="76" t="n">
        <v>512.4378</v>
      </c>
    </row>
    <row r="1478">
      <c r="I1478" s="75" t="inlineStr">
        <is>
          <t>ID325/95R24-22PR(162/160K)[AZ828]威狮无内</t>
        </is>
      </c>
      <c r="J1478" s="76" t="n">
        <v>1223.1177</v>
      </c>
    </row>
    <row r="1479">
      <c r="I1479" s="75" t="inlineStr">
        <is>
          <t>ID225/70R19.5-14PR(128/126M)[VA933]VITOUR无内</t>
        </is>
      </c>
      <c r="J1479" s="76" t="n">
        <v>467.6462</v>
      </c>
    </row>
    <row r="1480">
      <c r="I1480" s="75" t="inlineStr">
        <is>
          <t>ID225/70R19.5-14PR(128/126N)[ZA15]威狮无内</t>
        </is>
      </c>
      <c r="J1480" s="76" t="n">
        <v>467.6462</v>
      </c>
    </row>
    <row r="1481">
      <c r="I1481" s="75" t="inlineStr">
        <is>
          <t>ID225/70R19.5-14PR(128/126N)[DA24]威狮无内</t>
        </is>
      </c>
      <c r="J1481" s="76" t="n">
        <v>478.1777</v>
      </c>
    </row>
    <row r="1482">
      <c r="I1482" s="75" t="inlineStr">
        <is>
          <t>ID325/95R24-22PR(162/160K)[MD752]威狮无内</t>
        </is>
      </c>
      <c r="J1482" s="76" t="n">
        <v>1168.5324</v>
      </c>
    </row>
    <row r="1483">
      <c r="I1483" s="75" t="inlineStr">
        <is>
          <t>ID(570-4200)ATV 25×8-12/6[WL6A]SEDONA TL COYOTE(USA)</t>
        </is>
      </c>
      <c r="J1483" s="76" t="n">
        <v>134.13442</v>
      </c>
    </row>
    <row r="1484">
      <c r="I1484" s="75" t="inlineStr">
        <is>
          <t>ID(570-4201)ATV 25×10-12/6[WL6A] SEDONA TL COYOTE(USA)</t>
        </is>
      </c>
      <c r="J1484" s="76" t="n">
        <v>147.700063</v>
      </c>
    </row>
    <row r="1485">
      <c r="I1485" s="75" t="inlineStr">
        <is>
          <t>ID12.00R20-20PR(156/153F)[CB972]GOODRIDE(好运)</t>
        </is>
      </c>
      <c r="J1485" s="76" t="n">
        <v>1169.9128</v>
      </c>
    </row>
    <row r="1486">
      <c r="I1486" s="75" t="inlineStr">
        <is>
          <t>ID12.00R20-18PR(154/151F)[CB332]雅度</t>
        </is>
      </c>
      <c r="J1486" s="76" t="n">
        <v>1236.5647</v>
      </c>
    </row>
    <row r="1487">
      <c r="I1487" s="75" t="inlineStr">
        <is>
          <t>ID12.00R24-20PR(160/157F)[CB972]朝阳</t>
        </is>
      </c>
      <c r="J1487" s="76" t="n">
        <v>1182.7648</v>
      </c>
    </row>
    <row r="1488">
      <c r="I1488" s="75" t="inlineStr">
        <is>
          <t>ID10.00-20-18PR[R9038]150/145G 金冠</t>
        </is>
      </c>
      <c r="J1488" s="76" t="n">
        <v>924.74067</v>
      </c>
    </row>
    <row r="1489">
      <c r="I1489" s="75" t="inlineStr">
        <is>
          <t>ID295/80R22.5-18PR(152/149L)[G-PRO U]GRIPMASTER无内</t>
        </is>
      </c>
      <c r="J1489" s="76" t="n">
        <v>929.8303</v>
      </c>
    </row>
    <row r="1490">
      <c r="I1490" s="75" t="inlineStr">
        <is>
          <t>ID245/70R19.5-16PR(136/134N)[DA24]威狮无内</t>
        </is>
      </c>
      <c r="J1490" s="76" t="n">
        <v>540.5813000000001</v>
      </c>
    </row>
    <row r="1491">
      <c r="I1491" s="75" t="inlineStr">
        <is>
          <t>ID10.00R20金冠丁基内胎</t>
        </is>
      </c>
      <c r="J1491" s="76" t="n">
        <v>51.903397</v>
      </c>
    </row>
    <row r="1492">
      <c r="I1492" s="75" t="inlineStr">
        <is>
          <t>ID12.00R20-22PR(158/155F)[CB919]GOODRIDE(好运)</t>
        </is>
      </c>
      <c r="J1492" s="76" t="n">
        <v>1236.5647</v>
      </c>
    </row>
    <row r="1493">
      <c r="I1493" s="75" t="inlineStr">
        <is>
          <t>ID12.00R20-22PR(158/155F)[CB919]雅度</t>
        </is>
      </c>
      <c r="J1493" s="76" t="n">
        <v>1236.5647</v>
      </c>
    </row>
    <row r="1494">
      <c r="I1494" s="75" t="inlineStr">
        <is>
          <t>ID12.00R20-22PR(158/155F)[EZ310 pro]雅度</t>
        </is>
      </c>
      <c r="J1494" s="76" t="n">
        <v>1378.3175</v>
      </c>
    </row>
    <row r="1495">
      <c r="I1495" s="75" t="inlineStr">
        <is>
          <t>ID295/80R22.5-18PR(152/149L)[CR926D]威狮无内</t>
        </is>
      </c>
      <c r="J1495" s="76" t="n">
        <v>800.7628999999999</v>
      </c>
    </row>
    <row r="1496">
      <c r="I1496" s="75" t="inlineStr">
        <is>
          <t>ID295/80R22.5-18PR(152/149J)[EZ177]金冠无内</t>
        </is>
      </c>
      <c r="J1496" s="76" t="n">
        <v>801.7148999999999</v>
      </c>
    </row>
    <row r="1497">
      <c r="I1497" s="75" t="inlineStr">
        <is>
          <t>ID12.00R24-20PR(160/157F)[EZ336]金冠</t>
        </is>
      </c>
      <c r="J1497" s="76" t="n">
        <v>1285.8188</v>
      </c>
    </row>
    <row r="1498">
      <c r="I1498" s="75" t="inlineStr">
        <is>
          <t>ID11.00-20-18PR[CR952]153/148G 朝阳</t>
        </is>
      </c>
      <c r="J1498" s="76" t="n">
        <v>844.488141</v>
      </c>
    </row>
    <row r="1499">
      <c r="I1499" s="75" t="inlineStr">
        <is>
          <t>ID10.00R20-18PR(149/146F)[CB332]雅度</t>
        </is>
      </c>
      <c r="J1499" s="76" t="n">
        <v>1000.3021</v>
      </c>
    </row>
    <row r="1500">
      <c r="I1500" s="75" t="inlineStr">
        <is>
          <t>ID215/75R17.5-18PR(135/133L)[W-Elite ZA15]威狮无内</t>
        </is>
      </c>
      <c r="J1500" s="76" t="n">
        <v>412.93</v>
      </c>
    </row>
    <row r="1501">
      <c r="I1501" s="75" t="inlineStr">
        <is>
          <t>ID215/75R17.5-18PR(135/133L)[VA933]VITOUR无内</t>
        </is>
      </c>
      <c r="J1501" s="76" t="n">
        <v>412.93</v>
      </c>
    </row>
    <row r="1502">
      <c r="I1502" s="75" t="inlineStr">
        <is>
          <t>ID12.00R20-20PR(156/153F)[EZ336]雅度</t>
        </is>
      </c>
      <c r="J1502" s="76" t="n">
        <v>1222.2252</v>
      </c>
    </row>
    <row r="1503">
      <c r="I1503" s="75" t="inlineStr">
        <is>
          <t>ID10.00R20-18PR(149/146J)[AZ850]GOODRIDE(好运)</t>
        </is>
      </c>
      <c r="J1503" s="76" t="n">
        <v>932.9124</v>
      </c>
    </row>
    <row r="1504">
      <c r="I1504" s="75" t="inlineStr">
        <is>
          <t>ID295/80R22.5-18PR(152/149M)[BRA07 ECO]BRANSALES无内</t>
        </is>
      </c>
      <c r="J1504" s="76" t="n">
        <v>763.4444999999999</v>
      </c>
    </row>
    <row r="1505">
      <c r="I1505" s="75" t="inlineStr">
        <is>
          <t>ID325/95R24-22PR(162/160K)[CM913A]威狮无内</t>
        </is>
      </c>
      <c r="J1505" s="76" t="n">
        <v>1171.793</v>
      </c>
    </row>
    <row r="1506">
      <c r="I1506" s="75" t="inlineStr">
        <is>
          <t>ID295/80R22.5-18PR(152/149M)[AS898]雅度无内</t>
        </is>
      </c>
      <c r="J1506" s="76" t="n">
        <v>900.1755000000001</v>
      </c>
    </row>
    <row r="1507">
      <c r="I1507" s="75" t="inlineStr">
        <is>
          <t>ID225/70R19.5-14PR(128/126N)[CM986]GOODRIDE(好运)无内 US</t>
        </is>
      </c>
      <c r="J1507" s="76" t="n">
        <v>449.1655</v>
      </c>
    </row>
    <row r="1508">
      <c r="I1508" s="75" t="inlineStr">
        <is>
          <t>ID325/95R24-22PR(162/160K)[AZ828]朝阳无内</t>
        </is>
      </c>
      <c r="J1508" s="76" t="n">
        <v>1223.1177</v>
      </c>
    </row>
    <row r="1509">
      <c r="I1509" s="75" t="inlineStr">
        <is>
          <t>ID12.00R20-20PR(156/153F)[ETOD]TECHKING</t>
        </is>
      </c>
      <c r="J1509" s="76" t="n">
        <v>1244.5258</v>
      </c>
    </row>
    <row r="1510">
      <c r="I1510" s="75" t="inlineStr">
        <is>
          <t>ID11.00R20-18PR(152/149K)[AZ676]威狮</t>
        </is>
      </c>
      <c r="J1510" s="76" t="n">
        <v>946.2404</v>
      </c>
    </row>
    <row r="1511">
      <c r="I1511" s="75" t="inlineStr">
        <is>
          <t>ID295/80R22.5-18PR(152/149M)[AD733pro]威狮无内</t>
        </is>
      </c>
      <c r="J1511" s="76" t="n">
        <v>1015.3437</v>
      </c>
    </row>
    <row r="1512">
      <c r="I1512" s="75" t="inlineStr">
        <is>
          <t>ID11.00-20-18PR[CR952]153/148G 雅度</t>
        </is>
      </c>
      <c r="J1512" s="76" t="n">
        <v>844.488141</v>
      </c>
    </row>
    <row r="1513">
      <c r="I1513" s="75" t="inlineStr">
        <is>
          <t>ID295/80R22.5-18PR(152/149M)[AS668]威狮无内</t>
        </is>
      </c>
      <c r="J1513" s="76" t="n">
        <v>836.7961</v>
      </c>
    </row>
    <row r="1514">
      <c r="I1514" s="75" t="inlineStr">
        <is>
          <t>ID295/80R22.5-18PR(152/149M)[AT167]金冠无内</t>
        </is>
      </c>
      <c r="J1514" s="76" t="n">
        <v>750.8185999999999</v>
      </c>
    </row>
    <row r="1515">
      <c r="I1515" s="75" t="inlineStr">
        <is>
          <t>ID295/80R22.5-18PR(152/149J)[G-PERFORM O]GRIPMASTER无内</t>
        </is>
      </c>
      <c r="J1515" s="76" t="n">
        <v>894.3088</v>
      </c>
    </row>
    <row r="1516">
      <c r="I1516" s="75" t="inlineStr">
        <is>
          <t>ID295/75R22.5-14PR(144/141L)[AZ599]威狮无内</t>
        </is>
      </c>
      <c r="J1516" s="76" t="n">
        <v>739.4422</v>
      </c>
    </row>
    <row r="1517">
      <c r="I1517" s="75" t="inlineStr">
        <is>
          <t>ID10.00-20-18PR[R9038]150/145G 威狮</t>
        </is>
      </c>
      <c r="J1517" s="76" t="n">
        <v>924.74067</v>
      </c>
    </row>
    <row r="1518">
      <c r="I1518" s="75" t="inlineStr">
        <is>
          <t>ID23.5-25-24PR[DF60]TRUST TRACK</t>
        </is>
      </c>
      <c r="J1518" s="76" t="n">
        <v>3184.13417</v>
      </c>
    </row>
    <row r="1519">
      <c r="I1519" s="75" t="inlineStr">
        <is>
          <t>ID10.00R20-18PR(149/146J)[AZ676]GOODRIDE(好运)</t>
        </is>
      </c>
      <c r="J1519" s="76" t="n">
        <v>888.0375</v>
      </c>
    </row>
    <row r="1520">
      <c r="I1520" s="75" t="inlineStr">
        <is>
          <t>ID295/80R22.5-18PR(152/149L)[BMA07 ECO]BRANSALES无内</t>
        </is>
      </c>
      <c r="J1520" s="76" t="n">
        <v>800.7628999999999</v>
      </c>
    </row>
    <row r="1521">
      <c r="I1521" s="75" t="inlineStr">
        <is>
          <t>IDST175/80D13-6PR[H180]91/87M HI RUN无内</t>
        </is>
      </c>
      <c r="J1521" s="76" t="n">
        <v>100.678641</v>
      </c>
    </row>
    <row r="1522">
      <c r="I1522" s="75" t="inlineStr">
        <is>
          <t>ID8.25R16中策丁基内胎</t>
        </is>
      </c>
      <c r="J1522" s="76" t="n">
        <v>36.828953</v>
      </c>
    </row>
    <row r="1523">
      <c r="I1523" s="75" t="inlineStr">
        <is>
          <t>ID225/70R19.5-14PR(128/126N)[I-19A]IRONMAN无内</t>
        </is>
      </c>
      <c r="J1523" s="76" t="n">
        <v>448.4396</v>
      </c>
    </row>
    <row r="1524">
      <c r="I1524" s="75" t="inlineStr">
        <is>
          <t>ID215/75R17.5-16PR(135/133L)[Strong Guard H-RA]HERCULES无内</t>
        </is>
      </c>
      <c r="J1524" s="76" t="n">
        <v>380.1812</v>
      </c>
    </row>
    <row r="1525">
      <c r="I1525" s="75" t="inlineStr">
        <is>
          <t>ID215/75R17.5-16PR(135/133L)[I-19A]IRONMAN无内</t>
        </is>
      </c>
      <c r="J1525" s="76" t="n">
        <v>403.2434</v>
      </c>
    </row>
    <row r="1526">
      <c r="I1526" s="75" t="inlineStr">
        <is>
          <t>ID11R24.5-16PR(149/146M)[I-19A]IRONMAN无内 SMARTWAY</t>
        </is>
      </c>
      <c r="J1526" s="76" t="n">
        <v>821.7782999999999</v>
      </c>
    </row>
    <row r="1527">
      <c r="I1527" s="75" t="inlineStr">
        <is>
          <t>ID10.00-20-16PR[R9037]146/142G 威狮</t>
        </is>
      </c>
      <c r="J1527" s="76" t="n">
        <v>864.2584440000001</v>
      </c>
    </row>
    <row r="1528">
      <c r="I1528" s="75" t="inlineStr">
        <is>
          <t>ID295/80R22.5-18PR(152/149M)[G-PRO S]GRIPMASTER无内</t>
        </is>
      </c>
      <c r="J1528" s="76" t="n">
        <v>902.1747</v>
      </c>
    </row>
    <row r="1529">
      <c r="I1529" s="75" t="inlineStr">
        <is>
          <t>ID11.00R20-18PR(152/149K)[CM988]GOODRIDE(好运)</t>
        </is>
      </c>
      <c r="J1529" s="76" t="n">
        <v>984.4989</v>
      </c>
    </row>
    <row r="1530">
      <c r="I1530" s="75" t="inlineStr">
        <is>
          <t>ID11.00R20-18PR(152/149K)[AS678]TRAZANO(全诺)</t>
        </is>
      </c>
      <c r="J1530" s="76" t="n">
        <v>944.3483</v>
      </c>
    </row>
    <row r="1531">
      <c r="I1531" s="75" t="inlineStr">
        <is>
          <t>ID7.50R16-14PR(122/118F)[EZ377]威狮</t>
        </is>
      </c>
      <c r="J1531" s="76" t="n">
        <v>414.1676</v>
      </c>
    </row>
    <row r="1532">
      <c r="I1532" s="75" t="inlineStr">
        <is>
          <t>ID295/80R22.5-18PR(152/149M)[G-PERFORM S]GRIPMASTER无内</t>
        </is>
      </c>
      <c r="J1532" s="76" t="n">
        <v>774.4281999999999</v>
      </c>
    </row>
    <row r="1533">
      <c r="I1533" s="75" t="inlineStr">
        <is>
          <t>ID295/75R22.5-14PR(144/141L)[AD716]TRAZANO(全诺)无内</t>
        </is>
      </c>
      <c r="J1533" s="76" t="n">
        <v>779.6285</v>
      </c>
    </row>
    <row r="1534">
      <c r="I1534" s="75" t="inlineStr">
        <is>
          <t>ID225/70R19.5-14PR(128/126N)[CM986]威狮无内 US</t>
        </is>
      </c>
      <c r="J1534" s="76" t="n">
        <v>450.3079</v>
      </c>
    </row>
    <row r="1535">
      <c r="I1535" s="75" t="inlineStr">
        <is>
          <t>ID11R24.5-16PR(149/146L)[CR960A]威狮无内</t>
        </is>
      </c>
      <c r="J1535" s="76" t="n">
        <v>810.0449</v>
      </c>
    </row>
    <row r="1536">
      <c r="I1536" s="75" t="inlineStr">
        <is>
          <t>ID11R24.5-16PR(149/146L)[AT563]ARISUN无内</t>
        </is>
      </c>
      <c r="J1536" s="76" t="n">
        <v>803.25</v>
      </c>
    </row>
    <row r="1537">
      <c r="I1537" s="75" t="inlineStr">
        <is>
          <t>ID11R22.5-16PR(146/143M)[VT993]VITOUR无内</t>
        </is>
      </c>
      <c r="J1537" s="76" t="n">
        <v>697.7446</v>
      </c>
    </row>
    <row r="1538">
      <c r="I1538" s="75" t="inlineStr">
        <is>
          <t>ID11R22.5-14PR(144/142M)[VT993]VITOUR无内</t>
        </is>
      </c>
      <c r="J1538" s="76" t="n">
        <v>697.7446</v>
      </c>
    </row>
    <row r="1539">
      <c r="I1539" s="75" t="inlineStr">
        <is>
          <t>ID325/95R24-22PR(162/160K)[AZ828]ARISUN无内</t>
        </is>
      </c>
      <c r="J1539" s="76" t="n">
        <v>1226.9495</v>
      </c>
    </row>
    <row r="1540">
      <c r="I1540" s="75" t="inlineStr">
        <is>
          <t>ID12.00R24-20PR(160/157F)[CB972]GOODRIDE(好运)</t>
        </is>
      </c>
      <c r="J1540" s="76" t="n">
        <v>1179.9207</v>
      </c>
    </row>
    <row r="1541">
      <c r="I1541" s="75" t="inlineStr">
        <is>
          <t>ID7.50-15-12PR[R8037]119/115J TRAZANO(全诺)</t>
        </is>
      </c>
      <c r="J1541" s="76" t="n">
        <v>293.710683</v>
      </c>
    </row>
    <row r="1542">
      <c r="I1542" s="75" t="inlineStr">
        <is>
          <t>ID11.00R20-18PR(152/149K)[CR926+]雅度</t>
        </is>
      </c>
      <c r="J1542" s="76" t="n">
        <v>933.3884</v>
      </c>
    </row>
    <row r="1543">
      <c r="I1543" s="75" t="inlineStr">
        <is>
          <t>ID295/80R22.5-18PR(152/149L)[EZ573]威狮无内</t>
        </is>
      </c>
      <c r="J1543" s="76" t="n">
        <v>799.3706</v>
      </c>
    </row>
    <row r="1544">
      <c r="I1544" s="75" t="inlineStr">
        <is>
          <t>ID295/80R22.5-18PR(152/149M)[AD818]TRAZANO(全诺)无内</t>
        </is>
      </c>
      <c r="J1544" s="76" t="n">
        <v>954.5585</v>
      </c>
    </row>
    <row r="1545">
      <c r="I1545" s="75" t="inlineStr">
        <is>
          <t>ID245/70R19.5-16PR(136/134N)[I-19A]IRONMAN无内</t>
        </is>
      </c>
      <c r="J1545" s="76" t="n">
        <v>531.4421</v>
      </c>
    </row>
    <row r="1546">
      <c r="I1546" s="75" t="inlineStr">
        <is>
          <t>ID11R22.5-16PR(148/145L)[AZ850]朝阳无内</t>
        </is>
      </c>
      <c r="J1546" s="76" t="n">
        <v>803.4285</v>
      </c>
    </row>
    <row r="1547">
      <c r="I1547" s="75" t="inlineStr">
        <is>
          <t>ID295/80R22.5-18PR(152/149L)[G-PERFORM D]GRIPMASTER无内</t>
        </is>
      </c>
      <c r="J1547" s="76" t="n">
        <v>813.0794</v>
      </c>
    </row>
    <row r="1548">
      <c r="I1548" s="75" t="inlineStr">
        <is>
          <t>ID11.00R20-18PR(152/149K)[AZ850]雅度</t>
        </is>
      </c>
      <c r="J1548" s="76" t="n">
        <v>997.8031</v>
      </c>
    </row>
    <row r="1549">
      <c r="I1549" s="75" t="inlineStr">
        <is>
          <t>ID295/80R22.5-18PR(152/149M)[AS678]威狮无内</t>
        </is>
      </c>
      <c r="J1549" s="76" t="n">
        <v>789.2913</v>
      </c>
    </row>
    <row r="1550">
      <c r="I1550" s="75" t="inlineStr">
        <is>
          <t>ID275/80R22.5-16PR(149/146L)[BMA03 ECO]BRANSALES无内</t>
        </is>
      </c>
      <c r="J1550" s="76" t="n">
        <v>810.6042</v>
      </c>
    </row>
    <row r="1551">
      <c r="I1551" s="75" t="inlineStr">
        <is>
          <t>ID10.00R20-18PR(149/146J)[CB981]威狮</t>
        </is>
      </c>
      <c r="J1551" s="76" t="n">
        <v>916.5142</v>
      </c>
    </row>
    <row r="1552">
      <c r="I1552" s="75" t="inlineStr">
        <is>
          <t>ID295/80R22.5-18PR(152/149M)[TUCSON A]STRYKER无内</t>
        </is>
      </c>
      <c r="J1552" s="76" t="n">
        <v>760.7194</v>
      </c>
    </row>
    <row r="1553">
      <c r="I1553" s="75" t="inlineStr">
        <is>
          <t>ID295/80R22.5-18PR(152/149M)[TUCSON D]STRYKER无内</t>
        </is>
      </c>
      <c r="J1553" s="76" t="n">
        <v>776.5583</v>
      </c>
    </row>
    <row r="1554">
      <c r="I1554" s="75" t="inlineStr">
        <is>
          <t>ID245/70R19.5-16PR(136/134M)[VA933]VITOUR无内</t>
        </is>
      </c>
      <c r="J1554" s="76" t="n">
        <v>529.1335</v>
      </c>
    </row>
    <row r="1555">
      <c r="I1555" s="75" t="inlineStr">
        <is>
          <t>ID245/70R19.5-16PR(136/134N)[ZA15]威狮无内</t>
        </is>
      </c>
      <c r="J1555" s="76" t="n">
        <v>529.1335</v>
      </c>
    </row>
    <row r="1556">
      <c r="I1556" s="75" t="inlineStr">
        <is>
          <t>ID10.00-20-18PR[CL956]150/145G 金冠</t>
        </is>
      </c>
      <c r="J1556" s="76" t="n">
        <v>879.4981790000001</v>
      </c>
    </row>
    <row r="1557">
      <c r="I1557" s="75" t="inlineStr">
        <is>
          <t>ID295/75R22.5-16PR(146/143M)[VT993]VITOUR无内</t>
        </is>
      </c>
      <c r="J1557" s="76" t="n">
        <v>689.01</v>
      </c>
    </row>
    <row r="1558">
      <c r="I1558" s="75" t="inlineStr">
        <is>
          <t>ID295/75R22.5-14PR(144/141M)[VT993]VITOUR无内</t>
        </is>
      </c>
      <c r="J1558" s="76" t="n">
        <v>689.01</v>
      </c>
    </row>
    <row r="1559">
      <c r="I1559" s="75" t="inlineStr">
        <is>
          <t>ID325/95R24-22PR(162/160K)[MD752]雅度无内</t>
        </is>
      </c>
      <c r="J1559" s="76" t="n">
        <v>1172.3523</v>
      </c>
    </row>
    <row r="1560">
      <c r="I1560" s="75" t="inlineStr">
        <is>
          <t>ID10.00-20-18PR[CR952]150/145G 威狮</t>
        </is>
      </c>
      <c r="J1560" s="76" t="n">
        <v>865.393585</v>
      </c>
    </row>
    <row r="1561">
      <c r="I1561" s="75" t="inlineStr">
        <is>
          <t>ID7.50-16-14PR[M8086]122/118G TRAZANO(全诺)</t>
        </is>
      </c>
      <c r="J1561" s="76" t="n">
        <v>412.087242</v>
      </c>
    </row>
    <row r="1562">
      <c r="I1562" s="75" t="inlineStr">
        <is>
          <t>IDLT7.50-16-14PR[R8037]122/118J 日升</t>
        </is>
      </c>
      <c r="J1562" s="76" t="n">
        <v>364.156779</v>
      </c>
    </row>
    <row r="1563">
      <c r="I1563" s="75" t="inlineStr">
        <is>
          <t>IDLT7.00-16-12PR[R8037]115/110J 日升</t>
        </is>
      </c>
      <c r="J1563" s="76" t="n">
        <v>294.186564</v>
      </c>
    </row>
    <row r="1564">
      <c r="I1564" s="75" t="inlineStr">
        <is>
          <t>IDLT7.00-16-12PR[R8037]115/110J DIDAR</t>
        </is>
      </c>
      <c r="J1564" s="76" t="n">
        <v>294.186564</v>
      </c>
    </row>
    <row r="1565">
      <c r="I1565" s="75" t="inlineStr">
        <is>
          <t>IDLT7.00-16-12PR[R8037]115/110J ARISUN</t>
        </is>
      </c>
      <c r="J1565" s="76" t="n">
        <v>294.186564</v>
      </c>
    </row>
    <row r="1566">
      <c r="I1566" s="75" t="inlineStr">
        <is>
          <t>ID295/80R22.5-18PR(152/149K)[BMD06 PRO]BRANSALES无内</t>
        </is>
      </c>
      <c r="J1566" s="76" t="n">
        <v>951.167</v>
      </c>
    </row>
    <row r="1567">
      <c r="I1567" s="75" t="inlineStr">
        <is>
          <t>ID225/70R19.5-14PR(128/126N)[I-37D]IRONMAN无内</t>
        </is>
      </c>
      <c r="J1567" s="76" t="n">
        <v>466.9322</v>
      </c>
    </row>
    <row r="1568">
      <c r="I1568" s="75" t="inlineStr">
        <is>
          <t>ID12.00R24-20PR(160/157F)[CB919]GOODRIDE(好运)</t>
        </is>
      </c>
      <c r="J1568" s="76" t="n">
        <v>1300.0988</v>
      </c>
    </row>
    <row r="1569">
      <c r="I1569" s="75" t="inlineStr">
        <is>
          <t>ID12.00R24-20PR(160/157F)[CB332]GOODRIDE(好运)</t>
        </is>
      </c>
      <c r="J1569" s="76" t="n">
        <v>1288.8295</v>
      </c>
    </row>
    <row r="1570">
      <c r="I1570" s="75" t="inlineStr">
        <is>
          <t>ID275/80R22.5-16PR(149/146M)[CR976A]朝阳无内</t>
        </is>
      </c>
      <c r="J1570" s="76" t="n">
        <v>741.1915</v>
      </c>
    </row>
    <row r="1571">
      <c r="I1571" s="75" t="inlineStr">
        <is>
          <t>ID325/95R24-22PR(162/160K)[AZ828]雅度无内</t>
        </is>
      </c>
      <c r="J1571" s="76" t="n">
        <v>1226.9495</v>
      </c>
    </row>
    <row r="1572">
      <c r="I1572" s="75" t="inlineStr">
        <is>
          <t>ID10.00-20-18PR[R9038]150/145G GOODRIDE(好运)</t>
        </is>
      </c>
      <c r="J1572" s="76" t="n">
        <v>924.74067</v>
      </c>
    </row>
    <row r="1573">
      <c r="I1573" s="75" t="inlineStr">
        <is>
          <t>ID325/95R24-22PR(162/160K)[CM913A]雅度无内</t>
        </is>
      </c>
      <c r="J1573" s="76" t="n">
        <v>1175.6843</v>
      </c>
    </row>
    <row r="1574">
      <c r="I1574" s="75" t="inlineStr">
        <is>
          <t>ID325/95R24-22PR(162/160K)[MD752]TRAZANO(全诺)无内</t>
        </is>
      </c>
      <c r="J1574" s="76" t="n">
        <v>1172.3523</v>
      </c>
    </row>
    <row r="1575">
      <c r="I1575" s="75" t="inlineStr">
        <is>
          <t>ID11.00-20-18PR[CR952]153/148G TRAZANO(全诺)</t>
        </is>
      </c>
      <c r="J1575" s="76" t="n">
        <v>844.488141</v>
      </c>
    </row>
    <row r="1576">
      <c r="I1576" s="75" t="inlineStr">
        <is>
          <t>ID10.00R20-18PR(149/146J)[AZ686]雅度</t>
        </is>
      </c>
      <c r="J1576" s="76" t="n">
        <v>856.0265000000001</v>
      </c>
    </row>
    <row r="1577">
      <c r="I1577" s="75" t="inlineStr">
        <is>
          <t>ID11.00R20金冠丁基内胎</t>
        </is>
      </c>
      <c r="J1577" s="76" t="n">
        <v>56.54285</v>
      </c>
    </row>
    <row r="1578">
      <c r="I1578" s="75" t="inlineStr">
        <is>
          <t>ID7.50-16-14PR[R8038]122/118J 雅度</t>
        </is>
      </c>
      <c r="J1578" s="76" t="n">
        <v>377.329722</v>
      </c>
    </row>
    <row r="1579">
      <c r="I1579" s="75" t="inlineStr">
        <is>
          <t>ID295/80R22.5-18PR(152/149M)[AD156A]金冠无内</t>
        </is>
      </c>
      <c r="J1579" s="76" t="n">
        <v>778.5218</v>
      </c>
    </row>
    <row r="1580">
      <c r="I1580" s="75" t="inlineStr">
        <is>
          <t>ID245/70R19.5-16PR(136/134M)[CM986]威狮无内 US</t>
        </is>
      </c>
      <c r="J1580" s="76" t="n">
        <v>512.4378</v>
      </c>
    </row>
    <row r="1581">
      <c r="I1581" s="75" t="inlineStr">
        <is>
          <t>ID4.80-12-6PR[ST600]GOODRIDE(好运)无内</t>
        </is>
      </c>
      <c r="J1581" s="76" t="n">
        <v>77.41500000000001</v>
      </c>
    </row>
    <row r="1582">
      <c r="I1582" s="75" t="inlineStr">
        <is>
          <t>ID12.00R20-18PR(154/151F)[CB972]TRAZANO(全诺)</t>
        </is>
      </c>
      <c r="J1582" s="76" t="n">
        <v>1146.6245</v>
      </c>
    </row>
    <row r="1583">
      <c r="I1583" s="75" t="inlineStr">
        <is>
          <t>ID10.00R20-18PR(149/146F)[CB332]威狮</t>
        </is>
      </c>
      <c r="J1583" s="76" t="n">
        <v>998.2196</v>
      </c>
    </row>
    <row r="1584">
      <c r="I1584" s="75" t="inlineStr">
        <is>
          <t>ID7.50-16-14PR[M8087]122/118G GOODRIDE(好运)</t>
        </is>
      </c>
      <c r="J1584" s="76" t="n">
        <v>405.369692</v>
      </c>
    </row>
    <row r="1585">
      <c r="I1585" s="75" t="inlineStr">
        <is>
          <t>ID11.00R20-18PR(152/149K)[CR926+]朝阳</t>
        </is>
      </c>
      <c r="J1585" s="76" t="n">
        <v>933.3884</v>
      </c>
    </row>
    <row r="1586">
      <c r="I1586" s="75" t="inlineStr">
        <is>
          <t>ID10.00-20-16PR[R9037]146/142G 金冠</t>
        </is>
      </c>
      <c r="J1586" s="76" t="n">
        <v>847.310821</v>
      </c>
    </row>
    <row r="1587">
      <c r="I1587" s="75" t="inlineStr">
        <is>
          <t>ID11.00R20-18PR(152/149K)[CR926+]TRAZANO(全诺)</t>
        </is>
      </c>
      <c r="J1587" s="76" t="n">
        <v>933.3884</v>
      </c>
    </row>
    <row r="1588">
      <c r="I1588" s="75" t="inlineStr">
        <is>
          <t>ID11.00R20-18PR(152/149F)[CB332A]GOODRIDE(好运)</t>
        </is>
      </c>
      <c r="J1588" s="76" t="n">
        <v>1028.2433</v>
      </c>
    </row>
    <row r="1589">
      <c r="I1589" s="75" t="inlineStr">
        <is>
          <t>ID295/75R22.5-14PR(144/141L)[AD716]威狮无内</t>
        </is>
      </c>
      <c r="J1589" s="76" t="n">
        <v>779.6285</v>
      </c>
    </row>
    <row r="1590">
      <c r="I1590" s="75" t="inlineStr">
        <is>
          <t>ID11R22.5-16PR(148/145M)[I-19A]IRONMAN无内 SMARTWAY</t>
        </is>
      </c>
      <c r="J1590" s="76" t="n">
        <v>767.7999</v>
      </c>
    </row>
    <row r="1591">
      <c r="I1591" s="75" t="inlineStr">
        <is>
          <t>ID12.00R24-20PR(160/157F)[CB972]威狮</t>
        </is>
      </c>
      <c r="J1591" s="76" t="n">
        <v>1179.9207</v>
      </c>
    </row>
    <row r="1592">
      <c r="I1592" s="75" t="inlineStr">
        <is>
          <t>ID11.00R20-18PR(152/149F)[CB332A]雅度</t>
        </is>
      </c>
      <c r="J1592" s="76" t="n">
        <v>1028.2433</v>
      </c>
    </row>
    <row r="1593">
      <c r="I1593" s="75" t="inlineStr">
        <is>
          <t>ID12.00R20-18PR(154/151F)[CB919]雅度</t>
        </is>
      </c>
      <c r="J1593" s="76" t="n">
        <v>1234.387</v>
      </c>
    </row>
    <row r="1594">
      <c r="I1594" s="75" t="inlineStr">
        <is>
          <t>ID7.50-16-14PR[R8037]122/118J 金冠</t>
        </is>
      </c>
      <c r="J1594" s="76" t="n">
        <v>356.493893</v>
      </c>
    </row>
    <row r="1595">
      <c r="I1595" s="75" t="inlineStr">
        <is>
          <t>ID295/80R22.5-18PR(152/149M)[AD528]威狮无内</t>
        </is>
      </c>
      <c r="J1595" s="76" t="n">
        <v>859.9654</v>
      </c>
    </row>
    <row r="1596">
      <c r="I1596" s="75" t="inlineStr">
        <is>
          <t>ID12.00R24-20PR(160/157F)[CB332]威狮</t>
        </is>
      </c>
      <c r="J1596" s="76" t="n">
        <v>1288.8295</v>
      </c>
    </row>
    <row r="1597">
      <c r="I1597" s="75" t="inlineStr">
        <is>
          <t>ID12.00R24-20PR(160/157F)[MT100 MAX]UNITED</t>
        </is>
      </c>
      <c r="J1597" s="76" t="n">
        <v>1300.0988</v>
      </c>
    </row>
    <row r="1598">
      <c r="I1598" s="75" t="inlineStr">
        <is>
          <t>ID275/80R22.5-16PR(149/146L)[AD153]威狮无内</t>
        </is>
      </c>
      <c r="J1598" s="76" t="n">
        <v>783.496</v>
      </c>
    </row>
    <row r="1599">
      <c r="I1599" s="75" t="inlineStr">
        <is>
          <t>ID275/80R22.5-16PR(149/146L)[AD153]TRAZANO(全诺)无内</t>
        </is>
      </c>
      <c r="J1599" s="76" t="n">
        <v>783.496</v>
      </c>
    </row>
    <row r="1600">
      <c r="I1600" s="75" t="inlineStr">
        <is>
          <t>ID325/95R24-22PR(162/160K)[CM912A]朝阳无内</t>
        </is>
      </c>
      <c r="J1600" s="76" t="n">
        <v>1229.3057</v>
      </c>
    </row>
    <row r="1601">
      <c r="I1601" s="75" t="inlineStr">
        <is>
          <t>ID325/95R24-22PR(162/160K)[AZ272]朝阳无内</t>
        </is>
      </c>
      <c r="J1601" s="76" t="n">
        <v>1177.1718</v>
      </c>
    </row>
    <row r="1602">
      <c r="I1602" s="75" t="inlineStr">
        <is>
          <t>ID10.00-20-18PR[AB316]150/145G ASCENDO</t>
        </is>
      </c>
      <c r="J1602" s="76" t="n">
        <v>884.404073</v>
      </c>
    </row>
    <row r="1603">
      <c r="I1603" s="75" t="inlineStr">
        <is>
          <t>ID7.50R16-14PR(122/118L)[EZ369]GOODRIDE(好运)</t>
        </is>
      </c>
      <c r="J1603" s="76" t="n">
        <v>465.7303</v>
      </c>
    </row>
    <row r="1604">
      <c r="I1604" s="75" t="inlineStr">
        <is>
          <t>ID295/75R22.5-14PR(144/141L)[AD716]GOODRIDE(好运)无内</t>
        </is>
      </c>
      <c r="J1604" s="76" t="n">
        <v>779.6285</v>
      </c>
    </row>
    <row r="1605">
      <c r="I1605" s="75" t="inlineStr">
        <is>
          <t>ID325/95R24-22PR(162/160K)[CM913A]朝阳无内</t>
        </is>
      </c>
      <c r="J1605" s="76" t="n">
        <v>1263.8633</v>
      </c>
    </row>
    <row r="1606">
      <c r="I1606" s="75" t="inlineStr">
        <is>
          <t>ID7.50-16-14PR[AB111]122/118J ASCENDO</t>
        </is>
      </c>
      <c r="J1606" s="76" t="n">
        <v>371.785274</v>
      </c>
    </row>
    <row r="1607">
      <c r="I1607" s="75" t="inlineStr">
        <is>
          <t>ID7.50-16-14PR[AB313]122/118G ASCENDO</t>
        </is>
      </c>
      <c r="J1607" s="76" t="n">
        <v>403.895401</v>
      </c>
    </row>
    <row r="1608">
      <c r="I1608" s="75" t="inlineStr">
        <is>
          <t>ID11.00-20-18PR[AB112]153/148G ASCENDO</t>
        </is>
      </c>
      <c r="J1608" s="76" t="n">
        <v>830.949154</v>
      </c>
    </row>
    <row r="1609">
      <c r="I1609" s="75" t="inlineStr">
        <is>
          <t>ID11.00-20-18PR[AB535]153/148G ASCENDO</t>
        </is>
      </c>
      <c r="J1609" s="76" t="n">
        <v>903.9009139999999</v>
      </c>
    </row>
    <row r="1610">
      <c r="I1610" s="75" t="inlineStr">
        <is>
          <t>ID10.00-20-18PR[AB111]150/145G ASCENDO</t>
        </is>
      </c>
      <c r="J1610" s="76" t="n">
        <v>911.7544380000001</v>
      </c>
    </row>
    <row r="1611">
      <c r="I1611" s="75" t="inlineStr">
        <is>
          <t>ID10.00-20-18PR[AB313]150/145G ASCENDO</t>
        </is>
      </c>
      <c r="J1611" s="76" t="n">
        <v>1039.945879</v>
      </c>
    </row>
    <row r="1612">
      <c r="I1612" s="75" t="inlineStr">
        <is>
          <t>ID295/75R22.5-14PR(144/141M)[I-48T]IRONMAN无内 SMARTWAY</t>
        </is>
      </c>
      <c r="J1612" s="76" t="n">
        <v>707.931</v>
      </c>
    </row>
    <row r="1613">
      <c r="I1613" s="75" t="inlineStr">
        <is>
          <t>ID295/75R22.5-14PR(144/141L)[I-28D]IRONMAN无内 SMARTWAY</t>
        </is>
      </c>
      <c r="J1613" s="76" t="n">
        <v>839.2474999999999</v>
      </c>
    </row>
    <row r="1614">
      <c r="I1614" s="75" t="inlineStr">
        <is>
          <t>ID10.00-20-18PR[R9037]150/145G TRAZANO(全诺)</t>
        </is>
      </c>
      <c r="J1614" s="76" t="n">
        <v>927.094847</v>
      </c>
    </row>
    <row r="1615">
      <c r="I1615" s="75" t="inlineStr">
        <is>
          <t>ID275/80R22.5-16PR(149/146M)[CR976A]TRAZANO(全诺)无内</t>
        </is>
      </c>
      <c r="J1615" s="76" t="n">
        <v>741.1915</v>
      </c>
    </row>
    <row r="1616">
      <c r="I1616" s="75" t="inlineStr">
        <is>
          <t>ID275/80R22.5-16PR(149/146L)[EZ573]威狮无内</t>
        </is>
      </c>
      <c r="J1616" s="76" t="n">
        <v>810.6042</v>
      </c>
    </row>
    <row r="1617">
      <c r="I1617" s="75" t="inlineStr">
        <is>
          <t>ID275/80R22.5-16PR(149/146L)[EZ573]TRAZANO(全诺)无内</t>
        </is>
      </c>
      <c r="J1617" s="76" t="n">
        <v>810.6042</v>
      </c>
    </row>
    <row r="1618">
      <c r="I1618" s="75" t="inlineStr">
        <is>
          <t>ID325/95R24-22PR(162/160K)[AZ272]GOODRIDE(好运)无内</t>
        </is>
      </c>
      <c r="J1618" s="76" t="n">
        <v>1146.1961</v>
      </c>
    </row>
    <row r="1619">
      <c r="I1619" s="75" t="inlineStr">
        <is>
          <t>ID12.00R24-20PR(160/157F)[TZ101 PRO]天力</t>
        </is>
      </c>
      <c r="J1619" s="76" t="n">
        <v>1300.0988</v>
      </c>
    </row>
    <row r="1620">
      <c r="I1620" s="75" t="inlineStr">
        <is>
          <t>ID10.00-20-18PR[CR952]150/145G 金冠</t>
        </is>
      </c>
      <c r="J1620" s="76" t="n">
        <v>850.0156909999999</v>
      </c>
    </row>
    <row r="1621">
      <c r="I1621" s="75" t="inlineStr">
        <is>
          <t>ID10.00R20-18PR(149/146J)[AZ697]雅度</t>
        </is>
      </c>
      <c r="J1621" s="76" t="n">
        <v>854.0511</v>
      </c>
    </row>
    <row r="1622">
      <c r="I1622" s="75" t="inlineStr">
        <is>
          <t>ID275/80R22.5-16PR(149/146M)[CR976A]威狮无内</t>
        </is>
      </c>
      <c r="J1622" s="76" t="n">
        <v>741.1915</v>
      </c>
    </row>
    <row r="1623">
      <c r="I1623" s="75" t="inlineStr">
        <is>
          <t>ID325/95R24-22PR(162/160K)[AZ691]朝阳无内</t>
        </is>
      </c>
      <c r="J1623" s="76" t="n">
        <v>1225.8309</v>
      </c>
    </row>
    <row r="1624">
      <c r="I1624" s="75" t="inlineStr">
        <is>
          <t>ID295/80R22.5-18PR(152/149L)[EZ573]TRAZANO(全诺)无内</t>
        </is>
      </c>
      <c r="J1624" s="76" t="n">
        <v>799.3706</v>
      </c>
    </row>
    <row r="1625">
      <c r="I1625" s="75" t="inlineStr">
        <is>
          <t>ID225/70R19.5-14PR(128/126N)[CR960A]威狮无内 US</t>
        </is>
      </c>
      <c r="J1625" s="76" t="n">
        <v>440.3595</v>
      </c>
    </row>
    <row r="1626">
      <c r="I1626" s="75" t="inlineStr">
        <is>
          <t>ID325/95R24-22PR(162/160K)[AZ691]GOODRIDE(好运)无内</t>
        </is>
      </c>
      <c r="J1626" s="76" t="n">
        <v>1225.8309</v>
      </c>
    </row>
    <row r="1627">
      <c r="I1627" s="75" t="inlineStr">
        <is>
          <t>ID325/95R24-22PR(162/160K)[AZ272]TRAZANO(全诺)无内</t>
        </is>
      </c>
      <c r="J1627" s="76" t="n">
        <v>1146.1961</v>
      </c>
    </row>
    <row r="1628">
      <c r="I1628" s="75" t="inlineStr">
        <is>
          <t>ID10.00-20-18PR[M9097]150/145G 金冠</t>
        </is>
      </c>
      <c r="J1628" s="76" t="n">
        <v>1039.945879</v>
      </c>
    </row>
    <row r="1629">
      <c r="I1629" s="75" t="inlineStr">
        <is>
          <t>ID7.50-16-14PR[R8037]122/118J 雅度</t>
        </is>
      </c>
      <c r="J1629" s="76" t="n">
        <v>356.493893</v>
      </c>
    </row>
    <row r="1630">
      <c r="I1630" s="75" t="inlineStr">
        <is>
          <t>ID295/80R22.5-18PR(152/149M)[AD528]朝阳无内</t>
        </is>
      </c>
      <c r="J1630" s="76" t="n">
        <v>859.9654</v>
      </c>
    </row>
    <row r="1631">
      <c r="I1631" s="75" t="inlineStr">
        <is>
          <t>ID10.00R20-18PR(149/146J)[CM988]雅度</t>
        </is>
      </c>
      <c r="J1631" s="76" t="n">
        <v>923.8208</v>
      </c>
    </row>
    <row r="1632">
      <c r="I1632" s="75" t="inlineStr">
        <is>
          <t>ID7.50R16-14PR(122/118L)[CM988]威狮</t>
        </is>
      </c>
      <c r="J1632" s="76" t="n">
        <v>445.7978</v>
      </c>
    </row>
    <row r="1633">
      <c r="I1633" s="75" t="inlineStr">
        <is>
          <t>ID325/95R24-22PR(162/160K)[CM913A]GOODRIDE(好运)无内</t>
        </is>
      </c>
      <c r="J1633" s="76" t="n">
        <v>1175.6843</v>
      </c>
    </row>
    <row r="1634">
      <c r="I1634" s="75" t="inlineStr">
        <is>
          <t>ID325/95R24-22PR(162/160K)[AZ691]威狮无内</t>
        </is>
      </c>
      <c r="J1634" s="76" t="n">
        <v>1225.8309</v>
      </c>
    </row>
    <row r="1635">
      <c r="I1635" s="75" t="inlineStr">
        <is>
          <t>ID7.50-16-14PR[M8087]122/118G 金冠</t>
        </is>
      </c>
      <c r="J1635" s="76" t="n">
        <v>405.369692</v>
      </c>
    </row>
    <row r="1636">
      <c r="I1636" s="75" t="inlineStr">
        <is>
          <t>ID10.00R20-18PR(149/146J)[CM988]威狮</t>
        </is>
      </c>
      <c r="J1636" s="76" t="n">
        <v>923.8208</v>
      </c>
    </row>
    <row r="1637">
      <c r="I1637" s="75" t="inlineStr">
        <is>
          <t>ID295/80R22.5-18PR(152/149M)[AD733]威狮无内</t>
        </is>
      </c>
      <c r="J1637" s="76" t="n">
        <v>948.9179</v>
      </c>
    </row>
    <row r="1638">
      <c r="I1638" s="75" t="inlineStr">
        <is>
          <t>ID325/95R24-22PR(162/160K)[CM912A]GOODRIDE(好运)无内</t>
        </is>
      </c>
      <c r="J1638" s="76" t="n">
        <v>1186.6204</v>
      </c>
    </row>
    <row r="1639">
      <c r="I1639" s="75" t="inlineStr">
        <is>
          <t>ID10.00R20-18PR(149/146J)[AZ697]GOODRIDE(好运)</t>
        </is>
      </c>
      <c r="J1639" s="76" t="n">
        <v>854.0511</v>
      </c>
    </row>
    <row r="1640">
      <c r="I1640" s="75" t="inlineStr">
        <is>
          <t>ID10.00R20-18PR(149/146K)[TKAL Ⅲ]TECHKING</t>
        </is>
      </c>
      <c r="J1640" s="76" t="n">
        <v>898.1882000000001</v>
      </c>
    </row>
    <row r="1641">
      <c r="I1641" s="75" t="inlineStr">
        <is>
          <t>ID10.00R20-18PR(149/146K)[FOLO.R109]EFFIPLUS</t>
        </is>
      </c>
      <c r="J1641" s="76" t="n">
        <v>898.1882000000001</v>
      </c>
    </row>
    <row r="1642">
      <c r="I1642" s="75" t="inlineStr">
        <is>
          <t>ID325/95R24-22PR(162/160K)[MD752]ARISUN无内</t>
        </is>
      </c>
      <c r="J1642" s="76" t="n">
        <v>1197.8897</v>
      </c>
    </row>
    <row r="1643">
      <c r="I1643" s="75" t="inlineStr">
        <is>
          <t>ID295/80R22.5-18PR(152/149M)[AD156A]力奔无内</t>
        </is>
      </c>
      <c r="J1643" s="76" t="n">
        <v>776.5583</v>
      </c>
    </row>
    <row r="1644">
      <c r="I1644" s="75" t="inlineStr">
        <is>
          <t>ID325/95R24-22PR(162/160K)[CM912A]TRAZANO(全诺)无内</t>
        </is>
      </c>
      <c r="J1644" s="76" t="n">
        <v>1186.6204</v>
      </c>
    </row>
    <row r="1645">
      <c r="I1645" s="75" t="inlineStr">
        <is>
          <t>ID17.5-25-16PR[CL729]威狮</t>
        </is>
      </c>
      <c r="J1645" s="76" t="n">
        <v>1837.230528</v>
      </c>
    </row>
    <row r="1646">
      <c r="I1646" s="75" t="inlineStr">
        <is>
          <t>ID295/80R22.5-18PR(152/149M)[G-PRO D]GRIPMASTER无内</t>
        </is>
      </c>
      <c r="J1646" s="76" t="n">
        <v>954.5585</v>
      </c>
    </row>
    <row r="1647">
      <c r="I1647" s="75" t="inlineStr">
        <is>
          <t>ID225/70R19.5-14PR(128/126L)[Strong Guard H-RA]HERCULES无内</t>
        </is>
      </c>
      <c r="J1647" s="76" t="n">
        <v>437.6939</v>
      </c>
    </row>
    <row r="1648">
      <c r="I1648" s="75" t="inlineStr">
        <is>
          <t>ID325/95R24-22PR(162/160K)[CM913A]TRAZANO(全诺)无内</t>
        </is>
      </c>
      <c r="J1648" s="76" t="n">
        <v>1175.6843</v>
      </c>
    </row>
    <row r="1649">
      <c r="I1649" s="75" t="inlineStr">
        <is>
          <t>ID11.00R20-18PR(152/149K)[AS678]GOODRIDE(好运)</t>
        </is>
      </c>
      <c r="J1649" s="76" t="n">
        <v>944.3483</v>
      </c>
    </row>
    <row r="1650">
      <c r="I1650" s="75" t="inlineStr">
        <is>
          <t>ID11.00R20-18PR(152/149K)[AS578]GOODRIDE(好运)</t>
        </is>
      </c>
      <c r="J1650" s="76" t="n">
        <v>944.3483</v>
      </c>
    </row>
    <row r="1651">
      <c r="I1651" s="75" t="inlineStr">
        <is>
          <t>ID11.00R20-18PR(152/149K)[AS578]雅度</t>
        </is>
      </c>
      <c r="J1651" s="76" t="n">
        <v>944.3483</v>
      </c>
    </row>
    <row r="1652">
      <c r="I1652" s="75" t="inlineStr">
        <is>
          <t>ID7.50R16-14PR(122/118L)[AZ850S]GOODRIDE(好运)</t>
        </is>
      </c>
      <c r="J1652" s="76" t="n">
        <v>461.958</v>
      </c>
    </row>
    <row r="1653">
      <c r="I1653" s="75" t="inlineStr">
        <is>
          <t>ID275/80R22.5-16PR(149/146M)[AD528]TRAZANO(全诺)无内</t>
        </is>
      </c>
      <c r="J1653" s="76" t="n">
        <v>792.3258</v>
      </c>
    </row>
    <row r="1654">
      <c r="I1654" s="75" t="inlineStr">
        <is>
          <t>ID7.50-15-12PR[R8037]119/115J GOODRIDE(好运)</t>
        </is>
      </c>
      <c r="J1654" s="76" t="n">
        <v>293.710683</v>
      </c>
    </row>
    <row r="1655">
      <c r="I1655" s="75" t="inlineStr">
        <is>
          <t>ID295/80R22.5-18PR(152/149L)[G-PRO MSA]GRIPMASTER无内</t>
        </is>
      </c>
      <c r="J1655" s="76" t="n">
        <v>799.3706</v>
      </c>
    </row>
    <row r="1656">
      <c r="I1656" s="75" t="inlineStr">
        <is>
          <t>ID10.00R20-18PR(149/146F)[CB332]C级威狮</t>
        </is>
      </c>
      <c r="J1656" s="76" t="n">
        <v>998.2196</v>
      </c>
    </row>
    <row r="1657">
      <c r="I1657" s="75" t="inlineStr">
        <is>
          <t>ID12.00R24金冠丁基内胎</t>
        </is>
      </c>
      <c r="J1657" s="76" t="n">
        <v>71.323483</v>
      </c>
    </row>
    <row r="1658">
      <c r="I1658" s="75" t="inlineStr">
        <is>
          <t>ID10.00-20-18PR[R9037]150/145G C级朝阳</t>
        </is>
      </c>
      <c r="J1658" s="76" t="n">
        <v>927.094847</v>
      </c>
    </row>
    <row r="1659">
      <c r="I1659" s="75" t="inlineStr">
        <is>
          <t>ID10.00R20-18PR(149/146F)[CB332]朝阳</t>
        </is>
      </c>
      <c r="J1659" s="76" t="n">
        <v>998.2196</v>
      </c>
    </row>
    <row r="1660">
      <c r="I1660" s="75" t="inlineStr">
        <is>
          <t>ID7.50-16-14PR[L8056]122/118G 朝阳</t>
        </is>
      </c>
      <c r="J1660" s="76" t="n">
        <v>364.358841</v>
      </c>
    </row>
    <row r="1661">
      <c r="I1661" s="75" t="inlineStr">
        <is>
          <t>ID11.00R20-18PR(152/149K)[CR926+]GOODRIDE(好运)</t>
        </is>
      </c>
      <c r="J1661" s="76" t="n">
        <v>933.3884</v>
      </c>
    </row>
    <row r="1662">
      <c r="I1662" s="75" t="inlineStr">
        <is>
          <t>ID10.00R20-18PR(149/146J)[AZ676]朝阳</t>
        </is>
      </c>
      <c r="J1662" s="76" t="n">
        <v>883.0276</v>
      </c>
    </row>
    <row r="1663">
      <c r="I1663" s="75" t="inlineStr">
        <is>
          <t>ID10.00R20-18PR(149/146F)[CB972]TRAZANO(全诺)</t>
        </is>
      </c>
      <c r="J1663" s="76" t="n">
        <v>953.7136</v>
      </c>
    </row>
    <row r="1664">
      <c r="I1664" s="75" t="inlineStr">
        <is>
          <t>ID7.50R16-14PR(122/118L)[AZ697]雅度</t>
        </is>
      </c>
      <c r="J1664" s="76" t="n">
        <v>450.1651</v>
      </c>
    </row>
    <row r="1665">
      <c r="I1665" s="75" t="inlineStr">
        <is>
          <t>ID11R22.5-16PR(148/145L)[AS858]雅度无内</t>
        </is>
      </c>
      <c r="J1665" s="76" t="n">
        <v>831.1317</v>
      </c>
    </row>
    <row r="1666">
      <c r="I1666" s="75" t="inlineStr">
        <is>
          <t>ID295/80R22.5-18PR(152/149M)[AS898]TRAZANO(全诺)无内</t>
        </is>
      </c>
      <c r="J1666" s="76" t="n">
        <v>902.1747</v>
      </c>
    </row>
    <row r="1667">
      <c r="I1667" s="75" t="inlineStr">
        <is>
          <t>ID10.00-20-16PR[M9097]146/142G 朝阳</t>
        </is>
      </c>
      <c r="J1667" s="76" t="n">
        <v>1018.330243</v>
      </c>
    </row>
    <row r="1668">
      <c r="I1668" s="75" t="inlineStr">
        <is>
          <t>IDST175/80D13-6PR[ST600]GOODRIDE(好运)无内</t>
        </is>
      </c>
      <c r="J1668" s="76" t="n">
        <v>95.850454</v>
      </c>
    </row>
    <row r="1669">
      <c r="I1669" s="75" t="inlineStr">
        <is>
          <t>ID295/80R22.5-18PR(152/149K)[MD777]威狮无内</t>
        </is>
      </c>
      <c r="J1669" s="76" t="n">
        <v>954.5109</v>
      </c>
    </row>
    <row r="1670">
      <c r="I1670" s="75" t="inlineStr">
        <is>
          <t>ID7.50R16-14PR(122/118J)[ETOD]TECHKING</t>
        </is>
      </c>
      <c r="J1670" s="76" t="n">
        <v>464.35</v>
      </c>
    </row>
    <row r="1671">
      <c r="I1671" s="75" t="inlineStr">
        <is>
          <t>ID7.50-16-14PR[M8087]122/118G 朝阳</t>
        </is>
      </c>
      <c r="J1671" s="76" t="n">
        <v>405.369692</v>
      </c>
    </row>
    <row r="1672">
      <c r="I1672" s="75" t="inlineStr">
        <is>
          <t>ID12.00R20-18PR(154/151F)[CB332]威狮</t>
        </is>
      </c>
      <c r="J1672" s="76" t="n">
        <v>1234.387</v>
      </c>
    </row>
    <row r="1673">
      <c r="I1673" s="75" t="inlineStr">
        <is>
          <t>ID12.00R20-18PR(154/151F)[CB919]威狮</t>
        </is>
      </c>
      <c r="J1673" s="76" t="n">
        <v>1234.387</v>
      </c>
    </row>
    <row r="1674">
      <c r="I1674" s="75" t="inlineStr">
        <is>
          <t>ID7.50R16-14PR(122/118J)[AM4S.Q669]EFFIPLUS</t>
        </is>
      </c>
      <c r="J1674" s="76" t="n">
        <v>464.3499</v>
      </c>
    </row>
    <row r="1675">
      <c r="I1675" s="75" t="inlineStr">
        <is>
          <t>ID11.00R20-18PR(152/149F)[CB972]雅度</t>
        </is>
      </c>
      <c r="J1675" s="76" t="n">
        <v>1073.2848</v>
      </c>
    </row>
    <row r="1676">
      <c r="I1676" s="75" t="inlineStr">
        <is>
          <t>ID11.00R20-18PR(152/149F)[CB972]TRAZANO(全诺)</t>
        </is>
      </c>
      <c r="J1676" s="76" t="n">
        <v>1073.2848</v>
      </c>
    </row>
    <row r="1677">
      <c r="I1677" s="75" t="inlineStr">
        <is>
          <t>ID295/80R22.5-18PR(152/149M)[AD818]威狮无内</t>
        </is>
      </c>
      <c r="J1677" s="76" t="n">
        <v>954.5585</v>
      </c>
    </row>
    <row r="1678">
      <c r="I1678" s="75" t="inlineStr">
        <is>
          <t>ID10.00-20-18PR[R9037]150/145G 金冠</t>
        </is>
      </c>
      <c r="J1678" s="76" t="n">
        <v>927.094847</v>
      </c>
    </row>
    <row r="1679">
      <c r="I1679" s="75" t="inlineStr">
        <is>
          <t>ID295/80R22.5-18PR(152/149M)[AT196]力奔无内</t>
        </is>
      </c>
      <c r="J1679" s="76" t="n">
        <v>760.7194</v>
      </c>
    </row>
    <row r="1680">
      <c r="I1680" s="75" t="inlineStr">
        <is>
          <t>ID10.00-20-18PR[CL956]150/145G TRAZANO(全诺)</t>
        </is>
      </c>
      <c r="J1680" s="76" t="n">
        <v>861.406371</v>
      </c>
    </row>
    <row r="1681">
      <c r="I1681" s="75" t="inlineStr">
        <is>
          <t>ID23.5-25-16PR[EL36]朝阳</t>
        </is>
      </c>
      <c r="J1681" s="76" t="n">
        <v>2933.083202</v>
      </c>
    </row>
    <row r="1682">
      <c r="I1682" s="75" t="inlineStr">
        <is>
          <t>ID295/80R22.5-18PR(152/149M)[AT186]金冠无内</t>
        </is>
      </c>
      <c r="J1682" s="76" t="n">
        <v>760.7194</v>
      </c>
    </row>
    <row r="1683">
      <c r="I1683" s="75" t="inlineStr">
        <is>
          <t>ID11R22.5-14PR(144/142M)[AT563]ARISUN无内</t>
        </is>
      </c>
      <c r="J1683" s="76" t="n">
        <v>750.2593000000001</v>
      </c>
    </row>
    <row r="1684">
      <c r="I1684" s="75" t="inlineStr">
        <is>
          <t>ID11.00R20-18PR(152/149F)[EZ330A]朝阳</t>
        </is>
      </c>
      <c r="J1684" s="76" t="n">
        <v>1028.2433</v>
      </c>
    </row>
    <row r="1685">
      <c r="I1685" s="75" t="inlineStr">
        <is>
          <t>ID7.50R16-14PR(122/118L)[AZ697]TRAZANO(全诺)</t>
        </is>
      </c>
      <c r="J1685" s="76" t="n">
        <v>450.1651</v>
      </c>
    </row>
    <row r="1686">
      <c r="I1686" s="75" t="inlineStr">
        <is>
          <t>ID7.50-16-14PR[R8037]122/118J GOODRIDE(好运)</t>
        </is>
      </c>
      <c r="J1686" s="76" t="n">
        <v>356.493893</v>
      </c>
    </row>
    <row r="1687">
      <c r="I1687" s="75" t="inlineStr">
        <is>
          <t>ID295/75R22.5-14PR(144/141L)[AT563]ARISUN无内</t>
        </is>
      </c>
      <c r="J1687" s="76" t="n">
        <v>738.0499</v>
      </c>
    </row>
    <row r="1688">
      <c r="I1688" s="75" t="inlineStr">
        <is>
          <t>ID7.50-16-14PR[M8086]122/118G 朝阳</t>
        </is>
      </c>
      <c r="J1688" s="76" t="n">
        <v>403.895401</v>
      </c>
    </row>
    <row r="1689">
      <c r="I1689" s="75" t="inlineStr">
        <is>
          <t>ID12.00R20金冠丁基内胎</t>
        </is>
      </c>
      <c r="J1689" s="76" t="n">
        <v>59.343039</v>
      </c>
    </row>
    <row r="1690">
      <c r="I1690" s="75" t="inlineStr">
        <is>
          <t>ID11.00R20-18PR(152/149F)[CB332A]威狮</t>
        </is>
      </c>
      <c r="J1690" s="76" t="n">
        <v>1028.2433</v>
      </c>
    </row>
    <row r="1691">
      <c r="I1691" s="75" t="inlineStr">
        <is>
          <t>ID10.00R20-18PR(149/146J)[CM988]GOODRIDE(好运)</t>
        </is>
      </c>
      <c r="J1691" s="76" t="n">
        <v>923.8208</v>
      </c>
    </row>
    <row r="1692">
      <c r="I1692" s="75" t="inlineStr">
        <is>
          <t>ID295/80R22.5-18PR(152/149M)[AS898]威狮无内</t>
        </is>
      </c>
      <c r="J1692" s="76" t="n">
        <v>902.1747</v>
      </c>
    </row>
    <row r="1693">
      <c r="I1693" s="75" t="inlineStr">
        <is>
          <t>ID23.5-25-24PR[CL728]朝阳 东南亚</t>
        </is>
      </c>
      <c r="J1693" s="76" t="n">
        <v>3212.607419</v>
      </c>
    </row>
    <row r="1694">
      <c r="I1694" s="75" t="inlineStr">
        <is>
          <t>ID7.50-16-14PR[M8087]122/118G TRAZANO(全诺)</t>
        </is>
      </c>
      <c r="J1694" s="76" t="n">
        <v>405.369692</v>
      </c>
    </row>
    <row r="1695">
      <c r="I1695" s="75" t="inlineStr">
        <is>
          <t>ID10.00R20-18PR(149/146F)[EZ330]GOODRIDE(好运)</t>
        </is>
      </c>
      <c r="J1695" s="76" t="n">
        <v>998.2196</v>
      </c>
    </row>
    <row r="1696">
      <c r="I1696" s="75" t="inlineStr">
        <is>
          <t>ID295/80R22.5-18PR(152/149K)[MD777]C级TRAZANO(全诺)无内</t>
        </is>
      </c>
      <c r="J1696" s="76" t="n">
        <v>955.3796</v>
      </c>
    </row>
    <row r="1697">
      <c r="I1697" s="75" t="inlineStr">
        <is>
          <t>ID7.50-16-14PR[L8056]122/118G C级朝阳</t>
        </is>
      </c>
      <c r="J1697" s="76" t="n">
        <v>364.358841</v>
      </c>
    </row>
    <row r="1698">
      <c r="I1698" s="75" t="inlineStr">
        <is>
          <t>ID12.00R20-18PR(154/151F)[CB972]C级朝阳</t>
        </is>
      </c>
      <c r="J1698" s="76" t="n">
        <v>1042.2972</v>
      </c>
    </row>
    <row r="1699">
      <c r="I1699" s="75" t="inlineStr">
        <is>
          <t>ID11.00R20-18PR(152/149F)[CB972]C级朝阳</t>
        </is>
      </c>
      <c r="J1699" s="76" t="n">
        <v>1073.2848</v>
      </c>
    </row>
    <row r="1700">
      <c r="I1700" s="75" t="inlineStr">
        <is>
          <t>ID11.00R20-18PR(152/149F)[CB332A]朝阳</t>
        </is>
      </c>
      <c r="J1700" s="76" t="n">
        <v>1028.2433</v>
      </c>
    </row>
    <row r="1701">
      <c r="I1701" s="75" t="inlineStr">
        <is>
          <t>ID11.00R20-18PR(152/149F)[CB905A]朝阳</t>
        </is>
      </c>
      <c r="J1701" s="76" t="n">
        <v>1028.2433</v>
      </c>
    </row>
    <row r="1702">
      <c r="I1702" s="75" t="inlineStr">
        <is>
          <t>ID10.00R20-18PR(149/146J)[CR926]C级TRAZANO(全诺)</t>
        </is>
      </c>
      <c r="J1702" s="76" t="n">
        <v>872.8293</v>
      </c>
    </row>
    <row r="1703">
      <c r="I1703" s="75" t="inlineStr">
        <is>
          <t>ID10.00R20-18PR(149/146F)[CB972]C级朝阳</t>
        </is>
      </c>
      <c r="J1703" s="76" t="n">
        <v>953.7136</v>
      </c>
    </row>
    <row r="1704">
      <c r="I1704" s="75" t="inlineStr">
        <is>
          <t>ID10.00R20-18PR(149/146F)[EZ330]雅度</t>
        </is>
      </c>
      <c r="J1704" s="76" t="n">
        <v>998.2196</v>
      </c>
    </row>
    <row r="1705">
      <c r="I1705" s="75" t="inlineStr">
        <is>
          <t>ID7.50R16-14PR(122/118L)[CR926]C级雅度</t>
        </is>
      </c>
      <c r="J1705" s="76" t="n">
        <v>423.3187</v>
      </c>
    </row>
    <row r="1706">
      <c r="I1706" s="75" t="inlineStr">
        <is>
          <t>ID7.50R16-14PR(122/118L)[CR926]C级TRAZANO(全诺)</t>
        </is>
      </c>
      <c r="J1706" s="76" t="n">
        <v>423.3187</v>
      </c>
    </row>
    <row r="1707">
      <c r="I1707" s="75" t="inlineStr">
        <is>
          <t>ID7.50R16-14PR(122/118F)[CB972]朝阳</t>
        </is>
      </c>
      <c r="J1707" s="76" t="n">
        <v>442.6443</v>
      </c>
    </row>
    <row r="1708">
      <c r="I1708" s="75" t="inlineStr">
        <is>
          <t>ID7.50R16-14PR(122/118F)[CB972]C级TRAZANO(全诺)</t>
        </is>
      </c>
      <c r="J1708" s="76" t="n">
        <v>442.6443</v>
      </c>
    </row>
    <row r="1709">
      <c r="I1709" s="75" t="inlineStr">
        <is>
          <t>ID295/80R22.5-18PR(152/149L)[CR926D]C级TRAZANO(全诺)无内</t>
        </is>
      </c>
      <c r="J1709" s="76" t="n">
        <v>798.7399</v>
      </c>
    </row>
    <row r="1710">
      <c r="I1710" s="75" t="inlineStr">
        <is>
          <t>ID295/80R22.5-18PR(152/149L)[AD153]C级TRAZANO(全诺)无内</t>
        </is>
      </c>
      <c r="J1710" s="76" t="n">
        <v>828.9302</v>
      </c>
    </row>
    <row r="1711">
      <c r="I1711" s="75" t="inlineStr">
        <is>
          <t>ID295/80R22.5-18PR(152/149M)[CR976A]C级TRAZANO(全诺)无内</t>
        </is>
      </c>
      <c r="J1711" s="76" t="n">
        <v>782.9843</v>
      </c>
    </row>
    <row r="1712">
      <c r="I1712" s="75" t="inlineStr">
        <is>
          <t>ID295/80R22.5-18PR(152/149M)[AD733]C级TRAZANO(全诺)无内</t>
        </is>
      </c>
      <c r="J1712" s="76" t="n">
        <v>949.4058</v>
      </c>
    </row>
    <row r="1713">
      <c r="I1713" s="75" t="inlineStr">
        <is>
          <t>ID10.00R20-18PR(149/146J)[AZ686]TRAZANO(全诺)</t>
        </is>
      </c>
      <c r="J1713" s="76" t="n">
        <v>854.0511</v>
      </c>
    </row>
    <row r="1714">
      <c r="I1714" s="75" t="inlineStr">
        <is>
          <t>ID295/75R22.5-14PR(144/141M)[CR915]TRAZANO(全诺)无内</t>
        </is>
      </c>
      <c r="J1714" s="76" t="n">
        <v>703.2186</v>
      </c>
    </row>
    <row r="1715">
      <c r="I1715" s="75" t="inlineStr">
        <is>
          <t>ID11.00R20-18PR(152/149F)[CB332A]C级朝阳</t>
        </is>
      </c>
      <c r="J1715" s="76" t="n">
        <v>1028.2433</v>
      </c>
    </row>
    <row r="1716">
      <c r="I1716" s="75" t="inlineStr">
        <is>
          <t>ID11R22.5-14PR(144/142M)[AT552]ARISUN无内</t>
        </is>
      </c>
      <c r="J1716" s="76" t="n">
        <v>707.7168</v>
      </c>
    </row>
    <row r="1717">
      <c r="I1717" s="75" t="inlineStr">
        <is>
          <t>ID295/75R22.5-14PR(144/141M)[AT552]ARISUN无内</t>
        </is>
      </c>
      <c r="J1717" s="76" t="n">
        <v>689.9858</v>
      </c>
    </row>
    <row r="1718">
      <c r="I1718" s="75" t="inlineStr">
        <is>
          <t>ID11.00R20-18PR(152/149K)[CR926+]威狮</t>
        </is>
      </c>
      <c r="J1718" s="76" t="n">
        <v>933.3884</v>
      </c>
    </row>
    <row r="1719">
      <c r="I1719" s="75" t="inlineStr">
        <is>
          <t>ID11.00R20-18PR(152/149F)[CB972]威狮</t>
        </is>
      </c>
      <c r="J1719" s="76" t="n">
        <v>1073.2848</v>
      </c>
    </row>
    <row r="1720">
      <c r="I1720" s="75" t="inlineStr">
        <is>
          <t>IDST225/75D15-8PR[ST600]GOODRIDE(好运)无内</t>
        </is>
      </c>
      <c r="J1720" s="76" t="n">
        <v>160.757814</v>
      </c>
    </row>
    <row r="1721">
      <c r="I1721" s="75" t="inlineStr">
        <is>
          <t>ID295/75R22.5-14PR(144/141M)[AT552]C级ARISUN无内</t>
        </is>
      </c>
      <c r="J1721" s="76" t="n">
        <v>689.9858</v>
      </c>
    </row>
    <row r="1722">
      <c r="I1722" s="75" t="inlineStr">
        <is>
          <t>ID11R22.5-14PR(144/142M)[AT552]C级ARISUN无内</t>
        </is>
      </c>
      <c r="J1722" s="76" t="n">
        <v>707.7168</v>
      </c>
    </row>
    <row r="1723">
      <c r="I1723" s="75" t="inlineStr">
        <is>
          <t>ID10.00-20-18PR[M9097]150/145G C级朝阳</t>
        </is>
      </c>
      <c r="J1723" s="76" t="n">
        <v>1039.945879</v>
      </c>
    </row>
    <row r="1724">
      <c r="I1724" s="75" t="inlineStr">
        <is>
          <t>ID11.00R20-18PR(152/149F)[EZ330A]GOODRIDE(好运)</t>
        </is>
      </c>
      <c r="J1724" s="76" t="n">
        <v>1028.2433</v>
      </c>
    </row>
    <row r="1725">
      <c r="I1725" s="75" t="inlineStr">
        <is>
          <t>ID10.00R20-18PR(149/146F)[CB905]C级朝阳</t>
        </is>
      </c>
      <c r="J1725" s="76" t="n">
        <v>973.3486</v>
      </c>
    </row>
    <row r="1726">
      <c r="I1726" s="75" t="inlineStr">
        <is>
          <t>ID7.50R16-14PR(122/118L)[SUPER AM S]C级TECHKING</t>
        </is>
      </c>
      <c r="J1726" s="76" t="n">
        <v>429.2687</v>
      </c>
    </row>
    <row r="1727">
      <c r="I1727" s="75" t="inlineStr">
        <is>
          <t>ID7.50R16-14PR(122/118L)[AZ697]C级TRAZANO(全诺)</t>
        </is>
      </c>
      <c r="J1727" s="76" t="n">
        <v>450.1651</v>
      </c>
    </row>
    <row r="1728">
      <c r="I1728" s="75" t="inlineStr">
        <is>
          <t>ID10.00-20-16PR[R9037]146/142G 朝阳</t>
        </is>
      </c>
      <c r="J1728" s="76" t="n">
        <v>847.310821</v>
      </c>
    </row>
    <row r="1729">
      <c r="I1729" s="75" t="inlineStr">
        <is>
          <t>ID23.5-25-24PR[CL728]威狮 东南亚</t>
        </is>
      </c>
      <c r="J1729" s="76" t="n">
        <v>3212.607419</v>
      </c>
    </row>
    <row r="1730">
      <c r="I1730" s="75" t="inlineStr">
        <is>
          <t>ID10.00-20-18PR[CR952]150/145G TRAZANO(全诺)</t>
        </is>
      </c>
      <c r="J1730" s="76" t="n">
        <v>850.0156909999999</v>
      </c>
    </row>
    <row r="1731">
      <c r="I1731" s="75" t="inlineStr">
        <is>
          <t>ID11.00R20-18PR(152/149K)[AZ850]朝阳</t>
        </is>
      </c>
      <c r="J1731" s="76" t="n">
        <v>997.8031</v>
      </c>
    </row>
    <row r="1732">
      <c r="I1732" s="75" t="inlineStr">
        <is>
          <t>ID295/75R22.5-14PR(144/141M)[CR915]威狮无内</t>
        </is>
      </c>
      <c r="J1732" s="76" t="n">
        <v>703.2186</v>
      </c>
    </row>
    <row r="1733">
      <c r="I1733" s="75" t="inlineStr">
        <is>
          <t>ID12.00R20-18PR(154/151F)[CB972]GOODRIDE(好运)</t>
        </is>
      </c>
      <c r="J1733" s="76" t="n">
        <v>1042.2972</v>
      </c>
    </row>
    <row r="1734">
      <c r="I1734" s="75" t="inlineStr">
        <is>
          <t>ID10.00R20-18PR(149/146J)[CR926]雅度</t>
        </is>
      </c>
      <c r="J1734" s="76" t="n">
        <v>872.8293</v>
      </c>
    </row>
    <row r="1735">
      <c r="I1735" s="75" t="inlineStr">
        <is>
          <t>ID10.00R20-18PR(149/146F)[CB972]威狮</t>
        </is>
      </c>
      <c r="J1735" s="76" t="n">
        <v>953.7136</v>
      </c>
    </row>
    <row r="1736">
      <c r="I1736" s="75" t="inlineStr">
        <is>
          <t>ID10.00R20-18PR(149/146F)[CB972]雅度</t>
        </is>
      </c>
      <c r="J1736" s="76" t="n">
        <v>953.7136</v>
      </c>
    </row>
    <row r="1737">
      <c r="I1737" s="75" t="inlineStr">
        <is>
          <t>ID11R22.5-16PR(148/145L)[AS858]GOODRIDE(好运)无内</t>
        </is>
      </c>
      <c r="J1737" s="76" t="n">
        <v>831.1317</v>
      </c>
    </row>
    <row r="1738">
      <c r="I1738" s="75" t="inlineStr">
        <is>
          <t>ID12.00R20-18PR(154/151F)[CB972]雅度</t>
        </is>
      </c>
      <c r="J1738" s="76" t="n">
        <v>1042.2972</v>
      </c>
    </row>
    <row r="1739">
      <c r="I1739" s="75" t="inlineStr">
        <is>
          <t>ID11.00R20-18PR(152/149F)[CB972]GOODRIDE(好运)</t>
        </is>
      </c>
      <c r="J1739" s="76" t="n">
        <v>1073.2848</v>
      </c>
    </row>
    <row r="1740">
      <c r="I1740" s="75" t="inlineStr">
        <is>
          <t>ID11.00R20-18PR(152/149F)[CB972]C级威狮</t>
        </is>
      </c>
      <c r="J1740" s="76" t="n">
        <v>1073.2848</v>
      </c>
    </row>
    <row r="1741">
      <c r="I1741" s="75" t="inlineStr">
        <is>
          <t>ID7.50R16-14PR(122/118L)[CM913]C级GOODRIDE(好运)</t>
        </is>
      </c>
      <c r="J1741" s="76" t="n">
        <v>447.6185</v>
      </c>
    </row>
    <row r="1742">
      <c r="I1742" s="75" t="inlineStr">
        <is>
          <t>ID12.00R20-18PR(154/151F)[EZ345]C级雅度</t>
        </is>
      </c>
      <c r="J1742" s="76" t="n">
        <v>998.2434</v>
      </c>
    </row>
    <row r="1743">
      <c r="I1743" s="75" t="inlineStr">
        <is>
          <t>ID7.50R16-14PR(122/118L)[CR926]C级TIANLI</t>
        </is>
      </c>
      <c r="J1743" s="76" t="n">
        <v>425.068</v>
      </c>
    </row>
    <row r="1744">
      <c r="I1744" s="75" t="inlineStr">
        <is>
          <t>ID7.50R16-14PR(122/118L)[CB981]C级TRAZANO(全诺)</t>
        </is>
      </c>
      <c r="J1744" s="76" t="n">
        <v>439.6455</v>
      </c>
    </row>
    <row r="1745">
      <c r="I1745" s="75" t="inlineStr">
        <is>
          <t>ID7.50R16-14PR(122/118L)[AZ850S]C级朝阳</t>
        </is>
      </c>
      <c r="J1745" s="76" t="n">
        <v>453.2353</v>
      </c>
    </row>
    <row r="1746">
      <c r="I1746" s="75" t="inlineStr">
        <is>
          <t>ID7.50-16-14PR[M8086]122/118G 金冠</t>
        </is>
      </c>
      <c r="J1746" s="76" t="n">
        <v>403.895401</v>
      </c>
    </row>
    <row r="1747">
      <c r="I1747" s="75" t="inlineStr">
        <is>
          <t>ID7.50-16-14PR[R8038]122/118J 金冠</t>
        </is>
      </c>
      <c r="J1747" s="76" t="n">
        <v>369.758704</v>
      </c>
    </row>
    <row r="1748">
      <c r="I1748" s="75" t="inlineStr">
        <is>
          <t>ID7.50-16-14PR[M8087]122/118G ASCENDO</t>
        </is>
      </c>
      <c r="J1748" s="76" t="n">
        <v>405.369692</v>
      </c>
    </row>
    <row r="1749">
      <c r="I1749" s="75" t="inlineStr">
        <is>
          <t>ID12.00R20-18PR(154/151F)[CB972]C级GOODRIDE(好运)</t>
        </is>
      </c>
      <c r="J1749" s="76" t="n">
        <v>1042.297</v>
      </c>
    </row>
    <row r="1750">
      <c r="I1750" s="75" t="inlineStr">
        <is>
          <t>ID7.50R16-14PR(122/118L)[CR926]UNITED</t>
        </is>
      </c>
      <c r="J1750" s="76" t="n">
        <v>425.068</v>
      </c>
    </row>
    <row r="1751">
      <c r="I1751" s="75" t="inlineStr">
        <is>
          <t>ID7.50R16-14PR(122/118L)[CR926]TIANLI</t>
        </is>
      </c>
      <c r="J1751" s="76" t="n">
        <v>425.068</v>
      </c>
    </row>
    <row r="1752">
      <c r="I1752" s="75" t="inlineStr">
        <is>
          <t>ID11.00-20-18PR[CL969]153/148G ASCENDO</t>
        </is>
      </c>
      <c r="J1752" s="76" t="n">
        <v>903.9009139999999</v>
      </c>
    </row>
    <row r="1753">
      <c r="I1753" s="75" t="inlineStr">
        <is>
          <t>ID10.00-20-18PR[M9096]150/145G C级GOODRIDE(好运)</t>
        </is>
      </c>
      <c r="J1753" s="76" t="n">
        <v>1034.380606</v>
      </c>
    </row>
    <row r="1754">
      <c r="I1754" s="75" t="inlineStr">
        <is>
          <t>ID10.00-20-18PR[M9097]150/145G ASCENDO</t>
        </is>
      </c>
      <c r="J1754" s="76" t="n">
        <v>1034.380606</v>
      </c>
    </row>
    <row r="1755">
      <c r="I1755" s="75" t="inlineStr">
        <is>
          <t>ID10.00-20-16PR[M9096]146/142G 金冠</t>
        </is>
      </c>
      <c r="J1755" s="76" t="n">
        <v>1014.582338</v>
      </c>
    </row>
    <row r="1756">
      <c r="I1756" s="75" t="inlineStr">
        <is>
          <t>ID7.50-16-14PR[R8038]122/118J C级GOODRIDE(好运)</t>
        </is>
      </c>
      <c r="J1756" s="76" t="n">
        <v>371.785274</v>
      </c>
    </row>
    <row r="1757">
      <c r="I1757" s="75" t="inlineStr">
        <is>
          <t>IDLT7.00-16-12PR[R8037]115/110J C级朝阳</t>
        </is>
      </c>
      <c r="J1757" s="76" t="n">
        <v>288.328075</v>
      </c>
    </row>
    <row r="1758">
      <c r="I1758" s="75" t="inlineStr">
        <is>
          <t>ID7.50R16-14PR(122/118L)[AZ850S]朝阳</t>
        </is>
      </c>
      <c r="J1758" s="76" t="n">
        <v>453.2353</v>
      </c>
    </row>
    <row r="1759">
      <c r="I1759" s="75" t="inlineStr">
        <is>
          <t>ID12.00R24-20PR(160/157F)[CB972E]朝阳</t>
        </is>
      </c>
      <c r="J1759" s="76" t="n">
        <v>1300.0988</v>
      </c>
    </row>
    <row r="1760">
      <c r="I1760" s="75" t="inlineStr">
        <is>
          <t>ID11.00-20-18PR[CL969]153/148G C级金冠</t>
        </is>
      </c>
      <c r="J1760" s="76" t="n">
        <v>903.9009139999999</v>
      </c>
    </row>
    <row r="1761">
      <c r="I1761" s="75" t="inlineStr">
        <is>
          <t>ID11.00R20-18PR(152/149F)[CB972]朝阳</t>
        </is>
      </c>
      <c r="J1761" s="76" t="n">
        <v>1073.2848</v>
      </c>
    </row>
    <row r="1762">
      <c r="I1762" s="75" t="inlineStr">
        <is>
          <t>ID11.00R20-18PR(152/149F)[CB972]C级GOODRIDE(好运)</t>
        </is>
      </c>
      <c r="J1762" s="76" t="n">
        <v>1073.2848</v>
      </c>
    </row>
    <row r="1763">
      <c r="I1763" s="75" t="inlineStr">
        <is>
          <t>ID10.00R20-18PR(149/146J)[CR926]C级雅度</t>
        </is>
      </c>
      <c r="J1763" s="76" t="n">
        <v>872.8293</v>
      </c>
    </row>
    <row r="1764">
      <c r="I1764" s="75" t="inlineStr">
        <is>
          <t>ID10.00R20-18PR(149/146F)[CB972]C级威狮</t>
        </is>
      </c>
      <c r="J1764" s="76" t="n">
        <v>953.7136</v>
      </c>
    </row>
    <row r="1765">
      <c r="I1765" s="75" t="inlineStr">
        <is>
          <t>ID295/80R22.5-18PR(152/149L)[AD153]威狮无内</t>
        </is>
      </c>
      <c r="J1765" s="76" t="n">
        <v>828.9302</v>
      </c>
    </row>
    <row r="1766">
      <c r="I1766" s="75" t="inlineStr">
        <is>
          <t>ID295/80R22.5-18PR(152/149M)[CR976A]威狮无内</t>
        </is>
      </c>
      <c r="J1766" s="76" t="n">
        <v>788.6249</v>
      </c>
    </row>
    <row r="1767">
      <c r="I1767" s="75" t="inlineStr">
        <is>
          <t>ID295/80R22.5-18PR(152/149M)[CM335]TRAZANO(全诺)无内</t>
        </is>
      </c>
      <c r="J1767" s="76" t="n">
        <v>850.8262</v>
      </c>
    </row>
    <row r="1768">
      <c r="I1768" s="75" t="inlineStr">
        <is>
          <t>ID295/80R22.5-18PR(152/149M)[AT161]威狮无内</t>
        </is>
      </c>
      <c r="J1768" s="76" t="n">
        <v>788.6249</v>
      </c>
    </row>
    <row r="1769">
      <c r="I1769" s="75" t="inlineStr">
        <is>
          <t>ID11R22.5-16PR(148/145L)[AS858]C级GOODRIDE(好运)无内</t>
        </is>
      </c>
      <c r="J1769" s="76" t="n">
        <v>831.1317</v>
      </c>
    </row>
    <row r="1770">
      <c r="I1770" s="75" t="inlineStr">
        <is>
          <t>ID11R22.5-14PR(144/142M)[CR915]TRAZANO(全诺)无内</t>
        </is>
      </c>
      <c r="J1770" s="76" t="n">
        <v>710.0611</v>
      </c>
    </row>
    <row r="1771">
      <c r="I1771" s="75" t="inlineStr">
        <is>
          <t>ID12.00R24-20PR(160/157F)[CB972]雅度</t>
        </is>
      </c>
      <c r="J1771" s="76" t="n">
        <v>1179.9207</v>
      </c>
    </row>
    <row r="1772">
      <c r="I1772" s="75" t="inlineStr">
        <is>
          <t>ID23.5-25-20PR[EL36]朝阳</t>
        </is>
      </c>
      <c r="J1772" s="76" t="n">
        <v>3197.350072</v>
      </c>
    </row>
    <row r="1773">
      <c r="I1773" s="75" t="inlineStr">
        <is>
          <t>ID7.50R16-14PR(122/118F)[CB972]威狮</t>
        </is>
      </c>
      <c r="J1773" s="76" t="n">
        <v>442.6443</v>
      </c>
    </row>
    <row r="1774">
      <c r="I1774" s="75" t="inlineStr">
        <is>
          <t>ID295/80R22.5-18PR(152/149L)[AD153]TRAZANO(全诺)无内</t>
        </is>
      </c>
      <c r="J1774" s="76" t="n">
        <v>828.9302</v>
      </c>
    </row>
    <row r="1775">
      <c r="I1775" s="75" t="inlineStr">
        <is>
          <t>ID295/80R22.5-18PR(152/149M)[AS858Pro]威狮无内</t>
        </is>
      </c>
      <c r="J1775" s="76" t="n">
        <v>987.105</v>
      </c>
    </row>
    <row r="1776">
      <c r="I1776" s="75" t="inlineStr">
        <is>
          <t>ID12.00R20-18PR(154/151F)[CB972]朝阳</t>
        </is>
      </c>
      <c r="J1776" s="76" t="n">
        <v>1042.2972</v>
      </c>
    </row>
    <row r="1777">
      <c r="I1777" s="75" t="inlineStr">
        <is>
          <t>ID10.00R20-18PR(149/146F)[CB972]朝阳</t>
        </is>
      </c>
      <c r="J1777" s="76" t="n">
        <v>953.7136</v>
      </c>
    </row>
    <row r="1778">
      <c r="I1778" s="75" t="inlineStr">
        <is>
          <t>ID11R22.5-14PR(144/142M)[CR915]C级TRAZANO(全诺)无内</t>
        </is>
      </c>
      <c r="J1778" s="76" t="n">
        <v>710.0611</v>
      </c>
    </row>
    <row r="1779">
      <c r="I1779" s="75" t="inlineStr">
        <is>
          <t>ID7.50-16-14PR[R8037]122/118J TRAZANO(全诺)</t>
        </is>
      </c>
      <c r="J1779" s="76" t="n">
        <v>356.493893</v>
      </c>
    </row>
    <row r="1780">
      <c r="I1780" s="75" t="inlineStr">
        <is>
          <t>ID10.00R20-18PR(149/146F)[CB972]C级雅度</t>
        </is>
      </c>
      <c r="J1780" s="76" t="n">
        <v>953.7136</v>
      </c>
    </row>
    <row r="1781">
      <c r="I1781" s="75" t="inlineStr">
        <is>
          <t>ID295/80R22.5-18PR(152/149L)[AD153]C级威狮无内</t>
        </is>
      </c>
      <c r="J1781" s="76" t="n">
        <v>828.9302</v>
      </c>
    </row>
    <row r="1782">
      <c r="I1782" s="75" t="inlineStr">
        <is>
          <t>ID295/80R22.5-18PR(152/149M)[CR976A]C级威狮无内</t>
        </is>
      </c>
      <c r="J1782" s="76" t="n">
        <v>788.6249</v>
      </c>
    </row>
    <row r="1783">
      <c r="I1783" s="75" t="inlineStr">
        <is>
          <t>ID295/80R22.5-18PR(152/149M)[CM335]C级TRAZANO(全诺)无内</t>
        </is>
      </c>
      <c r="J1783" s="76" t="n">
        <v>850.8262</v>
      </c>
    </row>
    <row r="1784">
      <c r="I1784" s="75" t="inlineStr">
        <is>
          <t>ID295/80R22.5-18PR(152/149M)[AT161]C级威狮无内</t>
        </is>
      </c>
      <c r="J1784" s="76" t="n">
        <v>788.6249</v>
      </c>
    </row>
    <row r="1785">
      <c r="I1785" s="75" t="inlineStr">
        <is>
          <t>ID295/80R22.5-18PR(152/149M)[AS868Pro]朝阳无内</t>
        </is>
      </c>
      <c r="J1785" s="76" t="n">
        <v>987.105</v>
      </c>
    </row>
    <row r="1786">
      <c r="I1786" s="75" t="inlineStr">
        <is>
          <t>ID11R22.5-16PR(148/145L)[AS868]C级朝阳无内</t>
        </is>
      </c>
      <c r="J1786" s="76" t="n">
        <v>831.1317</v>
      </c>
    </row>
    <row r="1787">
      <c r="I1787" s="75" t="inlineStr">
        <is>
          <t>ID10.00-20-18PR[R9037]150/145G 朝阳</t>
        </is>
      </c>
      <c r="J1787" s="76" t="n">
        <v>927.094847</v>
      </c>
    </row>
    <row r="1788">
      <c r="I1788" s="75" t="inlineStr">
        <is>
          <t>ID7.50-16-14PR[M8087]122/118G 威狮</t>
        </is>
      </c>
      <c r="J1788" s="76" t="n">
        <v>405.369692</v>
      </c>
    </row>
    <row r="1789">
      <c r="I1789" s="75" t="inlineStr">
        <is>
          <t>IDST205/75D15-6PR[ST600]GOODRIDE(好运)无内</t>
        </is>
      </c>
      <c r="J1789" s="76" t="n">
        <v>122.770039</v>
      </c>
    </row>
    <row r="1790">
      <c r="I1790" s="75" t="inlineStr">
        <is>
          <t>ID12.00R20-18PR(154/151F)[EZ345]雅度</t>
        </is>
      </c>
      <c r="J1790" s="76" t="n">
        <v>998.2434</v>
      </c>
    </row>
    <row r="1791">
      <c r="I1791" s="75" t="inlineStr">
        <is>
          <t>ID7.50R16-14PR(122/118L)[CR926]TRAZANO(全诺)</t>
        </is>
      </c>
      <c r="J1791" s="76" t="n">
        <v>423.3187</v>
      </c>
    </row>
    <row r="1792">
      <c r="I1792" s="75" t="inlineStr">
        <is>
          <t>ID295/80R22.5-18PR(152/149M)[CR976A]TRAZANO(全诺)无内</t>
        </is>
      </c>
      <c r="J1792" s="76" t="n">
        <v>788.6249</v>
      </c>
    </row>
    <row r="1793">
      <c r="I1793" s="75" t="inlineStr">
        <is>
          <t>ID295/80R22.5-18PR(152/149K)[MD777]TRAZANO(全诺)无内</t>
        </is>
      </c>
      <c r="J1793" s="76" t="n">
        <v>955.3796</v>
      </c>
    </row>
    <row r="1794">
      <c r="I1794" s="75" t="inlineStr">
        <is>
          <t>ID295/80R22.5-18PR(152/149L)[CR926D]TRAZANO(全诺)无内</t>
        </is>
      </c>
      <c r="J1794" s="76" t="n">
        <v>798.74</v>
      </c>
    </row>
    <row r="1795">
      <c r="I1795" s="75" t="inlineStr">
        <is>
          <t>ID7.50R16-14PR(122/118L)[CR926]雅度</t>
        </is>
      </c>
      <c r="J1795" s="76" t="n">
        <v>423.3187</v>
      </c>
    </row>
    <row r="1796">
      <c r="I1796" s="75" t="inlineStr">
        <is>
          <t>ID10.00R20-18PR(149/146J)[CR926]TRAZANO(全诺)</t>
        </is>
      </c>
      <c r="J1796" s="76" t="n">
        <v>872.8293</v>
      </c>
    </row>
    <row r="1797">
      <c r="I1797" s="75" t="inlineStr">
        <is>
          <t>ID7.50R16-14PR(122/118F)[CB972]C级威狮</t>
        </is>
      </c>
      <c r="J1797" s="76" t="n">
        <v>442.6443</v>
      </c>
    </row>
    <row r="1798">
      <c r="I1798" s="75" t="inlineStr">
        <is>
          <t>ID12.00R24-20PR(160/157F)[CB972E]C级朝阳</t>
        </is>
      </c>
      <c r="J1798" s="76" t="n">
        <v>1300.0988</v>
      </c>
    </row>
    <row r="1799">
      <c r="I1799" s="75" t="inlineStr">
        <is>
          <t>ID7.50R16-14PR(122/118F)[CB972]TRAZANO(全诺)</t>
        </is>
      </c>
      <c r="J1799" s="76" t="n">
        <v>442.6443</v>
      </c>
    </row>
    <row r="1800">
      <c r="I1800" s="75" t="inlineStr">
        <is>
          <t>ID7.50R16-14PR(122/118L)[CM913]GOODRIDE(好运)</t>
        </is>
      </c>
      <c r="J1800" s="76" t="n">
        <v>447.6185</v>
      </c>
    </row>
    <row r="1801">
      <c r="I1801" s="75" t="inlineStr">
        <is>
          <t>ID10.00R20-18PR(149/146F)[CB905]朝阳</t>
        </is>
      </c>
      <c r="J1801" s="76" t="n">
        <v>973.3486</v>
      </c>
    </row>
    <row r="1802">
      <c r="I1802" s="75" t="inlineStr">
        <is>
          <t>ID10.00R20-18PR(149/146J)[MD758]GOODRIDE(好运)</t>
        </is>
      </c>
      <c r="J1802" s="76" t="n">
        <v>902.8887</v>
      </c>
    </row>
    <row r="1803">
      <c r="I1803" s="75" t="inlineStr">
        <is>
          <t>ID23.5-25-20PR[EL36A]朝阳</t>
        </is>
      </c>
      <c r="J1803" s="76" t="n">
        <v>3134.729059</v>
      </c>
    </row>
    <row r="1804">
      <c r="I1804" s="75" t="inlineStr">
        <is>
          <t>ID7.50R16-14PR(122/118F)[CB972]GOODRIDE(好运)</t>
        </is>
      </c>
      <c r="J1804" s="76" t="n">
        <v>442.6443</v>
      </c>
    </row>
    <row r="1805">
      <c r="I1805" s="75" t="inlineStr">
        <is>
          <t>ID295/80R22.5-18PR(152/149M)[AD733]TRAZANO(全诺)无内</t>
        </is>
      </c>
      <c r="J1805" s="76" t="n">
        <v>949.4058</v>
      </c>
    </row>
    <row r="1806">
      <c r="I1806" s="75" t="inlineStr">
        <is>
          <t>ID23.5-25-24PR[EL36A]朝阳</t>
        </is>
      </c>
      <c r="J1806" s="76" t="n">
        <v>3134.729059</v>
      </c>
    </row>
    <row r="1807">
      <c r="I1807" s="75" t="inlineStr">
        <is>
          <t>ID12.00R20-18PR(154/151F)[CB972]威狮</t>
        </is>
      </c>
      <c r="J1807" s="76" t="n">
        <v>1042.2972</v>
      </c>
    </row>
    <row r="1808">
      <c r="I1808" s="75" t="inlineStr">
        <is>
          <t>ID12.00R24-20PR(160/156F)[ETOT]TECHKING</t>
        </is>
      </c>
      <c r="J1808" s="76" t="n">
        <v>1373.26</v>
      </c>
    </row>
    <row r="1809">
      <c r="I1809" s="75" t="inlineStr">
        <is>
          <t>ID7.50R16-14PR(122/118L)[CB981]朝阳</t>
        </is>
      </c>
      <c r="J1809" s="76" t="n">
        <v>439.6455</v>
      </c>
    </row>
    <row r="1810">
      <c r="I1810" s="75" t="inlineStr">
        <is>
          <t>ID11R22.5-16PR(148/145L)[AS868]C级TRAZANO(全诺)无内</t>
        </is>
      </c>
      <c r="J1810" s="76" t="n">
        <v>828.597</v>
      </c>
    </row>
    <row r="1811">
      <c r="I1811" s="75" t="inlineStr">
        <is>
          <t>ID12.00R24-20PR(160/157C)[CB919]雅度</t>
        </is>
      </c>
      <c r="J1811" s="76" t="n">
        <v>1292.7208</v>
      </c>
    </row>
    <row r="1812">
      <c r="I1812" s="75" t="inlineStr">
        <is>
          <t>ID10.00R20-18PR(149/146J)[AZ850]C级朝阳</t>
        </is>
      </c>
      <c r="J1812" s="76" t="n">
        <v>901.901</v>
      </c>
    </row>
    <row r="1813">
      <c r="I1813" s="75" t="inlineStr">
        <is>
          <t>ID295/75R22.5-14PR(144/141M)[CR915]威狮无内 SMARTWAY</t>
        </is>
      </c>
      <c r="J1813" s="76" t="n">
        <v>701.0885</v>
      </c>
    </row>
    <row r="1814">
      <c r="I1814" s="75" t="inlineStr">
        <is>
          <t>IDLT7.00-16-12PR[R8037]115/110J 朝阳</t>
        </is>
      </c>
      <c r="J1814" s="76" t="n">
        <v>288.328075</v>
      </c>
    </row>
    <row r="1815">
      <c r="I1815" s="75" t="inlineStr">
        <is>
          <t>ID7.50R16-14PR(122/118L)[CB981]GOODRIDE(好运)</t>
        </is>
      </c>
      <c r="J1815" s="76" t="n">
        <v>439.6455</v>
      </c>
    </row>
    <row r="1816">
      <c r="I1816" s="75" t="inlineStr">
        <is>
          <t>ID7.50R16-14PR(122/118L)[CB981]C级朝阳</t>
        </is>
      </c>
      <c r="J1816" s="76" t="n">
        <v>439.6455</v>
      </c>
    </row>
    <row r="1817">
      <c r="I1817" s="75" t="inlineStr">
        <is>
          <t>ID295/75R22.5-14PR(144/141M)[CR915]C级威狮无内</t>
        </is>
      </c>
      <c r="J1817" s="76" t="n">
        <v>701.0885</v>
      </c>
    </row>
    <row r="1818">
      <c r="I1818" s="75" t="inlineStr">
        <is>
          <t>ID7.50-16-14PR[M8086]122/118G GOODRIDE(好运)</t>
        </is>
      </c>
      <c r="J1818" s="76" t="n">
        <v>402.268909</v>
      </c>
    </row>
    <row r="1819">
      <c r="I1819" s="75" t="inlineStr">
        <is>
          <t>ID10.00-20-18PR[R9037]150/145G 威狮</t>
        </is>
      </c>
      <c r="J1819" s="76" t="n">
        <v>922.533458</v>
      </c>
    </row>
    <row r="1820">
      <c r="I1820" s="75" t="inlineStr">
        <is>
          <t>ID7.50R16-14PR(122/118L)[CB981]TRAZANO(全诺)</t>
        </is>
      </c>
      <c r="J1820" s="76" t="n">
        <v>439.6455</v>
      </c>
    </row>
    <row r="1821">
      <c r="I1821" s="75" t="inlineStr">
        <is>
          <t>ID10.00-20-18PR[M9097]150/145G 朝阳</t>
        </is>
      </c>
      <c r="J1821" s="76" t="n">
        <v>1034.380606</v>
      </c>
    </row>
    <row r="1822">
      <c r="I1822" s="75" t="inlineStr">
        <is>
          <t>ID10.00-20-18PR[M9097]150/145G 威狮</t>
        </is>
      </c>
      <c r="J1822" s="76" t="n">
        <v>1029.281218</v>
      </c>
    </row>
    <row r="1823">
      <c r="I1823" s="75" t="inlineStr">
        <is>
          <t>ID7.50R16-14PR(122/118L)[CB981]C级GOODRIDE(好运)</t>
        </is>
      </c>
      <c r="J1823" s="76" t="n">
        <v>439.6455</v>
      </c>
    </row>
    <row r="1824">
      <c r="I1824" s="75" t="inlineStr">
        <is>
          <t>ID7.50-16-14PR[R8037]122/118J 朝阳</t>
        </is>
      </c>
      <c r="J1824" s="76" t="n">
        <v>356.493893</v>
      </c>
    </row>
    <row r="1825">
      <c r="I1825" s="75" t="inlineStr">
        <is>
          <t>ID12.00R20-18PR(154/151F)[EZ336]C级雅度</t>
        </is>
      </c>
      <c r="J1825" s="76" t="n">
        <v>1220.0356</v>
      </c>
    </row>
    <row r="1826">
      <c r="I1826" s="75" t="inlineStr">
        <is>
          <t>ID10.00R20-18PR(149/146J)[AZ676]C级TRAZANO(全诺)</t>
        </is>
      </c>
      <c r="J1826" s="76" t="n">
        <v>881.1236</v>
      </c>
    </row>
    <row r="1827">
      <c r="I1827" s="75" t="inlineStr">
        <is>
          <t>ID10.00R20-18PR(149/146J)[EZ369]C级朝阳</t>
        </is>
      </c>
      <c r="J1827" s="76" t="n">
        <v>902.6864</v>
      </c>
    </row>
    <row r="1828">
      <c r="I1828" s="75" t="inlineStr">
        <is>
          <t>ID10.00R20-18PR(149/146J)[MD758]C级TRAZANO(全诺)</t>
        </is>
      </c>
      <c r="J1828" s="76" t="n">
        <v>902.6864</v>
      </c>
    </row>
    <row r="1829">
      <c r="I1829" s="75" t="inlineStr">
        <is>
          <t>ID10.00R20-18PR(149/146J)[AZ697]C级朝阳</t>
        </is>
      </c>
      <c r="J1829" s="76" t="n">
        <v>848.2558</v>
      </c>
    </row>
    <row r="1830">
      <c r="I1830" s="75" t="inlineStr">
        <is>
          <t>ID10.00R20-18PR(149/146F)[CB972]C级GOODRIDE(好运)</t>
        </is>
      </c>
      <c r="J1830" s="76" t="n">
        <v>949.263</v>
      </c>
    </row>
    <row r="1831">
      <c r="I1831" s="75" t="inlineStr">
        <is>
          <t>ID10.00R20-18PR(149/146J)[CM913]GOODRIDE(好运)</t>
        </is>
      </c>
      <c r="J1831" s="76" t="n">
        <v>932.2936</v>
      </c>
    </row>
    <row r="1832">
      <c r="I1832" s="75" t="inlineStr">
        <is>
          <t>ID12.00R24-20PR(160/157F)[CB972E]GOODRIDE(好运)</t>
        </is>
      </c>
      <c r="J1832" s="76" t="n">
        <v>1293.292</v>
      </c>
    </row>
    <row r="1833">
      <c r="I1833" s="75" t="inlineStr">
        <is>
          <t>ID10.00R20-18PR(149/146J)[CR926]C级威狮</t>
        </is>
      </c>
      <c r="J1833" s="76" t="n">
        <v>870.973</v>
      </c>
    </row>
    <row r="1834">
      <c r="I1834" s="75" t="inlineStr">
        <is>
          <t>ID10.00R20-18PR(149/146J)[AZ850]朝阳</t>
        </is>
      </c>
      <c r="J1834" s="76" t="n">
        <v>899.759</v>
      </c>
    </row>
    <row r="1835">
      <c r="I1835" s="75" t="inlineStr">
        <is>
          <t>ID7.50-16-14PR[R8037]122/118J C级朝阳</t>
        </is>
      </c>
      <c r="J1835" s="76" t="n">
        <v>356.493893</v>
      </c>
    </row>
    <row r="1836">
      <c r="I1836" s="75" t="inlineStr">
        <is>
          <t>ID7.50R16-14PR(122/118L)[EZ369]朝阳</t>
        </is>
      </c>
      <c r="J1836" s="76" t="n">
        <v>465.297259</v>
      </c>
    </row>
    <row r="1837">
      <c r="I1837" s="75" t="inlineStr">
        <is>
          <t>ID11R22.5-16PR(148/145L)[AS858]威狮无内</t>
        </is>
      </c>
      <c r="J1837" s="76" t="n">
        <v>828.597</v>
      </c>
    </row>
    <row r="1838">
      <c r="I1838" s="75" t="inlineStr">
        <is>
          <t>ID11R22.5-16PR(148/145L)[AS858]C级威狮无内</t>
        </is>
      </c>
      <c r="J1838" s="76" t="n">
        <v>828.597</v>
      </c>
    </row>
    <row r="1839">
      <c r="I1839" s="75" t="inlineStr">
        <is>
          <t>ID12.00R24-20PR(160/157F)[CB972E]C级GOODRIDE(好运)</t>
        </is>
      </c>
      <c r="J1839" s="76" t="n">
        <v>1293.292</v>
      </c>
    </row>
    <row r="1840">
      <c r="I1840" s="75" t="inlineStr">
        <is>
          <t>ID7.50R16-14PR(122/118L)[EZ369]C级朝阳</t>
        </is>
      </c>
      <c r="J1840" s="76" t="n">
        <v>465.3019</v>
      </c>
    </row>
    <row r="1841">
      <c r="I1841" s="75" t="inlineStr">
        <is>
          <t>ID11R22.5-16PR(148/145L)[AS858]朝阳无内</t>
        </is>
      </c>
      <c r="J1841" s="76" t="n">
        <v>828.597</v>
      </c>
    </row>
    <row r="1842">
      <c r="I1842" s="75" t="inlineStr">
        <is>
          <t>ID11R22.5-16PR(148/145L)[AS858]TRAZANO(全诺)无内</t>
        </is>
      </c>
      <c r="J1842" s="76" t="n">
        <v>828.597</v>
      </c>
    </row>
    <row r="1843">
      <c r="I1843" s="75" t="inlineStr">
        <is>
          <t>ID7.50R16-14PR(122/118L)[AZ686]GOODRIDE(好运)</t>
        </is>
      </c>
      <c r="J1843" s="76" t="n">
        <v>450.1651</v>
      </c>
    </row>
    <row r="1844">
      <c r="I1844" s="75" t="inlineStr">
        <is>
          <t>ID7.50R16-14PR(122/118L)[AZ697]朝阳</t>
        </is>
      </c>
      <c r="J1844" s="76" t="n">
        <v>450.1651</v>
      </c>
    </row>
    <row r="1845">
      <c r="I1845" s="75" t="inlineStr">
        <is>
          <t>ID11R22.5-16PR(148/145L)[AS868]朝阳无内</t>
        </is>
      </c>
      <c r="J1845" s="76" t="n">
        <v>828.597</v>
      </c>
    </row>
    <row r="1846">
      <c r="I1846" s="75" t="inlineStr">
        <is>
          <t>ID11R22.5-16PR(148/145L)[AS868]TRAZANO(全诺)无内</t>
        </is>
      </c>
      <c r="J1846" s="76" t="n">
        <v>828.597</v>
      </c>
    </row>
    <row r="1847">
      <c r="I1847" s="75" t="inlineStr">
        <is>
          <t>ID10.00R20-18PR(149/146J)[CM913]C级GOODRIDE(好运)</t>
        </is>
      </c>
      <c r="J1847" s="76" t="n">
        <v>935.0306</v>
      </c>
    </row>
    <row r="1848">
      <c r="I1848" s="75" t="inlineStr">
        <is>
          <t>ID12.00R24-20PR(160/157C)[CB919]C级GOODRIDE(好运)</t>
        </is>
      </c>
      <c r="J1848" s="76" t="n">
        <v>1292.7208</v>
      </c>
    </row>
    <row r="1849">
      <c r="I1849" s="75" t="inlineStr">
        <is>
          <t>ID7.50R16-14PR(122/118L)[AZ686]C级GOODRIDE(好运)</t>
        </is>
      </c>
      <c r="J1849" s="76" t="n">
        <v>450.1651</v>
      </c>
    </row>
    <row r="1850">
      <c r="I1850" s="75" t="inlineStr">
        <is>
          <t>ID10.00R20-16PR(146/143K)[SUPER AM S]TECHKING</t>
        </is>
      </c>
      <c r="J1850" s="76" t="n">
        <v>899.759</v>
      </c>
    </row>
    <row r="1851">
      <c r="I1851" s="75" t="inlineStr">
        <is>
          <t>ID10.00R20-16PR(146/143K)[MOBY.R856X]EFFIPLUS</t>
        </is>
      </c>
      <c r="J1851" s="76" t="n">
        <v>899.759</v>
      </c>
    </row>
    <row r="1852">
      <c r="I1852" s="75" t="inlineStr">
        <is>
          <t>ID7.50R16-14PR(122/118L)[SUPER AM S]TECHKING</t>
        </is>
      </c>
      <c r="J1852" s="76" t="n">
        <v>429.2687</v>
      </c>
    </row>
    <row r="1853">
      <c r="I1853" s="75" t="inlineStr">
        <is>
          <t>ID7.50R16-14PR(122/118L)[MOBY.R856X]EFFIPLUS</t>
        </is>
      </c>
      <c r="J1853" s="76" t="n">
        <v>429.2687</v>
      </c>
    </row>
    <row r="1854">
      <c r="I1854" s="75" t="inlineStr">
        <is>
          <t>ID7.50R16-14PR(122/118L)[AZ601]GOODRIDE(好运)</t>
        </is>
      </c>
      <c r="J1854" s="76" t="n">
        <v>421.8312</v>
      </c>
    </row>
    <row r="1855">
      <c r="I1855" s="75" t="inlineStr">
        <is>
          <t>ID7.50R16-14PR(122/118L)[AZ697]C级朝阳</t>
        </is>
      </c>
      <c r="J1855" s="76" t="n">
        <v>450.1651</v>
      </c>
    </row>
    <row r="1856">
      <c r="I1856" s="75" t="inlineStr">
        <is>
          <t>ID10.00-20-18PR[M9096]150/145G GOODRIDE(好运)</t>
        </is>
      </c>
      <c r="J1856" s="76" t="n">
        <v>1029.281218</v>
      </c>
    </row>
    <row r="1857">
      <c r="I1857" s="75" t="inlineStr">
        <is>
          <t>ID12.00R20-18PR(154/151F)[EZ310]雅度</t>
        </is>
      </c>
      <c r="J1857" s="76" t="n">
        <v>1368.849741</v>
      </c>
    </row>
    <row r="1858">
      <c r="I1858" s="75" t="inlineStr">
        <is>
          <t>ID10.00R20-18PR(149/146J)[CM958]朝阳</t>
        </is>
      </c>
      <c r="J1858" s="76" t="n">
        <v>885.025134</v>
      </c>
    </row>
    <row r="1859">
      <c r="I1859" s="75" t="inlineStr">
        <is>
          <t>ID10.00R20-18PR(149/146J)[CR926]朝阳</t>
        </is>
      </c>
      <c r="J1859" s="76" t="n">
        <v>865.848641</v>
      </c>
    </row>
    <row r="1860">
      <c r="I1860" s="75" t="inlineStr">
        <is>
          <t>ID7.50R16-14PR(122/118L)[CM988]GOODRIDE(好运)</t>
        </is>
      </c>
      <c r="J1860" s="76" t="n">
        <v>443.75576</v>
      </c>
    </row>
    <row r="1861">
      <c r="I1861" s="75" t="inlineStr">
        <is>
          <t>ID7.50R16-14PR(122/118L)[CR926]朝阳</t>
        </is>
      </c>
      <c r="J1861" s="76" t="n">
        <v>419.988009</v>
      </c>
    </row>
    <row r="1862">
      <c r="I1862" s="75" t="inlineStr">
        <is>
          <t>ID7.50R16-14PR(122/118L)[CR926]GOODRIDE(好运)</t>
        </is>
      </c>
      <c r="J1862" s="76" t="n">
        <v>419.988009</v>
      </c>
    </row>
    <row r="1863">
      <c r="I1863" s="75" t="inlineStr">
        <is>
          <t>ID7.50R16-14PR(122/118L)[CR926]威狮</t>
        </is>
      </c>
      <c r="J1863" s="76" t="n">
        <v>419.988009</v>
      </c>
    </row>
    <row r="1864">
      <c r="I1864" s="75" t="inlineStr">
        <is>
          <t>ID7.50R16-14PR(122/118L)[CB981]威狮</t>
        </is>
      </c>
      <c r="J1864" s="76" t="n">
        <v>437.655582</v>
      </c>
    </row>
    <row r="1865">
      <c r="I1865" s="75" t="inlineStr">
        <is>
          <t>ID7.50R16-14PR(122/118L)[AZ676]威狮</t>
        </is>
      </c>
      <c r="J1865" s="76" t="n">
        <v>422.515688</v>
      </c>
    </row>
    <row r="1866">
      <c r="I1866" s="75" t="inlineStr">
        <is>
          <t>ID7.50R16-14PR(122/118L)[AZ676]TRAZANO(全诺)</t>
        </is>
      </c>
      <c r="J1866" s="76" t="n">
        <v>422.515688</v>
      </c>
    </row>
    <row r="1867">
      <c r="I1867" s="75" t="inlineStr">
        <is>
          <t>ID7.50R16-14PR(122/118L)[AZ601]朝阳</t>
        </is>
      </c>
      <c r="J1867" s="76" t="n">
        <v>419.92958</v>
      </c>
    </row>
    <row r="1868">
      <c r="I1868" s="75" t="inlineStr">
        <is>
          <t>ID7.50R16-14PR(122/118L)[AZ601]威狮</t>
        </is>
      </c>
      <c r="J1868" s="76" t="n">
        <v>419.92958</v>
      </c>
    </row>
    <row r="1869">
      <c r="I1869" s="75" t="inlineStr">
        <is>
          <t>ID11R22.5-14PR(144/142M)[CR915]威狮无内</t>
        </is>
      </c>
      <c r="J1869" s="76" t="n">
        <v>708.6732029999999</v>
      </c>
    </row>
    <row r="1870">
      <c r="I1870" s="75" t="inlineStr">
        <is>
          <t>ID11R22.5-14PR(144/142M)[CR915]C级威狮无内</t>
        </is>
      </c>
      <c r="J1870" s="76" t="n">
        <v>708.6732029999999</v>
      </c>
    </row>
    <row r="1871">
      <c r="I1871" s="75" t="inlineStr">
        <is>
          <t>ID10.00R20中策丁基内胎</t>
        </is>
      </c>
      <c r="J1871" s="76" t="n">
        <v>53.727667</v>
      </c>
    </row>
    <row r="1872">
      <c r="I1872" s="75" t="inlineStr">
        <is>
          <t>ID12.00R20中策丁基内胎</t>
        </is>
      </c>
      <c r="J1872" s="76" t="n">
        <v>70.80666600000001</v>
      </c>
    </row>
    <row r="1873">
      <c r="I1873" s="75" t="inlineStr">
        <is>
          <t>ID12.00R24中策丁基内胎</t>
        </is>
      </c>
      <c r="J1873" s="76" t="n">
        <v>70.80666600000001</v>
      </c>
    </row>
    <row r="1874">
      <c r="I1874" s="75" t="inlineStr">
        <is>
          <t>ID7.50R16中策丁基内胎</t>
        </is>
      </c>
      <c r="J1874" s="76" t="n">
        <v>31.310447</v>
      </c>
    </row>
    <row r="1875">
      <c r="I1875" s="75" t="inlineStr">
        <is>
          <t>ID7.00R16中策丁基内胎</t>
        </is>
      </c>
      <c r="J1875" s="76" t="n">
        <v>28.779317</v>
      </c>
    </row>
    <row r="1876">
      <c r="I1876" s="75" t="inlineStr">
        <is>
          <t>ID11.00R20中策丁基内胎</t>
        </is>
      </c>
      <c r="J1876" s="76" t="n">
        <v>59.922926</v>
      </c>
    </row>
    <row r="1877">
      <c r="I1877" s="75" t="inlineStr">
        <is>
          <t>ID7.50R16-14PR(122/118L)[AZ676]C级TRAZANO(全诺)</t>
        </is>
      </c>
      <c r="J1877" s="76" t="n">
        <v>422.515688</v>
      </c>
    </row>
    <row r="1878">
      <c r="I1878" s="75" t="inlineStr">
        <is>
          <t>ID7.50R16-14PR(122/118L)[AZ601]C级朝阳</t>
        </is>
      </c>
      <c r="J1878" s="76" t="n">
        <v>419.92958</v>
      </c>
    </row>
    <row r="1879">
      <c r="I1879" s="75" t="inlineStr">
        <is>
          <t>ID10.00R20-18PR(149/146J)[CM958]C级朝阳</t>
        </is>
      </c>
      <c r="J1879" s="76" t="n">
        <v>885.025134</v>
      </c>
    </row>
    <row r="1880">
      <c r="I1880" s="75" t="inlineStr">
        <is>
          <t>ID10.00R20-18PR(149/146J)[CR926]C级朝阳</t>
        </is>
      </c>
      <c r="J1880" s="76" t="n">
        <v>865.848641</v>
      </c>
    </row>
    <row r="1881">
      <c r="I1881" s="75" t="inlineStr">
        <is>
          <t>ID10.00R20-18PR(149/146J)[AZ676]C级GOODRIDE(好运)</t>
        </is>
      </c>
      <c r="J1881" s="76" t="n">
        <v>875.923538</v>
      </c>
    </row>
    <row r="1882">
      <c r="I1882" s="75" t="inlineStr">
        <is>
          <t>ID10.00R20-18PR(149/146J)[AZ686]C级朝阳</t>
        </is>
      </c>
      <c r="J1882" s="76" t="n">
        <v>846.888609</v>
      </c>
    </row>
    <row r="1883">
      <c r="I1883" s="75" t="inlineStr">
        <is>
          <t>ID7.50R16-14PR(122/118L)[CM988]C级GOODRIDE(好运)</t>
        </is>
      </c>
      <c r="J1883" s="76" t="n">
        <v>443.75576</v>
      </c>
    </row>
    <row r="1884">
      <c r="I1884" s="75" t="inlineStr">
        <is>
          <t>ID7.50R16-14PR(122/118L)[CB981]C级威狮</t>
        </is>
      </c>
      <c r="J1884" s="76" t="n">
        <v>437.655582</v>
      </c>
    </row>
    <row r="1885">
      <c r="I1885" s="75" t="inlineStr">
        <is>
          <t>ID10.00-20-16PR[M9096]146/142G 朝阳</t>
        </is>
      </c>
      <c r="J1885" s="76" t="n">
        <v>1034.449745</v>
      </c>
    </row>
    <row r="1886">
      <c r="I1886" s="75" t="inlineStr">
        <is>
          <t>ID10.00-20-16PR[M9096]146/142G 威狮</t>
        </is>
      </c>
      <c r="J1886" s="76" t="n">
        <v>1034.449745</v>
      </c>
    </row>
    <row r="1887">
      <c r="I1887" s="75" t="inlineStr">
        <is>
          <t>ID7.50-16-14PR[R8037]122/118J 威狮</t>
        </is>
      </c>
      <c r="J1887" s="76" t="n">
        <v>357.50337</v>
      </c>
    </row>
    <row r="1888">
      <c r="I1888" s="75" t="inlineStr">
        <is>
          <t>ID12.00R20-18PR(154/151F)[EZ310]C级雅度</t>
        </is>
      </c>
      <c r="J1888" s="76" t="n">
        <v>1365.6083</v>
      </c>
    </row>
    <row r="1889">
      <c r="I1889" s="75" t="inlineStr">
        <is>
          <t>ID10.00R20-18PR(149/146J)[CR926]GOODRIDE(好运)</t>
        </is>
      </c>
      <c r="J1889" s="76" t="n">
        <v>864.6183</v>
      </c>
    </row>
    <row r="1890">
      <c r="I1890" s="75" t="inlineStr">
        <is>
          <t>ID12.00R24-20PR(160/157F)[CB972E]威狮</t>
        </is>
      </c>
      <c r="J1890" s="76" t="n">
        <v>1286.120703</v>
      </c>
    </row>
    <row r="1891">
      <c r="I1891" s="75" t="inlineStr">
        <is>
          <t>ID12.00R24-20PR(160/157F)[CB972E]雅度</t>
        </is>
      </c>
      <c r="J1891" s="76" t="n">
        <v>1286.120703</v>
      </c>
    </row>
    <row r="1892">
      <c r="I1892" s="75" t="inlineStr">
        <is>
          <t>ID12.00R24-20PR(160/157C)[CB972E]威狮</t>
        </is>
      </c>
      <c r="J1892" s="76" t="n">
        <v>1284.3551</v>
      </c>
    </row>
    <row r="1893">
      <c r="I1893" s="75" t="inlineStr">
        <is>
          <t>ID12.00R24-20PR(160/157C)[CB972E]雅度</t>
        </is>
      </c>
      <c r="J1893" s="76" t="n">
        <v>1284.3551</v>
      </c>
    </row>
    <row r="1894">
      <c r="I1894" s="75" t="inlineStr">
        <is>
          <t>ID10.00R20-18PR(149/146J)[EZ369]朝阳</t>
        </is>
      </c>
      <c r="J1894" s="76" t="n">
        <v>896.5579</v>
      </c>
    </row>
    <row r="1895">
      <c r="I1895" s="75" t="inlineStr">
        <is>
          <t>ID7.50R16-14PR(122/118L)[CR926]C级威狮</t>
        </is>
      </c>
      <c r="J1895" s="76" t="n">
        <v>419.4512</v>
      </c>
    </row>
    <row r="1896">
      <c r="I1896" s="75" t="inlineStr">
        <is>
          <t>ID7.50R16-14PR(122/118L)[AZ601]C级威狮</t>
        </is>
      </c>
      <c r="J1896" s="76" t="n">
        <v>419.4036</v>
      </c>
    </row>
    <row r="1897">
      <c r="I1897" s="75" t="inlineStr">
        <is>
          <t>ID12.00R24-20PR(160/157F)[CB972E]C级威狮</t>
        </is>
      </c>
      <c r="J1897" s="76" t="n">
        <v>1284.3551</v>
      </c>
    </row>
    <row r="1898">
      <c r="I1898" s="75" t="inlineStr">
        <is>
          <t>ID12.00R24-20PR(160/157F)[CB972E]C级雅度</t>
        </is>
      </c>
      <c r="J1898" s="76" t="n">
        <v>1284.3551</v>
      </c>
    </row>
    <row r="1899">
      <c r="I1899" s="75" t="inlineStr">
        <is>
          <t>ID7.00-15中策丁基内胎</t>
        </is>
      </c>
      <c r="J1899" s="76" t="n">
        <v>26.491542</v>
      </c>
    </row>
    <row r="1900">
      <c r="I1900" s="75" t="inlineStr">
        <is>
          <t>ID10.00R20-18PR(149/146J)[MD758]TRAZANO(全诺)</t>
        </is>
      </c>
      <c r="J1900" s="76" t="n">
        <v>896.5579</v>
      </c>
    </row>
    <row r="1901">
      <c r="I1901" s="75" t="inlineStr">
        <is>
          <t>ID10.00R20-18PR(149/146J)[AZ601]威狮</t>
        </is>
      </c>
      <c r="J1901" s="76" t="n">
        <v>841.9964</v>
      </c>
    </row>
    <row r="1902">
      <c r="I1902" s="75" t="inlineStr">
        <is>
          <t>ID10.00R20-18PR(149/146J)[AZ697]朝阳</t>
        </is>
      </c>
      <c r="J1902" s="76" t="n">
        <v>841.9964</v>
      </c>
    </row>
    <row r="1903">
      <c r="I1903" s="75" t="inlineStr">
        <is>
          <t>ID12.00R24-20PR(160/157C)[CB972E]C级雅度</t>
        </is>
      </c>
      <c r="J1903" s="76" t="n">
        <v>1284.3551</v>
      </c>
    </row>
    <row r="1904">
      <c r="I1904" s="75" t="inlineStr">
        <is>
          <t>ID12.00R24-20PR(160/157C)[CB972E]C级威狮</t>
        </is>
      </c>
      <c r="J1904" s="76" t="n">
        <v>1284.3551</v>
      </c>
    </row>
    <row r="1905">
      <c r="I1905" s="75" t="inlineStr">
        <is>
          <t>ID10.00R20-18PR(149/146J)[AZ686]GOODRIDE(好运)</t>
        </is>
      </c>
      <c r="J1905" s="76" t="n">
        <v>841.9964</v>
      </c>
    </row>
    <row r="1906">
      <c r="I1906" s="75" t="inlineStr">
        <is>
          <t>ID10.00R20-18PR(149/146J)[CR926]C级GOODRIDE(好运)</t>
        </is>
      </c>
      <c r="J1906" s="76" t="n">
        <v>864.6183</v>
      </c>
    </row>
    <row r="1907">
      <c r="I1907" s="75" t="inlineStr">
        <is>
          <t>ID10.00R20-18PR(149/146J)[AZ686]C级GOODRIDE(好运)</t>
        </is>
      </c>
      <c r="J1907" s="76" t="n">
        <v>841.9964</v>
      </c>
    </row>
    <row r="1908">
      <c r="I1908" s="75" t="inlineStr">
        <is>
          <t>ID10.00R20-18PR(149/146J)[AZ601]C级威狮</t>
        </is>
      </c>
      <c r="J1908" s="76" t="n">
        <v>841.9964</v>
      </c>
    </row>
    <row r="1909">
      <c r="I1909" s="75" t="inlineStr">
        <is>
          <t>ID7.50R16-14PR(122/118L)[CR926]C级GOODRIDE(好运)</t>
        </is>
      </c>
      <c r="J1909" s="76" t="n">
        <v>419.4512</v>
      </c>
    </row>
    <row r="1910">
      <c r="I1910" s="75" t="inlineStr">
        <is>
          <t>ID12.00R24-20PR(160/157F)[CB919]雅度</t>
        </is>
      </c>
      <c r="J1910" s="76" t="n">
        <v>1283.4269</v>
      </c>
    </row>
    <row r="1911">
      <c r="I1911" s="75" t="inlineStr">
        <is>
          <t>ID7.50R16-14PR(122/118L)[CR926]C级朝阳</t>
        </is>
      </c>
      <c r="J1911" s="76" t="n">
        <v>419.4512</v>
      </c>
    </row>
    <row r="1912">
      <c r="I1912" s="75" t="inlineStr">
        <is>
          <t>ID10.00R20-18PR(149/146J)[AZ676]TRAZANO(全诺)</t>
        </is>
      </c>
      <c r="J1912" s="76" t="n">
        <v>881.1236</v>
      </c>
    </row>
    <row r="1913">
      <c r="I1913" s="75" t="inlineStr">
        <is>
          <t>ID12.00R24-20PR(160/157F)[CB919]C级雅度</t>
        </is>
      </c>
      <c r="J1913" s="76" t="n">
        <v>1292.7208</v>
      </c>
    </row>
    <row r="1914">
      <c r="I1914" s="75" t="inlineStr">
        <is>
          <t>ID12.00R20-18PR(154/151F)[EZ336]雅度</t>
        </is>
      </c>
      <c r="J1914" s="76" t="n">
        <v>1220.0356</v>
      </c>
    </row>
    <row r="1915">
      <c r="I1915" s="75" t="inlineStr">
        <is>
          <t>ID10.00R20-18PR(149/146F)[CB972]GOODRIDE(好运)</t>
        </is>
      </c>
      <c r="J1915" s="76" t="n">
        <v>949.263</v>
      </c>
    </row>
    <row r="1916">
      <c r="I1916" s="75" t="inlineStr">
        <is>
          <t>ID7.50R16-14PR(122/118L)[AZ676]C级威狮</t>
        </is>
      </c>
      <c r="J1916" s="76" t="n">
        <v>424.4373</v>
      </c>
    </row>
    <row r="1917">
      <c r="I1917" s="75" t="inlineStr">
        <is>
          <t>ID12.00R24-20PR(160/157F)[CB919]威狮</t>
        </is>
      </c>
      <c r="J1917" s="76" t="n">
        <v>1292.7208</v>
      </c>
    </row>
    <row r="1918">
      <c r="I1918" s="75" t="inlineStr">
        <is>
          <t>ID12.00R24-20PR(160/157F)[EZ336]雅度</t>
        </is>
      </c>
      <c r="J1918" s="76" t="n">
        <v>1283.534</v>
      </c>
    </row>
    <row r="1919">
      <c r="I1919" s="75" t="inlineStr">
        <is>
          <t>ID7.50-16-14PR[R8038]122/118J GOODRIDE(好运)</t>
        </is>
      </c>
      <c r="J1919" s="76" t="n">
        <v>369.758704</v>
      </c>
    </row>
    <row r="1920">
      <c r="I1920" s="75" t="inlineStr">
        <is>
          <t>ID7.50-15中策丁基内胎</t>
        </is>
      </c>
      <c r="J1920" s="76" t="n">
        <v>28.064</v>
      </c>
    </row>
    <row r="1921">
      <c r="I1921" s="75" t="inlineStr">
        <is>
          <t>ID10.00R20-18PR(149/146J)[CR926]威狮</t>
        </is>
      </c>
      <c r="J1921" s="76" t="n">
        <v>870.9729</v>
      </c>
    </row>
  </sheetData>
  <autoFilter ref="B1:J1921"/>
  <conditionalFormatting sqref="I102">
    <cfRule type="duplicateValues" priority="4" dxfId="2"/>
  </conditionalFormatting>
  <conditionalFormatting sqref="B233">
    <cfRule type="duplicateValues" priority="2" dxfId="2"/>
  </conditionalFormatting>
  <conditionalFormatting sqref="B459">
    <cfRule type="duplicateValues" priority="1" dxfId="2"/>
  </conditionalFormatting>
  <conditionalFormatting sqref="B2:B232 B234:B458 B460:B65536">
    <cfRule type="duplicateValues" priority="3" dxfId="2"/>
  </conditionalFormatting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>
  <sheetPr codeName="Sheet1">
    <outlinePr summaryBelow="1" summaryRight="1"/>
    <pageSetUpPr/>
  </sheetPr>
  <dimension ref="A1:AC832"/>
  <sheetViews>
    <sheetView topLeftCell="A596" workbookViewId="0">
      <selection activeCell="D604" sqref="D604"/>
    </sheetView>
  </sheetViews>
  <sheetFormatPr baseColWidth="8" defaultColWidth="8" defaultRowHeight="15.6"/>
  <cols>
    <col width="14.4416666666667" customWidth="1" style="20" min="1" max="1"/>
    <col width="11.1416666666667" customWidth="1" style="20" min="2" max="2"/>
    <col width="19.7" customWidth="1" style="20" min="3" max="3"/>
    <col width="7.1" customWidth="1" style="21" min="4" max="4"/>
    <col width="27.6" customWidth="1" style="28" min="5" max="5"/>
    <col width="33.7" customWidth="1" style="20" min="6" max="6"/>
    <col width="8" customWidth="1" style="23" min="7" max="8"/>
    <col width="8" customWidth="1" style="24" min="9" max="9"/>
    <col width="35" customWidth="1" style="19" min="10" max="10"/>
    <col width="8" customWidth="1" style="19" min="11" max="14"/>
    <col width="16.2" customWidth="1" style="19" min="15" max="15"/>
    <col width="8" customWidth="1" style="19" min="16" max="19"/>
    <col width="19" customWidth="1" style="19" min="20" max="20"/>
    <col width="8" customWidth="1" style="19" min="21" max="16384"/>
  </cols>
  <sheetData>
    <row r="1" customFormat="1" s="19">
      <c r="A1" s="25" t="inlineStr">
        <is>
          <t>全钢</t>
        </is>
      </c>
      <c r="B1" s="26" t="n"/>
      <c r="C1" s="26" t="n"/>
      <c r="D1" s="27" t="n"/>
      <c r="E1" s="28" t="n"/>
      <c r="F1" s="26" t="n"/>
      <c r="G1" s="23" t="n"/>
      <c r="H1" s="23" t="n"/>
      <c r="I1" s="24" t="n"/>
    </row>
    <row r="2" ht="31.2" customFormat="1" customHeight="1" s="19">
      <c r="A2" s="29" t="inlineStr">
        <is>
          <t>规格</t>
        </is>
      </c>
      <c r="B2" s="29" t="inlineStr">
        <is>
          <t>层级</t>
        </is>
      </c>
      <c r="C2" s="29" t="inlineStr">
        <is>
          <t>\</t>
        </is>
      </c>
      <c r="D2" s="29" t="inlineStr">
        <is>
          <t>MTI小批量/投产</t>
        </is>
      </c>
      <c r="E2" s="28" t="n"/>
      <c r="F2" s="30" t="inlineStr">
        <is>
          <t>规格</t>
        </is>
      </c>
      <c r="G2" s="30" t="inlineStr">
        <is>
          <t>层级</t>
        </is>
      </c>
      <c r="H2" s="30" t="inlineStr">
        <is>
          <t>花纹</t>
        </is>
      </c>
      <c r="I2" s="31" t="inlineStr">
        <is>
          <t>MTI小批量/投产</t>
        </is>
      </c>
      <c r="K2" s="30" t="inlineStr">
        <is>
          <t>规格</t>
        </is>
      </c>
      <c r="L2" s="30" t="inlineStr">
        <is>
          <t>层级</t>
        </is>
      </c>
      <c r="M2" s="30" t="inlineStr">
        <is>
          <t>花纹</t>
        </is>
      </c>
      <c r="N2" s="31" t="inlineStr">
        <is>
          <t>MTI小批量/投产</t>
        </is>
      </c>
      <c r="P2" s="30" t="inlineStr">
        <is>
          <t>规格</t>
        </is>
      </c>
      <c r="Q2" s="30" t="inlineStr">
        <is>
          <t>层级</t>
        </is>
      </c>
      <c r="R2" s="30" t="inlineStr">
        <is>
          <t>花纹</t>
        </is>
      </c>
      <c r="S2" s="31" t="inlineStr">
        <is>
          <t>MTI小批量/投产</t>
        </is>
      </c>
      <c r="U2" s="30" t="inlineStr">
        <is>
          <t>规格</t>
        </is>
      </c>
      <c r="V2" s="30" t="inlineStr">
        <is>
          <t>层级</t>
        </is>
      </c>
      <c r="W2" s="30" t="inlineStr">
        <is>
          <t>花纹</t>
        </is>
      </c>
      <c r="Y2" s="30" t="inlineStr">
        <is>
          <t>规格</t>
        </is>
      </c>
      <c r="Z2" s="30" t="inlineStr">
        <is>
          <t>层级</t>
        </is>
      </c>
      <c r="AA2" s="30" t="inlineStr">
        <is>
          <t>花纹</t>
        </is>
      </c>
      <c r="AB2" s="31" t="inlineStr">
        <is>
          <t>MTI小批量/投产</t>
        </is>
      </c>
    </row>
    <row r="3" customFormat="1" s="19">
      <c r="A3" s="32" t="inlineStr">
        <is>
          <t>7.50R16</t>
        </is>
      </c>
      <c r="B3" s="32" t="inlineStr">
        <is>
          <t>14PR</t>
        </is>
      </c>
      <c r="C3" s="32" t="inlineStr">
        <is>
          <t>EZ369</t>
        </is>
      </c>
      <c r="D3" s="29" t="inlineStr">
        <is>
          <t>✔</t>
        </is>
      </c>
      <c r="E3" s="28">
        <f>_xlfn.TEXTJOIN("-",TRUE,A3,B3,C3)</f>
        <v/>
      </c>
      <c r="F3" s="32" t="inlineStr">
        <is>
          <t>7.00-15</t>
        </is>
      </c>
      <c r="G3" s="32" t="inlineStr">
        <is>
          <t>6PR</t>
        </is>
      </c>
      <c r="H3" s="32" t="inlineStr">
        <is>
          <t>STRONG GUARD SS</t>
        </is>
      </c>
      <c r="I3" s="33" t="inlineStr">
        <is>
          <t>✔</t>
        </is>
      </c>
      <c r="J3" s="19">
        <f>_xlfn.TEXTJOIN("-",TRUE,F3,G3,H3)</f>
        <v/>
      </c>
      <c r="K3" s="32" t="inlineStr">
        <is>
          <t>4.80-8</t>
        </is>
      </c>
      <c r="L3" s="32" t="inlineStr">
        <is>
          <t>4PR</t>
        </is>
      </c>
      <c r="M3" s="32" t="inlineStr">
        <is>
          <t>SU201</t>
        </is>
      </c>
      <c r="N3" s="34" t="inlineStr">
        <is>
          <t>✔</t>
        </is>
      </c>
      <c r="O3" s="19">
        <f>_xlfn.TEXTJOIN("-",TRUE,K3,L3,M3)</f>
        <v/>
      </c>
      <c r="P3" s="32" t="inlineStr">
        <is>
          <t>18x8.50-8</t>
        </is>
      </c>
      <c r="Q3" s="30" t="inlineStr">
        <is>
          <t>4PR</t>
        </is>
      </c>
      <c r="R3" s="32" t="inlineStr">
        <is>
          <t>TF02</t>
        </is>
      </c>
      <c r="S3" s="34" t="inlineStr">
        <is>
          <t>✔</t>
        </is>
      </c>
      <c r="T3" s="19">
        <f>_xlfn.TEXTJOIN("-",TRUE,P3,Q3,R3)</f>
        <v/>
      </c>
      <c r="U3" s="32" t="inlineStr">
        <is>
          <t>3.00-10</t>
        </is>
      </c>
      <c r="V3" s="32" t="inlineStr">
        <is>
          <t>4PR</t>
        </is>
      </c>
      <c r="W3" s="32" t="inlineStr">
        <is>
          <t>H999A</t>
        </is>
      </c>
      <c r="X3" s="19">
        <f>_xlfn.TEXTJOIN("-",TRUE,T3,U3,V3)</f>
        <v/>
      </c>
      <c r="Y3" s="32" t="inlineStr">
        <is>
          <t>ST205/75R14</t>
        </is>
      </c>
      <c r="Z3" s="32" t="inlineStr">
        <is>
          <t>6PR</t>
        </is>
      </c>
      <c r="AA3" s="32" t="inlineStr">
        <is>
          <t>ST226</t>
        </is>
      </c>
      <c r="AB3" s="34" t="inlineStr">
        <is>
          <t>✔</t>
        </is>
      </c>
      <c r="AC3" s="19">
        <f>_xlfn.TEXTJOIN("-",TRUE,Y3,Z3,AA3)</f>
        <v/>
      </c>
    </row>
    <row r="4" customFormat="1" s="19">
      <c r="A4" s="32" t="inlineStr">
        <is>
          <t>7.50R16</t>
        </is>
      </c>
      <c r="B4" s="32" t="inlineStr">
        <is>
          <t>14PR</t>
        </is>
      </c>
      <c r="C4" s="32" t="inlineStr">
        <is>
          <t>TZ303</t>
        </is>
      </c>
      <c r="D4" s="29" t="inlineStr">
        <is>
          <t>✔</t>
        </is>
      </c>
      <c r="E4" s="28">
        <f>_xlfn.TEXTJOIN("-",TRUE,A4,B4,C4)</f>
        <v/>
      </c>
      <c r="F4" s="32" t="inlineStr">
        <is>
          <t>7.00-15</t>
        </is>
      </c>
      <c r="G4" s="32" t="inlineStr">
        <is>
          <t>8PR</t>
        </is>
      </c>
      <c r="H4" s="32" t="inlineStr">
        <is>
          <t>STRONG GUARD SS</t>
        </is>
      </c>
      <c r="I4" s="33" t="inlineStr">
        <is>
          <t>✔</t>
        </is>
      </c>
      <c r="J4" s="19">
        <f>_xlfn.TEXTJOIN("-",TRUE,F4,G4,H4)</f>
        <v/>
      </c>
      <c r="K4" s="32" t="inlineStr">
        <is>
          <t>4.80-8</t>
        </is>
      </c>
      <c r="L4" s="32" t="inlineStr">
        <is>
          <t>4PR</t>
        </is>
      </c>
      <c r="M4" s="32" t="inlineStr">
        <is>
          <t>ZT201</t>
        </is>
      </c>
      <c r="N4" s="34" t="inlineStr">
        <is>
          <t>✔</t>
        </is>
      </c>
      <c r="O4" s="19">
        <f>_xlfn.TEXTJOIN("-",TRUE,K4,L4,M4)</f>
        <v/>
      </c>
      <c r="P4" s="35" t="n"/>
      <c r="Q4" s="35" t="n"/>
      <c r="R4" s="35" t="n"/>
      <c r="S4" s="34" t="n"/>
      <c r="T4" s="19">
        <f>_xlfn.TEXTJOIN("-",TRUE,P4,Q4,R4)</f>
        <v/>
      </c>
      <c r="U4" s="32" t="inlineStr">
        <is>
          <t>3.00-10</t>
        </is>
      </c>
      <c r="V4" s="32" t="inlineStr">
        <is>
          <t>4PR</t>
        </is>
      </c>
      <c r="W4" s="32" t="inlineStr">
        <is>
          <t>H788</t>
        </is>
      </c>
      <c r="X4" s="19">
        <f>_xlfn.TEXTJOIN("-",TRUE,T4,U4,V4)</f>
        <v/>
      </c>
      <c r="Y4" s="32" t="inlineStr">
        <is>
          <t>ST205/75R14</t>
        </is>
      </c>
      <c r="Z4" s="32" t="inlineStr">
        <is>
          <t>8PR</t>
        </is>
      </c>
      <c r="AA4" s="32" t="inlineStr">
        <is>
          <t>ST226</t>
        </is>
      </c>
      <c r="AB4" s="34" t="inlineStr">
        <is>
          <t>✔</t>
        </is>
      </c>
      <c r="AC4" s="19">
        <f>_xlfn.TEXTJOIN("-",TRUE,Y4,Z4,AA4)</f>
        <v/>
      </c>
    </row>
    <row r="5" customFormat="1" s="19">
      <c r="A5" s="32" t="inlineStr">
        <is>
          <t>7.50R16</t>
        </is>
      </c>
      <c r="B5" s="32" t="inlineStr">
        <is>
          <t>14PR</t>
        </is>
      </c>
      <c r="C5" s="32" t="inlineStr">
        <is>
          <t>AZ686</t>
        </is>
      </c>
      <c r="D5" s="29" t="inlineStr">
        <is>
          <t>✔</t>
        </is>
      </c>
      <c r="E5" s="28">
        <f>_xlfn.TEXTJOIN("-",TRUE,A5,B5,C5)</f>
        <v/>
      </c>
      <c r="F5" s="32" t="n"/>
      <c r="G5" s="32" t="n"/>
      <c r="H5" s="32" t="n"/>
      <c r="I5" s="34" t="n"/>
      <c r="J5" s="19">
        <f>_xlfn.TEXTJOIN("-",TRUE,F5,G5,H5)</f>
        <v/>
      </c>
      <c r="K5" s="32" t="inlineStr">
        <is>
          <t>4.80-8</t>
        </is>
      </c>
      <c r="L5" s="32" t="inlineStr">
        <is>
          <t>6PR</t>
        </is>
      </c>
      <c r="M5" s="32" t="inlineStr">
        <is>
          <t>SU201</t>
        </is>
      </c>
      <c r="N5" s="34" t="inlineStr">
        <is>
          <t>✔</t>
        </is>
      </c>
      <c r="O5" s="19">
        <f>_xlfn.TEXTJOIN("-",TRUE,K5,L5,M5)</f>
        <v/>
      </c>
      <c r="P5" s="32" t="inlineStr">
        <is>
          <t>25X8-12</t>
        </is>
      </c>
      <c r="Q5" s="30" t="inlineStr">
        <is>
          <t>6PR</t>
        </is>
      </c>
      <c r="R5" s="32" t="inlineStr">
        <is>
          <t>WL6A</t>
        </is>
      </c>
      <c r="S5" s="34" t="inlineStr">
        <is>
          <t>✔</t>
        </is>
      </c>
      <c r="T5" s="19">
        <f>_xlfn.TEXTJOIN("-",TRUE,P5,Q5,R5)</f>
        <v/>
      </c>
      <c r="U5" s="32" t="inlineStr">
        <is>
          <t>3.00-10</t>
        </is>
      </c>
      <c r="V5" s="32" t="inlineStr">
        <is>
          <t>6PR</t>
        </is>
      </c>
      <c r="W5" s="32" t="inlineStr">
        <is>
          <t>H788-2</t>
        </is>
      </c>
      <c r="X5" s="19">
        <f>_xlfn.TEXTJOIN("-",TRUE,T5,U5,V5)</f>
        <v/>
      </c>
      <c r="Y5" s="32" t="inlineStr">
        <is>
          <t>ST205/75R14</t>
        </is>
      </c>
      <c r="Z5" s="32" t="inlineStr">
        <is>
          <t>6PR</t>
        </is>
      </c>
      <c r="AA5" s="32" t="inlineStr">
        <is>
          <t>ST-100</t>
        </is>
      </c>
      <c r="AB5" s="34" t="inlineStr">
        <is>
          <t>✔</t>
        </is>
      </c>
      <c r="AC5" s="19">
        <f>_xlfn.TEXTJOIN("-",TRUE,Y5,Z5,AA5)</f>
        <v/>
      </c>
    </row>
    <row r="6" customFormat="1" s="19">
      <c r="A6" s="32" t="inlineStr">
        <is>
          <t>7.50R16</t>
        </is>
      </c>
      <c r="B6" s="32" t="inlineStr">
        <is>
          <t>14PR</t>
        </is>
      </c>
      <c r="C6" s="32" t="inlineStr">
        <is>
          <t>AZ697</t>
        </is>
      </c>
      <c r="D6" s="29" t="inlineStr">
        <is>
          <t>✔</t>
        </is>
      </c>
      <c r="E6" s="28">
        <f>_xlfn.TEXTJOIN("-",TRUE,A6,B6,C6)</f>
        <v/>
      </c>
      <c r="F6" s="32" t="inlineStr">
        <is>
          <t>7.00-16</t>
        </is>
      </c>
      <c r="G6" s="32" t="n"/>
      <c r="H6" s="32" t="inlineStr">
        <is>
          <t>R8037</t>
        </is>
      </c>
      <c r="I6" s="33" t="inlineStr">
        <is>
          <t>✔</t>
        </is>
      </c>
      <c r="J6" s="19">
        <f>_xlfn.TEXTJOIN("-",TRUE,F6,G6,H6)</f>
        <v/>
      </c>
      <c r="K6" s="36" t="inlineStr">
        <is>
          <t>4.80-8</t>
        </is>
      </c>
      <c r="L6" s="36" t="inlineStr">
        <is>
          <t>6PR</t>
        </is>
      </c>
      <c r="M6" s="36" t="inlineStr">
        <is>
          <t>ZT201</t>
        </is>
      </c>
      <c r="N6" s="37" t="inlineStr">
        <is>
          <t>✔</t>
        </is>
      </c>
      <c r="O6" s="19">
        <f>_xlfn.TEXTJOIN("-",TRUE,K6,L6,M6)</f>
        <v/>
      </c>
      <c r="P6" s="32" t="inlineStr">
        <is>
          <t>25X8-12</t>
        </is>
      </c>
      <c r="Q6" s="32" t="inlineStr">
        <is>
          <t>6PR</t>
        </is>
      </c>
      <c r="R6" s="32" t="inlineStr">
        <is>
          <t>AT12</t>
        </is>
      </c>
      <c r="S6" s="34" t="inlineStr">
        <is>
          <t>✔</t>
        </is>
      </c>
      <c r="T6" s="19">
        <f>_xlfn.TEXTJOIN("-",TRUE,P6,Q6,R6)</f>
        <v/>
      </c>
      <c r="U6" s="32" t="n"/>
      <c r="V6" s="32" t="n"/>
      <c r="W6" s="32" t="n"/>
      <c r="X6" s="19">
        <f>_xlfn.TEXTJOIN("-",TRUE,T6,U6,V6)</f>
        <v/>
      </c>
      <c r="Y6" s="32" t="inlineStr">
        <is>
          <t>ST205/75R14</t>
        </is>
      </c>
      <c r="Z6" s="32" t="inlineStr">
        <is>
          <t>6PR</t>
        </is>
      </c>
      <c r="AA6" s="32" t="inlineStr">
        <is>
          <t>STZC</t>
        </is>
      </c>
      <c r="AB6" s="34" t="inlineStr">
        <is>
          <t>✔</t>
        </is>
      </c>
      <c r="AC6" s="19">
        <f>_xlfn.TEXTJOIN("-",TRUE,Y6,Z6,AA6)</f>
        <v/>
      </c>
    </row>
    <row r="7" customFormat="1" s="19">
      <c r="A7" s="32" t="inlineStr">
        <is>
          <t>7.50R16</t>
        </is>
      </c>
      <c r="B7" s="32" t="inlineStr">
        <is>
          <t>14PR</t>
        </is>
      </c>
      <c r="C7" s="32" t="inlineStr">
        <is>
          <t>AZ601</t>
        </is>
      </c>
      <c r="D7" s="29" t="inlineStr">
        <is>
          <t>✔</t>
        </is>
      </c>
      <c r="E7" s="28">
        <f>_xlfn.TEXTJOIN("-",TRUE,A7,B7,C7)</f>
        <v/>
      </c>
      <c r="F7" s="32" t="inlineStr">
        <is>
          <t>7.00-16</t>
        </is>
      </c>
      <c r="G7" s="32" t="inlineStr">
        <is>
          <t>14PR</t>
        </is>
      </c>
      <c r="H7" s="32" t="inlineStr">
        <is>
          <t>MR881</t>
        </is>
      </c>
      <c r="I7" s="33" t="inlineStr">
        <is>
          <t>✔</t>
        </is>
      </c>
      <c r="J7" s="19">
        <f>_xlfn.TEXTJOIN("-",TRUE,F7,G7,H7)</f>
        <v/>
      </c>
      <c r="K7" s="32" t="n"/>
      <c r="L7" s="32" t="n"/>
      <c r="M7" s="32" t="n"/>
      <c r="N7" s="34" t="n"/>
      <c r="O7" s="19">
        <f>_xlfn.TEXTJOIN("-",TRUE,K7,L7,M7)</f>
        <v/>
      </c>
      <c r="P7" s="36" t="inlineStr">
        <is>
          <t>25X8-12</t>
        </is>
      </c>
      <c r="Q7" s="36" t="inlineStr">
        <is>
          <t>6PR</t>
        </is>
      </c>
      <c r="R7" s="36" t="inlineStr">
        <is>
          <t>AR10</t>
        </is>
      </c>
      <c r="S7" s="37" t="inlineStr">
        <is>
          <t>✔</t>
        </is>
      </c>
      <c r="T7" s="19">
        <f>_xlfn.TEXTJOIN("-",TRUE,P7,Q7,R7)</f>
        <v/>
      </c>
      <c r="U7" s="32" t="n"/>
      <c r="V7" s="32" t="n"/>
      <c r="W7" s="32" t="n"/>
      <c r="X7" s="19">
        <f>_xlfn.TEXTJOIN("-",TRUE,T7,U7,V7)</f>
        <v/>
      </c>
      <c r="Y7" s="32" t="inlineStr">
        <is>
          <t>ST205/75R14</t>
        </is>
      </c>
      <c r="Z7" s="32" t="inlineStr">
        <is>
          <t>6PR</t>
        </is>
      </c>
      <c r="AA7" s="32" t="inlineStr">
        <is>
          <t>ST-100A</t>
        </is>
      </c>
      <c r="AB7" s="34" t="inlineStr">
        <is>
          <t>✔</t>
        </is>
      </c>
      <c r="AC7" s="19">
        <f>_xlfn.TEXTJOIN("-",TRUE,Y7,Z7,AA7)</f>
        <v/>
      </c>
    </row>
    <row r="8" customFormat="1" s="19">
      <c r="A8" s="32" t="inlineStr">
        <is>
          <t>7.50R16</t>
        </is>
      </c>
      <c r="B8" s="32" t="inlineStr">
        <is>
          <t>14PR</t>
        </is>
      </c>
      <c r="C8" s="32" t="inlineStr">
        <is>
          <t>AZ119</t>
        </is>
      </c>
      <c r="D8" s="29" t="inlineStr">
        <is>
          <t>✔</t>
        </is>
      </c>
      <c r="E8" s="28">
        <f>_xlfn.TEXTJOIN("-",TRUE,A8,B8,C8)</f>
        <v/>
      </c>
      <c r="F8" s="32" t="n"/>
      <c r="G8" s="32" t="n"/>
      <c r="H8" s="32" t="n"/>
      <c r="I8" s="34" t="n"/>
      <c r="J8" s="19">
        <f>_xlfn.TEXTJOIN("-",TRUE,F8,G8,H8)</f>
        <v/>
      </c>
      <c r="K8" s="30" t="inlineStr">
        <is>
          <t>4.80-12</t>
        </is>
      </c>
      <c r="L8" s="30" t="inlineStr">
        <is>
          <t>4PR</t>
        </is>
      </c>
      <c r="M8" s="30" t="inlineStr">
        <is>
          <t>SU201</t>
        </is>
      </c>
      <c r="N8" s="31" t="inlineStr">
        <is>
          <t>✔</t>
        </is>
      </c>
      <c r="O8" s="19">
        <f>_xlfn.TEXTJOIN("-",TRUE,K8,L8,M8)</f>
        <v/>
      </c>
      <c r="P8" s="36" t="inlineStr">
        <is>
          <t>25X8-12</t>
        </is>
      </c>
      <c r="Q8" s="36" t="inlineStr">
        <is>
          <t>8PR</t>
        </is>
      </c>
      <c r="R8" s="36" t="inlineStr">
        <is>
          <t>AR11</t>
        </is>
      </c>
      <c r="S8" s="37" t="inlineStr">
        <is>
          <t>✔</t>
        </is>
      </c>
      <c r="T8" s="19">
        <f>_xlfn.TEXTJOIN("-",TRUE,P8,Q8,R8)</f>
        <v/>
      </c>
      <c r="U8" s="32" t="inlineStr">
        <is>
          <t>70/90-14</t>
        </is>
      </c>
      <c r="V8" s="32" t="inlineStr">
        <is>
          <t>4PR</t>
        </is>
      </c>
      <c r="W8" s="32" t="inlineStr">
        <is>
          <t>H999A</t>
        </is>
      </c>
      <c r="X8" s="19">
        <f>_xlfn.TEXTJOIN("-",TRUE,T8,U8,V8)</f>
        <v/>
      </c>
      <c r="Y8" s="36" t="inlineStr">
        <is>
          <t>ST205/75R14</t>
        </is>
      </c>
      <c r="Z8" s="36" t="inlineStr">
        <is>
          <t>6PR</t>
        </is>
      </c>
      <c r="AA8" s="36" t="inlineStr">
        <is>
          <t>DURAHAULER ST</t>
        </is>
      </c>
      <c r="AB8" s="38" t="n"/>
      <c r="AC8" s="19">
        <f>_xlfn.TEXTJOIN("-",TRUE,Y8,Z8,AA8)</f>
        <v/>
      </c>
    </row>
    <row r="9" customFormat="1" s="19">
      <c r="A9" s="32" t="inlineStr">
        <is>
          <t>7.50R16</t>
        </is>
      </c>
      <c r="B9" s="32" t="inlineStr">
        <is>
          <t>14PR</t>
        </is>
      </c>
      <c r="C9" s="32" t="inlineStr">
        <is>
          <t>CR926</t>
        </is>
      </c>
      <c r="D9" s="29" t="inlineStr">
        <is>
          <t>✔</t>
        </is>
      </c>
      <c r="E9" s="28">
        <f>_xlfn.TEXTJOIN("-",TRUE,A9,B9,C9)</f>
        <v/>
      </c>
      <c r="F9" s="39" t="inlineStr">
        <is>
          <t>7.50-15</t>
        </is>
      </c>
      <c r="G9" s="39" t="n"/>
      <c r="H9" s="39" t="inlineStr">
        <is>
          <t>R8037</t>
        </is>
      </c>
      <c r="I9" s="39" t="n"/>
      <c r="J9" s="19">
        <f>_xlfn.TEXTJOIN("-",TRUE,F9,G9,H9)</f>
        <v/>
      </c>
      <c r="K9" s="32" t="inlineStr">
        <is>
          <t>4.80-12</t>
        </is>
      </c>
      <c r="L9" s="32" t="inlineStr">
        <is>
          <t>4PR</t>
        </is>
      </c>
      <c r="M9" s="32" t="inlineStr">
        <is>
          <t>ZT201</t>
        </is>
      </c>
      <c r="N9" s="34" t="inlineStr">
        <is>
          <t>✔</t>
        </is>
      </c>
      <c r="O9" s="19">
        <f>_xlfn.TEXTJOIN("-",TRUE,K9,L9,M9)</f>
        <v/>
      </c>
      <c r="P9" s="35" t="n"/>
      <c r="Q9" s="35" t="n"/>
      <c r="R9" s="35" t="n"/>
      <c r="S9" s="35" t="n"/>
      <c r="T9" s="19">
        <f>_xlfn.TEXTJOIN("-",TRUE,P9,Q9,R9)</f>
        <v/>
      </c>
      <c r="U9" s="32" t="n"/>
      <c r="V9" s="32" t="n"/>
      <c r="W9" s="32" t="n"/>
      <c r="X9" s="19">
        <f>_xlfn.TEXTJOIN("-",TRUE,T9,U9,V9)</f>
        <v/>
      </c>
      <c r="Y9" s="32" t="inlineStr">
        <is>
          <t>ST205/75R14</t>
        </is>
      </c>
      <c r="Z9" s="32" t="inlineStr">
        <is>
          <t>6PR</t>
        </is>
      </c>
      <c r="AA9" s="32" t="inlineStr">
        <is>
          <t>ASSURE ST</t>
        </is>
      </c>
      <c r="AB9" s="35" t="n"/>
      <c r="AC9" s="19">
        <f>_xlfn.TEXTJOIN("-",TRUE,Y9,Z9,AA9)</f>
        <v/>
      </c>
    </row>
    <row r="10" customFormat="1" s="19">
      <c r="A10" s="32" t="inlineStr">
        <is>
          <t>7.50R16</t>
        </is>
      </c>
      <c r="B10" s="32" t="inlineStr">
        <is>
          <t>14PR</t>
        </is>
      </c>
      <c r="C10" s="32" t="inlineStr">
        <is>
          <t>AZ676</t>
        </is>
      </c>
      <c r="D10" s="29" t="inlineStr">
        <is>
          <t>✔</t>
        </is>
      </c>
      <c r="E10" s="28">
        <f>_xlfn.TEXTJOIN("-",TRUE,A10,B10,C10)</f>
        <v/>
      </c>
      <c r="F10" s="32" t="n"/>
      <c r="G10" s="32" t="n"/>
      <c r="H10" s="32" t="n"/>
      <c r="I10" s="34" t="n"/>
      <c r="J10" s="19">
        <f>_xlfn.TEXTJOIN("-",TRUE,F10,G10,H10)</f>
        <v/>
      </c>
      <c r="K10" s="32" t="inlineStr">
        <is>
          <t>4.80-12</t>
        </is>
      </c>
      <c r="L10" s="32" t="inlineStr">
        <is>
          <t>6PR</t>
        </is>
      </c>
      <c r="M10" s="32" t="inlineStr">
        <is>
          <t>SU201</t>
        </is>
      </c>
      <c r="N10" s="34" t="inlineStr">
        <is>
          <t>✔</t>
        </is>
      </c>
      <c r="O10" s="19">
        <f>_xlfn.TEXTJOIN("-",TRUE,K10,L10,M10)</f>
        <v/>
      </c>
      <c r="P10" s="36" t="inlineStr">
        <is>
          <t>25X10-12</t>
        </is>
      </c>
      <c r="Q10" s="36" t="inlineStr">
        <is>
          <t>6PR</t>
        </is>
      </c>
      <c r="R10" s="36" t="inlineStr">
        <is>
          <t>WL6A</t>
        </is>
      </c>
      <c r="S10" s="31" t="inlineStr">
        <is>
          <t>✔</t>
        </is>
      </c>
      <c r="T10" s="19">
        <f>_xlfn.TEXTJOIN("-",TRUE,P10,Q10,R10)</f>
        <v/>
      </c>
      <c r="U10" s="32" t="inlineStr">
        <is>
          <t>80/80-14</t>
        </is>
      </c>
      <c r="V10" s="32" t="inlineStr">
        <is>
          <t>4PR</t>
        </is>
      </c>
      <c r="W10" s="32" t="inlineStr">
        <is>
          <t>H999A</t>
        </is>
      </c>
      <c r="X10" s="19">
        <f>_xlfn.TEXTJOIN("-",TRUE,T10,U10,V10)</f>
        <v/>
      </c>
      <c r="Y10" s="32" t="inlineStr">
        <is>
          <t>ST205/75R14</t>
        </is>
      </c>
      <c r="Z10" s="32" t="inlineStr">
        <is>
          <t>8PR</t>
        </is>
      </c>
      <c r="AA10" s="32" t="inlineStr">
        <is>
          <t>ST-100</t>
        </is>
      </c>
      <c r="AB10" s="34" t="inlineStr">
        <is>
          <t>✔</t>
        </is>
      </c>
      <c r="AC10" s="19">
        <f>_xlfn.TEXTJOIN("-",TRUE,Y10,Z10,AA10)</f>
        <v/>
      </c>
    </row>
    <row r="11" customFormat="1" s="19">
      <c r="A11" s="32" t="inlineStr">
        <is>
          <t>7.50R16</t>
        </is>
      </c>
      <c r="B11" s="32" t="inlineStr">
        <is>
          <t>14PR</t>
        </is>
      </c>
      <c r="C11" s="32" t="inlineStr">
        <is>
          <t>AZ126T</t>
        </is>
      </c>
      <c r="D11" s="29" t="inlineStr">
        <is>
          <t>✔</t>
        </is>
      </c>
      <c r="E11" s="28">
        <f>_xlfn.TEXTJOIN("-",TRUE,A11,B11,C11)</f>
        <v/>
      </c>
      <c r="F11" s="32" t="inlineStr">
        <is>
          <t>7.50-16</t>
        </is>
      </c>
      <c r="G11" s="32" t="inlineStr">
        <is>
          <t>14PR</t>
        </is>
      </c>
      <c r="H11" s="32" t="inlineStr">
        <is>
          <t>M8086</t>
        </is>
      </c>
      <c r="I11" s="33" t="inlineStr">
        <is>
          <t>✔</t>
        </is>
      </c>
      <c r="J11" s="19">
        <f>_xlfn.TEXTJOIN("-",TRUE,F11,G11,H11)</f>
        <v/>
      </c>
      <c r="K11" s="32" t="inlineStr">
        <is>
          <t>4.80-12</t>
        </is>
      </c>
      <c r="L11" s="32" t="inlineStr">
        <is>
          <t>6PR</t>
        </is>
      </c>
      <c r="M11" s="32" t="inlineStr">
        <is>
          <t>ZT201</t>
        </is>
      </c>
      <c r="N11" s="34" t="inlineStr">
        <is>
          <t>✔</t>
        </is>
      </c>
      <c r="O11" s="19">
        <f>_xlfn.TEXTJOIN("-",TRUE,K11,L11,M11)</f>
        <v/>
      </c>
      <c r="P11" s="36" t="inlineStr">
        <is>
          <t>25X10-12</t>
        </is>
      </c>
      <c r="Q11" s="36" t="inlineStr">
        <is>
          <t>6PR</t>
        </is>
      </c>
      <c r="R11" s="36" t="inlineStr">
        <is>
          <t>AT12</t>
        </is>
      </c>
      <c r="S11" s="37" t="inlineStr">
        <is>
          <t>✔</t>
        </is>
      </c>
      <c r="T11" s="19">
        <f>_xlfn.TEXTJOIN("-",TRUE,P11,Q11,R11)</f>
        <v/>
      </c>
      <c r="U11" s="32" t="n"/>
      <c r="V11" s="32" t="n"/>
      <c r="W11" s="32" t="n"/>
      <c r="X11" s="19">
        <f>_xlfn.TEXTJOIN("-",TRUE,T11,U11,V11)</f>
        <v/>
      </c>
      <c r="Y11" s="32" t="inlineStr">
        <is>
          <t>ST205/75R14</t>
        </is>
      </c>
      <c r="Z11" s="32" t="inlineStr">
        <is>
          <t>8PR</t>
        </is>
      </c>
      <c r="AA11" s="32" t="inlineStr">
        <is>
          <t>STZC</t>
        </is>
      </c>
      <c r="AB11" s="34" t="inlineStr">
        <is>
          <t>✔</t>
        </is>
      </c>
      <c r="AC11" s="19">
        <f>_xlfn.TEXTJOIN("-",TRUE,Y11,Z11,AA11)</f>
        <v/>
      </c>
    </row>
    <row r="12" customFormat="1" s="19">
      <c r="A12" s="32" t="inlineStr">
        <is>
          <t>7.50R16</t>
        </is>
      </c>
      <c r="B12" s="32" t="inlineStr">
        <is>
          <t>14PR</t>
        </is>
      </c>
      <c r="C12" s="32" t="inlineStr">
        <is>
          <t>TZ202</t>
        </is>
      </c>
      <c r="D12" s="29" t="inlineStr">
        <is>
          <t>✔</t>
        </is>
      </c>
      <c r="E12" s="28">
        <f>_xlfn.TEXTJOIN("-",TRUE,A12,B12,C12)</f>
        <v/>
      </c>
      <c r="F12" s="32" t="inlineStr">
        <is>
          <t>7.50-16</t>
        </is>
      </c>
      <c r="G12" s="32" t="inlineStr">
        <is>
          <t>14PR</t>
        </is>
      </c>
      <c r="H12" s="32" t="inlineStr">
        <is>
          <t>M8087</t>
        </is>
      </c>
      <c r="I12" s="33" t="inlineStr">
        <is>
          <t>✔</t>
        </is>
      </c>
      <c r="J12" s="19">
        <f>_xlfn.TEXTJOIN("-",TRUE,F12,G12,H12)</f>
        <v/>
      </c>
      <c r="K12" s="32" t="inlineStr">
        <is>
          <t>4.80-12</t>
        </is>
      </c>
      <c r="L12" s="32" t="inlineStr">
        <is>
          <t>6PR</t>
        </is>
      </c>
      <c r="M12" s="32" t="inlineStr">
        <is>
          <t>ST600</t>
        </is>
      </c>
      <c r="N12" s="34" t="inlineStr">
        <is>
          <t>✔</t>
        </is>
      </c>
      <c r="O12" s="19">
        <f>_xlfn.TEXTJOIN("-",TRUE,K12,L12,M12)</f>
        <v/>
      </c>
      <c r="P12" s="36" t="inlineStr">
        <is>
          <t>25X10-12</t>
        </is>
      </c>
      <c r="Q12" s="36" t="inlineStr">
        <is>
          <t>6PR</t>
        </is>
      </c>
      <c r="R12" s="40" t="inlineStr">
        <is>
          <t>AR10</t>
        </is>
      </c>
      <c r="S12" s="37" t="inlineStr">
        <is>
          <t>✔</t>
        </is>
      </c>
      <c r="T12" s="19">
        <f>_xlfn.TEXTJOIN("-",TRUE,P12,Q12,R12)</f>
        <v/>
      </c>
      <c r="U12" s="32" t="inlineStr">
        <is>
          <t>80/90-12</t>
        </is>
      </c>
      <c r="V12" s="32" t="inlineStr">
        <is>
          <t>6PR</t>
        </is>
      </c>
      <c r="W12" s="32" t="inlineStr">
        <is>
          <t>H565-2</t>
        </is>
      </c>
      <c r="X12" s="19">
        <f>_xlfn.TEXTJOIN("-",TRUE,T12,U12,V12)</f>
        <v/>
      </c>
      <c r="Y12" s="36" t="inlineStr">
        <is>
          <t>ST205/75R14</t>
        </is>
      </c>
      <c r="Z12" s="36" t="inlineStr">
        <is>
          <t>8PR</t>
        </is>
      </c>
      <c r="AA12" s="36" t="inlineStr">
        <is>
          <t>ST-100A</t>
        </is>
      </c>
      <c r="AB12" s="37" t="inlineStr">
        <is>
          <t>✔</t>
        </is>
      </c>
      <c r="AC12" s="19">
        <f>_xlfn.TEXTJOIN("-",TRUE,Y12,Z12,AA12)</f>
        <v/>
      </c>
    </row>
    <row r="13" customFormat="1" s="19">
      <c r="A13" s="32" t="inlineStr">
        <is>
          <t>7.50R16</t>
        </is>
      </c>
      <c r="B13" s="32" t="inlineStr">
        <is>
          <t>14PR</t>
        </is>
      </c>
      <c r="C13" s="32" t="inlineStr">
        <is>
          <t>CB981</t>
        </is>
      </c>
      <c r="D13" s="29" t="inlineStr">
        <is>
          <t>✔</t>
        </is>
      </c>
      <c r="E13" s="28">
        <f>_xlfn.TEXTJOIN("-",TRUE,A13,B13,C13)</f>
        <v/>
      </c>
      <c r="F13" s="32" t="inlineStr">
        <is>
          <t>7.50-16</t>
        </is>
      </c>
      <c r="G13" s="32" t="inlineStr">
        <is>
          <t>14PR</t>
        </is>
      </c>
      <c r="H13" s="32" t="inlineStr">
        <is>
          <t>AB313</t>
        </is>
      </c>
      <c r="I13" s="33" t="inlineStr">
        <is>
          <t>✔</t>
        </is>
      </c>
      <c r="J13" s="19">
        <f>_xlfn.TEXTJOIN("-",TRUE,F13,G13,H13)</f>
        <v/>
      </c>
      <c r="K13" s="32" t="inlineStr">
        <is>
          <t>4.80-12</t>
        </is>
      </c>
      <c r="L13" s="32" t="inlineStr">
        <is>
          <t>6PR</t>
        </is>
      </c>
      <c r="M13" s="32" t="inlineStr">
        <is>
          <t>TE898</t>
        </is>
      </c>
      <c r="N13" s="34" t="inlineStr">
        <is>
          <t>✔</t>
        </is>
      </c>
      <c r="O13" s="19">
        <f>_xlfn.TEXTJOIN("-",TRUE,K13,L13,M13)</f>
        <v/>
      </c>
      <c r="P13" s="36" t="inlineStr">
        <is>
          <t>25X10-12</t>
        </is>
      </c>
      <c r="Q13" s="36" t="inlineStr">
        <is>
          <t>6PR</t>
        </is>
      </c>
      <c r="R13" s="36" t="inlineStr">
        <is>
          <t>AR11</t>
        </is>
      </c>
      <c r="S13" s="37" t="inlineStr">
        <is>
          <t>✔</t>
        </is>
      </c>
      <c r="T13" s="19">
        <f>_xlfn.TEXTJOIN("-",TRUE,P13,Q13,R13)</f>
        <v/>
      </c>
      <c r="U13" s="32" t="n"/>
      <c r="V13" s="32" t="n"/>
      <c r="W13" s="32" t="n"/>
      <c r="X13" s="19">
        <f>_xlfn.TEXTJOIN("-",TRUE,T13,U13,V13)</f>
        <v/>
      </c>
      <c r="Y13" s="36" t="inlineStr">
        <is>
          <t>ST205/75R14</t>
        </is>
      </c>
      <c r="Z13" s="36" t="inlineStr">
        <is>
          <t>8PR</t>
        </is>
      </c>
      <c r="AA13" s="36" t="inlineStr">
        <is>
          <t>DURAHAULER ST</t>
        </is>
      </c>
      <c r="AB13" s="38" t="n"/>
      <c r="AC13" s="19">
        <f>_xlfn.TEXTJOIN("-",TRUE,Y13,Z13,AA13)</f>
        <v/>
      </c>
    </row>
    <row r="14" customFormat="1" s="19">
      <c r="A14" s="32" t="inlineStr">
        <is>
          <t>7.50R16</t>
        </is>
      </c>
      <c r="B14" s="32" t="inlineStr">
        <is>
          <t>14PR</t>
        </is>
      </c>
      <c r="C14" s="32" t="inlineStr">
        <is>
          <t>SUPER AM S</t>
        </is>
      </c>
      <c r="D14" s="29" t="inlineStr">
        <is>
          <t>✔</t>
        </is>
      </c>
      <c r="E14" s="28">
        <f>_xlfn.TEXTJOIN("-",TRUE,A14,B14,C14)</f>
        <v/>
      </c>
      <c r="F14" s="32" t="inlineStr">
        <is>
          <t>7.50-16</t>
        </is>
      </c>
      <c r="G14" s="32" t="inlineStr">
        <is>
          <t>14PR</t>
        </is>
      </c>
      <c r="H14" s="32" t="inlineStr">
        <is>
          <t>R8038</t>
        </is>
      </c>
      <c r="I14" s="33" t="inlineStr">
        <is>
          <t>✔</t>
        </is>
      </c>
      <c r="J14" s="19">
        <f>_xlfn.TEXTJOIN("-",TRUE,F14,G14,H14)</f>
        <v/>
      </c>
      <c r="K14" s="32" t="inlineStr">
        <is>
          <t>4.80-12</t>
        </is>
      </c>
      <c r="L14" s="32" t="inlineStr">
        <is>
          <t>6PR</t>
        </is>
      </c>
      <c r="M14" s="32" t="inlineStr">
        <is>
          <t>RC-101</t>
        </is>
      </c>
      <c r="N14" s="34" t="inlineStr">
        <is>
          <t>✔</t>
        </is>
      </c>
      <c r="O14" s="19">
        <f>_xlfn.TEXTJOIN("-",TRUE,K14,L14,M14)</f>
        <v/>
      </c>
      <c r="P14" s="32" t="inlineStr">
        <is>
          <t>25X10-12</t>
        </is>
      </c>
      <c r="Q14" s="36" t="inlineStr">
        <is>
          <t>6PR</t>
        </is>
      </c>
      <c r="R14" s="32" t="inlineStr">
        <is>
          <t>OTR09</t>
        </is>
      </c>
      <c r="S14" s="34" t="inlineStr">
        <is>
          <t>✔</t>
        </is>
      </c>
      <c r="T14" s="19">
        <f>_xlfn.TEXTJOIN("-",TRUE,P14,Q14,R14)</f>
        <v/>
      </c>
      <c r="U14" s="32" t="inlineStr">
        <is>
          <t>80/90-14</t>
        </is>
      </c>
      <c r="V14" s="32" t="inlineStr">
        <is>
          <t>4PR</t>
        </is>
      </c>
      <c r="W14" s="32" t="inlineStr">
        <is>
          <t>H999A</t>
        </is>
      </c>
      <c r="X14" s="19">
        <f>_xlfn.TEXTJOIN("-",TRUE,T14,U14,V14)</f>
        <v/>
      </c>
      <c r="Y14" s="36" t="inlineStr">
        <is>
          <t>ST205/75R14</t>
        </is>
      </c>
      <c r="Z14" s="36" t="inlineStr">
        <is>
          <t>8PR</t>
        </is>
      </c>
      <c r="AA14" s="36" t="inlineStr">
        <is>
          <t>ASSURE ST</t>
        </is>
      </c>
      <c r="AB14" s="38" t="n"/>
      <c r="AC14" s="19">
        <f>_xlfn.TEXTJOIN("-",TRUE,Y14,Z14,AA14)</f>
        <v/>
      </c>
    </row>
    <row r="15" customFormat="1" s="19">
      <c r="A15" s="32" t="inlineStr">
        <is>
          <t>7.50R16</t>
        </is>
      </c>
      <c r="B15" s="32" t="inlineStr">
        <is>
          <t>14PR</t>
        </is>
      </c>
      <c r="C15" s="32" t="inlineStr">
        <is>
          <t>MOBY.R856X</t>
        </is>
      </c>
      <c r="D15" s="29" t="inlineStr">
        <is>
          <t>✔</t>
        </is>
      </c>
      <c r="E15" s="28">
        <f>_xlfn.TEXTJOIN("-",TRUE,A15,B15,C15)</f>
        <v/>
      </c>
      <c r="F15" s="32" t="inlineStr">
        <is>
          <t>7.50-16</t>
        </is>
      </c>
      <c r="G15" s="32" t="inlineStr">
        <is>
          <t>14PR</t>
        </is>
      </c>
      <c r="H15" s="32" t="inlineStr">
        <is>
          <t>AB111</t>
        </is>
      </c>
      <c r="I15" s="33" t="inlineStr">
        <is>
          <t>✔</t>
        </is>
      </c>
      <c r="J15" s="19">
        <f>_xlfn.TEXTJOIN("-",TRUE,F15,G15,H15)</f>
        <v/>
      </c>
      <c r="K15" s="32" t="n"/>
      <c r="L15" s="32" t="n"/>
      <c r="M15" s="32" t="n"/>
      <c r="N15" s="34" t="n"/>
      <c r="O15" s="19">
        <f>_xlfn.TEXTJOIN("-",TRUE,K15,L15,M15)</f>
        <v/>
      </c>
      <c r="P15" s="36" t="inlineStr">
        <is>
          <t>25X10-12</t>
        </is>
      </c>
      <c r="Q15" s="36" t="inlineStr">
        <is>
          <t>6PR</t>
        </is>
      </c>
      <c r="R15" s="36" t="inlineStr">
        <is>
          <t>OTR30</t>
        </is>
      </c>
      <c r="S15" s="37" t="inlineStr">
        <is>
          <t>✔</t>
        </is>
      </c>
      <c r="T15" s="19">
        <f>_xlfn.TEXTJOIN("-",TRUE,P15,Q15,R15)</f>
        <v/>
      </c>
      <c r="U15" s="32" t="n"/>
      <c r="V15" s="32" t="n"/>
      <c r="W15" s="32" t="n"/>
      <c r="X15" s="19">
        <f>_xlfn.TEXTJOIN("-",TRUE,T15,U15,V15)</f>
        <v/>
      </c>
      <c r="Y15" s="36" t="inlineStr">
        <is>
          <t>ST205/75R14</t>
        </is>
      </c>
      <c r="Z15" s="36" t="inlineStr">
        <is>
          <t>8PR</t>
        </is>
      </c>
      <c r="AA15" s="36" t="inlineStr">
        <is>
          <t>ST200</t>
        </is>
      </c>
      <c r="AB15" s="37" t="inlineStr">
        <is>
          <t>✔</t>
        </is>
      </c>
      <c r="AC15" s="19">
        <f>_xlfn.TEXTJOIN("-",TRUE,Y15,Z15,AA15)</f>
        <v/>
      </c>
    </row>
    <row r="16" customFormat="1" s="19">
      <c r="A16" s="32" t="inlineStr">
        <is>
          <t>7.50R16</t>
        </is>
      </c>
      <c r="B16" s="32" t="inlineStr">
        <is>
          <t>14PR</t>
        </is>
      </c>
      <c r="C16" s="32" t="inlineStr">
        <is>
          <t>ETOD</t>
        </is>
      </c>
      <c r="D16" s="29" t="inlineStr">
        <is>
          <t>✔</t>
        </is>
      </c>
      <c r="E16" s="28">
        <f>_xlfn.TEXTJOIN("-",TRUE,A16,B16,C16)</f>
        <v/>
      </c>
      <c r="F16" s="32" t="inlineStr">
        <is>
          <t>7.50-16</t>
        </is>
      </c>
      <c r="G16" s="32" t="inlineStr">
        <is>
          <t>14PR</t>
        </is>
      </c>
      <c r="H16" s="32" t="inlineStr">
        <is>
          <t>R8037</t>
        </is>
      </c>
      <c r="I16" s="33" t="inlineStr">
        <is>
          <t>✔</t>
        </is>
      </c>
      <c r="J16" s="19">
        <f>_xlfn.TEXTJOIN("-",TRUE,F16,G16,H16)</f>
        <v/>
      </c>
      <c r="K16" s="32" t="inlineStr">
        <is>
          <t>5.30-12</t>
        </is>
      </c>
      <c r="L16" s="32" t="inlineStr">
        <is>
          <t>4PR</t>
        </is>
      </c>
      <c r="M16" s="32" t="inlineStr">
        <is>
          <t>SU201</t>
        </is>
      </c>
      <c r="N16" s="34" t="inlineStr">
        <is>
          <t>✔</t>
        </is>
      </c>
      <c r="O16" s="19">
        <f>_xlfn.TEXTJOIN("-",TRUE,K16,L16,M16)</f>
        <v/>
      </c>
      <c r="P16" s="35" t="n"/>
      <c r="Q16" s="35" t="n"/>
      <c r="R16" s="35" t="n"/>
      <c r="S16" s="35" t="n"/>
      <c r="T16" s="19">
        <f>_xlfn.TEXTJOIN("-",TRUE,P16,Q16,R16)</f>
        <v/>
      </c>
      <c r="U16" s="32" t="inlineStr">
        <is>
          <t>90/80-14</t>
        </is>
      </c>
      <c r="V16" s="32" t="inlineStr">
        <is>
          <t>4PR</t>
        </is>
      </c>
      <c r="W16" s="32" t="inlineStr">
        <is>
          <t>H999A</t>
        </is>
      </c>
      <c r="X16" s="19">
        <f>_xlfn.TEXTJOIN("-",TRUE,T16,U16,V16)</f>
        <v/>
      </c>
      <c r="Y16" s="35" t="n"/>
      <c r="Z16" s="35" t="n"/>
      <c r="AA16" s="35" t="n"/>
      <c r="AB16" s="35" t="n"/>
      <c r="AC16" s="19">
        <f>_xlfn.TEXTJOIN("-",TRUE,Y16,Z16,AA16)</f>
        <v/>
      </c>
    </row>
    <row r="17" customFormat="1" s="19">
      <c r="A17" s="32" t="inlineStr">
        <is>
          <t>7.50R16</t>
        </is>
      </c>
      <c r="B17" s="32" t="inlineStr">
        <is>
          <t>14PR</t>
        </is>
      </c>
      <c r="C17" s="32" t="inlineStr">
        <is>
          <t>AM4S.Q669</t>
        </is>
      </c>
      <c r="D17" s="29" t="inlineStr">
        <is>
          <t>✔</t>
        </is>
      </c>
      <c r="E17" s="28">
        <f>_xlfn.TEXTJOIN("-",TRUE,A17,B17,C17)</f>
        <v/>
      </c>
      <c r="F17" s="32" t="inlineStr">
        <is>
          <t>7.50-16</t>
        </is>
      </c>
      <c r="G17" s="32" t="inlineStr">
        <is>
          <t>14PR</t>
        </is>
      </c>
      <c r="H17" s="39" t="inlineStr">
        <is>
          <t>L8056</t>
        </is>
      </c>
      <c r="I17" s="39" t="n"/>
      <c r="J17" s="19">
        <f>_xlfn.TEXTJOIN("-",TRUE,F17,G17,H17)</f>
        <v/>
      </c>
      <c r="K17" s="32" t="inlineStr">
        <is>
          <t>5.30-12</t>
        </is>
      </c>
      <c r="L17" s="32" t="inlineStr">
        <is>
          <t>4PR</t>
        </is>
      </c>
      <c r="M17" s="32" t="inlineStr">
        <is>
          <t>ZT201</t>
        </is>
      </c>
      <c r="N17" s="34" t="inlineStr">
        <is>
          <t>✔</t>
        </is>
      </c>
      <c r="O17" s="19">
        <f>_xlfn.TEXTJOIN("-",TRUE,K17,L17,M17)</f>
        <v/>
      </c>
      <c r="P17" s="32" t="inlineStr">
        <is>
          <t>26X9-12</t>
        </is>
      </c>
      <c r="Q17" s="32" t="inlineStr">
        <is>
          <t>6PR</t>
        </is>
      </c>
      <c r="R17" s="32" t="inlineStr">
        <is>
          <t>AR12</t>
        </is>
      </c>
      <c r="S17" s="34" t="inlineStr">
        <is>
          <t>✔</t>
        </is>
      </c>
      <c r="T17" s="19">
        <f>_xlfn.TEXTJOIN("-",TRUE,P17,Q17,R17)</f>
        <v/>
      </c>
      <c r="U17" s="32" t="n"/>
      <c r="V17" s="32" t="n"/>
      <c r="W17" s="32" t="n"/>
      <c r="X17" s="19">
        <f>_xlfn.TEXTJOIN("-",TRUE,T17,U17,V17)</f>
        <v/>
      </c>
      <c r="Y17" s="41" t="inlineStr">
        <is>
          <t>ST205/75R15</t>
        </is>
      </c>
      <c r="Z17" s="41" t="inlineStr">
        <is>
          <t>6PR</t>
        </is>
      </c>
      <c r="AA17" s="41" t="inlineStr">
        <is>
          <t>ST226</t>
        </is>
      </c>
      <c r="AB17" s="42" t="inlineStr">
        <is>
          <t>✔</t>
        </is>
      </c>
      <c r="AC17" s="19">
        <f>_xlfn.TEXTJOIN("-",TRUE,Y17,Z17,AA17)</f>
        <v/>
      </c>
    </row>
    <row r="18" customFormat="1" s="19">
      <c r="A18" s="32" t="inlineStr">
        <is>
          <t>7.50R16</t>
        </is>
      </c>
      <c r="B18" s="32" t="inlineStr">
        <is>
          <t>14PR</t>
        </is>
      </c>
      <c r="C18" s="32" t="inlineStr">
        <is>
          <t>AZ850S</t>
        </is>
      </c>
      <c r="D18" s="29" t="inlineStr">
        <is>
          <t>✔</t>
        </is>
      </c>
      <c r="E18" s="28">
        <f>_xlfn.TEXTJOIN("-",TRUE,A18,B18,C18)</f>
        <v/>
      </c>
      <c r="F18" s="32" t="inlineStr">
        <is>
          <t>7.50-16</t>
        </is>
      </c>
      <c r="G18" s="32" t="inlineStr">
        <is>
          <t>14PR</t>
        </is>
      </c>
      <c r="H18" s="32" t="inlineStr">
        <is>
          <t>MR881</t>
        </is>
      </c>
      <c r="I18" s="33" t="inlineStr">
        <is>
          <t>✔</t>
        </is>
      </c>
      <c r="J18" s="19">
        <f>_xlfn.TEXTJOIN("-",TRUE,F18,G18,H18)</f>
        <v/>
      </c>
      <c r="K18" s="32" t="inlineStr">
        <is>
          <t>5.30-12</t>
        </is>
      </c>
      <c r="L18" s="32" t="inlineStr">
        <is>
          <t>6PR</t>
        </is>
      </c>
      <c r="M18" s="32" t="inlineStr">
        <is>
          <t>SU201</t>
        </is>
      </c>
      <c r="N18" s="34" t="inlineStr">
        <is>
          <t>✔</t>
        </is>
      </c>
      <c r="O18" s="19">
        <f>_xlfn.TEXTJOIN("-",TRUE,K18,L18,M18)</f>
        <v/>
      </c>
      <c r="P18" s="32" t="inlineStr">
        <is>
          <t>26X9R12</t>
        </is>
      </c>
      <c r="Q18" s="32" t="inlineStr">
        <is>
          <t>8PR</t>
        </is>
      </c>
      <c r="R18" s="32" t="inlineStr">
        <is>
          <t>AR11</t>
        </is>
      </c>
      <c r="S18" s="34" t="inlineStr">
        <is>
          <t>✔</t>
        </is>
      </c>
      <c r="T18" s="19">
        <f>_xlfn.TEXTJOIN("-",TRUE,P18,Q18,R18)</f>
        <v/>
      </c>
      <c r="U18" s="32" t="inlineStr">
        <is>
          <t>90/90-12</t>
        </is>
      </c>
      <c r="V18" s="32" t="inlineStr">
        <is>
          <t>4PR</t>
        </is>
      </c>
      <c r="W18" s="32" t="inlineStr">
        <is>
          <t>H565-2</t>
        </is>
      </c>
      <c r="X18" s="19">
        <f>_xlfn.TEXTJOIN("-",TRUE,T18,U18,V18)</f>
        <v/>
      </c>
      <c r="Y18" s="32" t="inlineStr">
        <is>
          <t>ST205/75R15</t>
        </is>
      </c>
      <c r="Z18" s="32" t="inlineStr">
        <is>
          <t>8PR</t>
        </is>
      </c>
      <c r="AA18" s="32" t="inlineStr">
        <is>
          <t>ST226</t>
        </is>
      </c>
      <c r="AB18" s="34" t="inlineStr">
        <is>
          <t>✔</t>
        </is>
      </c>
      <c r="AC18" s="19">
        <f>_xlfn.TEXTJOIN("-",TRUE,Y18,Z18,AA18)</f>
        <v/>
      </c>
    </row>
    <row r="19" customFormat="1" s="19">
      <c r="A19" s="32" t="inlineStr">
        <is>
          <t>7.50R16</t>
        </is>
      </c>
      <c r="B19" s="32" t="inlineStr">
        <is>
          <t>14PR</t>
        </is>
      </c>
      <c r="C19" s="32" t="inlineStr">
        <is>
          <t>CB972</t>
        </is>
      </c>
      <c r="D19" s="29" t="inlineStr">
        <is>
          <t>✔</t>
        </is>
      </c>
      <c r="E19" s="28">
        <f>_xlfn.TEXTJOIN("-",TRUE,A19,B19,C19)</f>
        <v/>
      </c>
      <c r="F19" s="39" t="n"/>
      <c r="G19" s="39" t="n"/>
      <c r="H19" s="39" t="n"/>
      <c r="I19" s="39" t="n"/>
      <c r="J19" s="19">
        <f>_xlfn.TEXTJOIN("-",TRUE,F19,G19,H19)</f>
        <v/>
      </c>
      <c r="K19" s="32" t="inlineStr">
        <is>
          <t>5.30-12</t>
        </is>
      </c>
      <c r="L19" s="32" t="inlineStr">
        <is>
          <t>6PR</t>
        </is>
      </c>
      <c r="M19" s="32" t="inlineStr">
        <is>
          <t>ZT201</t>
        </is>
      </c>
      <c r="N19" s="34" t="inlineStr">
        <is>
          <t>✔</t>
        </is>
      </c>
      <c r="O19" s="19">
        <f>_xlfn.TEXTJOIN("-",TRUE,K19,L19,M19)</f>
        <v/>
      </c>
      <c r="P19" s="35" t="n"/>
      <c r="Q19" s="35" t="n"/>
      <c r="R19" s="35" t="n"/>
      <c r="S19" s="35" t="n"/>
      <c r="T19" s="19">
        <f>_xlfn.TEXTJOIN("-",TRUE,P19,Q19,R19)</f>
        <v/>
      </c>
      <c r="U19" s="32" t="n"/>
      <c r="V19" s="32" t="n"/>
      <c r="W19" s="32" t="n"/>
      <c r="X19" s="19">
        <f>_xlfn.TEXTJOIN("-",TRUE,T19,U19,V19)</f>
        <v/>
      </c>
      <c r="Y19" s="30" t="inlineStr">
        <is>
          <t>ST205/75R15</t>
        </is>
      </c>
      <c r="Z19" s="30" t="inlineStr">
        <is>
          <t>6PR</t>
        </is>
      </c>
      <c r="AA19" s="30" t="inlineStr">
        <is>
          <t>ST200</t>
        </is>
      </c>
      <c r="AB19" s="31" t="inlineStr">
        <is>
          <t>✔</t>
        </is>
      </c>
      <c r="AC19" s="19">
        <f>_xlfn.TEXTJOIN("-",TRUE,Y19,Z19,AA19)</f>
        <v/>
      </c>
    </row>
    <row r="20" customFormat="1" s="19">
      <c r="A20" s="32" t="inlineStr">
        <is>
          <t>7.50R16</t>
        </is>
      </c>
      <c r="B20" s="32" t="inlineStr">
        <is>
          <t>14PR</t>
        </is>
      </c>
      <c r="C20" s="32" t="inlineStr">
        <is>
          <t>CM913</t>
        </is>
      </c>
      <c r="D20" s="29" t="inlineStr">
        <is>
          <t>✔</t>
        </is>
      </c>
      <c r="E20" s="28">
        <f>_xlfn.TEXTJOIN("-",TRUE,A20,B20,C20)</f>
        <v/>
      </c>
      <c r="F20" s="32" t="inlineStr">
        <is>
          <t>10.00-20</t>
        </is>
      </c>
      <c r="G20" s="39" t="inlineStr">
        <is>
          <t>16PR</t>
        </is>
      </c>
      <c r="H20" s="39" t="inlineStr">
        <is>
          <t>R9038</t>
        </is>
      </c>
      <c r="I20" s="33" t="inlineStr">
        <is>
          <t>✔</t>
        </is>
      </c>
      <c r="J20" s="19">
        <f>_xlfn.TEXTJOIN("-",TRUE,F20,G20,H20)</f>
        <v/>
      </c>
      <c r="K20" s="32" t="n"/>
      <c r="L20" s="32" t="n"/>
      <c r="M20" s="32" t="n"/>
      <c r="N20" s="34" t="n"/>
      <c r="O20" s="19">
        <f>_xlfn.TEXTJOIN("-",TRUE,K20,L20,M20)</f>
        <v/>
      </c>
      <c r="P20" s="32" t="inlineStr">
        <is>
          <t>26X10-12</t>
        </is>
      </c>
      <c r="Q20" s="32" t="inlineStr">
        <is>
          <t>6PR</t>
        </is>
      </c>
      <c r="R20" s="32" t="inlineStr">
        <is>
          <t>AR12</t>
        </is>
      </c>
      <c r="S20" s="34" t="inlineStr">
        <is>
          <t>✔</t>
        </is>
      </c>
      <c r="T20" s="19">
        <f>_xlfn.TEXTJOIN("-",TRUE,P20,Q20,R20)</f>
        <v/>
      </c>
      <c r="U20" s="32" t="inlineStr">
        <is>
          <t>90/90-14</t>
        </is>
      </c>
      <c r="V20" s="32" t="inlineStr">
        <is>
          <t>4PR</t>
        </is>
      </c>
      <c r="W20" s="32" t="inlineStr">
        <is>
          <t>H999A</t>
        </is>
      </c>
      <c r="X20" s="19">
        <f>_xlfn.TEXTJOIN("-",TRUE,T20,U20,V20)</f>
        <v/>
      </c>
      <c r="Y20" s="36" t="inlineStr">
        <is>
          <t>ST205/75R15</t>
        </is>
      </c>
      <c r="Z20" s="36" t="inlineStr">
        <is>
          <t>8PR</t>
        </is>
      </c>
      <c r="AA20" s="36" t="inlineStr">
        <is>
          <t>ST200</t>
        </is>
      </c>
      <c r="AB20" s="37" t="inlineStr">
        <is>
          <t>✔</t>
        </is>
      </c>
      <c r="AC20" s="19">
        <f>_xlfn.TEXTJOIN("-",TRUE,Y20,Z20,AA20)</f>
        <v/>
      </c>
    </row>
    <row r="21" customFormat="1" s="19">
      <c r="A21" s="32" t="inlineStr">
        <is>
          <t>7.50R16</t>
        </is>
      </c>
      <c r="B21" s="32" t="inlineStr">
        <is>
          <t>14PR</t>
        </is>
      </c>
      <c r="C21" s="32" t="inlineStr">
        <is>
          <t>CM988</t>
        </is>
      </c>
      <c r="D21" s="29" t="inlineStr">
        <is>
          <t>✔</t>
        </is>
      </c>
      <c r="E21" s="28">
        <f>_xlfn.TEXTJOIN("-",TRUE,A21,B21,C21)</f>
        <v/>
      </c>
      <c r="F21" s="32" t="inlineStr">
        <is>
          <t>10.00-20</t>
        </is>
      </c>
      <c r="G21" s="39" t="inlineStr">
        <is>
          <t>18PR</t>
        </is>
      </c>
      <c r="H21" s="39" t="inlineStr">
        <is>
          <t>R9038</t>
        </is>
      </c>
      <c r="I21" s="33" t="inlineStr">
        <is>
          <t>✔</t>
        </is>
      </c>
      <c r="J21" s="19">
        <f>_xlfn.TEXTJOIN("-",TRUE,F21,G21,H21)</f>
        <v/>
      </c>
      <c r="K21" s="32" t="inlineStr">
        <is>
          <t>5.70-8</t>
        </is>
      </c>
      <c r="L21" s="32" t="inlineStr">
        <is>
          <t>4PR</t>
        </is>
      </c>
      <c r="M21" s="32" t="inlineStr">
        <is>
          <t>SU201</t>
        </is>
      </c>
      <c r="N21" s="34" t="inlineStr">
        <is>
          <t>✔</t>
        </is>
      </c>
      <c r="O21" s="19">
        <f>_xlfn.TEXTJOIN("-",TRUE,K21,L21,M21)</f>
        <v/>
      </c>
      <c r="P21" s="32" t="inlineStr">
        <is>
          <t>26X10R12</t>
        </is>
      </c>
      <c r="Q21" s="32" t="inlineStr">
        <is>
          <t>8PR</t>
        </is>
      </c>
      <c r="R21" s="32" t="inlineStr">
        <is>
          <t>AR11</t>
        </is>
      </c>
      <c r="S21" s="34" t="inlineStr">
        <is>
          <t>✔</t>
        </is>
      </c>
      <c r="T21" s="19">
        <f>_xlfn.TEXTJOIN("-",TRUE,P21,Q21,R21)</f>
        <v/>
      </c>
      <c r="U21" s="32" t="n"/>
      <c r="V21" s="32" t="n"/>
      <c r="W21" s="32" t="n"/>
      <c r="X21" s="19">
        <f>_xlfn.TEXTJOIN("-",TRUE,T21,U21,V21)</f>
        <v/>
      </c>
      <c r="Y21" s="36" t="inlineStr">
        <is>
          <t>ST205/75R15</t>
        </is>
      </c>
      <c r="Z21" s="36" t="inlineStr">
        <is>
          <t>10PR</t>
        </is>
      </c>
      <c r="AA21" s="36" t="inlineStr">
        <is>
          <t>ST100</t>
        </is>
      </c>
      <c r="AB21" s="37" t="inlineStr">
        <is>
          <t>✔</t>
        </is>
      </c>
      <c r="AC21" s="19">
        <f>_xlfn.TEXTJOIN("-",TRUE,Y21,Z21,AA21)</f>
        <v/>
      </c>
    </row>
    <row r="22" customFormat="1" s="19">
      <c r="A22" s="32" t="inlineStr">
        <is>
          <t>7.50R16</t>
        </is>
      </c>
      <c r="B22" s="32" t="inlineStr">
        <is>
          <t>14PR</t>
        </is>
      </c>
      <c r="C22" s="32" t="inlineStr">
        <is>
          <t>TKALⅢ</t>
        </is>
      </c>
      <c r="D22" s="29" t="inlineStr">
        <is>
          <t>✔</t>
        </is>
      </c>
      <c r="E22" s="28">
        <f>_xlfn.TEXTJOIN("-",TRUE,A22,B22,C22)</f>
        <v/>
      </c>
      <c r="F22" s="32" t="inlineStr">
        <is>
          <t>10.00-20</t>
        </is>
      </c>
      <c r="G22" s="39" t="inlineStr">
        <is>
          <t>18PR</t>
        </is>
      </c>
      <c r="H22" s="39" t="inlineStr">
        <is>
          <t>AB111</t>
        </is>
      </c>
      <c r="I22" s="33" t="inlineStr">
        <is>
          <t>✔</t>
        </is>
      </c>
      <c r="J22" s="19">
        <f>_xlfn.TEXTJOIN("-",TRUE,F22,G22,H22)</f>
        <v/>
      </c>
      <c r="K22" s="36" t="inlineStr">
        <is>
          <t>5.70-8</t>
        </is>
      </c>
      <c r="L22" s="32" t="inlineStr">
        <is>
          <t>4PR</t>
        </is>
      </c>
      <c r="M22" s="36" t="inlineStr">
        <is>
          <t>ZT201</t>
        </is>
      </c>
      <c r="N22" s="37" t="inlineStr">
        <is>
          <t>✔</t>
        </is>
      </c>
      <c r="O22" s="19">
        <f>_xlfn.TEXTJOIN("-",TRUE,K22,L22,M22)</f>
        <v/>
      </c>
      <c r="P22" s="35" t="n"/>
      <c r="Q22" s="35" t="n"/>
      <c r="R22" s="35" t="n"/>
      <c r="S22" s="35" t="n"/>
      <c r="T22" s="19">
        <f>_xlfn.TEXTJOIN("-",TRUE,P22,Q22,R22)</f>
        <v/>
      </c>
      <c r="U22" s="32" t="inlineStr">
        <is>
          <t>100/80-14</t>
        </is>
      </c>
      <c r="V22" s="32" t="inlineStr">
        <is>
          <t>4PR/6PR</t>
        </is>
      </c>
      <c r="W22" s="32" t="inlineStr">
        <is>
          <t>H999-A</t>
        </is>
      </c>
      <c r="X22" s="19">
        <f>_xlfn.TEXTJOIN("-",TRUE,T22,U22,V22)</f>
        <v/>
      </c>
      <c r="Y22" s="32" t="inlineStr">
        <is>
          <t>ST205/75R15</t>
        </is>
      </c>
      <c r="Z22" s="32" t="inlineStr">
        <is>
          <t>6PR</t>
        </is>
      </c>
      <c r="AA22" s="43" t="inlineStr">
        <is>
          <t>ST-100A</t>
        </is>
      </c>
      <c r="AB22" s="31" t="inlineStr">
        <is>
          <t>✔</t>
        </is>
      </c>
      <c r="AC22" s="19">
        <f>_xlfn.TEXTJOIN("-",TRUE,Y22,Z22,AA22)</f>
        <v/>
      </c>
    </row>
    <row r="23" customFormat="1" s="19">
      <c r="A23" s="32" t="inlineStr">
        <is>
          <t>8.25R16</t>
        </is>
      </c>
      <c r="B23" s="32" t="inlineStr">
        <is>
          <t>14PR</t>
        </is>
      </c>
      <c r="C23" s="32" t="inlineStr">
        <is>
          <t>CR926</t>
        </is>
      </c>
      <c r="D23" s="29" t="inlineStr">
        <is>
          <t>✔</t>
        </is>
      </c>
      <c r="E23" s="28">
        <f>_xlfn.TEXTJOIN("-",TRUE,A23,B23,C23)</f>
        <v/>
      </c>
      <c r="F23" s="32" t="inlineStr">
        <is>
          <t>10.00-20</t>
        </is>
      </c>
      <c r="G23" s="39" t="n"/>
      <c r="H23" s="39" t="inlineStr">
        <is>
          <t>L9057</t>
        </is>
      </c>
      <c r="I23" s="39" t="n"/>
      <c r="J23" s="19">
        <f>_xlfn.TEXTJOIN("-",TRUE,F23,G23,H23)</f>
        <v/>
      </c>
      <c r="K23" s="32" t="inlineStr">
        <is>
          <t>5.70-8</t>
        </is>
      </c>
      <c r="L23" s="32" t="inlineStr">
        <is>
          <t>6PR</t>
        </is>
      </c>
      <c r="M23" s="32" t="inlineStr">
        <is>
          <t>SU201</t>
        </is>
      </c>
      <c r="N23" s="34" t="inlineStr">
        <is>
          <t>✔</t>
        </is>
      </c>
      <c r="O23" s="19">
        <f>_xlfn.TEXTJOIN("-",TRUE,K23,L23,M23)</f>
        <v/>
      </c>
      <c r="P23" s="32" t="inlineStr">
        <is>
          <t>26×12-12</t>
        </is>
      </c>
      <c r="Q23" s="32" t="inlineStr">
        <is>
          <t>6PR</t>
        </is>
      </c>
      <c r="R23" s="32" t="inlineStr">
        <is>
          <t>AR12</t>
        </is>
      </c>
      <c r="S23" s="34" t="inlineStr">
        <is>
          <t>✔</t>
        </is>
      </c>
      <c r="T23" s="19">
        <f>_xlfn.TEXTJOIN("-",TRUE,P23,Q23,R23)</f>
        <v/>
      </c>
      <c r="U23" s="32" t="n"/>
      <c r="V23" s="32" t="n"/>
      <c r="W23" s="32" t="n"/>
      <c r="X23" s="19">
        <f>_xlfn.TEXTJOIN("-",TRUE,T23,U23,V23)</f>
        <v/>
      </c>
      <c r="Y23" s="41" t="inlineStr">
        <is>
          <t>ST205/75R15</t>
        </is>
      </c>
      <c r="Z23" s="41" t="inlineStr">
        <is>
          <t>8PR</t>
        </is>
      </c>
      <c r="AA23" s="32" t="inlineStr">
        <is>
          <t>ST-100A</t>
        </is>
      </c>
      <c r="AB23" s="37" t="inlineStr">
        <is>
          <t>✔</t>
        </is>
      </c>
      <c r="AC23" s="19">
        <f>_xlfn.TEXTJOIN("-",TRUE,Y23,Z23,AA23)</f>
        <v/>
      </c>
    </row>
    <row r="24" customFormat="1" s="19">
      <c r="A24" s="32" t="inlineStr">
        <is>
          <t>10.00R20</t>
        </is>
      </c>
      <c r="B24" s="32" t="inlineStr">
        <is>
          <t>18PR</t>
        </is>
      </c>
      <c r="C24" s="32" t="inlineStr">
        <is>
          <t>AZ686</t>
        </is>
      </c>
      <c r="D24" s="29" t="inlineStr">
        <is>
          <t>✔</t>
        </is>
      </c>
      <c r="E24" s="28">
        <f>_xlfn.TEXTJOIN("-",TRUE,A24,B24,C24)</f>
        <v/>
      </c>
      <c r="F24" s="32" t="inlineStr">
        <is>
          <t>10.00-20</t>
        </is>
      </c>
      <c r="G24" s="32" t="inlineStr">
        <is>
          <t>18PR</t>
        </is>
      </c>
      <c r="H24" s="32" t="inlineStr">
        <is>
          <t>M9096</t>
        </is>
      </c>
      <c r="I24" s="33" t="inlineStr">
        <is>
          <t>✔</t>
        </is>
      </c>
      <c r="J24" s="19">
        <f>_xlfn.TEXTJOIN("-",TRUE,F24,G24,H24)</f>
        <v/>
      </c>
      <c r="K24" s="36" t="inlineStr">
        <is>
          <t>5.70-8</t>
        </is>
      </c>
      <c r="L24" s="36" t="inlineStr">
        <is>
          <t>6PR</t>
        </is>
      </c>
      <c r="M24" s="36" t="inlineStr">
        <is>
          <t>ZT201</t>
        </is>
      </c>
      <c r="N24" s="37" t="inlineStr">
        <is>
          <t>✔</t>
        </is>
      </c>
      <c r="O24" s="19">
        <f>_xlfn.TEXTJOIN("-",TRUE,K24,L24,M24)</f>
        <v/>
      </c>
      <c r="P24" s="32" t="inlineStr">
        <is>
          <t>26×12R12</t>
        </is>
      </c>
      <c r="Q24" s="32" t="inlineStr">
        <is>
          <t>8PR</t>
        </is>
      </c>
      <c r="R24" s="32" t="inlineStr">
        <is>
          <t>AR11</t>
        </is>
      </c>
      <c r="S24" s="34" t="inlineStr">
        <is>
          <t>✔</t>
        </is>
      </c>
      <c r="T24" s="19">
        <f>_xlfn.TEXTJOIN("-",TRUE,P24,Q24,R24)</f>
        <v/>
      </c>
      <c r="U24" s="32" t="n"/>
      <c r="V24" s="32" t="n"/>
      <c r="W24" s="32" t="n"/>
      <c r="X24" s="19">
        <f>_xlfn.TEXTJOIN("-",TRUE,T24,U24,V24)</f>
        <v/>
      </c>
      <c r="Y24" s="36" t="inlineStr">
        <is>
          <t>ST205/75R15</t>
        </is>
      </c>
      <c r="Z24" s="36" t="inlineStr">
        <is>
          <t>10PR</t>
        </is>
      </c>
      <c r="AA24" s="32" t="inlineStr">
        <is>
          <t>ST-100A</t>
        </is>
      </c>
      <c r="AB24" s="37" t="inlineStr">
        <is>
          <t>✔</t>
        </is>
      </c>
      <c r="AC24" s="19">
        <f>_xlfn.TEXTJOIN("-",TRUE,Y24,Z24,AA24)</f>
        <v/>
      </c>
    </row>
    <row r="25" customFormat="1" s="19">
      <c r="A25" s="32" t="inlineStr">
        <is>
          <t>10.00R20</t>
        </is>
      </c>
      <c r="B25" s="32" t="inlineStr">
        <is>
          <t>18PR</t>
        </is>
      </c>
      <c r="C25" s="32" t="inlineStr">
        <is>
          <t>AZ601</t>
        </is>
      </c>
      <c r="D25" s="29" t="inlineStr">
        <is>
          <t>✔</t>
        </is>
      </c>
      <c r="E25" s="28">
        <f>_xlfn.TEXTJOIN("-",TRUE,A25,B25,C25)</f>
        <v/>
      </c>
      <c r="F25" s="32" t="inlineStr">
        <is>
          <t>10.00-20</t>
        </is>
      </c>
      <c r="G25" s="32" t="inlineStr">
        <is>
          <t>18PR</t>
        </is>
      </c>
      <c r="H25" s="32" t="inlineStr">
        <is>
          <t>M9097</t>
        </is>
      </c>
      <c r="I25" s="33" t="inlineStr">
        <is>
          <t>✔</t>
        </is>
      </c>
      <c r="J25" s="19">
        <f>_xlfn.TEXTJOIN("-",TRUE,F25,G25,H25)</f>
        <v/>
      </c>
      <c r="K25" s="35" t="n"/>
      <c r="L25" s="35" t="n"/>
      <c r="M25" s="35" t="n"/>
      <c r="N25" s="35" t="n"/>
      <c r="O25" s="19">
        <f>_xlfn.TEXTJOIN("-",TRUE,K25,L25,M25)</f>
        <v/>
      </c>
      <c r="P25" s="32" t="n"/>
      <c r="Q25" s="32" t="n"/>
      <c r="R25" s="32" t="n"/>
      <c r="S25" s="34" t="n"/>
      <c r="T25" s="19">
        <f>_xlfn.TEXTJOIN("-",TRUE,P25,Q25,R25)</f>
        <v/>
      </c>
      <c r="U25" s="32" t="n"/>
      <c r="V25" s="32" t="n"/>
      <c r="W25" s="32" t="n"/>
      <c r="X25" s="19">
        <f>_xlfn.TEXTJOIN("-",TRUE,T25,U25,V25)</f>
        <v/>
      </c>
      <c r="Y25" s="35" t="n"/>
      <c r="Z25" s="35" t="n"/>
      <c r="AA25" s="35" t="n"/>
      <c r="AB25" s="35" t="n"/>
      <c r="AC25" s="19">
        <f>_xlfn.TEXTJOIN("-",TRUE,Y25,Z25,AA25)</f>
        <v/>
      </c>
    </row>
    <row r="26" customFormat="1" s="19">
      <c r="A26" s="32" t="inlineStr">
        <is>
          <t>10.00R20</t>
        </is>
      </c>
      <c r="B26" s="32" t="inlineStr">
        <is>
          <t>18PR</t>
        </is>
      </c>
      <c r="C26" s="32" t="inlineStr">
        <is>
          <t>CR926</t>
        </is>
      </c>
      <c r="D26" s="29" t="inlineStr">
        <is>
          <t>✔</t>
        </is>
      </c>
      <c r="E26" s="28">
        <f>_xlfn.TEXTJOIN("-",TRUE,A26,B26,C26)</f>
        <v/>
      </c>
      <c r="F26" s="32" t="inlineStr">
        <is>
          <t>10.00-20</t>
        </is>
      </c>
      <c r="G26" s="32" t="inlineStr">
        <is>
          <t>18PR</t>
        </is>
      </c>
      <c r="H26" s="32" t="inlineStr">
        <is>
          <t>AB313</t>
        </is>
      </c>
      <c r="I26" s="33" t="inlineStr">
        <is>
          <t>✔</t>
        </is>
      </c>
      <c r="J26" s="19">
        <f>_xlfn.TEXTJOIN("-",TRUE,F26,G26,H26)</f>
        <v/>
      </c>
      <c r="K26" s="30" t="inlineStr">
        <is>
          <t>16.5X6.5-8</t>
        </is>
      </c>
      <c r="L26" s="30" t="inlineStr">
        <is>
          <t>6PR</t>
        </is>
      </c>
      <c r="M26" s="30" t="inlineStr">
        <is>
          <t>SU202</t>
        </is>
      </c>
      <c r="N26" s="31" t="inlineStr">
        <is>
          <t>✔</t>
        </is>
      </c>
      <c r="O26" s="19">
        <f>_xlfn.TEXTJOIN("-",TRUE,K26,L26,M26)</f>
        <v/>
      </c>
      <c r="P26" s="32" t="inlineStr">
        <is>
          <t>27X9-12</t>
        </is>
      </c>
      <c r="Q26" s="32" t="inlineStr">
        <is>
          <t>6PR</t>
        </is>
      </c>
      <c r="R26" s="32" t="inlineStr">
        <is>
          <t>WL6A</t>
        </is>
      </c>
      <c r="S26" s="34" t="inlineStr">
        <is>
          <t>✔</t>
        </is>
      </c>
      <c r="T26" s="19">
        <f>_xlfn.TEXTJOIN("-",TRUE,P26,Q26,R26)</f>
        <v/>
      </c>
      <c r="X26" s="19">
        <f>_xlfn.TEXTJOIN("-",TRUE,T26,U26,V26)</f>
        <v/>
      </c>
      <c r="Y26" s="32" t="inlineStr">
        <is>
          <t>ST215/75R14</t>
        </is>
      </c>
      <c r="Z26" s="32" t="inlineStr">
        <is>
          <t>6PR</t>
        </is>
      </c>
      <c r="AA26" s="32" t="inlineStr">
        <is>
          <t>ST-100</t>
        </is>
      </c>
      <c r="AB26" s="34" t="inlineStr">
        <is>
          <t>✔</t>
        </is>
      </c>
      <c r="AC26" s="19">
        <f>_xlfn.TEXTJOIN("-",TRUE,Y26,Z26,AA26)</f>
        <v/>
      </c>
    </row>
    <row r="27" customFormat="1" s="19">
      <c r="A27" s="32" t="inlineStr">
        <is>
          <t>10.00R20</t>
        </is>
      </c>
      <c r="B27" s="32" t="inlineStr">
        <is>
          <t>18PR</t>
        </is>
      </c>
      <c r="C27" s="32" t="inlineStr">
        <is>
          <t>CM958</t>
        </is>
      </c>
      <c r="D27" s="29" t="inlineStr">
        <is>
          <t>✔</t>
        </is>
      </c>
      <c r="E27" s="28">
        <f>_xlfn.TEXTJOIN("-",TRUE,A27,B27,C27)</f>
        <v/>
      </c>
      <c r="F27" s="32" t="inlineStr">
        <is>
          <t>10.00-20</t>
        </is>
      </c>
      <c r="G27" s="32" t="n"/>
      <c r="H27" s="32" t="inlineStr">
        <is>
          <t>R9037</t>
        </is>
      </c>
      <c r="I27" s="33" t="inlineStr">
        <is>
          <t>✔</t>
        </is>
      </c>
      <c r="J27" s="19">
        <f>_xlfn.TEXTJOIN("-",TRUE,F27,G27,H27)</f>
        <v/>
      </c>
      <c r="K27" s="41" t="inlineStr">
        <is>
          <t>16.5X6.5-8</t>
        </is>
      </c>
      <c r="L27" s="41" t="inlineStr">
        <is>
          <t>6PR</t>
        </is>
      </c>
      <c r="M27" s="36" t="inlineStr">
        <is>
          <t>ZT202</t>
        </is>
      </c>
      <c r="N27" s="42" t="inlineStr">
        <is>
          <t>✔</t>
        </is>
      </c>
      <c r="O27" s="19">
        <f>_xlfn.TEXTJOIN("-",TRUE,K27,L27,M27)</f>
        <v/>
      </c>
      <c r="P27" s="35" t="n"/>
      <c r="Q27" s="35" t="n"/>
      <c r="R27" s="35" t="n"/>
      <c r="S27" s="35" t="n"/>
      <c r="T27" s="19">
        <f>_xlfn.TEXTJOIN("-",TRUE,P27,Q27,R27)</f>
        <v/>
      </c>
      <c r="X27" s="19">
        <f>_xlfn.TEXTJOIN("-",TRUE,T27,U27,V27)</f>
        <v/>
      </c>
      <c r="Y27" s="32" t="inlineStr">
        <is>
          <t>ST215/75R14</t>
        </is>
      </c>
      <c r="Z27" s="32" t="inlineStr">
        <is>
          <t>6PR</t>
        </is>
      </c>
      <c r="AA27" s="32" t="inlineStr">
        <is>
          <t>STZC</t>
        </is>
      </c>
      <c r="AB27" s="34" t="inlineStr">
        <is>
          <t>✔</t>
        </is>
      </c>
      <c r="AC27" s="19">
        <f>_xlfn.TEXTJOIN("-",TRUE,Y27,Z27,AA27)</f>
        <v/>
      </c>
    </row>
    <row r="28" customFormat="1" s="19">
      <c r="A28" s="32" t="inlineStr">
        <is>
          <t>10.00R20</t>
        </is>
      </c>
      <c r="B28" s="32" t="inlineStr">
        <is>
          <t>18PR</t>
        </is>
      </c>
      <c r="C28" s="32" t="inlineStr">
        <is>
          <t>AZ676</t>
        </is>
      </c>
      <c r="D28" s="29" t="inlineStr">
        <is>
          <t>✔</t>
        </is>
      </c>
      <c r="E28" s="28">
        <f>_xlfn.TEXTJOIN("-",TRUE,A28,B28,C28)</f>
        <v/>
      </c>
      <c r="F28" s="32" t="inlineStr">
        <is>
          <t>10.00-20</t>
        </is>
      </c>
      <c r="G28" s="32" t="n"/>
      <c r="H28" s="32" t="inlineStr">
        <is>
          <t>CR952</t>
        </is>
      </c>
      <c r="I28" s="33" t="inlineStr">
        <is>
          <t>✔</t>
        </is>
      </c>
      <c r="J28" s="19">
        <f>_xlfn.TEXTJOIN("-",TRUE,F28,G28,H28)</f>
        <v/>
      </c>
      <c r="K28" s="35" t="n"/>
      <c r="L28" s="35" t="n"/>
      <c r="M28" s="35" t="n"/>
      <c r="N28" s="35" t="n"/>
      <c r="O28" s="19">
        <f>_xlfn.TEXTJOIN("-",TRUE,K28,L28,M28)</f>
        <v/>
      </c>
      <c r="P28" s="32" t="inlineStr">
        <is>
          <t>27X11-12</t>
        </is>
      </c>
      <c r="Q28" s="32" t="inlineStr">
        <is>
          <t>6PR</t>
        </is>
      </c>
      <c r="R28" s="32" t="inlineStr">
        <is>
          <t>WL6A</t>
        </is>
      </c>
      <c r="S28" s="34" t="inlineStr">
        <is>
          <t>✔</t>
        </is>
      </c>
      <c r="T28" s="19">
        <f>_xlfn.TEXTJOIN("-",TRUE,P28,Q28,R28)</f>
        <v/>
      </c>
      <c r="X28" s="19">
        <f>_xlfn.TEXTJOIN("-",TRUE,T28,U28,V28)</f>
        <v/>
      </c>
      <c r="Y28" s="32" t="inlineStr">
        <is>
          <t>ST215/75R14</t>
        </is>
      </c>
      <c r="Z28" s="32" t="inlineStr">
        <is>
          <t>6PR</t>
        </is>
      </c>
      <c r="AA28" s="32" t="inlineStr">
        <is>
          <t>ST-100A</t>
        </is>
      </c>
      <c r="AB28" s="34" t="inlineStr">
        <is>
          <t>✔</t>
        </is>
      </c>
      <c r="AC28" s="19">
        <f>_xlfn.TEXTJOIN("-",TRUE,Y28,Z28,AA28)</f>
        <v/>
      </c>
    </row>
    <row r="29" customFormat="1" s="19">
      <c r="A29" s="32" t="inlineStr">
        <is>
          <t>10.00R20</t>
        </is>
      </c>
      <c r="B29" s="34" t="inlineStr">
        <is>
          <t>16PR</t>
        </is>
      </c>
      <c r="C29" s="34" t="inlineStr">
        <is>
          <t>TKAL Ⅲ</t>
        </is>
      </c>
      <c r="D29" s="29" t="inlineStr">
        <is>
          <t>✔</t>
        </is>
      </c>
      <c r="E29" s="28">
        <f>_xlfn.TEXTJOIN("-",TRUE,A29,B29,C29)</f>
        <v/>
      </c>
      <c r="F29" s="32" t="inlineStr">
        <is>
          <t>10.00-20</t>
        </is>
      </c>
      <c r="G29" s="32" t="inlineStr">
        <is>
          <t>18PR</t>
        </is>
      </c>
      <c r="H29" s="32" t="inlineStr">
        <is>
          <t>CL956</t>
        </is>
      </c>
      <c r="I29" s="33" t="inlineStr">
        <is>
          <t>✔</t>
        </is>
      </c>
      <c r="J29" s="19">
        <f>_xlfn.TEXTJOIN("-",TRUE,F29,G29,H29)</f>
        <v/>
      </c>
      <c r="K29" s="32" t="inlineStr">
        <is>
          <t>18.5X8.5-8</t>
        </is>
      </c>
      <c r="L29" s="32" t="inlineStr">
        <is>
          <t>6PR</t>
        </is>
      </c>
      <c r="M29" s="32" t="inlineStr">
        <is>
          <t>SU202</t>
        </is>
      </c>
      <c r="N29" s="37" t="inlineStr">
        <is>
          <t>✔</t>
        </is>
      </c>
      <c r="O29" s="19">
        <f>_xlfn.TEXTJOIN("-",TRUE,K29,L29,M29)</f>
        <v/>
      </c>
      <c r="P29" s="30" t="n"/>
      <c r="Q29" s="30" t="n"/>
      <c r="R29" s="30" t="n"/>
      <c r="S29" s="31" t="n"/>
      <c r="T29" s="19">
        <f>_xlfn.TEXTJOIN("-",TRUE,P29,Q29,R29)</f>
        <v/>
      </c>
      <c r="X29" s="19">
        <f>_xlfn.TEXTJOIN("-",TRUE,T29,U29,V29)</f>
        <v/>
      </c>
      <c r="Y29" s="32" t="inlineStr">
        <is>
          <t>ST215/75R14</t>
        </is>
      </c>
      <c r="Z29" s="32" t="inlineStr">
        <is>
          <t>6PR</t>
        </is>
      </c>
      <c r="AA29" s="32" t="inlineStr">
        <is>
          <t>DURAHAULER ST</t>
        </is>
      </c>
      <c r="AB29" s="34" t="inlineStr">
        <is>
          <t>✔</t>
        </is>
      </c>
      <c r="AC29" s="19">
        <f>_xlfn.TEXTJOIN("-",TRUE,Y29,Z29,AA29)</f>
        <v/>
      </c>
    </row>
    <row r="30" customFormat="1" s="19">
      <c r="A30" s="32" t="inlineStr">
        <is>
          <t>10.00R20</t>
        </is>
      </c>
      <c r="B30" s="34" t="inlineStr">
        <is>
          <t>16PR</t>
        </is>
      </c>
      <c r="C30" s="32" t="inlineStr">
        <is>
          <t>FOLO.R109</t>
        </is>
      </c>
      <c r="D30" s="29" t="inlineStr">
        <is>
          <t>✔</t>
        </is>
      </c>
      <c r="E30" s="28">
        <f>_xlfn.TEXTJOIN("-",TRUE,A30,B30,C30)</f>
        <v/>
      </c>
      <c r="F30" s="32" t="inlineStr">
        <is>
          <t>10.00-20</t>
        </is>
      </c>
      <c r="G30" s="32" t="inlineStr">
        <is>
          <t>18PR</t>
        </is>
      </c>
      <c r="H30" s="32" t="inlineStr">
        <is>
          <t>CL957</t>
        </is>
      </c>
      <c r="I30" s="33" t="inlineStr">
        <is>
          <t>✔</t>
        </is>
      </c>
      <c r="J30" s="19">
        <f>_xlfn.TEXTJOIN("-",TRUE,F30,G30,H30)</f>
        <v/>
      </c>
      <c r="K30" s="32" t="inlineStr">
        <is>
          <t>18.5X8.5-8</t>
        </is>
      </c>
      <c r="L30" s="32" t="inlineStr">
        <is>
          <t>6PR</t>
        </is>
      </c>
      <c r="M30" s="25" t="inlineStr">
        <is>
          <t>ZT202</t>
        </is>
      </c>
      <c r="N30" s="37" t="inlineStr">
        <is>
          <t>✔</t>
        </is>
      </c>
      <c r="O30" s="19">
        <f>_xlfn.TEXTJOIN("-",TRUE,K30,L30,M30)</f>
        <v/>
      </c>
      <c r="P30" s="35" t="n"/>
      <c r="Q30" s="35" t="n"/>
      <c r="R30" s="35" t="n"/>
      <c r="S30" s="35" t="n"/>
      <c r="T30" s="19">
        <f>_xlfn.TEXTJOIN("-",TRUE,P30,Q30,R30)</f>
        <v/>
      </c>
      <c r="X30" s="19">
        <f>_xlfn.TEXTJOIN("-",TRUE,T30,U30,V30)</f>
        <v/>
      </c>
      <c r="Y30" s="32" t="inlineStr">
        <is>
          <t>ST215/75R14</t>
        </is>
      </c>
      <c r="Z30" s="32" t="inlineStr">
        <is>
          <t>6PR</t>
        </is>
      </c>
      <c r="AA30" s="32" t="inlineStr">
        <is>
          <t>ASSURE ST</t>
        </is>
      </c>
      <c r="AB30" s="34" t="inlineStr">
        <is>
          <t>✔</t>
        </is>
      </c>
      <c r="AC30" s="19">
        <f>_xlfn.TEXTJOIN("-",TRUE,Y30,Z30,AA30)</f>
        <v/>
      </c>
    </row>
    <row r="31" customFormat="1" s="19">
      <c r="A31" s="32" t="inlineStr">
        <is>
          <t>10.00R20</t>
        </is>
      </c>
      <c r="B31" s="34" t="inlineStr">
        <is>
          <t>18PR</t>
        </is>
      </c>
      <c r="C31" s="34" t="inlineStr">
        <is>
          <t>TKAL Ⅲ</t>
        </is>
      </c>
      <c r="D31" s="29" t="inlineStr">
        <is>
          <t>✔</t>
        </is>
      </c>
      <c r="E31" s="28">
        <f>_xlfn.TEXTJOIN("-",TRUE,A31,B31,C31)</f>
        <v/>
      </c>
      <c r="F31" s="36" t="inlineStr">
        <is>
          <t>10.00-20</t>
        </is>
      </c>
      <c r="G31" s="36" t="inlineStr">
        <is>
          <t>14PR</t>
        </is>
      </c>
      <c r="H31" s="36" t="inlineStr">
        <is>
          <t>CR918</t>
        </is>
      </c>
      <c r="I31" s="44" t="inlineStr">
        <is>
          <t>✔</t>
        </is>
      </c>
      <c r="J31" s="19">
        <f>_xlfn.TEXTJOIN("-",TRUE,F31,G31,H31)</f>
        <v/>
      </c>
      <c r="K31" s="32" t="inlineStr">
        <is>
          <t>18.5X8.5-8</t>
        </is>
      </c>
      <c r="L31" s="32" t="inlineStr">
        <is>
          <t>8PR</t>
        </is>
      </c>
      <c r="M31" s="25" t="inlineStr">
        <is>
          <t>SU202</t>
        </is>
      </c>
      <c r="N31" s="34" t="inlineStr">
        <is>
          <t>✔</t>
        </is>
      </c>
      <c r="O31" s="19">
        <f>_xlfn.TEXTJOIN("-",TRUE,K31,L31,M31)</f>
        <v/>
      </c>
      <c r="P31" s="35" t="n"/>
      <c r="Q31" s="35" t="n"/>
      <c r="R31" s="35" t="n"/>
      <c r="S31" s="35" t="n"/>
      <c r="T31" s="19">
        <f>_xlfn.TEXTJOIN("-",TRUE,P31,Q31,R31)</f>
        <v/>
      </c>
      <c r="X31" s="19">
        <f>_xlfn.TEXTJOIN("-",TRUE,T31,U31,V31)</f>
        <v/>
      </c>
      <c r="Y31" s="32" t="inlineStr">
        <is>
          <t>ST215/75R14</t>
        </is>
      </c>
      <c r="Z31" s="32" t="inlineStr">
        <is>
          <t>8PR</t>
        </is>
      </c>
      <c r="AA31" s="32" t="inlineStr">
        <is>
          <t>ST-100</t>
        </is>
      </c>
      <c r="AB31" s="34" t="inlineStr">
        <is>
          <t>✔</t>
        </is>
      </c>
      <c r="AC31" s="19">
        <f>_xlfn.TEXTJOIN("-",TRUE,Y31,Z31,AA31)</f>
        <v/>
      </c>
    </row>
    <row r="32" customFormat="1" s="19">
      <c r="A32" s="32" t="inlineStr">
        <is>
          <t>10.00R20</t>
        </is>
      </c>
      <c r="B32" s="34" t="inlineStr">
        <is>
          <t>18PR</t>
        </is>
      </c>
      <c r="C32" s="32" t="inlineStr">
        <is>
          <t>FOLO.R109</t>
        </is>
      </c>
      <c r="D32" s="29" t="inlineStr">
        <is>
          <t>✔</t>
        </is>
      </c>
      <c r="E32" s="28">
        <f>_xlfn.TEXTJOIN("-",TRUE,A32,B32,C32)</f>
        <v/>
      </c>
      <c r="F32" s="32" t="n"/>
      <c r="G32" s="32" t="n"/>
      <c r="H32" s="32" t="n"/>
      <c r="I32" s="34" t="n"/>
      <c r="J32" s="19">
        <f>_xlfn.TEXTJOIN("-",TRUE,F32,G32,H32)</f>
        <v/>
      </c>
      <c r="K32" s="36" t="inlineStr">
        <is>
          <t>18.5X8.5-8</t>
        </is>
      </c>
      <c r="L32" s="36" t="inlineStr">
        <is>
          <t>8PR</t>
        </is>
      </c>
      <c r="M32" s="45" t="inlineStr">
        <is>
          <t>ZT202</t>
        </is>
      </c>
      <c r="N32" s="34" t="inlineStr">
        <is>
          <t>✔</t>
        </is>
      </c>
      <c r="O32" s="19">
        <f>_xlfn.TEXTJOIN("-",TRUE,K32,L32,M32)</f>
        <v/>
      </c>
      <c r="P32" s="35" t="n"/>
      <c r="Q32" s="35" t="n"/>
      <c r="R32" s="35" t="n"/>
      <c r="S32" s="35" t="n"/>
      <c r="T32" s="19">
        <f>_xlfn.TEXTJOIN("-",TRUE,P32,Q32,R32)</f>
        <v/>
      </c>
      <c r="X32" s="19">
        <f>_xlfn.TEXTJOIN("-",TRUE,T32,U32,V32)</f>
        <v/>
      </c>
      <c r="Y32" s="32" t="inlineStr">
        <is>
          <t>ST215/75R14</t>
        </is>
      </c>
      <c r="Z32" s="32" t="inlineStr">
        <is>
          <t>8PR</t>
        </is>
      </c>
      <c r="AA32" s="32" t="inlineStr">
        <is>
          <t>STZC</t>
        </is>
      </c>
      <c r="AB32" s="34" t="inlineStr">
        <is>
          <t>✔</t>
        </is>
      </c>
      <c r="AC32" s="19">
        <f>_xlfn.TEXTJOIN("-",TRUE,Y32,Z32,AA32)</f>
        <v/>
      </c>
    </row>
    <row r="33" customFormat="1" s="19">
      <c r="A33" s="32" t="inlineStr">
        <is>
          <t>10.00R20</t>
        </is>
      </c>
      <c r="B33" s="32" t="inlineStr">
        <is>
          <t>18PR</t>
        </is>
      </c>
      <c r="C33" s="32" t="inlineStr">
        <is>
          <t>MD758</t>
        </is>
      </c>
      <c r="D33" s="29" t="inlineStr">
        <is>
          <t>✔</t>
        </is>
      </c>
      <c r="E33" s="28">
        <f>_xlfn.TEXTJOIN("-",TRUE,A33,B33,C33)</f>
        <v/>
      </c>
      <c r="F33" s="32" t="inlineStr">
        <is>
          <t>11.00-20</t>
        </is>
      </c>
      <c r="G33" s="32" t="inlineStr">
        <is>
          <t>18PR</t>
        </is>
      </c>
      <c r="H33" s="32" t="inlineStr">
        <is>
          <t>CL969</t>
        </is>
      </c>
      <c r="I33" s="33" t="inlineStr">
        <is>
          <t>✔</t>
        </is>
      </c>
      <c r="J33" s="19">
        <f>_xlfn.TEXTJOIN("-",TRUE,F33,G33,H33)</f>
        <v/>
      </c>
      <c r="K33" s="35" t="n"/>
      <c r="L33" s="35" t="n"/>
      <c r="M33" s="35" t="n"/>
      <c r="N33" s="46" t="n"/>
      <c r="O33" s="19">
        <f>_xlfn.TEXTJOIN("-",TRUE,K33,L33,M33)</f>
        <v/>
      </c>
      <c r="P33" s="35" t="n"/>
      <c r="Q33" s="35" t="n"/>
      <c r="R33" s="35" t="n"/>
      <c r="S33" s="35" t="n"/>
      <c r="T33" s="19">
        <f>_xlfn.TEXTJOIN("-",TRUE,P33,Q33,R33)</f>
        <v/>
      </c>
      <c r="X33" s="19">
        <f>_xlfn.TEXTJOIN("-",TRUE,T33,U33,V33)</f>
        <v/>
      </c>
      <c r="Y33" s="36" t="inlineStr">
        <is>
          <t>ST215/75R14</t>
        </is>
      </c>
      <c r="Z33" s="36" t="inlineStr">
        <is>
          <t>8PR</t>
        </is>
      </c>
      <c r="AA33" s="36" t="inlineStr">
        <is>
          <t>ST-100A</t>
        </is>
      </c>
      <c r="AB33" s="37" t="inlineStr">
        <is>
          <t>✔</t>
        </is>
      </c>
      <c r="AC33" s="19">
        <f>_xlfn.TEXTJOIN("-",TRUE,Y33,Z33,AA33)</f>
        <v/>
      </c>
    </row>
    <row r="34" customFormat="1" s="19">
      <c r="A34" s="32" t="inlineStr">
        <is>
          <t>10.00R20</t>
        </is>
      </c>
      <c r="B34" s="32" t="inlineStr">
        <is>
          <t>18PR</t>
        </is>
      </c>
      <c r="C34" s="32" t="inlineStr">
        <is>
          <t>EZ369</t>
        </is>
      </c>
      <c r="D34" s="29" t="inlineStr">
        <is>
          <t>✔</t>
        </is>
      </c>
      <c r="E34" s="28">
        <f>_xlfn.TEXTJOIN("-",TRUE,A34,B34,C34)</f>
        <v/>
      </c>
      <c r="F34" s="32" t="inlineStr">
        <is>
          <t>11.00-20</t>
        </is>
      </c>
      <c r="G34" s="32" t="inlineStr">
        <is>
          <t>18PR</t>
        </is>
      </c>
      <c r="H34" s="32" t="inlineStr">
        <is>
          <t>AB535</t>
        </is>
      </c>
      <c r="I34" s="33" t="inlineStr">
        <is>
          <t>✔</t>
        </is>
      </c>
      <c r="J34" s="19">
        <f>_xlfn.TEXTJOIN("-",TRUE,F34,G34,H34)</f>
        <v/>
      </c>
      <c r="K34" s="32" t="inlineStr">
        <is>
          <t>20.5X8.0-10</t>
        </is>
      </c>
      <c r="L34" s="32" t="inlineStr">
        <is>
          <t>6PR</t>
        </is>
      </c>
      <c r="M34" s="32" t="inlineStr">
        <is>
          <t>SU202</t>
        </is>
      </c>
      <c r="N34" s="34" t="inlineStr">
        <is>
          <t>✔</t>
        </is>
      </c>
      <c r="O34" s="19">
        <f>_xlfn.TEXTJOIN("-",TRUE,K34,L34,M34)</f>
        <v/>
      </c>
      <c r="T34" s="19">
        <f>_xlfn.TEXTJOIN("-",TRUE,P34,Q34,R34)</f>
        <v/>
      </c>
      <c r="X34" s="19">
        <f>_xlfn.TEXTJOIN("-",TRUE,T34,U34,V34)</f>
        <v/>
      </c>
      <c r="Y34" s="32" t="inlineStr">
        <is>
          <t>ST215/75R14</t>
        </is>
      </c>
      <c r="Z34" s="32" t="inlineStr">
        <is>
          <t>8PR</t>
        </is>
      </c>
      <c r="AA34" s="32" t="inlineStr">
        <is>
          <t>DURAHAULER ST</t>
        </is>
      </c>
      <c r="AB34" s="34" t="inlineStr">
        <is>
          <t>✔</t>
        </is>
      </c>
      <c r="AC34" s="19">
        <f>_xlfn.TEXTJOIN("-",TRUE,Y34,Z34,AA34)</f>
        <v/>
      </c>
    </row>
    <row r="35" customFormat="1" s="19">
      <c r="A35" s="32" t="inlineStr">
        <is>
          <t>10.00R20</t>
        </is>
      </c>
      <c r="B35" s="32" t="inlineStr">
        <is>
          <t>18PR</t>
        </is>
      </c>
      <c r="C35" s="32" t="inlineStr">
        <is>
          <t>TZ303</t>
        </is>
      </c>
      <c r="D35" s="29" t="inlineStr">
        <is>
          <t>✔</t>
        </is>
      </c>
      <c r="E35" s="28">
        <f>_xlfn.TEXTJOIN("-",TRUE,A35,B35,C35)</f>
        <v/>
      </c>
      <c r="F35" s="32" t="inlineStr">
        <is>
          <t>11.00-20</t>
        </is>
      </c>
      <c r="G35" s="32" t="n"/>
      <c r="H35" s="32" t="inlineStr">
        <is>
          <t>CR952</t>
        </is>
      </c>
      <c r="I35" s="34" t="n"/>
      <c r="J35" s="19">
        <f>_xlfn.TEXTJOIN("-",TRUE,F35,G35,H35)</f>
        <v/>
      </c>
      <c r="K35" s="32" t="inlineStr">
        <is>
          <t>20.5X8.0-10</t>
        </is>
      </c>
      <c r="L35" s="32" t="inlineStr">
        <is>
          <t>6PR</t>
        </is>
      </c>
      <c r="M35" s="32" t="inlineStr">
        <is>
          <t>ZT202</t>
        </is>
      </c>
      <c r="N35" s="34" t="inlineStr">
        <is>
          <t>✔</t>
        </is>
      </c>
      <c r="O35" s="19">
        <f>_xlfn.TEXTJOIN("-",TRUE,K35,L35,M35)</f>
        <v/>
      </c>
      <c r="T35" s="19">
        <f>_xlfn.TEXTJOIN("-",TRUE,P35,Q35,R35)</f>
        <v/>
      </c>
      <c r="X35" s="19">
        <f>_xlfn.TEXTJOIN("-",TRUE,T35,U35,V35)</f>
        <v/>
      </c>
      <c r="Y35" s="32" t="inlineStr">
        <is>
          <t>ST215/75R14</t>
        </is>
      </c>
      <c r="Z35" s="32" t="inlineStr">
        <is>
          <t>8PR</t>
        </is>
      </c>
      <c r="AA35" s="32" t="inlineStr">
        <is>
          <t>ASSURE ST</t>
        </is>
      </c>
      <c r="AB35" s="37" t="inlineStr">
        <is>
          <t>✔</t>
        </is>
      </c>
      <c r="AC35" s="19">
        <f>_xlfn.TEXTJOIN("-",TRUE,Y35,Z35,AA35)</f>
        <v/>
      </c>
    </row>
    <row r="36" customFormat="1" s="19">
      <c r="A36" s="32" t="inlineStr">
        <is>
          <t>10.00R20</t>
        </is>
      </c>
      <c r="B36" s="32" t="inlineStr">
        <is>
          <t>18PR</t>
        </is>
      </c>
      <c r="C36" s="32" t="inlineStr">
        <is>
          <t>AZ697</t>
        </is>
      </c>
      <c r="D36" s="29" t="inlineStr">
        <is>
          <t>✔</t>
        </is>
      </c>
      <c r="E36" s="28">
        <f>_xlfn.TEXTJOIN("-",TRUE,A36,B36,C36)</f>
        <v/>
      </c>
      <c r="F36" s="32" t="inlineStr">
        <is>
          <t>11L-15</t>
        </is>
      </c>
      <c r="G36" s="32" t="inlineStr">
        <is>
          <t>12PR</t>
        </is>
      </c>
      <c r="H36" s="32" t="inlineStr">
        <is>
          <t>STRONG GUARD F-3</t>
        </is>
      </c>
      <c r="I36" s="33" t="inlineStr">
        <is>
          <t>✔</t>
        </is>
      </c>
      <c r="J36" s="19">
        <f>_xlfn.TEXTJOIN("-",TRUE,F36,G36,H36)</f>
        <v/>
      </c>
      <c r="K36" s="32" t="inlineStr">
        <is>
          <t>20.5X8.0-10</t>
        </is>
      </c>
      <c r="L36" s="32" t="inlineStr">
        <is>
          <t>8PR</t>
        </is>
      </c>
      <c r="M36" s="32" t="inlineStr">
        <is>
          <t>SU202</t>
        </is>
      </c>
      <c r="N36" s="34" t="inlineStr">
        <is>
          <t>✔</t>
        </is>
      </c>
      <c r="O36" s="19">
        <f>_xlfn.TEXTJOIN("-",TRUE,K36,L36,M36)</f>
        <v/>
      </c>
      <c r="T36" s="19">
        <f>_xlfn.TEXTJOIN("-",TRUE,P36,Q36,R36)</f>
        <v/>
      </c>
      <c r="X36" s="19">
        <f>_xlfn.TEXTJOIN("-",TRUE,T36,U36,V36)</f>
        <v/>
      </c>
      <c r="Y36" s="35" t="n"/>
      <c r="Z36" s="35" t="n"/>
      <c r="AA36" s="35" t="n"/>
      <c r="AB36" s="35" t="n"/>
      <c r="AC36" s="19">
        <f>_xlfn.TEXTJOIN("-",TRUE,Y36,Z36,AA36)</f>
        <v/>
      </c>
    </row>
    <row r="37" customFormat="1" s="19">
      <c r="A37" s="32" t="inlineStr">
        <is>
          <t>10.00R20</t>
        </is>
      </c>
      <c r="B37" s="32" t="inlineStr">
        <is>
          <t>18PR</t>
        </is>
      </c>
      <c r="C37" s="32" t="inlineStr">
        <is>
          <t>CB972</t>
        </is>
      </c>
      <c r="D37" s="29" t="inlineStr">
        <is>
          <t>✔</t>
        </is>
      </c>
      <c r="E37" s="28">
        <f>_xlfn.TEXTJOIN("-",TRUE,A37,B37,C37)</f>
        <v/>
      </c>
      <c r="F37" s="32" t="inlineStr">
        <is>
          <t>11L-16</t>
        </is>
      </c>
      <c r="G37" s="32" t="inlineStr">
        <is>
          <t>12PR</t>
        </is>
      </c>
      <c r="H37" s="32" t="inlineStr">
        <is>
          <t>STRONG GUARD F-3</t>
        </is>
      </c>
      <c r="I37" s="33" t="inlineStr">
        <is>
          <t>✔</t>
        </is>
      </c>
      <c r="J37" s="19">
        <f>_xlfn.TEXTJOIN("-",TRUE,F37,G37,H37)</f>
        <v/>
      </c>
      <c r="K37" s="32" t="inlineStr">
        <is>
          <t>20.5X8.0-10</t>
        </is>
      </c>
      <c r="L37" s="32" t="inlineStr">
        <is>
          <t>8PR</t>
        </is>
      </c>
      <c r="M37" s="32" t="inlineStr">
        <is>
          <t>ZT202</t>
        </is>
      </c>
      <c r="N37" s="34" t="inlineStr">
        <is>
          <t>✔</t>
        </is>
      </c>
      <c r="O37" s="19">
        <f>_xlfn.TEXTJOIN("-",TRUE,K37,L37,M37)</f>
        <v/>
      </c>
      <c r="T37" s="19">
        <f>_xlfn.TEXTJOIN("-",TRUE,P37,Q37,R37)</f>
        <v/>
      </c>
      <c r="X37" s="19">
        <f>_xlfn.TEXTJOIN("-",TRUE,T37,U37,V37)</f>
        <v/>
      </c>
      <c r="Y37" s="32" t="inlineStr">
        <is>
          <t>ST225/75R15</t>
        </is>
      </c>
      <c r="Z37" s="32" t="inlineStr">
        <is>
          <t>8PR</t>
        </is>
      </c>
      <c r="AA37" s="32" t="inlineStr">
        <is>
          <t>ST226</t>
        </is>
      </c>
      <c r="AB37" s="34" t="inlineStr">
        <is>
          <t>✔</t>
        </is>
      </c>
      <c r="AC37" s="19">
        <f>_xlfn.TEXTJOIN("-",TRUE,Y37,Z37,AA37)</f>
        <v/>
      </c>
    </row>
    <row r="38" customFormat="1" s="19">
      <c r="A38" s="32" t="inlineStr">
        <is>
          <t>10.00R20</t>
        </is>
      </c>
      <c r="B38" s="32" t="inlineStr">
        <is>
          <t>18PR</t>
        </is>
      </c>
      <c r="C38" s="32" t="inlineStr">
        <is>
          <t>TZ101</t>
        </is>
      </c>
      <c r="D38" s="29" t="inlineStr">
        <is>
          <t>✔</t>
        </is>
      </c>
      <c r="E38" s="28">
        <f>_xlfn.TEXTJOIN("-",TRUE,A38,B38,C38)</f>
        <v/>
      </c>
      <c r="F38" s="32" t="n"/>
      <c r="G38" s="32" t="n"/>
      <c r="H38" s="32" t="n"/>
      <c r="I38" s="34" t="n"/>
      <c r="J38" s="19">
        <f>_xlfn.TEXTJOIN("-",TRUE,F38,G38,H38)</f>
        <v/>
      </c>
      <c r="K38" s="35" t="n"/>
      <c r="L38" s="35" t="n"/>
      <c r="M38" s="35" t="n"/>
      <c r="N38" s="35" t="n"/>
      <c r="O38" s="19">
        <f>_xlfn.TEXTJOIN("-",TRUE,K38,L38,M38)</f>
        <v/>
      </c>
      <c r="T38" s="19">
        <f>_xlfn.TEXTJOIN("-",TRUE,P38,Q38,R38)</f>
        <v/>
      </c>
      <c r="X38" s="19">
        <f>_xlfn.TEXTJOIN("-",TRUE,T38,U38,V38)</f>
        <v/>
      </c>
      <c r="Y38" s="32" t="inlineStr">
        <is>
          <t>ST225/75R15</t>
        </is>
      </c>
      <c r="Z38" s="32" t="inlineStr">
        <is>
          <t>10PR</t>
        </is>
      </c>
      <c r="AA38" s="32" t="inlineStr">
        <is>
          <t>ST226</t>
        </is>
      </c>
      <c r="AB38" s="34" t="inlineStr">
        <is>
          <t>✔</t>
        </is>
      </c>
      <c r="AC38" s="19">
        <f>_xlfn.TEXTJOIN("-",TRUE,Y38,Z38,AA38)</f>
        <v/>
      </c>
    </row>
    <row r="39" customFormat="1" s="19">
      <c r="A39" s="32" t="inlineStr">
        <is>
          <t>10.00R20</t>
        </is>
      </c>
      <c r="B39" s="32" t="inlineStr">
        <is>
          <t>18PR</t>
        </is>
      </c>
      <c r="C39" s="32" t="inlineStr">
        <is>
          <t>CM913</t>
        </is>
      </c>
      <c r="D39" s="29" t="inlineStr">
        <is>
          <t>✔</t>
        </is>
      </c>
      <c r="E39" s="28">
        <f>_xlfn.TEXTJOIN("-",TRUE,A39,B39,C39)</f>
        <v/>
      </c>
      <c r="F39" s="32" t="inlineStr">
        <is>
          <t>12.00-20</t>
        </is>
      </c>
      <c r="G39" s="32" t="inlineStr">
        <is>
          <t>20PR</t>
        </is>
      </c>
      <c r="H39" s="32" t="inlineStr">
        <is>
          <t>STRONG GUARD LIFT+</t>
        </is>
      </c>
      <c r="I39" s="33" t="inlineStr">
        <is>
          <t>✔</t>
        </is>
      </c>
      <c r="J39" s="19">
        <f>_xlfn.TEXTJOIN("-",TRUE,F39,G39,H39)</f>
        <v/>
      </c>
      <c r="K39" s="32" t="inlineStr">
        <is>
          <t>ST175/80D13</t>
        </is>
      </c>
      <c r="L39" s="32" t="inlineStr">
        <is>
          <t>6PR</t>
        </is>
      </c>
      <c r="M39" s="32" t="inlineStr">
        <is>
          <t>ST600</t>
        </is>
      </c>
      <c r="N39" s="47" t="inlineStr">
        <is>
          <t>✔</t>
        </is>
      </c>
      <c r="O39" s="19">
        <f>_xlfn.TEXTJOIN("-",TRUE,K39,L39,M39)</f>
        <v/>
      </c>
      <c r="T39" s="19">
        <f>_xlfn.TEXTJOIN("-",TRUE,P39,Q39,R39)</f>
        <v/>
      </c>
      <c r="X39" s="19">
        <f>_xlfn.TEXTJOIN("-",TRUE,T39,U39,V39)</f>
        <v/>
      </c>
      <c r="Y39" s="32" t="inlineStr">
        <is>
          <t>ST225/75R15</t>
        </is>
      </c>
      <c r="Z39" s="32" t="inlineStr">
        <is>
          <t>8PR</t>
        </is>
      </c>
      <c r="AA39" s="32" t="inlineStr">
        <is>
          <t>ST100</t>
        </is>
      </c>
      <c r="AB39" s="34" t="inlineStr">
        <is>
          <t>✔</t>
        </is>
      </c>
      <c r="AC39" s="19">
        <f>_xlfn.TEXTJOIN("-",TRUE,Y39,Z39,AA39)</f>
        <v/>
      </c>
    </row>
    <row r="40" customFormat="1" s="19">
      <c r="A40" s="32" t="inlineStr">
        <is>
          <t>10.00R20</t>
        </is>
      </c>
      <c r="B40" s="32" t="inlineStr">
        <is>
          <t>18PR</t>
        </is>
      </c>
      <c r="C40" s="32" t="inlineStr">
        <is>
          <t>AZ850</t>
        </is>
      </c>
      <c r="D40" s="29" t="inlineStr">
        <is>
          <t>✔</t>
        </is>
      </c>
      <c r="E40" s="28">
        <f>_xlfn.TEXTJOIN("-",TRUE,A40,B40,C40)</f>
        <v/>
      </c>
      <c r="F40" s="32" t="inlineStr">
        <is>
          <t>12.00-20</t>
        </is>
      </c>
      <c r="G40" s="32" t="inlineStr">
        <is>
          <t>28PR</t>
        </is>
      </c>
      <c r="H40" s="32" t="inlineStr">
        <is>
          <t>STRONG GUARD LIFT+</t>
        </is>
      </c>
      <c r="I40" s="33" t="inlineStr">
        <is>
          <t>✔</t>
        </is>
      </c>
      <c r="J40" s="19">
        <f>_xlfn.TEXTJOIN("-",TRUE,F40,G40,H40)</f>
        <v/>
      </c>
      <c r="K40" s="32" t="inlineStr">
        <is>
          <t>ST175/80D13</t>
        </is>
      </c>
      <c r="L40" s="32" t="inlineStr">
        <is>
          <t>6PR</t>
        </is>
      </c>
      <c r="M40" s="32" t="inlineStr">
        <is>
          <t>TE898</t>
        </is>
      </c>
      <c r="N40" s="47" t="inlineStr">
        <is>
          <t>✔</t>
        </is>
      </c>
      <c r="O40" s="19">
        <f>_xlfn.TEXTJOIN("-",TRUE,K40,L40,M40)</f>
        <v/>
      </c>
      <c r="T40" s="19">
        <f>_xlfn.TEXTJOIN("-",TRUE,P40,Q40,R40)</f>
        <v/>
      </c>
      <c r="X40" s="19">
        <f>_xlfn.TEXTJOIN("-",TRUE,T40,U40,V40)</f>
        <v/>
      </c>
      <c r="Y40" s="32" t="inlineStr">
        <is>
          <t>ST225/75R15</t>
        </is>
      </c>
      <c r="Z40" s="32" t="inlineStr">
        <is>
          <t>8PR</t>
        </is>
      </c>
      <c r="AA40" s="32" t="inlineStr">
        <is>
          <t>STZC</t>
        </is>
      </c>
      <c r="AB40" s="34" t="inlineStr">
        <is>
          <t>✔</t>
        </is>
      </c>
      <c r="AC40" s="19">
        <f>_xlfn.TEXTJOIN("-",TRUE,Y40,Z40,AA40)</f>
        <v/>
      </c>
    </row>
    <row r="41" customFormat="1" s="19">
      <c r="A41" s="32" t="inlineStr">
        <is>
          <t>10.00R20</t>
        </is>
      </c>
      <c r="B41" s="32" t="inlineStr">
        <is>
          <t>18PR</t>
        </is>
      </c>
      <c r="C41" s="32" t="inlineStr">
        <is>
          <t>CB905</t>
        </is>
      </c>
      <c r="D41" s="29" t="inlineStr">
        <is>
          <t>✔</t>
        </is>
      </c>
      <c r="E41" s="28">
        <f>_xlfn.TEXTJOIN("-",TRUE,A41,B41,C41)</f>
        <v/>
      </c>
      <c r="F41" s="32" t="n"/>
      <c r="G41" s="32" t="n"/>
      <c r="H41" s="32" t="n"/>
      <c r="I41" s="34" t="n"/>
      <c r="J41" s="19">
        <f>_xlfn.TEXTJOIN("-",TRUE,F41,G41,H41)</f>
        <v/>
      </c>
      <c r="K41" s="32" t="inlineStr">
        <is>
          <t>ST175/80D13</t>
        </is>
      </c>
      <c r="L41" s="32" t="inlineStr">
        <is>
          <t>6PR</t>
        </is>
      </c>
      <c r="M41" s="32" t="inlineStr">
        <is>
          <t>RC-101</t>
        </is>
      </c>
      <c r="N41" s="47" t="inlineStr">
        <is>
          <t>✔</t>
        </is>
      </c>
      <c r="O41" s="19">
        <f>_xlfn.TEXTJOIN("-",TRUE,K41,L41,M41)</f>
        <v/>
      </c>
      <c r="T41" s="19">
        <f>_xlfn.TEXTJOIN("-",TRUE,P41,Q41,R41)</f>
        <v/>
      </c>
      <c r="X41" s="19">
        <f>_xlfn.TEXTJOIN("-",TRUE,T41,U41,V41)</f>
        <v/>
      </c>
      <c r="Y41" s="32" t="inlineStr">
        <is>
          <t>ST225/75R15</t>
        </is>
      </c>
      <c r="Z41" s="32" t="inlineStr">
        <is>
          <t>10PR</t>
        </is>
      </c>
      <c r="AA41" s="32" t="inlineStr">
        <is>
          <t>ST100</t>
        </is>
      </c>
      <c r="AB41" s="34" t="inlineStr">
        <is>
          <t>✔</t>
        </is>
      </c>
      <c r="AC41" s="19">
        <f>_xlfn.TEXTJOIN("-",TRUE,Y41,Z41,AA41)</f>
        <v/>
      </c>
    </row>
    <row r="42" customFormat="1" s="19">
      <c r="A42" s="32" t="inlineStr">
        <is>
          <t>10.00R20</t>
        </is>
      </c>
      <c r="B42" s="32" t="inlineStr">
        <is>
          <t>18PR</t>
        </is>
      </c>
      <c r="C42" s="32" t="inlineStr">
        <is>
          <t>CB332</t>
        </is>
      </c>
      <c r="D42" s="29" t="inlineStr">
        <is>
          <t>✔</t>
        </is>
      </c>
      <c r="E42" s="28">
        <f>_xlfn.TEXTJOIN("-",TRUE,A42,B42,C42)</f>
        <v/>
      </c>
      <c r="F42" s="32" t="inlineStr">
        <is>
          <t>13.00-24</t>
        </is>
      </c>
      <c r="G42" s="32" t="inlineStr">
        <is>
          <t>16PR</t>
        </is>
      </c>
      <c r="H42" s="32" t="inlineStr">
        <is>
          <t>STRONG GUARD LG2</t>
        </is>
      </c>
      <c r="I42" s="33" t="inlineStr">
        <is>
          <t>✔</t>
        </is>
      </c>
      <c r="J42" s="19">
        <f>_xlfn.TEXTJOIN("-",TRUE,F42,G42,H42)</f>
        <v/>
      </c>
      <c r="K42" s="32" t="n"/>
      <c r="L42" s="32" t="n"/>
      <c r="M42" s="32" t="n"/>
      <c r="N42" s="35" t="n"/>
      <c r="O42" s="19">
        <f>_xlfn.TEXTJOIN("-",TRUE,K42,L42,M42)</f>
        <v/>
      </c>
      <c r="T42" s="19">
        <f>_xlfn.TEXTJOIN("-",TRUE,P42,Q42,R42)</f>
        <v/>
      </c>
      <c r="X42" s="19">
        <f>_xlfn.TEXTJOIN("-",TRUE,T42,U42,V42)</f>
        <v/>
      </c>
      <c r="Y42" s="32" t="inlineStr">
        <is>
          <t>ST225/75R15</t>
        </is>
      </c>
      <c r="Z42" s="32" t="inlineStr">
        <is>
          <t>10PR</t>
        </is>
      </c>
      <c r="AA42" s="32" t="inlineStr">
        <is>
          <t>STZC</t>
        </is>
      </c>
      <c r="AB42" s="34" t="inlineStr">
        <is>
          <t>✔</t>
        </is>
      </c>
      <c r="AC42" s="19">
        <f>_xlfn.TEXTJOIN("-",TRUE,Y42,Z42,AA42)</f>
        <v/>
      </c>
    </row>
    <row r="43" customFormat="1" s="19">
      <c r="A43" s="32" t="inlineStr">
        <is>
          <t>10.00R20</t>
        </is>
      </c>
      <c r="B43" s="32" t="inlineStr">
        <is>
          <t>18PR</t>
        </is>
      </c>
      <c r="C43" s="32" t="inlineStr">
        <is>
          <t>EZ330</t>
        </is>
      </c>
      <c r="D43" s="29" t="inlineStr">
        <is>
          <t>✔</t>
        </is>
      </c>
      <c r="E43" s="28">
        <f>_xlfn.TEXTJOIN("-",TRUE,A43,B43,C43)</f>
        <v/>
      </c>
      <c r="F43" s="32" t="n"/>
      <c r="G43" s="32" t="n"/>
      <c r="H43" s="32" t="n"/>
      <c r="I43" s="34" t="n"/>
      <c r="J43" s="19">
        <f>_xlfn.TEXTJOIN("-",TRUE,F43,G43,H43)</f>
        <v/>
      </c>
      <c r="K43" s="32" t="inlineStr">
        <is>
          <t>ST205/75D14</t>
        </is>
      </c>
      <c r="L43" s="32" t="inlineStr">
        <is>
          <t>6PR</t>
        </is>
      </c>
      <c r="M43" s="32" t="inlineStr">
        <is>
          <t>H180</t>
        </is>
      </c>
      <c r="N43" s="47" t="inlineStr">
        <is>
          <t>✔</t>
        </is>
      </c>
      <c r="O43" s="19">
        <f>_xlfn.TEXTJOIN("-",TRUE,K43,L43,M43)</f>
        <v/>
      </c>
      <c r="T43" s="19">
        <f>_xlfn.TEXTJOIN("-",TRUE,P43,Q43,R43)</f>
        <v/>
      </c>
      <c r="X43" s="19">
        <f>_xlfn.TEXTJOIN("-",TRUE,T43,U43,V43)</f>
        <v/>
      </c>
      <c r="Y43" s="35" t="n"/>
      <c r="Z43" s="35" t="n"/>
      <c r="AA43" s="35" t="n"/>
      <c r="AB43" s="35" t="n"/>
      <c r="AC43" s="19">
        <f>_xlfn.TEXTJOIN("-",TRUE,Y43,Z43,AA43)</f>
        <v/>
      </c>
    </row>
    <row r="44" customFormat="1" s="19">
      <c r="A44" s="36" t="inlineStr">
        <is>
          <t>10.00R20</t>
        </is>
      </c>
      <c r="B44" s="36" t="inlineStr">
        <is>
          <t>18PR</t>
        </is>
      </c>
      <c r="C44" s="36" t="inlineStr">
        <is>
          <t>CM988</t>
        </is>
      </c>
      <c r="D44" s="48" t="inlineStr">
        <is>
          <t>✔</t>
        </is>
      </c>
      <c r="E44" s="28">
        <f>_xlfn.TEXTJOIN("-",TRUE,A44,B44,C44)</f>
        <v/>
      </c>
      <c r="F44" s="32" t="inlineStr">
        <is>
          <t>14.00-24</t>
        </is>
      </c>
      <c r="G44" s="32" t="inlineStr">
        <is>
          <t>16PR</t>
        </is>
      </c>
      <c r="H44" s="32" t="inlineStr">
        <is>
          <t>TL-100</t>
        </is>
      </c>
      <c r="I44" s="33" t="inlineStr">
        <is>
          <t>✔</t>
        </is>
      </c>
      <c r="J44" s="19">
        <f>_xlfn.TEXTJOIN("-",TRUE,F44,G44,H44)</f>
        <v/>
      </c>
      <c r="K44" s="32" t="inlineStr">
        <is>
          <t>ST205/75D14</t>
        </is>
      </c>
      <c r="L44" s="32" t="inlineStr">
        <is>
          <t>6PR</t>
        </is>
      </c>
      <c r="M44" s="32" t="inlineStr">
        <is>
          <t>ST600</t>
        </is>
      </c>
      <c r="N44" s="47" t="inlineStr">
        <is>
          <t>✔</t>
        </is>
      </c>
      <c r="O44" s="19">
        <f>_xlfn.TEXTJOIN("-",TRUE,K44,L44,M44)</f>
        <v/>
      </c>
      <c r="T44" s="19">
        <f>_xlfn.TEXTJOIN("-",TRUE,P44,Q44,R44)</f>
        <v/>
      </c>
      <c r="X44" s="19">
        <f>_xlfn.TEXTJOIN("-",TRUE,T44,U44,V44)</f>
        <v/>
      </c>
      <c r="Y44" s="32" t="inlineStr">
        <is>
          <t>ST235/80R16</t>
        </is>
      </c>
      <c r="Z44" s="32" t="inlineStr">
        <is>
          <t>10PR</t>
        </is>
      </c>
      <c r="AA44" s="32" t="inlineStr">
        <is>
          <t>ST200</t>
        </is>
      </c>
      <c r="AB44" s="34" t="inlineStr">
        <is>
          <t>✔</t>
        </is>
      </c>
      <c r="AC44" s="19">
        <f>_xlfn.TEXTJOIN("-",TRUE,Y44,Z44,AA44)</f>
        <v/>
      </c>
    </row>
    <row r="45" customFormat="1" s="19">
      <c r="A45" s="32" t="inlineStr">
        <is>
          <t>10.00R20</t>
        </is>
      </c>
      <c r="B45" s="32" t="inlineStr">
        <is>
          <t>18PR</t>
        </is>
      </c>
      <c r="C45" s="32" t="inlineStr">
        <is>
          <t>CM981</t>
        </is>
      </c>
      <c r="D45" s="29" t="inlineStr">
        <is>
          <t>✔</t>
        </is>
      </c>
      <c r="E45" s="28">
        <f>_xlfn.TEXTJOIN("-",TRUE,A45,B45,C45)</f>
        <v/>
      </c>
      <c r="F45" s="32" t="inlineStr">
        <is>
          <t>14.00-24</t>
        </is>
      </c>
      <c r="G45" s="32" t="inlineStr">
        <is>
          <t>16PR</t>
        </is>
      </c>
      <c r="H45" s="32" t="inlineStr">
        <is>
          <t>STRONG GUARD GK-243</t>
        </is>
      </c>
      <c r="I45" s="33" t="inlineStr">
        <is>
          <t>✔</t>
        </is>
      </c>
      <c r="J45" s="19">
        <f>_xlfn.TEXTJOIN("-",TRUE,F45,G45,H45)</f>
        <v/>
      </c>
      <c r="K45" s="32" t="inlineStr">
        <is>
          <t>ST205/75D14</t>
        </is>
      </c>
      <c r="L45" s="32" t="inlineStr">
        <is>
          <t>6PR</t>
        </is>
      </c>
      <c r="M45" s="32" t="inlineStr">
        <is>
          <t>TE898</t>
        </is>
      </c>
      <c r="N45" s="47" t="inlineStr">
        <is>
          <t>✔</t>
        </is>
      </c>
      <c r="O45" s="19">
        <f>_xlfn.TEXTJOIN("-",TRUE,K45,L45,M45)</f>
        <v/>
      </c>
      <c r="T45" s="19">
        <f>_xlfn.TEXTJOIN("-",TRUE,P45,Q45,R45)</f>
        <v/>
      </c>
      <c r="X45" s="19">
        <f>_xlfn.TEXTJOIN("-",TRUE,T45,U45,V45)</f>
        <v/>
      </c>
      <c r="Y45" s="32" t="inlineStr">
        <is>
          <t>ST235/80R16</t>
        </is>
      </c>
      <c r="Z45" s="32" t="inlineStr">
        <is>
          <t>10PR</t>
        </is>
      </c>
      <c r="AA45" s="32" t="inlineStr">
        <is>
          <t>ST226</t>
        </is>
      </c>
      <c r="AB45" s="34" t="inlineStr">
        <is>
          <t>✔</t>
        </is>
      </c>
      <c r="AC45" s="19">
        <f>_xlfn.TEXTJOIN("-",TRUE,Y45,Z45,AA45)</f>
        <v/>
      </c>
    </row>
    <row r="46" customFormat="1" s="19">
      <c r="A46" s="39" t="inlineStr">
        <is>
          <t>10.00R20</t>
        </is>
      </c>
      <c r="B46" s="32" t="inlineStr">
        <is>
          <t>18PR</t>
        </is>
      </c>
      <c r="C46" s="39" t="inlineStr">
        <is>
          <t>TZ202</t>
        </is>
      </c>
      <c r="D46" s="48" t="inlineStr">
        <is>
          <t>✔</t>
        </is>
      </c>
      <c r="E46" s="28">
        <f>_xlfn.TEXTJOIN("-",TRUE,A46,B46,C46)</f>
        <v/>
      </c>
      <c r="F46" s="32" t="inlineStr">
        <is>
          <t>14.00-24</t>
        </is>
      </c>
      <c r="G46" s="32" t="inlineStr">
        <is>
          <t>20PR</t>
        </is>
      </c>
      <c r="H46" s="32" t="inlineStr">
        <is>
          <t>STRONG GUARD G3/L3</t>
        </is>
      </c>
      <c r="I46" s="33" t="inlineStr">
        <is>
          <t>✔</t>
        </is>
      </c>
      <c r="J46" s="19">
        <f>_xlfn.TEXTJOIN("-",TRUE,F46,G46,H46)</f>
        <v/>
      </c>
      <c r="K46" s="32" t="inlineStr">
        <is>
          <t>ST205/75D14</t>
        </is>
      </c>
      <c r="L46" s="32" t="inlineStr">
        <is>
          <t>6PR</t>
        </is>
      </c>
      <c r="M46" s="32" t="inlineStr">
        <is>
          <t>RC-101</t>
        </is>
      </c>
      <c r="N46" s="49" t="inlineStr">
        <is>
          <t>✔</t>
        </is>
      </c>
      <c r="O46" s="19">
        <f>_xlfn.TEXTJOIN("-",TRUE,K46,L46,M46)</f>
        <v/>
      </c>
      <c r="T46" s="19">
        <f>_xlfn.TEXTJOIN("-",TRUE,P46,Q46,R46)</f>
        <v/>
      </c>
      <c r="X46" s="19">
        <f>_xlfn.TEXTJOIN("-",TRUE,T46,U46,V46)</f>
        <v/>
      </c>
      <c r="Y46" s="32" t="inlineStr">
        <is>
          <t>ST235/80R16</t>
        </is>
      </c>
      <c r="Z46" s="32" t="inlineStr">
        <is>
          <t>10PR</t>
        </is>
      </c>
      <c r="AA46" s="32" t="inlineStr">
        <is>
          <t>ST-100</t>
        </is>
      </c>
      <c r="AB46" s="34" t="inlineStr">
        <is>
          <t>✔</t>
        </is>
      </c>
      <c r="AC46" s="19">
        <f>_xlfn.TEXTJOIN("-",TRUE,Y46,Z46,AA46)</f>
        <v/>
      </c>
    </row>
    <row r="47" customFormat="1" s="19">
      <c r="A47" s="50" t="inlineStr">
        <is>
          <t>10.00R20</t>
        </is>
      </c>
      <c r="B47" s="32" t="inlineStr">
        <is>
          <t>18PR</t>
        </is>
      </c>
      <c r="C47" s="51" t="inlineStr">
        <is>
          <t>EZ835</t>
        </is>
      </c>
      <c r="D47" s="29" t="inlineStr">
        <is>
          <t>✔</t>
        </is>
      </c>
      <c r="E47" s="28">
        <f>_xlfn.TEXTJOIN("-",TRUE,A47,B47,C47)</f>
        <v/>
      </c>
      <c r="F47" s="32" t="n"/>
      <c r="G47" s="32" t="n"/>
      <c r="H47" s="32" t="n"/>
      <c r="I47" s="34" t="n"/>
      <c r="J47" s="19">
        <f>_xlfn.TEXTJOIN("-",TRUE,F47,G47,H47)</f>
        <v/>
      </c>
      <c r="K47" s="35" t="n"/>
      <c r="L47" s="35" t="n"/>
      <c r="M47" s="35" t="n"/>
      <c r="N47" s="35" t="n"/>
      <c r="O47" s="19">
        <f>_xlfn.TEXTJOIN("-",TRUE,K47,L47,M47)</f>
        <v/>
      </c>
      <c r="T47" s="19">
        <f>_xlfn.TEXTJOIN("-",TRUE,P47,Q47,R47)</f>
        <v/>
      </c>
      <c r="X47" s="19">
        <f>_xlfn.TEXTJOIN("-",TRUE,T47,U47,V47)</f>
        <v/>
      </c>
      <c r="Y47" s="32" t="inlineStr">
        <is>
          <t>ST235/80R16</t>
        </is>
      </c>
      <c r="Z47" s="32" t="inlineStr">
        <is>
          <t>10PR</t>
        </is>
      </c>
      <c r="AA47" s="32" t="inlineStr">
        <is>
          <t>STZC</t>
        </is>
      </c>
      <c r="AB47" s="34" t="inlineStr">
        <is>
          <t>✔</t>
        </is>
      </c>
      <c r="AC47" s="19">
        <f>_xlfn.TEXTJOIN("-",TRUE,Y47,Z47,AA47)</f>
        <v/>
      </c>
    </row>
    <row r="48" customFormat="1" s="19">
      <c r="A48" s="32" t="inlineStr">
        <is>
          <t>10.00R20</t>
        </is>
      </c>
      <c r="B48" s="34" t="inlineStr">
        <is>
          <t>16PR</t>
        </is>
      </c>
      <c r="C48" s="51" t="inlineStr">
        <is>
          <t>SUPER AM S</t>
        </is>
      </c>
      <c r="D48" s="48" t="inlineStr">
        <is>
          <t>✔</t>
        </is>
      </c>
      <c r="E48" s="28">
        <f>_xlfn.TEXTJOIN("-",TRUE,A48,B48,C48)</f>
        <v/>
      </c>
      <c r="F48" s="32" t="inlineStr">
        <is>
          <t>15.5-25</t>
        </is>
      </c>
      <c r="G48" s="32" t="inlineStr">
        <is>
          <t>12PR</t>
        </is>
      </c>
      <c r="H48" s="32" t="inlineStr">
        <is>
          <t>STRONG GUARD LG2</t>
        </is>
      </c>
      <c r="I48" s="33" t="inlineStr">
        <is>
          <t>✔</t>
        </is>
      </c>
      <c r="J48" s="19">
        <f>_xlfn.TEXTJOIN("-",TRUE,F48,G48,H48)</f>
        <v/>
      </c>
      <c r="K48" s="32" t="inlineStr">
        <is>
          <t>ST205/75D15</t>
        </is>
      </c>
      <c r="L48" s="32" t="inlineStr">
        <is>
          <t>6PR</t>
        </is>
      </c>
      <c r="M48" s="32" t="inlineStr">
        <is>
          <t>H180</t>
        </is>
      </c>
      <c r="N48" s="52" t="inlineStr">
        <is>
          <t>✔</t>
        </is>
      </c>
      <c r="O48" s="19">
        <f>_xlfn.TEXTJOIN("-",TRUE,K48,L48,M48)</f>
        <v/>
      </c>
      <c r="T48" s="19">
        <f>_xlfn.TEXTJOIN("-",TRUE,P48,Q48,R48)</f>
        <v/>
      </c>
      <c r="X48" s="19">
        <f>_xlfn.TEXTJOIN("-",TRUE,T48,U48,V48)</f>
        <v/>
      </c>
      <c r="Y48" s="116" t="n"/>
      <c r="Z48" s="116" t="n"/>
      <c r="AA48" s="116" t="n"/>
      <c r="AB48" s="116" t="n"/>
      <c r="AC48" s="19">
        <f>_xlfn.TEXTJOIN("-",TRUE,Y48,Z48,AA48)</f>
        <v/>
      </c>
    </row>
    <row r="49" customFormat="1" s="19">
      <c r="A49" s="32" t="inlineStr">
        <is>
          <t>10.00R20</t>
        </is>
      </c>
      <c r="B49" s="34" t="inlineStr">
        <is>
          <t>16PR</t>
        </is>
      </c>
      <c r="C49" s="51" t="inlineStr">
        <is>
          <t>MOBY.R856X</t>
        </is>
      </c>
      <c r="D49" s="29" t="inlineStr">
        <is>
          <t>✔</t>
        </is>
      </c>
      <c r="E49" s="28">
        <f>_xlfn.TEXTJOIN("-",TRUE,A49,B49,C49)</f>
        <v/>
      </c>
      <c r="F49" s="32" t="n"/>
      <c r="G49" s="32" t="n"/>
      <c r="H49" s="32" t="n"/>
      <c r="I49" s="34" t="n"/>
      <c r="J49" s="19">
        <f>_xlfn.TEXTJOIN("-",TRUE,F49,G49,H49)</f>
        <v/>
      </c>
      <c r="K49" s="32" t="inlineStr">
        <is>
          <t>ST205/75D15</t>
        </is>
      </c>
      <c r="L49" s="32" t="inlineStr">
        <is>
          <t>6PR</t>
        </is>
      </c>
      <c r="M49" s="32" t="inlineStr">
        <is>
          <t>ST600</t>
        </is>
      </c>
      <c r="N49" s="47" t="inlineStr">
        <is>
          <t>✔</t>
        </is>
      </c>
      <c r="O49" s="19">
        <f>_xlfn.TEXTJOIN("-",TRUE,K49,L49,M49)</f>
        <v/>
      </c>
      <c r="T49" s="19">
        <f>_xlfn.TEXTJOIN("-",TRUE,P49,Q49,R49)</f>
        <v/>
      </c>
      <c r="X49" s="19">
        <f>_xlfn.TEXTJOIN("-",TRUE,T49,U49,V49)</f>
        <v/>
      </c>
      <c r="Y49" s="116" t="n"/>
      <c r="Z49" s="116" t="n"/>
      <c r="AA49" s="116" t="n"/>
      <c r="AB49" s="116" t="n"/>
      <c r="AC49" s="19">
        <f>_xlfn.TEXTJOIN("-",TRUE,Y49,Z49,AA49)</f>
        <v/>
      </c>
    </row>
    <row r="50" customFormat="1" s="19">
      <c r="A50" s="32" t="inlineStr">
        <is>
          <t>10.00R20</t>
        </is>
      </c>
      <c r="B50" s="32" t="inlineStr">
        <is>
          <t>18PR</t>
        </is>
      </c>
      <c r="C50" s="51" t="inlineStr">
        <is>
          <t>SUPER AM S</t>
        </is>
      </c>
      <c r="D50" s="48" t="inlineStr">
        <is>
          <t>✔</t>
        </is>
      </c>
      <c r="E50" s="28">
        <f>_xlfn.TEXTJOIN("-",TRUE,A50,B50,C50)</f>
        <v/>
      </c>
      <c r="F50" s="32" t="inlineStr">
        <is>
          <t>16.9-24</t>
        </is>
      </c>
      <c r="G50" s="32" t="inlineStr">
        <is>
          <t>12PR</t>
        </is>
      </c>
      <c r="H50" s="32" t="inlineStr">
        <is>
          <t>STRONG GUARD XR4</t>
        </is>
      </c>
      <c r="I50" s="33" t="inlineStr">
        <is>
          <t>✔</t>
        </is>
      </c>
      <c r="J50" s="19">
        <f>_xlfn.TEXTJOIN("-",TRUE,F50,G50,H50)</f>
        <v/>
      </c>
      <c r="K50" s="32" t="inlineStr">
        <is>
          <t>ST205/75D15</t>
        </is>
      </c>
      <c r="L50" s="32" t="inlineStr">
        <is>
          <t>6PR</t>
        </is>
      </c>
      <c r="M50" s="32" t="inlineStr">
        <is>
          <t>TE898</t>
        </is>
      </c>
      <c r="N50" s="47" t="inlineStr">
        <is>
          <t>✔</t>
        </is>
      </c>
      <c r="O50" s="19">
        <f>_xlfn.TEXTJOIN("-",TRUE,K50,L50,M50)</f>
        <v/>
      </c>
      <c r="T50" s="19">
        <f>_xlfn.TEXTJOIN("-",TRUE,P50,Q50,R50)</f>
        <v/>
      </c>
      <c r="X50" s="19">
        <f>_xlfn.TEXTJOIN("-",TRUE,T50,U50,V50)</f>
        <v/>
      </c>
      <c r="AC50" s="19">
        <f>_xlfn.TEXTJOIN("-",TRUE,Y50,Z50,AA50)</f>
        <v/>
      </c>
    </row>
    <row r="51" customFormat="1" s="19">
      <c r="A51" s="32" t="inlineStr">
        <is>
          <t>10.00R20</t>
        </is>
      </c>
      <c r="B51" s="32" t="inlineStr">
        <is>
          <t>18PR</t>
        </is>
      </c>
      <c r="C51" s="51" t="inlineStr">
        <is>
          <t>MOBY.R856X</t>
        </is>
      </c>
      <c r="D51" s="29" t="inlineStr">
        <is>
          <t>✔</t>
        </is>
      </c>
      <c r="E51" s="28">
        <f>_xlfn.TEXTJOIN("-",TRUE,A51,B51,C51)</f>
        <v/>
      </c>
      <c r="F51" s="32" t="inlineStr">
        <is>
          <t>16.9-28</t>
        </is>
      </c>
      <c r="G51" s="32" t="inlineStr">
        <is>
          <t>12PR</t>
        </is>
      </c>
      <c r="H51" s="32" t="inlineStr">
        <is>
          <t>STRONG GUARD XR4</t>
        </is>
      </c>
      <c r="I51" s="33" t="inlineStr">
        <is>
          <t>✔</t>
        </is>
      </c>
      <c r="J51" s="19">
        <f>_xlfn.TEXTJOIN("-",TRUE,F51,G51,H51)</f>
        <v/>
      </c>
      <c r="K51" s="32" t="inlineStr">
        <is>
          <t>ST205/75D15</t>
        </is>
      </c>
      <c r="L51" s="32" t="inlineStr">
        <is>
          <t>6PR</t>
        </is>
      </c>
      <c r="M51" s="32" t="inlineStr">
        <is>
          <t>RC-101</t>
        </is>
      </c>
      <c r="N51" s="49" t="inlineStr">
        <is>
          <t>✔</t>
        </is>
      </c>
      <c r="O51" s="19">
        <f>_xlfn.TEXTJOIN("-",TRUE,K51,L51,M51)</f>
        <v/>
      </c>
      <c r="T51" s="19">
        <f>_xlfn.TEXTJOIN("-",TRUE,P51,Q51,R51)</f>
        <v/>
      </c>
      <c r="X51" s="19">
        <f>_xlfn.TEXTJOIN("-",TRUE,T51,U51,V51)</f>
        <v/>
      </c>
      <c r="AC51" s="19">
        <f>_xlfn.TEXTJOIN("-",TRUE,Y51,Z51,AA51)</f>
        <v/>
      </c>
    </row>
    <row r="52" customFormat="1" s="19">
      <c r="A52" s="32" t="inlineStr">
        <is>
          <t>11.00R20</t>
        </is>
      </c>
      <c r="B52" s="32" t="inlineStr">
        <is>
          <t>18PR</t>
        </is>
      </c>
      <c r="C52" s="32" t="inlineStr">
        <is>
          <t>EZ835</t>
        </is>
      </c>
      <c r="D52" s="29" t="inlineStr">
        <is>
          <t>✔</t>
        </is>
      </c>
      <c r="E52" s="28">
        <f>_xlfn.TEXTJOIN("-",TRUE,A52,B52,C52)</f>
        <v/>
      </c>
      <c r="F52" s="32" t="n"/>
      <c r="G52" s="32" t="n"/>
      <c r="H52" s="32" t="n"/>
      <c r="I52" s="34" t="n"/>
      <c r="J52" s="19">
        <f>_xlfn.TEXTJOIN("-",TRUE,F52,G52,H52)</f>
        <v/>
      </c>
      <c r="K52" s="35" t="n"/>
      <c r="L52" s="35" t="n"/>
      <c r="M52" s="35" t="n"/>
      <c r="N52" s="54" t="n"/>
      <c r="O52" s="19">
        <f>_xlfn.TEXTJOIN("-",TRUE,K52,L52,M52)</f>
        <v/>
      </c>
      <c r="T52" s="19">
        <f>_xlfn.TEXTJOIN("-",TRUE,P52,Q52,R52)</f>
        <v/>
      </c>
      <c r="X52" s="19">
        <f>_xlfn.TEXTJOIN("-",TRUE,T52,U52,V52)</f>
        <v/>
      </c>
      <c r="AC52" s="19">
        <f>_xlfn.TEXTJOIN("-",TRUE,Y52,Z52,AA52)</f>
        <v/>
      </c>
    </row>
    <row r="53" customFormat="1" s="19">
      <c r="A53" s="32" t="inlineStr">
        <is>
          <t>11.00R20</t>
        </is>
      </c>
      <c r="B53" s="32" t="inlineStr">
        <is>
          <t>18PR</t>
        </is>
      </c>
      <c r="C53" s="32" t="inlineStr">
        <is>
          <t>AS578</t>
        </is>
      </c>
      <c r="D53" s="29" t="inlineStr">
        <is>
          <t>✔</t>
        </is>
      </c>
      <c r="E53" s="28">
        <f>_xlfn.TEXTJOIN("-",TRUE,A53,B53,C53)</f>
        <v/>
      </c>
      <c r="F53" s="32" t="inlineStr">
        <is>
          <t>17.5L-24</t>
        </is>
      </c>
      <c r="G53" s="32" t="inlineStr">
        <is>
          <t>10PR</t>
        </is>
      </c>
      <c r="H53" s="32" t="inlineStr">
        <is>
          <t>STRONG GUARD XR4</t>
        </is>
      </c>
      <c r="I53" s="33" t="inlineStr">
        <is>
          <t>✔</t>
        </is>
      </c>
      <c r="J53" s="19">
        <f>_xlfn.TEXTJOIN("-",TRUE,F53,G53,H53)</f>
        <v/>
      </c>
      <c r="K53" s="32" t="inlineStr">
        <is>
          <t>ST215/75D14</t>
        </is>
      </c>
      <c r="L53" s="32" t="inlineStr">
        <is>
          <t>6PR</t>
        </is>
      </c>
      <c r="M53" s="32" t="inlineStr">
        <is>
          <t>H180</t>
        </is>
      </c>
      <c r="N53" s="47" t="inlineStr">
        <is>
          <t>✔</t>
        </is>
      </c>
      <c r="O53" s="19">
        <f>_xlfn.TEXTJOIN("-",TRUE,K53,L53,M53)</f>
        <v/>
      </c>
      <c r="T53" s="19">
        <f>_xlfn.TEXTJOIN("-",TRUE,P53,Q53,R53)</f>
        <v/>
      </c>
      <c r="X53" s="19">
        <f>_xlfn.TEXTJOIN("-",TRUE,T53,U53,V53)</f>
        <v/>
      </c>
      <c r="AC53" s="19">
        <f>_xlfn.TEXTJOIN("-",TRUE,Y53,Z53,AA53)</f>
        <v/>
      </c>
    </row>
    <row r="54" customFormat="1" s="19">
      <c r="A54" s="32" t="inlineStr">
        <is>
          <t>11.00R20</t>
        </is>
      </c>
      <c r="B54" s="32" t="inlineStr">
        <is>
          <t>18PR</t>
        </is>
      </c>
      <c r="C54" s="32" t="inlineStr">
        <is>
          <t>AS678</t>
        </is>
      </c>
      <c r="D54" s="29" t="inlineStr">
        <is>
          <t>✔</t>
        </is>
      </c>
      <c r="E54" s="28">
        <f>_xlfn.TEXTJOIN("-",TRUE,A54,B54,C54)</f>
        <v/>
      </c>
      <c r="F54" s="32" t="n"/>
      <c r="G54" s="32" t="n"/>
      <c r="H54" s="32" t="n"/>
      <c r="I54" s="34" t="n"/>
      <c r="J54" s="19">
        <f>_xlfn.TEXTJOIN("-",TRUE,F54,G54,H54)</f>
        <v/>
      </c>
      <c r="K54" s="30" t="n"/>
      <c r="L54" s="30" t="n"/>
      <c r="M54" s="30" t="n"/>
      <c r="N54" s="52" t="n"/>
      <c r="O54" s="19">
        <f>_xlfn.TEXTJOIN("-",TRUE,K54,L54,M54)</f>
        <v/>
      </c>
      <c r="T54" s="19">
        <f>_xlfn.TEXTJOIN("-",TRUE,P54,Q54,R54)</f>
        <v/>
      </c>
      <c r="X54" s="19">
        <f>_xlfn.TEXTJOIN("-",TRUE,T54,U54,V54)</f>
        <v/>
      </c>
      <c r="AC54" s="19">
        <f>_xlfn.TEXTJOIN("-",TRUE,Y54,Z54,AA54)</f>
        <v/>
      </c>
    </row>
    <row r="55" customFormat="1" s="19">
      <c r="A55" s="32" t="inlineStr">
        <is>
          <t>11.00R20</t>
        </is>
      </c>
      <c r="B55" s="32" t="inlineStr">
        <is>
          <t>18PR</t>
        </is>
      </c>
      <c r="C55" s="32" t="inlineStr">
        <is>
          <t>TKAL Ⅲ</t>
        </is>
      </c>
      <c r="D55" s="29" t="inlineStr">
        <is>
          <t>✔</t>
        </is>
      </c>
      <c r="E55" s="28">
        <f>_xlfn.TEXTJOIN("-",TRUE,A55,B55,C55)</f>
        <v/>
      </c>
      <c r="F55" s="32" t="inlineStr">
        <is>
          <t>17.5-25</t>
        </is>
      </c>
      <c r="G55" s="32" t="n"/>
      <c r="H55" s="32" t="inlineStr">
        <is>
          <t>EL36</t>
        </is>
      </c>
      <c r="I55" s="34" t="n"/>
      <c r="J55" s="19">
        <f>_xlfn.TEXTJOIN("-",TRUE,F55,G55,H55)</f>
        <v/>
      </c>
      <c r="K55" s="32" t="inlineStr">
        <is>
          <t>ST225/75D15</t>
        </is>
      </c>
      <c r="L55" s="32" t="inlineStr">
        <is>
          <t>8PR</t>
        </is>
      </c>
      <c r="M55" s="32" t="inlineStr">
        <is>
          <t>ST600</t>
        </is>
      </c>
      <c r="N55" s="47" t="inlineStr">
        <is>
          <t>✔</t>
        </is>
      </c>
      <c r="O55" s="19">
        <f>_xlfn.TEXTJOIN("-",TRUE,K55,L55,M55)</f>
        <v/>
      </c>
      <c r="T55" s="19">
        <f>_xlfn.TEXTJOIN("-",TRUE,P55,Q55,R55)</f>
        <v/>
      </c>
      <c r="X55" s="19">
        <f>_xlfn.TEXTJOIN("-",TRUE,T55,U55,V55)</f>
        <v/>
      </c>
      <c r="AC55" s="19">
        <f>_xlfn.TEXTJOIN("-",TRUE,Y55,Z55,AA55)</f>
        <v/>
      </c>
    </row>
    <row r="56" customFormat="1" s="19">
      <c r="A56" s="32" t="inlineStr">
        <is>
          <t>11.00R20</t>
        </is>
      </c>
      <c r="B56" s="32" t="inlineStr">
        <is>
          <t>18PR</t>
        </is>
      </c>
      <c r="C56" s="32" t="inlineStr">
        <is>
          <t>AT196</t>
        </is>
      </c>
      <c r="D56" s="29" t="inlineStr">
        <is>
          <t>✔</t>
        </is>
      </c>
      <c r="E56" s="28">
        <f>_xlfn.TEXTJOIN("-",TRUE,A56,B56,C56)</f>
        <v/>
      </c>
      <c r="F56" s="32" t="inlineStr">
        <is>
          <t>17.5-25</t>
        </is>
      </c>
      <c r="G56" s="32" t="inlineStr">
        <is>
          <t>12PR</t>
        </is>
      </c>
      <c r="H56" s="32" t="inlineStr">
        <is>
          <t>CL729</t>
        </is>
      </c>
      <c r="I56" s="33" t="inlineStr">
        <is>
          <t>✔</t>
        </is>
      </c>
      <c r="J56" s="19">
        <f>_xlfn.TEXTJOIN("-",TRUE,F56,G56,H56)</f>
        <v/>
      </c>
      <c r="K56" s="32" t="inlineStr">
        <is>
          <t>ST225/75D15</t>
        </is>
      </c>
      <c r="L56" s="32" t="inlineStr">
        <is>
          <t>8PR</t>
        </is>
      </c>
      <c r="M56" s="32" t="inlineStr">
        <is>
          <t>TE898</t>
        </is>
      </c>
      <c r="N56" s="47" t="inlineStr">
        <is>
          <t>✔</t>
        </is>
      </c>
      <c r="O56" s="19">
        <f>_xlfn.TEXTJOIN("-",TRUE,K56,L56,M56)</f>
        <v/>
      </c>
      <c r="T56" s="19">
        <f>_xlfn.TEXTJOIN("-",TRUE,P56,Q56,R56)</f>
        <v/>
      </c>
      <c r="X56" s="19">
        <f>_xlfn.TEXTJOIN("-",TRUE,T56,U56,V56)</f>
        <v/>
      </c>
      <c r="AC56" s="19">
        <f>_xlfn.TEXTJOIN("-",TRUE,Y56,Z56,AA56)</f>
        <v/>
      </c>
    </row>
    <row r="57" customFormat="1" s="19">
      <c r="A57" s="32" t="inlineStr">
        <is>
          <t>11.00R20</t>
        </is>
      </c>
      <c r="B57" s="32" t="inlineStr">
        <is>
          <t>18PR</t>
        </is>
      </c>
      <c r="C57" s="32" t="inlineStr">
        <is>
          <t>CM988</t>
        </is>
      </c>
      <c r="D57" s="29" t="inlineStr">
        <is>
          <t>✔</t>
        </is>
      </c>
      <c r="E57" s="28">
        <f>_xlfn.TEXTJOIN("-",TRUE,A57,B57,C57)</f>
        <v/>
      </c>
      <c r="F57" s="32" t="inlineStr">
        <is>
          <t>17.5-25</t>
        </is>
      </c>
      <c r="G57" s="32" t="inlineStr">
        <is>
          <t>12PR</t>
        </is>
      </c>
      <c r="H57" s="32" t="inlineStr">
        <is>
          <t>STRONG GUARD LG2</t>
        </is>
      </c>
      <c r="I57" s="33" t="inlineStr">
        <is>
          <t>✔</t>
        </is>
      </c>
      <c r="J57" s="19">
        <f>_xlfn.TEXTJOIN("-",TRUE,F57,G57,H57)</f>
        <v/>
      </c>
      <c r="K57" s="36" t="inlineStr">
        <is>
          <t>ST225/75D15</t>
        </is>
      </c>
      <c r="L57" s="36" t="inlineStr">
        <is>
          <t>8PR</t>
        </is>
      </c>
      <c r="M57" s="36" t="inlineStr">
        <is>
          <t>RC-101</t>
        </is>
      </c>
      <c r="N57" s="49" t="inlineStr">
        <is>
          <t>✔</t>
        </is>
      </c>
      <c r="O57" s="19">
        <f>_xlfn.TEXTJOIN("-",TRUE,K57,L57,M57)</f>
        <v/>
      </c>
      <c r="T57" s="19">
        <f>_xlfn.TEXTJOIN("-",TRUE,P57,Q57,R57)</f>
        <v/>
      </c>
      <c r="X57" s="19">
        <f>_xlfn.TEXTJOIN("-",TRUE,T57,U57,V57)</f>
        <v/>
      </c>
      <c r="AC57" s="19">
        <f>_xlfn.TEXTJOIN("-",TRUE,Y57,Z57,AA57)</f>
        <v/>
      </c>
    </row>
    <row r="58" customFormat="1" s="19">
      <c r="A58" s="32" t="inlineStr">
        <is>
          <t>11.00R20</t>
        </is>
      </c>
      <c r="B58" s="32" t="inlineStr">
        <is>
          <t>18PR</t>
        </is>
      </c>
      <c r="C58" s="32" t="inlineStr">
        <is>
          <t>CB972</t>
        </is>
      </c>
      <c r="D58" s="29" t="inlineStr">
        <is>
          <t>✔</t>
        </is>
      </c>
      <c r="E58" s="28">
        <f>_xlfn.TEXTJOIN("-",TRUE,A58,B58,C58)</f>
        <v/>
      </c>
      <c r="F58" s="32" t="inlineStr">
        <is>
          <t>17.5L-24</t>
        </is>
      </c>
      <c r="G58" s="32" t="inlineStr">
        <is>
          <t>10PR</t>
        </is>
      </c>
      <c r="H58" s="32" t="inlineStr">
        <is>
          <t>STRONG GUARD XR4</t>
        </is>
      </c>
      <c r="I58" s="33" t="inlineStr">
        <is>
          <t>✔</t>
        </is>
      </c>
      <c r="J58" s="19">
        <f>_xlfn.TEXTJOIN("-",TRUE,F58,G58,H58)</f>
        <v/>
      </c>
      <c r="K58" s="32" t="n"/>
      <c r="L58" s="32" t="n"/>
      <c r="M58" s="32" t="n"/>
      <c r="N58" s="34" t="n"/>
      <c r="O58" s="19">
        <f>_xlfn.TEXTJOIN("-",TRUE,K58,L58,M58)</f>
        <v/>
      </c>
      <c r="T58" s="19">
        <f>_xlfn.TEXTJOIN("-",TRUE,P58,Q58,R58)</f>
        <v/>
      </c>
      <c r="X58" s="19">
        <f>_xlfn.TEXTJOIN("-",TRUE,T58,U58,V58)</f>
        <v/>
      </c>
      <c r="AC58" s="19">
        <f>_xlfn.TEXTJOIN("-",TRUE,Y58,Z58,AA58)</f>
        <v/>
      </c>
    </row>
    <row r="59" customFormat="1" s="19">
      <c r="A59" s="32" t="inlineStr">
        <is>
          <t>11.00R20</t>
        </is>
      </c>
      <c r="B59" s="32" t="inlineStr">
        <is>
          <t>18PR</t>
        </is>
      </c>
      <c r="C59" s="32" t="inlineStr">
        <is>
          <t>AZ850</t>
        </is>
      </c>
      <c r="D59" s="29" t="inlineStr">
        <is>
          <t>✔</t>
        </is>
      </c>
      <c r="E59" s="28">
        <f>_xlfn.TEXTJOIN("-",TRUE,A59,B59,C59)</f>
        <v/>
      </c>
      <c r="F59" s="32" t="n"/>
      <c r="G59" s="32" t="n"/>
      <c r="H59" s="32" t="n"/>
      <c r="I59" s="34" t="n"/>
      <c r="J59" s="19">
        <f>_xlfn.TEXTJOIN("-",TRUE,F59,G59,H59)</f>
        <v/>
      </c>
      <c r="K59" s="32" t="n"/>
      <c r="L59" s="32" t="n"/>
      <c r="M59" s="32" t="n"/>
      <c r="N59" s="34" t="n"/>
      <c r="O59" s="19">
        <f>_xlfn.TEXTJOIN("-",TRUE,K59,L59,M59)</f>
        <v/>
      </c>
      <c r="T59" s="19">
        <f>_xlfn.TEXTJOIN("-",TRUE,P59,Q59,R59)</f>
        <v/>
      </c>
      <c r="X59" s="19">
        <f>_xlfn.TEXTJOIN("-",TRUE,T59,U59,V59)</f>
        <v/>
      </c>
      <c r="AC59" s="19">
        <f>_xlfn.TEXTJOIN("-",TRUE,Y59,Z59,AA59)</f>
        <v/>
      </c>
    </row>
    <row r="60" customFormat="1" s="19">
      <c r="A60" s="32" t="inlineStr">
        <is>
          <t>11.00R20</t>
        </is>
      </c>
      <c r="B60" s="32" t="inlineStr">
        <is>
          <t>20PR</t>
        </is>
      </c>
      <c r="C60" s="32" t="inlineStr">
        <is>
          <t>AZ850</t>
        </is>
      </c>
      <c r="D60" s="29" t="inlineStr">
        <is>
          <t>✔</t>
        </is>
      </c>
      <c r="E60" s="28">
        <f>_xlfn.TEXTJOIN("-",TRUE,A60,B60,C60)</f>
        <v/>
      </c>
      <c r="F60" s="32" t="inlineStr">
        <is>
          <t>23.5-25</t>
        </is>
      </c>
      <c r="G60" s="32" t="inlineStr">
        <is>
          <t>16PR</t>
        </is>
      </c>
      <c r="H60" s="32" t="inlineStr">
        <is>
          <t>EL36</t>
        </is>
      </c>
      <c r="I60" s="33" t="inlineStr">
        <is>
          <t>✔</t>
        </is>
      </c>
      <c r="J60" s="19">
        <f>_xlfn.TEXTJOIN("-",TRUE,F60,G60,H60)</f>
        <v/>
      </c>
      <c r="K60" s="32" t="n"/>
      <c r="L60" s="32" t="n"/>
      <c r="M60" s="32" t="n"/>
      <c r="N60" s="34" t="n"/>
      <c r="O60" s="19">
        <f>_xlfn.TEXTJOIN("-",TRUE,K60,L60,M60)</f>
        <v/>
      </c>
      <c r="T60" s="19">
        <f>_xlfn.TEXTJOIN("-",TRUE,P60,Q60,R60)</f>
        <v/>
      </c>
      <c r="X60" s="19">
        <f>_xlfn.TEXTJOIN("-",TRUE,T60,U60,V60)</f>
        <v/>
      </c>
      <c r="AC60" s="19">
        <f>_xlfn.TEXTJOIN("-",TRUE,Y60,Z60,AA60)</f>
        <v/>
      </c>
    </row>
    <row r="61" customFormat="1" s="19">
      <c r="A61" s="32" t="inlineStr">
        <is>
          <t>11.00R20</t>
        </is>
      </c>
      <c r="B61" s="32" t="inlineStr">
        <is>
          <t>18PR</t>
        </is>
      </c>
      <c r="C61" s="32" t="inlineStr">
        <is>
          <t>CR926+</t>
        </is>
      </c>
      <c r="D61" s="29" t="inlineStr">
        <is>
          <t>✔</t>
        </is>
      </c>
      <c r="E61" s="28">
        <f>_xlfn.TEXTJOIN("-",TRUE,A61,B61,C61)</f>
        <v/>
      </c>
      <c r="F61" s="32" t="inlineStr">
        <is>
          <t>23.5-25</t>
        </is>
      </c>
      <c r="G61" s="32" t="n"/>
      <c r="H61" s="32" t="inlineStr">
        <is>
          <t>CL729</t>
        </is>
      </c>
      <c r="I61" s="34" t="n"/>
      <c r="J61" s="19">
        <f>_xlfn.TEXTJOIN("-",TRUE,F61,G61,H61)</f>
        <v/>
      </c>
      <c r="O61" s="19">
        <f>_xlfn.TEXTJOIN("-",TRUE,K61,L61,M61)</f>
        <v/>
      </c>
      <c r="T61" s="19">
        <f>_xlfn.TEXTJOIN("-",TRUE,P61,Q61,R61)</f>
        <v/>
      </c>
      <c r="X61" s="19">
        <f>_xlfn.TEXTJOIN("-",TRUE,T61,U61,V61)</f>
        <v/>
      </c>
      <c r="AC61" s="19">
        <f>_xlfn.TEXTJOIN("-",TRUE,Y61,Z61,AA61)</f>
        <v/>
      </c>
    </row>
    <row r="62" customFormat="1" s="19">
      <c r="A62" s="32" t="inlineStr">
        <is>
          <t>11.00R20</t>
        </is>
      </c>
      <c r="B62" s="32" t="inlineStr">
        <is>
          <t>18PR</t>
        </is>
      </c>
      <c r="C62" s="32" t="inlineStr">
        <is>
          <t>EZ330A</t>
        </is>
      </c>
      <c r="D62" s="29" t="inlineStr">
        <is>
          <t>✔</t>
        </is>
      </c>
      <c r="E62" s="28">
        <f>_xlfn.TEXTJOIN("-",TRUE,A62,B62,C62)</f>
        <v/>
      </c>
      <c r="F62" s="32" t="inlineStr">
        <is>
          <t>23.5-25</t>
        </is>
      </c>
      <c r="G62" s="32" t="inlineStr">
        <is>
          <t>24PR</t>
        </is>
      </c>
      <c r="H62" s="32" t="inlineStr">
        <is>
          <t>EL36A</t>
        </is>
      </c>
      <c r="I62" s="33" t="inlineStr">
        <is>
          <t>✔</t>
        </is>
      </c>
      <c r="J62" s="19">
        <f>_xlfn.TEXTJOIN("-",TRUE,F62,G62,H62)</f>
        <v/>
      </c>
      <c r="O62" s="19">
        <f>_xlfn.TEXTJOIN("-",TRUE,K62,L62,M62)</f>
        <v/>
      </c>
      <c r="T62" s="19">
        <f>_xlfn.TEXTJOIN("-",TRUE,P62,Q62,R62)</f>
        <v/>
      </c>
      <c r="X62" s="19">
        <f>_xlfn.TEXTJOIN("-",TRUE,T62,U62,V62)</f>
        <v/>
      </c>
      <c r="AC62" s="19">
        <f>_xlfn.TEXTJOIN("-",TRUE,Y62,Z62,AA62)</f>
        <v/>
      </c>
    </row>
    <row r="63" customFormat="1" s="19">
      <c r="A63" s="32" t="inlineStr">
        <is>
          <t>11.00R20</t>
        </is>
      </c>
      <c r="B63" s="32" t="inlineStr">
        <is>
          <t>18PR</t>
        </is>
      </c>
      <c r="C63" s="32" t="inlineStr">
        <is>
          <t>CB332A</t>
        </is>
      </c>
      <c r="D63" s="29" t="inlineStr">
        <is>
          <t>✔</t>
        </is>
      </c>
      <c r="E63" s="28">
        <f>_xlfn.TEXTJOIN("-",TRUE,A63,B63,C63)</f>
        <v/>
      </c>
      <c r="F63" s="32" t="inlineStr">
        <is>
          <t>23.5-25</t>
        </is>
      </c>
      <c r="G63" s="32" t="inlineStr">
        <is>
          <t>24PR</t>
        </is>
      </c>
      <c r="H63" s="32" t="inlineStr">
        <is>
          <t>DF60</t>
        </is>
      </c>
      <c r="I63" s="33" t="inlineStr">
        <is>
          <t>✔</t>
        </is>
      </c>
      <c r="J63" s="19">
        <f>_xlfn.TEXTJOIN("-",TRUE,F63,G63,H63)</f>
        <v/>
      </c>
      <c r="O63" s="19">
        <f>_xlfn.TEXTJOIN("-",TRUE,K63,L63,M63)</f>
        <v/>
      </c>
      <c r="T63" s="19">
        <f>_xlfn.TEXTJOIN("-",TRUE,P63,Q63,R63)</f>
        <v/>
      </c>
      <c r="X63" s="19">
        <f>_xlfn.TEXTJOIN("-",TRUE,T63,U63,V63)</f>
        <v/>
      </c>
      <c r="AC63" s="19">
        <f>_xlfn.TEXTJOIN("-",TRUE,Y63,Z63,AA63)</f>
        <v/>
      </c>
    </row>
    <row r="64" customFormat="1" s="19">
      <c r="A64" s="32" t="inlineStr">
        <is>
          <t>11.00R20</t>
        </is>
      </c>
      <c r="B64" s="32" t="inlineStr">
        <is>
          <t>18PR</t>
        </is>
      </c>
      <c r="C64" s="32" t="inlineStr">
        <is>
          <t>CB905A</t>
        </is>
      </c>
      <c r="D64" s="29" t="inlineStr">
        <is>
          <t>✔</t>
        </is>
      </c>
      <c r="E64" s="28">
        <f>_xlfn.TEXTJOIN("-",TRUE,A64,B64,C64)</f>
        <v/>
      </c>
      <c r="F64" s="32" t="inlineStr">
        <is>
          <t>23.5-25</t>
        </is>
      </c>
      <c r="G64" s="32" t="inlineStr">
        <is>
          <t>16PR</t>
        </is>
      </c>
      <c r="H64" s="32" t="inlineStr">
        <is>
          <t>EL37</t>
        </is>
      </c>
      <c r="I64" s="33" t="inlineStr">
        <is>
          <t>✔</t>
        </is>
      </c>
      <c r="J64" s="19">
        <f>_xlfn.TEXTJOIN("-",TRUE,F64,G64,H64)</f>
        <v/>
      </c>
      <c r="O64" s="19">
        <f>_xlfn.TEXTJOIN("-",TRUE,K64,L64,M64)</f>
        <v/>
      </c>
      <c r="T64" s="19">
        <f>_xlfn.TEXTJOIN("-",TRUE,P64,Q64,R64)</f>
        <v/>
      </c>
      <c r="X64" s="19">
        <f>_xlfn.TEXTJOIN("-",TRUE,T64,U64,V64)</f>
        <v/>
      </c>
      <c r="AC64" s="19">
        <f>_xlfn.TEXTJOIN("-",TRUE,Y64,Z64,AA64)</f>
        <v/>
      </c>
    </row>
    <row r="65" customFormat="1" s="19">
      <c r="A65" s="32" t="inlineStr">
        <is>
          <t>11.00R20</t>
        </is>
      </c>
      <c r="B65" s="32" t="inlineStr">
        <is>
          <t>20PR</t>
        </is>
      </c>
      <c r="C65" s="32" t="inlineStr">
        <is>
          <t>EZ330A</t>
        </is>
      </c>
      <c r="D65" s="29" t="inlineStr">
        <is>
          <t>✔</t>
        </is>
      </c>
      <c r="E65" s="28">
        <f>_xlfn.TEXTJOIN("-",TRUE,A65,B65,C65)</f>
        <v/>
      </c>
      <c r="F65" s="32" t="inlineStr">
        <is>
          <t>23.5-25</t>
        </is>
      </c>
      <c r="G65" s="32" t="inlineStr">
        <is>
          <t>16PR</t>
        </is>
      </c>
      <c r="H65" s="32" t="inlineStr">
        <is>
          <t>T317</t>
        </is>
      </c>
      <c r="I65" s="33" t="inlineStr">
        <is>
          <t>✔</t>
        </is>
      </c>
      <c r="J65" s="19">
        <f>_xlfn.TEXTJOIN("-",TRUE,F65,G65,H65)</f>
        <v/>
      </c>
      <c r="O65" s="19">
        <f>_xlfn.TEXTJOIN("-",TRUE,K65,L65,M65)</f>
        <v/>
      </c>
      <c r="T65" s="19">
        <f>_xlfn.TEXTJOIN("-",TRUE,P65,Q65,R65)</f>
        <v/>
      </c>
      <c r="X65" s="19">
        <f>_xlfn.TEXTJOIN("-",TRUE,T65,U65,V65)</f>
        <v/>
      </c>
      <c r="AC65" s="19">
        <f>_xlfn.TEXTJOIN("-",TRUE,Y65,Z65,AA65)</f>
        <v/>
      </c>
    </row>
    <row r="66" customFormat="1" s="19">
      <c r="A66" s="32" t="inlineStr">
        <is>
          <t>11.00R20</t>
        </is>
      </c>
      <c r="B66" s="32" t="inlineStr">
        <is>
          <t>20PR</t>
        </is>
      </c>
      <c r="C66" s="32" t="inlineStr">
        <is>
          <t>CB332A</t>
        </is>
      </c>
      <c r="D66" s="29" t="inlineStr">
        <is>
          <t>✔</t>
        </is>
      </c>
      <c r="E66" s="28">
        <f>_xlfn.TEXTJOIN("-",TRUE,A66,B66,C66)</f>
        <v/>
      </c>
      <c r="F66" s="32" t="inlineStr">
        <is>
          <t>23.5-25</t>
        </is>
      </c>
      <c r="G66" s="32" t="inlineStr">
        <is>
          <t>20PR</t>
        </is>
      </c>
      <c r="H66" s="32" t="inlineStr">
        <is>
          <t>EL37</t>
        </is>
      </c>
      <c r="I66" s="33" t="inlineStr">
        <is>
          <t>✔</t>
        </is>
      </c>
      <c r="J66" s="19">
        <f>_xlfn.TEXTJOIN("-",TRUE,F66,G66,H66)</f>
        <v/>
      </c>
      <c r="O66" s="19">
        <f>_xlfn.TEXTJOIN("-",TRUE,K66,L66,M66)</f>
        <v/>
      </c>
      <c r="T66" s="19">
        <f>_xlfn.TEXTJOIN("-",TRUE,P66,Q66,R66)</f>
        <v/>
      </c>
      <c r="X66" s="19">
        <f>_xlfn.TEXTJOIN("-",TRUE,T66,U66,V66)</f>
        <v/>
      </c>
      <c r="AC66" s="19">
        <f>_xlfn.TEXTJOIN("-",TRUE,Y66,Z66,AA66)</f>
        <v/>
      </c>
    </row>
    <row r="67" customFormat="1" s="19">
      <c r="A67" s="32" t="inlineStr">
        <is>
          <t>11.00R20</t>
        </is>
      </c>
      <c r="B67" s="32" t="inlineStr">
        <is>
          <t>20PR</t>
        </is>
      </c>
      <c r="C67" s="32" t="inlineStr">
        <is>
          <t>CB905A</t>
        </is>
      </c>
      <c r="D67" s="29" t="inlineStr">
        <is>
          <t>✔</t>
        </is>
      </c>
      <c r="E67" s="28">
        <f>_xlfn.TEXTJOIN("-",TRUE,A67,B67,C67)</f>
        <v/>
      </c>
      <c r="F67" s="32" t="inlineStr">
        <is>
          <t>23.5-25</t>
        </is>
      </c>
      <c r="G67" s="32" t="inlineStr">
        <is>
          <t>20PR</t>
        </is>
      </c>
      <c r="H67" s="32" t="inlineStr">
        <is>
          <t>T317</t>
        </is>
      </c>
      <c r="I67" s="33" t="inlineStr">
        <is>
          <t>✔</t>
        </is>
      </c>
      <c r="J67" s="19">
        <f>_xlfn.TEXTJOIN("-",TRUE,F67,G67,H67)</f>
        <v/>
      </c>
      <c r="O67" s="19">
        <f>_xlfn.TEXTJOIN("-",TRUE,K67,L67,M67)</f>
        <v/>
      </c>
      <c r="T67" s="19">
        <f>_xlfn.TEXTJOIN("-",TRUE,P67,Q67,R67)</f>
        <v/>
      </c>
      <c r="X67" s="19">
        <f>_xlfn.TEXTJOIN("-",TRUE,T67,U67,V67)</f>
        <v/>
      </c>
      <c r="AC67" s="19">
        <f>_xlfn.TEXTJOIN("-",TRUE,Y67,Z67,AA67)</f>
        <v/>
      </c>
    </row>
    <row r="68" customFormat="1" s="19">
      <c r="A68" s="32" t="inlineStr">
        <is>
          <t>11.00R20</t>
        </is>
      </c>
      <c r="B68" s="32" t="inlineStr">
        <is>
          <t>18PR</t>
        </is>
      </c>
      <c r="C68" s="32" t="inlineStr">
        <is>
          <t>AZ676</t>
        </is>
      </c>
      <c r="D68" s="29" t="inlineStr">
        <is>
          <t>✔</t>
        </is>
      </c>
      <c r="E68" s="28">
        <f>_xlfn.TEXTJOIN("-",TRUE,A68,B68,C68)</f>
        <v/>
      </c>
      <c r="F68" s="32" t="inlineStr">
        <is>
          <t>23.5-25</t>
        </is>
      </c>
      <c r="G68" s="32" t="inlineStr">
        <is>
          <t>24PR</t>
        </is>
      </c>
      <c r="H68" s="32" t="inlineStr">
        <is>
          <t>EL37</t>
        </is>
      </c>
      <c r="I68" s="33" t="inlineStr">
        <is>
          <t>✔</t>
        </is>
      </c>
      <c r="J68" s="19">
        <f>_xlfn.TEXTJOIN("-",TRUE,F68,G68,H68)</f>
        <v/>
      </c>
      <c r="O68" s="19">
        <f>_xlfn.TEXTJOIN("-",TRUE,K68,L68,M68)</f>
        <v/>
      </c>
      <c r="T68" s="19">
        <f>_xlfn.TEXTJOIN("-",TRUE,P68,Q68,R68)</f>
        <v/>
      </c>
      <c r="X68" s="19">
        <f>_xlfn.TEXTJOIN("-",TRUE,T68,U68,V68)</f>
        <v/>
      </c>
      <c r="AC68" s="19">
        <f>_xlfn.TEXTJOIN("-",TRUE,Y68,Z68,AA68)</f>
        <v/>
      </c>
    </row>
    <row r="69" customFormat="1" s="19">
      <c r="A69" s="32" t="inlineStr">
        <is>
          <t>11.00R20</t>
        </is>
      </c>
      <c r="B69" s="32" t="inlineStr">
        <is>
          <t>18PR</t>
        </is>
      </c>
      <c r="C69" s="32" t="inlineStr">
        <is>
          <t>EZ369</t>
        </is>
      </c>
      <c r="D69" s="29" t="inlineStr">
        <is>
          <t>✔</t>
        </is>
      </c>
      <c r="E69" s="28">
        <f>_xlfn.TEXTJOIN("-",TRUE,A69,B69,C69)</f>
        <v/>
      </c>
      <c r="F69" s="32" t="inlineStr">
        <is>
          <t>23.5-25</t>
        </is>
      </c>
      <c r="G69" s="32" t="inlineStr">
        <is>
          <t>24PR</t>
        </is>
      </c>
      <c r="H69" s="32" t="inlineStr">
        <is>
          <t>T317</t>
        </is>
      </c>
      <c r="I69" s="33" t="inlineStr">
        <is>
          <t>✔</t>
        </is>
      </c>
      <c r="J69" s="19">
        <f>_xlfn.TEXTJOIN("-",TRUE,F69,G69,H69)</f>
        <v/>
      </c>
      <c r="O69" s="19">
        <f>_xlfn.TEXTJOIN("-",TRUE,K69,L69,M69)</f>
        <v/>
      </c>
      <c r="T69" s="19">
        <f>_xlfn.TEXTJOIN("-",TRUE,P69,Q69,R69)</f>
        <v/>
      </c>
      <c r="X69" s="19">
        <f>_xlfn.TEXTJOIN("-",TRUE,T69,U69,V69)</f>
        <v/>
      </c>
      <c r="AC69" s="19">
        <f>_xlfn.TEXTJOIN("-",TRUE,Y69,Z69,AA69)</f>
        <v/>
      </c>
    </row>
    <row r="70" customFormat="1" s="19">
      <c r="A70" s="32" t="inlineStr">
        <is>
          <t>11.00R20</t>
        </is>
      </c>
      <c r="B70" s="32" t="inlineStr">
        <is>
          <t>18PR</t>
        </is>
      </c>
      <c r="C70" s="32" t="inlineStr">
        <is>
          <t>EZ336</t>
        </is>
      </c>
      <c r="D70" s="29" t="inlineStr">
        <is>
          <t>✔</t>
        </is>
      </c>
      <c r="E70" s="28">
        <f>_xlfn.TEXTJOIN("-",TRUE,A70,B70,C70)</f>
        <v/>
      </c>
      <c r="F70" s="32" t="inlineStr">
        <is>
          <t>23.5-25</t>
        </is>
      </c>
      <c r="G70" s="32" t="inlineStr">
        <is>
          <t>24PR</t>
        </is>
      </c>
      <c r="H70" s="32" t="inlineStr">
        <is>
          <t>EL36</t>
        </is>
      </c>
      <c r="I70" s="33" t="inlineStr">
        <is>
          <t>✔</t>
        </is>
      </c>
      <c r="J70" s="19">
        <f>_xlfn.TEXTJOIN("-",TRUE,F70,G70,H70)</f>
        <v/>
      </c>
      <c r="O70" s="19">
        <f>_xlfn.TEXTJOIN("-",TRUE,K70,L70,M70)</f>
        <v/>
      </c>
      <c r="T70" s="19">
        <f>_xlfn.TEXTJOIN("-",TRUE,P70,Q70,R70)</f>
        <v/>
      </c>
      <c r="X70" s="19">
        <f>_xlfn.TEXTJOIN("-",TRUE,T70,U70,V70)</f>
        <v/>
      </c>
      <c r="AC70" s="19">
        <f>_xlfn.TEXTJOIN("-",TRUE,Y70,Z70,AA70)</f>
        <v/>
      </c>
    </row>
    <row r="71" customFormat="1" s="19">
      <c r="A71" s="32" t="inlineStr">
        <is>
          <t>11.00R20</t>
        </is>
      </c>
      <c r="B71" s="32" t="inlineStr">
        <is>
          <t>18PR</t>
        </is>
      </c>
      <c r="C71" s="32" t="inlineStr">
        <is>
          <t>ETRF</t>
        </is>
      </c>
      <c r="D71" s="29" t="inlineStr">
        <is>
          <t>✔</t>
        </is>
      </c>
      <c r="E71" s="28">
        <f>_xlfn.TEXTJOIN("-",TRUE,A71,B71,C71)</f>
        <v/>
      </c>
      <c r="F71" s="32" t="inlineStr">
        <is>
          <t>23.5-25</t>
        </is>
      </c>
      <c r="G71" s="32" t="inlineStr">
        <is>
          <t>16PR</t>
        </is>
      </c>
      <c r="H71" s="32" t="inlineStr">
        <is>
          <t>CL728</t>
        </is>
      </c>
      <c r="I71" s="33" t="inlineStr">
        <is>
          <t>✔</t>
        </is>
      </c>
      <c r="J71" s="19">
        <f>_xlfn.TEXTJOIN("-",TRUE,F71,G71,H71)</f>
        <v/>
      </c>
      <c r="O71" s="19">
        <f>_xlfn.TEXTJOIN("-",TRUE,K71,L71,M71)</f>
        <v/>
      </c>
      <c r="T71" s="19">
        <f>_xlfn.TEXTJOIN("-",TRUE,P71,Q71,R71)</f>
        <v/>
      </c>
      <c r="X71" s="19">
        <f>_xlfn.TEXTJOIN("-",TRUE,T71,U71,V71)</f>
        <v/>
      </c>
      <c r="AC71" s="19">
        <f>_xlfn.TEXTJOIN("-",TRUE,Y71,Z71,AA71)</f>
        <v/>
      </c>
    </row>
    <row r="72" customFormat="1" s="19">
      <c r="A72" s="32" t="inlineStr">
        <is>
          <t>11.00R20</t>
        </is>
      </c>
      <c r="B72" s="32" t="inlineStr">
        <is>
          <t>18PR</t>
        </is>
      </c>
      <c r="C72" s="32" t="inlineStr">
        <is>
          <t>TZ202</t>
        </is>
      </c>
      <c r="D72" s="29" t="inlineStr">
        <is>
          <t>✔</t>
        </is>
      </c>
      <c r="E72" s="28">
        <f>_xlfn.TEXTJOIN("-",TRUE,A72,B72,C72)</f>
        <v/>
      </c>
      <c r="F72" s="32" t="inlineStr">
        <is>
          <t>23.5-25</t>
        </is>
      </c>
      <c r="G72" s="36" t="inlineStr">
        <is>
          <t>16PR</t>
        </is>
      </c>
      <c r="H72" s="32" t="inlineStr">
        <is>
          <t>T318</t>
        </is>
      </c>
      <c r="I72" s="33" t="inlineStr">
        <is>
          <t>✔</t>
        </is>
      </c>
      <c r="J72" s="19">
        <f>_xlfn.TEXTJOIN("-",TRUE,F72,G72,H72)</f>
        <v/>
      </c>
      <c r="O72" s="19">
        <f>_xlfn.TEXTJOIN("-",TRUE,K72,L72,M72)</f>
        <v/>
      </c>
      <c r="T72" s="19">
        <f>_xlfn.TEXTJOIN("-",TRUE,P72,Q72,R72)</f>
        <v/>
      </c>
      <c r="X72" s="19">
        <f>_xlfn.TEXTJOIN("-",TRUE,T72,U72,V72)</f>
        <v/>
      </c>
      <c r="AC72" s="19">
        <f>_xlfn.TEXTJOIN("-",TRUE,Y72,Z72,AA72)</f>
        <v/>
      </c>
    </row>
    <row r="73" customFormat="1" s="19">
      <c r="A73" s="32" t="inlineStr">
        <is>
          <t>11.00R20</t>
        </is>
      </c>
      <c r="B73" s="32" t="inlineStr">
        <is>
          <t>18PR</t>
        </is>
      </c>
      <c r="C73" s="32" t="inlineStr">
        <is>
          <t>TZ101</t>
        </is>
      </c>
      <c r="D73" s="29" t="inlineStr">
        <is>
          <t>✔</t>
        </is>
      </c>
      <c r="E73" s="28">
        <f>_xlfn.TEXTJOIN("-",TRUE,A73,B73,C73)</f>
        <v/>
      </c>
      <c r="F73" s="25" t="inlineStr">
        <is>
          <t>23.5-25</t>
        </is>
      </c>
      <c r="G73" s="32" t="inlineStr">
        <is>
          <t>20PR</t>
        </is>
      </c>
      <c r="H73" s="43" t="inlineStr">
        <is>
          <t>CL728</t>
        </is>
      </c>
      <c r="I73" s="33" t="inlineStr">
        <is>
          <t>✔</t>
        </is>
      </c>
      <c r="J73" s="19">
        <f>_xlfn.TEXTJOIN("-",TRUE,F73,G73,H73)</f>
        <v/>
      </c>
      <c r="O73" s="19">
        <f>_xlfn.TEXTJOIN("-",TRUE,K73,L73,M73)</f>
        <v/>
      </c>
      <c r="T73" s="19">
        <f>_xlfn.TEXTJOIN("-",TRUE,P73,Q73,R73)</f>
        <v/>
      </c>
      <c r="X73" s="19">
        <f>_xlfn.TEXTJOIN("-",TRUE,T73,U73,V73)</f>
        <v/>
      </c>
      <c r="AC73" s="19">
        <f>_xlfn.TEXTJOIN("-",TRUE,Y73,Z73,AA73)</f>
        <v/>
      </c>
    </row>
    <row r="74" customFormat="1" s="19">
      <c r="A74" s="32" t="inlineStr">
        <is>
          <t>11.00R20</t>
        </is>
      </c>
      <c r="B74" s="32" t="inlineStr">
        <is>
          <t>18PR</t>
        </is>
      </c>
      <c r="C74" s="32" t="inlineStr">
        <is>
          <t>CM998</t>
        </is>
      </c>
      <c r="D74" s="29" t="inlineStr">
        <is>
          <t>✔</t>
        </is>
      </c>
      <c r="E74" s="28">
        <f>_xlfn.TEXTJOIN("-",TRUE,A74,B74,C74)</f>
        <v/>
      </c>
      <c r="F74" s="25" t="inlineStr">
        <is>
          <t>23.5-25</t>
        </is>
      </c>
      <c r="G74" s="32" t="inlineStr">
        <is>
          <t>20PR</t>
        </is>
      </c>
      <c r="H74" s="43" t="inlineStr">
        <is>
          <t>T318</t>
        </is>
      </c>
      <c r="I74" s="33" t="inlineStr">
        <is>
          <t>✔</t>
        </is>
      </c>
      <c r="J74" s="19">
        <f>_xlfn.TEXTJOIN("-",TRUE,F74,G74,H74)</f>
        <v/>
      </c>
      <c r="O74" s="19">
        <f>_xlfn.TEXTJOIN("-",TRUE,K74,L74,M74)</f>
        <v/>
      </c>
      <c r="T74" s="19">
        <f>_xlfn.TEXTJOIN("-",TRUE,P74,Q74,R74)</f>
        <v/>
      </c>
      <c r="X74" s="19">
        <f>_xlfn.TEXTJOIN("-",TRUE,T74,U74,V74)</f>
        <v/>
      </c>
      <c r="AC74" s="19">
        <f>_xlfn.TEXTJOIN("-",TRUE,Y74,Z74,AA74)</f>
        <v/>
      </c>
    </row>
    <row r="75" customFormat="1" s="19">
      <c r="A75" s="32" t="inlineStr">
        <is>
          <t>11R22.5</t>
        </is>
      </c>
      <c r="B75" s="32" t="inlineStr">
        <is>
          <t>14PR</t>
        </is>
      </c>
      <c r="C75" s="32" t="inlineStr">
        <is>
          <t>CR915</t>
        </is>
      </c>
      <c r="D75" s="29" t="inlineStr">
        <is>
          <t>✔</t>
        </is>
      </c>
      <c r="E75" s="28">
        <f>_xlfn.TEXTJOIN("-",TRUE,A75,B75,C75)</f>
        <v/>
      </c>
      <c r="F75" s="25" t="inlineStr">
        <is>
          <t>23.5-25</t>
        </is>
      </c>
      <c r="G75" s="32" t="inlineStr">
        <is>
          <t>24PR</t>
        </is>
      </c>
      <c r="H75" s="43" t="inlineStr">
        <is>
          <t>CL728</t>
        </is>
      </c>
      <c r="I75" s="33" t="inlineStr">
        <is>
          <t>✔</t>
        </is>
      </c>
      <c r="J75" s="19">
        <f>_xlfn.TEXTJOIN("-",TRUE,F75,G75,H75)</f>
        <v/>
      </c>
      <c r="O75" s="19">
        <f>_xlfn.TEXTJOIN("-",TRUE,K75,L75,M75)</f>
        <v/>
      </c>
      <c r="T75" s="19">
        <f>_xlfn.TEXTJOIN("-",TRUE,P75,Q75,R75)</f>
        <v/>
      </c>
      <c r="AC75" s="19">
        <f>_xlfn.TEXTJOIN("-",TRUE,Y75,Z75,AA75)</f>
        <v/>
      </c>
    </row>
    <row r="76" customFormat="1" s="19">
      <c r="A76" s="32" t="inlineStr">
        <is>
          <t>11R22.5</t>
        </is>
      </c>
      <c r="B76" s="32" t="inlineStr">
        <is>
          <t>14PR</t>
        </is>
      </c>
      <c r="C76" s="32" t="inlineStr">
        <is>
          <t>AT598</t>
        </is>
      </c>
      <c r="D76" s="29" t="inlineStr">
        <is>
          <t>✔</t>
        </is>
      </c>
      <c r="E76" s="28">
        <f>_xlfn.TEXTJOIN("-",TRUE,A76,B76,C76)</f>
        <v/>
      </c>
      <c r="F76" s="45" t="inlineStr">
        <is>
          <t>23.5-25</t>
        </is>
      </c>
      <c r="G76" s="36" t="inlineStr">
        <is>
          <t>24PR</t>
        </is>
      </c>
      <c r="H76" s="40" t="inlineStr">
        <is>
          <t>T318</t>
        </is>
      </c>
      <c r="I76" s="44" t="inlineStr">
        <is>
          <t>✔</t>
        </is>
      </c>
      <c r="J76" s="19">
        <f>_xlfn.TEXTJOIN("-",TRUE,F76,G76,H76)</f>
        <v/>
      </c>
      <c r="O76" s="19">
        <f>_xlfn.TEXTJOIN("-",TRUE,K76,L76,M76)</f>
        <v/>
      </c>
      <c r="T76" s="19">
        <f>_xlfn.TEXTJOIN("-",TRUE,P76,Q76,R76)</f>
        <v/>
      </c>
      <c r="AC76" s="19">
        <f>_xlfn.TEXTJOIN("-",TRUE,Y76,Z76,AA76)</f>
        <v/>
      </c>
    </row>
    <row r="77" customFormat="1" s="19">
      <c r="A77" s="32" t="inlineStr">
        <is>
          <t>11R22.5</t>
        </is>
      </c>
      <c r="B77" s="32" t="inlineStr">
        <is>
          <t>14PR</t>
        </is>
      </c>
      <c r="C77" s="32" t="inlineStr">
        <is>
          <t>HT1 Plus</t>
        </is>
      </c>
      <c r="D77" s="29" t="inlineStr">
        <is>
          <t>✔</t>
        </is>
      </c>
      <c r="E77" s="28">
        <f>_xlfn.TEXTJOIN("-",TRUE,A77,B77,C77)</f>
        <v/>
      </c>
      <c r="F77" s="32" t="inlineStr">
        <is>
          <t>23X8.50-12</t>
        </is>
      </c>
      <c r="G77" s="32" t="inlineStr">
        <is>
          <t>6PR</t>
        </is>
      </c>
      <c r="H77" s="32" t="inlineStr">
        <is>
          <t>STRONG GUARD SS</t>
        </is>
      </c>
      <c r="I77" s="33" t="inlineStr">
        <is>
          <t>✔</t>
        </is>
      </c>
      <c r="J77" s="19">
        <f>_xlfn.TEXTJOIN("-",TRUE,F77,G77,H77)</f>
        <v/>
      </c>
      <c r="O77" s="19">
        <f>_xlfn.TEXTJOIN("-",TRUE,K77,L77,M77)</f>
        <v/>
      </c>
      <c r="T77" s="19">
        <f>_xlfn.TEXTJOIN("-",TRUE,P77,Q77,R77)</f>
        <v/>
      </c>
      <c r="AC77" s="19">
        <f>_xlfn.TEXTJOIN("-",TRUE,Y77,Z77,AA77)</f>
        <v/>
      </c>
    </row>
    <row r="78" customFormat="1" s="19">
      <c r="A78" s="32" t="inlineStr">
        <is>
          <t>11R22.5</t>
        </is>
      </c>
      <c r="B78" s="32" t="inlineStr">
        <is>
          <t>14PR</t>
        </is>
      </c>
      <c r="C78" s="32" t="inlineStr">
        <is>
          <t>RLINE-T1</t>
        </is>
      </c>
      <c r="D78" s="29" t="inlineStr">
        <is>
          <t>✔</t>
        </is>
      </c>
      <c r="E78" s="28">
        <f>_xlfn.TEXTJOIN("-",TRUE,A78,B78,C78)</f>
        <v/>
      </c>
      <c r="F78" s="32" t="inlineStr">
        <is>
          <t>26X12-12</t>
        </is>
      </c>
      <c r="G78" s="32" t="inlineStr">
        <is>
          <t>8PR</t>
        </is>
      </c>
      <c r="H78" s="32" t="inlineStr">
        <is>
          <t>STRONG GUARD R1</t>
        </is>
      </c>
      <c r="I78" s="33" t="inlineStr">
        <is>
          <t>✔</t>
        </is>
      </c>
      <c r="J78" s="19">
        <f>_xlfn.TEXTJOIN("-",TRUE,F78,G78,H78)</f>
        <v/>
      </c>
      <c r="O78" s="19">
        <f>_xlfn.TEXTJOIN("-",TRUE,K78,L78,M78)</f>
        <v/>
      </c>
      <c r="T78" s="19">
        <f>_xlfn.TEXTJOIN("-",TRUE,P78,Q78,R78)</f>
        <v/>
      </c>
      <c r="AC78" s="19">
        <f>_xlfn.TEXTJOIN("-",TRUE,Y78,Z78,AA78)</f>
        <v/>
      </c>
    </row>
    <row r="79" customFormat="1" s="19">
      <c r="A79" s="32" t="inlineStr">
        <is>
          <t>11R22.5</t>
        </is>
      </c>
      <c r="B79" s="32" t="inlineStr">
        <is>
          <t>16PR</t>
        </is>
      </c>
      <c r="C79" s="32" t="inlineStr">
        <is>
          <t>AZ850</t>
        </is>
      </c>
      <c r="D79" s="29" t="inlineStr">
        <is>
          <t>✔</t>
        </is>
      </c>
      <c r="E79" s="28">
        <f>_xlfn.TEXTJOIN("-",TRUE,A79,B79,C79)</f>
        <v/>
      </c>
      <c r="F79" s="32" t="inlineStr">
        <is>
          <t>27X8.50-15</t>
        </is>
      </c>
      <c r="G79" s="32" t="inlineStr">
        <is>
          <t>8PR</t>
        </is>
      </c>
      <c r="H79" s="32" t="inlineStr">
        <is>
          <t>STRONG GUARD SS</t>
        </is>
      </c>
      <c r="I79" s="33" t="inlineStr">
        <is>
          <t>✔</t>
        </is>
      </c>
      <c r="J79" s="19">
        <f>_xlfn.TEXTJOIN("-",TRUE,F79,G79,H79)</f>
        <v/>
      </c>
      <c r="O79" s="19">
        <f>_xlfn.TEXTJOIN("-",TRUE,K79,L79,M79)</f>
        <v/>
      </c>
      <c r="T79" s="19">
        <f>_xlfn.TEXTJOIN("-",TRUE,P79,Q79,R79)</f>
        <v/>
      </c>
      <c r="AC79" s="19">
        <f>_xlfn.TEXTJOIN("-",TRUE,Y79,Z79,AA79)</f>
        <v/>
      </c>
    </row>
    <row r="80" customFormat="1" s="19">
      <c r="A80" s="32" t="inlineStr">
        <is>
          <t>11R22.5</t>
        </is>
      </c>
      <c r="B80" s="32" t="inlineStr">
        <is>
          <t>16PR</t>
        </is>
      </c>
      <c r="C80" s="32" t="inlineStr">
        <is>
          <t>I-19A</t>
        </is>
      </c>
      <c r="D80" s="29" t="inlineStr">
        <is>
          <t>✔</t>
        </is>
      </c>
      <c r="E80" s="28">
        <f>_xlfn.TEXTJOIN("-",TRUE,A80,B80,C80)</f>
        <v/>
      </c>
      <c r="F80" s="32" t="inlineStr">
        <is>
          <t>29X12.5-15</t>
        </is>
      </c>
      <c r="G80" s="32" t="inlineStr">
        <is>
          <t>8PR</t>
        </is>
      </c>
      <c r="H80" s="32" t="inlineStr">
        <is>
          <t>STRONG GUARD R1</t>
        </is>
      </c>
      <c r="I80" s="33" t="inlineStr">
        <is>
          <t>✔</t>
        </is>
      </c>
      <c r="J80" s="19">
        <f>_xlfn.TEXTJOIN("-",TRUE,F80,G80,H80)</f>
        <v/>
      </c>
      <c r="O80" s="19">
        <f>_xlfn.TEXTJOIN("-",TRUE,K80,L80,M80)</f>
        <v/>
      </c>
      <c r="T80" s="19">
        <f>_xlfn.TEXTJOIN("-",TRUE,P80,Q80,R80)</f>
        <v/>
      </c>
      <c r="AC80" s="19">
        <f>_xlfn.TEXTJOIN("-",TRUE,Y80,Z80,AA80)</f>
        <v/>
      </c>
    </row>
    <row r="81" customFormat="1" s="19">
      <c r="A81" s="32" t="inlineStr">
        <is>
          <t>11R22.5</t>
        </is>
      </c>
      <c r="B81" s="32" t="inlineStr">
        <is>
          <t>14PR</t>
        </is>
      </c>
      <c r="C81" s="32" t="inlineStr">
        <is>
          <t>CR915 eco</t>
        </is>
      </c>
      <c r="D81" s="29" t="inlineStr">
        <is>
          <t>✔</t>
        </is>
      </c>
      <c r="E81" s="28">
        <f>_xlfn.TEXTJOIN("-",TRUE,A81,B81,C81)</f>
        <v/>
      </c>
      <c r="F81" s="20" t="inlineStr">
        <is>
          <t>7.50-16</t>
        </is>
      </c>
      <c r="G81" s="23" t="inlineStr">
        <is>
          <t>14PR</t>
        </is>
      </c>
      <c r="H81" s="23" t="inlineStr">
        <is>
          <t>CL891</t>
        </is>
      </c>
      <c r="I81" s="55" t="inlineStr">
        <is>
          <t>✔</t>
        </is>
      </c>
      <c r="J81" s="19">
        <f>_xlfn.TEXTJOIN("-",TRUE,F81,G81,H81)</f>
        <v/>
      </c>
      <c r="O81" s="19">
        <f>_xlfn.TEXTJOIN("-",TRUE,K81,L81,M81)</f>
        <v/>
      </c>
      <c r="T81" s="19">
        <f>_xlfn.TEXTJOIN("-",TRUE,P81,Q81,R81)</f>
        <v/>
      </c>
      <c r="AC81" s="19">
        <f>_xlfn.TEXTJOIN("-",TRUE,Y81,Z81,AA81)</f>
        <v/>
      </c>
    </row>
    <row r="82" customFormat="1" s="19">
      <c r="A82" s="32" t="inlineStr">
        <is>
          <t>11R22.5</t>
        </is>
      </c>
      <c r="B82" s="32" t="inlineStr">
        <is>
          <t>14PR</t>
        </is>
      </c>
      <c r="C82" s="32" t="inlineStr">
        <is>
          <t>TL31</t>
        </is>
      </c>
      <c r="D82" s="29" t="inlineStr">
        <is>
          <t>✔</t>
        </is>
      </c>
      <c r="E82" s="28">
        <f>_xlfn.TEXTJOIN("-",TRUE,A82,B82,C82)</f>
        <v/>
      </c>
      <c r="F82" s="20" t="n"/>
      <c r="G82" s="23" t="n"/>
      <c r="H82" s="23" t="n"/>
      <c r="I82" s="55" t="inlineStr">
        <is>
          <t>✔</t>
        </is>
      </c>
      <c r="J82" s="19">
        <f>_xlfn.TEXTJOIN("-",TRUE,F82,G82,H82)</f>
        <v/>
      </c>
      <c r="O82" s="19">
        <f>_xlfn.TEXTJOIN("-",TRUE,K82,L82,M82)</f>
        <v/>
      </c>
      <c r="T82" s="19">
        <f>_xlfn.TEXTJOIN("-",TRUE,P82,Q82,R82)</f>
        <v/>
      </c>
      <c r="AC82" s="19">
        <f>_xlfn.TEXTJOIN("-",TRUE,Y82,Z82,AA82)</f>
        <v/>
      </c>
    </row>
    <row r="83" customFormat="1" s="19">
      <c r="A83" s="32" t="inlineStr">
        <is>
          <t>11R22.5</t>
        </is>
      </c>
      <c r="B83" s="32" t="inlineStr">
        <is>
          <t>14PR</t>
        </is>
      </c>
      <c r="C83" s="32" t="inlineStr">
        <is>
          <t>VT993</t>
        </is>
      </c>
      <c r="D83" s="29" t="inlineStr">
        <is>
          <t>✔</t>
        </is>
      </c>
      <c r="E83" s="28">
        <f>_xlfn.TEXTJOIN("-",TRUE,A83,B83,C83)</f>
        <v/>
      </c>
      <c r="F83" s="20" t="n"/>
      <c r="G83" s="23" t="n"/>
      <c r="H83" s="23" t="n"/>
      <c r="I83" s="55" t="inlineStr">
        <is>
          <t>✔</t>
        </is>
      </c>
      <c r="J83" s="19">
        <f>_xlfn.TEXTJOIN("-",TRUE,F83,G83,H83)</f>
        <v/>
      </c>
      <c r="O83" s="19">
        <f>_xlfn.TEXTJOIN("-",TRUE,K83,L83,M83)</f>
        <v/>
      </c>
      <c r="T83" s="19">
        <f>_xlfn.TEXTJOIN("-",TRUE,P83,Q83,R83)</f>
        <v/>
      </c>
      <c r="AC83" s="19">
        <f>_xlfn.TEXTJOIN("-",TRUE,Y83,Z83,AA83)</f>
        <v/>
      </c>
    </row>
    <row r="84" customFormat="1" s="19">
      <c r="A84" s="32" t="inlineStr">
        <is>
          <t>11R22.5</t>
        </is>
      </c>
      <c r="B84" s="32" t="inlineStr">
        <is>
          <t>16PR</t>
        </is>
      </c>
      <c r="C84" s="32" t="inlineStr">
        <is>
          <t>VT993</t>
        </is>
      </c>
      <c r="D84" s="29" t="inlineStr">
        <is>
          <t>✔</t>
        </is>
      </c>
      <c r="E84" s="28">
        <f>_xlfn.TEXTJOIN("-",TRUE,A84,B84,C84)</f>
        <v/>
      </c>
      <c r="F84" s="20" t="n"/>
      <c r="G84" s="23" t="n"/>
      <c r="H84" s="23" t="n"/>
      <c r="I84" s="55" t="inlineStr">
        <is>
          <t>✔</t>
        </is>
      </c>
      <c r="J84" s="19">
        <f>_xlfn.TEXTJOIN("-",TRUE,F84,G84,H84)</f>
        <v/>
      </c>
      <c r="O84" s="19">
        <f>_xlfn.TEXTJOIN("-",TRUE,K84,L84,M84)</f>
        <v/>
      </c>
      <c r="T84" s="19">
        <f>_xlfn.TEXTJOIN("-",TRUE,P84,Q84,R84)</f>
        <v/>
      </c>
      <c r="AC84" s="19">
        <f>_xlfn.TEXTJOIN("-",TRUE,Y84,Z84,AA84)</f>
        <v/>
      </c>
    </row>
    <row r="85" customFormat="1" s="19">
      <c r="A85" s="32" t="inlineStr">
        <is>
          <t>11R22.5</t>
        </is>
      </c>
      <c r="B85" s="32" t="inlineStr">
        <is>
          <t>14PR</t>
        </is>
      </c>
      <c r="C85" s="32" t="inlineStr">
        <is>
          <t>AT563</t>
        </is>
      </c>
      <c r="D85" s="29" t="inlineStr">
        <is>
          <t>✔</t>
        </is>
      </c>
      <c r="E85" s="28">
        <f>_xlfn.TEXTJOIN("-",TRUE,A85,B85,C85)</f>
        <v/>
      </c>
      <c r="F85" s="20" t="n"/>
      <c r="G85" s="23" t="n"/>
      <c r="H85" s="23" t="n"/>
      <c r="I85" s="55" t="inlineStr">
        <is>
          <t>✔</t>
        </is>
      </c>
      <c r="J85" s="19">
        <f>_xlfn.TEXTJOIN("-",TRUE,F85,G85,H85)</f>
        <v/>
      </c>
      <c r="O85" s="19">
        <f>_xlfn.TEXTJOIN("-",TRUE,K85,L85,M85)</f>
        <v/>
      </c>
      <c r="T85" s="19">
        <f>_xlfn.TEXTJOIN("-",TRUE,P85,Q85,R85)</f>
        <v/>
      </c>
      <c r="AC85" s="19">
        <f>_xlfn.TEXTJOIN("-",TRUE,Y85,Z85,AA85)</f>
        <v/>
      </c>
    </row>
    <row r="86" customFormat="1" s="19">
      <c r="A86" s="32" t="inlineStr">
        <is>
          <t>11R22.5</t>
        </is>
      </c>
      <c r="B86" s="32" t="inlineStr">
        <is>
          <t>14PR</t>
        </is>
      </c>
      <c r="C86" s="32" t="inlineStr">
        <is>
          <t>AT552</t>
        </is>
      </c>
      <c r="D86" s="29" t="inlineStr">
        <is>
          <t>✔</t>
        </is>
      </c>
      <c r="E86" s="28">
        <f>_xlfn.TEXTJOIN("-",TRUE,A86,B86,C86)</f>
        <v/>
      </c>
      <c r="F86" s="20" t="n"/>
      <c r="G86" s="23" t="n"/>
      <c r="H86" s="23" t="n"/>
      <c r="I86" s="55" t="inlineStr">
        <is>
          <t>✔</t>
        </is>
      </c>
      <c r="J86" s="19">
        <f>_xlfn.TEXTJOIN("-",TRUE,F86,G86,H86)</f>
        <v/>
      </c>
      <c r="O86" s="19">
        <f>_xlfn.TEXTJOIN("-",TRUE,K86,L86,M86)</f>
        <v/>
      </c>
      <c r="T86" s="19">
        <f>_xlfn.TEXTJOIN("-",TRUE,P86,Q86,R86)</f>
        <v/>
      </c>
      <c r="AC86" s="19">
        <f>_xlfn.TEXTJOIN("-",TRUE,Y86,Z86,AA86)</f>
        <v/>
      </c>
    </row>
    <row r="87" customFormat="1" s="19">
      <c r="A87" s="32" t="inlineStr">
        <is>
          <t>11R22.5</t>
        </is>
      </c>
      <c r="B87" s="32" t="inlineStr">
        <is>
          <t>16PR</t>
        </is>
      </c>
      <c r="C87" s="32" t="inlineStr">
        <is>
          <t>AS858</t>
        </is>
      </c>
      <c r="D87" s="29" t="inlineStr">
        <is>
          <t>✔</t>
        </is>
      </c>
      <c r="E87" s="28">
        <f>_xlfn.TEXTJOIN("-",TRUE,A87,B87,C87)</f>
        <v/>
      </c>
      <c r="F87" s="20" t="n"/>
      <c r="G87" s="23" t="n"/>
      <c r="H87" s="23" t="n"/>
      <c r="I87" s="55" t="inlineStr">
        <is>
          <t>✔</t>
        </is>
      </c>
      <c r="J87" s="19">
        <f>_xlfn.TEXTJOIN("-",TRUE,F87,G87,H87)</f>
        <v/>
      </c>
      <c r="O87" s="19">
        <f>_xlfn.TEXTJOIN("-",TRUE,K87,L87,M87)</f>
        <v/>
      </c>
      <c r="T87" s="19">
        <f>_xlfn.TEXTJOIN("-",TRUE,P87,Q87,R87)</f>
        <v/>
      </c>
      <c r="AC87" s="19">
        <f>_xlfn.TEXTJOIN("-",TRUE,Y87,Z87,AA87)</f>
        <v/>
      </c>
    </row>
    <row r="88" customFormat="1" s="19">
      <c r="A88" s="32" t="inlineStr">
        <is>
          <t>11R22.5</t>
        </is>
      </c>
      <c r="B88" s="32" t="inlineStr">
        <is>
          <t>16PR</t>
        </is>
      </c>
      <c r="C88" s="32" t="inlineStr">
        <is>
          <t>AS868</t>
        </is>
      </c>
      <c r="D88" s="29" t="inlineStr">
        <is>
          <t>✔</t>
        </is>
      </c>
      <c r="E88" s="28">
        <f>_xlfn.TEXTJOIN("-",TRUE,A88,B88,C88)</f>
        <v/>
      </c>
      <c r="F88" s="20" t="n"/>
      <c r="G88" s="23" t="n"/>
      <c r="H88" s="23" t="n"/>
      <c r="I88" s="55" t="inlineStr">
        <is>
          <t>✔</t>
        </is>
      </c>
      <c r="J88" s="19">
        <f>_xlfn.TEXTJOIN("-",TRUE,F88,G88,H88)</f>
        <v/>
      </c>
      <c r="O88" s="19">
        <f>_xlfn.TEXTJOIN("-",TRUE,K88,L88,M88)</f>
        <v/>
      </c>
      <c r="T88" s="19">
        <f>_xlfn.TEXTJOIN("-",TRUE,P88,Q88,R88)</f>
        <v/>
      </c>
      <c r="AC88" s="19">
        <f>_xlfn.TEXTJOIN("-",TRUE,Y88,Z88,AA88)</f>
        <v/>
      </c>
    </row>
    <row r="89" customFormat="1" s="19">
      <c r="A89" s="32" t="inlineStr">
        <is>
          <t>11R22.5</t>
        </is>
      </c>
      <c r="B89" s="32" t="inlineStr">
        <is>
          <t>16PR</t>
        </is>
      </c>
      <c r="C89" s="32" t="inlineStr">
        <is>
          <t>CR906Ⅱ</t>
        </is>
      </c>
      <c r="D89" s="29" t="inlineStr">
        <is>
          <t>✔</t>
        </is>
      </c>
      <c r="E89" s="28">
        <f>_xlfn.TEXTJOIN("-",TRUE,A89,B89,C89)</f>
        <v/>
      </c>
      <c r="F89" s="20" t="n"/>
      <c r="G89" s="23" t="n"/>
      <c r="H89" s="23" t="n"/>
      <c r="I89" s="55" t="inlineStr">
        <is>
          <t>✔</t>
        </is>
      </c>
      <c r="J89" s="19">
        <f>_xlfn.TEXTJOIN("-",TRUE,F89,G89,H89)</f>
        <v/>
      </c>
      <c r="O89" s="19">
        <f>_xlfn.TEXTJOIN("-",TRUE,K89,L89,M89)</f>
        <v/>
      </c>
      <c r="T89" s="19">
        <f>_xlfn.TEXTJOIN("-",TRUE,P89,Q89,R89)</f>
        <v/>
      </c>
      <c r="AC89" s="19">
        <f>_xlfn.TEXTJOIN("-",TRUE,Y89,Z89,AA89)</f>
        <v/>
      </c>
    </row>
    <row r="90" customFormat="1" s="19">
      <c r="A90" s="32" t="inlineStr">
        <is>
          <t>11R22.5</t>
        </is>
      </c>
      <c r="B90" s="32" t="inlineStr">
        <is>
          <t>16PR</t>
        </is>
      </c>
      <c r="C90" s="32" t="inlineStr">
        <is>
          <t>VA996</t>
        </is>
      </c>
      <c r="D90" s="29" t="inlineStr">
        <is>
          <t>✔</t>
        </is>
      </c>
      <c r="E90" s="28">
        <f>_xlfn.TEXTJOIN("-",TRUE,A90,B90,C90)</f>
        <v/>
      </c>
      <c r="F90" s="20" t="n"/>
      <c r="G90" s="23" t="n"/>
      <c r="H90" s="23" t="n"/>
      <c r="I90" s="55" t="inlineStr">
        <is>
          <t>✔</t>
        </is>
      </c>
      <c r="J90" s="19">
        <f>_xlfn.TEXTJOIN("-",TRUE,F90,G90,H90)</f>
        <v/>
      </c>
      <c r="O90" s="19">
        <f>_xlfn.TEXTJOIN("-",TRUE,K90,L90,M90)</f>
        <v/>
      </c>
      <c r="T90" s="19">
        <f>_xlfn.TEXTJOIN("-",TRUE,P90,Q90,R90)</f>
        <v/>
      </c>
      <c r="AC90" s="19">
        <f>_xlfn.TEXTJOIN("-",TRUE,Y90,Z90,AA90)</f>
        <v/>
      </c>
    </row>
    <row r="91" customFormat="1" s="19">
      <c r="A91" s="32" t="inlineStr">
        <is>
          <t>11R22.5</t>
        </is>
      </c>
      <c r="B91" s="32" t="inlineStr">
        <is>
          <t>16PR</t>
        </is>
      </c>
      <c r="C91" s="32" t="inlineStr">
        <is>
          <t>SL11</t>
        </is>
      </c>
      <c r="D91" s="29" t="inlineStr">
        <is>
          <t>✔</t>
        </is>
      </c>
      <c r="E91" s="28">
        <f>_xlfn.TEXTJOIN("-",TRUE,A91,B91,C91)</f>
        <v/>
      </c>
      <c r="F91" s="20" t="n"/>
      <c r="G91" s="23" t="n"/>
      <c r="H91" s="23" t="n"/>
      <c r="I91" s="55" t="inlineStr">
        <is>
          <t>✔</t>
        </is>
      </c>
      <c r="J91" s="19">
        <f>_xlfn.TEXTJOIN("-",TRUE,F91,G91,H91)</f>
        <v/>
      </c>
      <c r="O91" s="19">
        <f>_xlfn.TEXTJOIN("-",TRUE,K91,L91,M91)</f>
        <v/>
      </c>
      <c r="T91" s="19">
        <f>_xlfn.TEXTJOIN("-",TRUE,P91,Q91,R91)</f>
        <v/>
      </c>
      <c r="AC91" s="19">
        <f>_xlfn.TEXTJOIN("-",TRUE,Y91,Z91,AA91)</f>
        <v/>
      </c>
    </row>
    <row r="92" customFormat="1" s="19">
      <c r="A92" s="32" t="inlineStr">
        <is>
          <t>11R22.5</t>
        </is>
      </c>
      <c r="B92" s="32" t="inlineStr">
        <is>
          <t>16PR</t>
        </is>
      </c>
      <c r="C92" s="32" t="inlineStr">
        <is>
          <t>PS221</t>
        </is>
      </c>
      <c r="D92" s="29" t="inlineStr">
        <is>
          <t>✔</t>
        </is>
      </c>
      <c r="E92" s="28">
        <f>_xlfn.TEXTJOIN("-",TRUE,A92,B92,C92)</f>
        <v/>
      </c>
      <c r="F92" s="20" t="n"/>
      <c r="G92" s="23" t="n"/>
      <c r="H92" s="23" t="n"/>
      <c r="I92" s="24" t="n"/>
      <c r="J92" s="19">
        <f>_xlfn.TEXTJOIN("-",TRUE,F92,G92,H92)</f>
        <v/>
      </c>
      <c r="O92" s="19">
        <f>_xlfn.TEXTJOIN("-",TRUE,K92,L92,M92)</f>
        <v/>
      </c>
      <c r="T92" s="19">
        <f>_xlfn.TEXTJOIN("-",TRUE,P92,Q92,R92)</f>
        <v/>
      </c>
      <c r="AC92" s="19">
        <f>_xlfn.TEXTJOIN("-",TRUE,Y92,Z92,AA92)</f>
        <v/>
      </c>
    </row>
    <row r="93" customFormat="1" s="19">
      <c r="A93" s="32" t="inlineStr">
        <is>
          <t>11R22.5</t>
        </is>
      </c>
      <c r="B93" s="32" t="inlineStr">
        <is>
          <t>16PR</t>
        </is>
      </c>
      <c r="C93" s="32" t="inlineStr">
        <is>
          <t>VXD932</t>
        </is>
      </c>
      <c r="D93" s="29" t="inlineStr">
        <is>
          <t>✔</t>
        </is>
      </c>
      <c r="E93" s="28">
        <f>_xlfn.TEXTJOIN("-",TRUE,A93,B93,C93)</f>
        <v/>
      </c>
      <c r="F93" s="20" t="n"/>
      <c r="G93" s="23" t="n"/>
      <c r="H93" s="23" t="n"/>
      <c r="I93" s="24" t="n"/>
      <c r="J93" s="19">
        <f>_xlfn.TEXTJOIN("-",TRUE,F93,G93,H93)</f>
        <v/>
      </c>
      <c r="O93" s="19">
        <f>_xlfn.TEXTJOIN("-",TRUE,K93,L93,M93)</f>
        <v/>
      </c>
      <c r="T93" s="19">
        <f>_xlfn.TEXTJOIN("-",TRUE,P93,Q93,R93)</f>
        <v/>
      </c>
      <c r="AC93" s="19">
        <f>_xlfn.TEXTJOIN("-",TRUE,Y93,Z93,AA93)</f>
        <v/>
      </c>
    </row>
    <row r="94" customFormat="1" s="19">
      <c r="A94" s="32" t="inlineStr">
        <is>
          <t>11R22.5</t>
        </is>
      </c>
      <c r="B94" s="32" t="inlineStr">
        <is>
          <t>16PR</t>
        </is>
      </c>
      <c r="C94" s="32" t="inlineStr">
        <is>
          <t>DA25</t>
        </is>
      </c>
      <c r="D94" s="29" t="inlineStr">
        <is>
          <t>✔</t>
        </is>
      </c>
      <c r="E94" s="28">
        <f>_xlfn.TEXTJOIN("-",TRUE,A94,B94,C94)</f>
        <v/>
      </c>
      <c r="F94" s="20" t="n"/>
      <c r="G94" s="23" t="n"/>
      <c r="H94" s="23" t="n"/>
      <c r="I94" s="24" t="n"/>
      <c r="J94" s="19">
        <f>_xlfn.TEXTJOIN("-",TRUE,F94,G94,H94)</f>
        <v/>
      </c>
      <c r="O94" s="19">
        <f>_xlfn.TEXTJOIN("-",TRUE,K94,L94,M94)</f>
        <v/>
      </c>
      <c r="T94" s="19">
        <f>_xlfn.TEXTJOIN("-",TRUE,P94,Q94,R94)</f>
        <v/>
      </c>
      <c r="AC94" s="19">
        <f>_xlfn.TEXTJOIN("-",TRUE,Y94,Z94,AA94)</f>
        <v/>
      </c>
    </row>
    <row r="95" customFormat="1" s="19">
      <c r="A95" s="32" t="inlineStr">
        <is>
          <t>11R22.5</t>
        </is>
      </c>
      <c r="B95" s="32" t="inlineStr">
        <is>
          <t>16PR</t>
        </is>
      </c>
      <c r="C95" s="32" t="inlineStr">
        <is>
          <t>AD716</t>
        </is>
      </c>
      <c r="D95" s="29" t="inlineStr">
        <is>
          <t>✔</t>
        </is>
      </c>
      <c r="E95" s="28">
        <f>_xlfn.TEXTJOIN("-",TRUE,A95,B95,C95)</f>
        <v/>
      </c>
      <c r="F95" s="20" t="n"/>
      <c r="G95" s="23" t="n"/>
      <c r="H95" s="23" t="n"/>
      <c r="I95" s="24" t="n"/>
      <c r="J95" s="19">
        <f>_xlfn.TEXTJOIN("-",TRUE,F95,G95,H95)</f>
        <v/>
      </c>
      <c r="O95" s="19">
        <f>_xlfn.TEXTJOIN("-",TRUE,K95,L95,M95)</f>
        <v/>
      </c>
      <c r="T95" s="19">
        <f>_xlfn.TEXTJOIN("-",TRUE,P95,Q95,R95)</f>
        <v/>
      </c>
      <c r="AC95" s="19">
        <f>_xlfn.TEXTJOIN("-",TRUE,Y95,Z95,AA95)</f>
        <v/>
      </c>
    </row>
    <row r="96" customFormat="1" s="19">
      <c r="A96" s="32" t="inlineStr">
        <is>
          <t>11R22.5</t>
        </is>
      </c>
      <c r="B96" s="32" t="inlineStr">
        <is>
          <t>16PR</t>
        </is>
      </c>
      <c r="C96" s="32" t="inlineStr">
        <is>
          <t>M-TRAC CSD</t>
        </is>
      </c>
      <c r="D96" s="29" t="inlineStr">
        <is>
          <t>✔</t>
        </is>
      </c>
      <c r="E96" s="28">
        <f>_xlfn.TEXTJOIN("-",TRUE,A96,B96,C96)</f>
        <v/>
      </c>
      <c r="F96" s="20" t="n"/>
      <c r="G96" s="23" t="n"/>
      <c r="H96" s="23" t="n"/>
      <c r="I96" s="24" t="n"/>
      <c r="J96" s="19">
        <f>_xlfn.TEXTJOIN("-",TRUE,F96,G96,H96)</f>
        <v/>
      </c>
      <c r="O96" s="19">
        <f>_xlfn.TEXTJOIN("-",TRUE,K96,L96,M96)</f>
        <v/>
      </c>
      <c r="T96" s="19">
        <f>_xlfn.TEXTJOIN("-",TRUE,P96,Q96,R96)</f>
        <v/>
      </c>
      <c r="AC96" s="19">
        <f>_xlfn.TEXTJOIN("-",TRUE,Y96,Z96,AA96)</f>
        <v/>
      </c>
    </row>
    <row r="97" customFormat="1" s="19">
      <c r="A97" s="32" t="inlineStr">
        <is>
          <t>11R22.5</t>
        </is>
      </c>
      <c r="B97" s="32" t="inlineStr">
        <is>
          <t>16PR</t>
        </is>
      </c>
      <c r="C97" s="32" t="inlineStr">
        <is>
          <t>HD1 Plus</t>
        </is>
      </c>
      <c r="D97" s="29" t="inlineStr">
        <is>
          <t>✔</t>
        </is>
      </c>
      <c r="E97" s="28">
        <f>_xlfn.TEXTJOIN("-",TRUE,A97,B97,C97)</f>
        <v/>
      </c>
      <c r="F97" s="20" t="n"/>
      <c r="G97" s="23" t="n"/>
      <c r="H97" s="23" t="n"/>
      <c r="I97" s="24" t="n"/>
      <c r="J97" s="19">
        <f>_xlfn.TEXTJOIN("-",TRUE,F97,G97,H97)</f>
        <v/>
      </c>
      <c r="O97" s="19">
        <f>_xlfn.TEXTJOIN("-",TRUE,K97,L97,M97)</f>
        <v/>
      </c>
      <c r="T97" s="19">
        <f>_xlfn.TEXTJOIN("-",TRUE,P97,Q97,R97)</f>
        <v/>
      </c>
      <c r="AC97" s="19">
        <f>_xlfn.TEXTJOIN("-",TRUE,Y97,Z97,AA97)</f>
        <v/>
      </c>
    </row>
    <row r="98" customFormat="1" s="19">
      <c r="A98" s="32" t="inlineStr">
        <is>
          <t>11R22.5</t>
        </is>
      </c>
      <c r="B98" s="32" t="inlineStr">
        <is>
          <t>16PR</t>
        </is>
      </c>
      <c r="C98" s="32" t="inlineStr">
        <is>
          <t>RLINE-D2</t>
        </is>
      </c>
      <c r="D98" s="29" t="inlineStr">
        <is>
          <t>✔</t>
        </is>
      </c>
      <c r="E98" s="28">
        <f>_xlfn.TEXTJOIN("-",TRUE,A98,B98,C98)</f>
        <v/>
      </c>
      <c r="F98" s="20" t="n"/>
      <c r="G98" s="23" t="n"/>
      <c r="H98" s="23" t="n"/>
      <c r="I98" s="24" t="n"/>
      <c r="J98" s="19">
        <f>_xlfn.TEXTJOIN("-",TRUE,F98,G98,H98)</f>
        <v/>
      </c>
      <c r="O98" s="19">
        <f>_xlfn.TEXTJOIN("-",TRUE,K98,L98,M98)</f>
        <v/>
      </c>
      <c r="T98" s="19">
        <f>_xlfn.TEXTJOIN("-",TRUE,P98,Q98,R98)</f>
        <v/>
      </c>
      <c r="AC98" s="19">
        <f>_xlfn.TEXTJOIN("-",TRUE,Y98,Z98,AA98)</f>
        <v/>
      </c>
    </row>
    <row r="99" customFormat="1" s="19">
      <c r="A99" s="32" t="inlineStr">
        <is>
          <t>11R22.5</t>
        </is>
      </c>
      <c r="B99" s="32" t="inlineStr">
        <is>
          <t>16PR</t>
        </is>
      </c>
      <c r="C99" s="32" t="inlineStr">
        <is>
          <t>ZM41</t>
        </is>
      </c>
      <c r="D99" s="29" t="inlineStr">
        <is>
          <t>✔</t>
        </is>
      </c>
      <c r="E99" s="28">
        <f>_xlfn.TEXTJOIN("-",TRUE,A99,B99,C99)</f>
        <v/>
      </c>
      <c r="F99" s="20" t="n"/>
      <c r="G99" s="23" t="n"/>
      <c r="H99" s="23" t="n"/>
      <c r="I99" s="24" t="n"/>
      <c r="J99" s="19">
        <f>_xlfn.TEXTJOIN("-",TRUE,F99,G99,H99)</f>
        <v/>
      </c>
      <c r="O99" s="19">
        <f>_xlfn.TEXTJOIN("-",TRUE,K99,L99,M99)</f>
        <v/>
      </c>
      <c r="T99" s="19">
        <f>_xlfn.TEXTJOIN("-",TRUE,P99,Q99,R99)</f>
        <v/>
      </c>
      <c r="AC99" s="19">
        <f>_xlfn.TEXTJOIN("-",TRUE,Y99,Z99,AA99)</f>
        <v/>
      </c>
    </row>
    <row r="100" customFormat="1" s="19">
      <c r="A100" s="32" t="inlineStr">
        <is>
          <t>11R22.5</t>
        </is>
      </c>
      <c r="B100" s="32" t="inlineStr">
        <is>
          <t>16PR</t>
        </is>
      </c>
      <c r="C100" s="32" t="inlineStr">
        <is>
          <t>DA23</t>
        </is>
      </c>
      <c r="D100" s="29" t="inlineStr">
        <is>
          <t>✔</t>
        </is>
      </c>
      <c r="E100" s="28">
        <f>_xlfn.TEXTJOIN("-",TRUE,A100,B100,C100)</f>
        <v/>
      </c>
      <c r="F100" s="20">
        <f>_xlfn.TEXTJOIN("-",TRUE,A587,B587,C587)</f>
        <v/>
      </c>
      <c r="G100" s="23" t="n"/>
      <c r="H100" s="23" t="n"/>
      <c r="I100" s="24" t="n"/>
      <c r="J100" s="19">
        <f>_xlfn.TEXTJOIN("-",TRUE,F100,G100,H100)</f>
        <v/>
      </c>
      <c r="O100" s="19">
        <f>_xlfn.TEXTJOIN("-",TRUE,K100,L100,M100)</f>
        <v/>
      </c>
      <c r="T100" s="19">
        <f>_xlfn.TEXTJOIN("-",TRUE,P100,Q100,R100)</f>
        <v/>
      </c>
      <c r="AC100" s="19">
        <f>_xlfn.TEXTJOIN("-",TRUE,Y100,Z100,AA100)</f>
        <v/>
      </c>
    </row>
    <row r="101" customFormat="1" s="19">
      <c r="A101" s="32" t="inlineStr">
        <is>
          <t>11R22.5</t>
        </is>
      </c>
      <c r="B101" s="32" t="inlineStr">
        <is>
          <t>16PR</t>
        </is>
      </c>
      <c r="C101" s="32" t="inlineStr">
        <is>
          <t>AS200</t>
        </is>
      </c>
      <c r="D101" s="29" t="inlineStr">
        <is>
          <t>✔</t>
        </is>
      </c>
      <c r="E101" s="28">
        <f>_xlfn.TEXTJOIN("-",TRUE,A101,B101,C101)</f>
        <v/>
      </c>
      <c r="F101" s="20">
        <f>_xlfn.TEXTJOIN("-",TRUE,A588,B588,C588)</f>
        <v/>
      </c>
      <c r="G101" s="23" t="n"/>
      <c r="H101" s="23" t="n"/>
      <c r="I101" s="24" t="n"/>
      <c r="J101" s="19">
        <f>_xlfn.TEXTJOIN("-",TRUE,F101,G101,H101)</f>
        <v/>
      </c>
      <c r="O101" s="19">
        <f>_xlfn.TEXTJOIN("-",TRUE,K101,L101,M101)</f>
        <v/>
      </c>
      <c r="T101" s="19">
        <f>_xlfn.TEXTJOIN("-",TRUE,P101,Q101,R101)</f>
        <v/>
      </c>
      <c r="AC101" s="19">
        <f>_xlfn.TEXTJOIN("-",TRUE,Y101,Z101,AA101)</f>
        <v/>
      </c>
    </row>
    <row r="102" customFormat="1" s="19">
      <c r="A102" s="32" t="inlineStr">
        <is>
          <t>11R22.5</t>
        </is>
      </c>
      <c r="B102" s="32" t="inlineStr">
        <is>
          <t>16PR</t>
        </is>
      </c>
      <c r="C102" s="32" t="inlineStr">
        <is>
          <t>AD600</t>
        </is>
      </c>
      <c r="D102" s="29" t="inlineStr">
        <is>
          <t>✔</t>
        </is>
      </c>
      <c r="E102" s="28">
        <f>_xlfn.TEXTJOIN("-",TRUE,A102,B102,C102)</f>
        <v/>
      </c>
      <c r="F102" s="20">
        <f>_xlfn.TEXTJOIN("-",TRUE,A589,B589,C589)</f>
        <v/>
      </c>
      <c r="G102" s="23" t="n"/>
      <c r="H102" s="23" t="n"/>
      <c r="I102" s="24" t="n"/>
      <c r="J102" s="19">
        <f>_xlfn.TEXTJOIN("-",TRUE,F102,G102,H102)</f>
        <v/>
      </c>
      <c r="O102" s="19">
        <f>_xlfn.TEXTJOIN("-",TRUE,K102,L102,M102)</f>
        <v/>
      </c>
      <c r="T102" s="19">
        <f>_xlfn.TEXTJOIN("-",TRUE,P102,Q102,R102)</f>
        <v/>
      </c>
      <c r="AC102" s="19">
        <f>_xlfn.TEXTJOIN("-",TRUE,Y102,Z102,AA102)</f>
        <v/>
      </c>
    </row>
    <row r="103" customFormat="1" s="19">
      <c r="A103" s="32" t="inlineStr">
        <is>
          <t>11R22.5</t>
        </is>
      </c>
      <c r="B103" s="32" t="inlineStr">
        <is>
          <t>16PR</t>
        </is>
      </c>
      <c r="C103" s="32" t="inlineStr">
        <is>
          <t>AT115</t>
        </is>
      </c>
      <c r="D103" s="29" t="inlineStr">
        <is>
          <t>✔</t>
        </is>
      </c>
      <c r="E103" s="28">
        <f>_xlfn.TEXTJOIN("-",TRUE,A103,B103,C103)</f>
        <v/>
      </c>
      <c r="F103" s="20">
        <f>_xlfn.TEXTJOIN("-",TRUE,A590,B590,C590)</f>
        <v/>
      </c>
      <c r="G103" s="23" t="n"/>
      <c r="H103" s="23" t="n"/>
      <c r="I103" s="24" t="n"/>
      <c r="J103" s="19">
        <f>_xlfn.TEXTJOIN("-",TRUE,F103,G103,H103)</f>
        <v/>
      </c>
      <c r="O103" s="19">
        <f>_xlfn.TEXTJOIN("-",TRUE,K103,L103,M103)</f>
        <v/>
      </c>
      <c r="T103" s="19">
        <f>_xlfn.TEXTJOIN("-",TRUE,P103,Q103,R103)</f>
        <v/>
      </c>
      <c r="AC103" s="19">
        <f>_xlfn.TEXTJOIN("-",TRUE,Y103,Z103,AA103)</f>
        <v/>
      </c>
    </row>
    <row r="104" customFormat="1" s="19">
      <c r="A104" s="32" t="inlineStr">
        <is>
          <t>11R22.5</t>
        </is>
      </c>
      <c r="B104" s="32" t="inlineStr">
        <is>
          <t>16PR</t>
        </is>
      </c>
      <c r="C104" s="34" t="inlineStr">
        <is>
          <t>HT1 PlusX</t>
        </is>
      </c>
      <c r="D104" s="29" t="inlineStr">
        <is>
          <t>✔</t>
        </is>
      </c>
      <c r="E104" s="28">
        <f>_xlfn.TEXTJOIN("-",TRUE,A104,B104,C104)</f>
        <v/>
      </c>
      <c r="F104" s="20">
        <f>_xlfn.TEXTJOIN("-",TRUE,A591,B591,C591)</f>
        <v/>
      </c>
      <c r="G104" s="23" t="n"/>
      <c r="H104" s="23" t="n"/>
      <c r="I104" s="24" t="n"/>
      <c r="J104" s="19">
        <f>_xlfn.TEXTJOIN("-",TRUE,F104,G104,H104)</f>
        <v/>
      </c>
      <c r="O104" s="19">
        <f>_xlfn.TEXTJOIN("-",TRUE,K104,L104,M104)</f>
        <v/>
      </c>
      <c r="T104" s="19">
        <f>_xlfn.TEXTJOIN("-",TRUE,P104,Q104,R104)</f>
        <v/>
      </c>
      <c r="AC104" s="19">
        <f>_xlfn.TEXTJOIN("-",TRUE,Y104,Z104,AA104)</f>
        <v/>
      </c>
    </row>
    <row r="105" customFormat="1" s="19">
      <c r="A105" s="32" t="inlineStr">
        <is>
          <t>11R22.5</t>
        </is>
      </c>
      <c r="B105" s="32" t="inlineStr">
        <is>
          <t>16PR</t>
        </is>
      </c>
      <c r="C105" s="34" t="inlineStr">
        <is>
          <t>TLT-115</t>
        </is>
      </c>
      <c r="D105" s="29" t="inlineStr">
        <is>
          <t>✔</t>
        </is>
      </c>
      <c r="E105" s="28">
        <f>_xlfn.TEXTJOIN("-",TRUE,A105,B105,C105)</f>
        <v/>
      </c>
      <c r="F105" s="20">
        <f>_xlfn.TEXTJOIN("-",TRUE,A592,B592,C592)</f>
        <v/>
      </c>
      <c r="G105" s="23" t="n"/>
      <c r="H105" s="23" t="n"/>
      <c r="I105" s="24" t="n"/>
      <c r="J105" s="19">
        <f>_xlfn.TEXTJOIN("-",TRUE,F105,G105,H105)</f>
        <v/>
      </c>
      <c r="O105" s="19">
        <f>_xlfn.TEXTJOIN("-",TRUE,K105,L105,M105)</f>
        <v/>
      </c>
      <c r="T105" s="19">
        <f>_xlfn.TEXTJOIN("-",TRUE,P105,Q105,R105)</f>
        <v/>
      </c>
      <c r="AC105" s="19">
        <f>_xlfn.TEXTJOIN("-",TRUE,Y105,Z105,AA105)</f>
        <v/>
      </c>
    </row>
    <row r="106" customFormat="1" s="19">
      <c r="A106" s="32" t="inlineStr">
        <is>
          <t>11R22.5</t>
        </is>
      </c>
      <c r="B106" s="32" t="inlineStr">
        <is>
          <t>16PR</t>
        </is>
      </c>
      <c r="C106" s="34" t="inlineStr">
        <is>
          <t>MX901 TR</t>
        </is>
      </c>
      <c r="D106" s="29" t="inlineStr">
        <is>
          <t>✔</t>
        </is>
      </c>
      <c r="E106" s="28">
        <f>_xlfn.TEXTJOIN("-",TRUE,A106,B106,C106)</f>
        <v/>
      </c>
      <c r="F106" s="20">
        <f>_xlfn.TEXTJOIN("-",TRUE,A593,B593,C593)</f>
        <v/>
      </c>
      <c r="G106" s="23" t="n"/>
      <c r="H106" s="23" t="n"/>
      <c r="I106" s="24" t="n"/>
      <c r="J106" s="19">
        <f>_xlfn.TEXTJOIN("-",TRUE,F106,G106,H106)</f>
        <v/>
      </c>
      <c r="O106" s="19">
        <f>_xlfn.TEXTJOIN("-",TRUE,K106,L106,M106)</f>
        <v/>
      </c>
      <c r="T106" s="19">
        <f>_xlfn.TEXTJOIN("-",TRUE,P106,Q106,R106)</f>
        <v/>
      </c>
      <c r="AC106" s="19">
        <f>_xlfn.TEXTJOIN("-",TRUE,Y106,Z106,AA106)</f>
        <v/>
      </c>
    </row>
    <row r="107" customFormat="1" s="19">
      <c r="A107" s="32" t="inlineStr">
        <is>
          <t>11R22.5</t>
        </is>
      </c>
      <c r="B107" s="32" t="inlineStr">
        <is>
          <t>16PR</t>
        </is>
      </c>
      <c r="C107" s="32" t="inlineStr">
        <is>
          <t>DL22</t>
        </is>
      </c>
      <c r="D107" s="29" t="inlineStr">
        <is>
          <t>✔</t>
        </is>
      </c>
      <c r="E107" s="28">
        <f>_xlfn.TEXTJOIN("-",TRUE,A107,B107,C107)</f>
        <v/>
      </c>
      <c r="F107" s="20">
        <f>_xlfn.TEXTJOIN("-",TRUE,A594,B594,C594)</f>
        <v/>
      </c>
      <c r="G107" s="23" t="n"/>
      <c r="H107" s="23" t="n"/>
      <c r="I107" s="24" t="n"/>
      <c r="J107" s="19">
        <f>_xlfn.TEXTJOIN("-",TRUE,F107,G107,H107)</f>
        <v/>
      </c>
      <c r="O107" s="19">
        <f>_xlfn.TEXTJOIN("-",TRUE,K107,L107,M107)</f>
        <v/>
      </c>
      <c r="T107" s="19">
        <f>_xlfn.TEXTJOIN("-",TRUE,P107,Q107,R107)</f>
        <v/>
      </c>
      <c r="AC107" s="19">
        <f>_xlfn.TEXTJOIN("-",TRUE,Y107,Z107,AA107)</f>
        <v/>
      </c>
    </row>
    <row r="108" customFormat="1" s="19">
      <c r="A108" s="32" t="inlineStr">
        <is>
          <t>11R22.5</t>
        </is>
      </c>
      <c r="B108" s="32" t="inlineStr">
        <is>
          <t>16PR</t>
        </is>
      </c>
      <c r="C108" s="32" t="inlineStr">
        <is>
          <t>PD211</t>
        </is>
      </c>
      <c r="D108" s="29" t="inlineStr">
        <is>
          <t>✔</t>
        </is>
      </c>
      <c r="E108" s="28">
        <f>_xlfn.TEXTJOIN("-",TRUE,A108,B108,C108)</f>
        <v/>
      </c>
      <c r="F108" s="20">
        <f>_xlfn.TEXTJOIN("-",TRUE,A595,B595,C595)</f>
        <v/>
      </c>
      <c r="G108" s="23" t="n"/>
      <c r="H108" s="23" t="n"/>
      <c r="I108" s="24" t="n"/>
      <c r="J108" s="19">
        <f>_xlfn.TEXTJOIN("-",TRUE,F108,G108,H108)</f>
        <v/>
      </c>
      <c r="O108" s="19">
        <f>_xlfn.TEXTJOIN("-",TRUE,K108,L108,M108)</f>
        <v/>
      </c>
      <c r="T108" s="19">
        <f>_xlfn.TEXTJOIN("-",TRUE,P108,Q108,R108)</f>
        <v/>
      </c>
      <c r="AC108" s="19">
        <f>_xlfn.TEXTJOIN("-",TRUE,Y108,Z108,AA108)</f>
        <v/>
      </c>
    </row>
    <row r="109" customFormat="1" s="19">
      <c r="A109" s="32" t="inlineStr">
        <is>
          <t>11R22.5</t>
        </is>
      </c>
      <c r="B109" s="36" t="inlineStr">
        <is>
          <t>16PR</t>
        </is>
      </c>
      <c r="C109" s="34" t="inlineStr">
        <is>
          <t>I-61S</t>
        </is>
      </c>
      <c r="D109" s="29" t="inlineStr">
        <is>
          <t>✔</t>
        </is>
      </c>
      <c r="E109" s="28">
        <f>_xlfn.TEXTJOIN("-",TRUE,A109,B109,C109)</f>
        <v/>
      </c>
      <c r="F109" s="20">
        <f>_xlfn.TEXTJOIN("-",TRUE,A596,B596,C596)</f>
        <v/>
      </c>
      <c r="G109" s="23" t="n"/>
      <c r="H109" s="23" t="n"/>
      <c r="I109" s="24" t="n"/>
      <c r="J109" s="19">
        <f>_xlfn.TEXTJOIN("-",TRUE,F109,G109,H109)</f>
        <v/>
      </c>
      <c r="O109" s="19">
        <f>_xlfn.TEXTJOIN("-",TRUE,K109,L109,M109)</f>
        <v/>
      </c>
      <c r="T109" s="19">
        <f>_xlfn.TEXTJOIN("-",TRUE,P109,Q109,R109)</f>
        <v/>
      </c>
      <c r="AC109" s="19">
        <f>_xlfn.TEXTJOIN("-",TRUE,Y109,Z109,AA109)</f>
        <v/>
      </c>
    </row>
    <row r="110" customFormat="1" s="19">
      <c r="A110" s="25" t="inlineStr">
        <is>
          <t>11R22.5</t>
        </is>
      </c>
      <c r="B110" s="32" t="inlineStr">
        <is>
          <t>16PR</t>
        </is>
      </c>
      <c r="C110" s="43" t="inlineStr">
        <is>
          <t>I-31M</t>
        </is>
      </c>
      <c r="D110" s="29" t="inlineStr">
        <is>
          <t>✔</t>
        </is>
      </c>
      <c r="E110" s="28">
        <f>_xlfn.TEXTJOIN("-",TRUE,A110,B110,C110)</f>
        <v/>
      </c>
      <c r="F110" s="20">
        <f>_xlfn.TEXTJOIN("-",TRUE,A597,B597,C597)</f>
        <v/>
      </c>
      <c r="G110" s="23" t="n"/>
      <c r="H110" s="23" t="n"/>
      <c r="I110" s="24" t="n"/>
      <c r="J110" s="19">
        <f>_xlfn.TEXTJOIN("-",TRUE,F110,G110,H110)</f>
        <v/>
      </c>
      <c r="O110" s="19">
        <f>_xlfn.TEXTJOIN("-",TRUE,K110,L110,M110)</f>
        <v/>
      </c>
      <c r="T110" s="19">
        <f>_xlfn.TEXTJOIN("-",TRUE,P110,Q110,R110)</f>
        <v/>
      </c>
      <c r="AC110" s="19">
        <f>_xlfn.TEXTJOIN("-",TRUE,Y110,Z110,AA110)</f>
        <v/>
      </c>
    </row>
    <row r="111" customFormat="1" s="19">
      <c r="A111" s="25" t="inlineStr">
        <is>
          <t>11R22.5</t>
        </is>
      </c>
      <c r="B111" s="32" t="inlineStr">
        <is>
          <t>16PR</t>
        </is>
      </c>
      <c r="C111" s="43" t="inlineStr">
        <is>
          <t>I-28D</t>
        </is>
      </c>
      <c r="D111" s="29" t="inlineStr">
        <is>
          <t>✔</t>
        </is>
      </c>
      <c r="E111" s="28">
        <f>_xlfn.TEXTJOIN("-",TRUE,A111,B111,C111)</f>
        <v/>
      </c>
      <c r="F111" s="20">
        <f>_xlfn.TEXTJOIN("-",TRUE,A598,B598,C598)</f>
        <v/>
      </c>
      <c r="G111" s="23" t="n"/>
      <c r="H111" s="23" t="n"/>
      <c r="I111" s="24" t="n"/>
      <c r="J111" s="19">
        <f>_xlfn.TEXTJOIN("-",TRUE,F111,G111,H111)</f>
        <v/>
      </c>
      <c r="O111" s="19">
        <f>_xlfn.TEXTJOIN("-",TRUE,K111,L111,M111)</f>
        <v/>
      </c>
      <c r="T111" s="19">
        <f>_xlfn.TEXTJOIN("-",TRUE,P111,Q111,R111)</f>
        <v/>
      </c>
      <c r="AC111" s="19">
        <f>_xlfn.TEXTJOIN("-",TRUE,Y111,Z111,AA111)</f>
        <v/>
      </c>
    </row>
    <row r="112" customFormat="1" s="19">
      <c r="A112" s="25" t="inlineStr">
        <is>
          <t>11R22.5</t>
        </is>
      </c>
      <c r="B112" s="32" t="inlineStr">
        <is>
          <t>14PR</t>
        </is>
      </c>
      <c r="C112" s="43" t="inlineStr">
        <is>
          <t>I-48T</t>
        </is>
      </c>
      <c r="D112" s="29" t="inlineStr">
        <is>
          <t>✔</t>
        </is>
      </c>
      <c r="E112" s="28">
        <f>_xlfn.TEXTJOIN("-",TRUE,A112,B112,C112)</f>
        <v/>
      </c>
      <c r="F112" s="20">
        <f>_xlfn.TEXTJOIN("-",TRUE,A599,B599,C599)</f>
        <v/>
      </c>
      <c r="G112" s="23" t="n"/>
      <c r="H112" s="23" t="n"/>
      <c r="I112" s="24" t="n"/>
      <c r="J112" s="19">
        <f>_xlfn.TEXTJOIN("-",TRUE,F112,G112,H112)</f>
        <v/>
      </c>
      <c r="O112" s="19">
        <f>_xlfn.TEXTJOIN("-",TRUE,K112,L112,M112)</f>
        <v/>
      </c>
      <c r="T112" s="19">
        <f>_xlfn.TEXTJOIN("-",TRUE,P112,Q112,R112)</f>
        <v/>
      </c>
      <c r="AC112" s="19">
        <f>_xlfn.TEXTJOIN("-",TRUE,Y112,Z112,AA112)</f>
        <v/>
      </c>
    </row>
    <row r="113" customFormat="1" s="19">
      <c r="A113" s="32" t="inlineStr">
        <is>
          <t>11R22.5</t>
        </is>
      </c>
      <c r="B113" s="32" t="inlineStr">
        <is>
          <t>16PR</t>
        </is>
      </c>
      <c r="C113" s="32" t="inlineStr">
        <is>
          <t>CM958</t>
        </is>
      </c>
      <c r="D113" s="29" t="inlineStr">
        <is>
          <t>✔</t>
        </is>
      </c>
      <c r="E113" s="28">
        <f>_xlfn.TEXTJOIN("-",TRUE,A113,B113,C113)</f>
        <v/>
      </c>
      <c r="F113" s="20">
        <f>_xlfn.TEXTJOIN("-",TRUE,A600,B600,C600)</f>
        <v/>
      </c>
      <c r="G113" s="23" t="n"/>
      <c r="H113" s="23" t="n"/>
      <c r="I113" s="24" t="n"/>
      <c r="J113" s="19">
        <f>_xlfn.TEXTJOIN("-",TRUE,F113,G113,H113)</f>
        <v/>
      </c>
      <c r="O113" s="19">
        <f>_xlfn.TEXTJOIN("-",TRUE,K113,L113,M113)</f>
        <v/>
      </c>
      <c r="T113" s="19">
        <f>_xlfn.TEXTJOIN("-",TRUE,P113,Q113,R113)</f>
        <v/>
      </c>
      <c r="AC113" s="19">
        <f>_xlfn.TEXTJOIN("-",TRUE,Y113,Z113,AA113)</f>
        <v/>
      </c>
    </row>
    <row r="114" customFormat="1" s="19">
      <c r="A114" s="32" t="inlineStr">
        <is>
          <t>11R22.5</t>
        </is>
      </c>
      <c r="B114" s="32" t="inlineStr">
        <is>
          <t>16PR</t>
        </is>
      </c>
      <c r="C114" s="32" t="inlineStr">
        <is>
          <t>I-52A</t>
        </is>
      </c>
      <c r="D114" s="29" t="inlineStr">
        <is>
          <t>✔</t>
        </is>
      </c>
      <c r="E114" s="28">
        <f>_xlfn.TEXTJOIN("-",TRUE,A114,B114,C114)</f>
        <v/>
      </c>
      <c r="F114" s="20">
        <f>_xlfn.TEXTJOIN("-",TRUE,A601,B601,C601)</f>
        <v/>
      </c>
      <c r="G114" s="23" t="n"/>
      <c r="H114" s="23" t="n"/>
      <c r="I114" s="24" t="n"/>
      <c r="J114" s="19">
        <f>_xlfn.TEXTJOIN("-",TRUE,F114,G114,H114)</f>
        <v/>
      </c>
      <c r="O114" s="19">
        <f>_xlfn.TEXTJOIN("-",TRUE,K114,L114,M114)</f>
        <v/>
      </c>
      <c r="T114" s="19">
        <f>_xlfn.TEXTJOIN("-",TRUE,P114,Q114,R114)</f>
        <v/>
      </c>
      <c r="AC114" s="19">
        <f>_xlfn.TEXTJOIN("-",TRUE,Y114,Z114,AA114)</f>
        <v/>
      </c>
    </row>
    <row r="115" customFormat="1" s="19">
      <c r="A115" s="32" t="inlineStr">
        <is>
          <t>11R22.5</t>
        </is>
      </c>
      <c r="B115" s="32" t="inlineStr">
        <is>
          <t>16PR</t>
        </is>
      </c>
      <c r="C115" s="32" t="inlineStr">
        <is>
          <t>VA991</t>
        </is>
      </c>
      <c r="D115" s="29" t="inlineStr">
        <is>
          <t>✔</t>
        </is>
      </c>
      <c r="E115" s="28">
        <f>_xlfn.TEXTJOIN("-",TRUE,A115,B115,C115)</f>
        <v/>
      </c>
      <c r="F115" s="20">
        <f>_xlfn.TEXTJOIN("-",TRUE,A602,B602,C602)</f>
        <v/>
      </c>
      <c r="G115" s="23" t="n"/>
      <c r="H115" s="23" t="n"/>
      <c r="I115" s="24" t="n"/>
      <c r="J115" s="19">
        <f>_xlfn.TEXTJOIN("-",TRUE,F115,G115,H115)</f>
        <v/>
      </c>
      <c r="O115" s="19">
        <f>_xlfn.TEXTJOIN("-",TRUE,K115,L115,M115)</f>
        <v/>
      </c>
      <c r="T115" s="19">
        <f>_xlfn.TEXTJOIN("-",TRUE,P115,Q115,R115)</f>
        <v/>
      </c>
      <c r="AC115" s="19">
        <f>_xlfn.TEXTJOIN("-",TRUE,Y115,Z115,AA115)</f>
        <v/>
      </c>
    </row>
    <row r="116" customFormat="1" s="19">
      <c r="A116" s="32" t="inlineStr">
        <is>
          <t>11R22.5</t>
        </is>
      </c>
      <c r="B116" s="32" t="inlineStr">
        <is>
          <t>16PR</t>
        </is>
      </c>
      <c r="C116" s="32" t="inlineStr">
        <is>
          <t>I-37D</t>
        </is>
      </c>
      <c r="D116" s="29" t="inlineStr">
        <is>
          <t>✔</t>
        </is>
      </c>
      <c r="E116" s="28">
        <f>_xlfn.TEXTJOIN("-",TRUE,A116,B116,C116)</f>
        <v/>
      </c>
      <c r="F116" s="20">
        <f>_xlfn.TEXTJOIN("-",TRUE,A603,B603,C603)</f>
        <v/>
      </c>
      <c r="G116" s="23" t="n"/>
      <c r="H116" s="23" t="n"/>
      <c r="I116" s="24" t="n"/>
      <c r="J116" s="19">
        <f>_xlfn.TEXTJOIN("-",TRUE,F116,G116,H116)</f>
        <v/>
      </c>
      <c r="O116" s="19">
        <f>_xlfn.TEXTJOIN("-",TRUE,K116,L116,M116)</f>
        <v/>
      </c>
      <c r="T116" s="19">
        <f>_xlfn.TEXTJOIN("-",TRUE,P116,Q116,R116)</f>
        <v/>
      </c>
      <c r="AC116" s="19">
        <f>_xlfn.TEXTJOIN("-",TRUE,Y116,Z116,AA116)</f>
        <v/>
      </c>
    </row>
    <row r="117" customFormat="1" s="19">
      <c r="A117" s="56" t="inlineStr">
        <is>
          <t>11R22.5</t>
        </is>
      </c>
      <c r="B117" s="32" t="inlineStr">
        <is>
          <t>16PR</t>
        </is>
      </c>
      <c r="C117" s="57" t="inlineStr">
        <is>
          <t>VD908</t>
        </is>
      </c>
      <c r="D117" s="29" t="inlineStr">
        <is>
          <t>✔</t>
        </is>
      </c>
      <c r="E117" s="28">
        <f>_xlfn.TEXTJOIN("-",TRUE,A117,B117,C117)</f>
        <v/>
      </c>
      <c r="F117" s="20">
        <f>_xlfn.TEXTJOIN("-",TRUE,A604,B604,C604)</f>
        <v/>
      </c>
      <c r="G117" s="23" t="n"/>
      <c r="H117" s="23" t="n"/>
      <c r="I117" s="24" t="n"/>
      <c r="J117" s="19">
        <f>_xlfn.TEXTJOIN("-",TRUE,F117,G117,H117)</f>
        <v/>
      </c>
      <c r="O117" s="19">
        <f>_xlfn.TEXTJOIN("-",TRUE,K117,L117,M117)</f>
        <v/>
      </c>
      <c r="T117" s="19">
        <f>_xlfn.TEXTJOIN("-",TRUE,P117,Q117,R117)</f>
        <v/>
      </c>
      <c r="AC117" s="19">
        <f>_xlfn.TEXTJOIN("-",TRUE,Y117,Z117,AA117)</f>
        <v/>
      </c>
    </row>
    <row r="118" customFormat="1" s="19">
      <c r="A118" s="58" t="inlineStr">
        <is>
          <t>11R22.5</t>
        </is>
      </c>
      <c r="B118" s="32" t="inlineStr">
        <is>
          <t>16PR</t>
        </is>
      </c>
      <c r="C118" s="59" t="inlineStr">
        <is>
          <t>VD998</t>
        </is>
      </c>
      <c r="D118" s="29" t="inlineStr">
        <is>
          <t>✔</t>
        </is>
      </c>
      <c r="E118" s="28">
        <f>_xlfn.TEXTJOIN("-",TRUE,A118,B118,C118)</f>
        <v/>
      </c>
      <c r="F118" s="20">
        <f>_xlfn.TEXTJOIN("-",TRUE,A605,B605,C605)</f>
        <v/>
      </c>
      <c r="G118" s="23" t="n"/>
      <c r="H118" s="23" t="n"/>
      <c r="I118" s="24" t="n"/>
      <c r="J118" s="19">
        <f>_xlfn.TEXTJOIN("-",TRUE,F118,G118,H118)</f>
        <v/>
      </c>
      <c r="O118" s="19">
        <f>_xlfn.TEXTJOIN("-",TRUE,K118,L118,M118)</f>
        <v/>
      </c>
      <c r="T118" s="19">
        <f>_xlfn.TEXTJOIN("-",TRUE,P118,Q118,R118)</f>
        <v/>
      </c>
      <c r="AC118" s="19">
        <f>_xlfn.TEXTJOIN("-",TRUE,Y118,Z118,AA118)</f>
        <v/>
      </c>
    </row>
    <row r="119" customFormat="1" s="19">
      <c r="A119" s="58" t="inlineStr">
        <is>
          <t>11R22.5</t>
        </is>
      </c>
      <c r="B119" s="32" t="inlineStr">
        <is>
          <t>16PR</t>
        </is>
      </c>
      <c r="C119" s="32" t="inlineStr">
        <is>
          <t>HD2 Plus</t>
        </is>
      </c>
      <c r="D119" s="29" t="inlineStr">
        <is>
          <t>✔</t>
        </is>
      </c>
      <c r="E119" s="28">
        <f>_xlfn.TEXTJOIN("-",TRUE,A119,B119,C119)</f>
        <v/>
      </c>
      <c r="F119" s="20">
        <f>_xlfn.TEXTJOIN("-",TRUE,A606,B606,C606)</f>
        <v/>
      </c>
      <c r="G119" s="23" t="n"/>
      <c r="H119" s="23" t="n"/>
      <c r="I119" s="24" t="n"/>
      <c r="J119" s="19">
        <f>_xlfn.TEXTJOIN("-",TRUE,F119,G119,H119)</f>
        <v/>
      </c>
      <c r="O119" s="19">
        <f>_xlfn.TEXTJOIN("-",TRUE,K119,L119,M119)</f>
        <v/>
      </c>
      <c r="T119" s="19">
        <f>_xlfn.TEXTJOIN("-",TRUE,P119,Q119,R119)</f>
        <v/>
      </c>
      <c r="AC119" s="19">
        <f>_xlfn.TEXTJOIN("-",TRUE,Y119,Z119,AA119)</f>
        <v/>
      </c>
    </row>
    <row r="120" customFormat="1" s="19">
      <c r="A120" s="58" t="inlineStr">
        <is>
          <t>11R22.5</t>
        </is>
      </c>
      <c r="B120" s="32" t="inlineStr">
        <is>
          <t>16PR</t>
        </is>
      </c>
      <c r="C120" s="32" t="inlineStr">
        <is>
          <t>AD721</t>
        </is>
      </c>
      <c r="D120" s="29" t="inlineStr">
        <is>
          <t>✔</t>
        </is>
      </c>
      <c r="E120" s="28">
        <f>_xlfn.TEXTJOIN("-",TRUE,A120,B120,C120)</f>
        <v/>
      </c>
      <c r="F120" s="20">
        <f>_xlfn.TEXTJOIN("-",TRUE,A607,B607,C607)</f>
        <v/>
      </c>
      <c r="G120" s="23" t="n"/>
      <c r="H120" s="23" t="n"/>
      <c r="I120" s="24" t="n"/>
      <c r="J120" s="19">
        <f>_xlfn.TEXTJOIN("-",TRUE,F120,G120,H120)</f>
        <v/>
      </c>
      <c r="O120" s="19">
        <f>_xlfn.TEXTJOIN("-",TRUE,K120,L120,M120)</f>
        <v/>
      </c>
      <c r="T120" s="19">
        <f>_xlfn.TEXTJOIN("-",TRUE,P120,Q120,R120)</f>
        <v/>
      </c>
      <c r="AC120" s="19">
        <f>_xlfn.TEXTJOIN("-",TRUE,Y120,Z120,AA120)</f>
        <v/>
      </c>
    </row>
    <row r="121" customFormat="1" s="19">
      <c r="A121" s="58" t="inlineStr">
        <is>
          <t>11R22.5</t>
        </is>
      </c>
      <c r="B121" s="32" t="inlineStr">
        <is>
          <t>16PR</t>
        </is>
      </c>
      <c r="C121" s="32" t="inlineStr">
        <is>
          <t>M-TRAC AP</t>
        </is>
      </c>
      <c r="D121" s="29" t="inlineStr">
        <is>
          <t>✔</t>
        </is>
      </c>
      <c r="E121" s="28">
        <f>_xlfn.TEXTJOIN("-",TRUE,A121,B121,C121)</f>
        <v/>
      </c>
      <c r="F121" s="20">
        <f>_xlfn.TEXTJOIN("-",TRUE,A608,B608,C608)</f>
        <v/>
      </c>
      <c r="G121" s="23" t="n"/>
      <c r="H121" s="23" t="n"/>
      <c r="I121" s="24" t="n"/>
      <c r="J121" s="19">
        <f>_xlfn.TEXTJOIN("-",TRUE,F121,G121,H121)</f>
        <v/>
      </c>
      <c r="O121" s="19">
        <f>_xlfn.TEXTJOIN("-",TRUE,K121,L121,M121)</f>
        <v/>
      </c>
      <c r="T121" s="19">
        <f>_xlfn.TEXTJOIN("-",TRUE,P121,Q121,R121)</f>
        <v/>
      </c>
      <c r="AC121" s="19">
        <f>_xlfn.TEXTJOIN("-",TRUE,Y121,Z121,AA121)</f>
        <v/>
      </c>
    </row>
    <row r="122" customFormat="1" s="19">
      <c r="A122" s="58" t="inlineStr">
        <is>
          <t>11R22.5</t>
        </is>
      </c>
      <c r="B122" s="32" t="inlineStr">
        <is>
          <t>16PR</t>
        </is>
      </c>
      <c r="C122" s="59" t="inlineStr">
        <is>
          <t>AD737</t>
        </is>
      </c>
      <c r="D122" s="29" t="inlineStr">
        <is>
          <t>✔</t>
        </is>
      </c>
      <c r="E122" s="28">
        <f>_xlfn.TEXTJOIN("-",TRUE,A122,B122,C122)</f>
        <v/>
      </c>
      <c r="F122" s="20">
        <f>_xlfn.TEXTJOIN("-",TRUE,#REF!,#REF!,#REF!)</f>
        <v/>
      </c>
      <c r="G122" s="23" t="n"/>
      <c r="H122" s="23" t="n"/>
      <c r="I122" s="24" t="n"/>
      <c r="J122" s="19">
        <f>_xlfn.TEXTJOIN("-",TRUE,F122,G122,H122)</f>
        <v/>
      </c>
      <c r="O122" s="19">
        <f>_xlfn.TEXTJOIN("-",TRUE,K122,L122,M122)</f>
        <v/>
      </c>
      <c r="T122" s="19">
        <f>_xlfn.TEXTJOIN("-",TRUE,P122,Q122,R122)</f>
        <v/>
      </c>
      <c r="AC122" s="19">
        <f>_xlfn.TEXTJOIN("-",TRUE,Y122,Z122,AA122)</f>
        <v/>
      </c>
    </row>
    <row r="123" customFormat="1" s="19">
      <c r="A123" s="58" t="inlineStr">
        <is>
          <t>11R22.5</t>
        </is>
      </c>
      <c r="B123" s="32" t="inlineStr">
        <is>
          <t>16PR</t>
        </is>
      </c>
      <c r="C123" s="59" t="inlineStr">
        <is>
          <t>KOBE DPM</t>
        </is>
      </c>
      <c r="D123" s="29" t="inlineStr">
        <is>
          <t>✔</t>
        </is>
      </c>
      <c r="E123" s="28">
        <f>_xlfn.TEXTJOIN("-",TRUE,A123,B123,C123)</f>
        <v/>
      </c>
      <c r="F123" s="20">
        <f>_xlfn.TEXTJOIN("-",TRUE,#REF!,#REF!,#REF!)</f>
        <v/>
      </c>
      <c r="G123" s="23" t="n"/>
      <c r="H123" s="23" t="n"/>
      <c r="I123" s="24" t="n"/>
      <c r="J123" s="19">
        <f>_xlfn.TEXTJOIN("-",TRUE,F123,G123,H123)</f>
        <v/>
      </c>
      <c r="O123" s="19">
        <f>_xlfn.TEXTJOIN("-",TRUE,K123,L123,M123)</f>
        <v/>
      </c>
      <c r="T123" s="19">
        <f>_xlfn.TEXTJOIN("-",TRUE,P123,Q123,R123)</f>
        <v/>
      </c>
      <c r="AC123" s="19">
        <f>_xlfn.TEXTJOIN("-",TRUE,Y123,Z123,AA123)</f>
        <v/>
      </c>
    </row>
    <row r="124" customFormat="1" s="19">
      <c r="A124" s="58" t="inlineStr">
        <is>
          <t>11R22.5</t>
        </is>
      </c>
      <c r="B124" s="32" t="inlineStr">
        <is>
          <t>16PR</t>
        </is>
      </c>
      <c r="C124" s="59" t="inlineStr">
        <is>
          <t>AD196</t>
        </is>
      </c>
      <c r="D124" s="29" t="inlineStr">
        <is>
          <t>✔</t>
        </is>
      </c>
      <c r="E124" s="28">
        <f>_xlfn.TEXTJOIN("-",TRUE,A124,B124,C124)</f>
        <v/>
      </c>
      <c r="F124" s="20">
        <f>_xlfn.TEXTJOIN("-",TRUE,A609,B609,C609)</f>
        <v/>
      </c>
      <c r="G124" s="23" t="n"/>
      <c r="H124" s="23" t="n"/>
      <c r="I124" s="24" t="n"/>
      <c r="J124" s="19">
        <f>_xlfn.TEXTJOIN("-",TRUE,F124,G124,H124)</f>
        <v/>
      </c>
      <c r="O124" s="19">
        <f>_xlfn.TEXTJOIN("-",TRUE,K124,L124,M124)</f>
        <v/>
      </c>
      <c r="T124" s="19">
        <f>_xlfn.TEXTJOIN("-",TRUE,P124,Q124,R124)</f>
        <v/>
      </c>
      <c r="AC124" s="19">
        <f>_xlfn.TEXTJOIN("-",TRUE,Y124,Z124,AA124)</f>
        <v/>
      </c>
    </row>
    <row r="125" customFormat="1" s="19">
      <c r="A125" s="58" t="inlineStr">
        <is>
          <t>11R22.5</t>
        </is>
      </c>
      <c r="B125" s="32" t="inlineStr">
        <is>
          <t>16PR</t>
        </is>
      </c>
      <c r="C125" s="59" t="inlineStr">
        <is>
          <t>VDM924</t>
        </is>
      </c>
      <c r="D125" s="29" t="inlineStr">
        <is>
          <t>✔</t>
        </is>
      </c>
      <c r="E125" s="28">
        <f>_xlfn.TEXTJOIN("-",TRUE,A125,B125,C125)</f>
        <v/>
      </c>
      <c r="F125" s="20">
        <f>_xlfn.TEXTJOIN("-",TRUE,A610,B610,C610)</f>
        <v/>
      </c>
      <c r="G125" s="23" t="n"/>
      <c r="H125" s="23" t="n"/>
      <c r="I125" s="24" t="n"/>
      <c r="J125" s="19">
        <f>_xlfn.TEXTJOIN("-",TRUE,F125,G125,H125)</f>
        <v/>
      </c>
      <c r="O125" s="19">
        <f>_xlfn.TEXTJOIN("-",TRUE,K125,L125,M125)</f>
        <v/>
      </c>
      <c r="T125" s="19">
        <f>_xlfn.TEXTJOIN("-",TRUE,P125,Q125,R125)</f>
        <v/>
      </c>
      <c r="AC125" s="19">
        <f>_xlfn.TEXTJOIN("-",TRUE,Y125,Z125,AA125)</f>
        <v/>
      </c>
    </row>
    <row r="126" customFormat="1" s="19">
      <c r="A126" s="58" t="inlineStr">
        <is>
          <t>11R22.5</t>
        </is>
      </c>
      <c r="B126" s="32" t="inlineStr">
        <is>
          <t>16PR</t>
        </is>
      </c>
      <c r="C126" s="59" t="inlineStr">
        <is>
          <t>KOBE APM</t>
        </is>
      </c>
      <c r="D126" s="29" t="inlineStr">
        <is>
          <t>✔</t>
        </is>
      </c>
      <c r="E126" s="28">
        <f>_xlfn.TEXTJOIN("-",TRUE,A126,B126,C126)</f>
        <v/>
      </c>
      <c r="F126" s="20">
        <f>_xlfn.TEXTJOIN("-",TRUE,A611,B611,C611)</f>
        <v/>
      </c>
      <c r="G126" s="23" t="n"/>
      <c r="H126" s="23" t="n"/>
      <c r="I126" s="24" t="n"/>
      <c r="J126" s="19">
        <f>_xlfn.TEXTJOIN("-",TRUE,F126,G126,H126)</f>
        <v/>
      </c>
      <c r="O126" s="19">
        <f>_xlfn.TEXTJOIN("-",TRUE,K126,L126,M126)</f>
        <v/>
      </c>
      <c r="T126" s="19">
        <f>_xlfn.TEXTJOIN("-",TRUE,P126,Q126,R126)</f>
        <v/>
      </c>
      <c r="AC126" s="19">
        <f>_xlfn.TEXTJOIN("-",TRUE,Y126,Z126,AA126)</f>
        <v/>
      </c>
    </row>
    <row r="127" customFormat="1" s="19">
      <c r="A127" s="58" t="inlineStr">
        <is>
          <t>11R22.5</t>
        </is>
      </c>
      <c r="B127" s="32" t="inlineStr">
        <is>
          <t>16PR</t>
        </is>
      </c>
      <c r="C127" s="59" t="inlineStr">
        <is>
          <t>AT194</t>
        </is>
      </c>
      <c r="D127" s="29" t="inlineStr">
        <is>
          <t>✔</t>
        </is>
      </c>
      <c r="E127" s="28">
        <f>_xlfn.TEXTJOIN("-",TRUE,A127,B127,C127)</f>
        <v/>
      </c>
      <c r="F127" s="20">
        <f>_xlfn.TEXTJOIN("-",TRUE,A612,B612,C612)</f>
        <v/>
      </c>
      <c r="G127" s="23" t="n"/>
      <c r="H127" s="23" t="n"/>
      <c r="I127" s="24" t="n"/>
      <c r="J127" s="19">
        <f>_xlfn.TEXTJOIN("-",TRUE,F127,G127,H127)</f>
        <v/>
      </c>
      <c r="O127" s="19">
        <f>_xlfn.TEXTJOIN("-",TRUE,K127,L127,M127)</f>
        <v/>
      </c>
      <c r="T127" s="19">
        <f>_xlfn.TEXTJOIN("-",TRUE,P127,Q127,R127)</f>
        <v/>
      </c>
      <c r="AC127" s="19">
        <f>_xlfn.TEXTJOIN("-",TRUE,Y127,Z127,AA127)</f>
        <v/>
      </c>
    </row>
    <row r="128" customFormat="1" s="19">
      <c r="A128" s="58" t="inlineStr">
        <is>
          <t>11R22.5</t>
        </is>
      </c>
      <c r="B128" s="32" t="inlineStr">
        <is>
          <t>16PR</t>
        </is>
      </c>
      <c r="C128" s="59" t="inlineStr">
        <is>
          <t>AT167</t>
        </is>
      </c>
      <c r="D128" s="29" t="inlineStr">
        <is>
          <t>✔</t>
        </is>
      </c>
      <c r="E128" s="28">
        <f>_xlfn.TEXTJOIN("-",TRUE,A128,B128,C128)</f>
        <v/>
      </c>
      <c r="F128" s="20">
        <f>_xlfn.TEXTJOIN("-",TRUE,A613,B613,C613)</f>
        <v/>
      </c>
      <c r="G128" s="23" t="n"/>
      <c r="H128" s="23" t="n"/>
      <c r="I128" s="24" t="n"/>
      <c r="J128" s="19">
        <f>_xlfn.TEXTJOIN("-",TRUE,F128,G128,H128)</f>
        <v/>
      </c>
      <c r="O128" s="19">
        <f>_xlfn.TEXTJOIN("-",TRUE,K128,L128,M128)</f>
        <v/>
      </c>
      <c r="T128" s="19">
        <f>_xlfn.TEXTJOIN("-",TRUE,P128,Q128,R128)</f>
        <v/>
      </c>
      <c r="AC128" s="19">
        <f>_xlfn.TEXTJOIN("-",TRUE,Y128,Z128,AA128)</f>
        <v/>
      </c>
    </row>
    <row r="129" customFormat="1" s="19">
      <c r="A129" s="58" t="inlineStr">
        <is>
          <t>11R22.5</t>
        </is>
      </c>
      <c r="B129" s="32" t="inlineStr">
        <is>
          <t>16PR</t>
        </is>
      </c>
      <c r="C129" s="59" t="inlineStr">
        <is>
          <t>HF1 Plus</t>
        </is>
      </c>
      <c r="D129" s="29" t="inlineStr">
        <is>
          <t>✔</t>
        </is>
      </c>
      <c r="E129" s="28">
        <f>_xlfn.TEXTJOIN("-",TRUE,A129,B129,C129)</f>
        <v/>
      </c>
      <c r="F129" s="20">
        <f>_xlfn.TEXTJOIN("-",TRUE,A614,B614,C614)</f>
        <v/>
      </c>
      <c r="G129" s="23" t="n"/>
      <c r="H129" s="23" t="n"/>
      <c r="I129" s="24" t="n"/>
      <c r="J129" s="19">
        <f>_xlfn.TEXTJOIN("-",TRUE,F129,G129,H129)</f>
        <v/>
      </c>
      <c r="O129" s="19">
        <f>_xlfn.TEXTJOIN("-",TRUE,K129,L129,M129)</f>
        <v/>
      </c>
      <c r="T129" s="19">
        <f>_xlfn.TEXTJOIN("-",TRUE,P129,Q129,R129)</f>
        <v/>
      </c>
      <c r="AC129" s="19">
        <f>_xlfn.TEXTJOIN("-",TRUE,Y129,Z129,AA129)</f>
        <v/>
      </c>
    </row>
    <row r="130" customFormat="1" s="19">
      <c r="A130" s="58" t="inlineStr">
        <is>
          <t>11R22.5</t>
        </is>
      </c>
      <c r="B130" s="32" t="inlineStr">
        <is>
          <t>16PR</t>
        </is>
      </c>
      <c r="C130" s="59" t="inlineStr">
        <is>
          <t>MX901 AP</t>
        </is>
      </c>
      <c r="D130" s="29" t="inlineStr">
        <is>
          <t>✔</t>
        </is>
      </c>
      <c r="E130" s="28">
        <f>_xlfn.TEXTJOIN("-",TRUE,A130,B130,C130)</f>
        <v/>
      </c>
      <c r="F130" s="20">
        <f>_xlfn.TEXTJOIN("-",TRUE,A615,B615,C615)</f>
        <v/>
      </c>
      <c r="G130" s="23" t="n"/>
      <c r="H130" s="23" t="n"/>
      <c r="I130" s="24" t="n"/>
      <c r="J130" s="19">
        <f>_xlfn.TEXTJOIN("-",TRUE,F130,G130,H130)</f>
        <v/>
      </c>
      <c r="O130" s="19">
        <f>_xlfn.TEXTJOIN("-",TRUE,K130,L130,M130)</f>
        <v/>
      </c>
      <c r="T130" s="19">
        <f>_xlfn.TEXTJOIN("-",TRUE,P130,Q130,R130)</f>
        <v/>
      </c>
      <c r="AC130" s="19">
        <f>_xlfn.TEXTJOIN("-",TRUE,Y130,Z130,AA130)</f>
        <v/>
      </c>
    </row>
    <row r="131" customFormat="1" s="19">
      <c r="A131" s="58" t="inlineStr">
        <is>
          <t>11R22.5</t>
        </is>
      </c>
      <c r="B131" s="32" t="inlineStr">
        <is>
          <t>16PR</t>
        </is>
      </c>
      <c r="C131" s="59" t="inlineStr">
        <is>
          <t>TRA-167</t>
        </is>
      </c>
      <c r="D131" s="29" t="inlineStr">
        <is>
          <t>✔</t>
        </is>
      </c>
      <c r="E131" s="28">
        <f>_xlfn.TEXTJOIN("-",TRUE,A131,B131,C131)</f>
        <v/>
      </c>
      <c r="F131" s="20">
        <f>_xlfn.TEXTJOIN("-",TRUE,A616,B616,C616)</f>
        <v/>
      </c>
      <c r="G131" s="23" t="n"/>
      <c r="H131" s="23" t="n"/>
      <c r="I131" s="24" t="n"/>
      <c r="J131" s="19">
        <f>_xlfn.TEXTJOIN("-",TRUE,F131,G131,H131)</f>
        <v/>
      </c>
      <c r="O131" s="19">
        <f>_xlfn.TEXTJOIN("-",TRUE,K131,L131,M131)</f>
        <v/>
      </c>
      <c r="T131" s="19">
        <f>_xlfn.TEXTJOIN("-",TRUE,P131,Q131,R131)</f>
        <v/>
      </c>
      <c r="AC131" s="19">
        <f>_xlfn.TEXTJOIN("-",TRUE,Y131,Z131,AA131)</f>
        <v/>
      </c>
    </row>
    <row r="132" customFormat="1" s="19">
      <c r="A132" s="58" t="inlineStr">
        <is>
          <t>11R22.5</t>
        </is>
      </c>
      <c r="B132" s="32" t="inlineStr">
        <is>
          <t>16PR</t>
        </is>
      </c>
      <c r="C132" s="59" t="inlineStr">
        <is>
          <t>HF1 PlusX</t>
        </is>
      </c>
      <c r="D132" s="29" t="inlineStr">
        <is>
          <t>✔</t>
        </is>
      </c>
      <c r="E132" s="28">
        <f>_xlfn.TEXTJOIN("-",TRUE,A132,B132,C132)</f>
        <v/>
      </c>
      <c r="F132" s="20">
        <f>_xlfn.TEXTJOIN("-",TRUE,A617,B617,C617)</f>
        <v/>
      </c>
      <c r="G132" s="23" t="n"/>
      <c r="H132" s="23" t="n"/>
      <c r="I132" s="24" t="n"/>
      <c r="J132" s="19">
        <f>_xlfn.TEXTJOIN("-",TRUE,F132,G132,H132)</f>
        <v/>
      </c>
      <c r="O132" s="19">
        <f>_xlfn.TEXTJOIN("-",TRUE,K132,L132,M132)</f>
        <v/>
      </c>
      <c r="T132" s="19">
        <f>_xlfn.TEXTJOIN("-",TRUE,P132,Q132,R132)</f>
        <v/>
      </c>
      <c r="AC132" s="19">
        <f>_xlfn.TEXTJOIN("-",TRUE,Y132,Z132,AA132)</f>
        <v/>
      </c>
    </row>
    <row r="133" customFormat="1" s="19">
      <c r="A133" s="58" t="inlineStr">
        <is>
          <t>11R22.5</t>
        </is>
      </c>
      <c r="B133" s="32" t="inlineStr">
        <is>
          <t>16PR</t>
        </is>
      </c>
      <c r="C133" s="59" t="inlineStr">
        <is>
          <t>ZA12</t>
        </is>
      </c>
      <c r="D133" s="29" t="inlineStr">
        <is>
          <t>✔</t>
        </is>
      </c>
      <c r="E133" s="28">
        <f>_xlfn.TEXTJOIN("-",TRUE,A133,B133,C133)</f>
        <v/>
      </c>
      <c r="F133" s="20">
        <f>_xlfn.TEXTJOIN("-",TRUE,A618,B618,C618)</f>
        <v/>
      </c>
      <c r="G133" s="23" t="n"/>
      <c r="H133" s="23" t="n"/>
      <c r="I133" s="24" t="n"/>
      <c r="J133" s="19">
        <f>_xlfn.TEXTJOIN("-",TRUE,F133,G133,H133)</f>
        <v/>
      </c>
      <c r="O133" s="19">
        <f>_xlfn.TEXTJOIN("-",TRUE,K133,L133,M133)</f>
        <v/>
      </c>
      <c r="AC133" s="19">
        <f>_xlfn.TEXTJOIN("-",TRUE,Y133,Z133,AA133)</f>
        <v/>
      </c>
    </row>
    <row r="134" customFormat="1" s="19">
      <c r="A134" s="58" t="inlineStr">
        <is>
          <t>11R22.5</t>
        </is>
      </c>
      <c r="B134" s="32" t="inlineStr">
        <is>
          <t>16PR</t>
        </is>
      </c>
      <c r="C134" s="32" t="inlineStr">
        <is>
          <t>AZ579</t>
        </is>
      </c>
      <c r="D134" s="29" t="inlineStr">
        <is>
          <t>✔</t>
        </is>
      </c>
      <c r="E134" s="28">
        <f>_xlfn.TEXTJOIN("-",TRUE,A134,B134,C134)</f>
        <v/>
      </c>
      <c r="F134" s="20">
        <f>_xlfn.TEXTJOIN("-",TRUE,A619,B619,C619)</f>
        <v/>
      </c>
      <c r="G134" s="23" t="n"/>
      <c r="H134" s="23" t="n"/>
      <c r="I134" s="24" t="n"/>
      <c r="J134" s="19">
        <f>_xlfn.TEXTJOIN("-",TRUE,F134,G134,H134)</f>
        <v/>
      </c>
      <c r="O134" s="19">
        <f>_xlfn.TEXTJOIN("-",TRUE,K134,L134,M134)</f>
        <v/>
      </c>
      <c r="AC134" s="19">
        <f>_xlfn.TEXTJOIN("-",TRUE,Y134,Z134,AA134)</f>
        <v/>
      </c>
    </row>
    <row r="135" customFormat="1" s="19">
      <c r="A135" s="58" t="inlineStr">
        <is>
          <t>11R22.5</t>
        </is>
      </c>
      <c r="B135" s="32" t="inlineStr">
        <is>
          <t>16PR</t>
        </is>
      </c>
      <c r="C135" s="32" t="inlineStr">
        <is>
          <t>HCC1 Plus</t>
        </is>
      </c>
      <c r="D135" s="29" t="inlineStr">
        <is>
          <t>✔</t>
        </is>
      </c>
      <c r="E135" s="28">
        <f>_xlfn.TEXTJOIN("-",TRUE,A135,B135,C135)</f>
        <v/>
      </c>
      <c r="F135" s="20">
        <f>_xlfn.TEXTJOIN("-",TRUE,A620,B620,C620)</f>
        <v/>
      </c>
      <c r="G135" s="23" t="n"/>
      <c r="H135" s="23" t="n"/>
      <c r="I135" s="24" t="n"/>
      <c r="J135" s="19">
        <f>_xlfn.TEXTJOIN("-",TRUE,F135,G135,H135)</f>
        <v/>
      </c>
      <c r="O135" s="19">
        <f>_xlfn.TEXTJOIN("-",TRUE,K135,L135,M135)</f>
        <v/>
      </c>
      <c r="AC135" s="19">
        <f>_xlfn.TEXTJOIN("-",TRUE,Y135,Z135,AA135)</f>
        <v/>
      </c>
    </row>
    <row r="136" customFormat="1" s="19">
      <c r="A136" s="58" t="inlineStr">
        <is>
          <t>11R22.5</t>
        </is>
      </c>
      <c r="B136" s="32" t="inlineStr">
        <is>
          <t>18PR</t>
        </is>
      </c>
      <c r="C136" s="32" t="inlineStr">
        <is>
          <t>VAZ80</t>
        </is>
      </c>
      <c r="D136" s="29" t="inlineStr">
        <is>
          <t>✔</t>
        </is>
      </c>
      <c r="E136" s="28">
        <f>_xlfn.TEXTJOIN("-",TRUE,A136,B136,C136)</f>
        <v/>
      </c>
      <c r="F136" s="20">
        <f>_xlfn.TEXTJOIN("-",TRUE,A621,B621,C621)</f>
        <v/>
      </c>
      <c r="G136" s="23" t="n"/>
      <c r="H136" s="23" t="n"/>
      <c r="I136" s="24" t="n"/>
      <c r="J136" s="19">
        <f>_xlfn.TEXTJOIN("-",TRUE,F136,G136,H136)</f>
        <v/>
      </c>
      <c r="O136" s="19">
        <f>_xlfn.TEXTJOIN("-",TRUE,K136,L136,M136)</f>
        <v/>
      </c>
      <c r="AC136" s="19">
        <f>_xlfn.TEXTJOIN("-",TRUE,Y136,Z136,AA136)</f>
        <v/>
      </c>
    </row>
    <row r="137" customFormat="1" s="19">
      <c r="A137" s="58" t="inlineStr">
        <is>
          <t>11R22.5</t>
        </is>
      </c>
      <c r="B137" s="32" t="inlineStr">
        <is>
          <t>18PR</t>
        </is>
      </c>
      <c r="C137" s="32" t="inlineStr">
        <is>
          <t>AZ850</t>
        </is>
      </c>
      <c r="D137" s="29" t="inlineStr">
        <is>
          <t>✔</t>
        </is>
      </c>
      <c r="E137" s="28">
        <f>_xlfn.TEXTJOIN("-",TRUE,A137,B137,C137)</f>
        <v/>
      </c>
      <c r="F137" s="20">
        <f>_xlfn.TEXTJOIN("-",TRUE,A622,B622,C622)</f>
        <v/>
      </c>
      <c r="G137" s="23" t="n"/>
      <c r="H137" s="23" t="n"/>
      <c r="I137" s="24" t="n"/>
      <c r="J137" s="19">
        <f>_xlfn.TEXTJOIN("-",TRUE,F137,G137,H137)</f>
        <v/>
      </c>
      <c r="O137" s="19">
        <f>_xlfn.TEXTJOIN("-",TRUE,K137,L137,M137)</f>
        <v/>
      </c>
      <c r="AC137" s="19">
        <f>_xlfn.TEXTJOIN("-",TRUE,Y137,Z137,AA137)</f>
        <v/>
      </c>
    </row>
    <row r="138" customFormat="1" s="19">
      <c r="A138" s="58" t="inlineStr">
        <is>
          <t>11R22.5</t>
        </is>
      </c>
      <c r="B138" s="32" t="inlineStr">
        <is>
          <t>18PR</t>
        </is>
      </c>
      <c r="C138" s="32" t="inlineStr">
        <is>
          <t>AS858</t>
        </is>
      </c>
      <c r="D138" s="29" t="inlineStr">
        <is>
          <t>✔</t>
        </is>
      </c>
      <c r="E138" s="28">
        <f>_xlfn.TEXTJOIN("-",TRUE,A138,B138,C138)</f>
        <v/>
      </c>
      <c r="F138" s="20">
        <f>_xlfn.TEXTJOIN("-",TRUE,A623,B623,C623)</f>
        <v/>
      </c>
      <c r="G138" s="23" t="n"/>
      <c r="H138" s="23" t="n"/>
      <c r="I138" s="24" t="n"/>
      <c r="J138" s="19">
        <f>_xlfn.TEXTJOIN("-",TRUE,F138,G138,H138)</f>
        <v/>
      </c>
      <c r="O138" s="19">
        <f>_xlfn.TEXTJOIN("-",TRUE,K138,L138,M138)</f>
        <v/>
      </c>
      <c r="AC138" s="19">
        <f>_xlfn.TEXTJOIN("-",TRUE,Y138,Z138,AA138)</f>
        <v/>
      </c>
    </row>
    <row r="139" customFormat="1" s="19">
      <c r="A139" s="58" t="inlineStr">
        <is>
          <t>11R22.5</t>
        </is>
      </c>
      <c r="B139" s="32" t="inlineStr">
        <is>
          <t>16PR</t>
        </is>
      </c>
      <c r="C139" s="32" t="inlineStr">
        <is>
          <t>AS600</t>
        </is>
      </c>
      <c r="D139" s="29" t="inlineStr">
        <is>
          <t>✔</t>
        </is>
      </c>
      <c r="E139" s="28">
        <f>_xlfn.TEXTJOIN("-",TRUE,A139,B139,C139)</f>
        <v/>
      </c>
      <c r="F139" s="20">
        <f>_xlfn.TEXTJOIN("-",TRUE,A624,B624,C624)</f>
        <v/>
      </c>
      <c r="G139" s="23" t="n"/>
      <c r="H139" s="23" t="n"/>
      <c r="I139" s="24" t="n"/>
      <c r="J139" s="19">
        <f>_xlfn.TEXTJOIN("-",TRUE,F139,G139,H139)</f>
        <v/>
      </c>
      <c r="O139" s="19">
        <f>_xlfn.TEXTJOIN("-",TRUE,K139,L139,M139)</f>
        <v/>
      </c>
      <c r="AC139" s="19">
        <f>_xlfn.TEXTJOIN("-",TRUE,Y139,Z139,AA139)</f>
        <v/>
      </c>
    </row>
    <row r="140" customFormat="1" s="19">
      <c r="A140" s="58" t="inlineStr">
        <is>
          <t>11R22.5</t>
        </is>
      </c>
      <c r="B140" s="32" t="inlineStr">
        <is>
          <t>14PR</t>
        </is>
      </c>
      <c r="C140" s="32" t="inlineStr">
        <is>
          <t>H-TL</t>
        </is>
      </c>
      <c r="D140" s="29" t="inlineStr">
        <is>
          <t>✔</t>
        </is>
      </c>
      <c r="E140" s="28">
        <f>_xlfn.TEXTJOIN("-",TRUE,A140,B140,C140)</f>
        <v/>
      </c>
      <c r="F140" s="20">
        <f>_xlfn.TEXTJOIN("-",TRUE,A625,B625,C625)</f>
        <v/>
      </c>
      <c r="G140" s="23" t="n"/>
      <c r="H140" s="23" t="n"/>
      <c r="I140" s="24" t="n"/>
      <c r="J140" s="19">
        <f>_xlfn.TEXTJOIN("-",TRUE,F140,G140,H140)</f>
        <v/>
      </c>
      <c r="O140" s="19">
        <f>_xlfn.TEXTJOIN("-",TRUE,K140,L140,M140)</f>
        <v/>
      </c>
      <c r="AC140" s="19">
        <f>_xlfn.TEXTJOIN("-",TRUE,Y140,Z140,AA140)</f>
        <v/>
      </c>
    </row>
    <row r="141" customFormat="1" s="19">
      <c r="A141" s="58" t="inlineStr">
        <is>
          <t>11R22.5</t>
        </is>
      </c>
      <c r="B141" s="32" t="inlineStr">
        <is>
          <t>16PR</t>
        </is>
      </c>
      <c r="C141" s="32" t="inlineStr">
        <is>
          <t>H-RA</t>
        </is>
      </c>
      <c r="D141" s="29" t="inlineStr">
        <is>
          <t>✔</t>
        </is>
      </c>
      <c r="E141" s="28">
        <f>_xlfn.TEXTJOIN("-",TRUE,A141,B141,C141)</f>
        <v/>
      </c>
      <c r="F141" s="20">
        <f>_xlfn.TEXTJOIN("-",TRUE,A626,B626,C626)</f>
        <v/>
      </c>
      <c r="G141" s="23" t="n"/>
      <c r="H141" s="23" t="n"/>
      <c r="I141" s="24" t="n"/>
      <c r="J141" s="19">
        <f>_xlfn.TEXTJOIN("-",TRUE,F141,G141,H141)</f>
        <v/>
      </c>
      <c r="O141" s="19">
        <f>_xlfn.TEXTJOIN("-",TRUE,K141,L141,M141)</f>
        <v/>
      </c>
      <c r="AC141" s="19">
        <f>_xlfn.TEXTJOIN("-",TRUE,Y141,Z141,AA141)</f>
        <v/>
      </c>
    </row>
    <row r="142" customFormat="1" s="19">
      <c r="A142" s="58" t="inlineStr">
        <is>
          <t>11R22.5</t>
        </is>
      </c>
      <c r="B142" s="32" t="inlineStr">
        <is>
          <t>16PR</t>
        </is>
      </c>
      <c r="C142" s="32" t="inlineStr">
        <is>
          <t>AS678</t>
        </is>
      </c>
      <c r="D142" s="29" t="inlineStr">
        <is>
          <t>✔</t>
        </is>
      </c>
      <c r="E142" s="28">
        <f>_xlfn.TEXTJOIN("-",TRUE,A142,B142,C142)</f>
        <v/>
      </c>
      <c r="F142" s="20">
        <f>_xlfn.TEXTJOIN("-",TRUE,A627,B627,C627)</f>
        <v/>
      </c>
      <c r="G142" s="23" t="n"/>
      <c r="H142" s="23" t="n"/>
      <c r="I142" s="24" t="n"/>
      <c r="J142" s="19">
        <f>_xlfn.TEXTJOIN("-",TRUE,F142,G142,H142)</f>
        <v/>
      </c>
      <c r="O142" s="19">
        <f>_xlfn.TEXTJOIN("-",TRUE,K142,L142,M142)</f>
        <v/>
      </c>
      <c r="AC142" s="19">
        <f>_xlfn.TEXTJOIN("-",TRUE,Y142,Z142,AA142)</f>
        <v/>
      </c>
    </row>
    <row r="143" customFormat="1" s="19">
      <c r="A143" s="58" t="inlineStr">
        <is>
          <t>11R22.5</t>
        </is>
      </c>
      <c r="B143" s="32" t="inlineStr">
        <is>
          <t>16PR</t>
        </is>
      </c>
      <c r="C143" s="32" t="inlineStr">
        <is>
          <t>H-RD</t>
        </is>
      </c>
      <c r="D143" s="29" t="inlineStr">
        <is>
          <t>✔</t>
        </is>
      </c>
      <c r="E143" s="28">
        <f>_xlfn.TEXTJOIN("-",TRUE,A143,B143,C143)</f>
        <v/>
      </c>
      <c r="F143" s="20">
        <f>_xlfn.TEXTJOIN("-",TRUE,A628,B628,C628)</f>
        <v/>
      </c>
      <c r="G143" s="23" t="n"/>
      <c r="H143" s="23" t="n"/>
      <c r="I143" s="24" t="n"/>
      <c r="J143" s="19">
        <f>_xlfn.TEXTJOIN("-",TRUE,F143,G143,H143)</f>
        <v/>
      </c>
      <c r="O143" s="19">
        <f>_xlfn.TEXTJOIN("-",TRUE,K143,L143,M143)</f>
        <v/>
      </c>
      <c r="AC143" s="19">
        <f>_xlfn.TEXTJOIN("-",TRUE,Y143,Z143,AA143)</f>
        <v/>
      </c>
    </row>
    <row r="144" customFormat="1" s="19">
      <c r="A144" s="58" t="inlineStr">
        <is>
          <t>11R22.5</t>
        </is>
      </c>
      <c r="B144" s="32" t="inlineStr">
        <is>
          <t>16PR</t>
        </is>
      </c>
      <c r="C144" s="32" t="inlineStr">
        <is>
          <t>AZ599</t>
        </is>
      </c>
      <c r="D144" s="29" t="inlineStr">
        <is>
          <t>✔</t>
        </is>
      </c>
      <c r="E144" s="28">
        <f>_xlfn.TEXTJOIN("-",TRUE,A144,B144,C144)</f>
        <v/>
      </c>
      <c r="F144" s="20">
        <f>_xlfn.TEXTJOIN("-",TRUE,A629,B629,C629)</f>
        <v/>
      </c>
      <c r="G144" s="23" t="n"/>
      <c r="H144" s="23" t="n"/>
      <c r="I144" s="24" t="n"/>
      <c r="J144" s="19">
        <f>_xlfn.TEXTJOIN("-",TRUE,F144,G144,H144)</f>
        <v/>
      </c>
      <c r="O144" s="19">
        <f>_xlfn.TEXTJOIN("-",TRUE,K144,L144,M144)</f>
        <v/>
      </c>
      <c r="AC144" s="19">
        <f>_xlfn.TEXTJOIN("-",TRUE,Y144,Z144,AA144)</f>
        <v/>
      </c>
    </row>
    <row r="145" customFormat="1" s="19">
      <c r="A145" s="32" t="inlineStr">
        <is>
          <t>11R24.5</t>
        </is>
      </c>
      <c r="B145" s="32" t="inlineStr">
        <is>
          <t>16PR</t>
        </is>
      </c>
      <c r="C145" s="32" t="inlineStr">
        <is>
          <t>AT563</t>
        </is>
      </c>
      <c r="D145" s="29" t="inlineStr">
        <is>
          <t>✔</t>
        </is>
      </c>
      <c r="E145" s="28">
        <f>_xlfn.TEXTJOIN("-",TRUE,A145,B145,C145)</f>
        <v/>
      </c>
      <c r="F145" s="20">
        <f>_xlfn.TEXTJOIN("-",TRUE,A629,B629,C629)</f>
        <v/>
      </c>
      <c r="G145" s="23" t="n"/>
      <c r="H145" s="23" t="n"/>
      <c r="I145" s="24" t="n"/>
      <c r="J145" s="19">
        <f>_xlfn.TEXTJOIN("-",TRUE,F145,G145,H145)</f>
        <v/>
      </c>
      <c r="O145" s="19">
        <f>_xlfn.TEXTJOIN("-",TRUE,K145,L145,M145)</f>
        <v/>
      </c>
      <c r="AC145" s="19">
        <f>_xlfn.TEXTJOIN("-",TRUE,Y145,Z145,AA145)</f>
        <v/>
      </c>
    </row>
    <row r="146" customFormat="1" s="19">
      <c r="A146" s="32" t="inlineStr">
        <is>
          <t>11R24.5</t>
        </is>
      </c>
      <c r="B146" s="32" t="inlineStr">
        <is>
          <t>16PR</t>
        </is>
      </c>
      <c r="C146" s="32" t="inlineStr">
        <is>
          <t>I-19A</t>
        </is>
      </c>
      <c r="D146" s="29" t="inlineStr">
        <is>
          <t>✔</t>
        </is>
      </c>
      <c r="E146" s="28">
        <f>_xlfn.TEXTJOIN("-",TRUE,A146,B146,C146)</f>
        <v/>
      </c>
      <c r="F146" s="20">
        <f>_xlfn.TEXTJOIN("-",TRUE,A630,B630,C630)</f>
        <v/>
      </c>
      <c r="G146" s="23" t="n"/>
      <c r="H146" s="23" t="n"/>
      <c r="I146" s="24" t="n"/>
      <c r="J146" s="19">
        <f>_xlfn.TEXTJOIN("-",TRUE,F146,G146,H146)</f>
        <v/>
      </c>
      <c r="O146" s="19">
        <f>_xlfn.TEXTJOIN("-",TRUE,K146,L146,M146)</f>
        <v/>
      </c>
      <c r="AC146" s="19">
        <f>_xlfn.TEXTJOIN("-",TRUE,Y146,Z146,AA146)</f>
        <v/>
      </c>
    </row>
    <row r="147" customFormat="1" s="19">
      <c r="A147" s="32" t="inlineStr">
        <is>
          <t>11R24.5</t>
        </is>
      </c>
      <c r="B147" s="32" t="inlineStr">
        <is>
          <t>16PR</t>
        </is>
      </c>
      <c r="C147" s="32" t="inlineStr">
        <is>
          <t>CR960A</t>
        </is>
      </c>
      <c r="D147" s="29" t="inlineStr">
        <is>
          <t>✔</t>
        </is>
      </c>
      <c r="E147" s="28">
        <f>_xlfn.TEXTJOIN("-",TRUE,A147,B147,C147)</f>
        <v/>
      </c>
      <c r="F147" s="20">
        <f>_xlfn.TEXTJOIN("-",TRUE,A631,B631,C631)</f>
        <v/>
      </c>
      <c r="G147" s="23" t="n"/>
      <c r="H147" s="23" t="n"/>
      <c r="I147" s="24" t="n"/>
      <c r="J147" s="19">
        <f>_xlfn.TEXTJOIN("-",TRUE,F147,G147,H147)</f>
        <v/>
      </c>
      <c r="O147" s="19">
        <f>_xlfn.TEXTJOIN("-",TRUE,K147,L147,M147)</f>
        <v/>
      </c>
      <c r="AC147" s="19">
        <f>_xlfn.TEXTJOIN("-",TRUE,Y147,Z147,AA147)</f>
        <v/>
      </c>
    </row>
    <row r="148" customFormat="1" s="19">
      <c r="A148" s="32" t="inlineStr">
        <is>
          <t>11R24.5</t>
        </is>
      </c>
      <c r="B148" s="32" t="inlineStr">
        <is>
          <t>16PR</t>
        </is>
      </c>
      <c r="C148" s="32" t="inlineStr">
        <is>
          <t>RLINE-A1</t>
        </is>
      </c>
      <c r="D148" s="29" t="inlineStr">
        <is>
          <t>✔</t>
        </is>
      </c>
      <c r="E148" s="28">
        <f>_xlfn.TEXTJOIN("-",TRUE,A148,B148,C148)</f>
        <v/>
      </c>
      <c r="F148" s="20">
        <f>_xlfn.TEXTJOIN("-",TRUE,A632,B632,C632)</f>
        <v/>
      </c>
      <c r="G148" s="23" t="n"/>
      <c r="H148" s="23" t="n"/>
      <c r="I148" s="24" t="n"/>
      <c r="J148" s="19">
        <f>_xlfn.TEXTJOIN("-",TRUE,F148,G148,H148)</f>
        <v/>
      </c>
      <c r="O148" s="19">
        <f>_xlfn.TEXTJOIN("-",TRUE,K148,L148,M148)</f>
        <v/>
      </c>
      <c r="AC148" s="19">
        <f>_xlfn.TEXTJOIN("-",TRUE,Y148,Z148,AA148)</f>
        <v/>
      </c>
    </row>
    <row r="149" customFormat="1" s="19">
      <c r="A149" s="32" t="inlineStr">
        <is>
          <t>11R24.5</t>
        </is>
      </c>
      <c r="B149" s="32" t="inlineStr">
        <is>
          <t>16PR</t>
        </is>
      </c>
      <c r="C149" s="32" t="inlineStr">
        <is>
          <t>VA996</t>
        </is>
      </c>
      <c r="D149" s="29" t="inlineStr">
        <is>
          <t>✔</t>
        </is>
      </c>
      <c r="E149" s="28">
        <f>_xlfn.TEXTJOIN("-",TRUE,A149,B149,C149)</f>
        <v/>
      </c>
      <c r="F149" s="20">
        <f>_xlfn.TEXTJOIN("-",TRUE,A633,B633,C633)</f>
        <v/>
      </c>
      <c r="G149" s="23" t="n"/>
      <c r="H149" s="23" t="n"/>
      <c r="I149" s="24" t="n"/>
      <c r="J149" s="19">
        <f>_xlfn.TEXTJOIN("-",TRUE,F149,G149,H149)</f>
        <v/>
      </c>
      <c r="O149" s="19">
        <f>_xlfn.TEXTJOIN("-",TRUE,K149,L149,M149)</f>
        <v/>
      </c>
      <c r="AC149" s="19">
        <f>_xlfn.TEXTJOIN("-",TRUE,Y149,Z149,AA149)</f>
        <v/>
      </c>
    </row>
    <row r="150" customFormat="1" s="19">
      <c r="A150" s="32" t="inlineStr">
        <is>
          <t>11R24.5</t>
        </is>
      </c>
      <c r="B150" s="32" t="inlineStr">
        <is>
          <t>16PR</t>
        </is>
      </c>
      <c r="C150" s="32" t="inlineStr">
        <is>
          <t>PS221</t>
        </is>
      </c>
      <c r="D150" s="29" t="inlineStr">
        <is>
          <t>✔</t>
        </is>
      </c>
      <c r="E150" s="28">
        <f>_xlfn.TEXTJOIN("-",TRUE,A150,B150,C150)</f>
        <v/>
      </c>
      <c r="F150" s="20">
        <f>_xlfn.TEXTJOIN("-",TRUE,A634,B634,C634)</f>
        <v/>
      </c>
      <c r="G150" s="23" t="n"/>
      <c r="H150" s="23" t="n"/>
      <c r="I150" s="24" t="n"/>
      <c r="J150" s="19">
        <f>_xlfn.TEXTJOIN("-",TRUE,F150,G150,H150)</f>
        <v/>
      </c>
      <c r="O150" s="19">
        <f>_xlfn.TEXTJOIN("-",TRUE,K150,L150,M150)</f>
        <v/>
      </c>
      <c r="AC150" s="19">
        <f>_xlfn.TEXTJOIN("-",TRUE,Y150,Z150,AA150)</f>
        <v/>
      </c>
    </row>
    <row r="151" customFormat="1" s="19">
      <c r="A151" s="32" t="inlineStr">
        <is>
          <t>11R24.5</t>
        </is>
      </c>
      <c r="B151" s="32" t="inlineStr">
        <is>
          <t>16PR</t>
        </is>
      </c>
      <c r="C151" s="32" t="inlineStr">
        <is>
          <t>AS200</t>
        </is>
      </c>
      <c r="D151" s="29" t="inlineStr">
        <is>
          <t>✔</t>
        </is>
      </c>
      <c r="E151" s="28">
        <f>_xlfn.TEXTJOIN("-",TRUE,A151,B151,C151)</f>
        <v/>
      </c>
      <c r="F151" s="20">
        <f>_xlfn.TEXTJOIN("-",TRUE,A635,B635,C635)</f>
        <v/>
      </c>
      <c r="G151" s="23" t="n"/>
      <c r="H151" s="23" t="n"/>
      <c r="I151" s="24" t="n"/>
      <c r="J151" s="19">
        <f>_xlfn.TEXTJOIN("-",TRUE,F151,G151,H151)</f>
        <v/>
      </c>
      <c r="O151" s="19">
        <f>_xlfn.TEXTJOIN("-",TRUE,K151,L151,M151)</f>
        <v/>
      </c>
      <c r="AC151" s="19">
        <f>_xlfn.TEXTJOIN("-",TRUE,Y151,Z151,AA151)</f>
        <v/>
      </c>
    </row>
    <row r="152" customFormat="1" s="19">
      <c r="A152" s="32" t="inlineStr">
        <is>
          <t>11R24.5</t>
        </is>
      </c>
      <c r="B152" s="32" t="inlineStr">
        <is>
          <t>16PR</t>
        </is>
      </c>
      <c r="C152" s="32" t="inlineStr">
        <is>
          <t>ZM41</t>
        </is>
      </c>
      <c r="D152" s="29" t="inlineStr">
        <is>
          <t>✔</t>
        </is>
      </c>
      <c r="E152" s="28">
        <f>_xlfn.TEXTJOIN("-",TRUE,A152,B152,C152)</f>
        <v/>
      </c>
      <c r="F152" s="20">
        <f>_xlfn.TEXTJOIN("-",TRUE,A636,B636,C636)</f>
        <v/>
      </c>
      <c r="G152" s="23" t="n"/>
      <c r="H152" s="23" t="n"/>
      <c r="I152" s="24" t="n"/>
      <c r="J152" s="19">
        <f>_xlfn.TEXTJOIN("-",TRUE,F152,G152,H152)</f>
        <v/>
      </c>
      <c r="O152" s="19">
        <f>_xlfn.TEXTJOIN("-",TRUE,K152,L152,M152)</f>
        <v/>
      </c>
      <c r="AC152" s="19">
        <f>_xlfn.TEXTJOIN("-",TRUE,Y152,Z152,AA152)</f>
        <v/>
      </c>
    </row>
    <row r="153" customFormat="1" s="19">
      <c r="A153" s="32" t="inlineStr">
        <is>
          <t>11R24.5</t>
        </is>
      </c>
      <c r="B153" s="32" t="inlineStr">
        <is>
          <t>16PR</t>
        </is>
      </c>
      <c r="C153" s="32" t="inlineStr">
        <is>
          <t>SL11</t>
        </is>
      </c>
      <c r="D153" s="29" t="inlineStr">
        <is>
          <t>✔</t>
        </is>
      </c>
      <c r="E153" s="28">
        <f>_xlfn.TEXTJOIN("-",TRUE,A153,B153,C153)</f>
        <v/>
      </c>
      <c r="F153" s="20">
        <f>_xlfn.TEXTJOIN("-",TRUE,A637,B637,C637)</f>
        <v/>
      </c>
      <c r="G153" s="23" t="n"/>
      <c r="H153" s="23" t="n"/>
      <c r="I153" s="24" t="n"/>
      <c r="J153" s="19">
        <f>_xlfn.TEXTJOIN("-",TRUE,F153,G153,H153)</f>
        <v/>
      </c>
      <c r="O153" s="19">
        <f>_xlfn.TEXTJOIN("-",TRUE,K153,L153,M153)</f>
        <v/>
      </c>
      <c r="AC153" s="19">
        <f>_xlfn.TEXTJOIN("-",TRUE,Y153,Z153,AA153)</f>
        <v/>
      </c>
    </row>
    <row r="154" customFormat="1" s="19">
      <c r="A154" s="32" t="inlineStr">
        <is>
          <t>11R24.5</t>
        </is>
      </c>
      <c r="B154" s="32" t="inlineStr">
        <is>
          <t>16PR</t>
        </is>
      </c>
      <c r="C154" s="32" t="inlineStr">
        <is>
          <t>I-61S</t>
        </is>
      </c>
      <c r="D154" s="29" t="inlineStr">
        <is>
          <t>✔</t>
        </is>
      </c>
      <c r="E154" s="28">
        <f>_xlfn.TEXTJOIN("-",TRUE,A154,B154,C154)</f>
        <v/>
      </c>
      <c r="F154" s="20">
        <f>_xlfn.TEXTJOIN("-",TRUE,A638,B638,C638)</f>
        <v/>
      </c>
      <c r="G154" s="23" t="n"/>
      <c r="H154" s="23" t="n"/>
      <c r="I154" s="24" t="n"/>
      <c r="J154" s="19">
        <f>_xlfn.TEXTJOIN("-",TRUE,F154,G154,H154)</f>
        <v/>
      </c>
      <c r="O154" s="19">
        <f>_xlfn.TEXTJOIN("-",TRUE,K154,L154,M154)</f>
        <v/>
      </c>
      <c r="AC154" s="19">
        <f>_xlfn.TEXTJOIN("-",TRUE,Y154,Z154,AA154)</f>
        <v/>
      </c>
    </row>
    <row r="155" customFormat="1" s="19">
      <c r="A155" s="32" t="inlineStr">
        <is>
          <t>11R24.5</t>
        </is>
      </c>
      <c r="B155" s="32" t="inlineStr">
        <is>
          <t>16PR</t>
        </is>
      </c>
      <c r="C155" s="32" t="inlineStr">
        <is>
          <t>VXD932</t>
        </is>
      </c>
      <c r="D155" s="29" t="inlineStr">
        <is>
          <t>✔</t>
        </is>
      </c>
      <c r="E155" s="28">
        <f>_xlfn.TEXTJOIN("-",TRUE,A155,B155,C155)</f>
        <v/>
      </c>
      <c r="F155" s="20">
        <f>_xlfn.TEXTJOIN("-",TRUE,A639,B639,C639)</f>
        <v/>
      </c>
      <c r="G155" s="23" t="n"/>
      <c r="H155" s="23" t="n"/>
      <c r="I155" s="24" t="n"/>
      <c r="J155" s="19">
        <f>_xlfn.TEXTJOIN("-",TRUE,F155,G155,H155)</f>
        <v/>
      </c>
      <c r="O155" s="19">
        <f>_xlfn.TEXTJOIN("-",TRUE,K155,L155,M155)</f>
        <v/>
      </c>
      <c r="AC155" s="19">
        <f>_xlfn.TEXTJOIN("-",TRUE,Y155,Z155,AA155)</f>
        <v/>
      </c>
    </row>
    <row r="156" customFormat="1" s="19">
      <c r="A156" s="32" t="inlineStr">
        <is>
          <t>11R24.5</t>
        </is>
      </c>
      <c r="B156" s="32" t="inlineStr">
        <is>
          <t>16PR</t>
        </is>
      </c>
      <c r="C156" s="32" t="inlineStr">
        <is>
          <t>I-31M</t>
        </is>
      </c>
      <c r="D156" s="29" t="inlineStr">
        <is>
          <t>✔</t>
        </is>
      </c>
      <c r="E156" s="28">
        <f>_xlfn.TEXTJOIN("-",TRUE,A156,B156,C156)</f>
        <v/>
      </c>
      <c r="F156" s="20">
        <f>_xlfn.TEXTJOIN("-",TRUE,A640,B640,C640)</f>
        <v/>
      </c>
      <c r="G156" s="23" t="n"/>
      <c r="H156" s="23" t="n"/>
      <c r="I156" s="24" t="n"/>
      <c r="J156" s="19">
        <f>_xlfn.TEXTJOIN("-",TRUE,F156,G156,H156)</f>
        <v/>
      </c>
      <c r="O156" s="19">
        <f>_xlfn.TEXTJOIN("-",TRUE,K156,L156,M156)</f>
        <v/>
      </c>
      <c r="AC156" s="19">
        <f>_xlfn.TEXTJOIN("-",TRUE,Y156,Z156,AA156)</f>
        <v/>
      </c>
    </row>
    <row r="157" customFormat="1" s="19">
      <c r="A157" s="32" t="inlineStr">
        <is>
          <t>11R24.5</t>
        </is>
      </c>
      <c r="B157" s="32" t="inlineStr">
        <is>
          <t>16PR</t>
        </is>
      </c>
      <c r="C157" s="32" t="inlineStr">
        <is>
          <t>I-28D</t>
        </is>
      </c>
      <c r="D157" s="29" t="inlineStr">
        <is>
          <t>✔</t>
        </is>
      </c>
      <c r="E157" s="28">
        <f>_xlfn.TEXTJOIN("-",TRUE,A157,B157,C157)</f>
        <v/>
      </c>
      <c r="F157" s="20">
        <f>_xlfn.TEXTJOIN("-",TRUE,A641,B641,C641)</f>
        <v/>
      </c>
      <c r="G157" s="23" t="n"/>
      <c r="H157" s="23" t="n"/>
      <c r="I157" s="24" t="n"/>
      <c r="J157" s="19">
        <f>_xlfn.TEXTJOIN("-",TRUE,F157,G157,H157)</f>
        <v/>
      </c>
      <c r="O157" s="19">
        <f>_xlfn.TEXTJOIN("-",TRUE,K157,L157,M157)</f>
        <v/>
      </c>
      <c r="AC157" s="19">
        <f>_xlfn.TEXTJOIN("-",TRUE,Y157,Z157,AA157)</f>
        <v/>
      </c>
    </row>
    <row r="158" customFormat="1" s="19">
      <c r="A158" s="32" t="inlineStr">
        <is>
          <t>11R24.5</t>
        </is>
      </c>
      <c r="B158" s="32" t="inlineStr">
        <is>
          <t>14PR</t>
        </is>
      </c>
      <c r="C158" s="32" t="inlineStr">
        <is>
          <t>I-48T</t>
        </is>
      </c>
      <c r="D158" s="29" t="inlineStr">
        <is>
          <t>✔</t>
        </is>
      </c>
      <c r="E158" s="28">
        <f>_xlfn.TEXTJOIN("-",TRUE,A158,B158,C158)</f>
        <v/>
      </c>
      <c r="F158" s="20">
        <f>_xlfn.TEXTJOIN("-",TRUE,A642,B642,C642)</f>
        <v/>
      </c>
      <c r="G158" s="23" t="n"/>
      <c r="H158" s="23" t="n"/>
      <c r="I158" s="24" t="n"/>
      <c r="J158" s="19">
        <f>_xlfn.TEXTJOIN("-",TRUE,F158,G158,H158)</f>
        <v/>
      </c>
      <c r="O158" s="19">
        <f>_xlfn.TEXTJOIN("-",TRUE,K158,L158,M158)</f>
        <v/>
      </c>
      <c r="AC158" s="19">
        <f>_xlfn.TEXTJOIN("-",TRUE,Y158,Z158,AA158)</f>
        <v/>
      </c>
    </row>
    <row r="159" customFormat="1" s="19">
      <c r="A159" s="32" t="inlineStr">
        <is>
          <t>11R24.5</t>
        </is>
      </c>
      <c r="B159" s="32" t="inlineStr">
        <is>
          <t>16PR</t>
        </is>
      </c>
      <c r="C159" s="32" t="inlineStr">
        <is>
          <t>I-52A</t>
        </is>
      </c>
      <c r="D159" s="29" t="inlineStr">
        <is>
          <t>✔</t>
        </is>
      </c>
      <c r="E159" s="28">
        <f>_xlfn.TEXTJOIN("-",TRUE,A159,B159,C159)</f>
        <v/>
      </c>
      <c r="F159" s="20">
        <f>_xlfn.TEXTJOIN("-",TRUE,A643,B643,C643)</f>
        <v/>
      </c>
      <c r="G159" s="23" t="n"/>
      <c r="H159" s="23" t="n"/>
      <c r="I159" s="24" t="n"/>
      <c r="J159" s="19">
        <f>_xlfn.TEXTJOIN("-",TRUE,F159,G159,H159)</f>
        <v/>
      </c>
      <c r="O159" s="19">
        <f>_xlfn.TEXTJOIN("-",TRUE,K159,L159,M159)</f>
        <v/>
      </c>
      <c r="AC159" s="19">
        <f>_xlfn.TEXTJOIN("-",TRUE,Y159,Z159,AA159)</f>
        <v/>
      </c>
    </row>
    <row r="160" customFormat="1" s="19">
      <c r="A160" s="60" t="inlineStr">
        <is>
          <t>11R24.5</t>
        </is>
      </c>
      <c r="B160" s="32" t="inlineStr">
        <is>
          <t>16PR</t>
        </is>
      </c>
      <c r="C160" s="59" t="inlineStr">
        <is>
          <t>VD998</t>
        </is>
      </c>
      <c r="D160" s="29" t="inlineStr">
        <is>
          <t>✔</t>
        </is>
      </c>
      <c r="E160" s="28">
        <f>_xlfn.TEXTJOIN("-",TRUE,A160,B160,C160)</f>
        <v/>
      </c>
      <c r="F160" s="20">
        <f>_xlfn.TEXTJOIN("-",TRUE,A644,B644,C644)</f>
        <v/>
      </c>
      <c r="G160" s="23" t="n"/>
      <c r="H160" s="23" t="n"/>
      <c r="I160" s="24" t="n"/>
      <c r="J160" s="19">
        <f>_xlfn.TEXTJOIN("-",TRUE,F160,G160,H160)</f>
        <v/>
      </c>
      <c r="O160" s="19">
        <f>_xlfn.TEXTJOIN("-",TRUE,K160,L160,M160)</f>
        <v/>
      </c>
      <c r="AC160" s="19">
        <f>_xlfn.TEXTJOIN("-",TRUE,Y160,Z160,AA160)</f>
        <v/>
      </c>
    </row>
    <row r="161" customFormat="1" s="19">
      <c r="A161" s="60" t="inlineStr">
        <is>
          <t>11R24.5</t>
        </is>
      </c>
      <c r="B161" s="32" t="inlineStr">
        <is>
          <t>16PR</t>
        </is>
      </c>
      <c r="C161" s="59" t="inlineStr">
        <is>
          <t>VD908</t>
        </is>
      </c>
      <c r="D161" s="29" t="inlineStr">
        <is>
          <t>✔</t>
        </is>
      </c>
      <c r="E161" s="28">
        <f>_xlfn.TEXTJOIN("-",TRUE,A161,B161,C161)</f>
        <v/>
      </c>
      <c r="F161" s="20">
        <f>_xlfn.TEXTJOIN("-",TRUE,A645,B645,C645)</f>
        <v/>
      </c>
      <c r="G161" s="23" t="n"/>
      <c r="H161" s="23" t="n"/>
      <c r="I161" s="24" t="n"/>
      <c r="J161" s="19">
        <f>_xlfn.TEXTJOIN("-",TRUE,F161,G161,H161)</f>
        <v/>
      </c>
      <c r="O161" s="19">
        <f>_xlfn.TEXTJOIN("-",TRUE,K161,L161,M161)</f>
        <v/>
      </c>
      <c r="AC161" s="19">
        <f>_xlfn.TEXTJOIN("-",TRUE,Y161,Z161,AA161)</f>
        <v/>
      </c>
    </row>
    <row r="162" customFormat="1" s="19">
      <c r="A162" s="60" t="inlineStr">
        <is>
          <t>11R24.5</t>
        </is>
      </c>
      <c r="B162" s="32" t="inlineStr">
        <is>
          <t>16PR</t>
        </is>
      </c>
      <c r="C162" s="59" t="inlineStr">
        <is>
          <t>VA991</t>
        </is>
      </c>
      <c r="D162" s="29" t="inlineStr">
        <is>
          <t>✔</t>
        </is>
      </c>
      <c r="E162" s="28">
        <f>_xlfn.TEXTJOIN("-",TRUE,A162,B162,C162)</f>
        <v/>
      </c>
      <c r="F162" s="20">
        <f>_xlfn.TEXTJOIN("-",TRUE,A646,B646,C646)</f>
        <v/>
      </c>
      <c r="G162" s="23" t="n"/>
      <c r="H162" s="23" t="n"/>
      <c r="I162" s="24" t="n"/>
      <c r="J162" s="19">
        <f>_xlfn.TEXTJOIN("-",TRUE,F162,G162,H162)</f>
        <v/>
      </c>
      <c r="O162" s="19">
        <f>_xlfn.TEXTJOIN("-",TRUE,K162,L162,M162)</f>
        <v/>
      </c>
      <c r="AC162" s="19">
        <f>_xlfn.TEXTJOIN("-",TRUE,Y162,Z162,AA162)</f>
        <v/>
      </c>
    </row>
    <row r="163" customFormat="1" s="19">
      <c r="A163" s="32" t="inlineStr">
        <is>
          <t>11R24.5</t>
        </is>
      </c>
      <c r="B163" s="32" t="inlineStr">
        <is>
          <t>16PR</t>
        </is>
      </c>
      <c r="C163" s="59" t="inlineStr">
        <is>
          <t>HD2 Plus</t>
        </is>
      </c>
      <c r="D163" s="29" t="inlineStr">
        <is>
          <t>✔</t>
        </is>
      </c>
      <c r="E163" s="28">
        <f>_xlfn.TEXTJOIN("-",TRUE,A163,B163,C163)</f>
        <v/>
      </c>
      <c r="F163" s="20">
        <f>_xlfn.TEXTJOIN("-",TRUE,A647,B647,C647)</f>
        <v/>
      </c>
      <c r="G163" s="23" t="n"/>
      <c r="H163" s="23" t="n"/>
      <c r="I163" s="24" t="n"/>
      <c r="J163" s="19">
        <f>_xlfn.TEXTJOIN("-",TRUE,F163,G163,H163)</f>
        <v/>
      </c>
      <c r="O163" s="19">
        <f>_xlfn.TEXTJOIN("-",TRUE,K163,L163,M163)</f>
        <v/>
      </c>
      <c r="AC163" s="19">
        <f>_xlfn.TEXTJOIN("-",TRUE,Y163,Z163,AA163)</f>
        <v/>
      </c>
    </row>
    <row r="164" customFormat="1" s="19">
      <c r="A164" s="32" t="inlineStr">
        <is>
          <t>11R24.5</t>
        </is>
      </c>
      <c r="B164" s="32" t="inlineStr">
        <is>
          <t>16PR</t>
        </is>
      </c>
      <c r="C164" s="59" t="inlineStr">
        <is>
          <t>AD721</t>
        </is>
      </c>
      <c r="D164" s="29" t="inlineStr">
        <is>
          <t>✔</t>
        </is>
      </c>
      <c r="E164" s="28">
        <f>_xlfn.TEXTJOIN("-",TRUE,A164,B164,C164)</f>
        <v/>
      </c>
      <c r="F164" s="20">
        <f>_xlfn.TEXTJOIN("-",TRUE,A648,B648,C648)</f>
        <v/>
      </c>
      <c r="G164" s="23" t="n"/>
      <c r="H164" s="23" t="n"/>
      <c r="I164" s="24" t="n"/>
      <c r="J164" s="19">
        <f>_xlfn.TEXTJOIN("-",TRUE,F164,G164,H164)</f>
        <v/>
      </c>
      <c r="O164" s="19">
        <f>_xlfn.TEXTJOIN("-",TRUE,K164,L164,M164)</f>
        <v/>
      </c>
      <c r="AC164" s="19">
        <f>_xlfn.TEXTJOIN("-",TRUE,Y164,Z164,AA164)</f>
        <v/>
      </c>
    </row>
    <row r="165" customFormat="1" s="19">
      <c r="A165" s="60" t="inlineStr">
        <is>
          <t>11R24.5</t>
        </is>
      </c>
      <c r="B165" s="32" t="inlineStr">
        <is>
          <t>16PR</t>
        </is>
      </c>
      <c r="C165" s="59" t="inlineStr">
        <is>
          <t>AD600</t>
        </is>
      </c>
      <c r="D165" s="29" t="inlineStr">
        <is>
          <t>✔</t>
        </is>
      </c>
      <c r="E165" s="28">
        <f>_xlfn.TEXTJOIN("-",TRUE,A165,B165,C165)</f>
        <v/>
      </c>
      <c r="F165" s="20">
        <f>_xlfn.TEXTJOIN("-",TRUE,A649,B649,C649)</f>
        <v/>
      </c>
      <c r="G165" s="23" t="n"/>
      <c r="H165" s="23" t="n"/>
      <c r="I165" s="24" t="n"/>
      <c r="J165" s="19">
        <f>_xlfn.TEXTJOIN("-",TRUE,F165,G165,H165)</f>
        <v/>
      </c>
      <c r="AC165" s="19">
        <f>_xlfn.TEXTJOIN("-",TRUE,Y165,Z165,AA165)</f>
        <v/>
      </c>
    </row>
    <row r="166" customFormat="1" s="19">
      <c r="A166" s="60" t="inlineStr">
        <is>
          <t>11R24.5</t>
        </is>
      </c>
      <c r="B166" s="32" t="inlineStr">
        <is>
          <t>16PR</t>
        </is>
      </c>
      <c r="C166" s="59" t="inlineStr">
        <is>
          <t>AD737</t>
        </is>
      </c>
      <c r="D166" s="29" t="inlineStr">
        <is>
          <t>✔</t>
        </is>
      </c>
      <c r="E166" s="28">
        <f>_xlfn.TEXTJOIN("-",TRUE,A166,B166,C166)</f>
        <v/>
      </c>
      <c r="F166" s="20">
        <f>_xlfn.TEXTJOIN("-",TRUE,A650,B650,C650)</f>
        <v/>
      </c>
      <c r="G166" s="23" t="n"/>
      <c r="H166" s="23" t="n"/>
      <c r="I166" s="24" t="n"/>
      <c r="J166" s="19">
        <f>_xlfn.TEXTJOIN("-",TRUE,F166,G166,H166)</f>
        <v/>
      </c>
      <c r="AC166" s="19">
        <f>_xlfn.TEXTJOIN("-",TRUE,Y166,Z166,AA166)</f>
        <v/>
      </c>
    </row>
    <row r="167" customFormat="1" s="19">
      <c r="A167" s="60" t="inlineStr">
        <is>
          <t>11R24.5</t>
        </is>
      </c>
      <c r="B167" s="32" t="inlineStr">
        <is>
          <t>16PR</t>
        </is>
      </c>
      <c r="C167" s="59" t="inlineStr">
        <is>
          <t>AD196</t>
        </is>
      </c>
      <c r="D167" s="29" t="inlineStr">
        <is>
          <t>✔</t>
        </is>
      </c>
      <c r="E167" s="28">
        <f>_xlfn.TEXTJOIN("-",TRUE,A167,B167,C167)</f>
        <v/>
      </c>
      <c r="F167" s="20">
        <f>_xlfn.TEXTJOIN("-",TRUE,A651,B651,C651)</f>
        <v/>
      </c>
      <c r="G167" s="23" t="n"/>
      <c r="H167" s="23" t="n"/>
      <c r="I167" s="24" t="n"/>
      <c r="J167" s="19">
        <f>_xlfn.TEXTJOIN("-",TRUE,F167,G167,H167)</f>
        <v/>
      </c>
      <c r="AC167" s="19">
        <f>_xlfn.TEXTJOIN("-",TRUE,Y167,Z167,AA167)</f>
        <v/>
      </c>
    </row>
    <row r="168" customFormat="1" s="19">
      <c r="A168" s="32" t="inlineStr">
        <is>
          <t>11R24.5</t>
        </is>
      </c>
      <c r="B168" s="32" t="inlineStr">
        <is>
          <t>16PR</t>
        </is>
      </c>
      <c r="C168" s="59" t="inlineStr">
        <is>
          <t>HD1 PlusX</t>
        </is>
      </c>
      <c r="D168" s="29" t="inlineStr">
        <is>
          <t>✔</t>
        </is>
      </c>
      <c r="E168" s="28">
        <f>_xlfn.TEXTJOIN("-",TRUE,A168,B168,C168)</f>
        <v/>
      </c>
      <c r="F168" s="20">
        <f>_xlfn.TEXTJOIN("-",TRUE,A652,B652,C652)</f>
        <v/>
      </c>
      <c r="G168" s="23" t="n"/>
      <c r="H168" s="23" t="n"/>
      <c r="I168" s="24" t="n"/>
      <c r="J168" s="19">
        <f>_xlfn.TEXTJOIN("-",TRUE,F168,G168,H168)</f>
        <v/>
      </c>
      <c r="AC168" s="19">
        <f>_xlfn.TEXTJOIN("-",TRUE,Y168,Z168,AA168)</f>
        <v/>
      </c>
    </row>
    <row r="169" customFormat="1" s="19">
      <c r="A169" s="60" t="inlineStr">
        <is>
          <t>11R24.5</t>
        </is>
      </c>
      <c r="B169" s="32" t="inlineStr">
        <is>
          <t>16PR</t>
        </is>
      </c>
      <c r="C169" s="59" t="inlineStr">
        <is>
          <t>KOBE DPM</t>
        </is>
      </c>
      <c r="D169" s="29" t="inlineStr">
        <is>
          <t>✔</t>
        </is>
      </c>
      <c r="E169" s="28">
        <f>_xlfn.TEXTJOIN("-",TRUE,A169,B169,C169)</f>
        <v/>
      </c>
      <c r="F169" s="20">
        <f>_xlfn.TEXTJOIN("-",TRUE,A653,B653,C653)</f>
        <v/>
      </c>
      <c r="G169" s="23" t="n"/>
      <c r="H169" s="23" t="n"/>
      <c r="I169" s="24" t="n"/>
      <c r="J169" s="19">
        <f>_xlfn.TEXTJOIN("-",TRUE,F169,G169,H169)</f>
        <v/>
      </c>
      <c r="AC169" s="19">
        <f>_xlfn.TEXTJOIN("-",TRUE,Y169,Z169,AA169)</f>
        <v/>
      </c>
    </row>
    <row r="170" customFormat="1" s="19">
      <c r="A170" s="60" t="inlineStr">
        <is>
          <t>11R24.5</t>
        </is>
      </c>
      <c r="B170" s="32" t="inlineStr">
        <is>
          <t>16PR</t>
        </is>
      </c>
      <c r="C170" s="59" t="inlineStr">
        <is>
          <t>AD716</t>
        </is>
      </c>
      <c r="D170" s="29" t="inlineStr">
        <is>
          <t>✔</t>
        </is>
      </c>
      <c r="E170" s="28">
        <f>_xlfn.TEXTJOIN("-",TRUE,A170,B170,C170)</f>
        <v/>
      </c>
      <c r="F170" s="20">
        <f>_xlfn.TEXTJOIN("-",TRUE,A654,B654,C654)</f>
        <v/>
      </c>
      <c r="G170" s="23" t="n"/>
      <c r="H170" s="23" t="n"/>
      <c r="I170" s="24" t="n"/>
      <c r="J170" s="19">
        <f>_xlfn.TEXTJOIN("-",TRUE,F170,G170,H170)</f>
        <v/>
      </c>
      <c r="AC170" s="19">
        <f>_xlfn.TEXTJOIN("-",TRUE,Y170,Z170,AA170)</f>
        <v/>
      </c>
    </row>
    <row r="171" customFormat="1" s="19">
      <c r="A171" s="32" t="inlineStr">
        <is>
          <t>11R24.5</t>
        </is>
      </c>
      <c r="B171" s="32" t="inlineStr">
        <is>
          <t>16PR</t>
        </is>
      </c>
      <c r="C171" s="59" t="inlineStr">
        <is>
          <t>HD1 Plus</t>
        </is>
      </c>
      <c r="D171" s="29" t="inlineStr">
        <is>
          <t>✔</t>
        </is>
      </c>
      <c r="E171" s="28">
        <f>_xlfn.TEXTJOIN("-",TRUE,A171,B171,C171)</f>
        <v/>
      </c>
      <c r="F171" s="20">
        <f>_xlfn.TEXTJOIN("-",TRUE,A655,B655,C655)</f>
        <v/>
      </c>
      <c r="G171" s="23" t="n"/>
      <c r="H171" s="23" t="n"/>
      <c r="I171" s="24" t="n"/>
      <c r="J171" s="19">
        <f>_xlfn.TEXTJOIN("-",TRUE,F171,G171,H171)</f>
        <v/>
      </c>
      <c r="AC171" s="19">
        <f>_xlfn.TEXTJOIN("-",TRUE,Y171,Z171,AA171)</f>
        <v/>
      </c>
    </row>
    <row r="172" customFormat="1" s="19">
      <c r="A172" s="60" t="inlineStr">
        <is>
          <t>11R24.5</t>
        </is>
      </c>
      <c r="B172" s="32" t="inlineStr">
        <is>
          <t>16PR</t>
        </is>
      </c>
      <c r="C172" s="59" t="inlineStr">
        <is>
          <t>AZ599</t>
        </is>
      </c>
      <c r="D172" s="29" t="inlineStr">
        <is>
          <t>✔</t>
        </is>
      </c>
      <c r="E172" s="28">
        <f>_xlfn.TEXTJOIN("-",TRUE,A172,B172,C172)</f>
        <v/>
      </c>
      <c r="F172" s="20">
        <f>_xlfn.TEXTJOIN("-",TRUE,A656,B656,C656)</f>
        <v/>
      </c>
      <c r="G172" s="23" t="n"/>
      <c r="H172" s="23" t="n"/>
      <c r="I172" s="24" t="n"/>
      <c r="J172" s="19">
        <f>_xlfn.TEXTJOIN("-",TRUE,F172,G172,H172)</f>
        <v/>
      </c>
      <c r="AC172" s="19">
        <f>_xlfn.TEXTJOIN("-",TRUE,Y172,Z172,AA172)</f>
        <v/>
      </c>
    </row>
    <row r="173" customFormat="1" s="19">
      <c r="A173" s="32" t="inlineStr">
        <is>
          <t>11R24.5</t>
        </is>
      </c>
      <c r="B173" s="32" t="inlineStr">
        <is>
          <t>16PR</t>
        </is>
      </c>
      <c r="C173" s="59" t="inlineStr">
        <is>
          <t>HF1 Plus</t>
        </is>
      </c>
      <c r="D173" s="29" t="inlineStr">
        <is>
          <t>✔</t>
        </is>
      </c>
      <c r="E173" s="28">
        <f>_xlfn.TEXTJOIN("-",TRUE,A173,B173,C173)</f>
        <v/>
      </c>
      <c r="F173" s="20">
        <f>_xlfn.TEXTJOIN("-",TRUE,A657,B657,C657)</f>
        <v/>
      </c>
      <c r="G173" s="23" t="n"/>
      <c r="H173" s="23" t="n"/>
      <c r="I173" s="24" t="n"/>
      <c r="J173" s="19">
        <f>_xlfn.TEXTJOIN("-",TRUE,F173,G173,H173)</f>
        <v/>
      </c>
      <c r="AC173" s="19">
        <f>_xlfn.TEXTJOIN("-",TRUE,Y173,Z173,AA173)</f>
        <v/>
      </c>
    </row>
    <row r="174" customFormat="1" s="19">
      <c r="A174" s="60" t="inlineStr">
        <is>
          <t>11R24.5</t>
        </is>
      </c>
      <c r="B174" s="32" t="inlineStr">
        <is>
          <t>16PR</t>
        </is>
      </c>
      <c r="C174" s="59" t="inlineStr">
        <is>
          <t>VDM924</t>
        </is>
      </c>
      <c r="D174" s="29" t="inlineStr">
        <is>
          <t>✔</t>
        </is>
      </c>
      <c r="E174" s="28">
        <f>_xlfn.TEXTJOIN("-",TRUE,A174,B174,C174)</f>
        <v/>
      </c>
      <c r="F174" s="20">
        <f>_xlfn.TEXTJOIN("-",TRUE,A658,B658,C658)</f>
        <v/>
      </c>
      <c r="G174" s="23" t="n"/>
      <c r="H174" s="23" t="n"/>
      <c r="I174" s="24" t="n"/>
      <c r="J174" s="19">
        <f>_xlfn.TEXTJOIN("-",TRUE,F174,G174,H174)</f>
        <v/>
      </c>
      <c r="AC174" s="19">
        <f>_xlfn.TEXTJOIN("-",TRUE,Y174,Z174,AA174)</f>
        <v/>
      </c>
    </row>
    <row r="175" customFormat="1" s="19">
      <c r="A175" s="60" t="inlineStr">
        <is>
          <t>11R24.5</t>
        </is>
      </c>
      <c r="B175" s="32" t="inlineStr">
        <is>
          <t>16PR</t>
        </is>
      </c>
      <c r="C175" s="59" t="inlineStr">
        <is>
          <t>I-37D</t>
        </is>
      </c>
      <c r="D175" s="29" t="inlineStr">
        <is>
          <t>✔</t>
        </is>
      </c>
      <c r="E175" s="28">
        <f>_xlfn.TEXTJOIN("-",TRUE,A175,B175,C175)</f>
        <v/>
      </c>
      <c r="F175" s="20">
        <f>_xlfn.TEXTJOIN("-",TRUE,A659,B659,C659)</f>
        <v/>
      </c>
      <c r="G175" s="23" t="n"/>
      <c r="H175" s="23" t="n"/>
      <c r="I175" s="24" t="n"/>
      <c r="J175" s="19">
        <f>_xlfn.TEXTJOIN("-",TRUE,F175,G175,H175)</f>
        <v/>
      </c>
      <c r="AC175" s="19">
        <f>_xlfn.TEXTJOIN("-",TRUE,Y175,Z175,AA175)</f>
        <v/>
      </c>
    </row>
    <row r="176" customFormat="1" s="19">
      <c r="A176" s="60" t="inlineStr">
        <is>
          <t>11R24.5</t>
        </is>
      </c>
      <c r="B176" s="32" t="inlineStr">
        <is>
          <t>16PR</t>
        </is>
      </c>
      <c r="C176" s="59" t="inlineStr">
        <is>
          <t>ZA12</t>
        </is>
      </c>
      <c r="D176" s="29" t="inlineStr">
        <is>
          <t>✔</t>
        </is>
      </c>
      <c r="E176" s="28">
        <f>_xlfn.TEXTJOIN("-",TRUE,A176,B176,C176)</f>
        <v/>
      </c>
      <c r="F176" s="20">
        <f>_xlfn.TEXTJOIN("-",TRUE,A660,B660,C660)</f>
        <v/>
      </c>
      <c r="G176" s="23" t="n"/>
      <c r="H176" s="23" t="n"/>
      <c r="I176" s="24" t="n"/>
      <c r="J176" s="19">
        <f>_xlfn.TEXTJOIN("-",TRUE,F176,G176,H176)</f>
        <v/>
      </c>
      <c r="AC176" s="19">
        <f>_xlfn.TEXTJOIN("-",TRUE,Y176,Z176,AA176)</f>
        <v/>
      </c>
    </row>
    <row r="177" customFormat="1" s="19">
      <c r="A177" s="60" t="inlineStr">
        <is>
          <t>11R24.5</t>
        </is>
      </c>
      <c r="B177" s="32" t="inlineStr">
        <is>
          <t>16PR</t>
        </is>
      </c>
      <c r="C177" s="59" t="inlineStr">
        <is>
          <t>AT167</t>
        </is>
      </c>
      <c r="D177" s="29" t="inlineStr">
        <is>
          <t>✔</t>
        </is>
      </c>
      <c r="E177" s="28">
        <f>_xlfn.TEXTJOIN("-",TRUE,A177,B177,C177)</f>
        <v/>
      </c>
      <c r="F177" s="20">
        <f>_xlfn.TEXTJOIN("-",TRUE,A661,B661,C661)</f>
        <v/>
      </c>
      <c r="G177" s="23" t="n"/>
      <c r="H177" s="23" t="n"/>
      <c r="I177" s="24" t="n"/>
      <c r="J177" s="19">
        <f>_xlfn.TEXTJOIN("-",TRUE,F177,G177,H177)</f>
        <v/>
      </c>
      <c r="AC177" s="19">
        <f>_xlfn.TEXTJOIN("-",TRUE,Y177,Z177,AA177)</f>
        <v/>
      </c>
    </row>
    <row r="178" customFormat="1" s="19">
      <c r="A178" s="58" t="inlineStr">
        <is>
          <t>11R24.5</t>
        </is>
      </c>
      <c r="B178" s="32" t="inlineStr">
        <is>
          <t>16PR</t>
        </is>
      </c>
      <c r="C178" s="59" t="inlineStr">
        <is>
          <t>AT194</t>
        </is>
      </c>
      <c r="D178" s="29" t="inlineStr">
        <is>
          <t>✔</t>
        </is>
      </c>
      <c r="E178" s="28">
        <f>_xlfn.TEXTJOIN("-",TRUE,A178,B178,C178)</f>
        <v/>
      </c>
      <c r="F178" s="20">
        <f>_xlfn.TEXTJOIN("-",TRUE,A662,B662,C662)</f>
        <v/>
      </c>
      <c r="G178" s="23" t="n"/>
      <c r="H178" s="23" t="n"/>
      <c r="I178" s="24" t="n"/>
      <c r="J178" s="19">
        <f>_xlfn.TEXTJOIN("-",TRUE,F178,G178,H178)</f>
        <v/>
      </c>
      <c r="AC178" s="19">
        <f>_xlfn.TEXTJOIN("-",TRUE,Y178,Z178,AA178)</f>
        <v/>
      </c>
    </row>
    <row r="179" customFormat="1" s="19">
      <c r="A179" s="58" t="inlineStr">
        <is>
          <t>11R24.5</t>
        </is>
      </c>
      <c r="B179" s="32" t="inlineStr">
        <is>
          <t>16PR</t>
        </is>
      </c>
      <c r="C179" s="59" t="inlineStr">
        <is>
          <t>KOBE APM</t>
        </is>
      </c>
      <c r="D179" s="29" t="inlineStr">
        <is>
          <t>✔</t>
        </is>
      </c>
      <c r="E179" s="28">
        <f>_xlfn.TEXTJOIN("-",TRUE,A179,B179,C179)</f>
        <v/>
      </c>
      <c r="F179" s="20">
        <f>_xlfn.TEXTJOIN("-",TRUE,A663,B663,C663)</f>
        <v/>
      </c>
      <c r="G179" s="23" t="n"/>
      <c r="H179" s="23" t="n"/>
      <c r="I179" s="24" t="n"/>
      <c r="J179" s="19">
        <f>_xlfn.TEXTJOIN("-",TRUE,F179,G179,H179)</f>
        <v/>
      </c>
      <c r="AC179" s="19">
        <f>_xlfn.TEXTJOIN("-",TRUE,Y179,Z179,AA179)</f>
        <v/>
      </c>
    </row>
    <row r="180" customFormat="1" s="19">
      <c r="A180" s="60" t="inlineStr">
        <is>
          <t>11R24.5</t>
        </is>
      </c>
      <c r="B180" s="32" t="inlineStr">
        <is>
          <t>16PR</t>
        </is>
      </c>
      <c r="C180" s="59" t="inlineStr">
        <is>
          <t>AZ579</t>
        </is>
      </c>
      <c r="D180" s="29" t="inlineStr">
        <is>
          <t>✔</t>
        </is>
      </c>
      <c r="E180" s="28">
        <f>_xlfn.TEXTJOIN("-",TRUE,A180,B180,C180)</f>
        <v/>
      </c>
      <c r="F180" s="20">
        <f>_xlfn.TEXTJOIN("-",TRUE,A664,B664,C664)</f>
        <v/>
      </c>
      <c r="G180" s="23" t="n"/>
      <c r="H180" s="23" t="n"/>
      <c r="I180" s="24" t="n"/>
      <c r="J180" s="19">
        <f>_xlfn.TEXTJOIN("-",TRUE,F180,G180,H180)</f>
        <v/>
      </c>
      <c r="AC180" s="19">
        <f>_xlfn.TEXTJOIN("-",TRUE,Y180,Z180,AA180)</f>
        <v/>
      </c>
    </row>
    <row r="181" customFormat="1" s="19">
      <c r="A181" s="60" t="inlineStr">
        <is>
          <t>11R24.5</t>
        </is>
      </c>
      <c r="B181" s="32" t="inlineStr">
        <is>
          <t>16PR</t>
        </is>
      </c>
      <c r="C181" s="59" t="inlineStr">
        <is>
          <t>HCC1 Plus</t>
        </is>
      </c>
      <c r="D181" s="29" t="inlineStr">
        <is>
          <t>✔</t>
        </is>
      </c>
      <c r="E181" s="28">
        <f>_xlfn.TEXTJOIN("-",TRUE,A181,B181,C181)</f>
        <v/>
      </c>
      <c r="F181" s="20">
        <f>_xlfn.TEXTJOIN("-",TRUE,A665,B665,C665)</f>
        <v/>
      </c>
      <c r="G181" s="23" t="n"/>
      <c r="H181" s="23" t="n"/>
      <c r="I181" s="24" t="n"/>
      <c r="J181" s="19">
        <f>_xlfn.TEXTJOIN("-",TRUE,F181,G181,H181)</f>
        <v/>
      </c>
      <c r="AC181" s="19">
        <f>_xlfn.TEXTJOIN("-",TRUE,Y181,Z181,AA181)</f>
        <v/>
      </c>
    </row>
    <row r="182" customFormat="1" s="19">
      <c r="A182" s="60" t="inlineStr">
        <is>
          <t>11R24.5</t>
        </is>
      </c>
      <c r="B182" s="32" t="inlineStr">
        <is>
          <t>16PR</t>
        </is>
      </c>
      <c r="C182" s="32" t="inlineStr">
        <is>
          <t>AS600</t>
        </is>
      </c>
      <c r="D182" s="29" t="inlineStr">
        <is>
          <t>✔</t>
        </is>
      </c>
      <c r="E182" s="28">
        <f>_xlfn.TEXTJOIN("-",TRUE,A182,B182,C182)</f>
        <v/>
      </c>
      <c r="F182" s="20">
        <f>_xlfn.TEXTJOIN("-",TRUE,A666,B666,C666)</f>
        <v/>
      </c>
      <c r="G182" s="23" t="n"/>
      <c r="H182" s="23" t="n"/>
      <c r="I182" s="24" t="n"/>
      <c r="J182" s="19">
        <f>_xlfn.TEXTJOIN("-",TRUE,F182,G182,H182)</f>
        <v/>
      </c>
      <c r="AC182" s="19">
        <f>_xlfn.TEXTJOIN("-",TRUE,Y182,Z182,AA182)</f>
        <v/>
      </c>
    </row>
    <row r="183" customFormat="1" s="19">
      <c r="A183" s="60" t="inlineStr">
        <is>
          <t>11R24.5</t>
        </is>
      </c>
      <c r="B183" s="32" t="inlineStr">
        <is>
          <t>16PR</t>
        </is>
      </c>
      <c r="C183" s="32" t="inlineStr">
        <is>
          <t>DL21</t>
        </is>
      </c>
      <c r="D183" s="29" t="inlineStr">
        <is>
          <t>✔</t>
        </is>
      </c>
      <c r="E183" s="28">
        <f>_xlfn.TEXTJOIN("-",TRUE,A183,B183,C183)</f>
        <v/>
      </c>
      <c r="F183" s="20">
        <f>_xlfn.TEXTJOIN("-",TRUE,A667,B667,C667)</f>
        <v/>
      </c>
      <c r="G183" s="23" t="n"/>
      <c r="H183" s="23" t="n"/>
      <c r="I183" s="24" t="n"/>
      <c r="J183" s="19">
        <f>_xlfn.TEXTJOIN("-",TRUE,F183,G183,H183)</f>
        <v/>
      </c>
      <c r="AC183" s="19">
        <f>_xlfn.TEXTJOIN("-",TRUE,Y183,Z183,AA183)</f>
        <v/>
      </c>
    </row>
    <row r="184" customFormat="1" s="19">
      <c r="A184" s="60" t="inlineStr">
        <is>
          <t>11R24.5</t>
        </is>
      </c>
      <c r="B184" s="32" t="inlineStr">
        <is>
          <t>16PR</t>
        </is>
      </c>
      <c r="C184" s="32" t="inlineStr">
        <is>
          <t>AS678</t>
        </is>
      </c>
      <c r="D184" s="29" t="inlineStr">
        <is>
          <t>✔</t>
        </is>
      </c>
      <c r="E184" s="28">
        <f>_xlfn.TEXTJOIN("-",TRUE,A184,B184,C184)</f>
        <v/>
      </c>
      <c r="F184" s="20">
        <f>_xlfn.TEXTJOIN("-",TRUE,A668,B668,C668)</f>
        <v/>
      </c>
      <c r="G184" s="23" t="n"/>
      <c r="H184" s="23" t="n"/>
      <c r="I184" s="24" t="n"/>
      <c r="J184" s="19">
        <f>_xlfn.TEXTJOIN("-",TRUE,F184,G184,H184)</f>
        <v/>
      </c>
      <c r="AC184" s="19">
        <f>_xlfn.TEXTJOIN("-",TRUE,Y184,Z184,AA184)</f>
        <v/>
      </c>
    </row>
    <row r="185" customFormat="1" s="19">
      <c r="A185" s="32" t="inlineStr">
        <is>
          <t>12.00R20</t>
        </is>
      </c>
      <c r="B185" s="32" t="inlineStr">
        <is>
          <t>18PR</t>
        </is>
      </c>
      <c r="C185" s="32" t="inlineStr">
        <is>
          <t>EZ336</t>
        </is>
      </c>
      <c r="D185" s="29" t="inlineStr">
        <is>
          <t>✔</t>
        </is>
      </c>
      <c r="E185" s="28">
        <f>_xlfn.TEXTJOIN("-",TRUE,A185,B185,C185)</f>
        <v/>
      </c>
      <c r="F185" s="20" t="n"/>
      <c r="G185" s="23" t="n"/>
      <c r="H185" s="23" t="n"/>
      <c r="I185" s="24" t="n"/>
      <c r="J185" s="19">
        <f>_xlfn.TEXTJOIN("-",TRUE,F185,G185,H185)</f>
        <v/>
      </c>
      <c r="AC185" s="19">
        <f>_xlfn.TEXTJOIN("-",TRUE,Y185,Z185,AA185)</f>
        <v/>
      </c>
    </row>
    <row r="186" customFormat="1" s="19">
      <c r="A186" s="32" t="inlineStr">
        <is>
          <t>12.00R20</t>
        </is>
      </c>
      <c r="B186" s="32" t="inlineStr">
        <is>
          <t>18PR</t>
        </is>
      </c>
      <c r="C186" s="32" t="inlineStr">
        <is>
          <t>CB332</t>
        </is>
      </c>
      <c r="D186" s="61" t="inlineStr">
        <is>
          <t>✔</t>
        </is>
      </c>
      <c r="E186" s="28">
        <f>_xlfn.TEXTJOIN("-",TRUE,A186,B186,C186)</f>
        <v/>
      </c>
      <c r="F186" s="20">
        <f>_xlfn.TEXTJOIN("-",TRUE,A670,B670,C670)</f>
        <v/>
      </c>
      <c r="G186" s="23" t="n"/>
      <c r="H186" s="23" t="n"/>
      <c r="I186" s="24" t="n"/>
      <c r="J186" s="19">
        <f>_xlfn.TEXTJOIN("-",TRUE,F186,G186,H186)</f>
        <v/>
      </c>
      <c r="AC186" s="19">
        <f>_xlfn.TEXTJOIN("-",TRUE,Y186,Z186,AA186)</f>
        <v/>
      </c>
    </row>
    <row r="187" customFormat="1" s="19">
      <c r="A187" s="32" t="inlineStr">
        <is>
          <t>12.00R20</t>
        </is>
      </c>
      <c r="B187" s="32" t="inlineStr">
        <is>
          <t>20PR</t>
        </is>
      </c>
      <c r="C187" s="32" t="inlineStr">
        <is>
          <t>EZ336</t>
        </is>
      </c>
      <c r="D187" s="29" t="inlineStr">
        <is>
          <t>✔</t>
        </is>
      </c>
      <c r="E187" s="28">
        <f>_xlfn.TEXTJOIN("-",TRUE,A187,B187,C187)</f>
        <v/>
      </c>
      <c r="F187" s="20">
        <f>_xlfn.TEXTJOIN("-",TRUE,A671,B671,C671)</f>
        <v/>
      </c>
      <c r="G187" s="23" t="n"/>
      <c r="H187" s="23" t="n"/>
      <c r="I187" s="24" t="n"/>
      <c r="J187" s="19">
        <f>_xlfn.TEXTJOIN("-",TRUE,F187,G187,H187)</f>
        <v/>
      </c>
      <c r="AC187" s="19">
        <f>_xlfn.TEXTJOIN("-",TRUE,Y187,Z187,AA187)</f>
        <v/>
      </c>
    </row>
    <row r="188" customFormat="1" s="19">
      <c r="A188" s="32" t="inlineStr">
        <is>
          <t>12.00R20</t>
        </is>
      </c>
      <c r="B188" s="32" t="inlineStr">
        <is>
          <t>20PR</t>
        </is>
      </c>
      <c r="C188" s="32" t="inlineStr">
        <is>
          <t>CB332</t>
        </is>
      </c>
      <c r="D188" s="61" t="inlineStr">
        <is>
          <t>✔</t>
        </is>
      </c>
      <c r="E188" s="28">
        <f>_xlfn.TEXTJOIN("-",TRUE,A188,B188,C188)</f>
        <v/>
      </c>
      <c r="F188" s="20">
        <f>_xlfn.TEXTJOIN("-",TRUE,A672,B672,C672)</f>
        <v/>
      </c>
      <c r="G188" s="23" t="n"/>
      <c r="H188" s="23" t="n"/>
      <c r="I188" s="24" t="n"/>
      <c r="J188" s="19">
        <f>_xlfn.TEXTJOIN("-",TRUE,F188,G188,H188)</f>
        <v/>
      </c>
      <c r="AC188" s="19">
        <f>_xlfn.TEXTJOIN("-",TRUE,Y188,Z188,AA188)</f>
        <v/>
      </c>
    </row>
    <row r="189" customFormat="1" s="19">
      <c r="A189" s="32" t="inlineStr">
        <is>
          <t>12.00R20</t>
        </is>
      </c>
      <c r="B189" s="32" t="inlineStr">
        <is>
          <t>22PR</t>
        </is>
      </c>
      <c r="C189" s="32" t="inlineStr">
        <is>
          <t>CB332</t>
        </is>
      </c>
      <c r="D189" s="61" t="inlineStr">
        <is>
          <t>✔</t>
        </is>
      </c>
      <c r="E189" s="28">
        <f>_xlfn.TEXTJOIN("-",TRUE,A189,B189,C189)</f>
        <v/>
      </c>
      <c r="F189" s="20">
        <f>_xlfn.TEXTJOIN("-",TRUE,A673,B673,C673)</f>
        <v/>
      </c>
      <c r="G189" s="23" t="n"/>
      <c r="H189" s="23" t="n"/>
      <c r="I189" s="24" t="n"/>
      <c r="J189" s="19">
        <f>_xlfn.TEXTJOIN("-",TRUE,F189,G189,H189)</f>
        <v/>
      </c>
      <c r="AC189" s="19">
        <f>_xlfn.TEXTJOIN("-",TRUE,Y189,Z189,AA189)</f>
        <v/>
      </c>
    </row>
    <row r="190" customFormat="1" s="19">
      <c r="A190" s="32" t="inlineStr">
        <is>
          <t>12.00R20</t>
        </is>
      </c>
      <c r="B190" s="32" t="inlineStr">
        <is>
          <t>18PR</t>
        </is>
      </c>
      <c r="C190" s="32" t="inlineStr">
        <is>
          <t>CB919</t>
        </is>
      </c>
      <c r="D190" s="61" t="inlineStr">
        <is>
          <t>✔</t>
        </is>
      </c>
      <c r="E190" s="28">
        <f>_xlfn.TEXTJOIN("-",TRUE,A190,B190,C190)</f>
        <v/>
      </c>
      <c r="F190" s="20">
        <f>_xlfn.TEXTJOIN("-",TRUE,A674,B674,C674)</f>
        <v/>
      </c>
      <c r="G190" s="23" t="n"/>
      <c r="H190" s="23" t="n"/>
      <c r="I190" s="24" t="n"/>
      <c r="J190" s="19">
        <f>_xlfn.TEXTJOIN("-",TRUE,F190,G190,H190)</f>
        <v/>
      </c>
      <c r="AC190" s="19">
        <f>_xlfn.TEXTJOIN("-",TRUE,Y190,Z190,AA190)</f>
        <v/>
      </c>
    </row>
    <row r="191" customFormat="1" s="19">
      <c r="A191" s="32" t="inlineStr">
        <is>
          <t>12.00R20</t>
        </is>
      </c>
      <c r="B191" s="32" t="inlineStr">
        <is>
          <t>20PR</t>
        </is>
      </c>
      <c r="C191" s="32" t="inlineStr">
        <is>
          <t>CB919</t>
        </is>
      </c>
      <c r="D191" s="61" t="inlineStr">
        <is>
          <t>✔</t>
        </is>
      </c>
      <c r="E191" s="28">
        <f>_xlfn.TEXTJOIN("-",TRUE,A191,B191,C191)</f>
        <v/>
      </c>
      <c r="F191" s="20">
        <f>_xlfn.TEXTJOIN("-",TRUE,A675,B675,C675)</f>
        <v/>
      </c>
      <c r="G191" s="23" t="n"/>
      <c r="H191" s="23" t="n"/>
      <c r="I191" s="24" t="n"/>
      <c r="J191" s="19">
        <f>_xlfn.TEXTJOIN("-",TRUE,F191,G191,H191)</f>
        <v/>
      </c>
      <c r="AC191" s="19">
        <f>_xlfn.TEXTJOIN("-",TRUE,Y191,Z191,AA191)</f>
        <v/>
      </c>
    </row>
    <row r="192" customFormat="1" s="19">
      <c r="A192" s="32" t="inlineStr">
        <is>
          <t>12.00R20</t>
        </is>
      </c>
      <c r="B192" s="32" t="inlineStr">
        <is>
          <t>22PR</t>
        </is>
      </c>
      <c r="C192" s="32" t="inlineStr">
        <is>
          <t>CB919</t>
        </is>
      </c>
      <c r="D192" s="61" t="inlineStr">
        <is>
          <t>✔</t>
        </is>
      </c>
      <c r="E192" s="28">
        <f>_xlfn.TEXTJOIN("-",TRUE,A192,B192,C192)</f>
        <v/>
      </c>
      <c r="F192" s="20">
        <f>_xlfn.TEXTJOIN("-",TRUE,A676,B676,C676)</f>
        <v/>
      </c>
      <c r="G192" s="23" t="n"/>
      <c r="H192" s="23" t="n"/>
      <c r="I192" s="24" t="n"/>
      <c r="J192" s="19">
        <f>_xlfn.TEXTJOIN("-",TRUE,F192,G192,H192)</f>
        <v/>
      </c>
      <c r="AC192" s="19">
        <f>_xlfn.TEXTJOIN("-",TRUE,Y192,Z192,AA192)</f>
        <v/>
      </c>
    </row>
    <row r="193" customFormat="1" s="19">
      <c r="A193" s="32" t="inlineStr">
        <is>
          <t>12.00R20</t>
        </is>
      </c>
      <c r="B193" s="32" t="inlineStr">
        <is>
          <t>18PR</t>
        </is>
      </c>
      <c r="C193" s="32" t="inlineStr">
        <is>
          <t>EZ345</t>
        </is>
      </c>
      <c r="D193" s="29" t="inlineStr">
        <is>
          <t>✔</t>
        </is>
      </c>
      <c r="E193" s="28">
        <f>_xlfn.TEXTJOIN("-",TRUE,A193,B193,C193)</f>
        <v/>
      </c>
      <c r="F193" s="20">
        <f>_xlfn.TEXTJOIN("-",TRUE,A677,B677,C677)</f>
        <v/>
      </c>
      <c r="G193" s="23" t="n"/>
      <c r="H193" s="23" t="n"/>
      <c r="I193" s="24" t="n"/>
      <c r="J193" s="19">
        <f>_xlfn.TEXTJOIN("-",TRUE,F193,G193,H193)</f>
        <v/>
      </c>
      <c r="AC193" s="19">
        <f>_xlfn.TEXTJOIN("-",TRUE,Y193,Z193,AA193)</f>
        <v/>
      </c>
    </row>
    <row r="194" customFormat="1" s="19">
      <c r="A194" s="32" t="inlineStr">
        <is>
          <t>12.00R20</t>
        </is>
      </c>
      <c r="B194" s="32" t="inlineStr">
        <is>
          <t>18PR</t>
        </is>
      </c>
      <c r="C194" s="32" t="inlineStr">
        <is>
          <t>EZ175</t>
        </is>
      </c>
      <c r="D194" s="29" t="inlineStr">
        <is>
          <t>✔</t>
        </is>
      </c>
      <c r="E194" s="28">
        <f>_xlfn.TEXTJOIN("-",TRUE,A194,B194,C194)</f>
        <v/>
      </c>
      <c r="F194" s="20">
        <f>_xlfn.TEXTJOIN("-",TRUE,A678,B678,C678)</f>
        <v/>
      </c>
      <c r="G194" s="23" t="n"/>
      <c r="H194" s="23" t="n"/>
      <c r="I194" s="24" t="n"/>
      <c r="J194" s="19">
        <f>_xlfn.TEXTJOIN("-",TRUE,F194,G194,H194)</f>
        <v/>
      </c>
      <c r="AC194" s="19">
        <f>_xlfn.TEXTJOIN("-",TRUE,Y194,Z194,AA194)</f>
        <v/>
      </c>
    </row>
    <row r="195" customFormat="1" s="19">
      <c r="A195" s="32" t="inlineStr">
        <is>
          <t>12.00R20</t>
        </is>
      </c>
      <c r="B195" s="32" t="inlineStr">
        <is>
          <t>20PR</t>
        </is>
      </c>
      <c r="C195" s="32" t="inlineStr">
        <is>
          <t>EZ345</t>
        </is>
      </c>
      <c r="D195" s="29" t="inlineStr">
        <is>
          <t>✔</t>
        </is>
      </c>
      <c r="E195" s="28">
        <f>_xlfn.TEXTJOIN("-",TRUE,A195,B195,C195)</f>
        <v/>
      </c>
      <c r="F195" s="20">
        <f>_xlfn.TEXTJOIN("-",TRUE,A679,B679,C679)</f>
        <v/>
      </c>
      <c r="G195" s="23" t="n"/>
      <c r="H195" s="23" t="n"/>
      <c r="I195" s="24" t="n"/>
      <c r="J195" s="19">
        <f>_xlfn.TEXTJOIN("-",TRUE,F195,G195,H195)</f>
        <v/>
      </c>
      <c r="AC195" s="19">
        <f>_xlfn.TEXTJOIN("-",TRUE,Y195,Z195,AA195)</f>
        <v/>
      </c>
    </row>
    <row r="196" customFormat="1" s="19">
      <c r="A196" s="32" t="inlineStr">
        <is>
          <t>12.00R20</t>
        </is>
      </c>
      <c r="B196" s="32" t="inlineStr">
        <is>
          <t>20PR</t>
        </is>
      </c>
      <c r="C196" s="32" t="inlineStr">
        <is>
          <t>EZ175</t>
        </is>
      </c>
      <c r="D196" s="29" t="inlineStr">
        <is>
          <t>✔</t>
        </is>
      </c>
      <c r="E196" s="28">
        <f>_xlfn.TEXTJOIN("-",TRUE,A196,B196,C196)</f>
        <v/>
      </c>
      <c r="F196" s="20">
        <f>_xlfn.TEXTJOIN("-",TRUE,A680,B680,C680)</f>
        <v/>
      </c>
      <c r="G196" s="23" t="n"/>
      <c r="H196" s="23" t="n"/>
      <c r="I196" s="24" t="n"/>
      <c r="J196" s="19">
        <f>_xlfn.TEXTJOIN("-",TRUE,F196,G196,H196)</f>
        <v/>
      </c>
      <c r="AC196" s="19">
        <f>_xlfn.TEXTJOIN("-",TRUE,Y196,Z196,AA196)</f>
        <v/>
      </c>
    </row>
    <row r="197" customFormat="1" s="19">
      <c r="A197" s="32" t="inlineStr">
        <is>
          <t>12.00R20</t>
        </is>
      </c>
      <c r="B197" s="32" t="inlineStr">
        <is>
          <t>18PR</t>
        </is>
      </c>
      <c r="C197" s="32" t="inlineStr">
        <is>
          <t>CB972</t>
        </is>
      </c>
      <c r="D197" s="29" t="inlineStr">
        <is>
          <t>✔</t>
        </is>
      </c>
      <c r="E197" s="28">
        <f>_xlfn.TEXTJOIN("-",TRUE,A197,B197,C197)</f>
        <v/>
      </c>
      <c r="F197" s="20">
        <f>_xlfn.TEXTJOIN("-",TRUE,A681,B681,C681)</f>
        <v/>
      </c>
      <c r="G197" s="23" t="n"/>
      <c r="H197" s="23" t="n"/>
      <c r="I197" s="24" t="n"/>
      <c r="J197" s="19">
        <f>_xlfn.TEXTJOIN("-",TRUE,F197,G197,H197)</f>
        <v/>
      </c>
      <c r="AC197" s="19">
        <f>_xlfn.TEXTJOIN("-",TRUE,Y197,Z197,AA197)</f>
        <v/>
      </c>
    </row>
    <row r="198" customFormat="1" s="19">
      <c r="A198" s="32" t="inlineStr">
        <is>
          <t>12.00R20</t>
        </is>
      </c>
      <c r="B198" s="32" t="inlineStr">
        <is>
          <t>20PR</t>
        </is>
      </c>
      <c r="C198" s="32" t="inlineStr">
        <is>
          <t>CB972</t>
        </is>
      </c>
      <c r="D198" s="29" t="inlineStr">
        <is>
          <t>✔</t>
        </is>
      </c>
      <c r="E198" s="28">
        <f>_xlfn.TEXTJOIN("-",TRUE,A198,B198,C198)</f>
        <v/>
      </c>
      <c r="F198" s="20">
        <f>_xlfn.TEXTJOIN("-",TRUE,A682,B682,C682)</f>
        <v/>
      </c>
      <c r="G198" s="23" t="n"/>
      <c r="H198" s="23" t="n"/>
      <c r="I198" s="24" t="n"/>
      <c r="J198" s="19">
        <f>_xlfn.TEXTJOIN("-",TRUE,F198,G198,H198)</f>
        <v/>
      </c>
      <c r="AC198" s="19">
        <f>_xlfn.TEXTJOIN("-",TRUE,Y198,Z198,AA198)</f>
        <v/>
      </c>
    </row>
    <row r="199" customFormat="1" s="19">
      <c r="A199" s="32" t="inlineStr">
        <is>
          <t>12.00R20</t>
        </is>
      </c>
      <c r="B199" s="32" t="inlineStr">
        <is>
          <t>18PR</t>
        </is>
      </c>
      <c r="C199" s="32" t="inlineStr">
        <is>
          <t>EZ310</t>
        </is>
      </c>
      <c r="D199" s="29" t="inlineStr">
        <is>
          <t>✔</t>
        </is>
      </c>
      <c r="E199" s="28">
        <f>_xlfn.TEXTJOIN("-",TRUE,A199,B199,C199)</f>
        <v/>
      </c>
      <c r="F199" s="20">
        <f>_xlfn.TEXTJOIN("-",TRUE,A683,B683,C683)</f>
        <v/>
      </c>
      <c r="G199" s="23" t="n"/>
      <c r="H199" s="23" t="n"/>
      <c r="I199" s="24" t="n"/>
      <c r="J199" s="19">
        <f>_xlfn.TEXTJOIN("-",TRUE,F199,G199,H199)</f>
        <v/>
      </c>
      <c r="AC199" s="19">
        <f>_xlfn.TEXTJOIN("-",TRUE,Y199,Z199,AA199)</f>
        <v/>
      </c>
    </row>
    <row r="200" customFormat="1" s="19">
      <c r="A200" s="32" t="inlineStr">
        <is>
          <t>12.00R20</t>
        </is>
      </c>
      <c r="B200" s="32" t="inlineStr">
        <is>
          <t>18PR</t>
        </is>
      </c>
      <c r="C200" s="32" t="inlineStr">
        <is>
          <t>EZ310 pro</t>
        </is>
      </c>
      <c r="D200" s="29" t="inlineStr">
        <is>
          <t>✔</t>
        </is>
      </c>
      <c r="E200" s="28">
        <f>_xlfn.TEXTJOIN("-",TRUE,A200,B200,C200)</f>
        <v/>
      </c>
      <c r="F200" s="20">
        <f>_xlfn.TEXTJOIN("-",TRUE,A684,B684,C684)</f>
        <v/>
      </c>
      <c r="G200" s="23" t="n"/>
      <c r="H200" s="23" t="n"/>
      <c r="I200" s="24" t="n"/>
      <c r="J200" s="19">
        <f>_xlfn.TEXTJOIN("-",TRUE,F200,G200,H200)</f>
        <v/>
      </c>
      <c r="AC200" s="19">
        <f>_xlfn.TEXTJOIN("-",TRUE,Y200,Z200,AA200)</f>
        <v/>
      </c>
    </row>
    <row r="201" customFormat="1" s="19">
      <c r="A201" s="32" t="inlineStr">
        <is>
          <t>12.00R20</t>
        </is>
      </c>
      <c r="B201" s="32" t="inlineStr">
        <is>
          <t>22PR</t>
        </is>
      </c>
      <c r="C201" s="32" t="inlineStr">
        <is>
          <t>EZ310</t>
        </is>
      </c>
      <c r="D201" s="29" t="inlineStr">
        <is>
          <t>✔</t>
        </is>
      </c>
      <c r="E201" s="28">
        <f>_xlfn.TEXTJOIN("-",TRUE,A201,B201,C201)</f>
        <v/>
      </c>
      <c r="F201" s="20">
        <f>_xlfn.TEXTJOIN("-",TRUE,A685,B685,C685)</f>
        <v/>
      </c>
      <c r="G201" s="23" t="n"/>
      <c r="H201" s="23" t="n"/>
      <c r="I201" s="24" t="n"/>
      <c r="J201" s="19">
        <f>_xlfn.TEXTJOIN("-",TRUE,F201,G201,H201)</f>
        <v/>
      </c>
      <c r="AC201" s="19">
        <f>_xlfn.TEXTJOIN("-",TRUE,Y201,Z201,AA201)</f>
        <v/>
      </c>
    </row>
    <row r="202" customFormat="1" s="19">
      <c r="A202" s="32" t="inlineStr">
        <is>
          <t>12.00R20</t>
        </is>
      </c>
      <c r="B202" s="32" t="inlineStr">
        <is>
          <t>22PR</t>
        </is>
      </c>
      <c r="C202" s="32" t="inlineStr">
        <is>
          <t>EZ310 pro</t>
        </is>
      </c>
      <c r="D202" s="29" t="inlineStr">
        <is>
          <t>✔</t>
        </is>
      </c>
      <c r="E202" s="28">
        <f>_xlfn.TEXTJOIN("-",TRUE,A202,B202,C202)</f>
        <v/>
      </c>
      <c r="F202" s="20">
        <f>_xlfn.TEXTJOIN("-",TRUE,A686,B686,C686)</f>
        <v/>
      </c>
      <c r="G202" s="23" t="n"/>
      <c r="H202" s="23" t="n"/>
      <c r="I202" s="24" t="n"/>
      <c r="J202" s="19">
        <f>_xlfn.TEXTJOIN("-",TRUE,F202,G202,H202)</f>
        <v/>
      </c>
      <c r="AC202" s="19">
        <f>_xlfn.TEXTJOIN("-",TRUE,Y202,Z202,AA202)</f>
        <v/>
      </c>
    </row>
    <row r="203" customFormat="1" s="19">
      <c r="A203" s="32" t="inlineStr">
        <is>
          <t>12.00R20</t>
        </is>
      </c>
      <c r="B203" s="32" t="inlineStr">
        <is>
          <t>20PR</t>
        </is>
      </c>
      <c r="C203" s="32" t="inlineStr">
        <is>
          <t>XC809</t>
        </is>
      </c>
      <c r="D203" s="29" t="inlineStr">
        <is>
          <t>✔</t>
        </is>
      </c>
      <c r="E203" s="28">
        <f>_xlfn.TEXTJOIN("-",TRUE,A203,B203,C203)</f>
        <v/>
      </c>
      <c r="F203" s="20">
        <f>_xlfn.TEXTJOIN("-",TRUE,A687,B687,C687)</f>
        <v/>
      </c>
      <c r="G203" s="23" t="n"/>
      <c r="H203" s="23" t="n"/>
      <c r="I203" s="24" t="n"/>
      <c r="J203" s="19">
        <f>_xlfn.TEXTJOIN("-",TRUE,F203,G203,H203)</f>
        <v/>
      </c>
      <c r="AC203" s="19">
        <f>_xlfn.TEXTJOIN("-",TRUE,Y203,Z203,AA203)</f>
        <v/>
      </c>
    </row>
    <row r="204" customFormat="1" s="19">
      <c r="A204" s="32" t="inlineStr">
        <is>
          <t>12.00R20</t>
        </is>
      </c>
      <c r="B204" s="32" t="inlineStr">
        <is>
          <t>20PR</t>
        </is>
      </c>
      <c r="C204" s="32" t="inlineStr">
        <is>
          <t>EZ309</t>
        </is>
      </c>
      <c r="D204" s="29" t="inlineStr">
        <is>
          <t>✔</t>
        </is>
      </c>
      <c r="E204" s="28">
        <f>_xlfn.TEXTJOIN("-",TRUE,A204,B204,C204)</f>
        <v/>
      </c>
      <c r="F204" s="20">
        <f>_xlfn.TEXTJOIN("-",TRUE,A688,B688,C688)</f>
        <v/>
      </c>
      <c r="G204" s="23" t="n"/>
      <c r="H204" s="23" t="n"/>
      <c r="I204" s="24" t="n"/>
      <c r="J204" s="19">
        <f>_xlfn.TEXTJOIN("-",TRUE,F204,G204,H204)</f>
        <v/>
      </c>
      <c r="AC204" s="19">
        <f>_xlfn.TEXTJOIN("-",TRUE,Y204,Z204,AA204)</f>
        <v/>
      </c>
    </row>
    <row r="205" customFormat="1" s="19">
      <c r="A205" s="32" t="inlineStr">
        <is>
          <t>12.00R20</t>
        </is>
      </c>
      <c r="B205" s="32" t="inlineStr">
        <is>
          <t>☆☆PR</t>
        </is>
      </c>
      <c r="C205" s="32" t="inlineStr">
        <is>
          <t>XC809</t>
        </is>
      </c>
      <c r="D205" s="29" t="inlineStr">
        <is>
          <t>✔</t>
        </is>
      </c>
      <c r="E205" s="28">
        <f>_xlfn.TEXTJOIN("-",TRUE,A205,B205,C205)</f>
        <v/>
      </c>
      <c r="F205" s="20">
        <f>_xlfn.TEXTJOIN("-",TRUE,A689,B689,C689)</f>
        <v/>
      </c>
      <c r="G205" s="23" t="n"/>
      <c r="H205" s="23" t="n"/>
      <c r="I205" s="24" t="n"/>
      <c r="J205" s="19">
        <f>_xlfn.TEXTJOIN("-",TRUE,F205,G205,H205)</f>
        <v/>
      </c>
      <c r="AC205" s="19">
        <f>_xlfn.TEXTJOIN("-",TRUE,Y205,Z205,AA205)</f>
        <v/>
      </c>
    </row>
    <row r="206" customFormat="1" s="19">
      <c r="A206" s="32" t="inlineStr">
        <is>
          <t>12.00R20</t>
        </is>
      </c>
      <c r="B206" s="32" t="inlineStr">
        <is>
          <t>22PR</t>
        </is>
      </c>
      <c r="C206" s="32" t="inlineStr">
        <is>
          <t>EZ309</t>
        </is>
      </c>
      <c r="D206" s="29" t="inlineStr">
        <is>
          <t>✔</t>
        </is>
      </c>
      <c r="E206" s="28">
        <f>_xlfn.TEXTJOIN("-",TRUE,A206,B206,C206)</f>
        <v/>
      </c>
      <c r="F206" s="20">
        <f>_xlfn.TEXTJOIN("-",TRUE,A690,B690,C690)</f>
        <v/>
      </c>
      <c r="G206" s="23" t="n"/>
      <c r="H206" s="23" t="n"/>
      <c r="I206" s="24" t="n"/>
      <c r="J206" s="19">
        <f>_xlfn.TEXTJOIN("-",TRUE,F206,G206,H206)</f>
        <v/>
      </c>
      <c r="AC206" s="19">
        <f>_xlfn.TEXTJOIN("-",TRUE,Y206,Z206,AA206)</f>
        <v/>
      </c>
    </row>
    <row r="207" customFormat="1" s="19">
      <c r="A207" s="32" t="inlineStr">
        <is>
          <t>12.00R20</t>
        </is>
      </c>
      <c r="B207" s="32" t="inlineStr">
        <is>
          <t>20PR</t>
        </is>
      </c>
      <c r="C207" s="32" t="inlineStr">
        <is>
          <t>ETOD</t>
        </is>
      </c>
      <c r="D207" s="29" t="inlineStr">
        <is>
          <t>✔</t>
        </is>
      </c>
      <c r="E207" s="28">
        <f>_xlfn.TEXTJOIN("-",TRUE,A207,B207,C207)</f>
        <v/>
      </c>
      <c r="F207" s="20">
        <f>_xlfn.TEXTJOIN("-",TRUE,A691,B691,C691)</f>
        <v/>
      </c>
      <c r="G207" s="23" t="n"/>
      <c r="H207" s="23" t="n"/>
      <c r="I207" s="24" t="n"/>
      <c r="J207" s="19">
        <f>_xlfn.TEXTJOIN("-",TRUE,F207,G207,H207)</f>
        <v/>
      </c>
      <c r="AC207" s="19">
        <f>_xlfn.TEXTJOIN("-",TRUE,Y207,Z207,AA207)</f>
        <v/>
      </c>
    </row>
    <row r="208" customFormat="1" s="19">
      <c r="A208" s="50" t="inlineStr">
        <is>
          <t>12.00R20</t>
        </is>
      </c>
      <c r="B208" s="32" t="inlineStr">
        <is>
          <t>18PR</t>
        </is>
      </c>
      <c r="C208" s="39" t="inlineStr">
        <is>
          <t>TZ304</t>
        </is>
      </c>
      <c r="D208" s="29" t="inlineStr">
        <is>
          <t>✔</t>
        </is>
      </c>
      <c r="E208" s="28">
        <f>_xlfn.TEXTJOIN("-",TRUE,A208,B208,C208)</f>
        <v/>
      </c>
      <c r="F208" s="20">
        <f>_xlfn.TEXTJOIN("-",TRUE,A692,B692,C692)</f>
        <v/>
      </c>
      <c r="G208" s="23" t="n"/>
      <c r="H208" s="23" t="n"/>
      <c r="I208" s="24" t="n"/>
      <c r="J208" s="19">
        <f>_xlfn.TEXTJOIN("-",TRUE,F208,G208,H208)</f>
        <v/>
      </c>
      <c r="AC208" s="19">
        <f>_xlfn.TEXTJOIN("-",TRUE,Y208,Z208,AA208)</f>
        <v/>
      </c>
    </row>
    <row r="209" customFormat="1" s="19">
      <c r="A209" s="32" t="inlineStr">
        <is>
          <t>12.00R20</t>
        </is>
      </c>
      <c r="B209" s="32" t="inlineStr">
        <is>
          <t>18PR</t>
        </is>
      </c>
      <c r="C209" s="32" t="inlineStr">
        <is>
          <t>TZ101</t>
        </is>
      </c>
      <c r="D209" s="29" t="inlineStr">
        <is>
          <t>✔</t>
        </is>
      </c>
      <c r="E209" s="28">
        <f>_xlfn.TEXTJOIN("-",TRUE,A209,B209,C209)</f>
        <v/>
      </c>
      <c r="F209" s="20">
        <f>_xlfn.TEXTJOIN("-",TRUE,A693,B693,C693)</f>
        <v/>
      </c>
      <c r="G209" s="23" t="n"/>
      <c r="H209" s="23" t="n"/>
      <c r="I209" s="24" t="n"/>
      <c r="J209" s="19">
        <f>_xlfn.TEXTJOIN("-",TRUE,F209,G209,H209)</f>
        <v/>
      </c>
      <c r="AC209" s="19">
        <f>_xlfn.TEXTJOIN("-",TRUE,Y209,Z209,AA209)</f>
        <v/>
      </c>
    </row>
    <row r="210" customFormat="1" s="19">
      <c r="A210" s="32" t="inlineStr">
        <is>
          <t>12.00R20</t>
        </is>
      </c>
      <c r="B210" s="32" t="inlineStr">
        <is>
          <t>20PR</t>
        </is>
      </c>
      <c r="C210" s="32" t="inlineStr">
        <is>
          <t>EZ867</t>
        </is>
      </c>
      <c r="D210" s="29" t="inlineStr">
        <is>
          <t>✔</t>
        </is>
      </c>
      <c r="E210" s="28">
        <f>_xlfn.TEXTJOIN("-",TRUE,A210,B210,C210)</f>
        <v/>
      </c>
      <c r="F210" s="20">
        <f>_xlfn.TEXTJOIN("-",TRUE,A694,B694,C694)</f>
        <v/>
      </c>
      <c r="G210" s="23" t="n"/>
      <c r="H210" s="23" t="n"/>
      <c r="I210" s="24" t="n"/>
      <c r="J210" s="19">
        <f>_xlfn.TEXTJOIN("-",TRUE,F210,G210,H210)</f>
        <v/>
      </c>
      <c r="AC210" s="19">
        <f>_xlfn.TEXTJOIN("-",TRUE,Y210,Z210,AA210)</f>
        <v/>
      </c>
    </row>
    <row r="211" customFormat="1" s="19">
      <c r="A211" s="32" t="inlineStr">
        <is>
          <t>12.00R20</t>
        </is>
      </c>
      <c r="B211" s="32" t="inlineStr">
        <is>
          <t>20PR</t>
        </is>
      </c>
      <c r="C211" s="32" t="inlineStr">
        <is>
          <t>AZ850</t>
        </is>
      </c>
      <c r="D211" s="29" t="inlineStr">
        <is>
          <t>✔</t>
        </is>
      </c>
      <c r="E211" s="28">
        <f>_xlfn.TEXTJOIN("-",TRUE,A211,B211,C211)</f>
        <v/>
      </c>
      <c r="F211" s="20">
        <f>_xlfn.TEXTJOIN("-",TRUE,A695,B695,C695)</f>
        <v/>
      </c>
      <c r="G211" s="23" t="n"/>
      <c r="H211" s="23" t="n"/>
      <c r="I211" s="24" t="n"/>
      <c r="J211" s="19">
        <f>_xlfn.TEXTJOIN("-",TRUE,F211,G211,H211)</f>
        <v/>
      </c>
      <c r="AC211" s="19">
        <f>_xlfn.TEXTJOIN("-",TRUE,Y211,Z211,AA211)</f>
        <v/>
      </c>
    </row>
    <row r="212" customFormat="1" s="19">
      <c r="A212" s="32" t="inlineStr">
        <is>
          <t>12R22.5</t>
        </is>
      </c>
      <c r="B212" s="32" t="inlineStr">
        <is>
          <t>18PR</t>
        </is>
      </c>
      <c r="C212" s="32" t="inlineStr">
        <is>
          <t>VAZ80</t>
        </is>
      </c>
      <c r="D212" s="29" t="inlineStr">
        <is>
          <t>✔</t>
        </is>
      </c>
      <c r="E212" s="28">
        <f>_xlfn.TEXTJOIN("-",TRUE,A212,B212,C212)</f>
        <v/>
      </c>
      <c r="F212" s="20">
        <f>_xlfn.TEXTJOIN("-",TRUE,A696,B696,C696)</f>
        <v/>
      </c>
      <c r="G212" s="23" t="n"/>
      <c r="H212" s="23" t="n"/>
      <c r="I212" s="24" t="n"/>
      <c r="J212" s="19">
        <f>_xlfn.TEXTJOIN("-",TRUE,F212,G212,H212)</f>
        <v/>
      </c>
      <c r="AC212" s="19">
        <f>_xlfn.TEXTJOIN("-",TRUE,Y212,Z212,AA212)</f>
        <v/>
      </c>
    </row>
    <row r="213" customFormat="1" s="19">
      <c r="A213" s="32" t="inlineStr">
        <is>
          <t>12R22.5</t>
        </is>
      </c>
      <c r="B213" s="62" t="inlineStr">
        <is>
          <t>20PR</t>
        </is>
      </c>
      <c r="C213" s="32" t="inlineStr">
        <is>
          <t>AZ850M</t>
        </is>
      </c>
      <c r="D213" s="29" t="inlineStr">
        <is>
          <t>✔</t>
        </is>
      </c>
      <c r="E213" s="28">
        <f>_xlfn.TEXTJOIN("-",TRUE,A213,B213,C213)</f>
        <v/>
      </c>
      <c r="F213" s="20" t="n"/>
      <c r="G213" s="23" t="n"/>
      <c r="H213" s="23" t="n"/>
      <c r="I213" s="24" t="n"/>
      <c r="J213" s="19">
        <f>_xlfn.TEXTJOIN("-",TRUE,F213,G213,H213)</f>
        <v/>
      </c>
      <c r="AC213" s="19">
        <f>_xlfn.TEXTJOIN("-",TRUE,Y213,Z213,AA213)</f>
        <v/>
      </c>
    </row>
    <row r="214" customFormat="1" s="19">
      <c r="A214" s="32" t="inlineStr">
        <is>
          <t>12R22.5</t>
        </is>
      </c>
      <c r="B214" s="32" t="inlineStr">
        <is>
          <t>18PR</t>
        </is>
      </c>
      <c r="C214" s="32" t="inlineStr">
        <is>
          <t>AZ850</t>
        </is>
      </c>
      <c r="D214" s="29" t="inlineStr">
        <is>
          <t>✔</t>
        </is>
      </c>
      <c r="E214" s="28">
        <f>_xlfn.TEXTJOIN("-",TRUE,A214,B214,C214)</f>
        <v/>
      </c>
      <c r="F214" s="20">
        <f>_xlfn.TEXTJOIN("-",TRUE,A698,B698,C698)</f>
        <v/>
      </c>
      <c r="G214" s="23" t="n"/>
      <c r="H214" s="23" t="n"/>
      <c r="I214" s="24" t="n"/>
      <c r="J214" s="19">
        <f>_xlfn.TEXTJOIN("-",TRUE,F214,G214,H214)</f>
        <v/>
      </c>
      <c r="AC214" s="19">
        <f>_xlfn.TEXTJOIN("-",TRUE,Y214,Z214,AA214)</f>
        <v/>
      </c>
    </row>
    <row r="215" customFormat="1" s="19">
      <c r="A215" s="32" t="inlineStr">
        <is>
          <t>12R22.5</t>
        </is>
      </c>
      <c r="B215" s="62" t="inlineStr">
        <is>
          <t>20PR</t>
        </is>
      </c>
      <c r="C215" s="32" t="inlineStr">
        <is>
          <t>AS898H</t>
        </is>
      </c>
      <c r="D215" s="29" t="inlineStr">
        <is>
          <t>✔</t>
        </is>
      </c>
      <c r="E215" s="28">
        <f>_xlfn.TEXTJOIN("-",TRUE,A215,B215,C215)</f>
        <v/>
      </c>
      <c r="F215" s="20">
        <f>_xlfn.TEXTJOIN("-",TRUE,A699,B699,C699)</f>
        <v/>
      </c>
      <c r="G215" s="23" t="n"/>
      <c r="H215" s="23" t="n"/>
      <c r="I215" s="24" t="n"/>
      <c r="J215" s="19">
        <f>_xlfn.TEXTJOIN("-",TRUE,F215,G215,H215)</f>
        <v/>
      </c>
    </row>
    <row r="216" customFormat="1" s="19">
      <c r="A216" s="32" t="inlineStr">
        <is>
          <t>12R22.5</t>
        </is>
      </c>
      <c r="B216" s="32" t="inlineStr">
        <is>
          <t>18PR</t>
        </is>
      </c>
      <c r="C216" s="32" t="inlineStr">
        <is>
          <t>VAS88</t>
        </is>
      </c>
      <c r="D216" s="29" t="inlineStr">
        <is>
          <t>✔</t>
        </is>
      </c>
      <c r="E216" s="28">
        <f>_xlfn.TEXTJOIN("-",TRUE,A216,B216,C216)</f>
        <v/>
      </c>
      <c r="F216" s="20">
        <f>_xlfn.TEXTJOIN("-",TRUE,A700,B700,C700)</f>
        <v/>
      </c>
      <c r="G216" s="23" t="n"/>
      <c r="H216" s="23" t="n"/>
      <c r="I216" s="24" t="n"/>
      <c r="J216" s="19">
        <f>_xlfn.TEXTJOIN("-",TRUE,F216,G216,H216)</f>
        <v/>
      </c>
    </row>
    <row r="217" customFormat="1" s="19">
      <c r="A217" s="32" t="inlineStr">
        <is>
          <t>12R22.5</t>
        </is>
      </c>
      <c r="B217" s="32" t="inlineStr">
        <is>
          <t>18PR</t>
        </is>
      </c>
      <c r="C217" s="32" t="inlineStr">
        <is>
          <t>H-MD</t>
        </is>
      </c>
      <c r="D217" s="29" t="inlineStr">
        <is>
          <t>✔</t>
        </is>
      </c>
      <c r="E217" s="28">
        <f>_xlfn.TEXTJOIN("-",TRUE,A217,B217,C217)</f>
        <v/>
      </c>
      <c r="F217" s="20">
        <f>_xlfn.TEXTJOIN("-",TRUE,A701,B701,C701)</f>
        <v/>
      </c>
      <c r="G217" s="23" t="n"/>
      <c r="H217" s="23" t="n"/>
      <c r="I217" s="24" t="n"/>
      <c r="J217" s="19">
        <f>_xlfn.TEXTJOIN("-",TRUE,F217,G217,H217)</f>
        <v/>
      </c>
    </row>
    <row r="218" customFormat="1" s="19">
      <c r="A218" s="32" t="inlineStr">
        <is>
          <t>12.00R24</t>
        </is>
      </c>
      <c r="B218" s="32" t="inlineStr">
        <is>
          <t>20PR</t>
        </is>
      </c>
      <c r="C218" s="32" t="inlineStr">
        <is>
          <t>ETOT</t>
        </is>
      </c>
      <c r="D218" s="29" t="inlineStr">
        <is>
          <t>✔</t>
        </is>
      </c>
      <c r="E218" s="28">
        <f>_xlfn.TEXTJOIN("-",TRUE,A218,B218,C218)</f>
        <v/>
      </c>
      <c r="F218" s="20">
        <f>_xlfn.TEXTJOIN("-",TRUE,A702,B702,C702)</f>
        <v/>
      </c>
      <c r="G218" s="23" t="n"/>
      <c r="H218" s="23" t="n"/>
      <c r="I218" s="24" t="n"/>
      <c r="J218" s="19">
        <f>_xlfn.TEXTJOIN("-",TRUE,F218,G218,H218)</f>
        <v/>
      </c>
    </row>
    <row r="219" customFormat="1" s="19">
      <c r="A219" s="32" t="inlineStr">
        <is>
          <t>12.00R24</t>
        </is>
      </c>
      <c r="B219" s="32" t="inlineStr">
        <is>
          <t>20PR</t>
        </is>
      </c>
      <c r="C219" s="32" t="inlineStr">
        <is>
          <t>MT100 MAX</t>
        </is>
      </c>
      <c r="D219" s="29" t="inlineStr">
        <is>
          <t>✔</t>
        </is>
      </c>
      <c r="E219" s="28">
        <f>_xlfn.TEXTJOIN("-",TRUE,A219,B219,C219)</f>
        <v/>
      </c>
      <c r="F219" s="20">
        <f>_xlfn.TEXTJOIN("-",TRUE,A703,B703,C703)</f>
        <v/>
      </c>
      <c r="G219" s="23" t="n"/>
      <c r="H219" s="23" t="n"/>
      <c r="I219" s="24" t="n"/>
      <c r="J219" s="19">
        <f>_xlfn.TEXTJOIN("-",TRUE,F219,G219,H219)</f>
        <v/>
      </c>
    </row>
    <row r="220" customFormat="1" s="19">
      <c r="A220" s="32" t="inlineStr">
        <is>
          <t>12.00R24</t>
        </is>
      </c>
      <c r="B220" s="32" t="inlineStr">
        <is>
          <t>20PR</t>
        </is>
      </c>
      <c r="C220" s="32" t="inlineStr">
        <is>
          <t>TZ101 PRO</t>
        </is>
      </c>
      <c r="D220" s="29" t="inlineStr">
        <is>
          <t>✔</t>
        </is>
      </c>
      <c r="E220" s="28">
        <f>_xlfn.TEXTJOIN("-",TRUE,A220,B220,C220)</f>
        <v/>
      </c>
      <c r="F220" s="20">
        <f>_xlfn.TEXTJOIN("-",TRUE,A704,B704,C704)</f>
        <v/>
      </c>
      <c r="G220" s="23" t="n"/>
      <c r="H220" s="23" t="n"/>
      <c r="I220" s="24" t="n"/>
      <c r="J220" s="19">
        <f>_xlfn.TEXTJOIN("-",TRUE,F220,G220,H220)</f>
        <v/>
      </c>
    </row>
    <row r="221" customFormat="1" s="19">
      <c r="A221" s="32" t="inlineStr">
        <is>
          <t>12.00R24</t>
        </is>
      </c>
      <c r="B221" s="32" t="inlineStr">
        <is>
          <t>20PR</t>
        </is>
      </c>
      <c r="C221" s="32" t="inlineStr">
        <is>
          <t>EZ336</t>
        </is>
      </c>
      <c r="D221" s="29" t="inlineStr">
        <is>
          <t>✔</t>
        </is>
      </c>
      <c r="E221" s="28">
        <f>_xlfn.TEXTJOIN("-",TRUE,A221,B221,C221)</f>
        <v/>
      </c>
      <c r="F221" s="20">
        <f>_xlfn.TEXTJOIN("-",TRUE,A705,B705,C705)</f>
        <v/>
      </c>
      <c r="G221" s="23" t="n"/>
      <c r="H221" s="23" t="n"/>
      <c r="I221" s="24" t="n"/>
      <c r="J221" s="19">
        <f>_xlfn.TEXTJOIN("-",TRUE,F221,G221,H221)</f>
        <v/>
      </c>
    </row>
    <row r="222" customFormat="1" s="19">
      <c r="A222" s="32" t="inlineStr">
        <is>
          <t>12.00R24</t>
        </is>
      </c>
      <c r="B222" s="32" t="inlineStr">
        <is>
          <t>20PR</t>
        </is>
      </c>
      <c r="C222" s="32" t="inlineStr">
        <is>
          <t>CB972</t>
        </is>
      </c>
      <c r="D222" s="29" t="inlineStr">
        <is>
          <t>✔</t>
        </is>
      </c>
      <c r="E222" s="28">
        <f>_xlfn.TEXTJOIN("-",TRUE,A222,B222,C222)</f>
        <v/>
      </c>
      <c r="F222" s="20">
        <f>_xlfn.TEXTJOIN("-",TRUE,A706,B706,C706)</f>
        <v/>
      </c>
      <c r="G222" s="23" t="n"/>
      <c r="H222" s="23" t="n"/>
      <c r="I222" s="24" t="n"/>
      <c r="J222" s="19">
        <f>_xlfn.TEXTJOIN("-",TRUE,F222,G222,H222)</f>
        <v/>
      </c>
    </row>
    <row r="223" customFormat="1" s="19">
      <c r="A223" s="32" t="inlineStr">
        <is>
          <t>12.00R24</t>
        </is>
      </c>
      <c r="B223" s="32" t="inlineStr">
        <is>
          <t>20PR</t>
        </is>
      </c>
      <c r="C223" s="32" t="inlineStr">
        <is>
          <t>CB972E</t>
        </is>
      </c>
      <c r="D223" s="29" t="inlineStr">
        <is>
          <t>✔</t>
        </is>
      </c>
      <c r="E223" s="28">
        <f>_xlfn.TEXTJOIN("-",TRUE,A223,B223,C223)</f>
        <v/>
      </c>
      <c r="F223" s="20">
        <f>_xlfn.TEXTJOIN("-",TRUE,A707,B707,C707)</f>
        <v/>
      </c>
      <c r="G223" s="23" t="n"/>
      <c r="H223" s="23" t="n"/>
      <c r="I223" s="24" t="n"/>
      <c r="J223" s="19">
        <f>_xlfn.TEXTJOIN("-",TRUE,F223,G223,H223)</f>
        <v/>
      </c>
    </row>
    <row r="224" customFormat="1" s="19">
      <c r="A224" s="32" t="inlineStr">
        <is>
          <t>12.00R24</t>
        </is>
      </c>
      <c r="B224" s="32" t="inlineStr">
        <is>
          <t>20PR</t>
        </is>
      </c>
      <c r="C224" s="32" t="inlineStr">
        <is>
          <t>CB919</t>
        </is>
      </c>
      <c r="D224" s="29" t="inlineStr">
        <is>
          <t>✔</t>
        </is>
      </c>
      <c r="E224" s="28">
        <f>_xlfn.TEXTJOIN("-",TRUE,A224,B224,C224)</f>
        <v/>
      </c>
      <c r="F224" s="20">
        <f>_xlfn.TEXTJOIN("-",TRUE,A708,B708,C708)</f>
        <v/>
      </c>
      <c r="G224" s="23" t="n"/>
      <c r="H224" s="23" t="n"/>
      <c r="I224" s="24" t="n"/>
      <c r="J224" s="19">
        <f>_xlfn.TEXTJOIN("-",TRUE,F224,G224,H224)</f>
        <v/>
      </c>
    </row>
    <row r="225" customFormat="1" s="19">
      <c r="A225" s="32" t="inlineStr">
        <is>
          <t>12.00R24</t>
        </is>
      </c>
      <c r="B225" s="32" t="inlineStr">
        <is>
          <t>20PR</t>
        </is>
      </c>
      <c r="C225" s="32" t="inlineStr">
        <is>
          <t>CB332</t>
        </is>
      </c>
      <c r="D225" s="48" t="inlineStr">
        <is>
          <t>✔</t>
        </is>
      </c>
      <c r="E225" s="28">
        <f>_xlfn.TEXTJOIN("-",TRUE,A225,B225,C225)</f>
        <v/>
      </c>
      <c r="F225" s="20" t="n"/>
      <c r="G225" s="23" t="n"/>
      <c r="H225" s="23" t="n"/>
      <c r="I225" s="24" t="n"/>
      <c r="J225" s="19">
        <f>_xlfn.TEXTJOIN("-",TRUE,F225,G225,H225)</f>
        <v/>
      </c>
    </row>
    <row r="226" customFormat="1" s="19">
      <c r="A226" s="50" t="inlineStr">
        <is>
          <t>12.00R24</t>
        </is>
      </c>
      <c r="B226" s="32" t="inlineStr">
        <is>
          <t>20PR</t>
        </is>
      </c>
      <c r="C226" s="51" t="inlineStr">
        <is>
          <t>TZ101</t>
        </is>
      </c>
      <c r="D226" s="29" t="inlineStr">
        <is>
          <t>✔</t>
        </is>
      </c>
      <c r="E226" s="28">
        <f>_xlfn.TEXTJOIN("-",TRUE,A226,B226,C226)</f>
        <v/>
      </c>
      <c r="F226" s="20">
        <f>_xlfn.TEXTJOIN("-",TRUE,A710,B710,C710)</f>
        <v/>
      </c>
      <c r="G226" s="23" t="n"/>
      <c r="H226" s="23" t="n"/>
      <c r="I226" s="24" t="n"/>
      <c r="J226" s="19">
        <f>_xlfn.TEXTJOIN("-",TRUE,F226,G226,H226)</f>
        <v/>
      </c>
    </row>
    <row r="227" customFormat="1" s="19">
      <c r="A227" s="60" t="inlineStr">
        <is>
          <t>12.00R24</t>
        </is>
      </c>
      <c r="B227" s="32" t="inlineStr">
        <is>
          <t>☆☆PR</t>
        </is>
      </c>
      <c r="C227" s="59" t="inlineStr">
        <is>
          <t>XC809</t>
        </is>
      </c>
      <c r="D227" s="48" t="inlineStr">
        <is>
          <t>✔</t>
        </is>
      </c>
      <c r="E227" s="28">
        <f>_xlfn.TEXTJOIN("-",TRUE,A227,B227,C227)</f>
        <v/>
      </c>
      <c r="F227" s="20">
        <f>_xlfn.TEXTJOIN("-",TRUE,A711,B711,C711)</f>
        <v/>
      </c>
      <c r="G227" s="23" t="n"/>
      <c r="H227" s="23" t="n"/>
      <c r="I227" s="24" t="n"/>
      <c r="J227" s="19">
        <f>_xlfn.TEXTJOIN("-",TRUE,F227,G227,H227)</f>
        <v/>
      </c>
    </row>
    <row r="228" customFormat="1" s="19">
      <c r="A228" s="60" t="inlineStr">
        <is>
          <t>12.00R24</t>
        </is>
      </c>
      <c r="B228" s="32" t="inlineStr">
        <is>
          <t>20PR</t>
        </is>
      </c>
      <c r="C228" s="32" t="inlineStr">
        <is>
          <t>EZ309</t>
        </is>
      </c>
      <c r="D228" s="29" t="inlineStr">
        <is>
          <t>✔</t>
        </is>
      </c>
      <c r="E228" s="28">
        <f>_xlfn.TEXTJOIN("-",TRUE,A228,B228,C228)</f>
        <v/>
      </c>
      <c r="F228" s="20">
        <f>_xlfn.TEXTJOIN("-",TRUE,A712,B712,C712)</f>
        <v/>
      </c>
      <c r="G228" s="23" t="n"/>
      <c r="H228" s="23" t="n"/>
      <c r="I228" s="24" t="n"/>
      <c r="J228" s="19">
        <f>_xlfn.TEXTJOIN("-",TRUE,F228,G228,H228)</f>
        <v/>
      </c>
    </row>
    <row r="229" customFormat="1" s="19">
      <c r="A229" s="32" t="inlineStr">
        <is>
          <t>12.00R24</t>
        </is>
      </c>
      <c r="B229" s="32" t="inlineStr">
        <is>
          <t>20PR</t>
        </is>
      </c>
      <c r="C229" s="32" t="inlineStr">
        <is>
          <t>I-301</t>
        </is>
      </c>
      <c r="D229" s="29" t="inlineStr">
        <is>
          <t>✔</t>
        </is>
      </c>
      <c r="E229" s="28">
        <f>_xlfn.TEXTJOIN("-",TRUE,A229,B229,C229)</f>
        <v/>
      </c>
      <c r="F229" s="20">
        <f>_xlfn.TEXTJOIN("-",TRUE,A713,B713,C713)</f>
        <v/>
      </c>
      <c r="G229" s="23" t="n"/>
      <c r="H229" s="23" t="n"/>
      <c r="I229" s="24" t="n"/>
      <c r="J229" s="19">
        <f>_xlfn.TEXTJOIN("-",TRUE,F229,G229,H229)</f>
        <v/>
      </c>
    </row>
    <row r="230" customFormat="1" s="19">
      <c r="A230" s="32" t="inlineStr">
        <is>
          <t>215/75R17.5</t>
        </is>
      </c>
      <c r="B230" s="32" t="inlineStr">
        <is>
          <t>16PR</t>
        </is>
      </c>
      <c r="C230" s="32" t="inlineStr">
        <is>
          <t>I-19A</t>
        </is>
      </c>
      <c r="D230" s="29" t="inlineStr">
        <is>
          <t>✔</t>
        </is>
      </c>
      <c r="E230" s="28">
        <f>_xlfn.TEXTJOIN("-",TRUE,A230,B230,C230)</f>
        <v/>
      </c>
      <c r="F230" s="20">
        <f>_xlfn.TEXTJOIN("-",TRUE,A714,B714,C714)</f>
        <v/>
      </c>
      <c r="G230" s="23" t="n"/>
      <c r="H230" s="23" t="n"/>
      <c r="I230" s="24" t="n"/>
      <c r="J230" s="19">
        <f>_xlfn.TEXTJOIN("-",TRUE,F230,G230,H230)</f>
        <v/>
      </c>
    </row>
    <row r="231" customFormat="1" s="19">
      <c r="A231" s="32" t="inlineStr">
        <is>
          <t>215/75R17.5</t>
        </is>
      </c>
      <c r="B231" s="32" t="inlineStr">
        <is>
          <t>16PR</t>
        </is>
      </c>
      <c r="C231" s="32" t="inlineStr">
        <is>
          <t>H-RA</t>
        </is>
      </c>
      <c r="D231" s="29" t="inlineStr">
        <is>
          <t>✔</t>
        </is>
      </c>
      <c r="E231" s="28">
        <f>_xlfn.TEXTJOIN("-",TRUE,A231,B231,C231)</f>
        <v/>
      </c>
      <c r="F231" s="20">
        <f>_xlfn.TEXTJOIN("-",TRUE,A715,B715,C715)</f>
        <v/>
      </c>
      <c r="G231" s="23" t="n"/>
      <c r="H231" s="23" t="n"/>
      <c r="I231" s="24" t="n"/>
      <c r="J231" s="19">
        <f>_xlfn.TEXTJOIN("-",TRUE,F231,G231,H231)</f>
        <v/>
      </c>
    </row>
    <row r="232" customFormat="1" s="19">
      <c r="A232" s="36" t="inlineStr">
        <is>
          <t>215/75R17.5</t>
        </is>
      </c>
      <c r="B232" s="36" t="inlineStr">
        <is>
          <t>18PR</t>
        </is>
      </c>
      <c r="C232" s="36" t="inlineStr">
        <is>
          <t>CR960A</t>
        </is>
      </c>
      <c r="D232" s="48" t="inlineStr">
        <is>
          <t>✔</t>
        </is>
      </c>
      <c r="E232" s="28">
        <f>_xlfn.TEXTJOIN("-",TRUE,A232,B232,C232)</f>
        <v/>
      </c>
      <c r="F232" s="20">
        <f>_xlfn.TEXTJOIN("-",TRUE,A716,B716,C716)</f>
        <v/>
      </c>
      <c r="G232" s="23" t="n"/>
      <c r="H232" s="23" t="n"/>
      <c r="I232" s="24" t="n"/>
      <c r="J232" s="19">
        <f>_xlfn.TEXTJOIN("-",TRUE,F232,G232,H232)</f>
        <v/>
      </c>
    </row>
    <row r="233" customFormat="1" s="19">
      <c r="A233" s="36" t="inlineStr">
        <is>
          <t>215/75R17.5</t>
        </is>
      </c>
      <c r="B233" s="36" t="inlineStr">
        <is>
          <t>18PR</t>
        </is>
      </c>
      <c r="C233" s="36" t="inlineStr">
        <is>
          <t>RLINE-A1</t>
        </is>
      </c>
      <c r="D233" s="48" t="inlineStr">
        <is>
          <t>✔</t>
        </is>
      </c>
      <c r="E233" s="28">
        <f>_xlfn.TEXTJOIN("-",TRUE,A233,B233,C233)</f>
        <v/>
      </c>
      <c r="F233" s="20">
        <f>_xlfn.TEXTJOIN("-",TRUE,A717,B717,C717)</f>
        <v/>
      </c>
      <c r="G233" s="23" t="n"/>
      <c r="H233" s="23" t="n"/>
      <c r="I233" s="24" t="n"/>
      <c r="J233" s="19">
        <f>_xlfn.TEXTJOIN("-",TRUE,F233,G233,H233)</f>
        <v/>
      </c>
    </row>
    <row r="234" customFormat="1" s="19">
      <c r="A234" s="36" t="inlineStr">
        <is>
          <t>215/75R17.5</t>
        </is>
      </c>
      <c r="B234" s="36" t="inlineStr">
        <is>
          <t>16PR</t>
        </is>
      </c>
      <c r="C234" s="36" t="inlineStr">
        <is>
          <t>CR960A</t>
        </is>
      </c>
      <c r="D234" s="48" t="inlineStr">
        <is>
          <t>✔</t>
        </is>
      </c>
      <c r="E234" s="28">
        <f>_xlfn.TEXTJOIN("-",TRUE,A234,B234,C234)</f>
        <v/>
      </c>
      <c r="F234" s="20">
        <f>_xlfn.TEXTJOIN("-",TRUE,A718,B718,C718)</f>
        <v/>
      </c>
      <c r="G234" s="23" t="n"/>
      <c r="H234" s="23" t="n"/>
      <c r="I234" s="24" t="n"/>
      <c r="J234" s="19">
        <f>_xlfn.TEXTJOIN("-",TRUE,F234,G234,H234)</f>
        <v/>
      </c>
    </row>
    <row r="235" customFormat="1" s="19">
      <c r="A235" s="32" t="inlineStr">
        <is>
          <t>215/75R17.5</t>
        </is>
      </c>
      <c r="B235" s="36" t="inlineStr">
        <is>
          <t>16PR</t>
        </is>
      </c>
      <c r="C235" s="32" t="inlineStr">
        <is>
          <t>VA933</t>
        </is>
      </c>
      <c r="D235" s="29" t="inlineStr">
        <is>
          <t>✔</t>
        </is>
      </c>
      <c r="E235" s="28">
        <f>_xlfn.TEXTJOIN("-",TRUE,A235,B235,C235)</f>
        <v/>
      </c>
      <c r="F235" s="20">
        <f>_xlfn.TEXTJOIN("-",TRUE,A719,B719,C719)</f>
        <v/>
      </c>
      <c r="G235" s="23" t="n"/>
      <c r="H235" s="23" t="n"/>
      <c r="I235" s="24" t="n"/>
      <c r="J235" s="19">
        <f>_xlfn.TEXTJOIN("-",TRUE,F235,G235,H235)</f>
        <v/>
      </c>
    </row>
    <row r="236" customFormat="1" s="19">
      <c r="A236" s="32" t="inlineStr">
        <is>
          <t>215/75R17.5</t>
        </is>
      </c>
      <c r="B236" s="36" t="inlineStr">
        <is>
          <t>16PR</t>
        </is>
      </c>
      <c r="C236" s="32" t="inlineStr">
        <is>
          <t>ZA15</t>
        </is>
      </c>
      <c r="D236" s="29" t="inlineStr">
        <is>
          <t>✔</t>
        </is>
      </c>
      <c r="E236" s="28">
        <f>_xlfn.TEXTJOIN("-",TRUE,A236,B236,C236)</f>
        <v/>
      </c>
      <c r="F236" s="20">
        <f>_xlfn.TEXTJOIN("-",TRUE,A720,B720,C720)</f>
        <v/>
      </c>
      <c r="G236" s="23" t="n"/>
      <c r="H236" s="23" t="n"/>
      <c r="I236" s="24" t="n"/>
      <c r="J236" s="19">
        <f>_xlfn.TEXTJOIN("-",TRUE,F236,G236,H236)</f>
        <v/>
      </c>
    </row>
    <row r="237" customFormat="1" s="19">
      <c r="A237" s="32" t="inlineStr">
        <is>
          <t>215/75R17.5</t>
        </is>
      </c>
      <c r="B237" s="36" t="inlineStr">
        <is>
          <t>18PR</t>
        </is>
      </c>
      <c r="C237" s="32" t="inlineStr">
        <is>
          <t>VA933</t>
        </is>
      </c>
      <c r="D237" s="29" t="inlineStr">
        <is>
          <t>✔</t>
        </is>
      </c>
      <c r="E237" s="28">
        <f>_xlfn.TEXTJOIN("-",TRUE,A237,B237,C237)</f>
        <v/>
      </c>
      <c r="F237" s="20">
        <f>_xlfn.TEXTJOIN("-",TRUE,A721,B721,C721)</f>
        <v/>
      </c>
      <c r="G237" s="23" t="n"/>
      <c r="H237" s="23" t="n"/>
      <c r="I237" s="24" t="n"/>
      <c r="J237" s="19">
        <f>_xlfn.TEXTJOIN("-",TRUE,F237,G237,H237)</f>
        <v/>
      </c>
    </row>
    <row r="238" customFormat="1" s="19">
      <c r="A238" s="32" t="inlineStr">
        <is>
          <t>215/75R17.5</t>
        </is>
      </c>
      <c r="B238" s="36" t="inlineStr">
        <is>
          <t>18PR</t>
        </is>
      </c>
      <c r="C238" s="32" t="inlineStr">
        <is>
          <t>ZA15</t>
        </is>
      </c>
      <c r="D238" s="29" t="inlineStr">
        <is>
          <t>✔</t>
        </is>
      </c>
      <c r="E238" s="28">
        <f>_xlfn.TEXTJOIN("-",TRUE,A238,B238,C238)</f>
        <v/>
      </c>
      <c r="F238" s="20">
        <f>_xlfn.TEXTJOIN("-",TRUE,A722,B722,C722)</f>
        <v/>
      </c>
      <c r="G238" s="23" t="n"/>
      <c r="H238" s="23" t="n"/>
      <c r="I238" s="24" t="n"/>
      <c r="J238" s="19">
        <f>_xlfn.TEXTJOIN("-",TRUE,F238,G238,H238)</f>
        <v/>
      </c>
    </row>
    <row r="239" customFormat="1" s="19">
      <c r="A239" s="32" t="inlineStr">
        <is>
          <t>215/75R17.5</t>
        </is>
      </c>
      <c r="B239" s="32" t="inlineStr">
        <is>
          <t>16PR</t>
        </is>
      </c>
      <c r="C239" s="32" t="inlineStr">
        <is>
          <t>AZ599</t>
        </is>
      </c>
      <c r="D239" s="29" t="inlineStr">
        <is>
          <t>✔</t>
        </is>
      </c>
      <c r="E239" s="28">
        <f>_xlfn.TEXTJOIN("-",TRUE,A239,B239,C239)</f>
        <v/>
      </c>
      <c r="F239" s="20">
        <f>_xlfn.TEXTJOIN("-",TRUE,A723,B723,C723)</f>
        <v/>
      </c>
      <c r="G239" s="23" t="n"/>
      <c r="H239" s="23" t="n"/>
      <c r="I239" s="24" t="n"/>
      <c r="J239" s="19">
        <f>_xlfn.TEXTJOIN("-",TRUE,F239,G239,H239)</f>
        <v/>
      </c>
    </row>
    <row r="240" customFormat="1" s="19">
      <c r="A240" s="32" t="inlineStr">
        <is>
          <t>215/75R17.5</t>
        </is>
      </c>
      <c r="B240" s="32" t="inlineStr">
        <is>
          <t>16PR</t>
        </is>
      </c>
      <c r="C240" s="32" t="inlineStr">
        <is>
          <t>AP-7318</t>
        </is>
      </c>
      <c r="D240" s="29" t="inlineStr">
        <is>
          <t>✔</t>
        </is>
      </c>
      <c r="E240" s="28">
        <f>_xlfn.TEXTJOIN("-",TRUE,A240,B240,C240)</f>
        <v/>
      </c>
      <c r="F240" s="20">
        <f>_xlfn.TEXTJOIN("-",TRUE,A724,B724,C724)</f>
        <v/>
      </c>
      <c r="G240" s="23" t="n"/>
      <c r="H240" s="23" t="n"/>
      <c r="I240" s="24" t="n"/>
      <c r="J240" s="19">
        <f>_xlfn.TEXTJOIN("-",TRUE,F240,G240,H240)</f>
        <v/>
      </c>
    </row>
    <row r="241" customFormat="1" s="19">
      <c r="A241" s="32" t="inlineStr">
        <is>
          <t>215/75R17.5</t>
        </is>
      </c>
      <c r="B241" s="32" t="inlineStr">
        <is>
          <t>16PR</t>
        </is>
      </c>
      <c r="C241" s="32" t="inlineStr">
        <is>
          <t>HF1 Plus</t>
        </is>
      </c>
      <c r="D241" s="29" t="inlineStr">
        <is>
          <t>✔</t>
        </is>
      </c>
      <c r="E241" s="28">
        <f>_xlfn.TEXTJOIN("-",TRUE,A241,B241,C241)</f>
        <v/>
      </c>
      <c r="F241" s="20" t="n"/>
      <c r="G241" s="23" t="n"/>
      <c r="H241" s="23" t="n"/>
      <c r="I241" s="24" t="n"/>
      <c r="J241" s="19">
        <f>_xlfn.TEXTJOIN("-",TRUE,F241,G241,H241)</f>
        <v/>
      </c>
    </row>
    <row r="242" customFormat="1" s="19">
      <c r="A242" s="32" t="inlineStr">
        <is>
          <t>215/75R17.5</t>
        </is>
      </c>
      <c r="B242" s="62" t="inlineStr">
        <is>
          <t>18PR</t>
        </is>
      </c>
      <c r="C242" s="32" t="inlineStr">
        <is>
          <t>M-TRAC AP</t>
        </is>
      </c>
      <c r="D242" s="29" t="inlineStr">
        <is>
          <t>✔</t>
        </is>
      </c>
      <c r="E242" s="28">
        <f>_xlfn.TEXTJOIN("-",TRUE,A242,B242,C242)</f>
        <v/>
      </c>
      <c r="F242" s="20" t="n"/>
      <c r="G242" s="23" t="n"/>
      <c r="H242" s="23" t="n"/>
      <c r="I242" s="24" t="n"/>
      <c r="J242" s="19">
        <f>_xlfn.TEXTJOIN("-",TRUE,F242,G242,H242)</f>
        <v/>
      </c>
    </row>
    <row r="243" customFormat="1" s="19">
      <c r="A243" s="32" t="inlineStr">
        <is>
          <t>215/75R17.5</t>
        </is>
      </c>
      <c r="B243" s="32" t="inlineStr">
        <is>
          <t>16PR</t>
        </is>
      </c>
      <c r="C243" s="32" t="inlineStr">
        <is>
          <t>AS673</t>
        </is>
      </c>
      <c r="D243" s="29" t="inlineStr">
        <is>
          <t>✔</t>
        </is>
      </c>
      <c r="E243" s="28">
        <f>_xlfn.TEXTJOIN("-",TRUE,A243,B243,C243)</f>
        <v/>
      </c>
      <c r="F243" s="20" t="n"/>
      <c r="G243" s="23" t="n"/>
      <c r="H243" s="23" t="n"/>
      <c r="I243" s="24" t="n"/>
      <c r="J243" s="19">
        <f>_xlfn.TEXTJOIN("-",TRUE,F243,G243,H243)</f>
        <v/>
      </c>
    </row>
    <row r="244" customFormat="1" s="19">
      <c r="A244" s="32" t="inlineStr">
        <is>
          <t>215/75R17.5</t>
        </is>
      </c>
      <c r="B244" s="32" t="inlineStr">
        <is>
          <t>16PR</t>
        </is>
      </c>
      <c r="C244" s="32" t="inlineStr">
        <is>
          <t>CM986</t>
        </is>
      </c>
      <c r="D244" s="29" t="inlineStr">
        <is>
          <t>✔</t>
        </is>
      </c>
      <c r="E244" s="28">
        <f>_xlfn.TEXTJOIN("-",TRUE,A244,B244,C244)</f>
        <v/>
      </c>
      <c r="F244" s="20">
        <f>_xlfn.TEXTJOIN("-",TRUE,A728,B728,C728)</f>
        <v/>
      </c>
      <c r="G244" s="23" t="n"/>
      <c r="H244" s="23" t="n"/>
      <c r="I244" s="24" t="n"/>
      <c r="J244" s="19">
        <f>_xlfn.TEXTJOIN("-",TRUE,F244,G244,H244)</f>
        <v/>
      </c>
    </row>
    <row r="245" customFormat="1" s="19">
      <c r="A245" s="32" t="inlineStr">
        <is>
          <t>225/70R19.5</t>
        </is>
      </c>
      <c r="B245" s="32" t="inlineStr">
        <is>
          <t>14PR</t>
        </is>
      </c>
      <c r="C245" s="32" t="inlineStr">
        <is>
          <t>CR960A</t>
        </is>
      </c>
      <c r="D245" s="29" t="inlineStr">
        <is>
          <t>✔</t>
        </is>
      </c>
      <c r="E245" s="28">
        <f>_xlfn.TEXTJOIN("-",TRUE,A245,B245,C245)</f>
        <v/>
      </c>
      <c r="F245" s="20">
        <f>_xlfn.TEXTJOIN("-",TRUE,A729,B729,C729)</f>
        <v/>
      </c>
      <c r="G245" s="23" t="n"/>
      <c r="H245" s="23" t="n"/>
      <c r="I245" s="24" t="n"/>
      <c r="J245" s="19">
        <f>_xlfn.TEXTJOIN("-",TRUE,F245,G245,H245)</f>
        <v/>
      </c>
    </row>
    <row r="246" customFormat="1" s="19">
      <c r="A246" s="32" t="inlineStr">
        <is>
          <t>225/70R19.5</t>
        </is>
      </c>
      <c r="B246" s="32" t="inlineStr">
        <is>
          <t>14PR</t>
        </is>
      </c>
      <c r="C246" s="32" t="inlineStr">
        <is>
          <t>RLINE-A1</t>
        </is>
      </c>
      <c r="D246" s="29" t="inlineStr">
        <is>
          <t>✔</t>
        </is>
      </c>
      <c r="E246" s="28">
        <f>_xlfn.TEXTJOIN("-",TRUE,A246,B246,C246)</f>
        <v/>
      </c>
      <c r="F246" s="20">
        <f>_xlfn.TEXTJOIN("-",TRUE,A730,B730,C730)</f>
        <v/>
      </c>
      <c r="G246" s="23" t="n"/>
      <c r="H246" s="23" t="n"/>
      <c r="I246" s="24" t="n"/>
      <c r="J246" s="19">
        <f>_xlfn.TEXTJOIN("-",TRUE,F246,G246,H246)</f>
        <v/>
      </c>
    </row>
    <row r="247" customFormat="1" s="19">
      <c r="A247" s="32" t="inlineStr">
        <is>
          <t>225/70R19.5</t>
        </is>
      </c>
      <c r="B247" s="32" t="inlineStr">
        <is>
          <t>14PR</t>
        </is>
      </c>
      <c r="C247" s="32" t="inlineStr">
        <is>
          <t>H-RA</t>
        </is>
      </c>
      <c r="D247" s="29" t="inlineStr">
        <is>
          <t>✔</t>
        </is>
      </c>
      <c r="E247" s="28">
        <f>_xlfn.TEXTJOIN("-",TRUE,A247,B247,C247)</f>
        <v/>
      </c>
      <c r="F247" s="20">
        <f>_xlfn.TEXTJOIN("-",TRUE,A731,B731,C731)</f>
        <v/>
      </c>
      <c r="G247" s="23" t="n"/>
      <c r="H247" s="23" t="n"/>
      <c r="I247" s="24" t="n"/>
      <c r="J247" s="19">
        <f>_xlfn.TEXTJOIN("-",TRUE,F247,G247,H247)</f>
        <v/>
      </c>
    </row>
    <row r="248" customFormat="1" s="19">
      <c r="A248" s="32" t="inlineStr">
        <is>
          <t>225/70R19.5</t>
        </is>
      </c>
      <c r="B248" s="32" t="inlineStr">
        <is>
          <t>14PR</t>
        </is>
      </c>
      <c r="C248" s="32" t="inlineStr">
        <is>
          <t>CM986</t>
        </is>
      </c>
      <c r="D248" s="29" t="inlineStr">
        <is>
          <t>✔</t>
        </is>
      </c>
      <c r="E248" s="28">
        <f>_xlfn.TEXTJOIN("-",TRUE,A248,B248,C248)</f>
        <v/>
      </c>
      <c r="F248" s="20">
        <f>_xlfn.TEXTJOIN("-",TRUE,A732,B732,C732)</f>
        <v/>
      </c>
      <c r="G248" s="23" t="n"/>
      <c r="H248" s="23" t="n"/>
      <c r="I248" s="24" t="n"/>
      <c r="J248" s="19">
        <f>_xlfn.TEXTJOIN("-",TRUE,F248,G248,H248)</f>
        <v/>
      </c>
    </row>
    <row r="249" customFormat="1" s="19">
      <c r="A249" s="32" t="inlineStr">
        <is>
          <t>225/70R19.5</t>
        </is>
      </c>
      <c r="B249" s="32" t="inlineStr">
        <is>
          <t>14PR</t>
        </is>
      </c>
      <c r="C249" s="32" t="inlineStr">
        <is>
          <t>DA24</t>
        </is>
      </c>
      <c r="D249" s="29" t="inlineStr">
        <is>
          <t>✔</t>
        </is>
      </c>
      <c r="E249" s="28">
        <f>_xlfn.TEXTJOIN("-",TRUE,A249,B249,C249)</f>
        <v/>
      </c>
      <c r="F249" s="20">
        <f>_xlfn.TEXTJOIN("-",TRUE,A733,B733,C733)</f>
        <v/>
      </c>
      <c r="G249" s="23" t="n"/>
      <c r="H249" s="23" t="n"/>
      <c r="I249" s="24" t="n"/>
      <c r="J249" s="19">
        <f>_xlfn.TEXTJOIN("-",TRUE,F249,G249,H249)</f>
        <v/>
      </c>
    </row>
    <row r="250" customFormat="1" s="19">
      <c r="A250" s="32" t="inlineStr">
        <is>
          <t>225/70R19.5</t>
        </is>
      </c>
      <c r="B250" s="32" t="inlineStr">
        <is>
          <t>14PR</t>
        </is>
      </c>
      <c r="C250" s="32" t="inlineStr">
        <is>
          <t>I-19A</t>
        </is>
      </c>
      <c r="D250" s="29" t="inlineStr">
        <is>
          <t>✔</t>
        </is>
      </c>
      <c r="E250" s="28">
        <f>_xlfn.TEXTJOIN("-",TRUE,A250,B250,C250)</f>
        <v/>
      </c>
      <c r="F250" s="20">
        <f>_xlfn.TEXTJOIN("-",TRUE,A734,B734,C734)</f>
        <v/>
      </c>
      <c r="G250" s="23" t="n"/>
      <c r="H250" s="23" t="n"/>
      <c r="I250" s="24" t="n"/>
      <c r="J250" s="19">
        <f>_xlfn.TEXTJOIN("-",TRUE,F250,G250,H250)</f>
        <v/>
      </c>
    </row>
    <row r="251" customFormat="1" s="19">
      <c r="A251" s="32" t="inlineStr">
        <is>
          <t>225/70R19.5</t>
        </is>
      </c>
      <c r="B251" s="32" t="inlineStr">
        <is>
          <t>14PR</t>
        </is>
      </c>
      <c r="C251" s="32" t="inlineStr">
        <is>
          <t>VA933</t>
        </is>
      </c>
      <c r="D251" s="29" t="inlineStr">
        <is>
          <t>✔</t>
        </is>
      </c>
      <c r="E251" s="28">
        <f>_xlfn.TEXTJOIN("-",TRUE,A251,B251,C251)</f>
        <v/>
      </c>
      <c r="F251" s="20">
        <f>_xlfn.TEXTJOIN("-",TRUE,A735,B735,C735)</f>
        <v/>
      </c>
      <c r="G251" s="23" t="n"/>
      <c r="H251" s="23" t="n"/>
      <c r="I251" s="24" t="n"/>
      <c r="J251" s="19">
        <f>_xlfn.TEXTJOIN("-",TRUE,F251,G251,H251)</f>
        <v/>
      </c>
    </row>
    <row r="252" customFormat="1" s="19">
      <c r="A252" s="32" t="inlineStr">
        <is>
          <t>225/70R19.5</t>
        </is>
      </c>
      <c r="B252" s="32" t="inlineStr">
        <is>
          <t>14PR</t>
        </is>
      </c>
      <c r="C252" s="32" t="inlineStr">
        <is>
          <t>ZA15</t>
        </is>
      </c>
      <c r="D252" s="29" t="inlineStr">
        <is>
          <t>✔</t>
        </is>
      </c>
      <c r="E252" s="28">
        <f>_xlfn.TEXTJOIN("-",TRUE,A252,B252,C252)</f>
        <v/>
      </c>
      <c r="F252" s="20">
        <f>_xlfn.TEXTJOIN("-",TRUE,A736,B736,C736)</f>
        <v/>
      </c>
      <c r="G252" s="23" t="n"/>
      <c r="H252" s="23" t="n"/>
      <c r="I252" s="24" t="n"/>
      <c r="J252" s="19">
        <f>_xlfn.TEXTJOIN("-",TRUE,F252,G252,H252)</f>
        <v/>
      </c>
    </row>
    <row r="253" customFormat="1" s="19">
      <c r="A253" s="32" t="inlineStr">
        <is>
          <t>225/70R19.5</t>
        </is>
      </c>
      <c r="B253" s="32" t="inlineStr">
        <is>
          <t>14PR</t>
        </is>
      </c>
      <c r="C253" s="32" t="inlineStr">
        <is>
          <t>I-37D</t>
        </is>
      </c>
      <c r="D253" s="29" t="inlineStr">
        <is>
          <t>✔</t>
        </is>
      </c>
      <c r="E253" s="28">
        <f>_xlfn.TEXTJOIN("-",TRUE,A253,B253,C253)</f>
        <v/>
      </c>
      <c r="F253" s="20">
        <f>_xlfn.TEXTJOIN("-",TRUE,A737,B737,C737)</f>
        <v/>
      </c>
      <c r="G253" s="23" t="n"/>
      <c r="H253" s="23" t="n"/>
      <c r="I253" s="24" t="n"/>
      <c r="J253" s="19">
        <f>_xlfn.TEXTJOIN("-",TRUE,F253,G253,H253)</f>
        <v/>
      </c>
    </row>
    <row r="254" customFormat="1" s="19">
      <c r="A254" s="32" t="inlineStr">
        <is>
          <t>225/70R19.5</t>
        </is>
      </c>
      <c r="B254" s="32" t="inlineStr">
        <is>
          <t>14PR</t>
        </is>
      </c>
      <c r="C254" s="32" t="inlineStr">
        <is>
          <t>AZ599</t>
        </is>
      </c>
      <c r="D254" s="29" t="inlineStr">
        <is>
          <t>✔</t>
        </is>
      </c>
      <c r="E254" s="28">
        <f>_xlfn.TEXTJOIN("-",TRUE,A254,B254,C254)</f>
        <v/>
      </c>
      <c r="F254" s="20">
        <f>_xlfn.TEXTJOIN("-",TRUE,A738,B738,C738)</f>
        <v/>
      </c>
      <c r="G254" s="23" t="n"/>
      <c r="H254" s="23" t="n"/>
      <c r="I254" s="24" t="n"/>
      <c r="J254" s="19">
        <f>_xlfn.TEXTJOIN("-",TRUE,F254,G254,H254)</f>
        <v/>
      </c>
    </row>
    <row r="255" customFormat="1" s="19">
      <c r="A255" s="32" t="inlineStr">
        <is>
          <t>225/70R19.5</t>
        </is>
      </c>
      <c r="B255" s="32" t="inlineStr">
        <is>
          <t>14PR</t>
        </is>
      </c>
      <c r="C255" s="32" t="inlineStr">
        <is>
          <t>HF1 Plus</t>
        </is>
      </c>
      <c r="D255" s="29" t="inlineStr">
        <is>
          <t>✔</t>
        </is>
      </c>
      <c r="E255" s="28">
        <f>_xlfn.TEXTJOIN("-",TRUE,A255,B255,C255)</f>
        <v/>
      </c>
      <c r="F255" s="20">
        <f>_xlfn.TEXTJOIN("-",TRUE,A739,B739,C739)</f>
        <v/>
      </c>
      <c r="G255" s="23" t="n"/>
      <c r="H255" s="23" t="n"/>
      <c r="I255" s="24" t="n"/>
      <c r="J255" s="19">
        <f>_xlfn.TEXTJOIN("-",TRUE,F255,G255,H255)</f>
        <v/>
      </c>
    </row>
    <row r="256" customFormat="1" s="19">
      <c r="A256" s="32" t="inlineStr">
        <is>
          <t>225/70R19.5</t>
        </is>
      </c>
      <c r="B256" s="32" t="inlineStr">
        <is>
          <t>14PR</t>
        </is>
      </c>
      <c r="C256" s="32" t="inlineStr">
        <is>
          <t>M-TRAC AP</t>
        </is>
      </c>
      <c r="D256" s="29" t="inlineStr">
        <is>
          <t>✔</t>
        </is>
      </c>
      <c r="E256" s="28">
        <f>_xlfn.TEXTJOIN("-",TRUE,A256,B256,C256)</f>
        <v/>
      </c>
      <c r="F256" s="20">
        <f>_xlfn.TEXTJOIN("-",TRUE,A740,B740,C740)</f>
        <v/>
      </c>
      <c r="G256" s="23" t="n"/>
      <c r="H256" s="23" t="n"/>
      <c r="I256" s="24" t="n"/>
      <c r="J256" s="19">
        <f>_xlfn.TEXTJOIN("-",TRUE,F256,G256,H256)</f>
        <v/>
      </c>
    </row>
    <row r="257" customFormat="1" s="19">
      <c r="A257" s="32" t="inlineStr">
        <is>
          <t>225/70R19.5</t>
        </is>
      </c>
      <c r="B257" s="32" t="inlineStr">
        <is>
          <t>14PR</t>
        </is>
      </c>
      <c r="C257" s="32" t="inlineStr">
        <is>
          <t>AP-7318</t>
        </is>
      </c>
      <c r="D257" s="29" t="inlineStr">
        <is>
          <t>✔</t>
        </is>
      </c>
      <c r="E257" s="28">
        <f>_xlfn.TEXTJOIN("-",TRUE,A257,B257,C257)</f>
        <v/>
      </c>
      <c r="F257" s="20">
        <f>_xlfn.TEXTJOIN("-",TRUE,A741,B741,C741)</f>
        <v/>
      </c>
      <c r="G257" s="23" t="n"/>
      <c r="H257" s="23" t="n"/>
      <c r="I257" s="24" t="n"/>
      <c r="J257" s="19">
        <f>_xlfn.TEXTJOIN("-",TRUE,F257,G257,H257)</f>
        <v/>
      </c>
    </row>
    <row r="258" customFormat="1" s="19">
      <c r="A258" s="32" t="inlineStr">
        <is>
          <t>225/70R19.5</t>
        </is>
      </c>
      <c r="B258" s="32" t="inlineStr">
        <is>
          <t>14PR</t>
        </is>
      </c>
      <c r="C258" s="32" t="inlineStr">
        <is>
          <t>I-208</t>
        </is>
      </c>
      <c r="D258" s="29" t="inlineStr">
        <is>
          <t>✔</t>
        </is>
      </c>
      <c r="E258" s="28">
        <f>_xlfn.TEXTJOIN("-",TRUE,A258,B258,C258)</f>
        <v/>
      </c>
      <c r="F258" s="20">
        <f>_xlfn.TEXTJOIN("-",TRUE,A742,B742,C742)</f>
        <v/>
      </c>
      <c r="G258" s="23" t="n"/>
      <c r="H258" s="23" t="n"/>
      <c r="I258" s="24" t="n"/>
      <c r="J258" s="19">
        <f>_xlfn.TEXTJOIN("-",TRUE,F258,G258,H258)</f>
        <v/>
      </c>
    </row>
    <row r="259" customFormat="1" s="19">
      <c r="A259" s="32" t="inlineStr">
        <is>
          <t>225/70R19.5</t>
        </is>
      </c>
      <c r="B259" s="32" t="inlineStr">
        <is>
          <t>14PR</t>
        </is>
      </c>
      <c r="C259" s="32" t="inlineStr">
        <is>
          <t>AD717</t>
        </is>
      </c>
      <c r="D259" s="29" t="inlineStr">
        <is>
          <t>✔</t>
        </is>
      </c>
      <c r="E259" s="28">
        <f>_xlfn.TEXTJOIN("-",TRUE,A259,B259,C259)</f>
        <v/>
      </c>
      <c r="F259" s="20">
        <f>_xlfn.TEXTJOIN("-",TRUE,A743,B743,C743)</f>
        <v/>
      </c>
      <c r="G259" s="23" t="n"/>
      <c r="H259" s="23" t="n"/>
      <c r="I259" s="24" t="n"/>
      <c r="J259" s="19">
        <f>_xlfn.TEXTJOIN("-",TRUE,F259,G259,H259)</f>
        <v/>
      </c>
    </row>
    <row r="260" customFormat="1" s="19">
      <c r="A260" s="32" t="inlineStr">
        <is>
          <t>225/70R19.5</t>
        </is>
      </c>
      <c r="B260" s="32" t="inlineStr">
        <is>
          <t>14PR</t>
        </is>
      </c>
      <c r="C260" s="32" t="inlineStr">
        <is>
          <t>AW717</t>
        </is>
      </c>
      <c r="D260" s="29" t="inlineStr">
        <is>
          <t>✔</t>
        </is>
      </c>
      <c r="E260" s="28">
        <f>_xlfn.TEXTJOIN("-",TRUE,A260,B260,C260)</f>
        <v/>
      </c>
      <c r="F260" s="20">
        <f>_xlfn.TEXTJOIN("-",TRUE,A744,B744,C744)</f>
        <v/>
      </c>
      <c r="G260" s="23" t="n"/>
      <c r="H260" s="23" t="n"/>
      <c r="I260" s="24" t="n"/>
      <c r="J260" s="19">
        <f>_xlfn.TEXTJOIN("-",TRUE,F260,G260,H260)</f>
        <v/>
      </c>
    </row>
    <row r="261" customFormat="1" s="19">
      <c r="A261" s="32" t="inlineStr">
        <is>
          <t>225/70R19.5</t>
        </is>
      </c>
      <c r="B261" s="32" t="inlineStr">
        <is>
          <t>14PR</t>
        </is>
      </c>
      <c r="C261" s="32" t="inlineStr">
        <is>
          <t>M-TRAC HTD</t>
        </is>
      </c>
      <c r="D261" s="29" t="inlineStr">
        <is>
          <t>✔</t>
        </is>
      </c>
      <c r="E261" s="28">
        <f>_xlfn.TEXTJOIN("-",TRUE,A261,B261,C261)</f>
        <v/>
      </c>
      <c r="F261" s="20">
        <f>_xlfn.TEXTJOIN("-",TRUE,A745,B745,C745)</f>
        <v/>
      </c>
      <c r="G261" s="23" t="n"/>
      <c r="H261" s="23" t="n"/>
      <c r="I261" s="24" t="n"/>
      <c r="J261" s="19">
        <f>_xlfn.TEXTJOIN("-",TRUE,F261,G261,H261)</f>
        <v/>
      </c>
    </row>
    <row r="262" customFormat="1" s="19">
      <c r="A262" s="32" t="inlineStr">
        <is>
          <t>225/70R19.5</t>
        </is>
      </c>
      <c r="B262" s="32" t="inlineStr">
        <is>
          <t>14PR</t>
        </is>
      </c>
      <c r="C262" s="32" t="inlineStr">
        <is>
          <t>HD3 PLUS</t>
        </is>
      </c>
      <c r="D262" s="29" t="inlineStr">
        <is>
          <t>✔</t>
        </is>
      </c>
      <c r="E262" s="28">
        <f>_xlfn.TEXTJOIN("-",TRUE,A262,B262,C262)</f>
        <v/>
      </c>
      <c r="F262" s="20" t="n"/>
      <c r="G262" s="23" t="n"/>
      <c r="H262" s="23" t="n"/>
      <c r="I262" s="24" t="n"/>
      <c r="J262" s="19">
        <f>_xlfn.TEXTJOIN("-",TRUE,F262,G262,H262)</f>
        <v/>
      </c>
    </row>
    <row r="263" customFormat="1" s="19">
      <c r="A263" s="32" t="inlineStr">
        <is>
          <t>225/70R19.5</t>
        </is>
      </c>
      <c r="B263" s="32" t="inlineStr">
        <is>
          <t>14PR</t>
        </is>
      </c>
      <c r="C263" s="32" t="inlineStr">
        <is>
          <t>DR-7318</t>
        </is>
      </c>
      <c r="D263" s="29" t="inlineStr">
        <is>
          <t>✔</t>
        </is>
      </c>
      <c r="E263" s="28">
        <f>_xlfn.TEXTJOIN("-",TRUE,A263,B263,C263)</f>
        <v/>
      </c>
      <c r="F263" s="20" t="n"/>
      <c r="G263" s="23" t="n"/>
      <c r="H263" s="23" t="n"/>
      <c r="I263" s="24" t="n"/>
      <c r="J263" s="19">
        <f>_xlfn.TEXTJOIN("-",TRUE,F263,G263,H263)</f>
        <v/>
      </c>
    </row>
    <row r="264" customFormat="1" s="19">
      <c r="A264" s="32" t="inlineStr">
        <is>
          <t>225/70R19.5</t>
        </is>
      </c>
      <c r="B264" s="32" t="inlineStr">
        <is>
          <t>14PR</t>
        </is>
      </c>
      <c r="C264" s="32" t="inlineStr">
        <is>
          <t>VD935</t>
        </is>
      </c>
      <c r="D264" s="29" t="inlineStr">
        <is>
          <t>✔</t>
        </is>
      </c>
      <c r="E264" s="28">
        <f>_xlfn.TEXTJOIN("-",TRUE,A264,B264,C264)</f>
        <v/>
      </c>
      <c r="F264" s="20" t="n"/>
      <c r="G264" s="23" t="n"/>
      <c r="H264" s="23" t="n"/>
      <c r="I264" s="24" t="n"/>
      <c r="J264" s="19">
        <f>_xlfn.TEXTJOIN("-",TRUE,F264,G264,H264)</f>
        <v/>
      </c>
    </row>
    <row r="265" customFormat="1" s="19">
      <c r="A265" s="32" t="inlineStr">
        <is>
          <t>225/70R19.5</t>
        </is>
      </c>
      <c r="B265" s="32" t="inlineStr">
        <is>
          <t>14PR</t>
        </is>
      </c>
      <c r="C265" s="32" t="inlineStr">
        <is>
          <t>AD778</t>
        </is>
      </c>
      <c r="D265" s="29" t="inlineStr">
        <is>
          <t>✔</t>
        </is>
      </c>
      <c r="E265" s="28">
        <f>_xlfn.TEXTJOIN("-",TRUE,A265,B265,C265)</f>
        <v/>
      </c>
      <c r="F265" s="20" t="n"/>
      <c r="G265" s="23" t="n"/>
      <c r="H265" s="23" t="n"/>
      <c r="I265" s="24" t="n"/>
      <c r="J265" s="19">
        <f>_xlfn.TEXTJOIN("-",TRUE,F265,G265,H265)</f>
        <v/>
      </c>
    </row>
    <row r="266" customFormat="1" s="19">
      <c r="A266" s="32" t="inlineStr">
        <is>
          <t>235/75R17.5</t>
        </is>
      </c>
      <c r="B266" s="32" t="inlineStr">
        <is>
          <t>16PR</t>
        </is>
      </c>
      <c r="C266" s="39" t="inlineStr">
        <is>
          <t>CR960A</t>
        </is>
      </c>
      <c r="D266" s="29" t="inlineStr">
        <is>
          <t>✔</t>
        </is>
      </c>
      <c r="E266" s="28">
        <f>_xlfn.TEXTJOIN("-",TRUE,A266,B266,C266)</f>
        <v/>
      </c>
      <c r="F266" s="20" t="n"/>
      <c r="G266" s="23" t="n"/>
      <c r="H266" s="23" t="n"/>
      <c r="I266" s="24" t="n"/>
      <c r="J266" s="19">
        <f>_xlfn.TEXTJOIN("-",TRUE,F266,G266,H266)</f>
        <v/>
      </c>
    </row>
    <row r="267" customFormat="1" s="19">
      <c r="A267" s="32" t="inlineStr">
        <is>
          <t>235/75R17.5</t>
        </is>
      </c>
      <c r="B267" s="32" t="inlineStr">
        <is>
          <t>16PR</t>
        </is>
      </c>
      <c r="C267" s="39" t="inlineStr">
        <is>
          <t>AS673</t>
        </is>
      </c>
      <c r="D267" s="29" t="inlineStr">
        <is>
          <t>✔</t>
        </is>
      </c>
      <c r="E267" s="28">
        <f>_xlfn.TEXTJOIN("-",TRUE,A267,B267,C267)</f>
        <v/>
      </c>
      <c r="F267" s="20" t="n"/>
      <c r="G267" s="23" t="n"/>
      <c r="H267" s="23" t="n"/>
      <c r="I267" s="24" t="n"/>
      <c r="J267" s="19">
        <f>_xlfn.TEXTJOIN("-",TRUE,F267,G267,H267)</f>
        <v/>
      </c>
    </row>
    <row r="268" customFormat="1" s="19">
      <c r="A268" s="32" t="inlineStr">
        <is>
          <t>235/75R17.5</t>
        </is>
      </c>
      <c r="B268" s="32" t="inlineStr">
        <is>
          <t>16PR</t>
        </is>
      </c>
      <c r="C268" s="39" t="inlineStr">
        <is>
          <t>I-109</t>
        </is>
      </c>
      <c r="D268" s="29" t="inlineStr">
        <is>
          <t>✔</t>
        </is>
      </c>
      <c r="E268" s="63">
        <f>_xlfn.TEXTJOIN("-",TRUE,A268,B268,C268)</f>
        <v/>
      </c>
      <c r="F268" s="20" t="n"/>
      <c r="G268" s="23" t="n"/>
      <c r="H268" s="23" t="n"/>
      <c r="I268" s="24" t="n"/>
      <c r="J268" s="19">
        <f>_xlfn.TEXTJOIN("-",TRUE,F268,G268,H268)</f>
        <v/>
      </c>
    </row>
    <row r="269" customFormat="1" s="19">
      <c r="A269" s="32" t="inlineStr">
        <is>
          <t>235/75R17.5</t>
        </is>
      </c>
      <c r="B269" s="32" t="inlineStr">
        <is>
          <t>16PR</t>
        </is>
      </c>
      <c r="C269" s="39" t="inlineStr">
        <is>
          <t>MGM17</t>
        </is>
      </c>
      <c r="D269" s="29" t="inlineStr">
        <is>
          <t>✔</t>
        </is>
      </c>
      <c r="E269" s="28">
        <f>_xlfn.TEXTJOIN("-",TRUE,A269,B269,C269)</f>
        <v/>
      </c>
      <c r="F269" s="20" t="n"/>
      <c r="G269" s="23" t="n"/>
      <c r="H269" s="23" t="n"/>
      <c r="I269" s="24" t="n"/>
      <c r="J269" s="19">
        <f>_xlfn.TEXTJOIN("-",TRUE,F269,G269,H269)</f>
        <v/>
      </c>
    </row>
    <row r="270" customFormat="1" s="19">
      <c r="A270" s="32" t="inlineStr">
        <is>
          <t>235/75R17.5</t>
        </is>
      </c>
      <c r="B270" s="32" t="inlineStr">
        <is>
          <t>16PR</t>
        </is>
      </c>
      <c r="C270" s="39" t="inlineStr">
        <is>
          <t>AZ599</t>
        </is>
      </c>
      <c r="D270" s="29" t="inlineStr">
        <is>
          <t>✔</t>
        </is>
      </c>
      <c r="E270" s="28">
        <f>_xlfn.TEXTJOIN("-",TRUE,A270,B270,C270)</f>
        <v/>
      </c>
      <c r="F270" s="20" t="n"/>
      <c r="G270" s="23" t="n"/>
      <c r="H270" s="23" t="n"/>
      <c r="I270" s="24" t="n"/>
      <c r="J270" s="19">
        <f>_xlfn.TEXTJOIN("-",TRUE,F270,G270,H270)</f>
        <v/>
      </c>
    </row>
    <row r="271" customFormat="1" s="19">
      <c r="A271" s="32" t="inlineStr">
        <is>
          <t>235/75R17.5</t>
        </is>
      </c>
      <c r="B271" s="32" t="inlineStr">
        <is>
          <t>16PR</t>
        </is>
      </c>
      <c r="C271" s="39" t="inlineStr">
        <is>
          <t>HF1 PLUS</t>
        </is>
      </c>
      <c r="D271" s="29" t="inlineStr">
        <is>
          <t>✔</t>
        </is>
      </c>
      <c r="E271" s="28">
        <f>_xlfn.TEXTJOIN("-",TRUE,A271,B271,C271)</f>
        <v/>
      </c>
      <c r="F271" s="20" t="n"/>
      <c r="G271" s="23" t="n"/>
      <c r="H271" s="23" t="n"/>
      <c r="I271" s="24" t="n"/>
      <c r="J271" s="19">
        <f>_xlfn.TEXTJOIN("-",TRUE,F271,G271,H271)</f>
        <v/>
      </c>
    </row>
    <row r="272" customFormat="1" s="19">
      <c r="A272" s="32" t="inlineStr">
        <is>
          <t>235/75R17.5</t>
        </is>
      </c>
      <c r="B272" s="32" t="inlineStr">
        <is>
          <t>16PR</t>
        </is>
      </c>
      <c r="C272" s="39" t="inlineStr">
        <is>
          <t>RLINE-A1</t>
        </is>
      </c>
      <c r="D272" s="29" t="inlineStr">
        <is>
          <t>✔</t>
        </is>
      </c>
      <c r="E272" s="28">
        <f>_xlfn.TEXTJOIN("-",TRUE,A272,B272,C272)</f>
        <v/>
      </c>
      <c r="F272" s="20" t="n"/>
      <c r="G272" s="23" t="n"/>
      <c r="H272" s="23" t="n"/>
      <c r="I272" s="24" t="n"/>
      <c r="J272" s="19">
        <f>_xlfn.TEXTJOIN("-",TRUE,F272,G272,H272)</f>
        <v/>
      </c>
    </row>
    <row r="273" customFormat="1" s="19">
      <c r="A273" s="32" t="inlineStr">
        <is>
          <t>235/75R17.5</t>
        </is>
      </c>
      <c r="B273" s="32" t="inlineStr">
        <is>
          <t>18PR</t>
        </is>
      </c>
      <c r="C273" s="39" t="inlineStr">
        <is>
          <t>H-RA</t>
        </is>
      </c>
      <c r="D273" s="29" t="inlineStr">
        <is>
          <t>✔</t>
        </is>
      </c>
      <c r="E273" s="28">
        <f>_xlfn.TEXTJOIN("-",TRUE,A273,B273,C273)</f>
        <v/>
      </c>
      <c r="F273" s="20" t="n"/>
      <c r="G273" s="23" t="n"/>
      <c r="H273" s="23" t="n"/>
      <c r="I273" s="24" t="n"/>
      <c r="J273" s="19">
        <f>_xlfn.TEXTJOIN("-",TRUE,F273,G273,H273)</f>
        <v/>
      </c>
    </row>
    <row r="274" customFormat="1" s="19">
      <c r="A274" s="32" t="inlineStr">
        <is>
          <t>235/75R17.5</t>
        </is>
      </c>
      <c r="B274" s="32" t="inlineStr">
        <is>
          <t>18PR</t>
        </is>
      </c>
      <c r="C274" s="39" t="inlineStr">
        <is>
          <t>AP-7318</t>
        </is>
      </c>
      <c r="D274" s="29" t="inlineStr">
        <is>
          <t>✔</t>
        </is>
      </c>
      <c r="E274" s="28">
        <f>_xlfn.TEXTJOIN("-",TRUE,A274,B274,C274)</f>
        <v/>
      </c>
      <c r="F274" s="20">
        <f>_xlfn.TEXTJOIN("-",TRUE,A758,B758,C758)</f>
        <v/>
      </c>
      <c r="G274" s="23" t="n"/>
      <c r="H274" s="23" t="n"/>
      <c r="I274" s="24" t="n"/>
      <c r="J274" s="19">
        <f>_xlfn.TEXTJOIN("-",TRUE,F274,G274,H274)</f>
        <v/>
      </c>
    </row>
    <row r="275" customFormat="1" s="19">
      <c r="A275" s="32" t="inlineStr">
        <is>
          <t>235/75R17.5</t>
        </is>
      </c>
      <c r="B275" s="32" t="inlineStr">
        <is>
          <t>18PR</t>
        </is>
      </c>
      <c r="C275" s="39" t="inlineStr">
        <is>
          <t>CR960A</t>
        </is>
      </c>
      <c r="D275" s="29" t="inlineStr">
        <is>
          <t>✔</t>
        </is>
      </c>
      <c r="E275" s="28">
        <f>_xlfn.TEXTJOIN("-",TRUE,A275,B275,C275)</f>
        <v/>
      </c>
      <c r="F275" s="20">
        <f>_xlfn.TEXTJOIN("-",TRUE,A759,B759,C759)</f>
        <v/>
      </c>
      <c r="G275" s="23" t="n"/>
      <c r="H275" s="23" t="n"/>
      <c r="I275" s="24" t="n"/>
      <c r="J275" s="19">
        <f>_xlfn.TEXTJOIN("-",TRUE,F275,G275,H275)</f>
        <v/>
      </c>
    </row>
    <row r="276" customFormat="1" s="19">
      <c r="A276" s="32" t="inlineStr">
        <is>
          <t>235/75R17.5</t>
        </is>
      </c>
      <c r="B276" s="32" t="inlineStr">
        <is>
          <t>18PR</t>
        </is>
      </c>
      <c r="C276" s="39" t="inlineStr">
        <is>
          <t>AS673</t>
        </is>
      </c>
      <c r="D276" s="29" t="inlineStr">
        <is>
          <t>✔</t>
        </is>
      </c>
      <c r="E276" s="28">
        <f>_xlfn.TEXTJOIN("-",TRUE,A276,B276,C276)</f>
        <v/>
      </c>
      <c r="F276" s="20">
        <f>_xlfn.TEXTJOIN("-",TRUE,A760,B760,C760)</f>
        <v/>
      </c>
      <c r="G276" s="23" t="n"/>
      <c r="H276" s="23" t="n"/>
      <c r="I276" s="24" t="n"/>
      <c r="J276" s="19">
        <f>_xlfn.TEXTJOIN("-",TRUE,F276,G276,H276)</f>
        <v/>
      </c>
    </row>
    <row r="277" customFormat="1" s="19">
      <c r="A277" s="32" t="inlineStr">
        <is>
          <t>235/75R17.5</t>
        </is>
      </c>
      <c r="B277" s="32" t="inlineStr">
        <is>
          <t>18PR</t>
        </is>
      </c>
      <c r="C277" s="39" t="inlineStr">
        <is>
          <t>I-109</t>
        </is>
      </c>
      <c r="D277" s="29" t="inlineStr">
        <is>
          <t>✔</t>
        </is>
      </c>
      <c r="E277" s="28">
        <f>_xlfn.TEXTJOIN("-",TRUE,A277,B277,C277)</f>
        <v/>
      </c>
      <c r="F277" s="20">
        <f>_xlfn.TEXTJOIN("-",TRUE,A761,B761,C761)</f>
        <v/>
      </c>
      <c r="G277" s="23" t="n"/>
      <c r="H277" s="23" t="n"/>
      <c r="I277" s="24" t="n"/>
      <c r="J277" s="19">
        <f>_xlfn.TEXTJOIN("-",TRUE,F277,G277,H277)</f>
        <v/>
      </c>
    </row>
    <row r="278" customFormat="1" s="19">
      <c r="A278" s="32" t="inlineStr">
        <is>
          <t>235/75R17.5</t>
        </is>
      </c>
      <c r="B278" s="32" t="inlineStr">
        <is>
          <t>18PR</t>
        </is>
      </c>
      <c r="C278" s="39" t="inlineStr">
        <is>
          <t>MGM17</t>
        </is>
      </c>
      <c r="D278" s="29" t="inlineStr">
        <is>
          <t>✔</t>
        </is>
      </c>
      <c r="E278" s="28">
        <f>_xlfn.TEXTJOIN("-",TRUE,A278,B278,C278)</f>
        <v/>
      </c>
      <c r="F278" s="20">
        <f>_xlfn.TEXTJOIN("-",TRUE,A762,B762,C762)</f>
        <v/>
      </c>
      <c r="G278" s="23" t="n"/>
      <c r="H278" s="23" t="n"/>
      <c r="I278" s="24" t="n"/>
      <c r="J278" s="19">
        <f>_xlfn.TEXTJOIN("-",TRUE,F278,G278,H278)</f>
        <v/>
      </c>
    </row>
    <row r="279" customFormat="1" s="19">
      <c r="A279" s="32" t="inlineStr">
        <is>
          <t>235/75R17.5</t>
        </is>
      </c>
      <c r="B279" s="32" t="inlineStr">
        <is>
          <t>18PR</t>
        </is>
      </c>
      <c r="C279" s="39" t="inlineStr">
        <is>
          <t>AZ599</t>
        </is>
      </c>
      <c r="D279" s="29" t="inlineStr">
        <is>
          <t>✔</t>
        </is>
      </c>
      <c r="E279" s="28">
        <f>_xlfn.TEXTJOIN("-",TRUE,A279,B279,C279)</f>
        <v/>
      </c>
      <c r="F279" s="20">
        <f>_xlfn.TEXTJOIN("-",TRUE,A763,B763,C763)</f>
        <v/>
      </c>
      <c r="G279" s="23" t="n"/>
      <c r="H279" s="23" t="n"/>
      <c r="I279" s="24" t="n"/>
      <c r="J279" s="19">
        <f>_xlfn.TEXTJOIN("-",TRUE,F279,G279,H279)</f>
        <v/>
      </c>
    </row>
    <row r="280" customFormat="1" s="19">
      <c r="A280" s="32" t="inlineStr">
        <is>
          <t>235/75R17.5</t>
        </is>
      </c>
      <c r="B280" s="32" t="inlineStr">
        <is>
          <t>18PR</t>
        </is>
      </c>
      <c r="C280" s="39" t="inlineStr">
        <is>
          <t>HF1 PLUS</t>
        </is>
      </c>
      <c r="D280" s="29" t="inlineStr">
        <is>
          <t>✔</t>
        </is>
      </c>
      <c r="E280" s="28">
        <f>_xlfn.TEXTJOIN("-",TRUE,A280,B280,C280)</f>
        <v/>
      </c>
      <c r="F280" s="20">
        <f>_xlfn.TEXTJOIN("-",TRUE,A764,B764,C764)</f>
        <v/>
      </c>
      <c r="G280" s="23" t="n"/>
      <c r="H280" s="23" t="n"/>
      <c r="I280" s="24" t="n"/>
      <c r="J280" s="19">
        <f>_xlfn.TEXTJOIN("-",TRUE,F280,G280,H280)</f>
        <v/>
      </c>
    </row>
    <row r="281" customFormat="1" s="19">
      <c r="A281" s="32" t="inlineStr">
        <is>
          <t>235/75R17.5</t>
        </is>
      </c>
      <c r="B281" s="32" t="inlineStr">
        <is>
          <t>18PR</t>
        </is>
      </c>
      <c r="C281" s="39" t="inlineStr">
        <is>
          <t>RLINE-A1</t>
        </is>
      </c>
      <c r="D281" s="29" t="inlineStr">
        <is>
          <t>✔</t>
        </is>
      </c>
      <c r="E281" s="28">
        <f>_xlfn.TEXTJOIN("-",TRUE,A281,B281,C281)</f>
        <v/>
      </c>
      <c r="F281" s="20">
        <f>_xlfn.TEXTJOIN("-",TRUE,A765,B765,C765)</f>
        <v/>
      </c>
      <c r="G281" s="23" t="n"/>
      <c r="H281" s="23" t="n"/>
      <c r="I281" s="24" t="n"/>
      <c r="J281" s="19">
        <f>_xlfn.TEXTJOIN("-",TRUE,F281,G281,H281)</f>
        <v/>
      </c>
    </row>
    <row r="282" customFormat="1" s="19">
      <c r="A282" s="32" t="inlineStr">
        <is>
          <t>235/75R17.5</t>
        </is>
      </c>
      <c r="B282" s="32" t="inlineStr">
        <is>
          <t>18PR</t>
        </is>
      </c>
      <c r="C282" s="39" t="inlineStr">
        <is>
          <t>ZA15</t>
        </is>
      </c>
      <c r="D282" s="29" t="inlineStr">
        <is>
          <t>✔</t>
        </is>
      </c>
      <c r="E282" s="28">
        <f>_xlfn.TEXTJOIN("-",TRUE,A282,B282,C282)</f>
        <v/>
      </c>
      <c r="F282" s="20">
        <f>_xlfn.TEXTJOIN("-",TRUE,A766,B766,C766)</f>
        <v/>
      </c>
      <c r="G282" s="23" t="n"/>
      <c r="H282" s="23" t="n"/>
      <c r="I282" s="24" t="n"/>
      <c r="J282" s="19">
        <f>_xlfn.TEXTJOIN("-",TRUE,F282,G282,H282)</f>
        <v/>
      </c>
    </row>
    <row r="283" customFormat="1" s="19">
      <c r="A283" s="32" t="inlineStr">
        <is>
          <t>235/75R17.5</t>
        </is>
      </c>
      <c r="B283" s="32" t="inlineStr">
        <is>
          <t>18PR</t>
        </is>
      </c>
      <c r="C283" s="39" t="inlineStr">
        <is>
          <t>VA933</t>
        </is>
      </c>
      <c r="D283" s="29" t="inlineStr">
        <is>
          <t>✔</t>
        </is>
      </c>
      <c r="E283" s="28">
        <f>_xlfn.TEXTJOIN("-",TRUE,A283,B283,C283)</f>
        <v/>
      </c>
      <c r="F283" s="20">
        <f>_xlfn.TEXTJOIN("-",TRUE,A767,B767,C767)</f>
        <v/>
      </c>
      <c r="G283" s="23" t="n"/>
      <c r="H283" s="23" t="n"/>
      <c r="I283" s="24" t="n"/>
      <c r="J283" s="19">
        <f>_xlfn.TEXTJOIN("-",TRUE,F283,G283,H283)</f>
        <v/>
      </c>
    </row>
    <row r="284" customFormat="1" s="19">
      <c r="A284" s="32" t="inlineStr">
        <is>
          <t>235/75R17.5</t>
        </is>
      </c>
      <c r="B284" s="32" t="inlineStr">
        <is>
          <t>18PR</t>
        </is>
      </c>
      <c r="C284" s="39" t="inlineStr">
        <is>
          <t>I-19A</t>
        </is>
      </c>
      <c r="D284" s="29" t="inlineStr">
        <is>
          <t>✔</t>
        </is>
      </c>
      <c r="E284" s="28">
        <f>_xlfn.TEXTJOIN("-",TRUE,A284,B284,C284)</f>
        <v/>
      </c>
      <c r="F284" s="20">
        <f>_xlfn.TEXTJOIN("-",TRUE,A768,B768,C768)</f>
        <v/>
      </c>
      <c r="G284" s="23" t="n"/>
      <c r="H284" s="23" t="n"/>
      <c r="I284" s="24" t="n"/>
      <c r="J284" s="19">
        <f>_xlfn.TEXTJOIN("-",TRUE,F284,G284,H284)</f>
        <v/>
      </c>
    </row>
    <row r="285" customFormat="1" s="19">
      <c r="A285" s="32" t="inlineStr">
        <is>
          <t>245/70R19.5</t>
        </is>
      </c>
      <c r="B285" s="32" t="inlineStr">
        <is>
          <t>16PR</t>
        </is>
      </c>
      <c r="C285" s="32" t="inlineStr">
        <is>
          <t>VA933</t>
        </is>
      </c>
      <c r="D285" s="29" t="inlineStr">
        <is>
          <t>✔</t>
        </is>
      </c>
      <c r="E285" s="28">
        <f>_xlfn.TEXTJOIN("-",TRUE,A285,B285,C285)</f>
        <v/>
      </c>
      <c r="F285" s="20">
        <f>_xlfn.TEXTJOIN("-",TRUE,A769,B769,C769)</f>
        <v/>
      </c>
      <c r="G285" s="23" t="n"/>
      <c r="H285" s="23" t="n"/>
      <c r="I285" s="24" t="n"/>
      <c r="J285" s="19">
        <f>_xlfn.TEXTJOIN("-",TRUE,F285,G285,H285)</f>
        <v/>
      </c>
    </row>
    <row r="286" customFormat="1" s="19">
      <c r="A286" s="32" t="inlineStr">
        <is>
          <t>245/70R19.5</t>
        </is>
      </c>
      <c r="B286" s="32" t="inlineStr">
        <is>
          <t>16PR</t>
        </is>
      </c>
      <c r="C286" s="32" t="inlineStr">
        <is>
          <t>ZA15</t>
        </is>
      </c>
      <c r="D286" s="29" t="inlineStr">
        <is>
          <t>✔</t>
        </is>
      </c>
      <c r="E286" s="28">
        <f>_xlfn.TEXTJOIN("-",TRUE,A286,B286,C286)</f>
        <v/>
      </c>
      <c r="F286" s="20">
        <f>_xlfn.TEXTJOIN("-",TRUE,A770,B770,C770)</f>
        <v/>
      </c>
      <c r="G286" s="23" t="n"/>
      <c r="H286" s="23" t="n"/>
      <c r="I286" s="24" t="n"/>
      <c r="J286" s="19">
        <f>_xlfn.TEXTJOIN("-",TRUE,F286,G286,H286)</f>
        <v/>
      </c>
    </row>
    <row r="287" customFormat="1" s="19">
      <c r="A287" s="32" t="inlineStr">
        <is>
          <t>245/70R19.5</t>
        </is>
      </c>
      <c r="B287" s="32" t="inlineStr">
        <is>
          <t>16PR</t>
        </is>
      </c>
      <c r="C287" s="32" t="inlineStr">
        <is>
          <t>CM986</t>
        </is>
      </c>
      <c r="D287" s="29" t="inlineStr">
        <is>
          <t>✔</t>
        </is>
      </c>
      <c r="E287" s="28">
        <f>_xlfn.TEXTJOIN("-",TRUE,A287,B287,C287)</f>
        <v/>
      </c>
      <c r="F287" s="20">
        <f>_xlfn.TEXTJOIN("-",TRUE,A771,B771,C771)</f>
        <v/>
      </c>
      <c r="G287" s="23" t="n"/>
      <c r="H287" s="23" t="n"/>
      <c r="I287" s="24" t="n"/>
      <c r="J287" s="19">
        <f>_xlfn.TEXTJOIN("-",TRUE,F287,G287,H287)</f>
        <v/>
      </c>
    </row>
    <row r="288" customFormat="1" s="19">
      <c r="A288" s="32" t="inlineStr">
        <is>
          <t>245/70R19.5</t>
        </is>
      </c>
      <c r="B288" s="32" t="inlineStr">
        <is>
          <t>16PR</t>
        </is>
      </c>
      <c r="C288" s="32" t="inlineStr">
        <is>
          <t>I-19A</t>
        </is>
      </c>
      <c r="D288" s="29" t="inlineStr">
        <is>
          <t>✔</t>
        </is>
      </c>
      <c r="E288" s="28">
        <f>_xlfn.TEXTJOIN("-",TRUE,A288,B288,C288)</f>
        <v/>
      </c>
      <c r="F288" s="20">
        <f>_xlfn.TEXTJOIN("-",TRUE,A772,B772,C772)</f>
        <v/>
      </c>
      <c r="G288" s="23" t="n"/>
      <c r="H288" s="23" t="n"/>
      <c r="I288" s="24" t="n"/>
      <c r="J288" s="19">
        <f>_xlfn.TEXTJOIN("-",TRUE,F288,G288,H288)</f>
        <v/>
      </c>
    </row>
    <row r="289" customFormat="1" s="19">
      <c r="A289" s="32" t="inlineStr">
        <is>
          <t>245/70R19.5</t>
        </is>
      </c>
      <c r="B289" s="32" t="inlineStr">
        <is>
          <t>16PR</t>
        </is>
      </c>
      <c r="C289" s="32" t="inlineStr">
        <is>
          <t>DA24</t>
        </is>
      </c>
      <c r="D289" s="29" t="inlineStr">
        <is>
          <t>✔</t>
        </is>
      </c>
      <c r="E289" s="28">
        <f>_xlfn.TEXTJOIN("-",TRUE,A289,B289,C289)</f>
        <v/>
      </c>
      <c r="F289" s="20">
        <f>_xlfn.TEXTJOIN("-",TRUE,A773,B773,C773)</f>
        <v/>
      </c>
      <c r="G289" s="23" t="n"/>
      <c r="H289" s="23" t="n"/>
      <c r="I289" s="24" t="n"/>
      <c r="J289" s="19">
        <f>_xlfn.TEXTJOIN("-",TRUE,F289,G289,H289)</f>
        <v/>
      </c>
    </row>
    <row r="290" customFormat="1" s="19">
      <c r="A290" s="32" t="inlineStr">
        <is>
          <t>245/70R19.5</t>
        </is>
      </c>
      <c r="B290" s="32" t="inlineStr">
        <is>
          <t>16PR</t>
        </is>
      </c>
      <c r="C290" s="32" t="inlineStr">
        <is>
          <t>AZ599</t>
        </is>
      </c>
      <c r="D290" s="29" t="inlineStr">
        <is>
          <t>✔</t>
        </is>
      </c>
      <c r="E290" s="28">
        <f>_xlfn.TEXTJOIN("-",TRUE,A290,B290,C290)</f>
        <v/>
      </c>
      <c r="F290" s="20">
        <f>_xlfn.TEXTJOIN("-",TRUE,A774,B774,C774)</f>
        <v/>
      </c>
      <c r="G290" s="23" t="n"/>
      <c r="H290" s="23" t="n"/>
      <c r="I290" s="24" t="n"/>
      <c r="J290" s="19">
        <f>_xlfn.TEXTJOIN("-",TRUE,F290,G290,H290)</f>
        <v/>
      </c>
    </row>
    <row r="291" customFormat="1" s="19">
      <c r="A291" s="32" t="inlineStr">
        <is>
          <t>245/70R19.5</t>
        </is>
      </c>
      <c r="B291" s="32" t="inlineStr">
        <is>
          <t>16PR</t>
        </is>
      </c>
      <c r="C291" s="32" t="inlineStr">
        <is>
          <t>HF1 Plus</t>
        </is>
      </c>
      <c r="D291" s="29" t="inlineStr">
        <is>
          <t>✔</t>
        </is>
      </c>
      <c r="E291" s="28">
        <f>_xlfn.TEXTJOIN("-",TRUE,A291,B291,C291)</f>
        <v/>
      </c>
      <c r="F291" s="20">
        <f>_xlfn.TEXTJOIN("-",TRUE,A775,B775,C775)</f>
        <v/>
      </c>
      <c r="G291" s="23" t="n"/>
      <c r="H291" s="23" t="n"/>
      <c r="I291" s="24" t="n"/>
      <c r="J291" s="19">
        <f>_xlfn.TEXTJOIN("-",TRUE,F291,G291,H291)</f>
        <v/>
      </c>
    </row>
    <row r="292" customFormat="1" s="19">
      <c r="A292" s="32" t="inlineStr">
        <is>
          <t>245/70R19.5</t>
        </is>
      </c>
      <c r="B292" s="32" t="inlineStr">
        <is>
          <t>16PR</t>
        </is>
      </c>
      <c r="C292" s="32" t="inlineStr">
        <is>
          <t>AP-7318</t>
        </is>
      </c>
      <c r="D292" s="29" t="inlineStr">
        <is>
          <t>✔</t>
        </is>
      </c>
      <c r="E292" s="28">
        <f>_xlfn.TEXTJOIN("-",TRUE,A292,B292,C292)</f>
        <v/>
      </c>
      <c r="F292" s="20">
        <f>_xlfn.TEXTJOIN("-",TRUE,A776,B776,C776)</f>
        <v/>
      </c>
      <c r="G292" s="23" t="n"/>
      <c r="H292" s="23" t="n"/>
      <c r="I292" s="24" t="n"/>
      <c r="J292" s="19">
        <f>_xlfn.TEXTJOIN("-",TRUE,F292,G292,H292)</f>
        <v/>
      </c>
    </row>
    <row r="293" customFormat="1" s="19">
      <c r="A293" s="32" t="inlineStr">
        <is>
          <t>245/70R19.5</t>
        </is>
      </c>
      <c r="B293" s="32" t="inlineStr">
        <is>
          <t>16PR</t>
        </is>
      </c>
      <c r="C293" s="32" t="inlineStr">
        <is>
          <t>I-37D</t>
        </is>
      </c>
      <c r="D293" s="29" t="inlineStr">
        <is>
          <t>✔</t>
        </is>
      </c>
      <c r="E293" s="28">
        <f>_xlfn.TEXTJOIN("-",TRUE,A293,B293,C293)</f>
        <v/>
      </c>
      <c r="F293" s="20">
        <f>_xlfn.TEXTJOIN("-",TRUE,A777,B777,C777)</f>
        <v/>
      </c>
      <c r="G293" s="23" t="n"/>
      <c r="H293" s="23" t="n"/>
      <c r="I293" s="24" t="n"/>
      <c r="J293" s="19">
        <f>_xlfn.TEXTJOIN("-",TRUE,F293,G293,H293)</f>
        <v/>
      </c>
    </row>
    <row r="294" customFormat="1" s="19">
      <c r="A294" s="32" t="inlineStr">
        <is>
          <t>245/70R19.5</t>
        </is>
      </c>
      <c r="B294" s="32" t="inlineStr">
        <is>
          <t>16PR</t>
        </is>
      </c>
      <c r="C294" s="32" t="inlineStr">
        <is>
          <t>VD935</t>
        </is>
      </c>
      <c r="D294" s="29" t="inlineStr">
        <is>
          <t>✔</t>
        </is>
      </c>
      <c r="E294" s="28">
        <f>_xlfn.TEXTJOIN("-",TRUE,A294,B294,C294)</f>
        <v/>
      </c>
      <c r="F294" s="20">
        <f>_xlfn.TEXTJOIN("-",TRUE,A778,B778,C778)</f>
        <v/>
      </c>
      <c r="G294" s="23" t="n"/>
      <c r="H294" s="23" t="n"/>
      <c r="I294" s="24" t="n"/>
      <c r="J294" s="19">
        <f>_xlfn.TEXTJOIN("-",TRUE,F294,G294,H294)</f>
        <v/>
      </c>
    </row>
    <row r="295" customFormat="1" s="19">
      <c r="A295" s="32" t="inlineStr">
        <is>
          <t>245/70R19.5</t>
        </is>
      </c>
      <c r="B295" s="32" t="inlineStr">
        <is>
          <t>16PR</t>
        </is>
      </c>
      <c r="C295" s="32" t="inlineStr">
        <is>
          <t>HD3 PLUS</t>
        </is>
      </c>
      <c r="D295" s="29" t="inlineStr">
        <is>
          <t>✔</t>
        </is>
      </c>
      <c r="E295" s="28">
        <f>_xlfn.TEXTJOIN("-",TRUE,A295,B295,C295)</f>
        <v/>
      </c>
      <c r="F295" s="20">
        <f>_xlfn.TEXTJOIN("-",TRUE,A779,B779,C779)</f>
        <v/>
      </c>
      <c r="G295" s="23" t="n"/>
      <c r="H295" s="23" t="n"/>
      <c r="I295" s="24" t="n"/>
      <c r="J295" s="19">
        <f>_xlfn.TEXTJOIN("-",TRUE,F295,G295,H295)</f>
        <v/>
      </c>
    </row>
    <row r="296" customFormat="1" s="19">
      <c r="A296" s="32" t="inlineStr">
        <is>
          <t>245/70R19.5</t>
        </is>
      </c>
      <c r="B296" s="32" t="inlineStr">
        <is>
          <t>16PR</t>
        </is>
      </c>
      <c r="C296" s="32" t="inlineStr">
        <is>
          <t>AS673</t>
        </is>
      </c>
      <c r="D296" s="29" t="inlineStr">
        <is>
          <t>✔</t>
        </is>
      </c>
      <c r="E296" s="28">
        <f>_xlfn.TEXTJOIN("-",TRUE,A296,B296,C296)</f>
        <v/>
      </c>
      <c r="F296" s="20">
        <f>_xlfn.TEXTJOIN("-",TRUE,A780,B780,C780)</f>
        <v/>
      </c>
      <c r="G296" s="23" t="n"/>
      <c r="H296" s="23" t="n"/>
      <c r="I296" s="24" t="n"/>
      <c r="J296" s="19">
        <f>_xlfn.TEXTJOIN("-",TRUE,F296,G296,H296)</f>
        <v/>
      </c>
    </row>
    <row r="297" customFormat="1" s="19">
      <c r="A297" s="32" t="inlineStr">
        <is>
          <t>255/70R22.5</t>
        </is>
      </c>
      <c r="B297" s="32" t="inlineStr">
        <is>
          <t>16PR</t>
        </is>
      </c>
      <c r="C297" s="32" t="inlineStr">
        <is>
          <t>I-19A</t>
        </is>
      </c>
      <c r="D297" s="29" t="inlineStr">
        <is>
          <t>✔</t>
        </is>
      </c>
      <c r="E297" s="28">
        <f>_xlfn.TEXTJOIN("-",TRUE,A297,B297,C297)</f>
        <v/>
      </c>
      <c r="F297" s="20">
        <f>_xlfn.TEXTJOIN("-",TRUE,A781,B781,C781)</f>
        <v/>
      </c>
      <c r="G297" s="23" t="n"/>
      <c r="H297" s="23" t="n"/>
      <c r="I297" s="24" t="n"/>
      <c r="J297" s="19">
        <f>_xlfn.TEXTJOIN("-",TRUE,F297,G297,H297)</f>
        <v/>
      </c>
    </row>
    <row r="298" customFormat="1" s="19">
      <c r="A298" s="39" t="inlineStr">
        <is>
          <t>255/70R22.5</t>
        </is>
      </c>
      <c r="B298" s="32" t="inlineStr">
        <is>
          <t>16PR</t>
        </is>
      </c>
      <c r="C298" s="32" t="inlineStr">
        <is>
          <t>AZ599</t>
        </is>
      </c>
      <c r="D298" s="29" t="inlineStr">
        <is>
          <t>✔</t>
        </is>
      </c>
      <c r="E298" s="28">
        <f>_xlfn.TEXTJOIN("-",TRUE,A298,B298,C298)</f>
        <v/>
      </c>
      <c r="F298" s="20">
        <f>_xlfn.TEXTJOIN("-",TRUE,A782,B782,C782)</f>
        <v/>
      </c>
      <c r="G298" s="23" t="n"/>
      <c r="H298" s="23" t="n"/>
      <c r="I298" s="24" t="n"/>
      <c r="J298" s="19">
        <f>_xlfn.TEXTJOIN("-",TRUE,F298,G298,H298)</f>
        <v/>
      </c>
    </row>
    <row r="299" customFormat="1" s="19">
      <c r="A299" s="39" t="inlineStr">
        <is>
          <t>255/70R22.5</t>
        </is>
      </c>
      <c r="B299" s="32" t="inlineStr">
        <is>
          <t>16PR</t>
        </is>
      </c>
      <c r="C299" s="32" t="inlineStr">
        <is>
          <t>HF1 PLUS</t>
        </is>
      </c>
      <c r="D299" s="29" t="inlineStr">
        <is>
          <t>✔</t>
        </is>
      </c>
      <c r="E299" s="28">
        <f>_xlfn.TEXTJOIN("-",TRUE,A299,B299,C299)</f>
        <v/>
      </c>
      <c r="F299" s="20">
        <f>_xlfn.TEXTJOIN("-",TRUE,A783,B783,C783)</f>
        <v/>
      </c>
      <c r="G299" s="23" t="n"/>
      <c r="H299" s="23" t="n"/>
      <c r="I299" s="24" t="n"/>
      <c r="J299" s="19">
        <f>_xlfn.TEXTJOIN("-",TRUE,F299,G299,H299)</f>
        <v/>
      </c>
    </row>
    <row r="300" customFormat="1" s="19">
      <c r="A300" s="39" t="inlineStr">
        <is>
          <t>255/70R22.5</t>
        </is>
      </c>
      <c r="B300" s="32" t="inlineStr">
        <is>
          <t>16PR</t>
        </is>
      </c>
      <c r="C300" s="32" t="inlineStr">
        <is>
          <t>M-TRAC AP</t>
        </is>
      </c>
      <c r="D300" s="29" t="inlineStr">
        <is>
          <t>✔</t>
        </is>
      </c>
      <c r="E300" s="28">
        <f>_xlfn.TEXTJOIN("-",TRUE,A300,B300,C300)</f>
        <v/>
      </c>
      <c r="F300" s="20" t="n"/>
      <c r="G300" s="23" t="n"/>
      <c r="H300" s="23" t="n"/>
      <c r="I300" s="24" t="n"/>
      <c r="J300" s="19">
        <f>_xlfn.TEXTJOIN("-",TRUE,F300,G300,H300)</f>
        <v/>
      </c>
    </row>
    <row r="301" customFormat="1" s="19">
      <c r="A301" s="39" t="inlineStr">
        <is>
          <t>255/70R22.5</t>
        </is>
      </c>
      <c r="B301" s="32" t="inlineStr">
        <is>
          <t>16PR</t>
        </is>
      </c>
      <c r="C301" s="32" t="inlineStr">
        <is>
          <t>CR976A</t>
        </is>
      </c>
      <c r="D301" s="29" t="inlineStr">
        <is>
          <t>✔</t>
        </is>
      </c>
      <c r="E301" s="28">
        <f>_xlfn.TEXTJOIN("-",TRUE,A301,B301,C301)</f>
        <v/>
      </c>
      <c r="F301" s="20" t="n"/>
      <c r="G301" s="23" t="n"/>
      <c r="H301" s="23" t="n"/>
      <c r="I301" s="24" t="n"/>
      <c r="J301" s="19">
        <f>_xlfn.TEXTJOIN("-",TRUE,F301,G301,H301)</f>
        <v/>
      </c>
    </row>
    <row r="302" customFormat="1" s="19">
      <c r="A302" s="39" t="inlineStr">
        <is>
          <t>255/70R22.5</t>
        </is>
      </c>
      <c r="B302" s="32" t="inlineStr">
        <is>
          <t>16PR</t>
        </is>
      </c>
      <c r="C302" s="32" t="inlineStr">
        <is>
          <t>RLINE-A2</t>
        </is>
      </c>
      <c r="D302" s="29" t="inlineStr">
        <is>
          <t>✔</t>
        </is>
      </c>
      <c r="E302" s="28">
        <f>_xlfn.TEXTJOIN("-",TRUE,A302,B302,C302)</f>
        <v/>
      </c>
      <c r="F302" s="20" t="n"/>
      <c r="G302" s="23" t="n"/>
      <c r="H302" s="23" t="n"/>
      <c r="I302" s="24" t="n"/>
      <c r="J302" s="19">
        <f>_xlfn.TEXTJOIN("-",TRUE,F302,G302,H302)</f>
        <v/>
      </c>
    </row>
    <row r="303" customFormat="1" s="19">
      <c r="A303" s="39" t="inlineStr">
        <is>
          <t>255/70R22.5</t>
        </is>
      </c>
      <c r="B303" s="32" t="inlineStr">
        <is>
          <t>16PR</t>
        </is>
      </c>
      <c r="C303" s="32" t="inlineStr">
        <is>
          <t>H-RA</t>
        </is>
      </c>
      <c r="D303" s="29" t="inlineStr">
        <is>
          <t>✔</t>
        </is>
      </c>
      <c r="E303" s="28">
        <f>_xlfn.TEXTJOIN("-",TRUE,A303,B303,C303)</f>
        <v/>
      </c>
      <c r="F303" s="20" t="n"/>
      <c r="G303" s="23" t="n"/>
      <c r="H303" s="23" t="n"/>
      <c r="I303" s="24" t="n"/>
      <c r="J303" s="19">
        <f>_xlfn.TEXTJOIN("-",TRUE,F303,G303,H303)</f>
        <v/>
      </c>
    </row>
    <row r="304" customFormat="1" s="19">
      <c r="A304" s="39" t="inlineStr">
        <is>
          <t>255/70R22.5</t>
        </is>
      </c>
      <c r="B304" s="32" t="inlineStr">
        <is>
          <t>16PR</t>
        </is>
      </c>
      <c r="C304" s="32" t="inlineStr">
        <is>
          <t>VA996</t>
        </is>
      </c>
      <c r="D304" s="29" t="inlineStr">
        <is>
          <t>✔</t>
        </is>
      </c>
      <c r="E304" s="28">
        <f>_xlfn.TEXTJOIN("-",TRUE,A304,B304,C304)</f>
        <v/>
      </c>
      <c r="F304" s="20" t="n"/>
      <c r="G304" s="23" t="n"/>
      <c r="H304" s="23" t="n"/>
      <c r="I304" s="24" t="n"/>
      <c r="J304" s="19">
        <f>_xlfn.TEXTJOIN("-",TRUE,F304,G304,H304)</f>
        <v/>
      </c>
    </row>
    <row r="305" customFormat="1" s="19">
      <c r="A305" s="32" t="inlineStr">
        <is>
          <t>265/70R19.5</t>
        </is>
      </c>
      <c r="B305" s="32" t="inlineStr">
        <is>
          <t>18PR</t>
        </is>
      </c>
      <c r="C305" s="32" t="inlineStr">
        <is>
          <t>VA933</t>
        </is>
      </c>
      <c r="D305" s="64" t="inlineStr">
        <is>
          <t>✔</t>
        </is>
      </c>
      <c r="E305" s="28">
        <f>_xlfn.TEXTJOIN("-",TRUE,A305,B305,C305)</f>
        <v/>
      </c>
      <c r="F305" s="20" t="n"/>
      <c r="G305" s="23" t="n"/>
      <c r="H305" s="23" t="n"/>
      <c r="I305" s="24" t="n"/>
      <c r="J305" s="19">
        <f>_xlfn.TEXTJOIN("-",TRUE,F305,G305,H305)</f>
        <v/>
      </c>
    </row>
    <row r="306" customFormat="1" s="19">
      <c r="A306" s="32" t="inlineStr">
        <is>
          <t>265/70R19.5</t>
        </is>
      </c>
      <c r="B306" s="32" t="inlineStr">
        <is>
          <t>18PR</t>
        </is>
      </c>
      <c r="C306" s="32" t="inlineStr">
        <is>
          <t>DA24</t>
        </is>
      </c>
      <c r="D306" s="29" t="inlineStr">
        <is>
          <t>✔</t>
        </is>
      </c>
      <c r="E306" s="28">
        <f>_xlfn.TEXTJOIN("-",TRUE,A306,B306,C306)</f>
        <v/>
      </c>
      <c r="F306" s="20" t="n"/>
      <c r="G306" s="23" t="n"/>
      <c r="H306" s="23" t="n"/>
      <c r="I306" s="24" t="n"/>
      <c r="J306" s="19">
        <f>_xlfn.TEXTJOIN("-",TRUE,F306,G306,H306)</f>
        <v/>
      </c>
    </row>
    <row r="307" customFormat="1" s="19">
      <c r="A307" s="39" t="inlineStr">
        <is>
          <t>265/70R19.5</t>
        </is>
      </c>
      <c r="B307" s="32" t="inlineStr">
        <is>
          <t>18PR</t>
        </is>
      </c>
      <c r="C307" s="32" t="inlineStr">
        <is>
          <t>ZA15</t>
        </is>
      </c>
      <c r="D307" s="29" t="inlineStr">
        <is>
          <t>✔</t>
        </is>
      </c>
      <c r="E307" s="28">
        <f>_xlfn.TEXTJOIN("-",TRUE,A307,B307,C307)</f>
        <v/>
      </c>
      <c r="F307" s="20" t="n"/>
      <c r="G307" s="23" t="n"/>
      <c r="H307" s="23" t="n"/>
      <c r="I307" s="24" t="n"/>
      <c r="J307" s="19">
        <f>_xlfn.TEXTJOIN("-",TRUE,F307,G307,H307)</f>
        <v/>
      </c>
    </row>
    <row r="308" customFormat="1" s="19">
      <c r="A308" s="39" t="inlineStr">
        <is>
          <t>265/70R19.5</t>
        </is>
      </c>
      <c r="B308" s="32" t="inlineStr">
        <is>
          <t>18PR</t>
        </is>
      </c>
      <c r="C308" s="32" t="inlineStr">
        <is>
          <t>I-19A</t>
        </is>
      </c>
      <c r="D308" s="29" t="inlineStr">
        <is>
          <t>✔</t>
        </is>
      </c>
      <c r="E308" s="28">
        <f>_xlfn.TEXTJOIN("-",TRUE,A308,B308,C308)</f>
        <v/>
      </c>
      <c r="F308" s="20">
        <f>_xlfn.TEXTJOIN("-",TRUE,A792,B792,C792)</f>
        <v/>
      </c>
      <c r="G308" s="23" t="n"/>
      <c r="H308" s="23" t="n"/>
      <c r="I308" s="24" t="n"/>
      <c r="J308" s="19">
        <f>_xlfn.TEXTJOIN("-",TRUE,F308,G308,H308)</f>
        <v/>
      </c>
    </row>
    <row r="309" customFormat="1" s="19">
      <c r="A309" s="32" t="inlineStr">
        <is>
          <t>275/70R22.5</t>
        </is>
      </c>
      <c r="B309" s="32" t="inlineStr">
        <is>
          <t>18PR</t>
        </is>
      </c>
      <c r="C309" s="32" t="inlineStr">
        <is>
          <t>I-19A</t>
        </is>
      </c>
      <c r="D309" s="29" t="inlineStr">
        <is>
          <t>✔</t>
        </is>
      </c>
      <c r="E309" s="28">
        <f>_xlfn.TEXTJOIN("-",TRUE,A309,B309,C309)</f>
        <v/>
      </c>
      <c r="F309" s="20">
        <f>_xlfn.TEXTJOIN("-",TRUE,A793,B793,C793)</f>
        <v/>
      </c>
      <c r="G309" s="23" t="n"/>
      <c r="H309" s="23" t="n"/>
      <c r="I309" s="24" t="n"/>
      <c r="J309" s="19">
        <f>_xlfn.TEXTJOIN("-",TRUE,F309,G309,H309)</f>
        <v/>
      </c>
    </row>
    <row r="310" customFormat="1" s="19">
      <c r="A310" s="32" t="inlineStr">
        <is>
          <t>275/70R22.5</t>
        </is>
      </c>
      <c r="B310" s="62" t="inlineStr">
        <is>
          <t>16PR</t>
        </is>
      </c>
      <c r="C310" s="32" t="inlineStr">
        <is>
          <t>H-RA</t>
        </is>
      </c>
      <c r="D310" s="29" t="inlineStr">
        <is>
          <t>✔</t>
        </is>
      </c>
      <c r="E310" s="28">
        <f>_xlfn.TEXTJOIN("-",TRUE,A310,B310,C310)</f>
        <v/>
      </c>
      <c r="F310" s="20">
        <f>_xlfn.TEXTJOIN("-",TRUE,A794,B794,C794)</f>
        <v/>
      </c>
      <c r="G310" s="23" t="n"/>
      <c r="H310" s="23" t="n"/>
      <c r="I310" s="24" t="n"/>
      <c r="J310" s="19">
        <f>_xlfn.TEXTJOIN("-",TRUE,F310,G310,H310)</f>
        <v/>
      </c>
    </row>
    <row r="311" customFormat="1" s="19">
      <c r="A311" s="32" t="inlineStr">
        <is>
          <t>275/80R22.5</t>
        </is>
      </c>
      <c r="B311" s="32" t="inlineStr">
        <is>
          <t>16PR</t>
        </is>
      </c>
      <c r="C311" s="32" t="inlineStr">
        <is>
          <t>AD153</t>
        </is>
      </c>
      <c r="D311" s="29" t="inlineStr">
        <is>
          <t>✔</t>
        </is>
      </c>
      <c r="E311" s="28">
        <f>_xlfn.TEXTJOIN("-",TRUE,A311,B311,C311)</f>
        <v/>
      </c>
      <c r="F311" s="20">
        <f>_xlfn.TEXTJOIN("-",TRUE,A795,B795,C795)</f>
        <v/>
      </c>
      <c r="G311" s="23" t="n"/>
      <c r="H311" s="23" t="n"/>
      <c r="I311" s="24" t="n"/>
      <c r="J311" s="19">
        <f>_xlfn.TEXTJOIN("-",TRUE,F311,G311,H311)</f>
        <v/>
      </c>
    </row>
    <row r="312" customFormat="1" s="19">
      <c r="A312" s="32" t="inlineStr">
        <is>
          <t>275/80R22.5</t>
        </is>
      </c>
      <c r="B312" s="32" t="inlineStr">
        <is>
          <t>16PR</t>
        </is>
      </c>
      <c r="C312" s="32" t="inlineStr">
        <is>
          <t>G-PERFORM D</t>
        </is>
      </c>
      <c r="D312" s="29" t="inlineStr">
        <is>
          <t>✔</t>
        </is>
      </c>
      <c r="E312" s="28">
        <f>_xlfn.TEXTJOIN("-",TRUE,A312,B312,C312)</f>
        <v/>
      </c>
      <c r="F312" s="20">
        <f>_xlfn.TEXTJOIN("-",TRUE,A796,B796,C796)</f>
        <v/>
      </c>
      <c r="G312" s="23" t="n"/>
      <c r="H312" s="23" t="n"/>
      <c r="I312" s="24" t="n"/>
      <c r="J312" s="19">
        <f>_xlfn.TEXTJOIN("-",TRUE,F312,G312,H312)</f>
        <v/>
      </c>
    </row>
    <row r="313" customFormat="1" s="19">
      <c r="A313" s="32" t="inlineStr">
        <is>
          <t>275/80R22.5</t>
        </is>
      </c>
      <c r="B313" s="32" t="inlineStr">
        <is>
          <t>16PR</t>
        </is>
      </c>
      <c r="C313" s="32" t="inlineStr">
        <is>
          <t>BRD02 ECO</t>
        </is>
      </c>
      <c r="D313" s="29" t="inlineStr">
        <is>
          <t>✔</t>
        </is>
      </c>
      <c r="E313" s="28">
        <f>_xlfn.TEXTJOIN("-",TRUE,A313,B313,C313)</f>
        <v/>
      </c>
      <c r="F313" s="20">
        <f>_xlfn.TEXTJOIN("-",TRUE,A797,B797,C797)</f>
        <v/>
      </c>
      <c r="G313" s="23" t="n"/>
      <c r="H313" s="23" t="n"/>
      <c r="I313" s="24" t="n"/>
      <c r="J313" s="19">
        <f>_xlfn.TEXTJOIN("-",TRUE,F313,G313,H313)</f>
        <v/>
      </c>
    </row>
    <row r="314" customFormat="1" s="19">
      <c r="A314" s="32" t="inlineStr">
        <is>
          <t>275/80R22.5</t>
        </is>
      </c>
      <c r="B314" s="32" t="inlineStr">
        <is>
          <t>16PR</t>
        </is>
      </c>
      <c r="C314" s="32" t="inlineStr">
        <is>
          <t>AD528</t>
        </is>
      </c>
      <c r="D314" s="29" t="inlineStr">
        <is>
          <t>✔</t>
        </is>
      </c>
      <c r="E314" s="28">
        <f>_xlfn.TEXTJOIN("-",TRUE,A314,B314,C314)</f>
        <v/>
      </c>
      <c r="F314" s="20">
        <f>_xlfn.TEXTJOIN("-",TRUE,A798,B798,C798)</f>
        <v/>
      </c>
      <c r="G314" s="23" t="n"/>
      <c r="H314" s="23" t="n"/>
      <c r="I314" s="24" t="n"/>
      <c r="J314" s="19">
        <f>_xlfn.TEXTJOIN("-",TRUE,F314,G314,H314)</f>
        <v/>
      </c>
    </row>
    <row r="315" customFormat="1" s="19">
      <c r="A315" s="32" t="inlineStr">
        <is>
          <t>275/80R22.5</t>
        </is>
      </c>
      <c r="B315" s="32" t="inlineStr">
        <is>
          <t>16PR</t>
        </is>
      </c>
      <c r="C315" s="32" t="inlineStr">
        <is>
          <t>ECOTRAX D-II</t>
        </is>
      </c>
      <c r="D315" s="29" t="inlineStr">
        <is>
          <t>✔</t>
        </is>
      </c>
      <c r="E315" s="28">
        <f>_xlfn.TEXTJOIN("-",TRUE,A315,B315,C315)</f>
        <v/>
      </c>
      <c r="F315" s="20">
        <f>_xlfn.TEXTJOIN("-",TRUE,A799,B799,C799)</f>
        <v/>
      </c>
      <c r="G315" s="23" t="n"/>
      <c r="H315" s="23" t="n"/>
      <c r="I315" s="24" t="n"/>
      <c r="J315" s="19">
        <f>_xlfn.TEXTJOIN("-",TRUE,F315,G315,H315)</f>
        <v/>
      </c>
    </row>
    <row r="316" customFormat="1" s="19">
      <c r="A316" s="32" t="inlineStr">
        <is>
          <t>275/80R22.5</t>
        </is>
      </c>
      <c r="B316" s="32" t="inlineStr">
        <is>
          <t>16PR</t>
        </is>
      </c>
      <c r="C316" s="32" t="inlineStr">
        <is>
          <t>CR976A</t>
        </is>
      </c>
      <c r="D316" s="29" t="inlineStr">
        <is>
          <t>✔</t>
        </is>
      </c>
      <c r="E316" s="28">
        <f>_xlfn.TEXTJOIN("-",TRUE,A316,B316,C316)</f>
        <v/>
      </c>
      <c r="F316" s="20">
        <f>_xlfn.TEXTJOIN("-",TRUE,A800,B800,C800)</f>
        <v/>
      </c>
      <c r="G316" s="23" t="n"/>
      <c r="H316" s="23" t="n"/>
      <c r="I316" s="24" t="n"/>
      <c r="J316" s="19">
        <f>_xlfn.TEXTJOIN("-",TRUE,F316,G316,H316)</f>
        <v/>
      </c>
    </row>
    <row r="317" customFormat="1" s="19">
      <c r="A317" s="32" t="inlineStr">
        <is>
          <t>275/80R22.5</t>
        </is>
      </c>
      <c r="B317" s="32" t="inlineStr">
        <is>
          <t>16PR</t>
        </is>
      </c>
      <c r="C317" s="32" t="inlineStr">
        <is>
          <t>G-PERFORM S</t>
        </is>
      </c>
      <c r="D317" s="29" t="inlineStr">
        <is>
          <t>✔</t>
        </is>
      </c>
      <c r="E317" s="28">
        <f>_xlfn.TEXTJOIN("-",TRUE,A317,B317,C317)</f>
        <v/>
      </c>
      <c r="F317" s="20">
        <f>_xlfn.TEXTJOIN("-",TRUE,A801,B801,C801)</f>
        <v/>
      </c>
      <c r="G317" s="23" t="n"/>
      <c r="H317" s="23" t="n"/>
      <c r="I317" s="24" t="n"/>
      <c r="J317" s="19">
        <f>_xlfn.TEXTJOIN("-",TRUE,F317,G317,H317)</f>
        <v/>
      </c>
    </row>
    <row r="318" customFormat="1" s="19">
      <c r="A318" s="32" t="inlineStr">
        <is>
          <t>275/80R22.5</t>
        </is>
      </c>
      <c r="B318" s="32" t="inlineStr">
        <is>
          <t>16PR</t>
        </is>
      </c>
      <c r="C318" s="32" t="inlineStr">
        <is>
          <t>BRA04</t>
        </is>
      </c>
      <c r="D318" s="29" t="inlineStr">
        <is>
          <t>✔</t>
        </is>
      </c>
      <c r="E318" s="28">
        <f>_xlfn.TEXTJOIN("-",TRUE,A318,B318,C318)</f>
        <v/>
      </c>
      <c r="F318" s="20">
        <f>_xlfn.TEXTJOIN("-",TRUE,A802,B802,C802)</f>
        <v/>
      </c>
      <c r="G318" s="23" t="n"/>
      <c r="H318" s="23" t="n"/>
      <c r="I318" s="24" t="n"/>
      <c r="J318" s="19">
        <f>_xlfn.TEXTJOIN("-",TRUE,F318,G318,H318)</f>
        <v/>
      </c>
    </row>
    <row r="319" customFormat="1" s="19">
      <c r="A319" s="32" t="inlineStr">
        <is>
          <t>275/80R22.5</t>
        </is>
      </c>
      <c r="B319" s="32" t="inlineStr">
        <is>
          <t>16PR</t>
        </is>
      </c>
      <c r="C319" s="32" t="inlineStr">
        <is>
          <t>ECOLINE A-II</t>
        </is>
      </c>
      <c r="D319" s="29" t="inlineStr">
        <is>
          <t>✔</t>
        </is>
      </c>
      <c r="E319" s="28">
        <f>_xlfn.TEXTJOIN("-",TRUE,A319,B319,C319)</f>
        <v/>
      </c>
      <c r="F319" s="20">
        <f>_xlfn.TEXTJOIN("-",TRUE,A803,B803,C803)</f>
        <v/>
      </c>
      <c r="G319" s="23" t="n"/>
      <c r="H319" s="23" t="n"/>
      <c r="I319" s="24" t="n"/>
      <c r="J319" s="19">
        <f>_xlfn.TEXTJOIN("-",TRUE,F319,G319,H319)</f>
        <v/>
      </c>
    </row>
    <row r="320" customFormat="1" s="19">
      <c r="A320" s="32" t="inlineStr">
        <is>
          <t>275/80R22.5</t>
        </is>
      </c>
      <c r="B320" s="32" t="inlineStr">
        <is>
          <t>16PR</t>
        </is>
      </c>
      <c r="C320" s="32" t="inlineStr">
        <is>
          <t>CR906</t>
        </is>
      </c>
      <c r="D320" s="29" t="inlineStr">
        <is>
          <t>✔</t>
        </is>
      </c>
      <c r="E320" s="28">
        <f>_xlfn.TEXTJOIN("-",TRUE,A320,B320,C320)</f>
        <v/>
      </c>
      <c r="F320" s="20">
        <f>_xlfn.TEXTJOIN("-",TRUE,A804,B804,C804)</f>
        <v/>
      </c>
      <c r="G320" s="23" t="n"/>
      <c r="H320" s="23" t="n"/>
      <c r="I320" s="24" t="n"/>
      <c r="J320" s="19">
        <f>_xlfn.TEXTJOIN("-",TRUE,F320,G320,H320)</f>
        <v/>
      </c>
    </row>
    <row r="321" customFormat="1" s="19">
      <c r="A321" s="32" t="inlineStr">
        <is>
          <t>275/80R22.5</t>
        </is>
      </c>
      <c r="B321" s="32" t="inlineStr">
        <is>
          <t>16PR</t>
        </is>
      </c>
      <c r="C321" s="32" t="inlineStr">
        <is>
          <t>G-PRO U</t>
        </is>
      </c>
      <c r="D321" s="29" t="inlineStr">
        <is>
          <t>✔</t>
        </is>
      </c>
      <c r="E321" s="28">
        <f>_xlfn.TEXTJOIN("-",TRUE,A321,B321,C321)</f>
        <v/>
      </c>
      <c r="F321" s="20">
        <f>_xlfn.TEXTJOIN("-",TRUE,A805,B805,C805)</f>
        <v/>
      </c>
      <c r="G321" s="23" t="n"/>
      <c r="H321" s="23" t="n"/>
      <c r="I321" s="24" t="n"/>
      <c r="J321" s="19">
        <f>_xlfn.TEXTJOIN("-",TRUE,F321,G321,H321)</f>
        <v/>
      </c>
    </row>
    <row r="322" customFormat="1" s="19">
      <c r="A322" s="32" t="inlineStr">
        <is>
          <t>275/80R22.5</t>
        </is>
      </c>
      <c r="B322" s="32" t="inlineStr">
        <is>
          <t>16PR</t>
        </is>
      </c>
      <c r="C322" s="32" t="inlineStr">
        <is>
          <t>EZ573</t>
        </is>
      </c>
      <c r="D322" s="29" t="inlineStr">
        <is>
          <t>✔</t>
        </is>
      </c>
      <c r="E322" s="28">
        <f>_xlfn.TEXTJOIN("-",TRUE,A322,B322,C322)</f>
        <v/>
      </c>
      <c r="F322" s="20">
        <f>_xlfn.TEXTJOIN("-",TRUE,A806,B806,C806)</f>
        <v/>
      </c>
      <c r="G322" s="23" t="n"/>
      <c r="H322" s="23" t="n"/>
      <c r="I322" s="24" t="n"/>
      <c r="J322" s="19">
        <f>_xlfn.TEXTJOIN("-",TRUE,F322,G322,H322)</f>
        <v/>
      </c>
    </row>
    <row r="323" customFormat="1" s="19">
      <c r="A323" s="32" t="inlineStr">
        <is>
          <t>275/80R22.5</t>
        </is>
      </c>
      <c r="B323" s="32" t="inlineStr">
        <is>
          <t>16PR</t>
        </is>
      </c>
      <c r="C323" s="32" t="inlineStr">
        <is>
          <t>G-PRO MSA</t>
        </is>
      </c>
      <c r="D323" s="29" t="inlineStr">
        <is>
          <t>✔</t>
        </is>
      </c>
      <c r="E323" s="28">
        <f>_xlfn.TEXTJOIN("-",TRUE,A323,B323,C323)</f>
        <v/>
      </c>
      <c r="F323" s="20">
        <f>_xlfn.TEXTJOIN("-",TRUE,A807,B807,C807)</f>
        <v/>
      </c>
      <c r="G323" s="23" t="n"/>
      <c r="H323" s="23" t="n"/>
      <c r="I323" s="24" t="n"/>
      <c r="J323" s="19">
        <f>_xlfn.TEXTJOIN("-",TRUE,F323,G323,H323)</f>
        <v/>
      </c>
    </row>
    <row r="324" customFormat="1" s="19">
      <c r="A324" s="32" t="inlineStr">
        <is>
          <t>275/80R22.5</t>
        </is>
      </c>
      <c r="B324" s="32" t="inlineStr">
        <is>
          <t>16PR</t>
        </is>
      </c>
      <c r="C324" s="32" t="inlineStr">
        <is>
          <t>BMA03 ECO</t>
        </is>
      </c>
      <c r="D324" s="29" t="inlineStr">
        <is>
          <t>✔</t>
        </is>
      </c>
      <c r="E324" s="28">
        <f>_xlfn.TEXTJOIN("-",TRUE,A324,B324,C324)</f>
        <v/>
      </c>
      <c r="F324" s="20">
        <f>_xlfn.TEXTJOIN("-",TRUE,A808,B808,C808)</f>
        <v/>
      </c>
      <c r="G324" s="23" t="n"/>
      <c r="H324" s="23" t="n"/>
      <c r="I324" s="24" t="n"/>
      <c r="J324" s="19">
        <f>_xlfn.TEXTJOIN("-",TRUE,F324,G324,H324)</f>
        <v/>
      </c>
    </row>
    <row r="325" customFormat="1" s="19">
      <c r="A325" s="32" t="inlineStr">
        <is>
          <t>275/80R22.5</t>
        </is>
      </c>
      <c r="B325" s="32" t="inlineStr">
        <is>
          <t>16PR</t>
        </is>
      </c>
      <c r="C325" s="32" t="inlineStr">
        <is>
          <t>MD777</t>
        </is>
      </c>
      <c r="D325" s="29" t="inlineStr">
        <is>
          <t>✔</t>
        </is>
      </c>
      <c r="E325" s="28">
        <f>_xlfn.TEXTJOIN("-",TRUE,A325,B325,C325)</f>
        <v/>
      </c>
      <c r="F325" s="20">
        <f>_xlfn.TEXTJOIN("-",TRUE,A809,B809,C809)</f>
        <v/>
      </c>
      <c r="G325" s="23" t="n"/>
      <c r="H325" s="23" t="n"/>
      <c r="I325" s="24" t="n"/>
      <c r="J325" s="19">
        <f>_xlfn.TEXTJOIN("-",TRUE,F325,G325,H325)</f>
        <v/>
      </c>
    </row>
    <row r="326" customFormat="1" s="19">
      <c r="A326" s="32" t="inlineStr">
        <is>
          <t>275/80R22.5</t>
        </is>
      </c>
      <c r="B326" s="32" t="inlineStr">
        <is>
          <t>16PR</t>
        </is>
      </c>
      <c r="C326" s="32" t="inlineStr">
        <is>
          <t>G-PRO MSD</t>
        </is>
      </c>
      <c r="D326" s="29" t="inlineStr">
        <is>
          <t>✔</t>
        </is>
      </c>
      <c r="E326" s="28">
        <f>_xlfn.TEXTJOIN("-",TRUE,A326,B326,C326)</f>
        <v/>
      </c>
      <c r="F326" s="20">
        <f>_xlfn.TEXTJOIN("-",TRUE,A810,B810,C810)</f>
        <v/>
      </c>
      <c r="G326" s="23" t="n"/>
      <c r="H326" s="23" t="n"/>
      <c r="I326" s="24" t="n"/>
      <c r="J326" s="19">
        <f>_xlfn.TEXTJOIN("-",TRUE,F326,G326,H326)</f>
        <v/>
      </c>
    </row>
    <row r="327" customFormat="1" s="19">
      <c r="A327" s="32" t="inlineStr">
        <is>
          <t>275/80R22.5</t>
        </is>
      </c>
      <c r="B327" s="32" t="inlineStr">
        <is>
          <t>16PR</t>
        </is>
      </c>
      <c r="C327" s="32" t="inlineStr">
        <is>
          <t>AT196</t>
        </is>
      </c>
      <c r="D327" s="29" t="inlineStr">
        <is>
          <t>✔</t>
        </is>
      </c>
      <c r="E327" s="28">
        <f>_xlfn.TEXTJOIN("-",TRUE,A327,B327,C327)</f>
        <v/>
      </c>
      <c r="F327" s="20">
        <f>_xlfn.TEXTJOIN("-",TRUE,A811,B811,C811)</f>
        <v/>
      </c>
      <c r="G327" s="23" t="n"/>
      <c r="H327" s="23" t="n"/>
      <c r="I327" s="24" t="n"/>
      <c r="J327" s="19">
        <f>_xlfn.TEXTJOIN("-",TRUE,F327,G327,H327)</f>
        <v/>
      </c>
    </row>
    <row r="328" customFormat="1" s="19">
      <c r="A328" s="32" t="inlineStr">
        <is>
          <t>275/80R22.5</t>
        </is>
      </c>
      <c r="B328" s="32" t="inlineStr">
        <is>
          <t>16PR</t>
        </is>
      </c>
      <c r="C328" s="32" t="inlineStr">
        <is>
          <t>AZ179</t>
        </is>
      </c>
      <c r="D328" s="29" t="inlineStr">
        <is>
          <t>✔</t>
        </is>
      </c>
      <c r="E328" s="65">
        <f>_xlfn.TEXTJOIN("-",TRUE,A328,B328,C328)</f>
        <v/>
      </c>
      <c r="F328" s="20">
        <f>_xlfn.TEXTJOIN("-",TRUE,A812,B812,C812)</f>
        <v/>
      </c>
      <c r="G328" s="23" t="n"/>
      <c r="H328" s="23" t="n"/>
      <c r="I328" s="24" t="n"/>
      <c r="J328" s="19">
        <f>_xlfn.TEXTJOIN("-",TRUE,F328,G328,H328)</f>
        <v/>
      </c>
    </row>
    <row r="329" customFormat="1" s="19">
      <c r="A329" s="32" t="inlineStr">
        <is>
          <t>275/80R22.5</t>
        </is>
      </c>
      <c r="B329" s="32" t="inlineStr">
        <is>
          <t>16PR</t>
        </is>
      </c>
      <c r="C329" s="32" t="inlineStr">
        <is>
          <t>AS678</t>
        </is>
      </c>
      <c r="D329" s="29" t="inlineStr">
        <is>
          <t>✔</t>
        </is>
      </c>
      <c r="E329" s="28">
        <f>_xlfn.TEXTJOIN("-",TRUE,A329,B329,C329)</f>
        <v/>
      </c>
      <c r="F329" s="20">
        <f>_xlfn.TEXTJOIN("-",TRUE,A813,B813,C813)</f>
        <v/>
      </c>
      <c r="G329" s="23" t="n"/>
      <c r="H329" s="23" t="n"/>
      <c r="I329" s="24" t="n"/>
      <c r="J329" s="19">
        <f>_xlfn.TEXTJOIN("-",TRUE,F329,G329,H329)</f>
        <v/>
      </c>
    </row>
    <row r="330" customFormat="1" s="19">
      <c r="A330" s="32" t="inlineStr">
        <is>
          <t>275/80R22.5</t>
        </is>
      </c>
      <c r="B330" s="32" t="inlineStr">
        <is>
          <t>16PR</t>
        </is>
      </c>
      <c r="C330" s="32" t="inlineStr">
        <is>
          <t>AS898</t>
        </is>
      </c>
      <c r="D330" s="29" t="inlineStr">
        <is>
          <t>✔</t>
        </is>
      </c>
      <c r="E330" s="28">
        <f>_xlfn.TEXTJOIN("-",TRUE,A330,B330,C330)</f>
        <v/>
      </c>
      <c r="F330" s="20">
        <f>_xlfn.TEXTJOIN("-",TRUE,A814,B814,C814)</f>
        <v/>
      </c>
      <c r="G330" s="23" t="n"/>
      <c r="H330" s="23" t="n"/>
      <c r="I330" s="24" t="n"/>
      <c r="J330" s="19">
        <f>_xlfn.TEXTJOIN("-",TRUE,F330,G330,H330)</f>
        <v/>
      </c>
    </row>
    <row r="331" customFormat="1" s="19">
      <c r="A331" s="32" t="inlineStr">
        <is>
          <t>285/75R24.5</t>
        </is>
      </c>
      <c r="B331" s="32" t="inlineStr">
        <is>
          <t>16PR</t>
        </is>
      </c>
      <c r="C331" s="32" t="inlineStr">
        <is>
          <t>I-61S</t>
        </is>
      </c>
      <c r="D331" s="29" t="inlineStr">
        <is>
          <t>✔</t>
        </is>
      </c>
      <c r="E331" s="28">
        <f>_xlfn.TEXTJOIN("-",TRUE,A331,B331,C331)</f>
        <v/>
      </c>
      <c r="F331" s="20">
        <f>_xlfn.TEXTJOIN("-",TRUE,A815,B815,C815)</f>
        <v/>
      </c>
      <c r="G331" s="23" t="n"/>
      <c r="H331" s="23" t="n"/>
      <c r="I331" s="24" t="n"/>
      <c r="J331" s="19">
        <f>_xlfn.TEXTJOIN("-",TRUE,F331,G331,H331)</f>
        <v/>
      </c>
    </row>
    <row r="332" customFormat="1" s="19">
      <c r="A332" s="32" t="inlineStr">
        <is>
          <t>285/75R24.5</t>
        </is>
      </c>
      <c r="B332" s="32" t="inlineStr">
        <is>
          <t>14PR</t>
        </is>
      </c>
      <c r="C332" s="32" t="inlineStr">
        <is>
          <t>I-48T</t>
        </is>
      </c>
      <c r="D332" s="29" t="inlineStr">
        <is>
          <t>✔</t>
        </is>
      </c>
      <c r="E332" s="28">
        <f>_xlfn.TEXTJOIN("-",TRUE,A332,B332,C332)</f>
        <v/>
      </c>
      <c r="F332" s="20">
        <f>_xlfn.TEXTJOIN("-",TRUE,A816,B816,C816)</f>
        <v/>
      </c>
      <c r="G332" s="23" t="n"/>
      <c r="H332" s="23" t="n"/>
      <c r="I332" s="24" t="n"/>
      <c r="J332" s="19">
        <f>_xlfn.TEXTJOIN("-",TRUE,F332,G332,H332)</f>
        <v/>
      </c>
    </row>
    <row r="333" customFormat="1" s="19">
      <c r="A333" s="32" t="inlineStr">
        <is>
          <t>285/75R24.5</t>
        </is>
      </c>
      <c r="B333" s="32" t="inlineStr">
        <is>
          <t>14PR</t>
        </is>
      </c>
      <c r="C333" s="32" t="inlineStr">
        <is>
          <t>I-19A</t>
        </is>
      </c>
      <c r="D333" s="29" t="inlineStr">
        <is>
          <t>✔</t>
        </is>
      </c>
      <c r="E333" s="28">
        <f>_xlfn.TEXTJOIN("-",TRUE,A333,B333,C333)</f>
        <v/>
      </c>
      <c r="F333" s="20">
        <f>_xlfn.TEXTJOIN("-",TRUE,A817,B817,C817)</f>
        <v/>
      </c>
      <c r="G333" s="23" t="n"/>
      <c r="H333" s="23" t="n"/>
      <c r="I333" s="24" t="n"/>
      <c r="J333" s="19">
        <f>_xlfn.TEXTJOIN("-",TRUE,F333,G333,H333)</f>
        <v/>
      </c>
    </row>
    <row r="334" customFormat="1" s="19">
      <c r="A334" s="32" t="inlineStr">
        <is>
          <t>285/75R24.5</t>
        </is>
      </c>
      <c r="B334" s="32" t="inlineStr">
        <is>
          <t>16PR</t>
        </is>
      </c>
      <c r="C334" s="32" t="inlineStr">
        <is>
          <t>I-52A</t>
        </is>
      </c>
      <c r="D334" s="29" t="inlineStr">
        <is>
          <t>✔</t>
        </is>
      </c>
      <c r="E334" s="28">
        <f>_xlfn.TEXTJOIN("-",TRUE,A334,B334,C334)</f>
        <v/>
      </c>
      <c r="F334" s="20">
        <f>_xlfn.TEXTJOIN("-",TRUE,A818,B818,C818)</f>
        <v/>
      </c>
      <c r="G334" s="23" t="n"/>
      <c r="H334" s="23" t="n"/>
      <c r="I334" s="24" t="n"/>
      <c r="J334" s="19">
        <f>_xlfn.TEXTJOIN("-",TRUE,F334,G334,H334)</f>
        <v/>
      </c>
    </row>
    <row r="335" customFormat="1" s="19">
      <c r="A335" s="32" t="inlineStr">
        <is>
          <t>285/75R24.5</t>
        </is>
      </c>
      <c r="B335" s="32" t="inlineStr">
        <is>
          <t>14PR</t>
        </is>
      </c>
      <c r="C335" s="32" t="inlineStr">
        <is>
          <t>I-28D</t>
        </is>
      </c>
      <c r="D335" s="29" t="inlineStr">
        <is>
          <t>✔</t>
        </is>
      </c>
      <c r="E335" s="28">
        <f>_xlfn.TEXTJOIN("-",TRUE,A335,B335,C335)</f>
        <v/>
      </c>
      <c r="F335" s="20">
        <f>_xlfn.TEXTJOIN("-",TRUE,A819,B819,C819)</f>
        <v/>
      </c>
      <c r="G335" s="23" t="n"/>
      <c r="H335" s="23" t="n"/>
      <c r="I335" s="24" t="n"/>
      <c r="J335" s="19">
        <f>_xlfn.TEXTJOIN("-",TRUE,F335,G335,H335)</f>
        <v/>
      </c>
    </row>
    <row r="336" customFormat="1" s="19">
      <c r="A336" s="32" t="inlineStr">
        <is>
          <t>285/75R24.5</t>
        </is>
      </c>
      <c r="B336" s="32" t="inlineStr">
        <is>
          <t>14PR</t>
        </is>
      </c>
      <c r="C336" s="32" t="inlineStr">
        <is>
          <t>I-37D</t>
        </is>
      </c>
      <c r="D336" s="29" t="inlineStr">
        <is>
          <t>✔</t>
        </is>
      </c>
      <c r="E336" s="28">
        <f>_xlfn.TEXTJOIN("-",TRUE,A336,B336,C336)</f>
        <v/>
      </c>
      <c r="F336" s="20">
        <f>_xlfn.TEXTJOIN("-",TRUE,A820,B820,C820)</f>
        <v/>
      </c>
      <c r="G336" s="23" t="n"/>
      <c r="H336" s="23" t="n"/>
      <c r="I336" s="24" t="n"/>
      <c r="J336" s="19">
        <f>_xlfn.TEXTJOIN("-",TRUE,F336,G336,H336)</f>
        <v/>
      </c>
    </row>
    <row r="337" customFormat="1" s="19">
      <c r="A337" s="32" t="inlineStr">
        <is>
          <t>285/75R24.5</t>
        </is>
      </c>
      <c r="B337" s="32" t="inlineStr">
        <is>
          <t>16PR</t>
        </is>
      </c>
      <c r="C337" s="32" t="inlineStr">
        <is>
          <t>VD998</t>
        </is>
      </c>
      <c r="D337" s="29" t="inlineStr">
        <is>
          <t>✔</t>
        </is>
      </c>
      <c r="E337" s="28">
        <f>_xlfn.TEXTJOIN("-",TRUE,A337,B337,C337)</f>
        <v/>
      </c>
      <c r="F337" s="20">
        <f>_xlfn.TEXTJOIN("-",TRUE,A821,B821,C821)</f>
        <v/>
      </c>
      <c r="G337" s="23" t="n"/>
      <c r="H337" s="23" t="n"/>
      <c r="I337" s="24" t="n"/>
      <c r="J337" s="19">
        <f>_xlfn.TEXTJOIN("-",TRUE,F337,G337,H337)</f>
        <v/>
      </c>
    </row>
    <row r="338" customFormat="1" s="19">
      <c r="A338" s="32" t="inlineStr">
        <is>
          <t>285/75R24.5</t>
        </is>
      </c>
      <c r="B338" s="32" t="inlineStr">
        <is>
          <t>14PR</t>
        </is>
      </c>
      <c r="C338" s="32" t="inlineStr">
        <is>
          <t>AZ599</t>
        </is>
      </c>
      <c r="D338" s="29" t="inlineStr">
        <is>
          <t>✔</t>
        </is>
      </c>
      <c r="E338" s="28">
        <f>_xlfn.TEXTJOIN("-",TRUE,A338,B338,C338)</f>
        <v/>
      </c>
      <c r="F338" s="20">
        <f>_xlfn.TEXTJOIN("-",TRUE,A822,B822,C822)</f>
        <v/>
      </c>
      <c r="G338" s="23" t="n"/>
      <c r="H338" s="23" t="n"/>
      <c r="I338" s="24" t="n"/>
      <c r="J338" s="19">
        <f>_xlfn.TEXTJOIN("-",TRUE,F338,G338,H338)</f>
        <v/>
      </c>
    </row>
    <row r="339" customFormat="1" s="19">
      <c r="A339" s="32" t="inlineStr">
        <is>
          <t>285/75R24.5</t>
        </is>
      </c>
      <c r="B339" s="32" t="inlineStr">
        <is>
          <t>14PR</t>
        </is>
      </c>
      <c r="C339" s="32" t="inlineStr">
        <is>
          <t>HF1 Plus</t>
        </is>
      </c>
      <c r="D339" s="29" t="inlineStr">
        <is>
          <t>✔</t>
        </is>
      </c>
      <c r="E339" s="28">
        <f>_xlfn.TEXTJOIN("-",TRUE,A339,B339,C339)</f>
        <v/>
      </c>
      <c r="F339" s="20">
        <f>_xlfn.TEXTJOIN("-",TRUE,A823,B823,C823)</f>
        <v/>
      </c>
      <c r="G339" s="23" t="n"/>
      <c r="H339" s="23" t="n"/>
      <c r="I339" s="24" t="n"/>
      <c r="J339" s="19">
        <f>_xlfn.TEXTJOIN("-",TRUE,F339,G339,H339)</f>
        <v/>
      </c>
    </row>
    <row r="340" customFormat="1" s="19">
      <c r="A340" s="32" t="inlineStr">
        <is>
          <t>285/75R24.5</t>
        </is>
      </c>
      <c r="B340" s="32" t="inlineStr">
        <is>
          <t>16PR</t>
        </is>
      </c>
      <c r="C340" s="32" t="inlineStr">
        <is>
          <t>AZ599</t>
        </is>
      </c>
      <c r="D340" s="29" t="inlineStr">
        <is>
          <t>✔</t>
        </is>
      </c>
      <c r="E340" s="28">
        <f>_xlfn.TEXTJOIN("-",TRUE,A340,B340,C340)</f>
        <v/>
      </c>
      <c r="F340" s="20">
        <f>_xlfn.TEXTJOIN("-",TRUE,A824,B824,C824)</f>
        <v/>
      </c>
      <c r="G340" s="23" t="n"/>
      <c r="H340" s="23" t="n"/>
      <c r="I340" s="24" t="n"/>
      <c r="J340" s="19">
        <f>_xlfn.TEXTJOIN("-",TRUE,F340,G340,H340)</f>
        <v/>
      </c>
    </row>
    <row r="341" customFormat="1" s="19">
      <c r="A341" s="32" t="inlineStr">
        <is>
          <t>285/75R24.5</t>
        </is>
      </c>
      <c r="B341" s="32" t="inlineStr">
        <is>
          <t>16PR</t>
        </is>
      </c>
      <c r="C341" s="32" t="inlineStr">
        <is>
          <t>HF1 Plus</t>
        </is>
      </c>
      <c r="D341" s="29" t="inlineStr">
        <is>
          <t>✔</t>
        </is>
      </c>
      <c r="E341" s="28">
        <f>_xlfn.TEXTJOIN("-",TRUE,A341,B341,C341)</f>
        <v/>
      </c>
      <c r="F341" s="20">
        <f>_xlfn.TEXTJOIN("-",TRUE,A825,B825,C825)</f>
        <v/>
      </c>
      <c r="G341" s="23" t="n"/>
      <c r="H341" s="23" t="n"/>
      <c r="I341" s="24" t="n"/>
      <c r="J341" s="19">
        <f>_xlfn.TEXTJOIN("-",TRUE,F341,G341,H341)</f>
        <v/>
      </c>
    </row>
    <row r="342" customFormat="1" s="19">
      <c r="A342" s="32" t="inlineStr">
        <is>
          <t>285/75R24.5</t>
        </is>
      </c>
      <c r="B342" s="32" t="inlineStr">
        <is>
          <t>16PR</t>
        </is>
      </c>
      <c r="C342" s="32" t="inlineStr">
        <is>
          <t>HD1 Plus</t>
        </is>
      </c>
      <c r="D342" s="29" t="inlineStr">
        <is>
          <t>✔</t>
        </is>
      </c>
      <c r="E342" s="28">
        <f>_xlfn.TEXTJOIN("-",TRUE,A342,B342,C342)</f>
        <v/>
      </c>
      <c r="F342" s="20">
        <f>_xlfn.TEXTJOIN("-",TRUE,A826,B826,C826)</f>
        <v/>
      </c>
      <c r="G342" s="23" t="n"/>
      <c r="H342" s="23" t="n"/>
      <c r="I342" s="24" t="n"/>
      <c r="J342" s="19">
        <f>_xlfn.TEXTJOIN("-",TRUE,F342,G342,H342)</f>
        <v/>
      </c>
    </row>
    <row r="343" customFormat="1" s="19">
      <c r="A343" s="32" t="inlineStr">
        <is>
          <t>285/75R24.5</t>
        </is>
      </c>
      <c r="B343" s="32" t="inlineStr">
        <is>
          <t>14PR</t>
        </is>
      </c>
      <c r="C343" s="32" t="inlineStr">
        <is>
          <t>HD1 Plus</t>
        </is>
      </c>
      <c r="D343" s="29" t="inlineStr">
        <is>
          <t>✔</t>
        </is>
      </c>
      <c r="E343" s="28">
        <f>_xlfn.TEXTJOIN("-",TRUE,A343,B343,C343)</f>
        <v/>
      </c>
      <c r="F343" s="20">
        <f>_xlfn.TEXTJOIN("-",TRUE,A827,B827,C827)</f>
        <v/>
      </c>
      <c r="G343" s="23" t="n"/>
      <c r="H343" s="23" t="n"/>
      <c r="I343" s="24" t="n"/>
      <c r="J343" s="19">
        <f>_xlfn.TEXTJOIN("-",TRUE,F343,G343,H343)</f>
        <v/>
      </c>
    </row>
    <row r="344" customFormat="1" s="19">
      <c r="A344" s="32" t="inlineStr">
        <is>
          <t>285/75R24.5</t>
        </is>
      </c>
      <c r="B344" s="32" t="inlineStr">
        <is>
          <t>16PR</t>
        </is>
      </c>
      <c r="C344" s="32" t="inlineStr">
        <is>
          <t>AD716</t>
        </is>
      </c>
      <c r="D344" s="29" t="inlineStr">
        <is>
          <t>✔</t>
        </is>
      </c>
      <c r="E344" s="28">
        <f>_xlfn.TEXTJOIN("-",TRUE,A344,B344,C344)</f>
        <v/>
      </c>
      <c r="F344" s="20">
        <f>_xlfn.TEXTJOIN("-",TRUE,A828,B828,C828)</f>
        <v/>
      </c>
      <c r="G344" s="23" t="n"/>
      <c r="H344" s="23" t="n"/>
      <c r="I344" s="24" t="n"/>
      <c r="J344" s="19">
        <f>_xlfn.TEXTJOIN("-",TRUE,F344,G344,H344)</f>
        <v/>
      </c>
    </row>
    <row r="345" customFormat="1" s="19">
      <c r="A345" s="32" t="inlineStr">
        <is>
          <t>285/75R24.5</t>
        </is>
      </c>
      <c r="B345" s="32" t="inlineStr">
        <is>
          <t>16PR</t>
        </is>
      </c>
      <c r="C345" s="32" t="inlineStr">
        <is>
          <t>CM996</t>
        </is>
      </c>
      <c r="D345" s="29" t="inlineStr">
        <is>
          <t>✔</t>
        </is>
      </c>
      <c r="E345" s="28">
        <f>_xlfn.TEXTJOIN("-",TRUE,A345,B345,C345)</f>
        <v/>
      </c>
      <c r="F345" s="20">
        <f>_xlfn.TEXTJOIN("-",TRUE,A829,B829,C829)</f>
        <v/>
      </c>
      <c r="G345" s="23" t="n"/>
      <c r="H345" s="23" t="n"/>
      <c r="I345" s="24" t="n"/>
      <c r="J345" s="19">
        <f>_xlfn.TEXTJOIN("-",TRUE,F345,G345,H345)</f>
        <v/>
      </c>
    </row>
    <row r="346" customFormat="1" s="19">
      <c r="A346" s="32" t="inlineStr">
        <is>
          <t>285/75R24.5</t>
        </is>
      </c>
      <c r="B346" s="32" t="inlineStr">
        <is>
          <t>16PR</t>
        </is>
      </c>
      <c r="C346" s="32" t="inlineStr">
        <is>
          <t>AD757</t>
        </is>
      </c>
      <c r="D346" s="29" t="inlineStr">
        <is>
          <t>✔</t>
        </is>
      </c>
      <c r="E346" s="28">
        <f>_xlfn.TEXTJOIN("-",TRUE,A346,B346,C346)</f>
        <v/>
      </c>
      <c r="F346" s="20">
        <f>_xlfn.TEXTJOIN("-",TRUE,A830,B830,C830)</f>
        <v/>
      </c>
      <c r="G346" s="23" t="n"/>
      <c r="H346" s="23" t="n"/>
      <c r="I346" s="24" t="n"/>
      <c r="J346" s="19">
        <f>_xlfn.TEXTJOIN("-",TRUE,F346,G346,H346)</f>
        <v/>
      </c>
    </row>
    <row r="347" customFormat="1" s="19">
      <c r="A347" s="32" t="inlineStr">
        <is>
          <t>285/75R24.5</t>
        </is>
      </c>
      <c r="B347" s="32" t="inlineStr">
        <is>
          <t>16PR</t>
        </is>
      </c>
      <c r="C347" s="32" t="inlineStr">
        <is>
          <t>RLINE-D1</t>
        </is>
      </c>
      <c r="D347" s="29" t="inlineStr">
        <is>
          <t>✔</t>
        </is>
      </c>
      <c r="E347" s="28">
        <f>_xlfn.TEXTJOIN("-",TRUE,A347,B347,C347)</f>
        <v/>
      </c>
      <c r="F347" s="20">
        <f>_xlfn.TEXTJOIN("-",TRUE,A831,B831,C831)</f>
        <v/>
      </c>
      <c r="G347" s="23" t="n"/>
      <c r="H347" s="23" t="n"/>
      <c r="I347" s="24" t="n"/>
      <c r="J347" s="19">
        <f>_xlfn.TEXTJOIN("-",TRUE,F347,G347,H347)</f>
        <v/>
      </c>
    </row>
    <row r="348" customFormat="1" s="19">
      <c r="A348" s="32" t="inlineStr">
        <is>
          <t>285/75R24.5</t>
        </is>
      </c>
      <c r="B348" s="32" t="inlineStr">
        <is>
          <t>14PR</t>
        </is>
      </c>
      <c r="C348" s="32" t="inlineStr">
        <is>
          <t>AS673</t>
        </is>
      </c>
      <c r="D348" s="29" t="inlineStr">
        <is>
          <t>✔</t>
        </is>
      </c>
      <c r="E348" s="28">
        <f>_xlfn.TEXTJOIN("-",TRUE,A348,B348,C348)</f>
        <v/>
      </c>
      <c r="F348" s="20">
        <f>_xlfn.TEXTJOIN("-",TRUE,A832,B832,C832)</f>
        <v/>
      </c>
      <c r="G348" s="23" t="n"/>
      <c r="H348" s="23" t="n"/>
      <c r="I348" s="24" t="n"/>
      <c r="J348" s="19">
        <f>_xlfn.TEXTJOIN("-",TRUE,F348,G348,H348)</f>
        <v/>
      </c>
    </row>
    <row r="349" customFormat="1" s="19">
      <c r="A349" s="32" t="inlineStr">
        <is>
          <t>285/75R24.5</t>
        </is>
      </c>
      <c r="B349" s="32" t="inlineStr">
        <is>
          <t>14PR</t>
        </is>
      </c>
      <c r="C349" s="32" t="inlineStr">
        <is>
          <t>H-RD</t>
        </is>
      </c>
      <c r="D349" s="29" t="inlineStr">
        <is>
          <t>✔</t>
        </is>
      </c>
      <c r="E349" s="28">
        <f>_xlfn.TEXTJOIN("-",TRUE,A349,B349,C349)</f>
        <v/>
      </c>
      <c r="F349" s="20">
        <f>_xlfn.TEXTJOIN("-",TRUE,A833,B833,C833)</f>
        <v/>
      </c>
      <c r="G349" s="23" t="n"/>
      <c r="H349" s="23" t="n"/>
      <c r="I349" s="24" t="n"/>
      <c r="J349" s="19">
        <f>_xlfn.TEXTJOIN("-",TRUE,F349,G349,H349)</f>
        <v/>
      </c>
    </row>
    <row r="350" customFormat="1" s="19">
      <c r="A350" s="32" t="inlineStr">
        <is>
          <t>295/75R22.5</t>
        </is>
      </c>
      <c r="B350" s="32" t="inlineStr">
        <is>
          <t>14PR</t>
        </is>
      </c>
      <c r="C350" s="32" t="inlineStr">
        <is>
          <t>AT552</t>
        </is>
      </c>
      <c r="D350" s="29" t="inlineStr">
        <is>
          <t>✔</t>
        </is>
      </c>
      <c r="E350" s="28">
        <f>_xlfn.TEXTJOIN("-",TRUE,A350,B350,C350)</f>
        <v/>
      </c>
      <c r="F350" s="20">
        <f>_xlfn.TEXTJOIN("-",TRUE,A834,B834,C834)</f>
        <v/>
      </c>
      <c r="G350" s="23" t="n"/>
      <c r="H350" s="23" t="n"/>
      <c r="I350" s="24" t="n"/>
      <c r="J350" s="19">
        <f>_xlfn.TEXTJOIN("-",TRUE,F350,G350,H350)</f>
        <v/>
      </c>
    </row>
    <row r="351" customFormat="1" s="19">
      <c r="A351" s="32" t="inlineStr">
        <is>
          <t>295/75R22.5</t>
        </is>
      </c>
      <c r="B351" s="32" t="inlineStr">
        <is>
          <t>14PR</t>
        </is>
      </c>
      <c r="C351" s="32" t="inlineStr">
        <is>
          <t>CR915</t>
        </is>
      </c>
      <c r="D351" s="29" t="inlineStr">
        <is>
          <t>✔</t>
        </is>
      </c>
      <c r="E351" s="28">
        <f>_xlfn.TEXTJOIN("-",TRUE,A351,B351,C351)</f>
        <v/>
      </c>
      <c r="F351" s="20">
        <f>_xlfn.TEXTJOIN("-",TRUE,A835,B835,C835)</f>
        <v/>
      </c>
      <c r="G351" s="23" t="n"/>
      <c r="H351" s="23" t="n"/>
      <c r="I351" s="24" t="n"/>
      <c r="J351" s="19">
        <f>_xlfn.TEXTJOIN("-",TRUE,F351,G351,H351)</f>
        <v/>
      </c>
    </row>
    <row r="352" customFormat="1" s="19">
      <c r="A352" s="32" t="inlineStr">
        <is>
          <t>295/75R22.5</t>
        </is>
      </c>
      <c r="B352" s="32" t="inlineStr">
        <is>
          <t>14PR</t>
        </is>
      </c>
      <c r="C352" s="32" t="inlineStr">
        <is>
          <t>AT563</t>
        </is>
      </c>
      <c r="D352" s="29" t="inlineStr">
        <is>
          <t>✔</t>
        </is>
      </c>
      <c r="E352" s="28">
        <f>_xlfn.TEXTJOIN("-",TRUE,A352,B352,C352)</f>
        <v/>
      </c>
      <c r="F352" s="20">
        <f>_xlfn.TEXTJOIN("-",TRUE,A836,B836,C836)</f>
        <v/>
      </c>
      <c r="G352" s="23" t="n"/>
      <c r="H352" s="23" t="n"/>
      <c r="I352" s="24" t="n"/>
      <c r="J352" s="19">
        <f>_xlfn.TEXTJOIN("-",TRUE,F352,G352,H352)</f>
        <v/>
      </c>
    </row>
    <row r="353" customFormat="1" s="19">
      <c r="A353" s="32" t="inlineStr">
        <is>
          <t>295/75R22.5</t>
        </is>
      </c>
      <c r="B353" s="32" t="inlineStr">
        <is>
          <t>14PR</t>
        </is>
      </c>
      <c r="C353" s="32" t="inlineStr">
        <is>
          <t>I-48T</t>
        </is>
      </c>
      <c r="D353" s="29" t="inlineStr">
        <is>
          <t>✔</t>
        </is>
      </c>
      <c r="E353" s="28">
        <f>_xlfn.TEXTJOIN("-",TRUE,A353,B353,C353)</f>
        <v/>
      </c>
      <c r="F353" s="20">
        <f>_xlfn.TEXTJOIN("-",TRUE,A837,B837,C837)</f>
        <v/>
      </c>
      <c r="G353" s="23" t="n"/>
      <c r="H353" s="23" t="n"/>
      <c r="I353" s="24" t="n"/>
      <c r="J353" s="19">
        <f>_xlfn.TEXTJOIN("-",TRUE,F353,G353,H353)</f>
        <v/>
      </c>
    </row>
    <row r="354" customFormat="1" s="19">
      <c r="A354" s="32" t="inlineStr">
        <is>
          <t>295/75R22.5</t>
        </is>
      </c>
      <c r="B354" s="32" t="inlineStr">
        <is>
          <t>14PR</t>
        </is>
      </c>
      <c r="C354" s="32" t="inlineStr">
        <is>
          <t>I-28D</t>
        </is>
      </c>
      <c r="D354" s="29" t="inlineStr">
        <is>
          <t>✔</t>
        </is>
      </c>
      <c r="E354" s="28">
        <f>_xlfn.TEXTJOIN("-",TRUE,A354,B354,C354)</f>
        <v/>
      </c>
      <c r="F354" s="20">
        <f>_xlfn.TEXTJOIN("-",TRUE,A838,B838,C838)</f>
        <v/>
      </c>
      <c r="G354" s="23" t="n"/>
      <c r="H354" s="23" t="n"/>
      <c r="I354" s="24" t="n"/>
      <c r="J354" s="19">
        <f>_xlfn.TEXTJOIN("-",TRUE,F354,G354,H354)</f>
        <v/>
      </c>
    </row>
    <row r="355" customFormat="1" s="19">
      <c r="A355" s="32" t="inlineStr">
        <is>
          <t>295/75R22.5</t>
        </is>
      </c>
      <c r="B355" s="32" t="inlineStr">
        <is>
          <t>16PR</t>
        </is>
      </c>
      <c r="C355" s="32" t="inlineStr">
        <is>
          <t>AD716</t>
        </is>
      </c>
      <c r="D355" s="29" t="inlineStr">
        <is>
          <t>✔</t>
        </is>
      </c>
      <c r="E355" s="28">
        <f>_xlfn.TEXTJOIN("-",TRUE,A355,B355,C355)</f>
        <v/>
      </c>
      <c r="F355" s="20">
        <f>_xlfn.TEXTJOIN("-",TRUE,A839,B839,C839)</f>
        <v/>
      </c>
      <c r="G355" s="23" t="n"/>
      <c r="H355" s="23" t="n"/>
      <c r="I355" s="24" t="n"/>
      <c r="J355" s="19">
        <f>_xlfn.TEXTJOIN("-",TRUE,F355,G355,H355)</f>
        <v/>
      </c>
    </row>
    <row r="356" customFormat="1" s="19">
      <c r="A356" s="32" t="inlineStr">
        <is>
          <t>295/75R22.5</t>
        </is>
      </c>
      <c r="B356" s="32" t="inlineStr">
        <is>
          <t>16PR</t>
        </is>
      </c>
      <c r="C356" s="32" t="inlineStr">
        <is>
          <t>HD1 Plus</t>
        </is>
      </c>
      <c r="D356" s="29" t="inlineStr">
        <is>
          <t>✔</t>
        </is>
      </c>
      <c r="E356" s="28">
        <f>_xlfn.TEXTJOIN("-",TRUE,A356,B356,C356)</f>
        <v/>
      </c>
      <c r="F356" s="20">
        <f>_xlfn.TEXTJOIN("-",TRUE,A840,B840,C840)</f>
        <v/>
      </c>
      <c r="G356" s="23" t="n"/>
      <c r="H356" s="23" t="n"/>
      <c r="I356" s="24" t="n"/>
      <c r="J356" s="19">
        <f>_xlfn.TEXTJOIN("-",TRUE,F356,G356,H356)</f>
        <v/>
      </c>
    </row>
    <row r="357" customFormat="1" s="19">
      <c r="A357" s="32" t="inlineStr">
        <is>
          <t>295/75R22.5</t>
        </is>
      </c>
      <c r="B357" s="32" t="inlineStr">
        <is>
          <t>14PR</t>
        </is>
      </c>
      <c r="C357" s="32" t="inlineStr">
        <is>
          <t>AD716</t>
        </is>
      </c>
      <c r="D357" s="29" t="inlineStr">
        <is>
          <t>✔</t>
        </is>
      </c>
      <c r="E357" s="28">
        <f>_xlfn.TEXTJOIN("-",TRUE,A357,B357,C357)</f>
        <v/>
      </c>
      <c r="F357" s="20">
        <f>_xlfn.TEXTJOIN("-",TRUE,A841,B841,C841)</f>
        <v/>
      </c>
      <c r="G357" s="23" t="n"/>
      <c r="H357" s="23" t="n"/>
      <c r="I357" s="24" t="n"/>
      <c r="J357" s="19">
        <f>_xlfn.TEXTJOIN("-",TRUE,F357,G357,H357)</f>
        <v/>
      </c>
    </row>
    <row r="358" customFormat="1" s="19">
      <c r="A358" s="32" t="inlineStr">
        <is>
          <t>295/75R22.5</t>
        </is>
      </c>
      <c r="B358" s="32" t="inlineStr">
        <is>
          <t>14PR</t>
        </is>
      </c>
      <c r="C358" s="32" t="inlineStr">
        <is>
          <t>HD1 Plus</t>
        </is>
      </c>
      <c r="D358" s="29" t="inlineStr">
        <is>
          <t>✔</t>
        </is>
      </c>
      <c r="E358" s="28">
        <f>_xlfn.TEXTJOIN("-",TRUE,A358,B358,C358)</f>
        <v/>
      </c>
      <c r="F358" s="20">
        <f>_xlfn.TEXTJOIN("-",TRUE,A842,B842,C842)</f>
        <v/>
      </c>
      <c r="G358" s="23" t="n"/>
      <c r="H358" s="23" t="n"/>
      <c r="I358" s="24" t="n"/>
      <c r="J358" s="19">
        <f>_xlfn.TEXTJOIN("-",TRUE,F358,G358,H358)</f>
        <v/>
      </c>
    </row>
    <row r="359" customFormat="1" s="19">
      <c r="A359" s="32" t="inlineStr">
        <is>
          <t>295/75R22.5</t>
        </is>
      </c>
      <c r="B359" s="32" t="inlineStr">
        <is>
          <t>14PR</t>
        </is>
      </c>
      <c r="C359" s="32" t="inlineStr">
        <is>
          <t>VA996</t>
        </is>
      </c>
      <c r="D359" s="29" t="inlineStr">
        <is>
          <t>✔</t>
        </is>
      </c>
      <c r="E359" s="28">
        <f>_xlfn.TEXTJOIN("-",TRUE,A359,B359,C359)</f>
        <v/>
      </c>
      <c r="F359" s="20">
        <f>_xlfn.TEXTJOIN("-",TRUE,A843,B843,C843)</f>
        <v/>
      </c>
      <c r="G359" s="23" t="n"/>
      <c r="H359" s="23" t="n"/>
      <c r="I359" s="24" t="n"/>
      <c r="J359" s="19">
        <f>_xlfn.TEXTJOIN("-",TRUE,F359,G359,H359)</f>
        <v/>
      </c>
    </row>
    <row r="360" customFormat="1" s="19">
      <c r="A360" s="32" t="inlineStr">
        <is>
          <t>295/75R22.5</t>
        </is>
      </c>
      <c r="B360" s="32" t="inlineStr">
        <is>
          <t>14PR</t>
        </is>
      </c>
      <c r="C360" s="32" t="inlineStr">
        <is>
          <t>SL11</t>
        </is>
      </c>
      <c r="D360" s="29" t="inlineStr">
        <is>
          <t>✔</t>
        </is>
      </c>
      <c r="E360" s="28">
        <f>_xlfn.TEXTJOIN("-",TRUE,A360,B360,C360)</f>
        <v/>
      </c>
      <c r="F360" s="20">
        <f>_xlfn.TEXTJOIN("-",TRUE,A844,B844,C844)</f>
        <v/>
      </c>
      <c r="G360" s="23" t="n"/>
      <c r="H360" s="23" t="n"/>
      <c r="I360" s="24" t="n"/>
      <c r="J360" s="19">
        <f>_xlfn.TEXTJOIN("-",TRUE,F360,G360,H360)</f>
        <v/>
      </c>
    </row>
    <row r="361" customFormat="1" s="19">
      <c r="A361" s="32" t="inlineStr">
        <is>
          <t>295/75R22.5</t>
        </is>
      </c>
      <c r="B361" s="32" t="inlineStr">
        <is>
          <t>14PR</t>
        </is>
      </c>
      <c r="C361" s="32" t="inlineStr">
        <is>
          <t>VT993</t>
        </is>
      </c>
      <c r="D361" s="29" t="inlineStr">
        <is>
          <t>✔</t>
        </is>
      </c>
      <c r="E361" s="28">
        <f>_xlfn.TEXTJOIN("-",TRUE,A361,B361,C361)</f>
        <v/>
      </c>
      <c r="F361" s="20" t="n"/>
      <c r="G361" s="23" t="n"/>
      <c r="H361" s="23" t="n"/>
      <c r="I361" s="24" t="n"/>
      <c r="J361" s="19">
        <f>_xlfn.TEXTJOIN("-",TRUE,F361,G361,H361)</f>
        <v/>
      </c>
    </row>
    <row r="362" customFormat="1" s="19">
      <c r="A362" s="32" t="inlineStr">
        <is>
          <t>295/75R22.5</t>
        </is>
      </c>
      <c r="B362" s="32" t="inlineStr">
        <is>
          <t>14PR</t>
        </is>
      </c>
      <c r="C362" s="32" t="inlineStr">
        <is>
          <t>AS200</t>
        </is>
      </c>
      <c r="D362" s="29" t="inlineStr">
        <is>
          <t>✔</t>
        </is>
      </c>
      <c r="E362" s="28">
        <f>_xlfn.TEXTJOIN("-",TRUE,A362,B362,C362)</f>
        <v/>
      </c>
      <c r="F362" s="20">
        <f>_xlfn.TEXTJOIN("-",TRUE,A846,B846,C846)</f>
        <v/>
      </c>
      <c r="G362" s="23" t="n"/>
      <c r="H362" s="23" t="n"/>
      <c r="I362" s="24" t="n"/>
      <c r="J362" s="19">
        <f>_xlfn.TEXTJOIN("-",TRUE,F362,G362,H362)</f>
        <v/>
      </c>
    </row>
    <row r="363" customFormat="1" s="19">
      <c r="A363" s="32" t="inlineStr">
        <is>
          <t>295/75R22.5</t>
        </is>
      </c>
      <c r="B363" s="32" t="inlineStr">
        <is>
          <t>14PR</t>
        </is>
      </c>
      <c r="C363" s="32" t="inlineStr">
        <is>
          <t>CR915 eco</t>
        </is>
      </c>
      <c r="D363" s="29" t="inlineStr">
        <is>
          <t>✔</t>
        </is>
      </c>
      <c r="E363" s="28">
        <f>_xlfn.TEXTJOIN("-",TRUE,A363,B363,C363)</f>
        <v/>
      </c>
      <c r="F363" s="20">
        <f>_xlfn.TEXTJOIN("-",TRUE,A847,B847,C847)</f>
        <v/>
      </c>
      <c r="G363" s="23" t="n"/>
      <c r="H363" s="23" t="n"/>
      <c r="I363" s="24" t="n"/>
      <c r="J363" s="19">
        <f>_xlfn.TEXTJOIN("-",TRUE,F363,G363,H363)</f>
        <v/>
      </c>
    </row>
    <row r="364" customFormat="1" s="19">
      <c r="A364" s="32" t="inlineStr">
        <is>
          <t>295/75R22.5</t>
        </is>
      </c>
      <c r="B364" s="32" t="inlineStr">
        <is>
          <t>14PR</t>
        </is>
      </c>
      <c r="C364" s="32" t="inlineStr">
        <is>
          <t>TL31</t>
        </is>
      </c>
      <c r="D364" s="29" t="inlineStr">
        <is>
          <t>✔</t>
        </is>
      </c>
      <c r="E364" s="28">
        <f>_xlfn.TEXTJOIN("-",TRUE,A364,B364,C364)</f>
        <v/>
      </c>
      <c r="F364" s="20">
        <f>_xlfn.TEXTJOIN("-",TRUE,A848,B848,C848)</f>
        <v/>
      </c>
      <c r="G364" s="23" t="n"/>
      <c r="H364" s="23" t="n"/>
      <c r="I364" s="24" t="n"/>
      <c r="J364" s="19">
        <f>_xlfn.TEXTJOIN("-",TRUE,F364,G364,H364)</f>
        <v/>
      </c>
    </row>
    <row r="365" customFormat="1" s="19">
      <c r="A365" s="32" t="inlineStr">
        <is>
          <t>295/75R22.5</t>
        </is>
      </c>
      <c r="B365" s="32" t="inlineStr">
        <is>
          <t>14PR</t>
        </is>
      </c>
      <c r="C365" s="32" t="inlineStr">
        <is>
          <t>AZ599</t>
        </is>
      </c>
      <c r="D365" s="29" t="inlineStr">
        <is>
          <t>✔</t>
        </is>
      </c>
      <c r="E365" s="28">
        <f>_xlfn.TEXTJOIN("-",TRUE,A365,B365,C365)</f>
        <v/>
      </c>
      <c r="F365" s="20">
        <f>_xlfn.TEXTJOIN("-",TRUE,A849,B849,C849)</f>
        <v/>
      </c>
      <c r="G365" s="23" t="n"/>
      <c r="H365" s="23" t="n"/>
      <c r="I365" s="24" t="n"/>
      <c r="J365" s="19">
        <f>_xlfn.TEXTJOIN("-",TRUE,F365,G365,H365)</f>
        <v/>
      </c>
    </row>
    <row r="366" customFormat="1" s="19">
      <c r="A366" s="32" t="inlineStr">
        <is>
          <t>295/75R22.5</t>
        </is>
      </c>
      <c r="B366" s="32" t="inlineStr">
        <is>
          <t>14PR</t>
        </is>
      </c>
      <c r="C366" s="32" t="inlineStr">
        <is>
          <t>HF1 Plus</t>
        </is>
      </c>
      <c r="D366" s="29" t="inlineStr">
        <is>
          <t>✔</t>
        </is>
      </c>
      <c r="E366" s="28">
        <f>_xlfn.TEXTJOIN("-",TRUE,A366,B366,C366)</f>
        <v/>
      </c>
      <c r="F366" s="20">
        <f>_xlfn.TEXTJOIN("-",TRUE,A850,B850,C850)</f>
        <v/>
      </c>
      <c r="G366" s="23" t="n"/>
      <c r="H366" s="23" t="n"/>
      <c r="I366" s="24" t="n"/>
      <c r="J366" s="19">
        <f>_xlfn.TEXTJOIN("-",TRUE,F366,G366,H366)</f>
        <v/>
      </c>
    </row>
    <row r="367" customFormat="1" s="19">
      <c r="A367" s="32" t="inlineStr">
        <is>
          <t>295/75R22.5</t>
        </is>
      </c>
      <c r="B367" s="32" t="inlineStr">
        <is>
          <t>14PR</t>
        </is>
      </c>
      <c r="C367" s="62" t="inlineStr">
        <is>
          <t>M-TRAC AP</t>
        </is>
      </c>
      <c r="D367" s="29" t="inlineStr">
        <is>
          <t>✔</t>
        </is>
      </c>
      <c r="E367" s="28">
        <f>_xlfn.TEXTJOIN("-",TRUE,A367,B367,C367)</f>
        <v/>
      </c>
      <c r="F367" s="20">
        <f>_xlfn.TEXTJOIN("-",TRUE,A851,B851,C851)</f>
        <v/>
      </c>
      <c r="G367" s="23" t="n"/>
      <c r="H367" s="23" t="n"/>
      <c r="I367" s="24" t="n"/>
      <c r="J367" s="19">
        <f>_xlfn.TEXTJOIN("-",TRUE,F367,G367,H367)</f>
        <v/>
      </c>
    </row>
    <row r="368" customFormat="1" s="19">
      <c r="A368" s="32" t="inlineStr">
        <is>
          <t>295/75R22.5</t>
        </is>
      </c>
      <c r="B368" s="32" t="inlineStr">
        <is>
          <t>16PR</t>
        </is>
      </c>
      <c r="C368" s="32" t="inlineStr">
        <is>
          <t>AZ599</t>
        </is>
      </c>
      <c r="D368" s="29" t="inlineStr">
        <is>
          <t>✔</t>
        </is>
      </c>
      <c r="E368" s="28">
        <f>_xlfn.TEXTJOIN("-",TRUE,A368,B368,C368)</f>
        <v/>
      </c>
      <c r="F368" s="20">
        <f>_xlfn.TEXTJOIN("-",TRUE,A852,B852,C852)</f>
        <v/>
      </c>
      <c r="G368" s="23" t="n"/>
      <c r="H368" s="23" t="n"/>
      <c r="I368" s="24" t="n"/>
      <c r="J368" s="19">
        <f>_xlfn.TEXTJOIN("-",TRUE,F368,G368,H368)</f>
        <v/>
      </c>
    </row>
    <row r="369" customFormat="1" s="19">
      <c r="A369" s="32" t="inlineStr">
        <is>
          <t>295/75R22.5</t>
        </is>
      </c>
      <c r="B369" s="32" t="inlineStr">
        <is>
          <t>16PR</t>
        </is>
      </c>
      <c r="C369" s="32" t="inlineStr">
        <is>
          <t>HF1 Plus</t>
        </is>
      </c>
      <c r="D369" s="29" t="inlineStr">
        <is>
          <t>✔</t>
        </is>
      </c>
      <c r="E369" s="28">
        <f>_xlfn.TEXTJOIN("-",TRUE,A369,B369,C369)</f>
        <v/>
      </c>
      <c r="F369" s="20" t="n"/>
      <c r="G369" s="23" t="n"/>
      <c r="H369" s="23" t="n"/>
      <c r="I369" s="24" t="n"/>
      <c r="J369" s="19">
        <f>_xlfn.TEXTJOIN("-",TRUE,F369,G369,H369)</f>
        <v/>
      </c>
    </row>
    <row r="370" customFormat="1" s="19">
      <c r="A370" s="32" t="inlineStr">
        <is>
          <t>295/75R22.5</t>
        </is>
      </c>
      <c r="B370" s="32" t="inlineStr">
        <is>
          <t>16PR</t>
        </is>
      </c>
      <c r="C370" s="62" t="inlineStr">
        <is>
          <t>M-TRAC AP</t>
        </is>
      </c>
      <c r="D370" s="29" t="inlineStr">
        <is>
          <t>✔</t>
        </is>
      </c>
      <c r="E370" s="28">
        <f>_xlfn.TEXTJOIN("-",TRUE,A370,B370,C370)</f>
        <v/>
      </c>
      <c r="F370" s="20">
        <f>_xlfn.TEXTJOIN("-",TRUE,A854,B854,C854)</f>
        <v/>
      </c>
      <c r="G370" s="23" t="n"/>
      <c r="H370" s="23" t="n"/>
      <c r="I370" s="24" t="n"/>
      <c r="J370" s="19">
        <f>_xlfn.TEXTJOIN("-",TRUE,F370,G370,H370)</f>
        <v/>
      </c>
    </row>
    <row r="371" customFormat="1" s="19">
      <c r="A371" s="32" t="inlineStr">
        <is>
          <t>295/75R22.5</t>
        </is>
      </c>
      <c r="B371" s="32" t="inlineStr">
        <is>
          <t>14PR</t>
        </is>
      </c>
      <c r="C371" s="32" t="inlineStr">
        <is>
          <t>AS201</t>
        </is>
      </c>
      <c r="D371" s="29" t="inlineStr">
        <is>
          <t>✔</t>
        </is>
      </c>
      <c r="E371" s="28">
        <f>_xlfn.TEXTJOIN("-",TRUE,A371,B371,C371)</f>
        <v/>
      </c>
      <c r="F371" s="20">
        <f>_xlfn.TEXTJOIN("-",TRUE,A855,B855,C855)</f>
        <v/>
      </c>
      <c r="G371" s="23" t="n"/>
      <c r="H371" s="23" t="n"/>
      <c r="I371" s="24" t="n"/>
      <c r="J371" s="19">
        <f>_xlfn.TEXTJOIN("-",TRUE,F371,G371,H371)</f>
        <v/>
      </c>
    </row>
    <row r="372" customFormat="1" s="19">
      <c r="A372" s="32" t="inlineStr">
        <is>
          <t>295/75R22.5</t>
        </is>
      </c>
      <c r="B372" s="32" t="inlineStr">
        <is>
          <t>14PR</t>
        </is>
      </c>
      <c r="C372" s="32" t="inlineStr">
        <is>
          <t>AS678</t>
        </is>
      </c>
      <c r="D372" s="29" t="inlineStr">
        <is>
          <t>✔</t>
        </is>
      </c>
      <c r="E372" s="28">
        <f>_xlfn.TEXTJOIN("-",TRUE,A372,B372,C372)</f>
        <v/>
      </c>
      <c r="F372" s="20">
        <f>_xlfn.TEXTJOIN("-",TRUE,A856,B856,C856)</f>
        <v/>
      </c>
      <c r="G372" s="23" t="n"/>
      <c r="H372" s="23" t="n"/>
      <c r="I372" s="24" t="n"/>
      <c r="J372" s="19">
        <f>_xlfn.TEXTJOIN("-",TRUE,F372,G372,H372)</f>
        <v/>
      </c>
    </row>
    <row r="373" customFormat="1" s="19">
      <c r="A373" s="36" t="inlineStr">
        <is>
          <t>295/75R22.5</t>
        </is>
      </c>
      <c r="B373" s="36" t="inlineStr">
        <is>
          <t>14PR</t>
        </is>
      </c>
      <c r="C373" s="36" t="inlineStr">
        <is>
          <t>DL21</t>
        </is>
      </c>
      <c r="D373" s="48" t="inlineStr">
        <is>
          <t>✔</t>
        </is>
      </c>
      <c r="E373" s="28">
        <f>_xlfn.TEXTJOIN("-",TRUE,A373,B373,C373)</f>
        <v/>
      </c>
      <c r="F373" s="20">
        <f>_xlfn.TEXTJOIN("-",TRUE,A857,B857,C857)</f>
        <v/>
      </c>
      <c r="G373" s="23" t="n"/>
      <c r="H373" s="23" t="n"/>
      <c r="I373" s="24" t="n"/>
      <c r="J373" s="19">
        <f>_xlfn.TEXTJOIN("-",TRUE,F373,G373,H373)</f>
        <v/>
      </c>
    </row>
    <row r="374" customFormat="1" s="19">
      <c r="A374" s="32" t="inlineStr">
        <is>
          <t>295/75R22.5</t>
        </is>
      </c>
      <c r="B374" s="32" t="inlineStr">
        <is>
          <t>14PR</t>
        </is>
      </c>
      <c r="C374" s="32" t="inlineStr">
        <is>
          <t>DA25</t>
        </is>
      </c>
      <c r="D374" s="29" t="inlineStr">
        <is>
          <t>✔</t>
        </is>
      </c>
      <c r="E374" s="28">
        <f>_xlfn.TEXTJOIN("-",TRUE,A374,B374,C374)</f>
        <v/>
      </c>
      <c r="F374" s="20">
        <f>_xlfn.TEXTJOIN("-",TRUE,A858,B858,C858)</f>
        <v/>
      </c>
      <c r="G374" s="23" t="n"/>
      <c r="H374" s="23" t="n"/>
      <c r="I374" s="24" t="n"/>
      <c r="J374" s="19">
        <f>_xlfn.TEXTJOIN("-",TRUE,F374,G374,H374)</f>
        <v/>
      </c>
    </row>
    <row r="375" customFormat="1" s="19">
      <c r="A375" s="32" t="inlineStr">
        <is>
          <t>295/75R22.5</t>
        </is>
      </c>
      <c r="B375" s="32" t="inlineStr">
        <is>
          <t>14PR</t>
        </is>
      </c>
      <c r="C375" s="32" t="inlineStr">
        <is>
          <t>VXD932</t>
        </is>
      </c>
      <c r="D375" s="29" t="inlineStr">
        <is>
          <t>✔</t>
        </is>
      </c>
      <c r="E375" s="28">
        <f>_xlfn.TEXTJOIN("-",TRUE,A375,B375,C375)</f>
        <v/>
      </c>
      <c r="F375" s="20">
        <f>_xlfn.TEXTJOIN("-",TRUE,A858,B858,C858)</f>
        <v/>
      </c>
      <c r="G375" s="23" t="n"/>
      <c r="H375" s="23" t="n"/>
      <c r="I375" s="24" t="n"/>
      <c r="J375" s="19">
        <f>_xlfn.TEXTJOIN("-",TRUE,F375,G375,H375)</f>
        <v/>
      </c>
    </row>
    <row r="376" customFormat="1" s="19">
      <c r="A376" s="32" t="inlineStr">
        <is>
          <t>295/75R22.5</t>
        </is>
      </c>
      <c r="B376" s="32" t="inlineStr">
        <is>
          <t>16PR</t>
        </is>
      </c>
      <c r="C376" s="32" t="inlineStr">
        <is>
          <t>AD600</t>
        </is>
      </c>
      <c r="D376" s="29" t="inlineStr">
        <is>
          <t>✔</t>
        </is>
      </c>
      <c r="E376" s="28">
        <f>_xlfn.TEXTJOIN("-",TRUE,A376,B376,C376)</f>
        <v/>
      </c>
      <c r="F376" s="20">
        <f>_xlfn.TEXTJOIN("-",TRUE,A859,B859,C859)</f>
        <v/>
      </c>
      <c r="G376" s="23" t="n"/>
      <c r="H376" s="23" t="n"/>
      <c r="I376" s="24" t="n"/>
      <c r="J376" s="19">
        <f>_xlfn.TEXTJOIN("-",TRUE,F376,G376,H376)</f>
        <v/>
      </c>
    </row>
    <row r="377" customFormat="1" s="19">
      <c r="A377" s="32" t="inlineStr">
        <is>
          <t>295/75R22.5</t>
        </is>
      </c>
      <c r="B377" s="32" t="inlineStr">
        <is>
          <t>14PR</t>
        </is>
      </c>
      <c r="C377" s="32" t="inlineStr">
        <is>
          <t>ZA12</t>
        </is>
      </c>
      <c r="D377" s="29" t="inlineStr">
        <is>
          <t>✔</t>
        </is>
      </c>
      <c r="E377" s="28">
        <f>_xlfn.TEXTJOIN("-",TRUE,A377,B377,C377)</f>
        <v/>
      </c>
      <c r="F377" s="20">
        <f>_xlfn.TEXTJOIN("-",TRUE,A860,B860,C860)</f>
        <v/>
      </c>
      <c r="G377" s="23" t="n"/>
      <c r="H377" s="23" t="n"/>
      <c r="I377" s="24" t="n"/>
      <c r="J377" s="19">
        <f>_xlfn.TEXTJOIN("-",TRUE,F377,G377,H377)</f>
        <v/>
      </c>
    </row>
    <row r="378" customFormat="1" s="19">
      <c r="A378" s="32" t="inlineStr">
        <is>
          <t>295/75R22.5</t>
        </is>
      </c>
      <c r="B378" s="32" t="inlineStr">
        <is>
          <t>16PR</t>
        </is>
      </c>
      <c r="C378" s="32" t="inlineStr">
        <is>
          <t>VA996</t>
        </is>
      </c>
      <c r="D378" s="29" t="inlineStr">
        <is>
          <t>✔</t>
        </is>
      </c>
      <c r="E378" s="28">
        <f>_xlfn.TEXTJOIN("-",TRUE,A378,B378,C378)</f>
        <v/>
      </c>
      <c r="F378" s="20">
        <f>_xlfn.TEXTJOIN("-",TRUE,A861,B861,C861)</f>
        <v/>
      </c>
      <c r="G378" s="23" t="n"/>
      <c r="H378" s="23" t="n"/>
      <c r="I378" s="24" t="n"/>
      <c r="J378" s="19">
        <f>_xlfn.TEXTJOIN("-",TRUE,F378,G378,H378)</f>
        <v/>
      </c>
    </row>
    <row r="379" customFormat="1" s="19">
      <c r="A379" s="32" t="inlineStr">
        <is>
          <t>295/75R22.5</t>
        </is>
      </c>
      <c r="B379" s="32" t="inlineStr">
        <is>
          <t>14PR</t>
        </is>
      </c>
      <c r="C379" s="32" t="inlineStr">
        <is>
          <t>DL22</t>
        </is>
      </c>
      <c r="D379" s="29" t="inlineStr">
        <is>
          <t>✔</t>
        </is>
      </c>
      <c r="E379" s="28">
        <f>_xlfn.TEXTJOIN("-",TRUE,A379,B379,C379)</f>
        <v/>
      </c>
      <c r="F379" s="20">
        <f>_xlfn.TEXTJOIN("-",TRUE,A862,B862,C862)</f>
        <v/>
      </c>
      <c r="G379" s="23" t="n"/>
      <c r="H379" s="23" t="n"/>
      <c r="I379" s="24" t="n"/>
      <c r="J379" s="19">
        <f>_xlfn.TEXTJOIN("-",TRUE,F379,G379,H379)</f>
        <v/>
      </c>
    </row>
    <row r="380" customFormat="1" s="19">
      <c r="A380" s="32" t="inlineStr">
        <is>
          <t>295/75R22.5</t>
        </is>
      </c>
      <c r="B380" s="32" t="inlineStr">
        <is>
          <t>14PR</t>
        </is>
      </c>
      <c r="C380" s="32" t="inlineStr">
        <is>
          <t>DA23</t>
        </is>
      </c>
      <c r="D380" s="29" t="inlineStr">
        <is>
          <t>✔</t>
        </is>
      </c>
      <c r="E380" s="28">
        <f>_xlfn.TEXTJOIN("-",TRUE,A380,B380,C380)</f>
        <v/>
      </c>
      <c r="F380" s="20">
        <f>_xlfn.TEXTJOIN("-",TRUE,A863,B863,C863)</f>
        <v/>
      </c>
      <c r="G380" s="23" t="n"/>
      <c r="H380" s="23" t="n"/>
      <c r="I380" s="24" t="n"/>
      <c r="J380" s="19">
        <f>_xlfn.TEXTJOIN("-",TRUE,F380,G380,H380)</f>
        <v/>
      </c>
    </row>
    <row r="381" customFormat="1" s="19">
      <c r="A381" s="32" t="inlineStr">
        <is>
          <t>295/75R22.5</t>
        </is>
      </c>
      <c r="B381" s="32" t="inlineStr">
        <is>
          <t>16PR</t>
        </is>
      </c>
      <c r="C381" s="32" t="inlineStr">
        <is>
          <t>AS200</t>
        </is>
      </c>
      <c r="D381" s="29" t="inlineStr">
        <is>
          <t>✔</t>
        </is>
      </c>
      <c r="E381" s="28">
        <f>_xlfn.TEXTJOIN("-",TRUE,A381,B381,C381)</f>
        <v/>
      </c>
      <c r="F381" s="20">
        <f>_xlfn.TEXTJOIN("-",TRUE,A864,B864,C864)</f>
        <v/>
      </c>
      <c r="G381" s="23" t="n"/>
      <c r="H381" s="23" t="n"/>
      <c r="I381" s="24" t="n"/>
      <c r="J381" s="19">
        <f>_xlfn.TEXTJOIN("-",TRUE,F381,G381,H381)</f>
        <v/>
      </c>
    </row>
    <row r="382" customFormat="1" s="19">
      <c r="A382" s="32" t="inlineStr">
        <is>
          <t>295/75R22.5</t>
        </is>
      </c>
      <c r="B382" s="32" t="inlineStr">
        <is>
          <t>14PR</t>
        </is>
      </c>
      <c r="C382" s="32" t="inlineStr">
        <is>
          <t>PS221</t>
        </is>
      </c>
      <c r="D382" s="29" t="inlineStr">
        <is>
          <t>✔</t>
        </is>
      </c>
      <c r="E382" s="28">
        <f>_xlfn.TEXTJOIN("-",TRUE,A382,B382,C382)</f>
        <v/>
      </c>
      <c r="F382" s="20">
        <f>_xlfn.TEXTJOIN("-",TRUE,A865,B865,C865)</f>
        <v/>
      </c>
      <c r="G382" s="23" t="n"/>
      <c r="H382" s="23" t="n"/>
      <c r="I382" s="24" t="n"/>
      <c r="J382" s="19">
        <f>_xlfn.TEXTJOIN("-",TRUE,F382,G382,H382)</f>
        <v/>
      </c>
    </row>
    <row r="383" customFormat="1" s="19">
      <c r="A383" s="32" t="inlineStr">
        <is>
          <t>295/75R22.5</t>
        </is>
      </c>
      <c r="B383" s="32" t="inlineStr">
        <is>
          <t>14PR</t>
        </is>
      </c>
      <c r="C383" s="32" t="inlineStr">
        <is>
          <t>PS210</t>
        </is>
      </c>
      <c r="D383" s="29" t="inlineStr">
        <is>
          <t>✔</t>
        </is>
      </c>
      <c r="E383" s="28">
        <f>_xlfn.TEXTJOIN("-",TRUE,A383,B383,C383)</f>
        <v/>
      </c>
      <c r="F383" s="20">
        <f>_xlfn.TEXTJOIN("-",TRUE,A866,B866,C866)</f>
        <v/>
      </c>
      <c r="G383" s="23" t="n"/>
      <c r="H383" s="23" t="n"/>
      <c r="I383" s="24" t="n"/>
      <c r="J383" s="19">
        <f>_xlfn.TEXTJOIN("-",TRUE,F383,G383,H383)</f>
        <v/>
      </c>
    </row>
    <row r="384" customFormat="1" s="19">
      <c r="A384" s="32" t="inlineStr">
        <is>
          <t>295/75R22.5</t>
        </is>
      </c>
      <c r="B384" s="36" t="inlineStr">
        <is>
          <t>14PR</t>
        </is>
      </c>
      <c r="C384" s="32" t="inlineStr">
        <is>
          <t>PD211</t>
        </is>
      </c>
      <c r="D384" s="29" t="inlineStr">
        <is>
          <t>✔</t>
        </is>
      </c>
      <c r="E384" s="28">
        <f>_xlfn.TEXTJOIN("-",TRUE,A384,B384,C384)</f>
        <v/>
      </c>
      <c r="F384" s="20">
        <f>_xlfn.TEXTJOIN("-",TRUE,A867,B867,C867)</f>
        <v/>
      </c>
      <c r="G384" s="23" t="n"/>
      <c r="H384" s="23" t="n"/>
      <c r="I384" s="24" t="n"/>
      <c r="J384" s="19">
        <f>_xlfn.TEXTJOIN("-",TRUE,F384,G384,H384)</f>
        <v/>
      </c>
    </row>
    <row r="385" customFormat="1" s="19">
      <c r="A385" s="25" t="inlineStr">
        <is>
          <t>295/75R22.5</t>
        </is>
      </c>
      <c r="B385" s="32" t="inlineStr">
        <is>
          <t>16PR</t>
        </is>
      </c>
      <c r="C385" s="43" t="inlineStr">
        <is>
          <t>I-61S</t>
        </is>
      </c>
      <c r="D385" s="29" t="inlineStr">
        <is>
          <t>✔</t>
        </is>
      </c>
      <c r="E385" s="28">
        <f>_xlfn.TEXTJOIN("-",TRUE,A385,B385,C385)</f>
        <v/>
      </c>
      <c r="F385" s="20">
        <f>_xlfn.TEXTJOIN("-",TRUE,A868,B868,C868)</f>
        <v/>
      </c>
      <c r="G385" s="23" t="n"/>
      <c r="H385" s="23" t="n"/>
      <c r="I385" s="24" t="n"/>
      <c r="J385" s="19">
        <f>_xlfn.TEXTJOIN("-",TRUE,F385,G385,H385)</f>
        <v/>
      </c>
    </row>
    <row r="386" customFormat="1" s="19">
      <c r="A386" s="25" t="inlineStr">
        <is>
          <t>295/75R22.5</t>
        </is>
      </c>
      <c r="B386" s="36" t="inlineStr">
        <is>
          <t>14PR</t>
        </is>
      </c>
      <c r="C386" s="43" t="inlineStr">
        <is>
          <t>I-61S</t>
        </is>
      </c>
      <c r="D386" s="29" t="inlineStr">
        <is>
          <t>✔</t>
        </is>
      </c>
      <c r="E386" s="28">
        <f>_xlfn.TEXTJOIN("-",TRUE,A386,B386,C386)</f>
        <v/>
      </c>
      <c r="F386" s="20">
        <f>_xlfn.TEXTJOIN("-",TRUE,A869,B869,C869)</f>
        <v/>
      </c>
      <c r="G386" s="23" t="n"/>
      <c r="H386" s="23" t="n"/>
      <c r="I386" s="24" t="n"/>
      <c r="J386" s="19">
        <f>_xlfn.TEXTJOIN("-",TRUE,F386,G386,H386)</f>
        <v/>
      </c>
    </row>
    <row r="387" customFormat="1" s="19">
      <c r="A387" s="25" t="inlineStr">
        <is>
          <t>295/75R22.5</t>
        </is>
      </c>
      <c r="B387" s="32" t="inlineStr">
        <is>
          <t>16PR</t>
        </is>
      </c>
      <c r="C387" s="43" t="inlineStr">
        <is>
          <t>I-19A</t>
        </is>
      </c>
      <c r="D387" s="29" t="inlineStr">
        <is>
          <t>✔</t>
        </is>
      </c>
      <c r="E387" s="28">
        <f>_xlfn.TEXTJOIN("-",TRUE,A387,B387,C387)</f>
        <v/>
      </c>
      <c r="F387" s="20">
        <f>_xlfn.TEXTJOIN("-",TRUE,A870,B870,C870)</f>
        <v/>
      </c>
      <c r="G387" s="23" t="n"/>
      <c r="H387" s="23" t="n"/>
      <c r="I387" s="24" t="n"/>
      <c r="J387" s="19">
        <f>_xlfn.TEXTJOIN("-",TRUE,F387,G387,H387)</f>
        <v/>
      </c>
    </row>
    <row r="388" customFormat="1" s="19">
      <c r="A388" s="25" t="inlineStr">
        <is>
          <t>295/75R22.5</t>
        </is>
      </c>
      <c r="B388" s="36" t="inlineStr">
        <is>
          <t>14PR</t>
        </is>
      </c>
      <c r="C388" s="43" t="inlineStr">
        <is>
          <t>I-19A</t>
        </is>
      </c>
      <c r="D388" s="29" t="inlineStr">
        <is>
          <t>✔</t>
        </is>
      </c>
      <c r="E388" s="28">
        <f>_xlfn.TEXTJOIN("-",TRUE,A388,B388,C388)</f>
        <v/>
      </c>
      <c r="F388" s="20">
        <f>_xlfn.TEXTJOIN("-",TRUE,A871,B871,C871)</f>
        <v/>
      </c>
      <c r="G388" s="23" t="n"/>
      <c r="H388" s="23" t="n"/>
      <c r="I388" s="24" t="n"/>
      <c r="J388" s="19">
        <f>_xlfn.TEXTJOIN("-",TRUE,F388,G388,H388)</f>
        <v/>
      </c>
    </row>
    <row r="389" customFormat="1" s="19">
      <c r="A389" s="32" t="inlineStr">
        <is>
          <t>295/75R22.5</t>
        </is>
      </c>
      <c r="B389" s="32" t="inlineStr">
        <is>
          <t>14PR</t>
        </is>
      </c>
      <c r="C389" s="32" t="inlineStr">
        <is>
          <t>I-37D</t>
        </is>
      </c>
      <c r="D389" s="29" t="inlineStr">
        <is>
          <t>✔</t>
        </is>
      </c>
      <c r="E389" s="28">
        <f>_xlfn.TEXTJOIN("-",TRUE,A389,B389,C389)</f>
        <v/>
      </c>
      <c r="F389" s="20">
        <f>_xlfn.TEXTJOIN("-",TRUE,A872,B872,C872)</f>
        <v/>
      </c>
      <c r="G389" s="23" t="n"/>
      <c r="H389" s="23" t="n"/>
      <c r="I389" s="24" t="n"/>
      <c r="J389" s="19">
        <f>_xlfn.TEXTJOIN("-",TRUE,F389,G389,H389)</f>
        <v/>
      </c>
    </row>
    <row r="390" customFormat="1" s="19">
      <c r="A390" s="50" t="inlineStr">
        <is>
          <t>295/75R22.5</t>
        </is>
      </c>
      <c r="B390" s="32" t="inlineStr">
        <is>
          <t>14PR</t>
        </is>
      </c>
      <c r="C390" s="39" t="inlineStr">
        <is>
          <t>VD998</t>
        </is>
      </c>
      <c r="D390" s="29" t="inlineStr">
        <is>
          <t>✔</t>
        </is>
      </c>
      <c r="E390" s="28">
        <f>_xlfn.TEXTJOIN("-",TRUE,A390,B390,C390)</f>
        <v/>
      </c>
      <c r="F390" s="20">
        <f>_xlfn.TEXTJOIN("-",TRUE,A873,B873,C873)</f>
        <v/>
      </c>
      <c r="G390" s="23" t="n"/>
      <c r="H390" s="23" t="n"/>
      <c r="I390" s="24" t="n"/>
      <c r="J390" s="19">
        <f>_xlfn.TEXTJOIN("-",TRUE,F390,G390,H390)</f>
        <v/>
      </c>
    </row>
    <row r="391" customFormat="1" s="19">
      <c r="A391" s="50" t="inlineStr">
        <is>
          <t>295/75R22.5</t>
        </is>
      </c>
      <c r="B391" s="32" t="inlineStr">
        <is>
          <t>16PR</t>
        </is>
      </c>
      <c r="C391" s="39" t="inlineStr">
        <is>
          <t>AT115</t>
        </is>
      </c>
      <c r="D391" s="29" t="inlineStr">
        <is>
          <t>✔</t>
        </is>
      </c>
      <c r="E391" s="28">
        <f>_xlfn.TEXTJOIN("-",TRUE,A391,B391,C391)</f>
        <v/>
      </c>
      <c r="F391" s="20">
        <f>_xlfn.TEXTJOIN("-",TRUE,A874,B874,C874)</f>
        <v/>
      </c>
      <c r="G391" s="23" t="n"/>
      <c r="H391" s="23" t="n"/>
      <c r="I391" s="24" t="n"/>
      <c r="J391" s="19">
        <f>_xlfn.TEXTJOIN("-",TRUE,F391,G391,H391)</f>
        <v/>
      </c>
    </row>
    <row r="392" customFormat="1" s="19">
      <c r="A392" s="50" t="inlineStr">
        <is>
          <t>295/75R22.5</t>
        </is>
      </c>
      <c r="B392" s="32" t="inlineStr">
        <is>
          <t>16PR</t>
        </is>
      </c>
      <c r="C392" s="39" t="inlineStr">
        <is>
          <t>HT1 PlusX</t>
        </is>
      </c>
      <c r="D392" s="29" t="inlineStr">
        <is>
          <t>✔</t>
        </is>
      </c>
      <c r="E392" s="28">
        <f>_xlfn.TEXTJOIN("-",TRUE,A392,B392,C392)</f>
        <v/>
      </c>
      <c r="F392" s="20">
        <f>_xlfn.TEXTJOIN("-",TRUE,A875,B875,C875)</f>
        <v/>
      </c>
      <c r="G392" s="23" t="n"/>
      <c r="H392" s="23" t="n"/>
      <c r="I392" s="24" t="n"/>
      <c r="J392" s="19">
        <f>_xlfn.TEXTJOIN("-",TRUE,F392,G392,H392)</f>
        <v/>
      </c>
    </row>
    <row r="393" customFormat="1" s="19">
      <c r="A393" s="50" t="inlineStr">
        <is>
          <t>295/75R22.5</t>
        </is>
      </c>
      <c r="B393" s="32" t="inlineStr">
        <is>
          <t>16PR</t>
        </is>
      </c>
      <c r="C393" s="39" t="inlineStr">
        <is>
          <t>KOBE TPM</t>
        </is>
      </c>
      <c r="D393" s="29" t="inlineStr">
        <is>
          <t>✔</t>
        </is>
      </c>
      <c r="E393" s="28">
        <f>_xlfn.TEXTJOIN("-",TRUE,A393,B393,C393)</f>
        <v/>
      </c>
      <c r="F393" s="20">
        <f>_xlfn.TEXTJOIN("-",TRUE,A876,B876,C876)</f>
        <v/>
      </c>
      <c r="G393" s="23" t="n"/>
      <c r="H393" s="23" t="n"/>
      <c r="I393" s="24" t="n"/>
      <c r="J393" s="19">
        <f>_xlfn.TEXTJOIN("-",TRUE,F393,G393,H393)</f>
        <v/>
      </c>
    </row>
    <row r="394" customFormat="1" s="19">
      <c r="A394" s="50" t="inlineStr">
        <is>
          <t>295/75R22.5</t>
        </is>
      </c>
      <c r="B394" s="32" t="inlineStr">
        <is>
          <t>16PR</t>
        </is>
      </c>
      <c r="C394" s="39" t="inlineStr">
        <is>
          <t>KOBE APM</t>
        </is>
      </c>
      <c r="D394" s="29" t="inlineStr">
        <is>
          <t>✔</t>
        </is>
      </c>
      <c r="E394" s="28">
        <f>_xlfn.TEXTJOIN("-",TRUE,A394,B394,C394)</f>
        <v/>
      </c>
      <c r="F394" s="20">
        <f>_xlfn.TEXTJOIN("-",TRUE,A877,B877,C877)</f>
        <v/>
      </c>
      <c r="G394" s="23" t="n"/>
      <c r="H394" s="23" t="n"/>
      <c r="I394" s="24" t="n"/>
      <c r="J394" s="19">
        <f>_xlfn.TEXTJOIN("-",TRUE,F394,G394,H394)</f>
        <v/>
      </c>
    </row>
    <row r="395" customFormat="1" s="19">
      <c r="A395" s="50" t="n"/>
      <c r="B395" s="32" t="n"/>
      <c r="C395" s="39" t="n"/>
      <c r="D395" s="29" t="n"/>
      <c r="E395" s="28">
        <f>_xlfn.TEXTJOIN("-",TRUE,A395,B395,C395)</f>
        <v/>
      </c>
      <c r="F395" s="20">
        <f>_xlfn.TEXTJOIN("-",TRUE,A878,B878,C878)</f>
        <v/>
      </c>
      <c r="G395" s="23" t="n"/>
      <c r="H395" s="23" t="n"/>
      <c r="I395" s="24" t="n"/>
      <c r="J395" s="19">
        <f>_xlfn.TEXTJOIN("-",TRUE,F395,G395,H395)</f>
        <v/>
      </c>
    </row>
    <row r="396" customFormat="1" s="19">
      <c r="A396" s="50" t="inlineStr">
        <is>
          <t>295/75R22.5</t>
        </is>
      </c>
      <c r="B396" s="32" t="inlineStr">
        <is>
          <t>16PR</t>
        </is>
      </c>
      <c r="C396" s="39" t="inlineStr">
        <is>
          <t>VD998</t>
        </is>
      </c>
      <c r="D396" s="29" t="inlineStr">
        <is>
          <t>✔</t>
        </is>
      </c>
      <c r="E396" s="28">
        <f>_xlfn.TEXTJOIN("-",TRUE,A396,B396,C396)</f>
        <v/>
      </c>
      <c r="F396" s="20">
        <f>_xlfn.TEXTJOIN("-",TRUE,A879,B879,C879)</f>
        <v/>
      </c>
      <c r="G396" s="23" t="n"/>
      <c r="H396" s="23" t="n"/>
      <c r="I396" s="24" t="n"/>
      <c r="J396" s="19">
        <f>_xlfn.TEXTJOIN("-",TRUE,F396,G396,H396)</f>
        <v/>
      </c>
    </row>
    <row r="397" customFormat="1" s="19">
      <c r="A397" s="50" t="inlineStr">
        <is>
          <t>295/75R22.5</t>
        </is>
      </c>
      <c r="B397" s="32" t="inlineStr">
        <is>
          <t>16PR</t>
        </is>
      </c>
      <c r="C397" s="39" t="inlineStr">
        <is>
          <t>AT100</t>
        </is>
      </c>
      <c r="D397" s="29" t="inlineStr">
        <is>
          <t>✔</t>
        </is>
      </c>
      <c r="E397" s="28">
        <f>_xlfn.TEXTJOIN("-",TRUE,A397,B397,C397)</f>
        <v/>
      </c>
      <c r="F397" s="20">
        <f>_xlfn.TEXTJOIN("-",TRUE,A880,B880,C880)</f>
        <v/>
      </c>
      <c r="G397" s="23" t="n"/>
      <c r="H397" s="23" t="n"/>
      <c r="I397" s="24" t="n"/>
      <c r="J397" s="19">
        <f>_xlfn.TEXTJOIN("-",TRUE,F397,G397,H397)</f>
        <v/>
      </c>
    </row>
    <row r="398" customFormat="1" s="19">
      <c r="A398" s="50" t="inlineStr">
        <is>
          <t>295/75R22.5</t>
        </is>
      </c>
      <c r="B398" s="32" t="inlineStr">
        <is>
          <t>16PR</t>
        </is>
      </c>
      <c r="C398" s="39" t="inlineStr">
        <is>
          <t>PT101</t>
        </is>
      </c>
      <c r="D398" s="29" t="inlineStr">
        <is>
          <t>✔</t>
        </is>
      </c>
      <c r="E398" s="28">
        <f>_xlfn.TEXTJOIN("-",TRUE,A398,B398,C398)</f>
        <v/>
      </c>
      <c r="F398" s="20">
        <f>_xlfn.TEXTJOIN("-",TRUE,A881,B881,C881)</f>
        <v/>
      </c>
      <c r="G398" s="23" t="n"/>
      <c r="H398" s="23" t="n"/>
      <c r="I398" s="24" t="n"/>
      <c r="J398" s="19">
        <f>_xlfn.TEXTJOIN("-",TRUE,F398,G398,H398)</f>
        <v/>
      </c>
    </row>
    <row r="399" customFormat="1" s="19">
      <c r="A399" s="32" t="inlineStr">
        <is>
          <t>295/75R22.5</t>
        </is>
      </c>
      <c r="B399" s="32" t="inlineStr">
        <is>
          <t>16PR</t>
        </is>
      </c>
      <c r="C399" s="32" t="inlineStr">
        <is>
          <t>VT993</t>
        </is>
      </c>
      <c r="D399" s="29" t="inlineStr">
        <is>
          <t>✔</t>
        </is>
      </c>
      <c r="E399" s="28">
        <f>_xlfn.TEXTJOIN("-",TRUE,A399,B399,C399)</f>
        <v/>
      </c>
      <c r="F399" s="20">
        <f>_xlfn.TEXTJOIN("-",TRUE,A882,B882,C882)</f>
        <v/>
      </c>
      <c r="G399" s="23" t="n"/>
      <c r="H399" s="23" t="n"/>
      <c r="I399" s="24" t="n"/>
      <c r="J399" s="19">
        <f>_xlfn.TEXTJOIN("-",TRUE,F399,G399,H399)</f>
        <v/>
      </c>
    </row>
    <row r="400" customFormat="1" s="19">
      <c r="A400" s="32" t="inlineStr">
        <is>
          <t>295/75R22.5</t>
        </is>
      </c>
      <c r="B400" s="32" t="inlineStr">
        <is>
          <t>16PR</t>
        </is>
      </c>
      <c r="C400" s="32" t="inlineStr">
        <is>
          <t>AD196</t>
        </is>
      </c>
      <c r="D400" s="29" t="inlineStr">
        <is>
          <t>✔</t>
        </is>
      </c>
      <c r="E400" s="28">
        <f>_xlfn.TEXTJOIN("-",TRUE,A400,B400,C400)</f>
        <v/>
      </c>
      <c r="F400" s="20">
        <f>_xlfn.TEXTJOIN("-",TRUE,A883,B883,C883)</f>
        <v/>
      </c>
      <c r="G400" s="23" t="n"/>
      <c r="H400" s="23" t="n"/>
      <c r="I400" s="24" t="n"/>
      <c r="J400" s="19">
        <f>_xlfn.TEXTJOIN("-",TRUE,F400,G400,H400)</f>
        <v/>
      </c>
    </row>
    <row r="401" customFormat="1" s="19">
      <c r="A401" s="32" t="inlineStr">
        <is>
          <t>295/75R22.5</t>
        </is>
      </c>
      <c r="B401" s="32" t="inlineStr">
        <is>
          <t>16PR</t>
        </is>
      </c>
      <c r="C401" s="32" t="inlineStr">
        <is>
          <t>KOBE DPM</t>
        </is>
      </c>
      <c r="D401" s="29" t="inlineStr">
        <is>
          <t>✔</t>
        </is>
      </c>
      <c r="E401" s="28">
        <f>_xlfn.TEXTJOIN("-",TRUE,A401,B401,C401)</f>
        <v/>
      </c>
      <c r="F401" s="20">
        <f>_xlfn.TEXTJOIN("-",TRUE,A884,B884,C884)</f>
        <v/>
      </c>
      <c r="G401" s="23" t="n"/>
      <c r="H401" s="23" t="n"/>
      <c r="I401" s="24" t="n"/>
      <c r="J401" s="19">
        <f>_xlfn.TEXTJOIN("-",TRUE,F401,G401,H401)</f>
        <v/>
      </c>
    </row>
    <row r="402" customFormat="1" s="19">
      <c r="A402" s="30" t="inlineStr">
        <is>
          <t>295/75R22.5</t>
        </is>
      </c>
      <c r="B402" s="30" t="inlineStr">
        <is>
          <t>16PR</t>
        </is>
      </c>
      <c r="C402" s="30" t="inlineStr">
        <is>
          <t>H-RA</t>
        </is>
      </c>
      <c r="D402" s="29" t="inlineStr">
        <is>
          <t>✔</t>
        </is>
      </c>
      <c r="E402" s="28">
        <f>_xlfn.TEXTJOIN("-",TRUE,A402,B402,C402)</f>
        <v/>
      </c>
      <c r="F402" s="20">
        <f>_xlfn.TEXTJOIN("-",TRUE,A885,B885,C885)</f>
        <v/>
      </c>
      <c r="G402" s="23" t="n"/>
      <c r="H402" s="23" t="n"/>
      <c r="I402" s="24" t="n"/>
      <c r="J402" s="19">
        <f>_xlfn.TEXTJOIN("-",TRUE,F402,G402,H402)</f>
        <v/>
      </c>
    </row>
    <row r="403" customFormat="1" s="19">
      <c r="A403" s="30" t="n"/>
      <c r="B403" s="30" t="n"/>
      <c r="C403" s="30" t="n"/>
      <c r="D403" s="66" t="n"/>
      <c r="E403" s="28">
        <f>_xlfn.TEXTJOIN("-",TRUE,A403,B403,C403)</f>
        <v/>
      </c>
      <c r="F403" s="20">
        <f>_xlfn.TEXTJOIN("-",TRUE,A886,B886,C886)</f>
        <v/>
      </c>
      <c r="G403" s="23" t="n"/>
      <c r="H403" s="23" t="n"/>
      <c r="I403" s="24" t="n"/>
      <c r="J403" s="19">
        <f>_xlfn.TEXTJOIN("-",TRUE,F403,G403,H403)</f>
        <v/>
      </c>
    </row>
    <row r="404" customFormat="1" s="19">
      <c r="A404" s="32" t="inlineStr">
        <is>
          <t>295/80R22.5</t>
        </is>
      </c>
      <c r="B404" s="32" t="inlineStr">
        <is>
          <t>18PR</t>
        </is>
      </c>
      <c r="C404" s="32" t="inlineStr">
        <is>
          <t>AS858pro</t>
        </is>
      </c>
      <c r="D404" s="29" t="inlineStr">
        <is>
          <t>✔</t>
        </is>
      </c>
      <c r="E404" s="28">
        <f>_xlfn.TEXTJOIN("-",TRUE,A404,B404,C404)</f>
        <v/>
      </c>
      <c r="F404" s="20">
        <f>_xlfn.TEXTJOIN("-",TRUE,A887,B887,C887)</f>
        <v/>
      </c>
      <c r="G404" s="23" t="n"/>
      <c r="H404" s="23" t="n"/>
      <c r="I404" s="24" t="n"/>
      <c r="J404" s="19">
        <f>_xlfn.TEXTJOIN("-",TRUE,F404,G404,H404)</f>
        <v/>
      </c>
    </row>
    <row r="405" customFormat="1" s="19">
      <c r="A405" s="32" t="inlineStr">
        <is>
          <t>295/80R22.5</t>
        </is>
      </c>
      <c r="B405" s="32" t="inlineStr">
        <is>
          <t>18PR</t>
        </is>
      </c>
      <c r="C405" s="32" t="inlineStr">
        <is>
          <t>AS868pro</t>
        </is>
      </c>
      <c r="D405" s="29" t="inlineStr">
        <is>
          <t>✔</t>
        </is>
      </c>
      <c r="E405" s="28">
        <f>_xlfn.TEXTJOIN("-",TRUE,A405,B405,C405)</f>
        <v/>
      </c>
      <c r="F405" s="20" t="n"/>
      <c r="G405" s="23" t="n"/>
      <c r="H405" s="23" t="n"/>
      <c r="I405" s="24" t="n"/>
      <c r="J405" s="19">
        <f>_xlfn.TEXTJOIN("-",TRUE,F405,G405,H405)</f>
        <v/>
      </c>
    </row>
    <row r="406" customFormat="1" s="19">
      <c r="A406" s="32" t="inlineStr">
        <is>
          <t>295/80R22.5</t>
        </is>
      </c>
      <c r="B406" s="32" t="inlineStr">
        <is>
          <t>18PR</t>
        </is>
      </c>
      <c r="C406" s="32" t="inlineStr">
        <is>
          <t>CR976A</t>
        </is>
      </c>
      <c r="D406" s="29" t="inlineStr">
        <is>
          <t>✔</t>
        </is>
      </c>
      <c r="E406" s="28">
        <f>_xlfn.TEXTJOIN("-",TRUE,A406,B406,C406)</f>
        <v/>
      </c>
      <c r="F406" s="20" t="n"/>
      <c r="G406" s="23" t="n"/>
      <c r="H406" s="23" t="n"/>
      <c r="I406" s="24" t="n"/>
      <c r="J406" s="19">
        <f>_xlfn.TEXTJOIN("-",TRUE,F406,G406,H406)</f>
        <v/>
      </c>
    </row>
    <row r="407" customFormat="1" s="19">
      <c r="A407" s="32" t="inlineStr">
        <is>
          <t>295/80R22.5</t>
        </is>
      </c>
      <c r="B407" s="32" t="inlineStr">
        <is>
          <t>18PR</t>
        </is>
      </c>
      <c r="C407" s="32" t="inlineStr">
        <is>
          <t>AT161</t>
        </is>
      </c>
      <c r="D407" s="29" t="inlineStr">
        <is>
          <t>✔</t>
        </is>
      </c>
      <c r="E407" s="28">
        <f>_xlfn.TEXTJOIN("-",TRUE,A407,B407,C407)</f>
        <v/>
      </c>
      <c r="F407" s="20" t="n"/>
      <c r="G407" s="23" t="n"/>
      <c r="H407" s="23" t="n"/>
      <c r="I407" s="24" t="n"/>
      <c r="J407" s="19">
        <f>_xlfn.TEXTJOIN("-",TRUE,F407,G407,H407)</f>
        <v/>
      </c>
    </row>
    <row r="408" customFormat="1" s="19">
      <c r="A408" s="32" t="inlineStr">
        <is>
          <t>295/80R22.5</t>
        </is>
      </c>
      <c r="B408" s="32" t="inlineStr">
        <is>
          <t>18PR</t>
        </is>
      </c>
      <c r="C408" s="32" t="inlineStr">
        <is>
          <t>G-PERFORM S</t>
        </is>
      </c>
      <c r="D408" s="29" t="inlineStr">
        <is>
          <t>✔</t>
        </is>
      </c>
      <c r="E408" s="28">
        <f>_xlfn.TEXTJOIN("-",TRUE,A408,B408,C408)</f>
        <v/>
      </c>
      <c r="F408" s="20" t="n"/>
      <c r="G408" s="23" t="n"/>
      <c r="H408" s="23" t="n"/>
      <c r="I408" s="24" t="n"/>
      <c r="J408" s="19">
        <f>_xlfn.TEXTJOIN("-",TRUE,F408,G408,H408)</f>
        <v/>
      </c>
    </row>
    <row r="409" customFormat="1" s="19">
      <c r="A409" s="32" t="inlineStr">
        <is>
          <t>295/80R22.5</t>
        </is>
      </c>
      <c r="B409" s="32" t="inlineStr">
        <is>
          <t>18PR</t>
        </is>
      </c>
      <c r="C409" s="32" t="inlineStr">
        <is>
          <t>ECOPLUS</t>
        </is>
      </c>
      <c r="D409" s="29" t="inlineStr">
        <is>
          <t>✔</t>
        </is>
      </c>
      <c r="E409" s="28">
        <f>_xlfn.TEXTJOIN("-",TRUE,A409,B409,C409)</f>
        <v/>
      </c>
      <c r="F409" s="20" t="n"/>
      <c r="G409" s="23" t="n"/>
      <c r="H409" s="23" t="n"/>
      <c r="I409" s="24" t="n"/>
      <c r="J409" s="19">
        <f>_xlfn.TEXTJOIN("-",TRUE,F409,G409,H409)</f>
        <v/>
      </c>
    </row>
    <row r="410" customFormat="1" s="19">
      <c r="A410" s="32" t="inlineStr">
        <is>
          <t>295/80R22.5</t>
        </is>
      </c>
      <c r="B410" s="32" t="inlineStr">
        <is>
          <t>18PR</t>
        </is>
      </c>
      <c r="C410" s="32" t="inlineStr">
        <is>
          <t>AD153</t>
        </is>
      </c>
      <c r="D410" s="29" t="inlineStr">
        <is>
          <t>✔</t>
        </is>
      </c>
      <c r="E410" s="28">
        <f>_xlfn.TEXTJOIN("-",TRUE,A410,B410,C410)</f>
        <v/>
      </c>
      <c r="F410" s="20" t="n"/>
      <c r="G410" s="23" t="n"/>
      <c r="H410" s="23" t="n"/>
      <c r="I410" s="24" t="n"/>
      <c r="J410" s="19">
        <f>_xlfn.TEXTJOIN("-",TRUE,F410,G410,H410)</f>
        <v/>
      </c>
    </row>
    <row r="411" customFormat="1" s="19">
      <c r="A411" s="32" t="inlineStr">
        <is>
          <t>295/80R22.5</t>
        </is>
      </c>
      <c r="B411" s="32" t="inlineStr">
        <is>
          <t>18PR</t>
        </is>
      </c>
      <c r="C411" s="32" t="inlineStr">
        <is>
          <t>G-PERFORM D</t>
        </is>
      </c>
      <c r="D411" s="29" t="inlineStr">
        <is>
          <t>✔</t>
        </is>
      </c>
      <c r="E411" s="28">
        <f>_xlfn.TEXTJOIN("-",TRUE,A411,B411,C411)</f>
        <v/>
      </c>
      <c r="F411" s="20" t="n"/>
      <c r="G411" s="23" t="n"/>
      <c r="H411" s="23" t="n"/>
      <c r="I411" s="24" t="n"/>
      <c r="J411" s="19">
        <f>_xlfn.TEXTJOIN("-",TRUE,F411,G411,H411)</f>
        <v/>
      </c>
    </row>
    <row r="412" customFormat="1" s="19">
      <c r="A412" s="32" t="inlineStr">
        <is>
          <t>295/80R22.5</t>
        </is>
      </c>
      <c r="B412" s="32" t="inlineStr">
        <is>
          <t>18PR</t>
        </is>
      </c>
      <c r="C412" s="32" t="inlineStr">
        <is>
          <t>BRD02 ECO</t>
        </is>
      </c>
      <c r="D412" s="29" t="inlineStr">
        <is>
          <t>✔</t>
        </is>
      </c>
      <c r="E412" s="28">
        <f>_xlfn.TEXTJOIN("-",TRUE,A412,B412,C412)</f>
        <v/>
      </c>
      <c r="F412" s="20" t="n"/>
      <c r="G412" s="23" t="n"/>
      <c r="H412" s="23" t="n"/>
      <c r="I412" s="24" t="n"/>
      <c r="J412" s="19">
        <f>_xlfn.TEXTJOIN("-",TRUE,F412,G412,H412)</f>
        <v/>
      </c>
    </row>
    <row r="413" customFormat="1" s="19">
      <c r="A413" s="32" t="inlineStr">
        <is>
          <t>295/80R22.5</t>
        </is>
      </c>
      <c r="B413" s="32" t="inlineStr">
        <is>
          <t>18PR</t>
        </is>
      </c>
      <c r="C413" s="32" t="inlineStr">
        <is>
          <t>AT196</t>
        </is>
      </c>
      <c r="D413" s="29" t="inlineStr">
        <is>
          <t>✔</t>
        </is>
      </c>
      <c r="E413" s="28">
        <f>_xlfn.TEXTJOIN("-",TRUE,A413,B413,C413)</f>
        <v/>
      </c>
      <c r="F413" s="20" t="n"/>
      <c r="G413" s="23" t="n"/>
      <c r="H413" s="23" t="n"/>
      <c r="I413" s="24" t="n"/>
      <c r="J413" s="19">
        <f>_xlfn.TEXTJOIN("-",TRUE,F413,G413,H413)</f>
        <v/>
      </c>
    </row>
    <row r="414" customFormat="1" s="19">
      <c r="A414" s="32" t="inlineStr">
        <is>
          <t>295/80R22.5</t>
        </is>
      </c>
      <c r="B414" s="32" t="inlineStr">
        <is>
          <t>18PR</t>
        </is>
      </c>
      <c r="C414" s="32" t="inlineStr">
        <is>
          <t>TUCSON A</t>
        </is>
      </c>
      <c r="D414" s="29" t="inlineStr">
        <is>
          <t>✔</t>
        </is>
      </c>
      <c r="E414" s="28">
        <f>_xlfn.TEXTJOIN("-",TRUE,A414,B414,C414)</f>
        <v/>
      </c>
      <c r="F414" s="20">
        <f>_xlfn.TEXTJOIN("-",TRUE,A897,B897,C897)</f>
        <v/>
      </c>
      <c r="G414" s="23" t="n"/>
      <c r="H414" s="23" t="n"/>
      <c r="I414" s="24" t="n"/>
      <c r="J414" s="19">
        <f>_xlfn.TEXTJOIN("-",TRUE,F414,G414,H414)</f>
        <v/>
      </c>
    </row>
    <row r="415" customFormat="1" s="19">
      <c r="A415" s="32" t="inlineStr">
        <is>
          <t>295/80R22.5</t>
        </is>
      </c>
      <c r="B415" s="32" t="inlineStr">
        <is>
          <t>18PR</t>
        </is>
      </c>
      <c r="C415" s="32" t="inlineStr">
        <is>
          <t>BRA07 ECO</t>
        </is>
      </c>
      <c r="D415" s="29" t="inlineStr">
        <is>
          <t>✔</t>
        </is>
      </c>
      <c r="E415" s="28">
        <f>_xlfn.TEXTJOIN("-",TRUE,A415,B415,C415)</f>
        <v/>
      </c>
      <c r="F415" s="20">
        <f>_xlfn.TEXTJOIN("-",TRUE,A898,B898,C898)</f>
        <v/>
      </c>
      <c r="G415" s="23" t="n"/>
      <c r="H415" s="23" t="n"/>
      <c r="I415" s="24" t="n"/>
      <c r="J415" s="19">
        <f>_xlfn.TEXTJOIN("-",TRUE,F415,G415,H415)</f>
        <v/>
      </c>
    </row>
    <row r="416" customFormat="1" s="19">
      <c r="A416" s="32" t="inlineStr">
        <is>
          <t>295/80R22.5</t>
        </is>
      </c>
      <c r="B416" s="32" t="inlineStr">
        <is>
          <t>18PR</t>
        </is>
      </c>
      <c r="C416" s="32" t="inlineStr">
        <is>
          <t>ECOLINE A-I</t>
        </is>
      </c>
      <c r="D416" s="29" t="inlineStr">
        <is>
          <t>✔</t>
        </is>
      </c>
      <c r="E416" s="28">
        <f>_xlfn.TEXTJOIN("-",TRUE,A416,B416,C416)</f>
        <v/>
      </c>
      <c r="F416" s="20">
        <f>_xlfn.TEXTJOIN("-",TRUE,A899,B899,C899)</f>
        <v/>
      </c>
      <c r="G416" s="23" t="n"/>
      <c r="H416" s="23" t="n"/>
      <c r="I416" s="24" t="n"/>
      <c r="J416" s="19">
        <f>_xlfn.TEXTJOIN("-",TRUE,F416,G416,H416)</f>
        <v/>
      </c>
    </row>
    <row r="417" customFormat="1" s="19">
      <c r="A417" s="32" t="inlineStr">
        <is>
          <t>295/80R22.5</t>
        </is>
      </c>
      <c r="B417" s="32" t="inlineStr">
        <is>
          <t>18PR</t>
        </is>
      </c>
      <c r="C417" s="32" t="inlineStr">
        <is>
          <t>CM987pro</t>
        </is>
      </c>
      <c r="D417" s="29" t="inlineStr">
        <is>
          <t>✔</t>
        </is>
      </c>
      <c r="E417" s="28">
        <f>_xlfn.TEXTJOIN("-",TRUE,A417,B417,C417)</f>
        <v/>
      </c>
      <c r="F417" s="20">
        <f>_xlfn.TEXTJOIN("-",TRUE,A900,B900,C900)</f>
        <v/>
      </c>
      <c r="G417" s="23" t="n"/>
      <c r="H417" s="23" t="n"/>
      <c r="I417" s="24" t="n"/>
      <c r="J417" s="19">
        <f>_xlfn.TEXTJOIN("-",TRUE,F417,G417,H417)</f>
        <v/>
      </c>
    </row>
    <row r="418" customFormat="1" s="19">
      <c r="A418" s="32" t="inlineStr">
        <is>
          <t>295/80R22.5</t>
        </is>
      </c>
      <c r="B418" s="32" t="inlineStr">
        <is>
          <t>18PR</t>
        </is>
      </c>
      <c r="C418" s="32" t="inlineStr">
        <is>
          <t>AT186</t>
        </is>
      </c>
      <c r="D418" s="29" t="inlineStr">
        <is>
          <t>✔</t>
        </is>
      </c>
      <c r="E418" s="28">
        <f>_xlfn.TEXTJOIN("-",TRUE,A418,B418,C418)</f>
        <v/>
      </c>
      <c r="F418" s="20">
        <f>_xlfn.TEXTJOIN("-",TRUE,A901,B901,C901)</f>
        <v/>
      </c>
      <c r="G418" s="23" t="n"/>
      <c r="H418" s="23" t="n"/>
      <c r="I418" s="24" t="n"/>
      <c r="J418" s="19">
        <f>_xlfn.TEXTJOIN("-",TRUE,F418,G418,H418)</f>
        <v/>
      </c>
    </row>
    <row r="419" customFormat="1" s="19">
      <c r="A419" s="32" t="inlineStr">
        <is>
          <t>295/80R22.5</t>
        </is>
      </c>
      <c r="B419" s="32" t="inlineStr">
        <is>
          <t>18PR</t>
        </is>
      </c>
      <c r="C419" s="32" t="inlineStr">
        <is>
          <t>CM335</t>
        </is>
      </c>
      <c r="D419" s="61" t="inlineStr">
        <is>
          <t>✔</t>
        </is>
      </c>
      <c r="E419" s="28">
        <f>_xlfn.TEXTJOIN("-",TRUE,A419,B419,C419)</f>
        <v/>
      </c>
      <c r="F419" s="20">
        <f>_xlfn.TEXTJOIN("-",TRUE,A902,B902,C902)</f>
        <v/>
      </c>
      <c r="G419" s="23" t="n"/>
      <c r="H419" s="23" t="n"/>
      <c r="I419" s="24" t="n"/>
      <c r="J419" s="19">
        <f>_xlfn.TEXTJOIN("-",TRUE,F419,G419,H419)</f>
        <v/>
      </c>
    </row>
    <row r="420" customFormat="1" s="19">
      <c r="A420" s="32" t="inlineStr">
        <is>
          <t>295/80R22.5</t>
        </is>
      </c>
      <c r="B420" s="32" t="inlineStr">
        <is>
          <t>18PR</t>
        </is>
      </c>
      <c r="C420" s="32" t="inlineStr">
        <is>
          <t>AD733</t>
        </is>
      </c>
      <c r="D420" s="61" t="inlineStr">
        <is>
          <t>✔</t>
        </is>
      </c>
      <c r="E420" s="28">
        <f>_xlfn.TEXTJOIN("-",TRUE,A420,B420,C420)</f>
        <v/>
      </c>
      <c r="F420" s="20">
        <f>_xlfn.TEXTJOIN("-",TRUE,A903,B903,C903)</f>
        <v/>
      </c>
      <c r="G420" s="23" t="n"/>
      <c r="H420" s="23" t="n"/>
      <c r="I420" s="24" t="n"/>
      <c r="J420" s="19">
        <f>_xlfn.TEXTJOIN("-",TRUE,F420,G420,H420)</f>
        <v/>
      </c>
    </row>
    <row r="421" customFormat="1" s="19">
      <c r="A421" s="32" t="inlineStr">
        <is>
          <t>295/80R22.5</t>
        </is>
      </c>
      <c r="B421" s="32" t="inlineStr">
        <is>
          <t>18PR</t>
        </is>
      </c>
      <c r="C421" s="32" t="inlineStr">
        <is>
          <t>WDR1</t>
        </is>
      </c>
      <c r="D421" s="29" t="inlineStr">
        <is>
          <t>✔</t>
        </is>
      </c>
      <c r="E421" s="28">
        <f>_xlfn.TEXTJOIN("-",TRUE,A421,B421,C421)</f>
        <v/>
      </c>
      <c r="F421" s="20">
        <f>_xlfn.TEXTJOIN("-",TRUE,A904,B904,C904)</f>
        <v/>
      </c>
      <c r="G421" s="23" t="n"/>
      <c r="H421" s="23" t="n"/>
      <c r="I421" s="24" t="n"/>
      <c r="J421" s="19">
        <f>_xlfn.TEXTJOIN("-",TRUE,F421,G421,H421)</f>
        <v/>
      </c>
    </row>
    <row r="422" customFormat="1" s="19">
      <c r="A422" s="32" t="inlineStr">
        <is>
          <t>295/80R22.5</t>
        </is>
      </c>
      <c r="B422" s="32" t="inlineStr">
        <is>
          <t>18PR</t>
        </is>
      </c>
      <c r="C422" s="32" t="inlineStr">
        <is>
          <t>BRD06 PRO</t>
        </is>
      </c>
      <c r="D422" s="29" t="inlineStr">
        <is>
          <t>✔</t>
        </is>
      </c>
      <c r="E422" s="28">
        <f>_xlfn.TEXTJOIN("-",TRUE,A422,B422,C422)</f>
        <v/>
      </c>
      <c r="F422" s="20">
        <f>_xlfn.TEXTJOIN("-",TRUE,A905,B905,C905)</f>
        <v/>
      </c>
      <c r="G422" s="23" t="n"/>
      <c r="H422" s="23" t="n"/>
      <c r="I422" s="24" t="n"/>
      <c r="J422" s="19">
        <f>_xlfn.TEXTJOIN("-",TRUE,F422,G422,H422)</f>
        <v/>
      </c>
    </row>
    <row r="423" customFormat="1" s="19">
      <c r="A423" s="32" t="inlineStr">
        <is>
          <t>295/80R22.5</t>
        </is>
      </c>
      <c r="B423" s="32" t="inlineStr">
        <is>
          <t>18PR</t>
        </is>
      </c>
      <c r="C423" s="32" t="inlineStr">
        <is>
          <t>RF45</t>
        </is>
      </c>
      <c r="D423" s="29" t="inlineStr">
        <is>
          <t>✔</t>
        </is>
      </c>
      <c r="E423" s="28">
        <f>_xlfn.TEXTJOIN("-",TRUE,A423,B423,C423)</f>
        <v/>
      </c>
      <c r="F423" s="20">
        <f>_xlfn.TEXTJOIN("-",TRUE,A906,B906,C906)</f>
        <v/>
      </c>
      <c r="G423" s="23" t="n"/>
      <c r="H423" s="23" t="n"/>
      <c r="I423" s="24" t="n"/>
      <c r="J423" s="19">
        <f>_xlfn.TEXTJOIN("-",TRUE,F423,G423,H423)</f>
        <v/>
      </c>
    </row>
    <row r="424" customFormat="1" s="19">
      <c r="A424" s="32" t="inlineStr">
        <is>
          <t>295/80R22.5</t>
        </is>
      </c>
      <c r="B424" s="32" t="inlineStr">
        <is>
          <t>18PR</t>
        </is>
      </c>
      <c r="C424" s="32" t="inlineStr">
        <is>
          <t>GDR1</t>
        </is>
      </c>
      <c r="D424" s="29" t="inlineStr">
        <is>
          <t>✔</t>
        </is>
      </c>
      <c r="E424" s="28">
        <f>_xlfn.TEXTJOIN("-",TRUE,A424,B424,C424)</f>
        <v/>
      </c>
      <c r="F424" s="20">
        <f>_xlfn.TEXTJOIN("-",TRUE,A907,B907,C907)</f>
        <v/>
      </c>
      <c r="G424" s="23" t="n"/>
      <c r="H424" s="23" t="n"/>
      <c r="I424" s="24" t="n"/>
      <c r="J424" s="19">
        <f>_xlfn.TEXTJOIN("-",TRUE,F424,G424,H424)</f>
        <v/>
      </c>
    </row>
    <row r="425" customFormat="1" s="19">
      <c r="A425" s="32" t="inlineStr">
        <is>
          <t>295/80R22.5</t>
        </is>
      </c>
      <c r="B425" s="32" t="inlineStr">
        <is>
          <t>18PR</t>
        </is>
      </c>
      <c r="C425" s="32" t="inlineStr">
        <is>
          <t>AD818</t>
        </is>
      </c>
      <c r="D425" s="29" t="inlineStr">
        <is>
          <t>✔</t>
        </is>
      </c>
      <c r="E425" s="28">
        <f>_xlfn.TEXTJOIN("-",TRUE,A425,B425,C425)</f>
        <v/>
      </c>
      <c r="F425" s="20">
        <f>_xlfn.TEXTJOIN("-",TRUE,A908,B908,C908)</f>
        <v/>
      </c>
      <c r="G425" s="23" t="n"/>
      <c r="H425" s="23" t="n"/>
      <c r="I425" s="24" t="n"/>
      <c r="J425" s="19">
        <f>_xlfn.TEXTJOIN("-",TRUE,F425,G425,H425)</f>
        <v/>
      </c>
    </row>
    <row r="426" customFormat="1" s="19">
      <c r="A426" s="32" t="inlineStr">
        <is>
          <t>295/80R22.5</t>
        </is>
      </c>
      <c r="B426" s="32" t="inlineStr">
        <is>
          <t>18PR</t>
        </is>
      </c>
      <c r="C426" s="32" t="inlineStr">
        <is>
          <t>G-PRO D</t>
        </is>
      </c>
      <c r="D426" s="29" t="inlineStr">
        <is>
          <t>✔</t>
        </is>
      </c>
      <c r="E426" s="28">
        <f>_xlfn.TEXTJOIN("-",TRUE,A426,B426,C426)</f>
        <v/>
      </c>
      <c r="F426" s="20">
        <f>_xlfn.TEXTJOIN("-",TRUE,A909,B909,C909)</f>
        <v/>
      </c>
      <c r="G426" s="23" t="n"/>
      <c r="H426" s="23" t="n"/>
      <c r="I426" s="24" t="n"/>
      <c r="J426" s="19">
        <f>_xlfn.TEXTJOIN("-",TRUE,F426,G426,H426)</f>
        <v/>
      </c>
    </row>
    <row r="427" customFormat="1" s="19">
      <c r="A427" s="32" t="inlineStr">
        <is>
          <t>295/80R22.5</t>
        </is>
      </c>
      <c r="B427" s="32" t="inlineStr">
        <is>
          <t>18PR</t>
        </is>
      </c>
      <c r="C427" s="32" t="inlineStr">
        <is>
          <t>AD528</t>
        </is>
      </c>
      <c r="D427" s="29" t="inlineStr">
        <is>
          <t>✔</t>
        </is>
      </c>
      <c r="E427" s="28">
        <f>_xlfn.TEXTJOIN("-",TRUE,A427,B427,C427)</f>
        <v/>
      </c>
      <c r="F427" s="20">
        <f>_xlfn.TEXTJOIN("-",TRUE,A910,B910,C910)</f>
        <v/>
      </c>
      <c r="G427" s="23" t="n"/>
      <c r="H427" s="23" t="n"/>
      <c r="I427" s="24" t="n"/>
      <c r="J427" s="19">
        <f>_xlfn.TEXTJOIN("-",TRUE,F427,G427,H427)</f>
        <v/>
      </c>
    </row>
    <row r="428" customFormat="1" s="19">
      <c r="A428" s="32" t="inlineStr">
        <is>
          <t>295/80R22.5</t>
        </is>
      </c>
      <c r="B428" s="32" t="inlineStr">
        <is>
          <t>18PR</t>
        </is>
      </c>
      <c r="C428" s="32" t="inlineStr">
        <is>
          <t>AD156A</t>
        </is>
      </c>
      <c r="D428" s="29" t="inlineStr">
        <is>
          <t>✔</t>
        </is>
      </c>
      <c r="E428" s="28">
        <f>_xlfn.TEXTJOIN("-",TRUE,A428,B428,C428)</f>
        <v/>
      </c>
      <c r="F428" s="20">
        <f>_xlfn.TEXTJOIN("-",TRUE,A911,B911,C911)</f>
        <v/>
      </c>
      <c r="G428" s="23" t="n"/>
      <c r="H428" s="23" t="n"/>
      <c r="I428" s="24" t="n"/>
      <c r="J428" s="19">
        <f>_xlfn.TEXTJOIN("-",TRUE,F428,G428,H428)</f>
        <v/>
      </c>
    </row>
    <row r="429" customFormat="1" s="19">
      <c r="A429" s="32" t="inlineStr">
        <is>
          <t>295/80R22.5</t>
        </is>
      </c>
      <c r="B429" s="32" t="inlineStr">
        <is>
          <t>18PR</t>
        </is>
      </c>
      <c r="C429" s="32" t="inlineStr">
        <is>
          <t>TUCSON D</t>
        </is>
      </c>
      <c r="D429" s="29" t="inlineStr">
        <is>
          <t>✔</t>
        </is>
      </c>
      <c r="E429" s="28">
        <f>_xlfn.TEXTJOIN("-",TRUE,A429,B429,C429)</f>
        <v/>
      </c>
      <c r="F429" s="20">
        <f>_xlfn.TEXTJOIN("-",TRUE,A912,B912,C912)</f>
        <v/>
      </c>
      <c r="G429" s="23" t="n"/>
      <c r="H429" s="23" t="n"/>
      <c r="I429" s="24" t="n"/>
      <c r="J429" s="19">
        <f>_xlfn.TEXTJOIN("-",TRUE,F429,G429,H429)</f>
        <v/>
      </c>
    </row>
    <row r="430" customFormat="1" s="19">
      <c r="A430" s="32" t="inlineStr">
        <is>
          <t>295/80R22.5</t>
        </is>
      </c>
      <c r="B430" s="32" t="inlineStr">
        <is>
          <t>18PR</t>
        </is>
      </c>
      <c r="C430" s="32" t="inlineStr">
        <is>
          <t>ECOTRAX D-I</t>
        </is>
      </c>
      <c r="D430" s="29" t="inlineStr">
        <is>
          <t>✔</t>
        </is>
      </c>
      <c r="E430" s="28">
        <f>_xlfn.TEXTJOIN("-",TRUE,A430,B430,C430)</f>
        <v/>
      </c>
      <c r="F430" s="20">
        <f>_xlfn.TEXTJOIN("-",TRUE,A913,B913,C913)</f>
        <v/>
      </c>
      <c r="G430" s="23" t="n"/>
      <c r="H430" s="23" t="n"/>
      <c r="I430" s="24" t="n"/>
      <c r="J430" s="19">
        <f>_xlfn.TEXTJOIN("-",TRUE,F430,G430,H430)</f>
        <v/>
      </c>
    </row>
    <row r="431" customFormat="1" s="19">
      <c r="A431" s="32" t="inlineStr">
        <is>
          <t>295/80R22.5</t>
        </is>
      </c>
      <c r="B431" s="32" t="inlineStr">
        <is>
          <t>18PR</t>
        </is>
      </c>
      <c r="C431" s="32" t="inlineStr">
        <is>
          <t>MD777</t>
        </is>
      </c>
      <c r="D431" s="61" t="inlineStr">
        <is>
          <t>✔</t>
        </is>
      </c>
      <c r="E431" s="28">
        <f>_xlfn.TEXTJOIN("-",TRUE,A431,B431,C431)</f>
        <v/>
      </c>
      <c r="F431" s="20">
        <f>_xlfn.TEXTJOIN("-",TRUE,A914,B914,C914)</f>
        <v/>
      </c>
      <c r="G431" s="23" t="n"/>
      <c r="H431" s="23" t="n"/>
      <c r="I431" s="24" t="n"/>
      <c r="J431" s="19">
        <f>_xlfn.TEXTJOIN("-",TRUE,F431,G431,H431)</f>
        <v/>
      </c>
    </row>
    <row r="432" customFormat="1" s="19">
      <c r="A432" s="32" t="inlineStr">
        <is>
          <t>295/80R22.5</t>
        </is>
      </c>
      <c r="B432" s="32" t="inlineStr">
        <is>
          <t>18PR</t>
        </is>
      </c>
      <c r="C432" s="32" t="inlineStr">
        <is>
          <t>G-PRO MSD</t>
        </is>
      </c>
      <c r="D432" s="29" t="inlineStr">
        <is>
          <t>✔</t>
        </is>
      </c>
      <c r="E432" s="28">
        <f>_xlfn.TEXTJOIN("-",TRUE,A432,B432,C432)</f>
        <v/>
      </c>
      <c r="F432" s="20">
        <f>_xlfn.TEXTJOIN("-",TRUE,A915,B915,C915)</f>
        <v/>
      </c>
      <c r="G432" s="23" t="n"/>
      <c r="H432" s="23" t="n"/>
      <c r="I432" s="24" t="n"/>
      <c r="J432" s="19">
        <f>_xlfn.TEXTJOIN("-",TRUE,F432,G432,H432)</f>
        <v/>
      </c>
    </row>
    <row r="433" customFormat="1" s="19">
      <c r="A433" s="32" t="inlineStr">
        <is>
          <t>295/80R22.5</t>
        </is>
      </c>
      <c r="B433" s="32" t="inlineStr">
        <is>
          <t>18PR</t>
        </is>
      </c>
      <c r="C433" s="32" t="inlineStr">
        <is>
          <t>BMD06 PRO</t>
        </is>
      </c>
      <c r="D433" s="29" t="inlineStr">
        <is>
          <t>✔</t>
        </is>
      </c>
      <c r="E433" s="28">
        <f>_xlfn.TEXTJOIN("-",TRUE,A433,B433,C433)</f>
        <v/>
      </c>
      <c r="F433" s="20">
        <f>_xlfn.TEXTJOIN("-",TRUE,A916,B916,C916)</f>
        <v/>
      </c>
      <c r="G433" s="23" t="n"/>
      <c r="H433" s="23" t="n"/>
      <c r="I433" s="24" t="n"/>
      <c r="J433" s="19">
        <f>_xlfn.TEXTJOIN("-",TRUE,F433,G433,H433)</f>
        <v/>
      </c>
    </row>
    <row r="434" customFormat="1" s="19">
      <c r="A434" s="32" t="inlineStr">
        <is>
          <t>295/80R22.5</t>
        </is>
      </c>
      <c r="B434" s="32" t="inlineStr">
        <is>
          <t>18PR</t>
        </is>
      </c>
      <c r="C434" s="32" t="inlineStr">
        <is>
          <t>TRAX D-I</t>
        </is>
      </c>
      <c r="D434" s="29" t="inlineStr">
        <is>
          <t>✔</t>
        </is>
      </c>
      <c r="E434" s="28">
        <f>_xlfn.TEXTJOIN("-",TRUE,A434,B434,C434)</f>
        <v/>
      </c>
      <c r="F434" s="20">
        <f>_xlfn.TEXTJOIN("-",TRUE,A917,B917,C917)</f>
        <v/>
      </c>
      <c r="G434" s="23" t="n"/>
      <c r="H434" s="23" t="n"/>
      <c r="I434" s="24" t="n"/>
      <c r="J434" s="19">
        <f>_xlfn.TEXTJOIN("-",TRUE,F434,G434,H434)</f>
        <v/>
      </c>
    </row>
    <row r="435" customFormat="1" s="19">
      <c r="A435" s="32" t="inlineStr">
        <is>
          <t>295/80R22.5</t>
        </is>
      </c>
      <c r="B435" s="32" t="inlineStr">
        <is>
          <t>18PR</t>
        </is>
      </c>
      <c r="C435" s="32" t="inlineStr">
        <is>
          <t>AS678</t>
        </is>
      </c>
      <c r="D435" s="29" t="inlineStr">
        <is>
          <t>✔</t>
        </is>
      </c>
      <c r="E435" s="28">
        <f>_xlfn.TEXTJOIN("-",TRUE,A435,B435,C435)</f>
        <v/>
      </c>
      <c r="F435" s="20">
        <f>_xlfn.TEXTJOIN("-",TRUE,A918,B918,C918)</f>
        <v/>
      </c>
      <c r="G435" s="23" t="n"/>
      <c r="H435" s="23" t="n"/>
      <c r="I435" s="24" t="n"/>
      <c r="J435" s="19">
        <f>_xlfn.TEXTJOIN("-",TRUE,F435,G435,H435)</f>
        <v/>
      </c>
    </row>
    <row r="436" customFormat="1" s="19">
      <c r="A436" s="32" t="inlineStr">
        <is>
          <t>295/80R22.5</t>
        </is>
      </c>
      <c r="B436" s="32" t="inlineStr">
        <is>
          <t>18PR</t>
        </is>
      </c>
      <c r="C436" s="32" t="inlineStr">
        <is>
          <t>RF35</t>
        </is>
      </c>
      <c r="D436" s="29" t="inlineStr">
        <is>
          <t>✔</t>
        </is>
      </c>
      <c r="E436" s="28">
        <f>_xlfn.TEXTJOIN("-",TRUE,A436,B436,C436)</f>
        <v/>
      </c>
      <c r="F436" s="20">
        <f>_xlfn.TEXTJOIN("-",TRUE,A919,B919,C919)</f>
        <v/>
      </c>
      <c r="G436" s="23" t="n"/>
      <c r="H436" s="23" t="n"/>
      <c r="I436" s="24" t="n"/>
      <c r="J436" s="19">
        <f>_xlfn.TEXTJOIN("-",TRUE,F436,G436,H436)</f>
        <v/>
      </c>
    </row>
    <row r="437" customFormat="1" s="19">
      <c r="A437" s="32" t="inlineStr">
        <is>
          <t>295/80R22.5</t>
        </is>
      </c>
      <c r="B437" s="32" t="inlineStr">
        <is>
          <t>18PR</t>
        </is>
      </c>
      <c r="C437" s="32" t="inlineStr">
        <is>
          <t>EZ177</t>
        </is>
      </c>
      <c r="D437" s="29" t="inlineStr">
        <is>
          <t>✔</t>
        </is>
      </c>
      <c r="E437" s="28">
        <f>_xlfn.TEXTJOIN("-",TRUE,A437,B437,C437)</f>
        <v/>
      </c>
      <c r="F437" s="20">
        <f>_xlfn.TEXTJOIN("-",TRUE,A920,B920,C920)</f>
        <v/>
      </c>
      <c r="G437" s="23" t="n"/>
      <c r="H437" s="23" t="n"/>
      <c r="I437" s="24" t="n"/>
      <c r="J437" s="19">
        <f>_xlfn.TEXTJOIN("-",TRUE,F437,G437,H437)</f>
        <v/>
      </c>
    </row>
    <row r="438" customFormat="1" s="19">
      <c r="A438" s="32" t="inlineStr">
        <is>
          <t>295/80R22.5</t>
        </is>
      </c>
      <c r="B438" s="32" t="inlineStr">
        <is>
          <t>18PR</t>
        </is>
      </c>
      <c r="C438" s="32" t="inlineStr">
        <is>
          <t>CM997</t>
        </is>
      </c>
      <c r="D438" s="29" t="inlineStr">
        <is>
          <t>✔</t>
        </is>
      </c>
      <c r="E438" s="28">
        <f>_xlfn.TEXTJOIN("-",TRUE,A438,B438,C438)</f>
        <v/>
      </c>
      <c r="F438" s="20">
        <f>_xlfn.TEXTJOIN("-",TRUE,A921,B921,C921)</f>
        <v/>
      </c>
      <c r="G438" s="23" t="n"/>
      <c r="H438" s="23" t="n"/>
      <c r="I438" s="24" t="n"/>
      <c r="J438" s="19">
        <f>_xlfn.TEXTJOIN("-",TRUE,F438,G438,H438)</f>
        <v/>
      </c>
    </row>
    <row r="439" customFormat="1" s="19">
      <c r="A439" s="32" t="inlineStr">
        <is>
          <t>295/80R22.5</t>
        </is>
      </c>
      <c r="B439" s="32" t="inlineStr">
        <is>
          <t>18PR</t>
        </is>
      </c>
      <c r="C439" s="32" t="inlineStr">
        <is>
          <t>CR906</t>
        </is>
      </c>
      <c r="D439" s="29" t="inlineStr">
        <is>
          <t>✔</t>
        </is>
      </c>
      <c r="E439" s="28">
        <f>_xlfn.TEXTJOIN("-",TRUE,A439,B439,C439)</f>
        <v/>
      </c>
      <c r="F439" s="20">
        <f>_xlfn.TEXTJOIN("-",TRUE,A922,B922,C922)</f>
        <v/>
      </c>
      <c r="G439" s="23" t="n"/>
      <c r="H439" s="23" t="n"/>
      <c r="I439" s="24" t="n"/>
      <c r="J439" s="19">
        <f>_xlfn.TEXTJOIN("-",TRUE,F439,G439,H439)</f>
        <v/>
      </c>
    </row>
    <row r="440" customFormat="1" s="19">
      <c r="A440" s="32" t="inlineStr">
        <is>
          <t>295/80R22.5</t>
        </is>
      </c>
      <c r="B440" s="32" t="inlineStr">
        <is>
          <t>18PR</t>
        </is>
      </c>
      <c r="C440" s="32" t="inlineStr">
        <is>
          <t>G-PRO U</t>
        </is>
      </c>
      <c r="D440" s="29" t="inlineStr">
        <is>
          <t>✔</t>
        </is>
      </c>
      <c r="E440" s="28">
        <f>_xlfn.TEXTJOIN("-",TRUE,A440,B440,C440)</f>
        <v/>
      </c>
      <c r="F440" s="20">
        <f>_xlfn.TEXTJOIN("-",TRUE,A923,B923,C923)</f>
        <v/>
      </c>
      <c r="G440" s="23" t="n"/>
      <c r="H440" s="23" t="n"/>
      <c r="I440" s="24" t="n"/>
      <c r="J440" s="19">
        <f>_xlfn.TEXTJOIN("-",TRUE,F440,G440,H440)</f>
        <v/>
      </c>
    </row>
    <row r="441" customFormat="1" s="19">
      <c r="A441" s="32" t="inlineStr">
        <is>
          <t>295/80R22.5</t>
        </is>
      </c>
      <c r="B441" s="32" t="inlineStr">
        <is>
          <t>18PR</t>
        </is>
      </c>
      <c r="C441" s="32" t="inlineStr">
        <is>
          <t>AS589</t>
        </is>
      </c>
      <c r="D441" s="29" t="inlineStr">
        <is>
          <t>✔</t>
        </is>
      </c>
      <c r="E441" s="28">
        <f>_xlfn.TEXTJOIN("-",TRUE,A441,B441,C441)</f>
        <v/>
      </c>
      <c r="F441" s="20">
        <f>_xlfn.TEXTJOIN("-",TRUE,A924,B924,C924)</f>
        <v/>
      </c>
      <c r="G441" s="23" t="n"/>
      <c r="H441" s="23" t="n"/>
      <c r="I441" s="24" t="n"/>
      <c r="J441" s="19">
        <f>_xlfn.TEXTJOIN("-",TRUE,F441,G441,H441)</f>
        <v/>
      </c>
    </row>
    <row r="442" customFormat="1" s="19">
      <c r="A442" s="32" t="inlineStr">
        <is>
          <t>295/80R22.5</t>
        </is>
      </c>
      <c r="B442" s="32" t="inlineStr">
        <is>
          <t>18PR</t>
        </is>
      </c>
      <c r="C442" s="32" t="inlineStr">
        <is>
          <t>AS668</t>
        </is>
      </c>
      <c r="D442" s="29" t="inlineStr">
        <is>
          <t>✔</t>
        </is>
      </c>
      <c r="E442" s="28">
        <f>_xlfn.TEXTJOIN("-",TRUE,A442,B442,C442)</f>
        <v/>
      </c>
      <c r="F442" s="20">
        <f>_xlfn.TEXTJOIN("-",TRUE,A925,B925,C925)</f>
        <v/>
      </c>
      <c r="G442" s="23" t="n"/>
      <c r="H442" s="23" t="n"/>
      <c r="I442" s="24" t="n"/>
      <c r="J442" s="19">
        <f>_xlfn.TEXTJOIN("-",TRUE,F442,G442,H442)</f>
        <v/>
      </c>
    </row>
    <row r="443" customFormat="1" s="19">
      <c r="A443" s="32" t="inlineStr">
        <is>
          <t>295/80R22.5</t>
        </is>
      </c>
      <c r="B443" s="32" t="inlineStr">
        <is>
          <t>18PR</t>
        </is>
      </c>
      <c r="C443" s="32" t="inlineStr">
        <is>
          <t>AT167</t>
        </is>
      </c>
      <c r="D443" s="29" t="inlineStr">
        <is>
          <t>✔</t>
        </is>
      </c>
      <c r="E443" s="28">
        <f>_xlfn.TEXTJOIN("-",TRUE,A443,B443,C443)</f>
        <v/>
      </c>
      <c r="F443" s="20">
        <f>_xlfn.TEXTJOIN("-",TRUE,A926,B926,C926)</f>
        <v/>
      </c>
      <c r="G443" s="23" t="n"/>
      <c r="H443" s="23" t="n"/>
      <c r="I443" s="24" t="n"/>
      <c r="J443" s="19">
        <f>_xlfn.TEXTJOIN("-",TRUE,F443,G443,H443)</f>
        <v/>
      </c>
    </row>
    <row r="444" customFormat="1" s="19">
      <c r="A444" s="32" t="inlineStr">
        <is>
          <t>295/80R22.5</t>
        </is>
      </c>
      <c r="B444" s="32" t="inlineStr">
        <is>
          <t>18PR</t>
        </is>
      </c>
      <c r="C444" s="32" t="inlineStr">
        <is>
          <t>BRA02 ECO</t>
        </is>
      </c>
      <c r="D444" s="29" t="inlineStr">
        <is>
          <t>✔</t>
        </is>
      </c>
      <c r="E444" s="28">
        <f>_xlfn.TEXTJOIN("-",TRUE,A444,B444,C444)</f>
        <v/>
      </c>
      <c r="F444" s="20">
        <f>_xlfn.TEXTJOIN("-",TRUE,A927,B927,C927)</f>
        <v/>
      </c>
      <c r="G444" s="23" t="n"/>
      <c r="H444" s="23" t="n"/>
      <c r="I444" s="24" t="n"/>
      <c r="J444" s="19">
        <f>_xlfn.TEXTJOIN("-",TRUE,F444,G444,H444)</f>
        <v/>
      </c>
    </row>
    <row r="445" customFormat="1" s="19">
      <c r="A445" s="32" t="inlineStr">
        <is>
          <t>295/80R22.5</t>
        </is>
      </c>
      <c r="B445" s="32" t="inlineStr">
        <is>
          <t>18PR</t>
        </is>
      </c>
      <c r="C445" s="32" t="inlineStr">
        <is>
          <t>AD733pro</t>
        </is>
      </c>
      <c r="D445" s="29" t="inlineStr">
        <is>
          <t>✔</t>
        </is>
      </c>
      <c r="E445" s="28">
        <f>_xlfn.TEXTJOIN("-",TRUE,A445,B445,C445)</f>
        <v/>
      </c>
      <c r="F445" s="20">
        <f>_xlfn.TEXTJOIN("-",TRUE,A928,B928,C928)</f>
        <v/>
      </c>
      <c r="G445" s="23" t="n"/>
      <c r="H445" s="23" t="n"/>
      <c r="I445" s="24" t="n"/>
      <c r="J445" s="19">
        <f>_xlfn.TEXTJOIN("-",TRUE,F445,G445,H445)</f>
        <v/>
      </c>
    </row>
    <row r="446" customFormat="1" s="19">
      <c r="A446" s="32" t="inlineStr">
        <is>
          <t>295/80R22.5</t>
        </is>
      </c>
      <c r="B446" s="32" t="inlineStr">
        <is>
          <t>18PR</t>
        </is>
      </c>
      <c r="C446" s="32" t="inlineStr">
        <is>
          <t>AZ126T</t>
        </is>
      </c>
      <c r="D446" s="29" t="inlineStr">
        <is>
          <t>✔</t>
        </is>
      </c>
      <c r="E446" s="28">
        <f>_xlfn.TEXTJOIN("-",TRUE,A446,B446,C446)</f>
        <v/>
      </c>
      <c r="F446" s="20">
        <f>_xlfn.TEXTJOIN("-",TRUE,A929,B929,C929)</f>
        <v/>
      </c>
      <c r="G446" s="23" t="n"/>
      <c r="H446" s="23" t="n"/>
      <c r="I446" s="24" t="n"/>
      <c r="J446" s="19">
        <f>_xlfn.TEXTJOIN("-",TRUE,F446,G446,H446)</f>
        <v/>
      </c>
    </row>
    <row r="447" customFormat="1" s="19">
      <c r="A447" s="32" t="inlineStr">
        <is>
          <t>295/80R22.5</t>
        </is>
      </c>
      <c r="B447" s="32" t="inlineStr">
        <is>
          <t>18PR</t>
        </is>
      </c>
      <c r="C447" s="32" t="inlineStr">
        <is>
          <t>CR926D</t>
        </is>
      </c>
      <c r="D447" s="29" t="inlineStr">
        <is>
          <t>✔</t>
        </is>
      </c>
      <c r="E447" s="28">
        <f>_xlfn.TEXTJOIN("-",TRUE,A447,B447,C447)</f>
        <v/>
      </c>
      <c r="F447" s="20">
        <f>_xlfn.TEXTJOIN("-",TRUE,A930,B930,C930)</f>
        <v/>
      </c>
      <c r="G447" s="23" t="n"/>
      <c r="H447" s="23" t="n"/>
      <c r="I447" s="24" t="n"/>
      <c r="J447" s="19">
        <f>_xlfn.TEXTJOIN("-",TRUE,F447,G447,H447)</f>
        <v/>
      </c>
    </row>
    <row r="448" customFormat="1" s="19">
      <c r="A448" s="32" t="inlineStr">
        <is>
          <t>295/80R22.5</t>
        </is>
      </c>
      <c r="B448" s="32" t="inlineStr">
        <is>
          <t>18PR</t>
        </is>
      </c>
      <c r="C448" s="32" t="inlineStr">
        <is>
          <t>BMA07 ECO</t>
        </is>
      </c>
      <c r="D448" s="29" t="inlineStr">
        <is>
          <t>✔</t>
        </is>
      </c>
      <c r="E448" s="28">
        <f>_xlfn.TEXTJOIN("-",TRUE,A448,B448,C448)</f>
        <v/>
      </c>
      <c r="F448" s="20">
        <f>_xlfn.TEXTJOIN("-",TRUE,A931,B931,C931)</f>
        <v/>
      </c>
      <c r="G448" s="23" t="n"/>
      <c r="H448" s="23" t="n"/>
      <c r="I448" s="24" t="n"/>
      <c r="J448" s="19">
        <f>_xlfn.TEXTJOIN("-",TRUE,F448,G448,H448)</f>
        <v/>
      </c>
    </row>
    <row r="449" customFormat="1" s="19">
      <c r="A449" s="32" t="inlineStr">
        <is>
          <t>295/80R22.5</t>
        </is>
      </c>
      <c r="B449" s="32" t="inlineStr">
        <is>
          <t>18PR</t>
        </is>
      </c>
      <c r="C449" s="32" t="inlineStr">
        <is>
          <t>NMIX Z-I</t>
        </is>
      </c>
      <c r="D449" s="29" t="inlineStr">
        <is>
          <t>✔</t>
        </is>
      </c>
      <c r="E449" s="28">
        <f>_xlfn.TEXTJOIN("-",TRUE,A449,B449,C449)</f>
        <v/>
      </c>
      <c r="F449" s="20">
        <f>_xlfn.TEXTJOIN("-",TRUE,A932,B932,C932)</f>
        <v/>
      </c>
      <c r="G449" s="23" t="n"/>
      <c r="H449" s="23" t="n"/>
      <c r="I449" s="24" t="n"/>
      <c r="J449" s="19">
        <f>_xlfn.TEXTJOIN("-",TRUE,F449,G449,H449)</f>
        <v/>
      </c>
    </row>
    <row r="450" customFormat="1" s="19">
      <c r="A450" s="32" t="inlineStr">
        <is>
          <t>295/80R22.5</t>
        </is>
      </c>
      <c r="B450" s="32" t="inlineStr">
        <is>
          <t>18PR</t>
        </is>
      </c>
      <c r="C450" s="32" t="inlineStr">
        <is>
          <t>WDA2</t>
        </is>
      </c>
      <c r="D450" s="29" t="inlineStr">
        <is>
          <t>✔</t>
        </is>
      </c>
      <c r="E450" s="28">
        <f>_xlfn.TEXTJOIN("-",TRUE,A450,B450,C450)</f>
        <v/>
      </c>
      <c r="F450" s="20">
        <f>_xlfn.TEXTJOIN("-",TRUE,A933,B933,C933)</f>
        <v/>
      </c>
      <c r="G450" s="23" t="n"/>
      <c r="H450" s="23" t="n"/>
      <c r="I450" s="24" t="n"/>
      <c r="J450" s="19">
        <f>_xlfn.TEXTJOIN("-",TRUE,F450,G450,H450)</f>
        <v/>
      </c>
    </row>
    <row r="451" customFormat="1" s="19">
      <c r="A451" s="32" t="inlineStr">
        <is>
          <t>295/80R22.5</t>
        </is>
      </c>
      <c r="B451" s="32" t="inlineStr">
        <is>
          <t>18PR</t>
        </is>
      </c>
      <c r="C451" s="32" t="inlineStr">
        <is>
          <t>WSA2</t>
        </is>
      </c>
      <c r="D451" s="29" t="inlineStr">
        <is>
          <t>✔</t>
        </is>
      </c>
      <c r="E451" s="28">
        <f>_xlfn.TEXTJOIN("-",TRUE,A451,B451,C451)</f>
        <v/>
      </c>
      <c r="F451" s="20">
        <f>_xlfn.TEXTJOIN("-",TRUE,A934,B934,C934)</f>
        <v/>
      </c>
      <c r="G451" s="23" t="n"/>
      <c r="H451" s="23" t="n"/>
      <c r="I451" s="24" t="n"/>
      <c r="J451" s="19">
        <f>_xlfn.TEXTJOIN("-",TRUE,F451,G451,H451)</f>
        <v/>
      </c>
    </row>
    <row r="452" customFormat="1" s="19">
      <c r="A452" s="32" t="inlineStr">
        <is>
          <t>295/80R22.5</t>
        </is>
      </c>
      <c r="B452" s="32" t="inlineStr">
        <is>
          <t>18PR</t>
        </is>
      </c>
      <c r="C452" s="32" t="inlineStr">
        <is>
          <t>EZ573</t>
        </is>
      </c>
      <c r="D452" s="29" t="inlineStr">
        <is>
          <t>✔</t>
        </is>
      </c>
      <c r="E452" s="28">
        <f>_xlfn.TEXTJOIN("-",TRUE,A452,B452,C452)</f>
        <v/>
      </c>
      <c r="F452" s="20">
        <f>_xlfn.TEXTJOIN("-",TRUE,A935,B935,C935)</f>
        <v/>
      </c>
      <c r="G452" s="23" t="n"/>
      <c r="H452" s="23" t="n"/>
      <c r="I452" s="24" t="n"/>
      <c r="J452" s="19">
        <f>_xlfn.TEXTJOIN("-",TRUE,F452,G452,H452)</f>
        <v/>
      </c>
    </row>
    <row r="453" customFormat="1" s="19">
      <c r="A453" s="32" t="inlineStr">
        <is>
          <t>295/80R22.5</t>
        </is>
      </c>
      <c r="B453" s="32" t="inlineStr">
        <is>
          <t>18PR</t>
        </is>
      </c>
      <c r="C453" s="32" t="inlineStr">
        <is>
          <t>G-PRO MSA</t>
        </is>
      </c>
      <c r="D453" s="29" t="inlineStr">
        <is>
          <t>✔</t>
        </is>
      </c>
      <c r="E453" s="28">
        <f>_xlfn.TEXTJOIN("-",TRUE,A453,B453,C453)</f>
        <v/>
      </c>
      <c r="F453" s="20">
        <f>_xlfn.TEXTJOIN("-",TRUE,A936,B936,C936)</f>
        <v/>
      </c>
      <c r="G453" s="23" t="n"/>
      <c r="H453" s="23" t="n"/>
      <c r="I453" s="24" t="n"/>
      <c r="J453" s="19">
        <f>_xlfn.TEXTJOIN("-",TRUE,F453,G453,H453)</f>
        <v/>
      </c>
    </row>
    <row r="454" customFormat="1" s="19">
      <c r="A454" s="32" t="inlineStr">
        <is>
          <t>295/80R22.5</t>
        </is>
      </c>
      <c r="B454" s="32" t="inlineStr">
        <is>
          <t>18PR</t>
        </is>
      </c>
      <c r="C454" s="32" t="inlineStr">
        <is>
          <t>NMIX Z-II</t>
        </is>
      </c>
      <c r="D454" s="29" t="inlineStr">
        <is>
          <t>✔</t>
        </is>
      </c>
      <c r="E454" s="28">
        <f>_xlfn.TEXTJOIN("-",TRUE,A454,B454,C454)</f>
        <v/>
      </c>
      <c r="F454" s="20">
        <f>_xlfn.TEXTJOIN("-",TRUE,A937,B937,C937)</f>
        <v/>
      </c>
      <c r="G454" s="23" t="n"/>
      <c r="H454" s="23" t="n"/>
      <c r="I454" s="24" t="n"/>
      <c r="J454" s="19">
        <f>_xlfn.TEXTJOIN("-",TRUE,F454,G454,H454)</f>
        <v/>
      </c>
    </row>
    <row r="455" customFormat="1" s="19">
      <c r="A455" s="32" t="inlineStr">
        <is>
          <t>295/80R22.5</t>
        </is>
      </c>
      <c r="B455" s="32" t="inlineStr">
        <is>
          <t>18PR</t>
        </is>
      </c>
      <c r="C455" s="32" t="inlineStr">
        <is>
          <t>G-PROU</t>
        </is>
      </c>
      <c r="D455" s="29" t="inlineStr">
        <is>
          <t>✔</t>
        </is>
      </c>
      <c r="E455" s="28">
        <f>_xlfn.TEXTJOIN("-",TRUE,A455,B455,C455)</f>
        <v/>
      </c>
      <c r="F455" s="20">
        <f>_xlfn.TEXTJOIN("-",TRUE,A938,B938,C938)</f>
        <v/>
      </c>
      <c r="G455" s="23" t="n"/>
      <c r="H455" s="23" t="n"/>
      <c r="I455" s="24" t="n"/>
      <c r="J455" s="19">
        <f>_xlfn.TEXTJOIN("-",TRUE,F455,G455,H455)</f>
        <v/>
      </c>
    </row>
    <row r="456" customFormat="1" s="19">
      <c r="A456" s="32" t="inlineStr">
        <is>
          <t>295/80R22.5</t>
        </is>
      </c>
      <c r="B456" s="32" t="inlineStr">
        <is>
          <t>18PR</t>
        </is>
      </c>
      <c r="C456" s="32" t="inlineStr">
        <is>
          <t>CM958</t>
        </is>
      </c>
      <c r="D456" s="29" t="inlineStr">
        <is>
          <t>✔</t>
        </is>
      </c>
      <c r="E456" s="28">
        <f>_xlfn.TEXTJOIN("-",TRUE,A456,B456,C456)</f>
        <v/>
      </c>
      <c r="F456" s="20">
        <f>_xlfn.TEXTJOIN("-",TRUE,A939,B939,C939)</f>
        <v/>
      </c>
      <c r="G456" s="23" t="n"/>
      <c r="H456" s="23" t="n"/>
      <c r="I456" s="24" t="n"/>
      <c r="J456" s="19">
        <f>_xlfn.TEXTJOIN("-",TRUE,F456,G456,H456)</f>
        <v/>
      </c>
    </row>
    <row r="457" customFormat="1" s="19">
      <c r="A457" s="32" t="inlineStr">
        <is>
          <t>295/80R22.5</t>
        </is>
      </c>
      <c r="B457" s="32" t="inlineStr">
        <is>
          <t>18PR</t>
        </is>
      </c>
      <c r="C457" s="32" t="inlineStr">
        <is>
          <t>WSR1</t>
        </is>
      </c>
      <c r="D457" s="29" t="inlineStr">
        <is>
          <t>✔</t>
        </is>
      </c>
      <c r="E457" s="28">
        <f>_xlfn.TEXTJOIN("-",TRUE,A457,B457,C457)</f>
        <v/>
      </c>
      <c r="F457" s="20">
        <f>_xlfn.TEXTJOIN("-",TRUE,A940,B940,C940)</f>
        <v/>
      </c>
      <c r="G457" s="23" t="n"/>
      <c r="H457" s="23" t="n"/>
      <c r="I457" s="24" t="n"/>
      <c r="J457" s="19">
        <f>_xlfn.TEXTJOIN("-",TRUE,F457,G457,H457)</f>
        <v/>
      </c>
    </row>
    <row r="458" customFormat="1" s="19">
      <c r="A458" s="32" t="inlineStr">
        <is>
          <t>295/80R22.5</t>
        </is>
      </c>
      <c r="B458" s="32" t="inlineStr">
        <is>
          <t>18PR</t>
        </is>
      </c>
      <c r="C458" s="32" t="inlineStr">
        <is>
          <t>BRA06 PRO</t>
        </is>
      </c>
      <c r="D458" s="29" t="inlineStr">
        <is>
          <t>✔</t>
        </is>
      </c>
      <c r="E458" s="28">
        <f>_xlfn.TEXTJOIN("-",TRUE,A458,B458,C458)</f>
        <v/>
      </c>
      <c r="F458" s="20">
        <f>_xlfn.TEXTJOIN("-",TRUE,A941,B941,C941)</f>
        <v/>
      </c>
      <c r="G458" s="23" t="n"/>
      <c r="H458" s="23" t="n"/>
      <c r="I458" s="24" t="n"/>
      <c r="J458" s="19">
        <f>_xlfn.TEXTJOIN("-",TRUE,F458,G458,H458)</f>
        <v/>
      </c>
    </row>
    <row r="459" customFormat="1" s="19">
      <c r="A459" s="32" t="inlineStr">
        <is>
          <t>295/80R22.5</t>
        </is>
      </c>
      <c r="B459" s="32" t="inlineStr">
        <is>
          <t>18PR</t>
        </is>
      </c>
      <c r="C459" s="32" t="inlineStr">
        <is>
          <t>RF15</t>
        </is>
      </c>
      <c r="D459" s="29" t="inlineStr">
        <is>
          <t>✔</t>
        </is>
      </c>
      <c r="E459" s="28">
        <f>_xlfn.TEXTJOIN("-",TRUE,A459,B459,C459)</f>
        <v/>
      </c>
      <c r="F459" s="20">
        <f>_xlfn.TEXTJOIN("-",TRUE,A942,B942,C942)</f>
        <v/>
      </c>
      <c r="G459" s="23" t="n"/>
      <c r="H459" s="23" t="n"/>
      <c r="I459" s="24" t="n"/>
      <c r="J459" s="19">
        <f>_xlfn.TEXTJOIN("-",TRUE,F459,G459,H459)</f>
        <v/>
      </c>
    </row>
    <row r="460" customFormat="1" s="19">
      <c r="A460" s="32" t="inlineStr">
        <is>
          <t>295/80R22.5</t>
        </is>
      </c>
      <c r="B460" s="32" t="inlineStr">
        <is>
          <t>18PR</t>
        </is>
      </c>
      <c r="C460" s="32" t="inlineStr">
        <is>
          <t>GSR1</t>
        </is>
      </c>
      <c r="D460" s="29" t="inlineStr">
        <is>
          <t>✔</t>
        </is>
      </c>
      <c r="E460" s="28">
        <f>_xlfn.TEXTJOIN("-",TRUE,A460,B460,C460)</f>
        <v/>
      </c>
      <c r="F460" s="20">
        <f>_xlfn.TEXTJOIN("-",TRUE,A943,B943,C943)</f>
        <v/>
      </c>
      <c r="G460" s="23" t="n"/>
      <c r="H460" s="23" t="n"/>
      <c r="I460" s="24" t="n"/>
      <c r="J460" s="19">
        <f>_xlfn.TEXTJOIN("-",TRUE,F460,G460,H460)</f>
        <v/>
      </c>
    </row>
    <row r="461" customFormat="1" s="19">
      <c r="A461" s="32" t="inlineStr">
        <is>
          <t>295/80R22.5</t>
        </is>
      </c>
      <c r="B461" s="32" t="inlineStr">
        <is>
          <t>18PR</t>
        </is>
      </c>
      <c r="C461" s="32" t="inlineStr">
        <is>
          <t>AS567</t>
        </is>
      </c>
      <c r="D461" s="29" t="inlineStr">
        <is>
          <t>✔</t>
        </is>
      </c>
      <c r="E461" s="28">
        <f>_xlfn.TEXTJOIN("-",TRUE,A461,B461,C461)</f>
        <v/>
      </c>
      <c r="F461" s="20">
        <f>_xlfn.TEXTJOIN("-",TRUE,A944,B944,C944)</f>
        <v/>
      </c>
      <c r="G461" s="23" t="n"/>
      <c r="H461" s="23" t="n"/>
      <c r="I461" s="24" t="n"/>
      <c r="J461" s="19">
        <f>_xlfn.TEXTJOIN("-",TRUE,F461,G461,H461)</f>
        <v/>
      </c>
    </row>
    <row r="462" customFormat="1" s="19">
      <c r="A462" s="32" t="inlineStr">
        <is>
          <t>295/80R22.5</t>
        </is>
      </c>
      <c r="B462" s="32" t="inlineStr">
        <is>
          <t>18PR</t>
        </is>
      </c>
      <c r="C462" s="32" t="inlineStr">
        <is>
          <t>G-PERFORM O</t>
        </is>
      </c>
      <c r="D462" s="29" t="inlineStr">
        <is>
          <t>✔</t>
        </is>
      </c>
      <c r="E462" s="28">
        <f>_xlfn.TEXTJOIN("-",TRUE,A462,B462,C462)</f>
        <v/>
      </c>
      <c r="F462" s="20">
        <f>_xlfn.TEXTJOIN("-",TRUE,A945,B945,C945)</f>
        <v/>
      </c>
      <c r="G462" s="23" t="n"/>
      <c r="H462" s="23" t="n"/>
      <c r="I462" s="24" t="n"/>
      <c r="J462" s="19">
        <f>_xlfn.TEXTJOIN("-",TRUE,F462,G462,H462)</f>
        <v/>
      </c>
    </row>
    <row r="463" customFormat="1" s="19">
      <c r="A463" s="32" t="inlineStr">
        <is>
          <t>295/80R22.5</t>
        </is>
      </c>
      <c r="B463" s="32" t="inlineStr">
        <is>
          <t>18PR</t>
        </is>
      </c>
      <c r="C463" s="32" t="inlineStr">
        <is>
          <t>CB972</t>
        </is>
      </c>
      <c r="D463" s="29" t="inlineStr">
        <is>
          <t>✔</t>
        </is>
      </c>
      <c r="E463" s="28">
        <f>_xlfn.TEXTJOIN("-",TRUE,A463,B463,C463)</f>
        <v/>
      </c>
      <c r="F463" s="20">
        <f>_xlfn.TEXTJOIN("-",TRUE,A946,B946,C946)</f>
        <v/>
      </c>
      <c r="G463" s="23" t="n"/>
      <c r="H463" s="23" t="n"/>
      <c r="I463" s="24" t="n"/>
      <c r="J463" s="19">
        <f>_xlfn.TEXTJOIN("-",TRUE,F463,G463,H463)</f>
        <v/>
      </c>
    </row>
    <row r="464" customFormat="1" s="19">
      <c r="A464" s="32" t="inlineStr">
        <is>
          <t>295/80R22.5</t>
        </is>
      </c>
      <c r="B464" s="32" t="inlineStr">
        <is>
          <t>18PR</t>
        </is>
      </c>
      <c r="C464" s="32" t="inlineStr">
        <is>
          <t>BLOCK D-I</t>
        </is>
      </c>
      <c r="D464" s="29" t="inlineStr">
        <is>
          <t>✔</t>
        </is>
      </c>
      <c r="E464" s="28">
        <f>_xlfn.TEXTJOIN("-",TRUE,A464,B464,C464)</f>
        <v/>
      </c>
      <c r="F464" s="20">
        <f>_xlfn.TEXTJOIN("-",TRUE,A947,B947,C947)</f>
        <v/>
      </c>
      <c r="G464" s="23" t="n"/>
      <c r="H464" s="23" t="n"/>
      <c r="I464" s="24" t="n"/>
      <c r="J464" s="19">
        <f>_xlfn.TEXTJOIN("-",TRUE,F464,G464,H464)</f>
        <v/>
      </c>
    </row>
    <row r="465" customFormat="1" s="19">
      <c r="A465" s="32" t="inlineStr">
        <is>
          <t>295/80R22.5</t>
        </is>
      </c>
      <c r="B465" s="32" t="inlineStr">
        <is>
          <t>18PR</t>
        </is>
      </c>
      <c r="C465" s="32" t="inlineStr">
        <is>
          <t>CB919</t>
        </is>
      </c>
      <c r="D465" s="29" t="inlineStr">
        <is>
          <t>✔</t>
        </is>
      </c>
      <c r="E465" s="28">
        <f>_xlfn.TEXTJOIN("-",TRUE,A465,B465,C465)</f>
        <v/>
      </c>
      <c r="F465" s="20">
        <f>_xlfn.TEXTJOIN("-",TRUE,A948,B948,C948)</f>
        <v/>
      </c>
      <c r="G465" s="23" t="n"/>
      <c r="H465" s="23" t="n"/>
      <c r="I465" s="24" t="n"/>
      <c r="J465" s="19">
        <f>_xlfn.TEXTJOIN("-",TRUE,F465,G465,H465)</f>
        <v/>
      </c>
    </row>
    <row r="466" customFormat="1" s="19">
      <c r="A466" s="32" t="inlineStr">
        <is>
          <t>295/80R22.5</t>
        </is>
      </c>
      <c r="B466" s="32" t="inlineStr">
        <is>
          <t>18PR</t>
        </is>
      </c>
      <c r="C466" s="32" t="inlineStr">
        <is>
          <t>AS898</t>
        </is>
      </c>
      <c r="D466" s="29" t="inlineStr">
        <is>
          <t>✔</t>
        </is>
      </c>
      <c r="E466" s="28">
        <f>_xlfn.TEXTJOIN("-",TRUE,A466,B466,C466)</f>
        <v/>
      </c>
      <c r="F466" s="20">
        <f>_xlfn.TEXTJOIN("-",TRUE,A949,B949,C949)</f>
        <v/>
      </c>
      <c r="G466" s="23" t="n"/>
      <c r="H466" s="23" t="n"/>
      <c r="I466" s="24" t="n"/>
      <c r="J466" s="19">
        <f>_xlfn.TEXTJOIN("-",TRUE,F466,G466,H466)</f>
        <v/>
      </c>
    </row>
    <row r="467" customFormat="1" s="19">
      <c r="A467" s="32" t="inlineStr">
        <is>
          <t>295/80R22.5</t>
        </is>
      </c>
      <c r="B467" s="32" t="inlineStr">
        <is>
          <t>18PR</t>
        </is>
      </c>
      <c r="C467" s="32" t="inlineStr">
        <is>
          <t>AS898</t>
        </is>
      </c>
      <c r="D467" s="29" t="inlineStr">
        <is>
          <t>✔</t>
        </is>
      </c>
      <c r="E467" s="28">
        <f>_xlfn.TEXTJOIN("-",TRUE,A467,B467,C467)</f>
        <v/>
      </c>
      <c r="F467" s="20">
        <f>_xlfn.TEXTJOIN("-",TRUE,A950,B950,C950)</f>
        <v/>
      </c>
      <c r="G467" s="23" t="n"/>
      <c r="H467" s="23" t="n"/>
      <c r="I467" s="24" t="n"/>
      <c r="J467" s="19">
        <f>_xlfn.TEXTJOIN("-",TRUE,F467,G467,H467)</f>
        <v/>
      </c>
    </row>
    <row r="468" customFormat="1" s="19">
      <c r="A468" s="32" t="inlineStr">
        <is>
          <t>295/80R22.5</t>
        </is>
      </c>
      <c r="B468" s="32" t="inlineStr">
        <is>
          <t>18PR</t>
        </is>
      </c>
      <c r="C468" s="32" t="inlineStr">
        <is>
          <t>G-PRO S</t>
        </is>
      </c>
      <c r="D468" s="29" t="inlineStr">
        <is>
          <t>✔</t>
        </is>
      </c>
      <c r="E468" s="28">
        <f>_xlfn.TEXTJOIN("-",TRUE,A468,B468,C468)</f>
        <v/>
      </c>
      <c r="F468" s="20">
        <f>_xlfn.TEXTJOIN("-",TRUE,A951,B951,C951)</f>
        <v/>
      </c>
      <c r="G468" s="23" t="n"/>
      <c r="H468" s="23" t="n"/>
      <c r="I468" s="24" t="n"/>
      <c r="J468" s="19">
        <f>_xlfn.TEXTJOIN("-",TRUE,F468,G468,H468)</f>
        <v/>
      </c>
    </row>
    <row r="469" customFormat="1" s="19">
      <c r="A469" s="32" t="inlineStr">
        <is>
          <t>295/80R22.5</t>
        </is>
      </c>
      <c r="B469" s="32" t="inlineStr">
        <is>
          <t>18PR</t>
        </is>
      </c>
      <c r="C469" s="32" t="inlineStr">
        <is>
          <t>NEOLINE A-I</t>
        </is>
      </c>
      <c r="D469" s="29" t="inlineStr">
        <is>
          <t>✔</t>
        </is>
      </c>
      <c r="E469" s="28">
        <f>_xlfn.TEXTJOIN("-",TRUE,A469,B469,C469)</f>
        <v/>
      </c>
      <c r="F469" s="20">
        <f>_xlfn.TEXTJOIN("-",TRUE,A952,B952,C952)</f>
        <v/>
      </c>
      <c r="G469" s="23" t="n"/>
      <c r="H469" s="23" t="n"/>
      <c r="I469" s="24" t="n"/>
      <c r="J469" s="19">
        <f>_xlfn.TEXTJOIN("-",TRUE,F469,G469,H469)</f>
        <v/>
      </c>
    </row>
    <row r="470" customFormat="1" s="19">
      <c r="A470" s="34" t="inlineStr">
        <is>
          <t>295/80R22.5</t>
        </is>
      </c>
      <c r="B470" s="32" t="inlineStr">
        <is>
          <t>18PR</t>
        </is>
      </c>
      <c r="C470" s="36" t="inlineStr">
        <is>
          <t>AZ183</t>
        </is>
      </c>
      <c r="D470" s="29" t="inlineStr">
        <is>
          <t>✔</t>
        </is>
      </c>
      <c r="E470" s="28">
        <f>_xlfn.TEXTJOIN("-",TRUE,A470,B470,C470)</f>
        <v/>
      </c>
      <c r="F470" s="20">
        <f>_xlfn.TEXTJOIN("-",TRUE,A953,B953,C953)</f>
        <v/>
      </c>
      <c r="G470" s="23" t="n"/>
      <c r="H470" s="23" t="n"/>
      <c r="I470" s="24" t="n"/>
      <c r="J470" s="19">
        <f>_xlfn.TEXTJOIN("-",TRUE,F470,G470,H470)</f>
        <v/>
      </c>
    </row>
    <row r="471" customFormat="1" s="19">
      <c r="A471" s="32" t="inlineStr">
        <is>
          <t>295/80R22.5</t>
        </is>
      </c>
      <c r="B471" s="32" t="inlineStr">
        <is>
          <t>18PR</t>
        </is>
      </c>
      <c r="C471" s="32" t="inlineStr">
        <is>
          <t>BMA02 ECO</t>
        </is>
      </c>
      <c r="D471" s="29" t="inlineStr">
        <is>
          <t>✔</t>
        </is>
      </c>
      <c r="E471" s="28">
        <f>_xlfn.TEXTJOIN("-",TRUE,A471,B471,C471)</f>
        <v/>
      </c>
      <c r="F471" s="20">
        <f>_xlfn.TEXTJOIN("-",TRUE,A954,B954,C954)</f>
        <v/>
      </c>
      <c r="G471" s="23" t="n"/>
      <c r="H471" s="23" t="n"/>
      <c r="I471" s="24" t="n"/>
      <c r="J471" s="19">
        <f>_xlfn.TEXTJOIN("-",TRUE,F471,G471,H471)</f>
        <v/>
      </c>
    </row>
    <row r="472" customFormat="1" s="19">
      <c r="A472" s="32" t="n"/>
      <c r="B472" s="32" t="n"/>
      <c r="C472" s="32" t="n"/>
      <c r="D472" s="29" t="n"/>
      <c r="E472" s="28">
        <f>_xlfn.TEXTJOIN("-",TRUE,A472,B472,C472)</f>
        <v/>
      </c>
      <c r="F472" s="20">
        <f>_xlfn.TEXTJOIN("-",TRUE,A955,B955,C955)</f>
        <v/>
      </c>
      <c r="G472" s="23" t="n"/>
      <c r="H472" s="23" t="n"/>
      <c r="I472" s="24" t="n"/>
      <c r="J472" s="19">
        <f>_xlfn.TEXTJOIN("-",TRUE,F472,G472,H472)</f>
        <v/>
      </c>
    </row>
    <row r="473" customFormat="1" s="19">
      <c r="A473" s="32" t="inlineStr">
        <is>
          <t>315/80R22.5</t>
        </is>
      </c>
      <c r="B473" s="32" t="inlineStr">
        <is>
          <t>20PR</t>
        </is>
      </c>
      <c r="C473" s="32" t="inlineStr">
        <is>
          <t>CR926B</t>
        </is>
      </c>
      <c r="D473" s="29" t="inlineStr">
        <is>
          <t>✔</t>
        </is>
      </c>
      <c r="E473" s="28">
        <f>_xlfn.TEXTJOIN("-",TRUE,A473,B473,C473)</f>
        <v/>
      </c>
      <c r="F473" s="20">
        <f>_xlfn.TEXTJOIN("-",TRUE,A956,B956,C956)</f>
        <v/>
      </c>
      <c r="G473" s="23" t="n"/>
      <c r="H473" s="23" t="n"/>
      <c r="I473" s="24" t="n"/>
      <c r="J473" s="19">
        <f>_xlfn.TEXTJOIN("-",TRUE,F473,G473,H473)</f>
        <v/>
      </c>
    </row>
    <row r="474" customFormat="1" s="19">
      <c r="A474" s="32" t="inlineStr">
        <is>
          <t>315/80R22.5</t>
        </is>
      </c>
      <c r="B474" s="32" t="inlineStr">
        <is>
          <t>20PR</t>
        </is>
      </c>
      <c r="C474" s="32" t="inlineStr">
        <is>
          <t>ZM41</t>
        </is>
      </c>
      <c r="D474" s="29" t="inlineStr">
        <is>
          <t>✔</t>
        </is>
      </c>
      <c r="E474" s="28">
        <f>_xlfn.TEXTJOIN("-",TRUE,A474,B474,C474)</f>
        <v/>
      </c>
      <c r="F474" s="20">
        <f>_xlfn.TEXTJOIN("-",TRUE,A957,B957,C957)</f>
        <v/>
      </c>
      <c r="G474" s="23" t="n"/>
      <c r="H474" s="23" t="n"/>
      <c r="I474" s="24" t="n"/>
      <c r="J474" s="19">
        <f>_xlfn.TEXTJOIN("-",TRUE,F474,G474,H474)</f>
        <v/>
      </c>
    </row>
    <row r="475" customFormat="1" s="19">
      <c r="A475" s="32" t="inlineStr">
        <is>
          <t>315/80R22.5</t>
        </is>
      </c>
      <c r="B475" s="32" t="inlineStr">
        <is>
          <t>20PR</t>
        </is>
      </c>
      <c r="C475" s="32" t="inlineStr">
        <is>
          <t>AD710A</t>
        </is>
      </c>
      <c r="D475" s="29" t="inlineStr">
        <is>
          <t>✔</t>
        </is>
      </c>
      <c r="E475" s="28">
        <f>_xlfn.TEXTJOIN("-",TRUE,A475,B475,C475)</f>
        <v/>
      </c>
      <c r="F475" s="20">
        <f>_xlfn.TEXTJOIN("-",TRUE,A958,B958,C958)</f>
        <v/>
      </c>
      <c r="G475" s="23" t="n"/>
      <c r="H475" s="23" t="n"/>
      <c r="I475" s="24" t="n"/>
      <c r="J475" s="19">
        <f>_xlfn.TEXTJOIN("-",TRUE,F475,G475,H475)</f>
        <v/>
      </c>
    </row>
    <row r="476" customFormat="1" s="19">
      <c r="A476" s="32" t="inlineStr">
        <is>
          <t>315/80R22.5</t>
        </is>
      </c>
      <c r="B476" s="32" t="inlineStr">
        <is>
          <t>20PR</t>
        </is>
      </c>
      <c r="C476" s="32" t="inlineStr">
        <is>
          <t>AS578</t>
        </is>
      </c>
      <c r="D476" s="29" t="inlineStr">
        <is>
          <t>✔</t>
        </is>
      </c>
      <c r="E476" s="28">
        <f>_xlfn.TEXTJOIN("-",TRUE,A476,B476,C476)</f>
        <v/>
      </c>
      <c r="F476" s="20">
        <f>_xlfn.TEXTJOIN("-",TRUE,A959,B959,C959)</f>
        <v/>
      </c>
      <c r="G476" s="23" t="n"/>
      <c r="H476" s="23" t="n"/>
      <c r="I476" s="24" t="n"/>
      <c r="J476" s="19">
        <f>_xlfn.TEXTJOIN("-",TRUE,F476,G476,H476)</f>
        <v/>
      </c>
    </row>
    <row r="477" customFormat="1" s="19">
      <c r="A477" s="32" t="inlineStr">
        <is>
          <t>315/80R22.5</t>
        </is>
      </c>
      <c r="B477" s="32" t="inlineStr">
        <is>
          <t>20PR</t>
        </is>
      </c>
      <c r="C477" s="32" t="inlineStr">
        <is>
          <t>AZ599</t>
        </is>
      </c>
      <c r="D477" s="29" t="inlineStr">
        <is>
          <t>✔</t>
        </is>
      </c>
      <c r="E477" s="28">
        <f>_xlfn.TEXTJOIN("-",TRUE,A477,B477,C477)</f>
        <v/>
      </c>
      <c r="F477" s="20">
        <f>_xlfn.TEXTJOIN("-",TRUE,A960,B960,C960)</f>
        <v/>
      </c>
      <c r="G477" s="23" t="n"/>
      <c r="H477" s="23" t="n"/>
      <c r="I477" s="24" t="n"/>
      <c r="J477" s="19">
        <f>_xlfn.TEXTJOIN("-",TRUE,F477,G477,H477)</f>
        <v/>
      </c>
    </row>
    <row r="478" customFormat="1" s="19">
      <c r="A478" s="32" t="inlineStr">
        <is>
          <t>315/80R22.5</t>
        </is>
      </c>
      <c r="B478" s="32" t="inlineStr">
        <is>
          <t>20PR</t>
        </is>
      </c>
      <c r="C478" s="32" t="inlineStr">
        <is>
          <t>CR960A</t>
        </is>
      </c>
      <c r="D478" s="29" t="inlineStr">
        <is>
          <t>✔</t>
        </is>
      </c>
      <c r="E478" s="28">
        <f>_xlfn.TEXTJOIN("-",TRUE,A478,B478,C478)</f>
        <v/>
      </c>
      <c r="F478" s="20">
        <f>_xlfn.TEXTJOIN("-",TRUE,A961,B961,C961)</f>
        <v/>
      </c>
      <c r="G478" s="23" t="n"/>
      <c r="H478" s="23" t="n"/>
      <c r="I478" s="24" t="n"/>
      <c r="J478" s="19">
        <f>_xlfn.TEXTJOIN("-",TRUE,F478,G478,H478)</f>
        <v/>
      </c>
    </row>
    <row r="479" customFormat="1" s="19">
      <c r="A479" s="32" t="inlineStr">
        <is>
          <t>315/80R22.5</t>
        </is>
      </c>
      <c r="B479" s="32" t="inlineStr">
        <is>
          <t>20PR</t>
        </is>
      </c>
      <c r="C479" s="32" t="inlineStr">
        <is>
          <t>CM958</t>
        </is>
      </c>
      <c r="D479" s="29" t="inlineStr">
        <is>
          <t>✔</t>
        </is>
      </c>
      <c r="E479" s="28">
        <f>_xlfn.TEXTJOIN("-",TRUE,A479,B479,C479)</f>
        <v/>
      </c>
      <c r="F479" s="20">
        <f>_xlfn.TEXTJOIN("-",TRUE,A962,B962,C962)</f>
        <v/>
      </c>
      <c r="G479" s="23" t="n"/>
      <c r="H479" s="23" t="n"/>
      <c r="I479" s="24" t="n"/>
      <c r="J479" s="19">
        <f>_xlfn.TEXTJOIN("-",TRUE,F479,G479,H479)</f>
        <v/>
      </c>
    </row>
    <row r="480" customFormat="1" s="19">
      <c r="A480" s="32" t="inlineStr">
        <is>
          <t>315/80R22.5</t>
        </is>
      </c>
      <c r="B480" s="32" t="inlineStr">
        <is>
          <t>20PR</t>
        </is>
      </c>
      <c r="C480" s="32" t="inlineStr">
        <is>
          <t>VA996</t>
        </is>
      </c>
      <c r="D480" s="29" t="inlineStr">
        <is>
          <t>✔</t>
        </is>
      </c>
      <c r="E480" s="28">
        <f>_xlfn.TEXTJOIN("-",TRUE,A480,B480,C480)</f>
        <v/>
      </c>
      <c r="F480" s="20">
        <f>_xlfn.TEXTJOIN("-",TRUE,A963,B963,C963)</f>
        <v/>
      </c>
      <c r="G480" s="23" t="n"/>
      <c r="H480" s="23" t="n"/>
      <c r="I480" s="24" t="n"/>
      <c r="J480" s="19">
        <f>_xlfn.TEXTJOIN("-",TRUE,F480,G480,H480)</f>
        <v/>
      </c>
    </row>
    <row r="481" customFormat="1" s="19">
      <c r="A481" s="32" t="inlineStr">
        <is>
          <t>315/80R22.5</t>
        </is>
      </c>
      <c r="B481" s="32" t="inlineStr">
        <is>
          <t>20PR</t>
        </is>
      </c>
      <c r="C481" s="32" t="inlineStr">
        <is>
          <t>I-31M</t>
        </is>
      </c>
      <c r="D481" s="29" t="inlineStr">
        <is>
          <t>✔</t>
        </is>
      </c>
      <c r="E481" s="28">
        <f>_xlfn.TEXTJOIN("-",TRUE,A481,B481,C481)</f>
        <v/>
      </c>
      <c r="F481" s="20">
        <f>_xlfn.TEXTJOIN("-",TRUE,A964,B964,C964)</f>
        <v/>
      </c>
      <c r="G481" s="23" t="n"/>
      <c r="H481" s="23" t="n"/>
      <c r="I481" s="24" t="n"/>
      <c r="J481" s="19">
        <f>_xlfn.TEXTJOIN("-",TRUE,F481,G481,H481)</f>
        <v/>
      </c>
    </row>
    <row r="482" customFormat="1" s="19">
      <c r="A482" s="32" t="inlineStr">
        <is>
          <t>315/80R22.5</t>
        </is>
      </c>
      <c r="B482" s="32" t="inlineStr">
        <is>
          <t>20PR</t>
        </is>
      </c>
      <c r="C482" s="32" t="inlineStr">
        <is>
          <t>I-52A</t>
        </is>
      </c>
      <c r="D482" s="29" t="inlineStr">
        <is>
          <t>✔</t>
        </is>
      </c>
      <c r="E482" s="28">
        <f>_xlfn.TEXTJOIN("-",TRUE,A482,B482,C482)</f>
        <v/>
      </c>
      <c r="F482" s="20">
        <f>_xlfn.TEXTJOIN("-",TRUE,A965,B965,C965)</f>
        <v/>
      </c>
      <c r="G482" s="23" t="n"/>
      <c r="H482" s="23" t="n"/>
      <c r="I482" s="24" t="n"/>
      <c r="J482" s="19">
        <f>_xlfn.TEXTJOIN("-",TRUE,F482,G482,H482)</f>
        <v/>
      </c>
    </row>
    <row r="483" customFormat="1" s="19">
      <c r="A483" s="32" t="inlineStr">
        <is>
          <t>315/80R22.5</t>
        </is>
      </c>
      <c r="B483" s="32" t="inlineStr">
        <is>
          <t>20PR</t>
        </is>
      </c>
      <c r="C483" s="32" t="inlineStr">
        <is>
          <t>CM923</t>
        </is>
      </c>
      <c r="D483" s="29" t="inlineStr">
        <is>
          <t>✔</t>
        </is>
      </c>
      <c r="E483" s="28">
        <f>_xlfn.TEXTJOIN("-",TRUE,A483,B483,C483)</f>
        <v/>
      </c>
      <c r="F483" s="20">
        <f>_xlfn.TEXTJOIN("-",TRUE,A966,B966,C966)</f>
        <v/>
      </c>
      <c r="G483" s="23" t="n"/>
      <c r="H483" s="23" t="n"/>
      <c r="I483" s="24" t="n"/>
      <c r="J483" s="19">
        <f>_xlfn.TEXTJOIN("-",TRUE,F483,G483,H483)</f>
        <v/>
      </c>
    </row>
    <row r="484" customFormat="1" s="19">
      <c r="A484" s="32" t="n"/>
      <c r="B484" s="32" t="n"/>
      <c r="C484" s="32" t="n"/>
      <c r="D484" s="29" t="n"/>
      <c r="E484" s="28">
        <f>_xlfn.TEXTJOIN("-",TRUE,A484,B484,C484)</f>
        <v/>
      </c>
      <c r="F484" s="20">
        <f>_xlfn.TEXTJOIN("-",TRUE,A967,B967,C967)</f>
        <v/>
      </c>
      <c r="G484" s="23" t="n"/>
      <c r="H484" s="23" t="n"/>
      <c r="I484" s="24" t="n"/>
      <c r="J484" s="19">
        <f>_xlfn.TEXTJOIN("-",TRUE,F484,G484,H484)</f>
        <v/>
      </c>
    </row>
    <row r="485" customFormat="1" s="19">
      <c r="A485" s="34" t="inlineStr">
        <is>
          <t>325/95R24</t>
        </is>
      </c>
      <c r="B485" s="32" t="inlineStr">
        <is>
          <t>22PR</t>
        </is>
      </c>
      <c r="C485" s="32" t="inlineStr">
        <is>
          <t>EZ336</t>
        </is>
      </c>
      <c r="D485" s="29" t="inlineStr">
        <is>
          <t>✔</t>
        </is>
      </c>
      <c r="E485" s="28">
        <f>_xlfn.TEXTJOIN("-",TRUE,A485,B485,C485)</f>
        <v/>
      </c>
      <c r="F485" s="20">
        <f>_xlfn.TEXTJOIN("-",TRUE,A968,B968,C968)</f>
        <v/>
      </c>
      <c r="G485" s="23" t="n"/>
      <c r="H485" s="23" t="n"/>
      <c r="I485" s="24" t="n"/>
      <c r="J485" s="19">
        <f>_xlfn.TEXTJOIN("-",TRUE,F485,G485,H485)</f>
        <v/>
      </c>
    </row>
    <row r="486" customFormat="1" s="19">
      <c r="A486" s="34" t="inlineStr">
        <is>
          <t>325/95R24</t>
        </is>
      </c>
      <c r="B486" s="32" t="inlineStr">
        <is>
          <t>22PR</t>
        </is>
      </c>
      <c r="C486" s="32" t="inlineStr">
        <is>
          <t>CB332</t>
        </is>
      </c>
      <c r="D486" s="29" t="inlineStr">
        <is>
          <t>✔</t>
        </is>
      </c>
      <c r="E486" s="28">
        <f>_xlfn.TEXTJOIN("-",TRUE,A486,B486,C486)</f>
        <v/>
      </c>
      <c r="F486" s="20">
        <f>_xlfn.TEXTJOIN("-",TRUE,A969,B969,C969)</f>
        <v/>
      </c>
      <c r="G486" s="23" t="n"/>
      <c r="H486" s="23" t="n"/>
      <c r="I486" s="24" t="n"/>
      <c r="J486" s="19">
        <f>_xlfn.TEXTJOIN("-",TRUE,F486,G486,H486)</f>
        <v/>
      </c>
    </row>
    <row r="487" customFormat="1" s="19">
      <c r="A487" s="34" t="inlineStr">
        <is>
          <t>325/95R24</t>
        </is>
      </c>
      <c r="B487" s="32" t="inlineStr">
        <is>
          <t>22PR</t>
        </is>
      </c>
      <c r="C487" s="32" t="inlineStr">
        <is>
          <t>CB919</t>
        </is>
      </c>
      <c r="D487" s="29" t="inlineStr">
        <is>
          <t>✔</t>
        </is>
      </c>
      <c r="E487" s="28">
        <f>_xlfn.TEXTJOIN("-",TRUE,A487,B487,C487)</f>
        <v/>
      </c>
      <c r="F487" s="20">
        <f>_xlfn.TEXTJOIN("-",TRUE,A970,B970,C970)</f>
        <v/>
      </c>
      <c r="G487" s="23" t="n"/>
      <c r="H487" s="23" t="n"/>
      <c r="I487" s="24" t="n"/>
      <c r="J487" s="19">
        <f>_xlfn.TEXTJOIN("-",TRUE,F487,G487,H487)</f>
        <v/>
      </c>
    </row>
    <row r="488" customFormat="1" s="19">
      <c r="A488" s="34" t="inlineStr">
        <is>
          <t>325/95R24</t>
        </is>
      </c>
      <c r="B488" s="32" t="inlineStr">
        <is>
          <t>22PR</t>
        </is>
      </c>
      <c r="C488" s="32" t="inlineStr">
        <is>
          <t>CB972</t>
        </is>
      </c>
      <c r="D488" s="29" t="inlineStr">
        <is>
          <t>✔</t>
        </is>
      </c>
      <c r="E488" s="28">
        <f>_xlfn.TEXTJOIN("-",TRUE,A488,B488,C488)</f>
        <v/>
      </c>
      <c r="F488" s="20">
        <f>_xlfn.TEXTJOIN("-",TRUE,A971,B971,C971)</f>
        <v/>
      </c>
      <c r="G488" s="23" t="n"/>
      <c r="H488" s="23" t="n"/>
      <c r="I488" s="24" t="n"/>
      <c r="J488" s="19">
        <f>_xlfn.TEXTJOIN("-",TRUE,F488,G488,H488)</f>
        <v/>
      </c>
    </row>
    <row r="489" customFormat="1" s="19">
      <c r="A489" s="34" t="inlineStr">
        <is>
          <t>325/95R24</t>
        </is>
      </c>
      <c r="B489" s="32" t="inlineStr">
        <is>
          <t>22PR</t>
        </is>
      </c>
      <c r="C489" s="32" t="inlineStr">
        <is>
          <t>AZ691</t>
        </is>
      </c>
      <c r="D489" s="29" t="inlineStr">
        <is>
          <t>✔</t>
        </is>
      </c>
      <c r="E489" s="28">
        <f>_xlfn.TEXTJOIN("-",TRUE,A489,B489,C489)</f>
        <v/>
      </c>
      <c r="F489" s="20">
        <f>_xlfn.TEXTJOIN("-",TRUE,A972,B972,C972)</f>
        <v/>
      </c>
      <c r="G489" s="23" t="n"/>
      <c r="H489" s="23" t="n"/>
      <c r="I489" s="24" t="n"/>
      <c r="J489" s="19">
        <f>_xlfn.TEXTJOIN("-",TRUE,F489,G489,H489)</f>
        <v/>
      </c>
    </row>
    <row r="490" customFormat="1" s="19">
      <c r="A490" s="34" t="inlineStr">
        <is>
          <t>325/95R24</t>
        </is>
      </c>
      <c r="B490" s="32" t="inlineStr">
        <is>
          <t>22PR</t>
        </is>
      </c>
      <c r="C490" s="32" t="inlineStr">
        <is>
          <t>AZ828</t>
        </is>
      </c>
      <c r="D490" s="29" t="inlineStr">
        <is>
          <t>✔</t>
        </is>
      </c>
      <c r="E490" s="28">
        <f>_xlfn.TEXTJOIN("-",TRUE,A490,B490,C490)</f>
        <v/>
      </c>
      <c r="F490" s="20">
        <f>_xlfn.TEXTJOIN("-",TRUE,A973,B973,C973)</f>
        <v/>
      </c>
      <c r="G490" s="23" t="n"/>
      <c r="H490" s="23" t="n"/>
      <c r="I490" s="24" t="n"/>
      <c r="J490" s="19">
        <f>_xlfn.TEXTJOIN("-",TRUE,F490,G490,H490)</f>
        <v/>
      </c>
    </row>
    <row r="491" customFormat="1" s="19">
      <c r="A491" s="34" t="inlineStr">
        <is>
          <t>325/95R24</t>
        </is>
      </c>
      <c r="B491" s="32" t="inlineStr">
        <is>
          <t>22PR</t>
        </is>
      </c>
      <c r="C491" s="32" t="inlineStr">
        <is>
          <t>CM912A</t>
        </is>
      </c>
      <c r="D491" s="29" t="inlineStr">
        <is>
          <t>✔</t>
        </is>
      </c>
      <c r="E491" s="28">
        <f>_xlfn.TEXTJOIN("-",TRUE,A491,B491,C491)</f>
        <v/>
      </c>
      <c r="F491" s="20">
        <f>_xlfn.TEXTJOIN("-",TRUE,A974,B974,C974)</f>
        <v/>
      </c>
      <c r="G491" s="23" t="n"/>
      <c r="H491" s="23" t="n"/>
      <c r="I491" s="24" t="n"/>
      <c r="J491" s="19">
        <f>_xlfn.TEXTJOIN("-",TRUE,F491,G491,H491)</f>
        <v/>
      </c>
    </row>
    <row r="492" customFormat="1" s="19">
      <c r="A492" s="34" t="inlineStr">
        <is>
          <t>325/95R24</t>
        </is>
      </c>
      <c r="B492" s="32" t="inlineStr">
        <is>
          <t>22PR</t>
        </is>
      </c>
      <c r="C492" s="32" t="inlineStr">
        <is>
          <t>AZ272</t>
        </is>
      </c>
      <c r="D492" s="29" t="inlineStr">
        <is>
          <t>✔</t>
        </is>
      </c>
      <c r="E492" s="28">
        <f>_xlfn.TEXTJOIN("-",TRUE,A492,B492,C492)</f>
        <v/>
      </c>
      <c r="F492" s="20" t="n"/>
      <c r="G492" s="23" t="n"/>
      <c r="H492" s="23" t="n"/>
      <c r="I492" s="24" t="n"/>
      <c r="J492" s="19">
        <f>_xlfn.TEXTJOIN("-",TRUE,F492,G492,H492)</f>
        <v/>
      </c>
    </row>
    <row r="493" customFormat="1" s="19">
      <c r="A493" s="34" t="inlineStr">
        <is>
          <t>325/95R24</t>
        </is>
      </c>
      <c r="B493" s="32" t="inlineStr">
        <is>
          <t>22PR</t>
        </is>
      </c>
      <c r="C493" s="32" t="inlineStr">
        <is>
          <t>CM913A</t>
        </is>
      </c>
      <c r="D493" s="29" t="inlineStr">
        <is>
          <t>✔</t>
        </is>
      </c>
      <c r="E493" s="28">
        <f>_xlfn.TEXTJOIN("-",TRUE,A493,B493,C493)</f>
        <v/>
      </c>
      <c r="F493" s="20" t="n"/>
      <c r="G493" s="23" t="n"/>
      <c r="H493" s="23" t="n"/>
      <c r="I493" s="24" t="n"/>
      <c r="J493" s="19">
        <f>_xlfn.TEXTJOIN("-",TRUE,F493,G493,H493)</f>
        <v/>
      </c>
    </row>
    <row r="494" customFormat="1" s="19">
      <c r="A494" s="34" t="inlineStr">
        <is>
          <t>325/95R24</t>
        </is>
      </c>
      <c r="B494" s="32" t="inlineStr">
        <is>
          <t>22PR</t>
        </is>
      </c>
      <c r="C494" s="36" t="inlineStr">
        <is>
          <t>MD752</t>
        </is>
      </c>
      <c r="D494" s="48" t="inlineStr">
        <is>
          <t>✔</t>
        </is>
      </c>
      <c r="E494" s="28">
        <f>_xlfn.TEXTJOIN("-",TRUE,A494,B494,C494)</f>
        <v/>
      </c>
      <c r="F494" s="20" t="n"/>
      <c r="G494" s="23" t="n"/>
      <c r="H494" s="23" t="n"/>
      <c r="I494" s="24" t="n"/>
      <c r="J494" s="19">
        <f>_xlfn.TEXTJOIN("-",TRUE,F494,G494,H494)</f>
        <v/>
      </c>
    </row>
    <row r="495" customFormat="1" s="19">
      <c r="A495" s="34" t="inlineStr">
        <is>
          <t>325/95R24</t>
        </is>
      </c>
      <c r="B495" s="32" t="inlineStr">
        <is>
          <t>22PR</t>
        </is>
      </c>
      <c r="C495" s="32" t="inlineStr">
        <is>
          <t>CB972E</t>
        </is>
      </c>
      <c r="D495" s="29" t="inlineStr">
        <is>
          <t>✔</t>
        </is>
      </c>
      <c r="E495" s="28">
        <f>_xlfn.TEXTJOIN("-",TRUE,A495,B495,C495)</f>
        <v/>
      </c>
      <c r="F495" s="20" t="n"/>
      <c r="G495" s="23" t="n"/>
      <c r="H495" s="23" t="n"/>
      <c r="I495" s="24" t="n"/>
      <c r="J495" s="19">
        <f>_xlfn.TEXTJOIN("-",TRUE,F495,G495,H495)</f>
        <v/>
      </c>
    </row>
    <row r="496" customFormat="1" s="19">
      <c r="A496" s="34" t="inlineStr">
        <is>
          <t>325/95R24</t>
        </is>
      </c>
      <c r="B496" s="32" t="inlineStr">
        <is>
          <t>22PR</t>
        </is>
      </c>
      <c r="C496" s="32" t="inlineStr">
        <is>
          <t>EZ865</t>
        </is>
      </c>
      <c r="D496" s="67" t="inlineStr">
        <is>
          <t>✔</t>
        </is>
      </c>
      <c r="E496" s="28">
        <f>_xlfn.TEXTJOIN("-",TRUE,A496,B496,C496)</f>
        <v/>
      </c>
      <c r="F496" s="20" t="n"/>
      <c r="G496" s="23" t="n"/>
      <c r="H496" s="23" t="n"/>
      <c r="I496" s="24" t="n"/>
      <c r="J496" s="19">
        <f>_xlfn.TEXTJOIN("-",TRUE,F496,G496,H496)</f>
        <v/>
      </c>
    </row>
    <row r="497" customFormat="1" s="19">
      <c r="A497" s="68" t="inlineStr">
        <is>
          <t>325/95R24</t>
        </is>
      </c>
      <c r="B497" s="36" t="inlineStr">
        <is>
          <t>22PR</t>
        </is>
      </c>
      <c r="C497" s="36" t="inlineStr">
        <is>
          <t>EZ509</t>
        </is>
      </c>
      <c r="D497" s="67" t="inlineStr">
        <is>
          <t>✔</t>
        </is>
      </c>
      <c r="E497" s="28">
        <f>_xlfn.TEXTJOIN("-",TRUE,A497,B497,C497)</f>
        <v/>
      </c>
      <c r="F497" s="20" t="n"/>
      <c r="G497" s="23" t="n"/>
      <c r="H497" s="23" t="n"/>
      <c r="I497" s="24" t="n"/>
      <c r="J497" s="19">
        <f>_xlfn.TEXTJOIN("-",TRUE,F497,G497,H497)</f>
        <v/>
      </c>
    </row>
    <row r="498" customFormat="1" s="19">
      <c r="A498" s="32" t="n"/>
      <c r="B498" s="32" t="n"/>
      <c r="C498" s="32" t="n"/>
      <c r="D498" s="29" t="n"/>
      <c r="E498" s="28">
        <f>_xlfn.TEXTJOIN("-",TRUE,A498,B498,C498)</f>
        <v/>
      </c>
      <c r="F498" s="20" t="n"/>
      <c r="G498" s="23" t="n"/>
      <c r="H498" s="23" t="n"/>
      <c r="I498" s="24" t="n"/>
      <c r="J498" s="19">
        <f>_xlfn.TEXTJOIN("-",TRUE,F498,G498,H498)</f>
        <v/>
      </c>
    </row>
    <row r="499" customFormat="1" s="19">
      <c r="A499" s="32" t="inlineStr">
        <is>
          <t>385/65R22.5</t>
        </is>
      </c>
      <c r="B499" s="32" t="inlineStr">
        <is>
          <t>20PR</t>
        </is>
      </c>
      <c r="C499" s="32" t="inlineStr">
        <is>
          <t>VA916</t>
        </is>
      </c>
      <c r="D499" s="29" t="inlineStr">
        <is>
          <t>✔</t>
        </is>
      </c>
      <c r="E499" s="28">
        <f>_xlfn.TEXTJOIN("-",TRUE,A499,B499,C499)</f>
        <v/>
      </c>
      <c r="F499" s="20" t="n"/>
      <c r="G499" s="23" t="n"/>
      <c r="H499" s="23" t="n"/>
      <c r="I499" s="24" t="n"/>
      <c r="J499" s="19">
        <f>_xlfn.TEXTJOIN("-",TRUE,F499,G499,H499)</f>
        <v/>
      </c>
    </row>
    <row r="500" customFormat="1" s="19">
      <c r="A500" s="32" t="inlineStr">
        <is>
          <t>385/65R22.5</t>
        </is>
      </c>
      <c r="B500" s="32" t="inlineStr">
        <is>
          <t>20PR</t>
        </is>
      </c>
      <c r="C500" s="32" t="inlineStr">
        <is>
          <t>AZ577</t>
        </is>
      </c>
      <c r="D500" s="29" t="inlineStr">
        <is>
          <t>✔</t>
        </is>
      </c>
      <c r="E500" s="28">
        <f>_xlfn.TEXTJOIN("-",TRUE,A500,B500,C500)</f>
        <v/>
      </c>
      <c r="F500" s="20" t="n"/>
      <c r="G500" s="23" t="n"/>
      <c r="H500" s="23" t="n"/>
      <c r="I500" s="24" t="n"/>
    </row>
    <row r="501" customFormat="1" s="19">
      <c r="A501" s="32" t="inlineStr">
        <is>
          <t>385/65R22.5</t>
        </is>
      </c>
      <c r="B501" s="32" t="inlineStr">
        <is>
          <t>20PR</t>
        </is>
      </c>
      <c r="C501" s="32" t="inlineStr">
        <is>
          <t>ZM42</t>
        </is>
      </c>
      <c r="D501" s="29" t="inlineStr">
        <is>
          <t>✔</t>
        </is>
      </c>
      <c r="E501" s="28">
        <f>_xlfn.TEXTJOIN("-",TRUE,A501,B501,C501)</f>
        <v/>
      </c>
      <c r="F501" s="20" t="n"/>
      <c r="G501" s="23" t="n"/>
      <c r="H501" s="23" t="n"/>
      <c r="I501" s="24" t="n"/>
    </row>
    <row r="502" customFormat="1" s="19">
      <c r="A502" s="32" t="inlineStr">
        <is>
          <t>385/65R22.5</t>
        </is>
      </c>
      <c r="B502" s="32" t="inlineStr">
        <is>
          <t>20PR</t>
        </is>
      </c>
      <c r="C502" s="32" t="inlineStr">
        <is>
          <t>AT532</t>
        </is>
      </c>
      <c r="D502" s="29" t="inlineStr">
        <is>
          <t>✔</t>
        </is>
      </c>
      <c r="E502" s="28">
        <f>_xlfn.TEXTJOIN("-",TRUE,A502,B502,C502)</f>
        <v/>
      </c>
      <c r="F502" s="20" t="n"/>
      <c r="G502" s="23" t="n"/>
      <c r="H502" s="23" t="n"/>
      <c r="I502" s="24" t="n"/>
    </row>
    <row r="503" customFormat="1" s="19">
      <c r="A503" s="32" t="inlineStr">
        <is>
          <t>385/65R22.5</t>
        </is>
      </c>
      <c r="B503" s="32" t="inlineStr">
        <is>
          <t>20PR</t>
        </is>
      </c>
      <c r="C503" s="32" t="inlineStr">
        <is>
          <t>I-42W</t>
        </is>
      </c>
      <c r="D503" s="29" t="inlineStr">
        <is>
          <t>✔</t>
        </is>
      </c>
      <c r="E503" s="28">
        <f>_xlfn.TEXTJOIN("-",TRUE,A503,B503,C503)</f>
        <v/>
      </c>
      <c r="F503" s="20" t="n"/>
      <c r="G503" s="23" t="n"/>
      <c r="H503" s="23" t="n"/>
      <c r="I503" s="24" t="n"/>
    </row>
    <row r="504" customFormat="1" s="19">
      <c r="A504" s="20" t="n"/>
      <c r="B504" s="20" t="n"/>
      <c r="C504" s="20" t="n"/>
      <c r="D504" s="21" t="n"/>
      <c r="E504" s="28">
        <f>_xlfn.TEXTJOIN("-",TRUE,A504,B504,C504)</f>
        <v/>
      </c>
      <c r="F504" s="20" t="n"/>
      <c r="G504" s="23" t="n"/>
      <c r="H504" s="23" t="n"/>
      <c r="I504" s="24" t="n"/>
    </row>
    <row r="505" customFormat="1" s="19">
      <c r="A505" s="32" t="inlineStr">
        <is>
          <t>425/65R22.5</t>
        </is>
      </c>
      <c r="B505" s="32" t="inlineStr">
        <is>
          <t>20PR</t>
        </is>
      </c>
      <c r="C505" s="32" t="inlineStr">
        <is>
          <t>I-42W</t>
        </is>
      </c>
      <c r="D505" s="29" t="inlineStr">
        <is>
          <t>✔</t>
        </is>
      </c>
      <c r="E505" s="28">
        <f>_xlfn.TEXTJOIN("-",TRUE,A505,B505,C505)</f>
        <v/>
      </c>
      <c r="F505" s="20" t="n"/>
      <c r="G505" s="23" t="n"/>
      <c r="H505" s="23" t="n"/>
      <c r="I505" s="24" t="n"/>
    </row>
    <row r="506" customFormat="1" s="19">
      <c r="A506" s="32" t="inlineStr">
        <is>
          <t>425/65R22.5</t>
        </is>
      </c>
      <c r="B506" s="32" t="inlineStr">
        <is>
          <t>20PR</t>
        </is>
      </c>
      <c r="C506" s="32" t="inlineStr">
        <is>
          <t>AT557</t>
        </is>
      </c>
      <c r="D506" s="29" t="inlineStr">
        <is>
          <t>✔</t>
        </is>
      </c>
      <c r="E506" s="28">
        <f>_xlfn.TEXTJOIN("-",TRUE,A506,B506,C506)</f>
        <v/>
      </c>
      <c r="F506" s="20" t="n"/>
      <c r="G506" s="23" t="n"/>
      <c r="H506" s="23" t="n"/>
      <c r="I506" s="24" t="n"/>
    </row>
    <row r="507" customFormat="1" s="19">
      <c r="A507" s="32" t="inlineStr">
        <is>
          <t>425/65R22.5</t>
        </is>
      </c>
      <c r="B507" s="32" t="inlineStr">
        <is>
          <t>20PR</t>
        </is>
      </c>
      <c r="C507" s="32" t="inlineStr">
        <is>
          <t>RLINE-M2</t>
        </is>
      </c>
      <c r="D507" s="29" t="inlineStr">
        <is>
          <t>✔</t>
        </is>
      </c>
      <c r="E507" s="28">
        <f>_xlfn.TEXTJOIN("-",TRUE,A507,B507,C507)</f>
        <v/>
      </c>
      <c r="F507" s="20" t="n"/>
      <c r="G507" s="23" t="n"/>
      <c r="H507" s="23" t="n"/>
      <c r="I507" s="24" t="n"/>
    </row>
    <row r="508" customFormat="1" s="19">
      <c r="A508" s="32" t="inlineStr">
        <is>
          <t>425/65R22.5</t>
        </is>
      </c>
      <c r="B508" s="32" t="inlineStr">
        <is>
          <t>20PR</t>
        </is>
      </c>
      <c r="C508" s="32" t="inlineStr">
        <is>
          <t>VA916</t>
        </is>
      </c>
      <c r="D508" s="29" t="inlineStr">
        <is>
          <t>✔</t>
        </is>
      </c>
      <c r="E508" s="28">
        <f>_xlfn.TEXTJOIN("-",TRUE,A508,B508,C508)</f>
        <v/>
      </c>
      <c r="F508" s="20" t="n"/>
      <c r="G508" s="23" t="n"/>
      <c r="H508" s="23" t="n"/>
      <c r="I508" s="24" t="n"/>
    </row>
    <row r="509" customFormat="1" s="19">
      <c r="A509" s="32" t="n"/>
      <c r="B509" s="32" t="n"/>
      <c r="C509" s="32" t="n"/>
      <c r="D509" s="29" t="n"/>
      <c r="E509" s="28">
        <f>_xlfn.TEXTJOIN("-",TRUE,A509,B509,C509)</f>
        <v/>
      </c>
      <c r="F509" s="20" t="n"/>
      <c r="G509" s="23" t="n"/>
      <c r="H509" s="23" t="n"/>
      <c r="I509" s="24" t="n"/>
    </row>
    <row r="510" customFormat="1" s="19">
      <c r="A510" s="32" t="inlineStr">
        <is>
          <t>445/50R22.5</t>
        </is>
      </c>
      <c r="B510" s="32" t="inlineStr">
        <is>
          <t>20PR</t>
        </is>
      </c>
      <c r="C510" s="32" t="inlineStr">
        <is>
          <t>AT566</t>
        </is>
      </c>
      <c r="D510" s="29" t="inlineStr">
        <is>
          <t>✔</t>
        </is>
      </c>
      <c r="E510" s="28">
        <f>_xlfn.TEXTJOIN("-",TRUE,A510,B510,C510)</f>
        <v/>
      </c>
      <c r="F510" s="20" t="n"/>
      <c r="G510" s="23" t="n"/>
      <c r="H510" s="23" t="n"/>
      <c r="I510" s="24" t="n"/>
    </row>
    <row r="511" customFormat="1" s="19">
      <c r="A511" s="32" t="inlineStr">
        <is>
          <t>445/50R22.5</t>
        </is>
      </c>
      <c r="B511" s="32" t="inlineStr">
        <is>
          <t>20PR</t>
        </is>
      </c>
      <c r="C511" s="36" t="inlineStr">
        <is>
          <t>AT570</t>
        </is>
      </c>
      <c r="D511" s="29" t="inlineStr">
        <is>
          <t>✔</t>
        </is>
      </c>
      <c r="E511" s="28">
        <f>_xlfn.TEXTJOIN("-",TRUE,A511,B511,C511)</f>
        <v/>
      </c>
      <c r="F511" s="20" t="n"/>
      <c r="G511" s="23" t="n"/>
      <c r="H511" s="23" t="n"/>
      <c r="I511" s="24" t="n"/>
    </row>
    <row r="512" customFormat="1" s="19">
      <c r="A512" s="32" t="inlineStr">
        <is>
          <t>445/50R22.5</t>
        </is>
      </c>
      <c r="B512" s="32" t="inlineStr">
        <is>
          <t>20PR</t>
        </is>
      </c>
      <c r="C512" s="32" t="inlineStr">
        <is>
          <t>RLINE WA1</t>
        </is>
      </c>
      <c r="D512" s="29" t="inlineStr">
        <is>
          <t>✔</t>
        </is>
      </c>
      <c r="E512" s="28">
        <f>_xlfn.TEXTJOIN("-",TRUE,A512,B512,C512)</f>
        <v/>
      </c>
      <c r="F512" s="20" t="n"/>
      <c r="G512" s="23" t="n"/>
      <c r="H512" s="23" t="n"/>
      <c r="I512" s="24" t="n"/>
    </row>
    <row r="513" customFormat="1" s="19">
      <c r="A513" s="36" t="inlineStr">
        <is>
          <t>445/50R22.5</t>
        </is>
      </c>
      <c r="B513" s="36" t="inlineStr">
        <is>
          <t>20PR</t>
        </is>
      </c>
      <c r="C513" s="36" t="inlineStr">
        <is>
          <t>HT2 Plus</t>
        </is>
      </c>
      <c r="D513" s="48" t="inlineStr">
        <is>
          <t>✔</t>
        </is>
      </c>
      <c r="E513" s="28">
        <f>_xlfn.TEXTJOIN("-",TRUE,A513,B513,C513)</f>
        <v/>
      </c>
      <c r="F513" s="20" t="n"/>
      <c r="G513" s="23" t="n"/>
      <c r="H513" s="23" t="n"/>
      <c r="I513" s="24" t="n"/>
    </row>
    <row r="514" customFormat="1" s="19">
      <c r="A514" s="32" t="inlineStr">
        <is>
          <t>445/50R22.5</t>
        </is>
      </c>
      <c r="B514" s="32" t="inlineStr">
        <is>
          <t>20PR</t>
        </is>
      </c>
      <c r="C514" s="32" t="inlineStr">
        <is>
          <t>TL32</t>
        </is>
      </c>
      <c r="D514" s="48" t="inlineStr">
        <is>
          <t>✔</t>
        </is>
      </c>
      <c r="E514" s="28">
        <f>_xlfn.TEXTJOIN("-",TRUE,A514,B514,C514)</f>
        <v/>
      </c>
      <c r="F514" s="20" t="n"/>
      <c r="G514" s="23" t="n"/>
      <c r="H514" s="23" t="n"/>
      <c r="I514" s="24" t="n"/>
    </row>
    <row r="515" customFormat="1" s="19">
      <c r="A515" s="32" t="inlineStr">
        <is>
          <t>445/50R22.5</t>
        </is>
      </c>
      <c r="B515" s="32" t="inlineStr">
        <is>
          <t>20PR</t>
        </is>
      </c>
      <c r="C515" s="32" t="inlineStr">
        <is>
          <t>VA905</t>
        </is>
      </c>
      <c r="D515" s="48" t="inlineStr">
        <is>
          <t>✔</t>
        </is>
      </c>
      <c r="E515" s="28">
        <f>_xlfn.TEXTJOIN("-",TRUE,A515,B515,C515)</f>
        <v/>
      </c>
      <c r="F515" s="20" t="n"/>
      <c r="G515" s="23" t="n"/>
      <c r="H515" s="23" t="n"/>
      <c r="I515" s="24" t="n"/>
    </row>
    <row r="516" customFormat="1" s="19">
      <c r="A516" s="32" t="inlineStr">
        <is>
          <t>445/50R22.5</t>
        </is>
      </c>
      <c r="B516" s="32" t="inlineStr">
        <is>
          <t>20PR</t>
        </is>
      </c>
      <c r="C516" s="32" t="inlineStr">
        <is>
          <t>M-TRAC WBT</t>
        </is>
      </c>
      <c r="D516" s="29" t="inlineStr">
        <is>
          <t>✔</t>
        </is>
      </c>
      <c r="E516" s="28">
        <f>_xlfn.TEXTJOIN("-",TRUE,A516,B516,C516)</f>
        <v/>
      </c>
      <c r="F516" s="20" t="n"/>
      <c r="G516" s="23" t="n"/>
      <c r="H516" s="23" t="n"/>
      <c r="I516" s="24" t="n"/>
    </row>
    <row r="517" customFormat="1" s="19">
      <c r="A517" s="20" t="n"/>
      <c r="B517" s="20" t="n"/>
      <c r="C517" s="20" t="n"/>
      <c r="D517" s="21" t="n"/>
      <c r="E517" s="28">
        <f>_xlfn.TEXTJOIN("-",TRUE,A517,B517,C517)</f>
        <v/>
      </c>
      <c r="F517" s="20" t="n"/>
      <c r="G517" s="23" t="n"/>
      <c r="H517" s="23" t="n"/>
      <c r="I517" s="24" t="n"/>
    </row>
    <row r="518" customFormat="1" s="19">
      <c r="A518" s="32" t="inlineStr">
        <is>
          <t>445/65R22.5</t>
        </is>
      </c>
      <c r="B518" s="32" t="inlineStr">
        <is>
          <t>20PR</t>
        </is>
      </c>
      <c r="C518" s="32" t="inlineStr">
        <is>
          <t>I-42W</t>
        </is>
      </c>
      <c r="D518" s="29" t="inlineStr">
        <is>
          <t>✔</t>
        </is>
      </c>
      <c r="E518" s="28">
        <f>_xlfn.TEXTJOIN("-",TRUE,A518,B518,C518)</f>
        <v/>
      </c>
      <c r="F518" s="20" t="n"/>
      <c r="G518" s="23" t="n"/>
      <c r="H518" s="23" t="n"/>
      <c r="I518" s="24" t="n"/>
    </row>
    <row r="519" customFormat="1" s="19">
      <c r="A519" s="32" t="inlineStr">
        <is>
          <t>445/65R22.5</t>
        </is>
      </c>
      <c r="B519" s="32" t="inlineStr">
        <is>
          <t>20PR</t>
        </is>
      </c>
      <c r="C519" s="32" t="inlineStr">
        <is>
          <t>AZ577</t>
        </is>
      </c>
      <c r="D519" s="29" t="inlineStr">
        <is>
          <t>✔</t>
        </is>
      </c>
      <c r="E519" s="28">
        <f>_xlfn.TEXTJOIN("-",TRUE,A519,B519,C519)</f>
        <v/>
      </c>
      <c r="F519" s="20" t="n"/>
      <c r="G519" s="23" t="n"/>
      <c r="H519" s="23" t="n"/>
      <c r="I519" s="24" t="n"/>
    </row>
    <row r="520" customFormat="1" s="19">
      <c r="A520" s="32" t="inlineStr">
        <is>
          <t>445/65R22.5</t>
        </is>
      </c>
      <c r="B520" s="32" t="inlineStr">
        <is>
          <t>20PR</t>
        </is>
      </c>
      <c r="C520" s="32" t="inlineStr">
        <is>
          <t>W-ELite ZM42</t>
        </is>
      </c>
      <c r="D520" s="29" t="inlineStr">
        <is>
          <t>✔</t>
        </is>
      </c>
      <c r="E520" s="28">
        <f>_xlfn.TEXTJOIN("-",TRUE,A520,B520,C520)</f>
        <v/>
      </c>
      <c r="F520" s="20" t="n"/>
      <c r="G520" s="23" t="n"/>
      <c r="H520" s="23" t="n"/>
      <c r="I520" s="24" t="n"/>
    </row>
    <row r="521" customFormat="1" s="19">
      <c r="A521" s="20" t="inlineStr">
        <is>
          <t>11R24.5</t>
        </is>
      </c>
      <c r="B521" s="20" t="inlineStr">
        <is>
          <t>16PR</t>
        </is>
      </c>
      <c r="C521" s="20" t="inlineStr">
        <is>
          <t>H-RD</t>
        </is>
      </c>
      <c r="D521" s="21" t="inlineStr">
        <is>
          <t>✔</t>
        </is>
      </c>
      <c r="E521" s="28">
        <f>_xlfn.TEXTJOIN("-",TRUE,A521,B521,C521)</f>
        <v/>
      </c>
      <c r="F521" s="20" t="n"/>
      <c r="G521" s="23" t="n"/>
      <c r="H521" s="23" t="n"/>
      <c r="I521" s="24" t="n"/>
    </row>
    <row r="522" customFormat="1" s="19">
      <c r="A522" s="20" t="inlineStr">
        <is>
          <t>295/75R22.5</t>
        </is>
      </c>
      <c r="B522" s="20" t="inlineStr">
        <is>
          <t>14PR</t>
        </is>
      </c>
      <c r="C522" s="20" t="inlineStr">
        <is>
          <t>H-TL</t>
        </is>
      </c>
      <c r="D522" s="21" t="inlineStr">
        <is>
          <t>✔</t>
        </is>
      </c>
      <c r="E522" s="28">
        <f>_xlfn.TEXTJOIN("-",TRUE,A522,B522,C522)</f>
        <v/>
      </c>
      <c r="F522" s="20" t="n"/>
      <c r="G522" s="23" t="n"/>
      <c r="H522" s="23" t="n"/>
      <c r="I522" s="24" t="n"/>
    </row>
    <row r="523" customFormat="1" s="19">
      <c r="A523" s="20" t="inlineStr">
        <is>
          <t>315/80R22.5</t>
        </is>
      </c>
      <c r="B523" s="20" t="inlineStr">
        <is>
          <t>20PR</t>
        </is>
      </c>
      <c r="C523" s="20" t="inlineStr">
        <is>
          <t>VDM924</t>
        </is>
      </c>
      <c r="D523" s="21" t="inlineStr">
        <is>
          <t>✔</t>
        </is>
      </c>
      <c r="E523" s="28">
        <f>_xlfn.TEXTJOIN("-",TRUE,A523,B523,C523)</f>
        <v/>
      </c>
      <c r="F523" s="20" t="n"/>
      <c r="G523" s="23" t="n"/>
      <c r="H523" s="23" t="n"/>
      <c r="I523" s="24" t="n"/>
    </row>
    <row r="524" customFormat="1" s="19">
      <c r="A524" s="20" t="inlineStr">
        <is>
          <t>12.00R20</t>
        </is>
      </c>
      <c r="B524" s="20" t="inlineStr">
        <is>
          <t>18PR</t>
        </is>
      </c>
      <c r="C524" s="20" t="inlineStr">
        <is>
          <t>MT100</t>
        </is>
      </c>
      <c r="D524" s="21" t="inlineStr">
        <is>
          <t>✔</t>
        </is>
      </c>
      <c r="E524" s="28">
        <f>_xlfn.TEXTJOIN("-",TRUE,A524,B524,C524)</f>
        <v/>
      </c>
      <c r="F524" s="20" t="n"/>
      <c r="G524" s="23" t="n"/>
      <c r="H524" s="23" t="n"/>
      <c r="I524" s="24" t="n"/>
    </row>
    <row r="525" customFormat="1" s="19">
      <c r="A525" s="20" t="inlineStr">
        <is>
          <t>11.00R20</t>
        </is>
      </c>
      <c r="B525" s="20" t="inlineStr">
        <is>
          <t>18PR</t>
        </is>
      </c>
      <c r="C525" s="20" t="inlineStr">
        <is>
          <t>FOLO.R109</t>
        </is>
      </c>
      <c r="D525" s="21" t="inlineStr">
        <is>
          <t>✔</t>
        </is>
      </c>
      <c r="E525" s="28">
        <f>_xlfn.TEXTJOIN("-",TRUE,A525,B525,C525)</f>
        <v/>
      </c>
      <c r="F525" s="20" t="n"/>
      <c r="G525" s="23" t="n"/>
      <c r="H525" s="23" t="n"/>
      <c r="I525" s="24" t="n"/>
    </row>
    <row r="526" customFormat="1" s="19">
      <c r="A526" s="20" t="inlineStr">
        <is>
          <t>11.00R20</t>
        </is>
      </c>
      <c r="B526" s="20" t="inlineStr">
        <is>
          <t>18PR</t>
        </is>
      </c>
      <c r="C526" s="20" t="inlineStr">
        <is>
          <t>MT100</t>
        </is>
      </c>
      <c r="D526" s="21" t="inlineStr">
        <is>
          <t>✔</t>
        </is>
      </c>
      <c r="E526" s="28">
        <f>_xlfn.TEXTJOIN("-",TRUE,A526,B526,C526)</f>
        <v/>
      </c>
      <c r="F526" s="20" t="n"/>
      <c r="G526" s="23" t="n"/>
      <c r="H526" s="23" t="n"/>
      <c r="I526" s="24" t="n"/>
    </row>
    <row r="527" customFormat="1" s="19">
      <c r="A527" s="20" t="inlineStr">
        <is>
          <t>12.00R20</t>
        </is>
      </c>
      <c r="B527" s="20" t="inlineStr">
        <is>
          <t>22PR</t>
        </is>
      </c>
      <c r="C527" s="20" t="inlineStr">
        <is>
          <t>CB972</t>
        </is>
      </c>
      <c r="D527" s="21" t="inlineStr">
        <is>
          <t>✔</t>
        </is>
      </c>
      <c r="E527" s="28">
        <f>_xlfn.TEXTJOIN("-",TRUE,A527,B527,C527)</f>
        <v/>
      </c>
      <c r="F527" s="20" t="n"/>
      <c r="G527" s="23" t="n"/>
      <c r="H527" s="23" t="n"/>
      <c r="I527" s="24" t="n"/>
    </row>
    <row r="528" customFormat="1" s="19">
      <c r="A528" s="20" t="inlineStr">
        <is>
          <t>10.00R20</t>
        </is>
      </c>
      <c r="B528" s="20" t="inlineStr">
        <is>
          <t>18PR</t>
        </is>
      </c>
      <c r="C528" s="20" t="inlineStr">
        <is>
          <t>MT100</t>
        </is>
      </c>
      <c r="D528" s="21" t="inlineStr">
        <is>
          <t>✔</t>
        </is>
      </c>
      <c r="E528" s="28">
        <f>_xlfn.TEXTJOIN("-",TRUE,A528,B528,C528)</f>
        <v/>
      </c>
      <c r="F528" s="20" t="n"/>
      <c r="G528" s="23" t="n"/>
      <c r="H528" s="23" t="n"/>
      <c r="I528" s="24" t="n"/>
    </row>
    <row r="529" customFormat="1" s="19">
      <c r="A529" s="20" t="inlineStr">
        <is>
          <t>445/65R22.5</t>
        </is>
      </c>
      <c r="B529" s="20" t="inlineStr">
        <is>
          <t>20PR</t>
        </is>
      </c>
      <c r="C529" s="20" t="inlineStr">
        <is>
          <t>H-MW</t>
        </is>
      </c>
      <c r="D529" s="21" t="inlineStr">
        <is>
          <t>✔</t>
        </is>
      </c>
      <c r="E529" s="28">
        <f>_xlfn.TEXTJOIN("-",TRUE,A529,B529,C529)</f>
        <v/>
      </c>
      <c r="F529" s="20" t="n"/>
      <c r="G529" s="23" t="n"/>
      <c r="H529" s="23" t="n"/>
      <c r="I529" s="24" t="n"/>
    </row>
    <row r="530" customFormat="1" s="19">
      <c r="A530" s="20" t="inlineStr">
        <is>
          <t>385/65R22.5</t>
        </is>
      </c>
      <c r="B530" s="20" t="inlineStr">
        <is>
          <t>20PR</t>
        </is>
      </c>
      <c r="C530" s="20" t="inlineStr">
        <is>
          <t>H-MW</t>
        </is>
      </c>
      <c r="D530" s="21" t="inlineStr">
        <is>
          <t>✔</t>
        </is>
      </c>
      <c r="E530" s="28">
        <f>_xlfn.TEXTJOIN("-",TRUE,A530,B530,C530)</f>
        <v/>
      </c>
      <c r="F530" s="20" t="n"/>
      <c r="G530" s="23" t="n"/>
      <c r="H530" s="23" t="n"/>
      <c r="I530" s="24" t="n"/>
    </row>
    <row r="531" customFormat="1" s="19">
      <c r="A531" s="20" t="inlineStr">
        <is>
          <t>245/70R19.5</t>
        </is>
      </c>
      <c r="B531" s="20" t="inlineStr">
        <is>
          <t>16PR</t>
        </is>
      </c>
      <c r="C531" s="20" t="inlineStr">
        <is>
          <t>DR-7318</t>
        </is>
      </c>
      <c r="D531" s="21" t="inlineStr">
        <is>
          <t>✔</t>
        </is>
      </c>
      <c r="E531" s="28">
        <f>_xlfn.TEXTJOIN("-",TRUE,A531,B531,C531)</f>
        <v/>
      </c>
      <c r="F531" s="20" t="n"/>
      <c r="G531" s="23" t="n"/>
      <c r="H531" s="23" t="n"/>
      <c r="I531" s="24" t="n"/>
    </row>
    <row r="532" customFormat="1" s="19">
      <c r="A532" s="20" t="inlineStr">
        <is>
          <t>8.25R16</t>
        </is>
      </c>
      <c r="B532" s="20" t="inlineStr">
        <is>
          <t>16PR</t>
        </is>
      </c>
      <c r="C532" s="20" t="inlineStr">
        <is>
          <t>CR926</t>
        </is>
      </c>
      <c r="D532" s="21" t="inlineStr">
        <is>
          <t>✔</t>
        </is>
      </c>
      <c r="E532" s="28">
        <f>_xlfn.TEXTJOIN("-",TRUE,A532,B532,C532)</f>
        <v/>
      </c>
      <c r="F532" s="20" t="n"/>
      <c r="G532" s="23" t="n"/>
      <c r="H532" s="23" t="n"/>
      <c r="I532" s="24" t="n"/>
    </row>
    <row r="533" customFormat="1" s="19">
      <c r="A533" s="20" t="inlineStr">
        <is>
          <t>12.00R20</t>
        </is>
      </c>
      <c r="B533" s="20" t="inlineStr">
        <is>
          <t>20PR</t>
        </is>
      </c>
      <c r="C533" s="20" t="inlineStr">
        <is>
          <t>TZ101</t>
        </is>
      </c>
      <c r="D533" s="21" t="inlineStr">
        <is>
          <t>✔</t>
        </is>
      </c>
      <c r="E533" s="28">
        <f>_xlfn.TEXTJOIN("-",TRUE,A533,B533,C533)</f>
        <v/>
      </c>
      <c r="F533" s="20" t="n"/>
      <c r="G533" s="23" t="n"/>
      <c r="H533" s="23" t="n"/>
      <c r="I533" s="24" t="n"/>
    </row>
    <row r="534" customFormat="1" s="19">
      <c r="A534" s="20" t="inlineStr">
        <is>
          <t>12.00R20</t>
        </is>
      </c>
      <c r="B534" s="20" t="inlineStr">
        <is>
          <t>22PR</t>
        </is>
      </c>
      <c r="C534" s="20" t="inlineStr">
        <is>
          <t>TZ101</t>
        </is>
      </c>
      <c r="D534" s="21" t="inlineStr">
        <is>
          <t>✔</t>
        </is>
      </c>
      <c r="E534" s="28">
        <f>_xlfn.TEXTJOIN("-",TRUE,A534,B534,C534)</f>
        <v/>
      </c>
      <c r="F534" s="20" t="n"/>
      <c r="G534" s="23" t="n"/>
      <c r="H534" s="23" t="n"/>
      <c r="I534" s="24" t="n"/>
    </row>
    <row r="535" customFormat="1" s="19">
      <c r="A535" s="20" t="inlineStr">
        <is>
          <t>12.00R20</t>
        </is>
      </c>
      <c r="B535" s="20" t="inlineStr">
        <is>
          <t>20PR</t>
        </is>
      </c>
      <c r="C535" s="20" t="inlineStr">
        <is>
          <t>MT100</t>
        </is>
      </c>
      <c r="D535" s="21" t="inlineStr">
        <is>
          <t>✔</t>
        </is>
      </c>
      <c r="E535" s="28">
        <f>_xlfn.TEXTJOIN("-",TRUE,A535,B535,C535)</f>
        <v/>
      </c>
      <c r="F535" s="20" t="n"/>
      <c r="G535" s="23" t="n"/>
      <c r="H535" s="23" t="n"/>
      <c r="I535" s="24" t="n"/>
    </row>
    <row r="536" customFormat="1" s="19">
      <c r="A536" s="20" t="inlineStr">
        <is>
          <t>12.00R20</t>
        </is>
      </c>
      <c r="B536" s="20" t="inlineStr">
        <is>
          <t>22PR</t>
        </is>
      </c>
      <c r="C536" s="20" t="inlineStr">
        <is>
          <t>MT100</t>
        </is>
      </c>
      <c r="D536" s="21" t="inlineStr">
        <is>
          <t>✔</t>
        </is>
      </c>
      <c r="E536" s="28">
        <f>_xlfn.TEXTJOIN("-",TRUE,A536,B536,C536)</f>
        <v/>
      </c>
      <c r="F536" s="20" t="n"/>
      <c r="G536" s="23" t="n"/>
      <c r="H536" s="23" t="n"/>
      <c r="I536" s="24" t="n"/>
    </row>
    <row r="537" customFormat="1" s="19">
      <c r="A537" s="20" t="inlineStr">
        <is>
          <t>315/80R22.5</t>
        </is>
      </c>
      <c r="B537" s="20" t="inlineStr">
        <is>
          <t>20PR</t>
        </is>
      </c>
      <c r="C537" s="20" t="inlineStr">
        <is>
          <t>CM913A</t>
        </is>
      </c>
      <c r="D537" s="21" t="inlineStr">
        <is>
          <t>✔</t>
        </is>
      </c>
      <c r="E537" s="28">
        <f>_xlfn.TEXTJOIN("-",TRUE,A537,B537,C537)</f>
        <v/>
      </c>
      <c r="F537" s="20" t="n"/>
      <c r="G537" s="23" t="n"/>
      <c r="H537" s="23" t="n"/>
      <c r="I537" s="24" t="n"/>
    </row>
    <row r="538" customFormat="1" s="19">
      <c r="A538" s="20" t="inlineStr">
        <is>
          <t>425/65R22.5</t>
        </is>
      </c>
      <c r="B538" s="20" t="inlineStr">
        <is>
          <t>20PR</t>
        </is>
      </c>
      <c r="C538" s="20" t="inlineStr">
        <is>
          <t>H-MW</t>
        </is>
      </c>
      <c r="D538" s="21" t="inlineStr">
        <is>
          <t>✔</t>
        </is>
      </c>
      <c r="E538" s="28">
        <f>_xlfn.TEXTJOIN("-",TRUE,A538,B538,C538)</f>
        <v/>
      </c>
      <c r="F538" s="20" t="n"/>
      <c r="G538" s="23" t="n"/>
      <c r="H538" s="23" t="n"/>
      <c r="I538" s="24" t="n"/>
    </row>
    <row r="539" customFormat="1" s="19">
      <c r="A539" s="20" t="inlineStr">
        <is>
          <t>10.00R20</t>
        </is>
      </c>
      <c r="B539" s="20" t="inlineStr">
        <is>
          <t>18PR</t>
        </is>
      </c>
      <c r="C539" s="20" t="inlineStr">
        <is>
          <t>CR926 MAX</t>
        </is>
      </c>
      <c r="D539" s="21" t="inlineStr">
        <is>
          <t>✔</t>
        </is>
      </c>
      <c r="E539" s="28">
        <f>_xlfn.TEXTJOIN("-",TRUE,A539,B539,C539)</f>
        <v/>
      </c>
      <c r="F539" s="20" t="n"/>
      <c r="G539" s="23" t="n"/>
      <c r="H539" s="23" t="n"/>
      <c r="I539" s="24" t="n"/>
    </row>
    <row r="540" customFormat="1" s="19">
      <c r="A540" s="20" t="inlineStr">
        <is>
          <t>295/80R22.5</t>
        </is>
      </c>
      <c r="B540" s="20" t="inlineStr">
        <is>
          <t>18PR</t>
        </is>
      </c>
      <c r="C540" s="20" t="inlineStr">
        <is>
          <t>H-RA</t>
        </is>
      </c>
      <c r="D540" s="21" t="inlineStr">
        <is>
          <t>✔</t>
        </is>
      </c>
      <c r="E540" s="28">
        <f>_xlfn.TEXTJOIN("-",TRUE,A540,B540,C540)</f>
        <v/>
      </c>
      <c r="F540" s="20" t="n"/>
      <c r="G540" s="23" t="n"/>
      <c r="H540" s="23" t="n"/>
      <c r="I540" s="24" t="n"/>
    </row>
    <row r="541" customFormat="1" s="19">
      <c r="A541" s="20" t="inlineStr">
        <is>
          <t>315/80R22.5</t>
        </is>
      </c>
      <c r="B541" s="20" t="inlineStr">
        <is>
          <t>20PR</t>
        </is>
      </c>
      <c r="C541" s="20" t="inlineStr">
        <is>
          <t>H-RD</t>
        </is>
      </c>
      <c r="D541" s="21" t="inlineStr">
        <is>
          <t>✔</t>
        </is>
      </c>
      <c r="E541" s="28">
        <f>_xlfn.TEXTJOIN("-",TRUE,A541,B541,C541)</f>
        <v/>
      </c>
      <c r="F541" s="20" t="n"/>
      <c r="G541" s="23" t="n"/>
      <c r="H541" s="23" t="n"/>
      <c r="I541" s="24" t="n"/>
    </row>
    <row r="542" customFormat="1" s="19">
      <c r="A542" s="20" t="inlineStr">
        <is>
          <t>11R24.5</t>
        </is>
      </c>
      <c r="B542" s="20" t="inlineStr">
        <is>
          <t>16PR</t>
        </is>
      </c>
      <c r="C542" s="20" t="inlineStr">
        <is>
          <t>AS673</t>
        </is>
      </c>
      <c r="D542" s="21" t="inlineStr">
        <is>
          <t>✔</t>
        </is>
      </c>
      <c r="E542" s="28">
        <f>_xlfn.TEXTJOIN("-",TRUE,A542,B542,C542)</f>
        <v/>
      </c>
      <c r="F542" s="20" t="n"/>
      <c r="G542" s="23" t="n"/>
      <c r="H542" s="23" t="n"/>
      <c r="I542" s="24" t="n"/>
    </row>
    <row r="543" customFormat="1" s="19">
      <c r="A543" s="20" t="inlineStr">
        <is>
          <t>285/75R24.5</t>
        </is>
      </c>
      <c r="B543" s="20" t="inlineStr">
        <is>
          <t>14PR</t>
        </is>
      </c>
      <c r="C543" s="20" t="inlineStr">
        <is>
          <t>H-TL</t>
        </is>
      </c>
      <c r="D543" s="21" t="inlineStr">
        <is>
          <t>✔</t>
        </is>
      </c>
      <c r="E543" s="28">
        <f>_xlfn.TEXTJOIN("-",TRUE,A543,B543,C543)</f>
        <v/>
      </c>
      <c r="F543" s="20" t="n"/>
      <c r="G543" s="23" t="n"/>
      <c r="H543" s="23" t="n"/>
      <c r="I543" s="24" t="n"/>
    </row>
    <row r="544" customFormat="1" s="19">
      <c r="A544" s="20" t="inlineStr">
        <is>
          <t>245/70R19.5</t>
        </is>
      </c>
      <c r="B544" s="20" t="inlineStr">
        <is>
          <t>14PR</t>
        </is>
      </c>
      <c r="C544" s="20" t="inlineStr">
        <is>
          <t>H-RA</t>
        </is>
      </c>
      <c r="D544" s="21" t="inlineStr">
        <is>
          <t>✔</t>
        </is>
      </c>
      <c r="E544" s="28">
        <f>_xlfn.TEXTJOIN("-",TRUE,A544,B544,C544)</f>
        <v/>
      </c>
      <c r="F544" s="20" t="n"/>
      <c r="G544" s="23" t="n"/>
      <c r="H544" s="23" t="n"/>
      <c r="I544" s="24" t="n"/>
    </row>
    <row r="545" customFormat="1" s="19">
      <c r="A545" s="20" t="inlineStr">
        <is>
          <t>11R22.5</t>
        </is>
      </c>
      <c r="B545" s="20" t="inlineStr">
        <is>
          <t>16PR</t>
        </is>
      </c>
      <c r="C545" s="20" t="inlineStr">
        <is>
          <t>AD778</t>
        </is>
      </c>
      <c r="D545" s="21" t="inlineStr">
        <is>
          <t>✔</t>
        </is>
      </c>
      <c r="E545" s="28">
        <f>_xlfn.TEXTJOIN("-",TRUE,A545,B545,C545)</f>
        <v/>
      </c>
      <c r="F545" s="20" t="n"/>
      <c r="G545" s="23" t="n"/>
      <c r="H545" s="23" t="n"/>
      <c r="I545" s="24" t="n"/>
    </row>
    <row r="546" customFormat="1" s="19">
      <c r="A546" s="20" t="inlineStr">
        <is>
          <t>11R24.5</t>
        </is>
      </c>
      <c r="B546" s="20" t="inlineStr">
        <is>
          <t>16PR</t>
        </is>
      </c>
      <c r="C546" s="20" t="inlineStr">
        <is>
          <t>AD778</t>
        </is>
      </c>
      <c r="D546" s="21" t="inlineStr">
        <is>
          <t>✔</t>
        </is>
      </c>
      <c r="E546" s="28">
        <f>_xlfn.TEXTJOIN("-",TRUE,A546,B546,C546)</f>
        <v/>
      </c>
      <c r="F546" s="20" t="n"/>
      <c r="G546" s="23" t="n"/>
      <c r="H546" s="23" t="n"/>
      <c r="I546" s="24" t="n"/>
    </row>
    <row r="547" customFormat="1" s="19">
      <c r="A547" s="20" t="inlineStr">
        <is>
          <t>295/75R22.5</t>
        </is>
      </c>
      <c r="B547" s="20" t="inlineStr">
        <is>
          <t>16PR</t>
        </is>
      </c>
      <c r="C547" s="20" t="inlineStr">
        <is>
          <t>AT598</t>
        </is>
      </c>
      <c r="D547" s="21" t="inlineStr">
        <is>
          <t>✔</t>
        </is>
      </c>
      <c r="E547" s="28">
        <f>_xlfn.TEXTJOIN("-",TRUE,A547,B547,C547)</f>
        <v/>
      </c>
      <c r="F547" s="20" t="n"/>
      <c r="G547" s="23" t="n"/>
      <c r="H547" s="23" t="n"/>
      <c r="I547" s="24" t="n"/>
    </row>
    <row r="548" customFormat="1" s="19">
      <c r="A548" s="20" t="inlineStr">
        <is>
          <t>295/75R22.5</t>
        </is>
      </c>
      <c r="B548" s="20" t="inlineStr">
        <is>
          <t>16PR</t>
        </is>
      </c>
      <c r="C548" s="20" t="inlineStr">
        <is>
          <t>HT1 Plus</t>
        </is>
      </c>
      <c r="D548" s="21" t="inlineStr">
        <is>
          <t>✔</t>
        </is>
      </c>
      <c r="E548" s="28">
        <f>_xlfn.TEXTJOIN("-",TRUE,A548,B548,C548)</f>
        <v/>
      </c>
      <c r="F548" s="20" t="n"/>
      <c r="G548" s="23" t="n"/>
      <c r="H548" s="23" t="n"/>
      <c r="I548" s="24" t="n"/>
    </row>
    <row r="549" customFormat="1" s="19">
      <c r="A549" s="20" t="inlineStr">
        <is>
          <t>295/75R22.5</t>
        </is>
      </c>
      <c r="B549" s="20" t="inlineStr">
        <is>
          <t>16PR</t>
        </is>
      </c>
      <c r="C549" s="20" t="inlineStr">
        <is>
          <t>RLINE T1</t>
        </is>
      </c>
      <c r="D549" s="21" t="inlineStr">
        <is>
          <t>✔</t>
        </is>
      </c>
      <c r="E549" s="28">
        <f>_xlfn.TEXTJOIN("-",TRUE,A549,B549,C549)</f>
        <v/>
      </c>
      <c r="F549" s="20" t="n"/>
      <c r="G549" s="23" t="n"/>
      <c r="H549" s="23" t="n"/>
      <c r="I549" s="24" t="n"/>
    </row>
    <row r="550" customFormat="1" s="19">
      <c r="A550" s="20" t="inlineStr">
        <is>
          <t>295/75R22.5</t>
        </is>
      </c>
      <c r="B550" s="20" t="inlineStr">
        <is>
          <t>14PR</t>
        </is>
      </c>
      <c r="C550" s="20" t="inlineStr">
        <is>
          <t>AT598</t>
        </is>
      </c>
      <c r="D550" s="21" t="inlineStr">
        <is>
          <t>✔</t>
        </is>
      </c>
      <c r="E550" s="28">
        <f>_xlfn.TEXTJOIN("-",TRUE,A550,B550,C550)</f>
        <v/>
      </c>
      <c r="F550" s="20" t="n"/>
      <c r="G550" s="23" t="n"/>
      <c r="H550" s="23" t="n"/>
      <c r="I550" s="24" t="n"/>
    </row>
    <row r="551" customFormat="1" s="19">
      <c r="A551" s="20" t="inlineStr">
        <is>
          <t>295/75R22.5</t>
        </is>
      </c>
      <c r="B551" s="20" t="inlineStr">
        <is>
          <t>14PR</t>
        </is>
      </c>
      <c r="C551" s="20" t="inlineStr">
        <is>
          <t>HT1 Plus</t>
        </is>
      </c>
      <c r="D551" s="21" t="inlineStr">
        <is>
          <t>✔</t>
        </is>
      </c>
      <c r="E551" s="28">
        <f>_xlfn.TEXTJOIN("-",TRUE,A551,B551,C551)</f>
        <v/>
      </c>
      <c r="F551" s="20" t="n"/>
      <c r="G551" s="23" t="n"/>
      <c r="H551" s="23" t="n"/>
      <c r="I551" s="24" t="n"/>
    </row>
    <row r="552" customFormat="1" s="19">
      <c r="A552" s="20" t="inlineStr">
        <is>
          <t>295/75R22.5</t>
        </is>
      </c>
      <c r="B552" s="20" t="inlineStr">
        <is>
          <t>14PR</t>
        </is>
      </c>
      <c r="C552" s="20" t="inlineStr">
        <is>
          <t>RLINE-T1</t>
        </is>
      </c>
      <c r="D552" s="21" t="inlineStr">
        <is>
          <t>✔</t>
        </is>
      </c>
      <c r="E552" s="28">
        <f>_xlfn.TEXTJOIN("-",TRUE,A552,B552,C552)</f>
        <v/>
      </c>
      <c r="F552" s="20" t="n"/>
      <c r="G552" s="23" t="n"/>
      <c r="H552" s="23" t="n"/>
      <c r="I552" s="24" t="n"/>
    </row>
    <row r="553" customFormat="1" s="19">
      <c r="A553" s="20" t="inlineStr">
        <is>
          <t>12.00R20</t>
        </is>
      </c>
      <c r="B553" s="20" t="inlineStr">
        <is>
          <t>22PR</t>
        </is>
      </c>
      <c r="C553" s="20" t="inlineStr">
        <is>
          <t>TRD-71</t>
        </is>
      </c>
      <c r="D553" s="21" t="inlineStr">
        <is>
          <t>✔</t>
        </is>
      </c>
      <c r="E553" s="28">
        <f>_xlfn.TEXTJOIN("-",TRUE,A553,B553,C553)</f>
        <v/>
      </c>
      <c r="F553" s="20" t="n"/>
      <c r="G553" s="23" t="n"/>
      <c r="H553" s="23" t="n"/>
      <c r="I553" s="24" t="n"/>
    </row>
    <row r="554" customFormat="1" s="19">
      <c r="A554" s="20" t="inlineStr">
        <is>
          <t>11.00R20</t>
        </is>
      </c>
      <c r="B554" s="20" t="inlineStr">
        <is>
          <t>18PR</t>
        </is>
      </c>
      <c r="C554" s="20" t="inlineStr">
        <is>
          <t>AM4S.Q679</t>
        </is>
      </c>
      <c r="D554" s="21" t="inlineStr">
        <is>
          <t>✔</t>
        </is>
      </c>
      <c r="E554" s="28">
        <f>_xlfn.TEXTJOIN("-",TRUE,A554,B554,C554)</f>
        <v/>
      </c>
      <c r="F554" s="20" t="n"/>
      <c r="G554" s="23" t="n"/>
      <c r="H554" s="23" t="n"/>
      <c r="I554" s="24" t="n"/>
    </row>
    <row r="555" customFormat="1" s="19">
      <c r="A555" s="20" t="inlineStr">
        <is>
          <t>315/80R22.5</t>
        </is>
      </c>
      <c r="B555" s="20" t="inlineStr">
        <is>
          <t>20PR</t>
        </is>
      </c>
      <c r="C555" s="20" t="inlineStr">
        <is>
          <t>WSR1</t>
        </is>
      </c>
      <c r="D555" s="21" t="inlineStr">
        <is>
          <t>✔</t>
        </is>
      </c>
      <c r="E555" s="28">
        <f>_xlfn.TEXTJOIN("-",TRUE,A555,B555,C555)</f>
        <v/>
      </c>
      <c r="F555" s="20" t="n"/>
      <c r="G555" s="23" t="n"/>
      <c r="H555" s="23" t="n"/>
      <c r="I555" s="24" t="n"/>
    </row>
    <row r="556" customFormat="1" s="19">
      <c r="A556" s="20" t="inlineStr">
        <is>
          <t>295/75R22.5</t>
        </is>
      </c>
      <c r="B556" s="20" t="inlineStr">
        <is>
          <t>16PR</t>
        </is>
      </c>
      <c r="C556" s="20" t="inlineStr">
        <is>
          <t>AD178</t>
        </is>
      </c>
      <c r="D556" s="21" t="inlineStr">
        <is>
          <t>✔</t>
        </is>
      </c>
      <c r="E556" s="28">
        <f>_xlfn.TEXTJOIN("-",TRUE,A556,B556,C556)</f>
        <v/>
      </c>
      <c r="F556" s="20" t="n"/>
      <c r="G556" s="23" t="n"/>
      <c r="H556" s="23" t="n"/>
      <c r="I556" s="24" t="n"/>
    </row>
    <row r="557" customFormat="1" s="19">
      <c r="A557" s="20" t="inlineStr">
        <is>
          <t>295/75R22.5</t>
        </is>
      </c>
      <c r="B557" s="20" t="inlineStr">
        <is>
          <t>16PR</t>
        </is>
      </c>
      <c r="C557" s="20" t="inlineStr">
        <is>
          <t>HD1 PlusX</t>
        </is>
      </c>
      <c r="D557" s="21" t="inlineStr">
        <is>
          <t>✔</t>
        </is>
      </c>
      <c r="E557" s="28">
        <f>_xlfn.TEXTJOIN("-",TRUE,A557,B557,C557)</f>
        <v/>
      </c>
      <c r="F557" s="20" t="n"/>
      <c r="G557" s="23" t="n"/>
      <c r="H557" s="23" t="n"/>
      <c r="I557" s="24" t="n"/>
    </row>
    <row r="558" customFormat="1" s="19">
      <c r="A558" s="20" t="inlineStr">
        <is>
          <t>295/75R22.5</t>
        </is>
      </c>
      <c r="B558" s="20" t="inlineStr">
        <is>
          <t>16PR</t>
        </is>
      </c>
      <c r="C558" s="20" t="inlineStr">
        <is>
          <t>TLD-178</t>
        </is>
      </c>
      <c r="D558" s="21" t="inlineStr">
        <is>
          <t>✔</t>
        </is>
      </c>
      <c r="E558" s="28">
        <f>_xlfn.TEXTJOIN("-",TRUE,A558,B558,C558)</f>
        <v/>
      </c>
      <c r="F558" s="20" t="n"/>
      <c r="G558" s="23" t="n"/>
      <c r="H558" s="23" t="n"/>
      <c r="I558" s="24" t="n"/>
    </row>
    <row r="559" customFormat="1" s="19">
      <c r="A559" s="20" t="inlineStr">
        <is>
          <t>295/75R22.5</t>
        </is>
      </c>
      <c r="B559" s="20" t="inlineStr">
        <is>
          <t>16PR</t>
        </is>
      </c>
      <c r="C559" s="20" t="inlineStr">
        <is>
          <t>MX901 CSD</t>
        </is>
      </c>
      <c r="D559" s="21" t="inlineStr">
        <is>
          <t>✔</t>
        </is>
      </c>
      <c r="E559" s="28">
        <f>_xlfn.TEXTJOIN("-",TRUE,A559,B559,C559)</f>
        <v/>
      </c>
      <c r="F559" s="20" t="n"/>
      <c r="G559" s="23" t="n"/>
      <c r="H559" s="23" t="n"/>
      <c r="I559" s="24" t="n"/>
    </row>
    <row r="560" customFormat="1" s="19">
      <c r="A560" s="20" t="inlineStr">
        <is>
          <t>425/65R22.5</t>
        </is>
      </c>
      <c r="B560" s="20" t="inlineStr">
        <is>
          <t>20PR</t>
        </is>
      </c>
      <c r="C560" s="20" t="inlineStr">
        <is>
          <t>AZ577</t>
        </is>
      </c>
      <c r="D560" s="21" t="inlineStr">
        <is>
          <t>✔</t>
        </is>
      </c>
      <c r="E560" s="28">
        <f>_xlfn.TEXTJOIN("-",TRUE,A560,B560,C560)</f>
        <v/>
      </c>
      <c r="F560" s="20" t="n"/>
      <c r="G560" s="23" t="n"/>
      <c r="H560" s="23" t="n"/>
      <c r="I560" s="24" t="n"/>
    </row>
    <row r="561" customFormat="1" s="19">
      <c r="A561" s="20" t="inlineStr">
        <is>
          <t>425/65R22.5</t>
        </is>
      </c>
      <c r="B561" s="20" t="inlineStr">
        <is>
          <t>20PR</t>
        </is>
      </c>
      <c r="C561" s="20" t="inlineStr">
        <is>
          <t>TMA-134</t>
        </is>
      </c>
      <c r="D561" s="21" t="inlineStr">
        <is>
          <t>✔</t>
        </is>
      </c>
      <c r="E561" s="28">
        <f>_xlfn.TEXTJOIN("-",TRUE,A561,B561,C561)</f>
        <v/>
      </c>
      <c r="F561" s="20" t="n"/>
      <c r="G561" s="23" t="n"/>
      <c r="H561" s="23" t="n"/>
      <c r="I561" s="24" t="n"/>
    </row>
    <row r="562" customFormat="1" s="19">
      <c r="A562" s="20" t="inlineStr">
        <is>
          <t>445/50R22.5</t>
        </is>
      </c>
      <c r="B562" s="20" t="inlineStr">
        <is>
          <t>20PR</t>
        </is>
      </c>
      <c r="C562" s="20" t="inlineStr">
        <is>
          <t>AD755</t>
        </is>
      </c>
      <c r="D562" s="21" t="inlineStr">
        <is>
          <t>✔</t>
        </is>
      </c>
      <c r="E562" s="28">
        <f>_xlfn.TEXTJOIN("-",TRUE,A562,B562,C562)</f>
        <v/>
      </c>
      <c r="F562" s="20" t="n"/>
      <c r="G562" s="23" t="n"/>
      <c r="H562" s="23" t="n"/>
      <c r="I562" s="24" t="n"/>
    </row>
    <row r="563" customFormat="1" s="19">
      <c r="A563" s="20" t="inlineStr">
        <is>
          <t>445/50R22.5</t>
        </is>
      </c>
      <c r="B563" s="20" t="inlineStr">
        <is>
          <t>20PR</t>
        </is>
      </c>
      <c r="C563" s="20" t="inlineStr">
        <is>
          <t>AD781</t>
        </is>
      </c>
      <c r="D563" s="21" t="inlineStr">
        <is>
          <t>✔</t>
        </is>
      </c>
      <c r="E563" s="28">
        <f>_xlfn.TEXTJOIN("-",TRUE,A563,B563,C563)</f>
        <v/>
      </c>
      <c r="F563" s="20" t="n"/>
      <c r="G563" s="23" t="n"/>
      <c r="H563" s="23" t="n"/>
      <c r="I563" s="24" t="n"/>
    </row>
    <row r="564" customFormat="1" s="19">
      <c r="A564" s="20" t="inlineStr">
        <is>
          <t>445/50R22.5</t>
        </is>
      </c>
      <c r="B564" s="20" t="inlineStr">
        <is>
          <t>20PR</t>
        </is>
      </c>
      <c r="C564" s="20" t="inlineStr">
        <is>
          <t>HD4 Plus</t>
        </is>
      </c>
      <c r="D564" s="21" t="inlineStr">
        <is>
          <t>✔</t>
        </is>
      </c>
      <c r="E564" s="28">
        <f>_xlfn.TEXTJOIN("-",TRUE,A564,B564,C564)</f>
        <v/>
      </c>
      <c r="F564" s="20" t="n"/>
      <c r="G564" s="23" t="n"/>
      <c r="H564" s="23" t="n"/>
      <c r="I564" s="24" t="n"/>
    </row>
    <row r="565" customFormat="1" s="19">
      <c r="A565" s="20" t="inlineStr">
        <is>
          <t>445/50R22.5</t>
        </is>
      </c>
      <c r="B565" s="20" t="inlineStr">
        <is>
          <t>20PR</t>
        </is>
      </c>
      <c r="C565" s="20" t="inlineStr">
        <is>
          <t>RLINE-WD1</t>
        </is>
      </c>
      <c r="D565" s="21" t="inlineStr">
        <is>
          <t>✔</t>
        </is>
      </c>
      <c r="E565" s="28">
        <f>_xlfn.TEXTJOIN("-",TRUE,A565,B565,C565)</f>
        <v/>
      </c>
      <c r="F565" s="20" t="n"/>
      <c r="G565" s="23" t="n"/>
      <c r="H565" s="23" t="n"/>
      <c r="I565" s="24" t="n"/>
    </row>
    <row r="566" customFormat="1" s="19">
      <c r="A566" s="20" t="inlineStr">
        <is>
          <t>315/80R22.5</t>
        </is>
      </c>
      <c r="B566" s="20" t="inlineStr">
        <is>
          <t>20PR</t>
        </is>
      </c>
      <c r="C566" s="20" t="inlineStr">
        <is>
          <t>HA3 Plus</t>
        </is>
      </c>
      <c r="D566" s="21" t="inlineStr">
        <is>
          <t>✔</t>
        </is>
      </c>
      <c r="E566" s="28">
        <f>_xlfn.TEXTJOIN("-",TRUE,A566,B566,C566)</f>
        <v/>
      </c>
      <c r="F566" s="20" t="n"/>
      <c r="G566" s="23" t="n"/>
      <c r="H566" s="23" t="n"/>
      <c r="I566" s="24" t="n"/>
    </row>
    <row r="567" customFormat="1" s="19">
      <c r="A567" s="20" t="inlineStr">
        <is>
          <t>12R22.5</t>
        </is>
      </c>
      <c r="B567" s="20" t="inlineStr">
        <is>
          <t>18PR</t>
        </is>
      </c>
      <c r="C567" s="20" t="inlineStr">
        <is>
          <t>VEZ87</t>
        </is>
      </c>
      <c r="D567" s="21" t="inlineStr">
        <is>
          <t>✔</t>
        </is>
      </c>
      <c r="E567" s="28">
        <f>_xlfn.TEXTJOIN("-",TRUE,A567,B567,C567)</f>
        <v/>
      </c>
      <c r="F567" s="20" t="n"/>
      <c r="G567" s="23" t="n"/>
      <c r="H567" s="23" t="n"/>
      <c r="I567" s="24" t="n"/>
    </row>
    <row r="568" customFormat="1" s="19">
      <c r="A568" s="20" t="inlineStr">
        <is>
          <t>12R22.5</t>
        </is>
      </c>
      <c r="B568" s="20" t="inlineStr">
        <is>
          <t>18PR</t>
        </is>
      </c>
      <c r="C568" s="20" t="inlineStr">
        <is>
          <t>VEZ80</t>
        </is>
      </c>
      <c r="D568" s="21" t="inlineStr">
        <is>
          <t>✔</t>
        </is>
      </c>
      <c r="E568" s="28">
        <f>_xlfn.TEXTJOIN("-",TRUE,A568,B568,C568)</f>
        <v/>
      </c>
      <c r="F568" s="20" t="n"/>
      <c r="G568" s="23" t="n"/>
      <c r="H568" s="23" t="n"/>
      <c r="I568" s="24" t="n"/>
    </row>
    <row r="569" customFormat="1" s="19">
      <c r="A569" s="20" t="inlineStr">
        <is>
          <t>12R22.5</t>
        </is>
      </c>
      <c r="B569" s="20" t="inlineStr">
        <is>
          <t>18PR</t>
        </is>
      </c>
      <c r="C569" s="20" t="inlineStr">
        <is>
          <t>EZ867</t>
        </is>
      </c>
      <c r="D569" s="21" t="inlineStr">
        <is>
          <t>✔</t>
        </is>
      </c>
      <c r="E569" s="28">
        <f>_xlfn.TEXTJOIN("-",TRUE,A569,B569,C569)</f>
        <v/>
      </c>
      <c r="F569" s="20" t="n"/>
      <c r="G569" s="23" t="n"/>
      <c r="H569" s="23" t="n"/>
      <c r="I569" s="24" t="n"/>
    </row>
    <row r="570" customFormat="1" s="19">
      <c r="A570" s="20" t="inlineStr">
        <is>
          <t>12R22.5</t>
        </is>
      </c>
      <c r="B570" s="20" t="inlineStr">
        <is>
          <t>18PR</t>
        </is>
      </c>
      <c r="C570" s="20" t="inlineStr">
        <is>
          <t>EZ870</t>
        </is>
      </c>
      <c r="D570" s="21" t="inlineStr">
        <is>
          <t>✔</t>
        </is>
      </c>
      <c r="E570" s="28">
        <f>_xlfn.TEXTJOIN("-",TRUE,A570,B570,C570)</f>
        <v/>
      </c>
      <c r="F570" s="20" t="n"/>
      <c r="G570" s="23" t="n"/>
      <c r="H570" s="23" t="n"/>
      <c r="I570" s="24" t="n"/>
    </row>
    <row r="571" customFormat="1" s="19">
      <c r="A571" s="20" t="inlineStr">
        <is>
          <t>12R22.5</t>
        </is>
      </c>
      <c r="B571" s="20" t="inlineStr">
        <is>
          <t>20PR</t>
        </is>
      </c>
      <c r="C571" s="20" t="inlineStr">
        <is>
          <t>VEZ87</t>
        </is>
      </c>
      <c r="D571" s="21" t="inlineStr">
        <is>
          <t>✔</t>
        </is>
      </c>
      <c r="E571" s="28">
        <f>_xlfn.TEXTJOIN("-",TRUE,A571,B571,C571)</f>
        <v/>
      </c>
      <c r="F571" s="20" t="n"/>
      <c r="G571" s="23" t="n"/>
      <c r="H571" s="23" t="n"/>
      <c r="I571" s="24" t="n"/>
    </row>
    <row r="572" customFormat="1" s="19">
      <c r="A572" s="20" t="inlineStr">
        <is>
          <t>12R22.5</t>
        </is>
      </c>
      <c r="B572" s="20" t="inlineStr">
        <is>
          <t>20PR</t>
        </is>
      </c>
      <c r="C572" s="20" t="inlineStr">
        <is>
          <t>VEZ80</t>
        </is>
      </c>
      <c r="D572" s="21" t="inlineStr">
        <is>
          <t>✔</t>
        </is>
      </c>
      <c r="E572" s="28">
        <f>_xlfn.TEXTJOIN("-",TRUE,A572,B572,C572)</f>
        <v/>
      </c>
      <c r="F572" s="20" t="n"/>
      <c r="G572" s="23" t="n"/>
      <c r="H572" s="23" t="n"/>
      <c r="I572" s="24" t="n"/>
    </row>
    <row r="573" customFormat="1" s="19">
      <c r="A573" s="20" t="inlineStr">
        <is>
          <t>12R22.5</t>
        </is>
      </c>
      <c r="B573" s="20" t="inlineStr">
        <is>
          <t>20PR</t>
        </is>
      </c>
      <c r="C573" s="20" t="inlineStr">
        <is>
          <t>EZ867</t>
        </is>
      </c>
      <c r="D573" s="21" t="inlineStr">
        <is>
          <t>✔</t>
        </is>
      </c>
      <c r="E573" s="28">
        <f>_xlfn.TEXTJOIN("-",TRUE,A573,B573,C573)</f>
        <v/>
      </c>
      <c r="F573" s="20" t="n"/>
      <c r="G573" s="23" t="n"/>
      <c r="H573" s="23" t="n"/>
      <c r="I573" s="24" t="n"/>
    </row>
    <row r="574" customFormat="1" s="19">
      <c r="A574" s="20" t="inlineStr">
        <is>
          <t>12R22.5</t>
        </is>
      </c>
      <c r="B574" s="20" t="inlineStr">
        <is>
          <t>20PR</t>
        </is>
      </c>
      <c r="C574" s="20" t="inlineStr">
        <is>
          <t>EZ870</t>
        </is>
      </c>
      <c r="D574" s="21" t="inlineStr">
        <is>
          <t>✔</t>
        </is>
      </c>
      <c r="E574" s="28">
        <f>_xlfn.TEXTJOIN("-",TRUE,A574,B574,C574)</f>
        <v/>
      </c>
      <c r="F574" s="20" t="n"/>
      <c r="G574" s="23" t="n"/>
      <c r="H574" s="23" t="n"/>
      <c r="I574" s="24" t="n"/>
    </row>
    <row r="575" customFormat="1" s="19">
      <c r="A575" s="20" t="inlineStr">
        <is>
          <t>10.00R20</t>
        </is>
      </c>
      <c r="B575" s="20" t="inlineStr">
        <is>
          <t>18PR</t>
        </is>
      </c>
      <c r="C575" s="20" t="inlineStr">
        <is>
          <t>EZ175</t>
        </is>
      </c>
      <c r="D575" s="21" t="inlineStr">
        <is>
          <t>✔</t>
        </is>
      </c>
      <c r="E575" s="28">
        <f>_xlfn.TEXTJOIN("-",TRUE,A575,B575,C575)</f>
        <v/>
      </c>
      <c r="F575" s="20" t="n"/>
      <c r="G575" s="23" t="n"/>
      <c r="H575" s="23" t="n"/>
      <c r="I575" s="24" t="n"/>
    </row>
    <row r="576" customFormat="1" s="19">
      <c r="A576" s="20" t="inlineStr">
        <is>
          <t>11R22.5</t>
        </is>
      </c>
      <c r="B576" s="20" t="inlineStr">
        <is>
          <t>16PR</t>
        </is>
      </c>
      <c r="C576" s="20" t="inlineStr">
        <is>
          <t>AS673</t>
        </is>
      </c>
      <c r="D576" s="21" t="inlineStr">
        <is>
          <t>✔</t>
        </is>
      </c>
      <c r="E576" s="28">
        <f>_xlfn.TEXTJOIN("-",TRUE,A576,B576,C576)</f>
        <v/>
      </c>
      <c r="F576" s="20" t="n"/>
      <c r="G576" s="23" t="n"/>
      <c r="H576" s="23" t="n"/>
      <c r="I576" s="24" t="n"/>
    </row>
    <row r="577" customFormat="1" s="19">
      <c r="A577" s="20" t="inlineStr">
        <is>
          <t>295/75R22.5</t>
        </is>
      </c>
      <c r="B577" s="20" t="inlineStr">
        <is>
          <t>16PR</t>
        </is>
      </c>
      <c r="C577" s="20" t="inlineStr">
        <is>
          <t>AD759</t>
        </is>
      </c>
      <c r="D577" s="21" t="inlineStr">
        <is>
          <t>✔</t>
        </is>
      </c>
      <c r="E577" s="28">
        <f>_xlfn.TEXTJOIN("-",TRUE,A577,B577,C577)</f>
        <v/>
      </c>
      <c r="F577" s="20" t="n"/>
      <c r="G577" s="23" t="n"/>
      <c r="H577" s="23" t="n"/>
      <c r="I577" s="24" t="n"/>
    </row>
    <row r="578" customFormat="1" s="19">
      <c r="A578" s="20" t="inlineStr">
        <is>
          <t>11R22.5</t>
        </is>
      </c>
      <c r="B578" s="20" t="inlineStr">
        <is>
          <t>16PR</t>
        </is>
      </c>
      <c r="C578" s="20" t="inlineStr">
        <is>
          <t>H-MD</t>
        </is>
      </c>
      <c r="D578" s="21" t="inlineStr">
        <is>
          <t>✔</t>
        </is>
      </c>
      <c r="E578" s="28">
        <f>_xlfn.TEXTJOIN("-",TRUE,A578,B578,C578)</f>
        <v/>
      </c>
      <c r="F578" s="20" t="n"/>
      <c r="G578" s="23" t="n"/>
      <c r="H578" s="23" t="n"/>
      <c r="I578" s="24" t="n"/>
    </row>
    <row r="579" customFormat="1" s="19">
      <c r="A579" s="20" t="inlineStr">
        <is>
          <t>11R24.5</t>
        </is>
      </c>
      <c r="B579" s="20" t="inlineStr">
        <is>
          <t>16PR</t>
        </is>
      </c>
      <c r="C579" s="20" t="inlineStr">
        <is>
          <t>H-MD</t>
        </is>
      </c>
      <c r="D579" s="21" t="inlineStr">
        <is>
          <t>✔</t>
        </is>
      </c>
      <c r="E579" s="28">
        <f>_xlfn.TEXTJOIN("-",TRUE,A579,B579,C579)</f>
        <v/>
      </c>
      <c r="F579" s="20" t="n"/>
      <c r="G579" s="23" t="n"/>
      <c r="H579" s="23" t="n"/>
      <c r="I579" s="24" t="n"/>
    </row>
    <row r="580" customFormat="1" s="19">
      <c r="A580" s="20" t="inlineStr">
        <is>
          <t>11R24.5</t>
        </is>
      </c>
      <c r="B580" s="20" t="inlineStr">
        <is>
          <t>14PR</t>
        </is>
      </c>
      <c r="C580" s="20" t="inlineStr">
        <is>
          <t>H-TL</t>
        </is>
      </c>
      <c r="D580" s="21" t="inlineStr">
        <is>
          <t>✔</t>
        </is>
      </c>
      <c r="E580" s="28">
        <f>_xlfn.TEXTJOIN("-",TRUE,A580,B580,C580)</f>
        <v/>
      </c>
      <c r="F580" s="20" t="n"/>
      <c r="G580" s="23" t="n"/>
      <c r="H580" s="23" t="n"/>
      <c r="I580" s="24" t="n"/>
    </row>
    <row r="581" customFormat="1" s="19">
      <c r="A581" s="20" t="inlineStr">
        <is>
          <t>11R24.5</t>
        </is>
      </c>
      <c r="B581" s="20" t="inlineStr">
        <is>
          <t>16PR</t>
        </is>
      </c>
      <c r="C581" s="20" t="inlineStr">
        <is>
          <t>M-TRAC MS</t>
        </is>
      </c>
      <c r="D581" s="21" t="inlineStr">
        <is>
          <t>✔</t>
        </is>
      </c>
      <c r="E581" s="28">
        <f>_xlfn.TEXTJOIN("-",TRUE,A581,B581,C581)</f>
        <v/>
      </c>
      <c r="F581" s="20" t="n"/>
      <c r="G581" s="23" t="n"/>
      <c r="H581" s="23" t="n"/>
      <c r="I581" s="24" t="n"/>
    </row>
    <row r="582" customFormat="1" s="19">
      <c r="A582" s="20" t="inlineStr">
        <is>
          <t>11R24.5</t>
        </is>
      </c>
      <c r="B582" s="20" t="inlineStr">
        <is>
          <t>16PR</t>
        </is>
      </c>
      <c r="C582" s="20" t="inlineStr">
        <is>
          <t>ECO-MILE MS</t>
        </is>
      </c>
      <c r="D582" s="21" t="inlineStr">
        <is>
          <t>✔</t>
        </is>
      </c>
      <c r="E582" s="28">
        <f>_xlfn.TEXTJOIN("-",TRUE,A582,B582,C582)</f>
        <v/>
      </c>
      <c r="F582" s="20" t="n"/>
      <c r="G582" s="23" t="n"/>
      <c r="H582" s="23" t="n"/>
      <c r="I582" s="24" t="n"/>
    </row>
    <row r="583" customFormat="1" s="19">
      <c r="A583" s="20" t="inlineStr">
        <is>
          <t>215/75R17.5</t>
        </is>
      </c>
      <c r="B583" s="20" t="inlineStr">
        <is>
          <t>18PR</t>
        </is>
      </c>
      <c r="C583" s="20" t="inlineStr">
        <is>
          <t>ECO-MILE AP</t>
        </is>
      </c>
      <c r="D583" s="21" t="inlineStr">
        <is>
          <t>✔</t>
        </is>
      </c>
      <c r="E583" s="28">
        <f>_xlfn.TEXTJOIN("-",TRUE,A583,B583,C583)</f>
        <v/>
      </c>
      <c r="F583" s="20" t="n"/>
      <c r="G583" s="23" t="n"/>
      <c r="H583" s="23" t="n"/>
      <c r="I583" s="24" t="n"/>
    </row>
    <row r="584" customFormat="1" s="19">
      <c r="A584" s="20" t="inlineStr">
        <is>
          <t>225/70R19.5</t>
        </is>
      </c>
      <c r="B584" s="20" t="inlineStr">
        <is>
          <t>14PR</t>
        </is>
      </c>
      <c r="C584" s="20" t="inlineStr">
        <is>
          <t>ECO-MILE AP</t>
        </is>
      </c>
      <c r="D584" s="21" t="inlineStr">
        <is>
          <t>✔</t>
        </is>
      </c>
      <c r="E584" s="28">
        <f>_xlfn.TEXTJOIN("-",TRUE,A584,B584,C584)</f>
        <v/>
      </c>
      <c r="F584" s="20" t="n"/>
      <c r="G584" s="23" t="n"/>
      <c r="H584" s="23" t="n"/>
      <c r="I584" s="24" t="n"/>
    </row>
    <row r="585" customFormat="1" s="19">
      <c r="A585" s="20" t="inlineStr">
        <is>
          <t>225/70R19.5</t>
        </is>
      </c>
      <c r="B585" s="20" t="inlineStr">
        <is>
          <t>14PR</t>
        </is>
      </c>
      <c r="C585" s="20" t="inlineStr">
        <is>
          <t>ECO-MILE HTD</t>
        </is>
      </c>
      <c r="D585" s="21" t="inlineStr">
        <is>
          <t>✔</t>
        </is>
      </c>
      <c r="E585" s="28">
        <f>_xlfn.TEXTJOIN("-",TRUE,A585,B585,C585)</f>
        <v/>
      </c>
      <c r="F585" s="20" t="n"/>
      <c r="G585" s="23" t="n"/>
      <c r="H585" s="23" t="n"/>
      <c r="I585" s="24" t="n"/>
    </row>
    <row r="586" customFormat="1" s="19">
      <c r="A586" s="20" t="inlineStr">
        <is>
          <t>235/75R17.5</t>
        </is>
      </c>
      <c r="B586" s="20" t="inlineStr">
        <is>
          <t>18PR</t>
        </is>
      </c>
      <c r="C586" s="20" t="inlineStr">
        <is>
          <t>M-TRAC AP</t>
        </is>
      </c>
      <c r="D586" s="21" t="inlineStr">
        <is>
          <t>✔</t>
        </is>
      </c>
      <c r="E586" s="28">
        <f>_xlfn.TEXTJOIN("-",TRUE,A586,B586,C586)</f>
        <v/>
      </c>
      <c r="F586" s="20" t="n"/>
      <c r="G586" s="23" t="n"/>
      <c r="H586" s="23" t="n"/>
      <c r="I586" s="24" t="n"/>
    </row>
    <row r="587" customFormat="1" s="19">
      <c r="A587" s="20" t="inlineStr">
        <is>
          <t>235/75R17.5</t>
        </is>
      </c>
      <c r="B587" s="20" t="inlineStr">
        <is>
          <t>18PR</t>
        </is>
      </c>
      <c r="C587" s="20" t="inlineStr">
        <is>
          <t>ECO-MILE AP</t>
        </is>
      </c>
      <c r="D587" s="21" t="inlineStr">
        <is>
          <t>✔</t>
        </is>
      </c>
      <c r="E587" s="28">
        <f>_xlfn.TEXTJOIN("-",TRUE,A587,B587,C587)</f>
        <v/>
      </c>
      <c r="F587" s="20" t="n"/>
      <c r="G587" s="23" t="n"/>
      <c r="H587" s="23" t="n"/>
      <c r="I587" s="24" t="n"/>
    </row>
    <row r="588" customFormat="1" s="19">
      <c r="A588" s="20" t="inlineStr">
        <is>
          <t>245/70R19.5</t>
        </is>
      </c>
      <c r="B588" s="20" t="inlineStr">
        <is>
          <t>16PR</t>
        </is>
      </c>
      <c r="C588" s="20" t="inlineStr">
        <is>
          <t>M-TRAC AP</t>
        </is>
      </c>
      <c r="D588" s="21" t="inlineStr">
        <is>
          <t>✔</t>
        </is>
      </c>
      <c r="E588" s="28">
        <f>_xlfn.TEXTJOIN("-",TRUE,A588,B588,C588)</f>
        <v/>
      </c>
      <c r="F588" s="20" t="n"/>
      <c r="G588" s="23" t="n"/>
      <c r="H588" s="23" t="n"/>
      <c r="I588" s="24" t="n"/>
    </row>
    <row r="589" customFormat="1" s="19">
      <c r="A589" s="20" t="inlineStr">
        <is>
          <t>245/70R19.5</t>
        </is>
      </c>
      <c r="B589" s="20" t="inlineStr">
        <is>
          <t>16PR</t>
        </is>
      </c>
      <c r="C589" s="20" t="inlineStr">
        <is>
          <t>ECO-MILE AP</t>
        </is>
      </c>
      <c r="D589" s="21" t="inlineStr">
        <is>
          <t>✔</t>
        </is>
      </c>
      <c r="E589" s="28">
        <f>_xlfn.TEXTJOIN("-",TRUE,A589,B589,C589)</f>
        <v/>
      </c>
      <c r="F589" s="20" t="n"/>
      <c r="G589" s="23" t="n"/>
      <c r="H589" s="23" t="n"/>
      <c r="I589" s="24" t="n"/>
    </row>
    <row r="590" customFormat="1" s="19">
      <c r="A590" s="20" t="inlineStr">
        <is>
          <t>245/70R19.5</t>
        </is>
      </c>
      <c r="B590" s="20" t="inlineStr">
        <is>
          <t>16PR</t>
        </is>
      </c>
      <c r="C590" s="20" t="inlineStr">
        <is>
          <t>M-TRAC HTD</t>
        </is>
      </c>
      <c r="D590" s="21" t="inlineStr">
        <is>
          <t>✔</t>
        </is>
      </c>
      <c r="E590" s="28">
        <f>_xlfn.TEXTJOIN("-",TRUE,A590,B590,C590)</f>
        <v/>
      </c>
      <c r="F590" s="20" t="n"/>
      <c r="G590" s="23" t="n"/>
      <c r="H590" s="23" t="n"/>
      <c r="I590" s="24" t="n"/>
    </row>
    <row r="591" customFormat="1" s="19">
      <c r="A591" s="20" t="inlineStr">
        <is>
          <t>245/70R19.5</t>
        </is>
      </c>
      <c r="B591" s="20" t="inlineStr">
        <is>
          <t>16PR</t>
        </is>
      </c>
      <c r="C591" s="20" t="inlineStr">
        <is>
          <t>ECO-MILE HTD</t>
        </is>
      </c>
      <c r="D591" s="21" t="inlineStr">
        <is>
          <t>✔</t>
        </is>
      </c>
      <c r="E591" s="28">
        <f>_xlfn.TEXTJOIN("-",TRUE,A591,B591,C591)</f>
        <v/>
      </c>
      <c r="F591" s="20" t="n"/>
      <c r="G591" s="23" t="n"/>
      <c r="H591" s="23" t="n"/>
      <c r="I591" s="24" t="n"/>
    </row>
    <row r="592" customFormat="1" s="19">
      <c r="A592" s="20" t="inlineStr">
        <is>
          <t>255/70R22.5</t>
        </is>
      </c>
      <c r="B592" s="20" t="inlineStr">
        <is>
          <t>16PR</t>
        </is>
      </c>
      <c r="C592" s="20" t="inlineStr">
        <is>
          <t>ECO-MILE AP</t>
        </is>
      </c>
      <c r="D592" s="21" t="inlineStr">
        <is>
          <t>✔</t>
        </is>
      </c>
      <c r="E592" s="28">
        <f>_xlfn.TEXTJOIN("-",TRUE,A592,B592,C592)</f>
        <v/>
      </c>
      <c r="F592" s="20" t="n"/>
      <c r="G592" s="23" t="n"/>
      <c r="H592" s="23" t="n"/>
      <c r="I592" s="24" t="n"/>
    </row>
    <row r="593" customFormat="1" s="19">
      <c r="A593" s="20" t="inlineStr">
        <is>
          <t>275/80R22.5</t>
        </is>
      </c>
      <c r="B593" s="20" t="inlineStr">
        <is>
          <t>16PR</t>
        </is>
      </c>
      <c r="C593" s="20" t="inlineStr">
        <is>
          <t>BMD06 PRO</t>
        </is>
      </c>
      <c r="D593" s="21" t="inlineStr">
        <is>
          <t>✔</t>
        </is>
      </c>
      <c r="E593" s="28">
        <f>_xlfn.TEXTJOIN("-",TRUE,A593,B593,C593)</f>
        <v/>
      </c>
      <c r="F593" s="20" t="n"/>
      <c r="G593" s="23" t="n"/>
      <c r="H593" s="23" t="n"/>
      <c r="I593" s="24" t="n"/>
    </row>
    <row r="594" customFormat="1" s="19">
      <c r="A594" s="20" t="inlineStr">
        <is>
          <t>285/75R24.5</t>
        </is>
      </c>
      <c r="B594" s="20" t="inlineStr">
        <is>
          <t>16PR</t>
        </is>
      </c>
      <c r="C594" s="20" t="inlineStr">
        <is>
          <t>ECO-MILE CSD</t>
        </is>
      </c>
      <c r="D594" s="21" t="inlineStr">
        <is>
          <t>✔</t>
        </is>
      </c>
      <c r="E594" s="28">
        <f>_xlfn.TEXTJOIN("-",TRUE,A594,B594,C594)</f>
        <v/>
      </c>
      <c r="F594" s="20" t="n"/>
      <c r="G594" s="23" t="n"/>
      <c r="H594" s="23" t="n"/>
      <c r="I594" s="24" t="n"/>
    </row>
    <row r="595" customFormat="1" s="19">
      <c r="A595" s="20" t="inlineStr">
        <is>
          <t>285/75R24.5</t>
        </is>
      </c>
      <c r="B595" s="20" t="inlineStr">
        <is>
          <t>16PR</t>
        </is>
      </c>
      <c r="C595" s="20" t="inlineStr">
        <is>
          <t>M-TRAC CSD</t>
        </is>
      </c>
      <c r="D595" s="21" t="inlineStr">
        <is>
          <t>✔</t>
        </is>
      </c>
      <c r="E595" s="28">
        <f>_xlfn.TEXTJOIN("-",TRUE,A595,B595,C595)</f>
        <v/>
      </c>
      <c r="F595" s="20" t="n"/>
      <c r="G595" s="23" t="n"/>
      <c r="H595" s="23" t="n"/>
      <c r="I595" s="24" t="n"/>
    </row>
    <row r="596" customFormat="1" s="19">
      <c r="A596" s="20" t="inlineStr">
        <is>
          <t>285/75R24.5</t>
        </is>
      </c>
      <c r="B596" s="20" t="inlineStr">
        <is>
          <t>16PR</t>
        </is>
      </c>
      <c r="C596" s="20" t="inlineStr">
        <is>
          <t>ADL12</t>
        </is>
      </c>
      <c r="D596" s="21" t="inlineStr">
        <is>
          <t>✔</t>
        </is>
      </c>
      <c r="E596" s="28">
        <f>_xlfn.TEXTJOIN("-",TRUE,A596,B596,C596)</f>
        <v/>
      </c>
      <c r="F596" s="20" t="n"/>
      <c r="G596" s="23" t="n"/>
      <c r="H596" s="23" t="n"/>
      <c r="I596" s="24" t="n"/>
    </row>
    <row r="597" customFormat="1" s="19">
      <c r="A597" s="20" t="inlineStr">
        <is>
          <t>285/75R24.5</t>
        </is>
      </c>
      <c r="B597" s="20" t="inlineStr">
        <is>
          <t>16PR</t>
        </is>
      </c>
      <c r="C597" s="20" t="inlineStr">
        <is>
          <t>ECO-MILE AP</t>
        </is>
      </c>
      <c r="D597" s="21" t="inlineStr">
        <is>
          <t>✔</t>
        </is>
      </c>
      <c r="E597" s="28">
        <f>_xlfn.TEXTJOIN("-",TRUE,A597,B597,C597)</f>
        <v/>
      </c>
      <c r="F597" s="20" t="n"/>
      <c r="G597" s="23" t="n"/>
      <c r="H597" s="23" t="n"/>
      <c r="I597" s="24" t="n"/>
    </row>
    <row r="598" customFormat="1" s="19">
      <c r="A598" s="20" t="inlineStr">
        <is>
          <t>285/75R24.5</t>
        </is>
      </c>
      <c r="B598" s="20" t="inlineStr">
        <is>
          <t>16PR</t>
        </is>
      </c>
      <c r="C598" s="20" t="inlineStr">
        <is>
          <t>M-TRAC AP</t>
        </is>
      </c>
      <c r="D598" s="21" t="inlineStr">
        <is>
          <t>✔</t>
        </is>
      </c>
      <c r="E598" s="28">
        <f>_xlfn.TEXTJOIN("-",TRUE,A598,B598,C598)</f>
        <v/>
      </c>
      <c r="F598" s="20" t="n"/>
      <c r="G598" s="23" t="n"/>
      <c r="H598" s="23" t="n"/>
      <c r="I598" s="24" t="n"/>
    </row>
    <row r="599" customFormat="1" s="19">
      <c r="A599" s="20" t="inlineStr">
        <is>
          <t>285/75R24.5</t>
        </is>
      </c>
      <c r="B599" s="20" t="inlineStr">
        <is>
          <t>16PR</t>
        </is>
      </c>
      <c r="C599" s="20" t="inlineStr">
        <is>
          <t>AZA02</t>
        </is>
      </c>
      <c r="D599" s="21" t="inlineStr">
        <is>
          <t>✔</t>
        </is>
      </c>
      <c r="E599" s="28">
        <f>_xlfn.TEXTJOIN("-",TRUE,A599,B599,C599)</f>
        <v/>
      </c>
      <c r="F599" s="20" t="n"/>
      <c r="G599" s="23" t="n"/>
      <c r="H599" s="23" t="n"/>
      <c r="I599" s="24" t="n"/>
    </row>
    <row r="600" customFormat="1" s="19">
      <c r="A600" s="20" t="inlineStr">
        <is>
          <t>285/75R24.5</t>
        </is>
      </c>
      <c r="B600" s="20" t="inlineStr">
        <is>
          <t>14PR</t>
        </is>
      </c>
      <c r="C600" s="20" t="inlineStr">
        <is>
          <t>ECO-MILE AP</t>
        </is>
      </c>
      <c r="D600" s="21" t="inlineStr">
        <is>
          <t>✔</t>
        </is>
      </c>
      <c r="E600" s="28">
        <f>_xlfn.TEXTJOIN("-",TRUE,A600,B600,C600)</f>
        <v/>
      </c>
      <c r="F600" s="20" t="n"/>
      <c r="G600" s="23" t="n"/>
      <c r="H600" s="23" t="n"/>
      <c r="I600" s="24" t="n"/>
    </row>
    <row r="601" customFormat="1" s="19">
      <c r="A601" s="20" t="inlineStr">
        <is>
          <t>285/75R24.5</t>
        </is>
      </c>
      <c r="B601" s="20" t="inlineStr">
        <is>
          <t>14PR</t>
        </is>
      </c>
      <c r="C601" s="20" t="inlineStr">
        <is>
          <t>M-TRAC AP</t>
        </is>
      </c>
      <c r="D601" s="21" t="inlineStr">
        <is>
          <t>✔</t>
        </is>
      </c>
      <c r="E601" s="28">
        <f>_xlfn.TEXTJOIN("-",TRUE,A601,B601,C601)</f>
        <v/>
      </c>
      <c r="F601" s="20" t="n"/>
      <c r="G601" s="23" t="n"/>
      <c r="H601" s="23" t="n"/>
      <c r="I601" s="24" t="n"/>
    </row>
    <row r="602" customFormat="1" s="19">
      <c r="A602" s="20" t="inlineStr">
        <is>
          <t>285/75R24.5</t>
        </is>
      </c>
      <c r="B602" s="20" t="inlineStr">
        <is>
          <t>14PR</t>
        </is>
      </c>
      <c r="C602" s="20" t="inlineStr">
        <is>
          <t>AZA02</t>
        </is>
      </c>
      <c r="D602" s="21" t="inlineStr">
        <is>
          <t>✔</t>
        </is>
      </c>
      <c r="E602" s="28">
        <f>_xlfn.TEXTJOIN("-",TRUE,A602,B602,C602)</f>
        <v/>
      </c>
      <c r="F602" s="20" t="n"/>
      <c r="G602" s="23" t="n"/>
      <c r="H602" s="23" t="n"/>
      <c r="I602" s="24" t="n"/>
    </row>
    <row r="603" customFormat="1" s="19">
      <c r="A603" s="20" t="inlineStr">
        <is>
          <t>295/75R22.5</t>
        </is>
      </c>
      <c r="B603" s="20" t="inlineStr">
        <is>
          <t>14PR</t>
        </is>
      </c>
      <c r="C603" s="20" t="inlineStr">
        <is>
          <t>ECO-MILE AP</t>
        </is>
      </c>
      <c r="D603" s="21" t="inlineStr">
        <is>
          <t>✔</t>
        </is>
      </c>
      <c r="E603" s="28">
        <f>_xlfn.TEXTJOIN("-",TRUE,A603,B603,C603)</f>
        <v/>
      </c>
      <c r="F603" s="20" t="n"/>
      <c r="G603" s="23" t="n"/>
      <c r="H603" s="23" t="n"/>
      <c r="I603" s="24" t="n"/>
    </row>
    <row r="604" customFormat="1" s="19">
      <c r="A604" s="20" t="inlineStr">
        <is>
          <t>295/75R22.5</t>
        </is>
      </c>
      <c r="B604" s="20" t="inlineStr">
        <is>
          <t>14PR</t>
        </is>
      </c>
      <c r="C604" s="20" t="inlineStr">
        <is>
          <t>M-TRAC CSD</t>
        </is>
      </c>
      <c r="D604" s="21" t="inlineStr">
        <is>
          <t>✔</t>
        </is>
      </c>
      <c r="E604" s="28">
        <f>_xlfn.TEXTJOIN("-",TRUE,A604,B604,C604)</f>
        <v/>
      </c>
      <c r="F604" s="20" t="n"/>
      <c r="G604" s="23" t="n"/>
      <c r="H604" s="23" t="n"/>
      <c r="I604" s="24" t="n"/>
    </row>
    <row r="605" customFormat="1" s="19">
      <c r="A605" s="20" t="inlineStr">
        <is>
          <t>295/75R22.5</t>
        </is>
      </c>
      <c r="B605" s="20" t="inlineStr">
        <is>
          <t>14PR</t>
        </is>
      </c>
      <c r="C605" s="20" t="inlineStr">
        <is>
          <t>M-TRAC TR</t>
        </is>
      </c>
      <c r="D605" s="21" t="inlineStr">
        <is>
          <t>✔</t>
        </is>
      </c>
      <c r="E605" s="28">
        <f>_xlfn.TEXTJOIN("-",TRUE,A605,B605,C605)</f>
        <v/>
      </c>
      <c r="F605" s="20" t="n"/>
      <c r="G605" s="23" t="n"/>
      <c r="H605" s="23" t="n"/>
      <c r="I605" s="24" t="n"/>
    </row>
    <row r="606" customFormat="1" s="19">
      <c r="A606" s="20" t="inlineStr">
        <is>
          <t>295/75R22.5</t>
        </is>
      </c>
      <c r="B606" s="20" t="inlineStr">
        <is>
          <t>16PR</t>
        </is>
      </c>
      <c r="C606" s="20" t="inlineStr">
        <is>
          <t>M-TRAC TR</t>
        </is>
      </c>
      <c r="D606" s="21" t="inlineStr">
        <is>
          <t>✔</t>
        </is>
      </c>
      <c r="E606" s="28">
        <f>_xlfn.TEXTJOIN("-",TRUE,A606,B606,C606)</f>
        <v/>
      </c>
      <c r="F606" s="20" t="n"/>
      <c r="G606" s="23" t="n"/>
      <c r="H606" s="23" t="n"/>
      <c r="I606" s="24" t="n"/>
    </row>
    <row r="607" customFormat="1" s="19">
      <c r="A607" s="20" t="inlineStr">
        <is>
          <t>295/75R22.5</t>
        </is>
      </c>
      <c r="B607" s="20" t="inlineStr">
        <is>
          <t>16PR</t>
        </is>
      </c>
      <c r="C607" s="20" t="inlineStr">
        <is>
          <t>M-TRAC CSD</t>
        </is>
      </c>
      <c r="D607" s="21" t="inlineStr">
        <is>
          <t>✔</t>
        </is>
      </c>
      <c r="E607" s="28">
        <f>_xlfn.TEXTJOIN("-",TRUE,A607,B607,C607)</f>
        <v/>
      </c>
      <c r="F607" s="20" t="n"/>
      <c r="G607" s="23" t="n"/>
      <c r="H607" s="23" t="n"/>
      <c r="I607" s="24" t="n"/>
    </row>
    <row r="608" customFormat="1" s="19">
      <c r="A608" s="20" t="inlineStr">
        <is>
          <t>295/75R22.5</t>
        </is>
      </c>
      <c r="B608" s="20" t="inlineStr">
        <is>
          <t>16PR</t>
        </is>
      </c>
      <c r="C608" s="20" t="inlineStr">
        <is>
          <t>ECO-MILE CSD</t>
        </is>
      </c>
      <c r="D608" s="21" t="inlineStr">
        <is>
          <t>✔</t>
        </is>
      </c>
      <c r="E608" s="28">
        <f>_xlfn.TEXTJOIN("-",TRUE,A608,B608,C608)</f>
        <v/>
      </c>
      <c r="F608" s="20" t="n"/>
      <c r="G608" s="23" t="n"/>
      <c r="H608" s="23" t="n"/>
      <c r="I608" s="24" t="n"/>
    </row>
    <row r="609" customFormat="1" s="19">
      <c r="A609" s="20" t="inlineStr">
        <is>
          <t>7.50R16</t>
        </is>
      </c>
      <c r="B609" s="20" t="inlineStr">
        <is>
          <t>14PR</t>
        </is>
      </c>
      <c r="C609" s="20" t="inlineStr">
        <is>
          <t>MT200</t>
        </is>
      </c>
      <c r="D609" s="21" t="inlineStr">
        <is>
          <t>✔</t>
        </is>
      </c>
      <c r="E609" s="28">
        <f>_xlfn.TEXTJOIN("-",TRUE,A609,B609,C609)</f>
        <v/>
      </c>
      <c r="F609" s="20" t="n"/>
      <c r="G609" s="23" t="n"/>
      <c r="H609" s="23" t="n"/>
      <c r="I609" s="24" t="n"/>
    </row>
    <row r="610" customFormat="1" s="19">
      <c r="A610" s="20" t="inlineStr">
        <is>
          <t>7.50R16</t>
        </is>
      </c>
      <c r="B610" s="20" t="inlineStr">
        <is>
          <t>14PR</t>
        </is>
      </c>
      <c r="C610" s="20" t="inlineStr">
        <is>
          <t>FOLO.R109</t>
        </is>
      </c>
      <c r="D610" s="21" t="inlineStr">
        <is>
          <t>✔</t>
        </is>
      </c>
      <c r="E610" s="28">
        <f>_xlfn.TEXTJOIN("-",TRUE,A610,B610,C610)</f>
        <v/>
      </c>
      <c r="F610" s="20" t="n"/>
      <c r="G610" s="23" t="n"/>
      <c r="H610" s="23" t="n"/>
      <c r="I610" s="24" t="n"/>
    </row>
    <row r="611" customFormat="1" s="19">
      <c r="A611" s="20" t="inlineStr">
        <is>
          <t>11R22.5</t>
        </is>
      </c>
      <c r="B611" s="20" t="inlineStr">
        <is>
          <t>14PR</t>
        </is>
      </c>
      <c r="C611" s="20" t="inlineStr">
        <is>
          <t>M-TRAC TR</t>
        </is>
      </c>
      <c r="D611" s="21" t="inlineStr">
        <is>
          <t>✔</t>
        </is>
      </c>
      <c r="E611" s="28">
        <f>_xlfn.TEXTJOIN("-",TRUE,A611,B611,C611)</f>
        <v/>
      </c>
      <c r="F611" s="20" t="n"/>
      <c r="G611" s="23" t="n"/>
      <c r="H611" s="23" t="n"/>
      <c r="I611" s="24" t="n"/>
    </row>
    <row r="612" customFormat="1" s="19">
      <c r="A612" s="20" t="inlineStr">
        <is>
          <t>11R22.5</t>
        </is>
      </c>
      <c r="B612" s="20" t="inlineStr">
        <is>
          <t>16PR</t>
        </is>
      </c>
      <c r="C612" s="20" t="inlineStr">
        <is>
          <t>ECO-MILE CSD</t>
        </is>
      </c>
      <c r="D612" s="21" t="inlineStr">
        <is>
          <t>✔</t>
        </is>
      </c>
      <c r="E612" s="28">
        <f>_xlfn.TEXTJOIN("-",TRUE,A612,B612,C612)</f>
        <v/>
      </c>
      <c r="F612" s="20" t="n"/>
      <c r="G612" s="23" t="n"/>
      <c r="H612" s="23" t="n"/>
      <c r="I612" s="24" t="n"/>
    </row>
    <row r="613" customFormat="1" s="19">
      <c r="A613" s="20" t="inlineStr">
        <is>
          <t>11R22.5</t>
        </is>
      </c>
      <c r="B613" s="20" t="inlineStr">
        <is>
          <t>16PR</t>
        </is>
      </c>
      <c r="C613" s="20" t="inlineStr">
        <is>
          <t>ECO-MILE AP</t>
        </is>
      </c>
      <c r="D613" s="21" t="inlineStr">
        <is>
          <t>✔</t>
        </is>
      </c>
      <c r="E613" s="28">
        <f>_xlfn.TEXTJOIN("-",TRUE,A613,B613,C613)</f>
        <v/>
      </c>
      <c r="F613" s="20" t="n"/>
      <c r="G613" s="23" t="n"/>
      <c r="H613" s="23" t="n"/>
      <c r="I613" s="24" t="n"/>
    </row>
    <row r="614" customFormat="1" s="19">
      <c r="A614" s="20" t="inlineStr">
        <is>
          <t>11R22.5</t>
        </is>
      </c>
      <c r="B614" s="20" t="inlineStr">
        <is>
          <t>16PR</t>
        </is>
      </c>
      <c r="C614" s="20" t="inlineStr">
        <is>
          <t>M-TRAC MS</t>
        </is>
      </c>
      <c r="D614" s="21" t="inlineStr">
        <is>
          <t>✔</t>
        </is>
      </c>
      <c r="E614" s="28">
        <f>_xlfn.TEXTJOIN("-",TRUE,A614,B614,C614)</f>
        <v/>
      </c>
      <c r="F614" s="20" t="n"/>
      <c r="G614" s="23" t="n"/>
      <c r="H614" s="23" t="n"/>
      <c r="I614" s="24" t="n"/>
    </row>
    <row r="615" customFormat="1" s="19">
      <c r="A615" s="20" t="inlineStr">
        <is>
          <t>11R22.5</t>
        </is>
      </c>
      <c r="B615" s="20" t="inlineStr">
        <is>
          <t>16PR</t>
        </is>
      </c>
      <c r="C615" s="20" t="inlineStr">
        <is>
          <t>ECO-MILE MS</t>
        </is>
      </c>
      <c r="D615" s="21" t="inlineStr">
        <is>
          <t>✔</t>
        </is>
      </c>
      <c r="E615" s="28">
        <f>_xlfn.TEXTJOIN("-",TRUE,A615,B615,C615)</f>
        <v/>
      </c>
      <c r="F615" s="20" t="n"/>
      <c r="G615" s="23" t="n"/>
      <c r="H615" s="23" t="n"/>
      <c r="I615" s="24" t="n"/>
    </row>
    <row r="616" customFormat="1" s="19">
      <c r="A616" s="20" t="inlineStr">
        <is>
          <t>11R24.5</t>
        </is>
      </c>
      <c r="B616" s="20" t="inlineStr">
        <is>
          <t>16PR</t>
        </is>
      </c>
      <c r="C616" s="20" t="inlineStr">
        <is>
          <t>M-TRAC OSD</t>
        </is>
      </c>
      <c r="D616" s="21" t="inlineStr">
        <is>
          <t>✔</t>
        </is>
      </c>
      <c r="E616" s="28">
        <f>_xlfn.TEXTJOIN("-",TRUE,A616,B616,C616)</f>
        <v/>
      </c>
      <c r="F616" s="20" t="n"/>
      <c r="G616" s="23" t="n"/>
      <c r="H616" s="23" t="n"/>
      <c r="I616" s="24" t="n"/>
    </row>
    <row r="617" customFormat="1" s="19">
      <c r="A617" s="20" t="inlineStr">
        <is>
          <t>11R24.5</t>
        </is>
      </c>
      <c r="B617" s="20" t="inlineStr">
        <is>
          <t>16PR</t>
        </is>
      </c>
      <c r="C617" s="20" t="inlineStr">
        <is>
          <t>M-TRAC CSD</t>
        </is>
      </c>
      <c r="D617" s="21" t="inlineStr">
        <is>
          <t>✔</t>
        </is>
      </c>
      <c r="E617" s="28">
        <f>_xlfn.TEXTJOIN("-",TRUE,A617,B617,C617)</f>
        <v/>
      </c>
      <c r="F617" s="20" t="n"/>
      <c r="G617" s="23" t="n"/>
      <c r="H617" s="23" t="n"/>
      <c r="I617" s="24" t="n"/>
    </row>
    <row r="618" customFormat="1" s="19">
      <c r="A618" s="20" t="inlineStr">
        <is>
          <t>11R24.5</t>
        </is>
      </c>
      <c r="B618" s="20" t="inlineStr">
        <is>
          <t>16PR</t>
        </is>
      </c>
      <c r="C618" s="20" t="inlineStr">
        <is>
          <t>ECO-MILE CSD</t>
        </is>
      </c>
      <c r="D618" s="21" t="inlineStr">
        <is>
          <t>✔</t>
        </is>
      </c>
      <c r="E618" s="28">
        <f>_xlfn.TEXTJOIN("-",TRUE,A618,B618,C618)</f>
        <v/>
      </c>
      <c r="F618" s="20" t="n"/>
      <c r="G618" s="23" t="n"/>
      <c r="H618" s="23" t="n"/>
      <c r="I618" s="24" t="n"/>
    </row>
    <row r="619" customFormat="1" s="19">
      <c r="A619" s="20" t="inlineStr">
        <is>
          <t>11R24.5</t>
        </is>
      </c>
      <c r="B619" s="20" t="inlineStr">
        <is>
          <t>16PR</t>
        </is>
      </c>
      <c r="C619" s="20" t="inlineStr">
        <is>
          <t>M-TRAC AP</t>
        </is>
      </c>
      <c r="D619" s="21" t="inlineStr">
        <is>
          <t>✔</t>
        </is>
      </c>
      <c r="E619" s="28">
        <f>_xlfn.TEXTJOIN("-",TRUE,A619,B619,C619)</f>
        <v/>
      </c>
      <c r="F619" s="20" t="n"/>
      <c r="G619" s="23" t="n"/>
      <c r="H619" s="23" t="n"/>
      <c r="I619" s="24" t="n"/>
    </row>
    <row r="620" customFormat="1" s="19">
      <c r="A620" s="20" t="inlineStr">
        <is>
          <t>11R24.5</t>
        </is>
      </c>
      <c r="B620" s="20" t="inlineStr">
        <is>
          <t>16PR</t>
        </is>
      </c>
      <c r="C620" s="20" t="inlineStr">
        <is>
          <t>ECO-MILE AP</t>
        </is>
      </c>
      <c r="D620" s="21" t="inlineStr">
        <is>
          <t>✔</t>
        </is>
      </c>
      <c r="E620" s="28">
        <f>_xlfn.TEXTJOIN("-",TRUE,A620,B620,C620)</f>
        <v/>
      </c>
      <c r="F620" s="20" t="n"/>
      <c r="G620" s="23" t="n"/>
      <c r="H620" s="23" t="n"/>
      <c r="I620" s="24" t="n"/>
    </row>
    <row r="621" customFormat="1" s="19">
      <c r="A621" s="20" t="inlineStr">
        <is>
          <t>10.00R20</t>
        </is>
      </c>
      <c r="B621" s="20" t="inlineStr">
        <is>
          <t>16PR</t>
        </is>
      </c>
      <c r="C621" s="20" t="inlineStr">
        <is>
          <t>I-181</t>
        </is>
      </c>
      <c r="D621" s="21" t="inlineStr">
        <is>
          <t>✔</t>
        </is>
      </c>
      <c r="E621" s="28">
        <f>_xlfn.TEXTJOIN("-",TRUE,A621,B621,C621)</f>
        <v/>
      </c>
      <c r="F621" s="20" t="n"/>
      <c r="G621" s="23" t="n"/>
      <c r="H621" s="23" t="n"/>
      <c r="I621" s="24" t="n"/>
    </row>
    <row r="622" customFormat="1" s="19">
      <c r="A622" s="20" t="inlineStr">
        <is>
          <t>12R22.5</t>
        </is>
      </c>
      <c r="B622" s="20" t="inlineStr">
        <is>
          <t>18PR</t>
        </is>
      </c>
      <c r="C622" s="20" t="inlineStr">
        <is>
          <t>I-181</t>
        </is>
      </c>
      <c r="D622" s="21" t="inlineStr">
        <is>
          <t>✔</t>
        </is>
      </c>
      <c r="E622" s="28">
        <f>_xlfn.TEXTJOIN("-",TRUE,A622,B622,C622)</f>
        <v/>
      </c>
      <c r="F622" s="20" t="n"/>
      <c r="G622" s="23" t="n"/>
      <c r="H622" s="23" t="n"/>
      <c r="I622" s="24" t="n"/>
    </row>
    <row r="623" customFormat="1" s="19">
      <c r="A623" s="20" t="inlineStr">
        <is>
          <t>295/75R22.5</t>
        </is>
      </c>
      <c r="B623" s="20" t="inlineStr">
        <is>
          <t>16PR</t>
        </is>
      </c>
      <c r="C623" s="20" t="inlineStr">
        <is>
          <t>AD184</t>
        </is>
      </c>
      <c r="D623" s="21" t="inlineStr">
        <is>
          <t>✔</t>
        </is>
      </c>
      <c r="E623" s="28">
        <f>_xlfn.TEXTJOIN("-",TRUE,A623,B623,C623)</f>
        <v/>
      </c>
      <c r="F623" s="20" t="n"/>
      <c r="G623" s="23" t="n"/>
      <c r="H623" s="23" t="n"/>
      <c r="I623" s="24" t="n"/>
    </row>
    <row r="624" customFormat="1" s="19">
      <c r="A624" s="20" t="inlineStr">
        <is>
          <t>295/75R22.5</t>
        </is>
      </c>
      <c r="B624" s="20" t="inlineStr">
        <is>
          <t>16PR</t>
        </is>
      </c>
      <c r="C624" s="20" t="inlineStr">
        <is>
          <t>HD2 PlusX</t>
        </is>
      </c>
      <c r="D624" s="21" t="inlineStr">
        <is>
          <t>✔</t>
        </is>
      </c>
      <c r="E624" s="28">
        <f>_xlfn.TEXTJOIN("-",TRUE,A624,B624,C624)</f>
        <v/>
      </c>
      <c r="F624" s="20" t="n"/>
      <c r="G624" s="23" t="n"/>
      <c r="H624" s="23" t="n"/>
      <c r="I624" s="24" t="n"/>
    </row>
    <row r="625" customFormat="1" s="19">
      <c r="A625" s="20" t="inlineStr">
        <is>
          <t>225/70R19.5</t>
        </is>
      </c>
      <c r="B625" s="20" t="inlineStr">
        <is>
          <t>14PR</t>
        </is>
      </c>
      <c r="C625" s="20" t="inlineStr">
        <is>
          <t>CM983</t>
        </is>
      </c>
      <c r="D625" s="21" t="inlineStr">
        <is>
          <t>✔</t>
        </is>
      </c>
      <c r="E625" s="28">
        <f>_xlfn.TEXTJOIN("-",TRUE,A625,B625,C625)</f>
        <v/>
      </c>
      <c r="F625" s="20" t="n"/>
      <c r="G625" s="23" t="n"/>
      <c r="H625" s="23" t="n"/>
      <c r="I625" s="24" t="n"/>
    </row>
    <row r="626" customFormat="1" s="19">
      <c r="A626" s="20" t="inlineStr">
        <is>
          <t>295/75R22.5</t>
        </is>
      </c>
      <c r="B626" s="20" t="inlineStr">
        <is>
          <t>16PR</t>
        </is>
      </c>
      <c r="C626" s="20" t="inlineStr">
        <is>
          <t>AT167</t>
        </is>
      </c>
      <c r="D626" s="21" t="inlineStr">
        <is>
          <t>✔</t>
        </is>
      </c>
      <c r="E626" s="28">
        <f>_xlfn.TEXTJOIN("-",TRUE,A626,B626,C626)</f>
        <v/>
      </c>
      <c r="F626" s="20" t="n"/>
      <c r="G626" s="23" t="n"/>
      <c r="H626" s="23" t="n"/>
      <c r="I626" s="24" t="n"/>
    </row>
    <row r="627" customFormat="1" s="19">
      <c r="A627" s="20" t="inlineStr">
        <is>
          <t>295/75R22.5</t>
        </is>
      </c>
      <c r="B627" s="20" t="inlineStr">
        <is>
          <t>16PR</t>
        </is>
      </c>
      <c r="C627" s="20" t="inlineStr">
        <is>
          <t>HF1 PlusX</t>
        </is>
      </c>
      <c r="D627" s="21" t="inlineStr">
        <is>
          <t>✔</t>
        </is>
      </c>
      <c r="E627" s="28">
        <f>_xlfn.TEXTJOIN("-",TRUE,A627,B627,C627)</f>
        <v/>
      </c>
      <c r="F627" s="20" t="n"/>
      <c r="G627" s="23" t="n"/>
      <c r="H627" s="23" t="n"/>
      <c r="I627" s="24" t="n"/>
    </row>
    <row r="628" customFormat="1" s="19">
      <c r="A628" s="20" t="inlineStr">
        <is>
          <t>295/75R22.5</t>
        </is>
      </c>
      <c r="B628" s="20" t="inlineStr">
        <is>
          <t>16PR</t>
        </is>
      </c>
      <c r="C628" s="20" t="inlineStr">
        <is>
          <t>RLINE-T1</t>
        </is>
      </c>
      <c r="D628" s="21" t="inlineStr">
        <is>
          <t>✔</t>
        </is>
      </c>
      <c r="E628" s="28">
        <f>_xlfn.TEXTJOIN("-",TRUE,A628,B628,C628)</f>
        <v/>
      </c>
      <c r="F628" s="20" t="n"/>
      <c r="G628" s="23" t="n"/>
      <c r="H628" s="23" t="n"/>
      <c r="I628" s="24" t="n"/>
    </row>
    <row r="629" customFormat="1" s="19">
      <c r="A629" s="20" t="inlineStr">
        <is>
          <t>295/75R22.5</t>
        </is>
      </c>
      <c r="B629" s="20" t="inlineStr">
        <is>
          <t>16PR</t>
        </is>
      </c>
      <c r="C629" s="20" t="inlineStr">
        <is>
          <t>VXD932</t>
        </is>
      </c>
      <c r="D629" s="21" t="inlineStr">
        <is>
          <t>✔</t>
        </is>
      </c>
      <c r="E629" s="28">
        <f>_xlfn.TEXTJOIN("-",TRUE,A629,B629,C629)</f>
        <v/>
      </c>
      <c r="F629" s="20" t="n"/>
      <c r="G629" s="23" t="n"/>
      <c r="H629" s="23" t="n"/>
      <c r="I629" s="24" t="n"/>
    </row>
    <row r="630" customFormat="1" s="19">
      <c r="A630" s="20" t="inlineStr">
        <is>
          <t>11R22.5</t>
        </is>
      </c>
      <c r="B630" s="20" t="inlineStr">
        <is>
          <t>16PR</t>
        </is>
      </c>
      <c r="C630" s="20" t="inlineStr">
        <is>
          <t>M-TRAC OSD</t>
        </is>
      </c>
      <c r="D630" s="21" t="inlineStr">
        <is>
          <t>✔</t>
        </is>
      </c>
      <c r="E630" s="28">
        <f>_xlfn.TEXTJOIN("-",TRUE,A630,B630,C630)</f>
        <v/>
      </c>
      <c r="F630" s="20" t="n"/>
      <c r="G630" s="23" t="n"/>
      <c r="H630" s="23" t="n"/>
      <c r="I630" s="24" t="n"/>
    </row>
    <row r="631" customFormat="1" s="19">
      <c r="A631" s="20" t="inlineStr">
        <is>
          <t>11R24.5</t>
        </is>
      </c>
      <c r="B631" s="20" t="inlineStr">
        <is>
          <t>16PR</t>
        </is>
      </c>
      <c r="C631" s="20" t="inlineStr">
        <is>
          <t>I-48T</t>
        </is>
      </c>
      <c r="D631" s="21" t="inlineStr">
        <is>
          <t>✔</t>
        </is>
      </c>
      <c r="E631" s="28">
        <f>_xlfn.TEXTJOIN("-",TRUE,A631,B631,C631)</f>
        <v/>
      </c>
      <c r="F631" s="20" t="n"/>
      <c r="G631" s="23" t="n"/>
      <c r="H631" s="23" t="n"/>
      <c r="I631" s="24" t="n"/>
    </row>
    <row r="632" customFormat="1" s="19">
      <c r="A632" s="20" t="inlineStr">
        <is>
          <t>11R24.5</t>
        </is>
      </c>
      <c r="B632" s="20" t="inlineStr">
        <is>
          <t>16PR</t>
        </is>
      </c>
      <c r="C632" s="20" t="inlineStr">
        <is>
          <t>HF1 PlusX</t>
        </is>
      </c>
      <c r="D632" s="21" t="inlineStr">
        <is>
          <t>✔</t>
        </is>
      </c>
      <c r="E632" s="28">
        <f>_xlfn.TEXTJOIN("-",TRUE,A632,B632,C632)</f>
        <v/>
      </c>
      <c r="F632" s="20" t="n"/>
      <c r="G632" s="23" t="n"/>
      <c r="H632" s="23" t="n"/>
      <c r="I632" s="24" t="n"/>
    </row>
    <row r="633" customFormat="1" s="19">
      <c r="A633" s="20" t="inlineStr">
        <is>
          <t>11R24.5</t>
        </is>
      </c>
      <c r="B633" s="20" t="inlineStr">
        <is>
          <t>14PR</t>
        </is>
      </c>
      <c r="C633" s="20" t="inlineStr">
        <is>
          <t>H-RD</t>
        </is>
      </c>
      <c r="D633" s="21" t="inlineStr">
        <is>
          <t>✔</t>
        </is>
      </c>
      <c r="E633" s="28">
        <f>_xlfn.TEXTJOIN("-",TRUE,A633,B633,C633)</f>
        <v/>
      </c>
      <c r="F633" s="20" t="n"/>
      <c r="G633" s="23" t="n"/>
      <c r="H633" s="23" t="n"/>
      <c r="I633" s="24" t="n"/>
    </row>
    <row r="634" customFormat="1" s="19">
      <c r="A634" s="20" t="inlineStr">
        <is>
          <t>11R24.5</t>
        </is>
      </c>
      <c r="B634" s="20" t="inlineStr">
        <is>
          <t>16PR</t>
        </is>
      </c>
      <c r="C634" s="20" t="inlineStr">
        <is>
          <t>H-TL</t>
        </is>
      </c>
      <c r="D634" s="21" t="inlineStr">
        <is>
          <t>✔</t>
        </is>
      </c>
      <c r="E634" s="28">
        <f>_xlfn.TEXTJOIN("-",TRUE,A634,B634,C634)</f>
        <v/>
      </c>
      <c r="F634" s="20" t="n"/>
      <c r="G634" s="23" t="n"/>
      <c r="H634" s="23" t="n"/>
      <c r="I634" s="24" t="n"/>
    </row>
    <row r="635" customFormat="1" s="19">
      <c r="A635" s="20" t="inlineStr">
        <is>
          <t>12R22.5</t>
        </is>
      </c>
      <c r="B635" s="20" t="inlineStr">
        <is>
          <t>18PR</t>
        </is>
      </c>
      <c r="C635" s="20" t="inlineStr">
        <is>
          <t>AZ850M</t>
        </is>
      </c>
      <c r="D635" s="21" t="inlineStr">
        <is>
          <t>✔</t>
        </is>
      </c>
      <c r="E635" s="28">
        <f>_xlfn.TEXTJOIN("-",TRUE,A635,B635,C635)</f>
        <v/>
      </c>
      <c r="F635" s="20" t="n"/>
      <c r="G635" s="23" t="n"/>
      <c r="H635" s="23" t="n"/>
      <c r="I635" s="24" t="n"/>
    </row>
    <row r="636" customFormat="1" s="19">
      <c r="A636" s="20" t="inlineStr">
        <is>
          <t>12.00R24</t>
        </is>
      </c>
      <c r="B636" s="20" t="inlineStr">
        <is>
          <t>20PR</t>
        </is>
      </c>
      <c r="C636" s="20" t="inlineStr">
        <is>
          <t>XC809</t>
        </is>
      </c>
      <c r="D636" s="21" t="inlineStr">
        <is>
          <t>✔</t>
        </is>
      </c>
      <c r="E636" s="28">
        <f>_xlfn.TEXTJOIN("-",TRUE,A636,B636,C636)</f>
        <v/>
      </c>
      <c r="F636" s="20" t="n"/>
      <c r="G636" s="23" t="n"/>
      <c r="H636" s="23" t="n"/>
      <c r="I636" s="24" t="n"/>
    </row>
    <row r="637" customFormat="1" s="19">
      <c r="A637" s="20" t="inlineStr">
        <is>
          <t>215/75R17.5</t>
        </is>
      </c>
      <c r="B637" s="20" t="inlineStr">
        <is>
          <t>16PR</t>
        </is>
      </c>
      <c r="C637" s="20" t="inlineStr">
        <is>
          <t>M-TRAC AP</t>
        </is>
      </c>
      <c r="D637" s="21" t="inlineStr">
        <is>
          <t>✔</t>
        </is>
      </c>
      <c r="E637" s="28">
        <f>_xlfn.TEXTJOIN("-",TRUE,A637,B637,C637)</f>
        <v/>
      </c>
      <c r="F637" s="20" t="n"/>
      <c r="G637" s="23" t="n"/>
      <c r="H637" s="23" t="n"/>
      <c r="I637" s="24" t="n"/>
    </row>
    <row r="638" customFormat="1" s="19">
      <c r="A638" s="20" t="inlineStr">
        <is>
          <t>245/70R17.5</t>
        </is>
      </c>
      <c r="B638" s="20" t="inlineStr">
        <is>
          <t>18PR</t>
        </is>
      </c>
      <c r="C638" s="20" t="inlineStr">
        <is>
          <t>I-19A</t>
        </is>
      </c>
      <c r="D638" s="21" t="inlineStr">
        <is>
          <t>✔</t>
        </is>
      </c>
      <c r="E638" s="28">
        <f>_xlfn.TEXTJOIN("-",TRUE,A638,B638,C638)</f>
        <v/>
      </c>
      <c r="F638" s="20" t="n"/>
      <c r="G638" s="23" t="n"/>
      <c r="H638" s="23" t="n"/>
      <c r="I638" s="24" t="n"/>
    </row>
    <row r="639" customFormat="1" s="19">
      <c r="A639" s="20" t="inlineStr">
        <is>
          <t>245/70R17.5</t>
        </is>
      </c>
      <c r="B639" s="20" t="inlineStr">
        <is>
          <t>18PR</t>
        </is>
      </c>
      <c r="C639" s="20" t="inlineStr">
        <is>
          <t>AZ599</t>
        </is>
      </c>
      <c r="D639" s="21" t="inlineStr">
        <is>
          <t>✔</t>
        </is>
      </c>
      <c r="E639" s="28">
        <f>_xlfn.TEXTJOIN("-",TRUE,A639,B639,C639)</f>
        <v/>
      </c>
      <c r="F639" s="20" t="n"/>
      <c r="G639" s="23" t="n"/>
      <c r="H639" s="23" t="n"/>
      <c r="I639" s="24" t="n"/>
    </row>
    <row r="640" customFormat="1" s="19">
      <c r="A640" s="20" t="inlineStr">
        <is>
          <t>245/70R17.5</t>
        </is>
      </c>
      <c r="B640" s="20" t="inlineStr">
        <is>
          <t>18PR</t>
        </is>
      </c>
      <c r="C640" s="20" t="inlineStr">
        <is>
          <t>AP-7318</t>
        </is>
      </c>
      <c r="D640" s="21" t="inlineStr">
        <is>
          <t>✔</t>
        </is>
      </c>
      <c r="E640" s="28">
        <f>_xlfn.TEXTJOIN("-",TRUE,A640,B640,C640)</f>
        <v/>
      </c>
      <c r="F640" s="20" t="n"/>
      <c r="G640" s="23" t="n"/>
      <c r="H640" s="23" t="n"/>
      <c r="I640" s="24" t="n"/>
    </row>
    <row r="641" customFormat="1" s="19">
      <c r="A641" s="20" t="inlineStr">
        <is>
          <t>245/70R19.5</t>
        </is>
      </c>
      <c r="B641" s="20" t="inlineStr">
        <is>
          <t>16PR</t>
        </is>
      </c>
      <c r="C641" s="20" t="inlineStr">
        <is>
          <t>AD717</t>
        </is>
      </c>
      <c r="D641" s="21" t="inlineStr">
        <is>
          <t>✔</t>
        </is>
      </c>
      <c r="E641" s="28">
        <f>_xlfn.TEXTJOIN("-",TRUE,A641,B641,C641)</f>
        <v/>
      </c>
      <c r="F641" s="20" t="n"/>
      <c r="G641" s="23" t="n"/>
      <c r="H641" s="23" t="n"/>
      <c r="I641" s="24" t="n"/>
    </row>
    <row r="642" customFormat="1" s="19">
      <c r="A642" s="20" t="inlineStr">
        <is>
          <t>245/70R19.5</t>
        </is>
      </c>
      <c r="B642" s="20" t="inlineStr">
        <is>
          <t>16PR</t>
        </is>
      </c>
      <c r="C642" s="20" t="inlineStr">
        <is>
          <t>AW717</t>
        </is>
      </c>
      <c r="D642" s="21" t="inlineStr">
        <is>
          <t>✔</t>
        </is>
      </c>
      <c r="E642" s="28">
        <f>_xlfn.TEXTJOIN("-",TRUE,A642,B642,C642)</f>
        <v/>
      </c>
      <c r="F642" s="20" t="n"/>
      <c r="G642" s="23" t="n"/>
      <c r="H642" s="23" t="n"/>
      <c r="I642" s="24" t="n"/>
    </row>
    <row r="643" customFormat="1" s="19">
      <c r="A643" s="20" t="inlineStr">
        <is>
          <t>255/70R22.5</t>
        </is>
      </c>
      <c r="B643" s="20" t="inlineStr">
        <is>
          <t>16PR</t>
        </is>
      </c>
      <c r="C643" s="20" t="inlineStr">
        <is>
          <t>DA23</t>
        </is>
      </c>
      <c r="D643" s="21" t="inlineStr">
        <is>
          <t>✔</t>
        </is>
      </c>
      <c r="E643" s="28">
        <f>_xlfn.TEXTJOIN("-",TRUE,A643,B643,C643)</f>
        <v/>
      </c>
      <c r="F643" s="20" t="n"/>
      <c r="G643" s="23" t="n"/>
      <c r="H643" s="23" t="n"/>
      <c r="I643" s="24" t="n"/>
    </row>
    <row r="644" customFormat="1" s="19">
      <c r="A644" s="20" t="inlineStr">
        <is>
          <t>275/70R22.5</t>
        </is>
      </c>
      <c r="B644" s="20" t="inlineStr">
        <is>
          <t>18PR</t>
        </is>
      </c>
      <c r="C644" s="20" t="inlineStr">
        <is>
          <t>H-RA</t>
        </is>
      </c>
      <c r="D644" s="21" t="inlineStr">
        <is>
          <t>✔</t>
        </is>
      </c>
      <c r="E644" s="28">
        <f>_xlfn.TEXTJOIN("-",TRUE,A644,B644,C644)</f>
        <v/>
      </c>
      <c r="F644" s="20" t="n"/>
      <c r="G644" s="23" t="n"/>
      <c r="H644" s="23" t="n"/>
      <c r="I644" s="24" t="n"/>
    </row>
    <row r="645" customFormat="1" s="19">
      <c r="A645" s="20" t="inlineStr">
        <is>
          <t>425/65R22.5</t>
        </is>
      </c>
      <c r="B645" s="20" t="inlineStr">
        <is>
          <t>20PR</t>
        </is>
      </c>
      <c r="C645" s="20" t="inlineStr">
        <is>
          <t>TM-134</t>
        </is>
      </c>
      <c r="D645" s="21" t="inlineStr">
        <is>
          <t>✔</t>
        </is>
      </c>
      <c r="E645" s="28">
        <f>_xlfn.TEXTJOIN("-",TRUE,A645,B645,C645)</f>
        <v/>
      </c>
      <c r="F645" s="20" t="n"/>
      <c r="G645" s="23" t="n"/>
      <c r="H645" s="23" t="n"/>
      <c r="I645" s="24" t="n"/>
    </row>
    <row r="646" customFormat="1" s="19">
      <c r="A646" s="20" t="inlineStr">
        <is>
          <t>12.00R20</t>
        </is>
      </c>
      <c r="B646" s="20" t="inlineStr">
        <is>
          <t>18PR</t>
        </is>
      </c>
      <c r="C646" s="20" t="inlineStr">
        <is>
          <t>XC809</t>
        </is>
      </c>
      <c r="D646" s="21" t="inlineStr">
        <is>
          <t>✔</t>
        </is>
      </c>
      <c r="E646" s="28">
        <f>_xlfn.TEXTJOIN("-",TRUE,A646,B646,C646)</f>
        <v/>
      </c>
      <c r="F646" s="20" t="n"/>
      <c r="G646" s="23" t="n"/>
      <c r="H646" s="23" t="n"/>
      <c r="I646" s="24" t="n"/>
    </row>
    <row r="647" customFormat="1" s="19">
      <c r="A647" s="20" t="inlineStr">
        <is>
          <t>12.00R20</t>
        </is>
      </c>
      <c r="B647" s="20" t="inlineStr">
        <is>
          <t>18PR</t>
        </is>
      </c>
      <c r="C647" s="20" t="inlineStr">
        <is>
          <t>EZ309</t>
        </is>
      </c>
      <c r="D647" s="21" t="inlineStr">
        <is>
          <t>✔</t>
        </is>
      </c>
      <c r="E647" s="28">
        <f>_xlfn.TEXTJOIN("-",TRUE,A647,B647,C647)</f>
        <v/>
      </c>
      <c r="F647" s="20" t="n"/>
      <c r="G647" s="23" t="n"/>
      <c r="H647" s="23" t="n"/>
      <c r="I647" s="24" t="n"/>
    </row>
    <row r="648" customFormat="1" s="19">
      <c r="A648" s="20" t="inlineStr">
        <is>
          <t>12.00R20</t>
        </is>
      </c>
      <c r="B648" s="20" t="inlineStr">
        <is>
          <t>22PR</t>
        </is>
      </c>
      <c r="C648" s="20" t="inlineStr">
        <is>
          <t>XC809</t>
        </is>
      </c>
      <c r="D648" s="21" t="inlineStr">
        <is>
          <t>✔</t>
        </is>
      </c>
      <c r="E648" s="28">
        <f>_xlfn.TEXTJOIN("-",TRUE,A648,B648,C648)</f>
        <v/>
      </c>
      <c r="F648" s="20" t="n"/>
      <c r="G648" s="23" t="n"/>
      <c r="H648" s="23" t="n"/>
      <c r="I648" s="24" t="n"/>
    </row>
    <row r="649" customFormat="1" s="19">
      <c r="A649" s="20" t="inlineStr">
        <is>
          <t>12.00R24</t>
        </is>
      </c>
      <c r="B649" s="20" t="inlineStr">
        <is>
          <t>☆☆PR</t>
        </is>
      </c>
      <c r="C649" s="20" t="inlineStr">
        <is>
          <t>XC819</t>
        </is>
      </c>
      <c r="D649" s="21" t="inlineStr">
        <is>
          <t>✔</t>
        </is>
      </c>
      <c r="E649" s="28">
        <f>_xlfn.TEXTJOIN("-",TRUE,A649,B649,C649)</f>
        <v/>
      </c>
      <c r="F649" s="20" t="n"/>
      <c r="G649" s="23" t="n"/>
      <c r="H649" s="23" t="n"/>
      <c r="I649" s="24" t="n"/>
    </row>
    <row r="650" customFormat="1" s="19">
      <c r="A650" s="20" t="inlineStr">
        <is>
          <t>275/80R22.5</t>
        </is>
      </c>
      <c r="B650" s="20" t="inlineStr">
        <is>
          <t>18PR</t>
        </is>
      </c>
      <c r="C650" s="20" t="inlineStr">
        <is>
          <t>AZ179</t>
        </is>
      </c>
      <c r="D650" s="21" t="inlineStr">
        <is>
          <t>✔</t>
        </is>
      </c>
      <c r="E650" s="28">
        <f>_xlfn.TEXTJOIN("-",TRUE,A650,B650,C650)</f>
        <v/>
      </c>
      <c r="F650" s="20" t="n"/>
      <c r="G650" s="23" t="n"/>
      <c r="H650" s="23" t="n"/>
      <c r="I650" s="24" t="n"/>
    </row>
    <row r="651" customFormat="1" s="19">
      <c r="A651" s="20" t="inlineStr">
        <is>
          <t>11R22.5</t>
        </is>
      </c>
      <c r="B651" s="20" t="inlineStr">
        <is>
          <t>16PR</t>
        </is>
      </c>
      <c r="C651" s="20" t="inlineStr">
        <is>
          <t>STEALTH S01</t>
        </is>
      </c>
      <c r="D651" s="21" t="inlineStr">
        <is>
          <t>✔</t>
        </is>
      </c>
      <c r="E651" s="28">
        <f>_xlfn.TEXTJOIN("-",TRUE,A651,B651,C651)</f>
        <v/>
      </c>
      <c r="F651" s="20" t="n"/>
      <c r="G651" s="23" t="n"/>
      <c r="H651" s="23" t="n"/>
      <c r="I651" s="24" t="n"/>
    </row>
    <row r="652" customFormat="1" s="19">
      <c r="A652" s="20" t="inlineStr">
        <is>
          <t>215/75R17.5</t>
        </is>
      </c>
      <c r="B652" s="20" t="inlineStr">
        <is>
          <t>18PR</t>
        </is>
      </c>
      <c r="C652" s="20" t="inlineStr">
        <is>
          <t>AZ599</t>
        </is>
      </c>
      <c r="D652" s="21" t="inlineStr">
        <is>
          <t>✔</t>
        </is>
      </c>
      <c r="E652" s="28">
        <f>_xlfn.TEXTJOIN("-",TRUE,A652,B652,C652)</f>
        <v/>
      </c>
      <c r="F652" s="20" t="n"/>
      <c r="G652" s="23" t="n"/>
      <c r="H652" s="23" t="n"/>
      <c r="I652" s="24" t="n"/>
    </row>
    <row r="653" customFormat="1" s="19">
      <c r="A653" s="20" t="inlineStr">
        <is>
          <t>10.00R20</t>
        </is>
      </c>
      <c r="B653" s="20" t="inlineStr">
        <is>
          <t>18PR</t>
        </is>
      </c>
      <c r="C653" s="20" t="inlineStr">
        <is>
          <t>MT200</t>
        </is>
      </c>
      <c r="D653" s="21" t="inlineStr">
        <is>
          <t>✔</t>
        </is>
      </c>
      <c r="E653" s="28">
        <f>_xlfn.TEXTJOIN("-",TRUE,A653,B653,C653)</f>
        <v/>
      </c>
      <c r="F653" s="20" t="n"/>
      <c r="G653" s="23" t="n"/>
      <c r="H653" s="23" t="n"/>
      <c r="I653" s="24" t="n"/>
    </row>
    <row r="654" customFormat="1" s="19">
      <c r="A654" s="20" t="inlineStr">
        <is>
          <t>11.00R20</t>
        </is>
      </c>
      <c r="B654" s="20" t="inlineStr">
        <is>
          <t>18PR</t>
        </is>
      </c>
      <c r="C654" s="20" t="inlineStr">
        <is>
          <t>MT200</t>
        </is>
      </c>
      <c r="D654" s="21" t="inlineStr">
        <is>
          <t>✔</t>
        </is>
      </c>
      <c r="E654" s="28">
        <f>_xlfn.TEXTJOIN("-",TRUE,A654,B654,C654)</f>
        <v/>
      </c>
      <c r="F654" s="20" t="n"/>
      <c r="G654" s="23" t="n"/>
      <c r="H654" s="23" t="n"/>
      <c r="I654" s="24" t="n"/>
    </row>
    <row r="655" customFormat="1" s="19">
      <c r="A655" s="20" t="inlineStr">
        <is>
          <t>11R22.5</t>
        </is>
      </c>
      <c r="B655" s="20" t="inlineStr">
        <is>
          <t>16PR</t>
        </is>
      </c>
      <c r="C655" s="20" t="inlineStr">
        <is>
          <t>AD184</t>
        </is>
      </c>
      <c r="D655" s="21" t="inlineStr">
        <is>
          <t>✔</t>
        </is>
      </c>
      <c r="E655" s="28">
        <f>_xlfn.TEXTJOIN("-",TRUE,A655,B655,C655)</f>
        <v/>
      </c>
      <c r="F655" s="20" t="n"/>
      <c r="G655" s="23" t="n"/>
      <c r="H655" s="23" t="n"/>
      <c r="I655" s="24" t="n"/>
    </row>
    <row r="656" customFormat="1" s="19">
      <c r="A656" s="20" t="inlineStr">
        <is>
          <t>11R22.5</t>
        </is>
      </c>
      <c r="B656" s="20" t="inlineStr">
        <is>
          <t>16PR</t>
        </is>
      </c>
      <c r="C656" s="20" t="inlineStr">
        <is>
          <t>HD2 PlusX</t>
        </is>
      </c>
      <c r="D656" s="21" t="inlineStr">
        <is>
          <t>✔</t>
        </is>
      </c>
      <c r="E656" s="28">
        <f>_xlfn.TEXTJOIN("-",TRUE,A656,B656,C656)</f>
        <v/>
      </c>
      <c r="F656" s="20" t="n"/>
      <c r="G656" s="23" t="n"/>
      <c r="H656" s="23" t="n"/>
      <c r="I656" s="24" t="n"/>
    </row>
    <row r="657" customFormat="1" s="19">
      <c r="A657" s="20" t="inlineStr">
        <is>
          <t>11R24.5</t>
        </is>
      </c>
      <c r="B657" s="20" t="inlineStr">
        <is>
          <t>16PR</t>
        </is>
      </c>
      <c r="C657" s="20" t="inlineStr">
        <is>
          <t>AD184</t>
        </is>
      </c>
      <c r="D657" s="21" t="inlineStr">
        <is>
          <t>✔</t>
        </is>
      </c>
      <c r="E657" s="28">
        <f>_xlfn.TEXTJOIN("-",TRUE,A657,B657,C657)</f>
        <v/>
      </c>
      <c r="F657" s="20" t="n"/>
      <c r="G657" s="23" t="n"/>
      <c r="H657" s="23" t="n"/>
      <c r="I657" s="24" t="n"/>
    </row>
    <row r="658" customFormat="1" s="19">
      <c r="A658" s="20" t="inlineStr">
        <is>
          <t>11R24.5</t>
        </is>
      </c>
      <c r="B658" s="20" t="inlineStr">
        <is>
          <t>16PR</t>
        </is>
      </c>
      <c r="C658" s="20" t="inlineStr">
        <is>
          <t>HD2 PlusX</t>
        </is>
      </c>
      <c r="D658" s="21" t="inlineStr">
        <is>
          <t>✔</t>
        </is>
      </c>
      <c r="E658" s="28">
        <f>_xlfn.TEXTJOIN("-",TRUE,A658,B658,C658)</f>
        <v/>
      </c>
      <c r="F658" s="20" t="n"/>
      <c r="G658" s="23" t="n"/>
      <c r="H658" s="23" t="n"/>
      <c r="I658" s="24" t="n"/>
    </row>
    <row r="659" customFormat="1" s="19">
      <c r="A659" s="20" t="inlineStr">
        <is>
          <t>295/75R22.5</t>
        </is>
      </c>
      <c r="B659" s="20" t="inlineStr">
        <is>
          <t>16PR</t>
        </is>
      </c>
      <c r="C659" s="20" t="inlineStr">
        <is>
          <t>STEALTH S01</t>
        </is>
      </c>
      <c r="D659" s="21" t="inlineStr">
        <is>
          <t>✔</t>
        </is>
      </c>
      <c r="E659" s="28">
        <f>_xlfn.TEXTJOIN("-",TRUE,A659,B659,C659)</f>
        <v/>
      </c>
      <c r="F659" s="20" t="n"/>
      <c r="G659" s="23" t="n"/>
      <c r="H659" s="23" t="n"/>
      <c r="I659" s="24" t="n"/>
    </row>
    <row r="660" customFormat="1" s="19">
      <c r="A660" s="20" t="inlineStr">
        <is>
          <t>7.50R16</t>
        </is>
      </c>
      <c r="B660" s="20" t="inlineStr">
        <is>
          <t>14PR</t>
        </is>
      </c>
      <c r="C660" s="20" t="inlineStr">
        <is>
          <t>AZ601+</t>
        </is>
      </c>
      <c r="D660" s="21" t="inlineStr">
        <is>
          <t>✔</t>
        </is>
      </c>
      <c r="E660" s="28">
        <f>_xlfn.TEXTJOIN("-",TRUE,A660,B660,C660)</f>
        <v/>
      </c>
      <c r="F660" s="20" t="n"/>
      <c r="G660" s="23" t="n"/>
      <c r="H660" s="23" t="n"/>
      <c r="I660" s="24" t="n"/>
    </row>
    <row r="661" customFormat="1" s="19">
      <c r="A661" s="20" t="inlineStr">
        <is>
          <t>10.00R20</t>
        </is>
      </c>
      <c r="B661" s="20" t="inlineStr">
        <is>
          <t>18PR</t>
        </is>
      </c>
      <c r="C661" s="20" t="inlineStr">
        <is>
          <t>BMA08</t>
        </is>
      </c>
      <c r="D661" s="21" t="inlineStr">
        <is>
          <t>✔</t>
        </is>
      </c>
      <c r="E661" s="28">
        <f>_xlfn.TEXTJOIN("-",TRUE,A661,B661,C661)</f>
        <v/>
      </c>
      <c r="F661" s="20" t="n"/>
      <c r="G661" s="23" t="n"/>
      <c r="H661" s="23" t="n"/>
      <c r="I661" s="24" t="n"/>
    </row>
    <row r="662" customFormat="1" s="19">
      <c r="A662" s="20" t="inlineStr">
        <is>
          <t>12.00R24</t>
        </is>
      </c>
      <c r="B662" s="20" t="inlineStr">
        <is>
          <t>20PR</t>
        </is>
      </c>
      <c r="C662" s="20" t="inlineStr">
        <is>
          <t>TZ304</t>
        </is>
      </c>
      <c r="D662" s="21" t="inlineStr">
        <is>
          <t>✔</t>
        </is>
      </c>
      <c r="E662" s="28">
        <f>_xlfn.TEXTJOIN("-",TRUE,A662,B662,C662)</f>
        <v/>
      </c>
      <c r="F662" s="20" t="n"/>
      <c r="G662" s="23" t="n"/>
      <c r="H662" s="23" t="n"/>
      <c r="I662" s="24" t="n"/>
    </row>
    <row r="663" customFormat="1" s="19">
      <c r="A663" s="20" t="inlineStr">
        <is>
          <t>12.00R24</t>
        </is>
      </c>
      <c r="B663" s="20" t="inlineStr">
        <is>
          <t>24PR</t>
        </is>
      </c>
      <c r="C663" s="20" t="inlineStr">
        <is>
          <t>TZ304</t>
        </is>
      </c>
      <c r="D663" s="21" t="inlineStr">
        <is>
          <t>✔</t>
        </is>
      </c>
      <c r="E663" s="28">
        <f>_xlfn.TEXTJOIN("-",TRUE,A663,B663,C663)</f>
        <v/>
      </c>
      <c r="F663" s="20" t="n"/>
      <c r="G663" s="23" t="n"/>
      <c r="H663" s="23" t="n"/>
      <c r="I663" s="24" t="n"/>
    </row>
    <row r="664" customFormat="1" s="19">
      <c r="A664" s="20" t="inlineStr">
        <is>
          <t>285/75R24.5</t>
        </is>
      </c>
      <c r="B664" s="20" t="inlineStr">
        <is>
          <t>16PR</t>
        </is>
      </c>
      <c r="C664" s="20" t="inlineStr">
        <is>
          <t>SL11</t>
        </is>
      </c>
      <c r="D664" s="21" t="inlineStr">
        <is>
          <t>✔</t>
        </is>
      </c>
      <c r="E664" s="28">
        <f>_xlfn.TEXTJOIN("-",TRUE,A664,B664,C664)</f>
        <v/>
      </c>
      <c r="F664" s="20" t="n"/>
      <c r="G664" s="23" t="n"/>
      <c r="H664" s="23" t="n"/>
      <c r="I664" s="24" t="n"/>
    </row>
    <row r="665" customFormat="1" s="19">
      <c r="A665" s="20" t="inlineStr">
        <is>
          <t>295/75R22.5</t>
        </is>
      </c>
      <c r="B665" s="20" t="inlineStr">
        <is>
          <t>16PR</t>
        </is>
      </c>
      <c r="C665" s="20" t="inlineStr">
        <is>
          <t>AT563</t>
        </is>
      </c>
      <c r="D665" s="21" t="inlineStr">
        <is>
          <t>✔</t>
        </is>
      </c>
      <c r="E665" s="28">
        <f>_xlfn.TEXTJOIN("-",TRUE,A665,B665,C665)</f>
        <v/>
      </c>
      <c r="F665" s="20" t="n"/>
      <c r="G665" s="23" t="n"/>
      <c r="H665" s="23" t="n"/>
      <c r="I665" s="24" t="n"/>
    </row>
    <row r="666" customFormat="1" s="19">
      <c r="A666" s="20" t="inlineStr">
        <is>
          <t>295/75R22.5</t>
        </is>
      </c>
      <c r="B666" s="20" t="inlineStr">
        <is>
          <t>16PR</t>
        </is>
      </c>
      <c r="C666" s="20" t="inlineStr">
        <is>
          <t>CR915</t>
        </is>
      </c>
      <c r="D666" s="21" t="inlineStr">
        <is>
          <t>✔</t>
        </is>
      </c>
      <c r="E666" s="28">
        <f>_xlfn.TEXTJOIN("-",TRUE,A666,B666,C666)</f>
        <v/>
      </c>
      <c r="F666" s="20" t="n"/>
      <c r="G666" s="23" t="n"/>
      <c r="H666" s="23" t="n"/>
      <c r="I666" s="24" t="n"/>
    </row>
    <row r="667" customFormat="1" s="19">
      <c r="A667" s="20" t="inlineStr">
        <is>
          <t>295/75R22.5</t>
        </is>
      </c>
      <c r="B667" s="20" t="inlineStr">
        <is>
          <t>16PR</t>
        </is>
      </c>
      <c r="C667" s="20" t="inlineStr">
        <is>
          <t>I-460</t>
        </is>
      </c>
      <c r="D667" s="21" t="inlineStr">
        <is>
          <t>✔</t>
        </is>
      </c>
      <c r="E667" s="28">
        <f>_xlfn.TEXTJOIN("-",TRUE,A667,B667,C667)</f>
        <v/>
      </c>
      <c r="F667" s="20" t="n"/>
      <c r="G667" s="23" t="n"/>
      <c r="H667" s="23" t="n"/>
      <c r="I667" s="24" t="n"/>
    </row>
    <row r="668" customFormat="1" s="19">
      <c r="A668" s="20" t="inlineStr">
        <is>
          <t>295/75R22.5</t>
        </is>
      </c>
      <c r="B668" s="20" t="inlineStr">
        <is>
          <t>16PR</t>
        </is>
      </c>
      <c r="C668" s="20" t="inlineStr">
        <is>
          <t>R-T1</t>
        </is>
      </c>
      <c r="D668" s="21" t="inlineStr">
        <is>
          <t>✔</t>
        </is>
      </c>
      <c r="E668" s="28">
        <f>_xlfn.TEXTJOIN("-",TRUE,A668,B668,C668)</f>
        <v/>
      </c>
      <c r="F668" s="20" t="n"/>
      <c r="G668" s="23" t="n"/>
      <c r="H668" s="23" t="n"/>
      <c r="I668" s="24" t="n"/>
    </row>
    <row r="669" customFormat="1" s="19">
      <c r="A669" s="20" t="inlineStr">
        <is>
          <t>295/75R22.5</t>
        </is>
      </c>
      <c r="B669" s="20" t="inlineStr">
        <is>
          <t>16PR</t>
        </is>
      </c>
      <c r="C669" s="20" t="inlineStr">
        <is>
          <t>TP100</t>
        </is>
      </c>
      <c r="D669" s="21" t="inlineStr">
        <is>
          <t>✔</t>
        </is>
      </c>
      <c r="E669" s="28">
        <f>_xlfn.TEXTJOIN("-",TRUE,A669,B669,C669)</f>
        <v/>
      </c>
      <c r="F669" s="20" t="n"/>
      <c r="G669" s="23" t="n"/>
      <c r="H669" s="23" t="n"/>
      <c r="I669" s="24" t="n"/>
    </row>
    <row r="670" customFormat="1" s="19">
      <c r="A670" s="20" t="inlineStr">
        <is>
          <t>295/75R22.5</t>
        </is>
      </c>
      <c r="B670" s="20" t="inlineStr">
        <is>
          <t>16PR</t>
        </is>
      </c>
      <c r="C670" s="20" t="inlineStr">
        <is>
          <t>DT916</t>
        </is>
      </c>
      <c r="D670" s="21" t="inlineStr">
        <is>
          <t>✔</t>
        </is>
      </c>
      <c r="E670" s="28">
        <f>_xlfn.TEXTJOIN("-",TRUE,A670,B670,C670)</f>
        <v/>
      </c>
      <c r="F670" s="20" t="n"/>
      <c r="G670" s="23" t="n"/>
      <c r="H670" s="23" t="n"/>
      <c r="I670" s="24" t="n"/>
    </row>
    <row r="671" customFormat="1" s="19">
      <c r="A671" s="20" t="inlineStr">
        <is>
          <t>295/75R22.5</t>
        </is>
      </c>
      <c r="B671" s="20" t="inlineStr">
        <is>
          <t>16PR</t>
        </is>
      </c>
      <c r="C671" s="20" t="inlineStr">
        <is>
          <t>RLINE-TⅡ</t>
        </is>
      </c>
      <c r="D671" s="21" t="inlineStr">
        <is>
          <t>✔</t>
        </is>
      </c>
      <c r="E671" s="28">
        <f>_xlfn.TEXTJOIN("-",TRUE,A671,B671,C671)</f>
        <v/>
      </c>
      <c r="F671" s="20" t="n"/>
      <c r="G671" s="23" t="n"/>
      <c r="H671" s="23" t="n"/>
      <c r="I671" s="24" t="n"/>
    </row>
    <row r="672" customFormat="1" s="19">
      <c r="A672" s="20" t="inlineStr">
        <is>
          <t>295/75R22.5</t>
        </is>
      </c>
      <c r="B672" s="20" t="inlineStr">
        <is>
          <t>14PR</t>
        </is>
      </c>
      <c r="C672" s="20" t="inlineStr">
        <is>
          <t>H-RD</t>
        </is>
      </c>
      <c r="D672" s="21" t="inlineStr">
        <is>
          <t>✔</t>
        </is>
      </c>
      <c r="E672" s="28">
        <f>_xlfn.TEXTJOIN("-",TRUE,A672,B672,C672)</f>
        <v/>
      </c>
      <c r="F672" s="20" t="n"/>
      <c r="G672" s="23" t="n"/>
      <c r="H672" s="23" t="n"/>
      <c r="I672" s="24" t="n"/>
    </row>
    <row r="673" customFormat="1" s="19">
      <c r="A673" s="20" t="inlineStr">
        <is>
          <t>12.00R20</t>
        </is>
      </c>
      <c r="B673" s="20" t="inlineStr">
        <is>
          <t>☆☆</t>
        </is>
      </c>
      <c r="C673" s="20" t="inlineStr">
        <is>
          <t>XC809</t>
        </is>
      </c>
      <c r="D673" s="21" t="inlineStr">
        <is>
          <t>✔</t>
        </is>
      </c>
      <c r="E673" s="28">
        <f>_xlfn.TEXTJOIN("-",TRUE,A673,B673,C673)</f>
        <v/>
      </c>
      <c r="F673" s="20" t="n"/>
      <c r="G673" s="23" t="n"/>
      <c r="H673" s="23" t="n"/>
      <c r="I673" s="24" t="n"/>
    </row>
    <row r="674" customFormat="1" s="19">
      <c r="A674" s="20" t="inlineStr">
        <is>
          <t>12.00R24</t>
        </is>
      </c>
      <c r="B674" s="20" t="inlineStr">
        <is>
          <t>☆☆</t>
        </is>
      </c>
      <c r="C674" s="20" t="inlineStr">
        <is>
          <t>XC809</t>
        </is>
      </c>
      <c r="D674" s="21" t="inlineStr">
        <is>
          <t>✔</t>
        </is>
      </c>
      <c r="E674" s="28">
        <f>_xlfn.TEXTJOIN("-",TRUE,A674,B674,C674)</f>
        <v/>
      </c>
      <c r="F674" s="20" t="n"/>
      <c r="G674" s="23" t="n"/>
      <c r="H674" s="23" t="n"/>
      <c r="I674" s="24" t="n"/>
    </row>
    <row r="675" customFormat="1" s="19">
      <c r="A675" s="20" t="inlineStr">
        <is>
          <t>12.00R24</t>
        </is>
      </c>
      <c r="B675" s="20" t="inlineStr">
        <is>
          <t>☆☆</t>
        </is>
      </c>
      <c r="C675" s="20" t="inlineStr">
        <is>
          <t>XC819</t>
        </is>
      </c>
      <c r="D675" s="21" t="inlineStr">
        <is>
          <t>✔</t>
        </is>
      </c>
      <c r="E675" s="28">
        <f>_xlfn.TEXTJOIN("-",TRUE,A675,B675,C675)</f>
        <v/>
      </c>
      <c r="F675" s="20" t="n"/>
      <c r="G675" s="23" t="n"/>
      <c r="H675" s="23" t="n"/>
      <c r="I675" s="24" t="n"/>
    </row>
    <row r="676" customFormat="1" s="19">
      <c r="A676" s="20" t="n"/>
      <c r="B676" s="20" t="n"/>
      <c r="C676" s="20" t="n"/>
      <c r="D676" s="21" t="n"/>
      <c r="E676" s="28">
        <f>_xlfn.TEXTJOIN("-",TRUE,A676,B676,C676)</f>
        <v/>
      </c>
      <c r="F676" s="20" t="n"/>
      <c r="G676" s="23" t="n"/>
      <c r="H676" s="23" t="n"/>
      <c r="I676" s="24" t="n"/>
    </row>
    <row r="677" customFormat="1" s="19">
      <c r="A677" s="20" t="inlineStr">
        <is>
          <t>295/75R22.5</t>
        </is>
      </c>
      <c r="B677" s="20" t="inlineStr">
        <is>
          <t>16PR</t>
        </is>
      </c>
      <c r="C677" s="20" t="inlineStr">
        <is>
          <t>I-48T</t>
        </is>
      </c>
      <c r="D677" s="21" t="inlineStr">
        <is>
          <t>✔</t>
        </is>
      </c>
      <c r="E677" s="28">
        <f>_xlfn.TEXTJOIN("-",TRUE,A677,B677,C677)</f>
        <v/>
      </c>
      <c r="F677" s="20" t="n"/>
      <c r="G677" s="23" t="n"/>
      <c r="H677" s="23" t="n"/>
      <c r="I677" s="24" t="n"/>
    </row>
    <row r="678" customFormat="1" s="19">
      <c r="A678" s="20" t="inlineStr">
        <is>
          <t>11R22.5</t>
        </is>
      </c>
      <c r="B678" s="20" t="inlineStr">
        <is>
          <t>16PR</t>
        </is>
      </c>
      <c r="C678" s="20" t="inlineStr">
        <is>
          <t>CM980</t>
        </is>
      </c>
      <c r="D678" s="21" t="inlineStr">
        <is>
          <t>✔</t>
        </is>
      </c>
      <c r="E678" s="28">
        <f>_xlfn.TEXTJOIN("-",TRUE,A678,B678,C678)</f>
        <v/>
      </c>
      <c r="F678" s="20" t="n"/>
      <c r="G678" s="23" t="n"/>
      <c r="H678" s="23" t="n"/>
      <c r="I678" s="24" t="n"/>
    </row>
    <row r="679" customFormat="1" s="19">
      <c r="A679" s="20" t="inlineStr">
        <is>
          <t>11R22.5</t>
        </is>
      </c>
      <c r="B679" s="20" t="inlineStr">
        <is>
          <t>16PR</t>
        </is>
      </c>
      <c r="C679" s="20" t="inlineStr">
        <is>
          <t>RLINE-D3</t>
        </is>
      </c>
      <c r="D679" s="21" t="inlineStr">
        <is>
          <t>✔</t>
        </is>
      </c>
      <c r="E679" s="28">
        <f>_xlfn.TEXTJOIN("-",TRUE,A679,B679,C679)</f>
        <v/>
      </c>
      <c r="F679" s="20" t="n"/>
      <c r="G679" s="23" t="n"/>
      <c r="H679" s="23" t="n"/>
      <c r="I679" s="24" t="n"/>
    </row>
    <row r="680" customFormat="1" s="19">
      <c r="A680" s="20" t="inlineStr">
        <is>
          <t>11R22.5</t>
        </is>
      </c>
      <c r="B680" s="20" t="inlineStr">
        <is>
          <t>16PR</t>
        </is>
      </c>
      <c r="C680" s="20" t="inlineStr">
        <is>
          <t>CR960A</t>
        </is>
      </c>
      <c r="D680" s="21" t="inlineStr">
        <is>
          <t>✔</t>
        </is>
      </c>
      <c r="E680" s="28">
        <f>_xlfn.TEXTJOIN("-",TRUE,A680,B680,C680)</f>
        <v/>
      </c>
      <c r="F680" s="20" t="n"/>
      <c r="G680" s="23" t="n"/>
      <c r="H680" s="23" t="n"/>
      <c r="I680" s="24" t="n"/>
    </row>
    <row r="681" customFormat="1" s="19">
      <c r="A681" s="20" t="inlineStr">
        <is>
          <t>11R22.5</t>
        </is>
      </c>
      <c r="B681" s="20" t="inlineStr">
        <is>
          <t>16PR</t>
        </is>
      </c>
      <c r="C681" s="20" t="inlineStr">
        <is>
          <t>RLINE-A1</t>
        </is>
      </c>
      <c r="D681" s="21" t="inlineStr">
        <is>
          <t>✔</t>
        </is>
      </c>
      <c r="E681" s="28">
        <f>_xlfn.TEXTJOIN("-",TRUE,A681,B681,C681)</f>
        <v/>
      </c>
      <c r="F681" s="20" t="n"/>
      <c r="G681" s="23" t="n"/>
      <c r="H681" s="23" t="n"/>
      <c r="I681" s="24" t="n"/>
    </row>
    <row r="682" customFormat="1" s="19">
      <c r="A682" s="20" t="inlineStr">
        <is>
          <t>11R22.5</t>
        </is>
      </c>
      <c r="B682" s="20" t="inlineStr">
        <is>
          <t>16PR</t>
        </is>
      </c>
      <c r="C682" s="20" t="inlineStr">
        <is>
          <t>CM983</t>
        </is>
      </c>
      <c r="D682" s="21" t="inlineStr">
        <is>
          <t>✔</t>
        </is>
      </c>
      <c r="E682" s="28">
        <f>_xlfn.TEXTJOIN("-",TRUE,A682,B682,C682)</f>
        <v/>
      </c>
      <c r="F682" s="20" t="n"/>
      <c r="G682" s="23" t="n"/>
      <c r="H682" s="23" t="n"/>
      <c r="I682" s="24" t="n"/>
    </row>
    <row r="683" customFormat="1" s="19">
      <c r="A683" s="20" t="inlineStr">
        <is>
          <t>12.00R20</t>
        </is>
      </c>
      <c r="B683" s="20" t="inlineStr">
        <is>
          <t>22PR</t>
        </is>
      </c>
      <c r="C683" s="20" t="inlineStr">
        <is>
          <t>AZ850</t>
        </is>
      </c>
      <c r="D683" s="21" t="inlineStr">
        <is>
          <t>✔</t>
        </is>
      </c>
      <c r="E683" s="28">
        <f>_xlfn.TEXTJOIN("-",TRUE,A683,B683,C683)</f>
        <v/>
      </c>
      <c r="F683" s="20" t="n"/>
      <c r="G683" s="23" t="n"/>
      <c r="H683" s="23" t="n"/>
      <c r="I683" s="24" t="n"/>
    </row>
    <row r="684" customFormat="1" s="19">
      <c r="A684" s="20" t="inlineStr">
        <is>
          <t>12.00R20</t>
        </is>
      </c>
      <c r="B684" s="20" t="inlineStr">
        <is>
          <t>20PR</t>
        </is>
      </c>
      <c r="C684" s="20" t="inlineStr">
        <is>
          <t>EZ865</t>
        </is>
      </c>
      <c r="D684" s="21" t="inlineStr">
        <is>
          <t>✔</t>
        </is>
      </c>
      <c r="E684" s="28">
        <f>_xlfn.TEXTJOIN("-",TRUE,A684,B684,C684)</f>
        <v/>
      </c>
      <c r="F684" s="20" t="n"/>
      <c r="G684" s="23" t="n"/>
      <c r="H684" s="23" t="n"/>
      <c r="I684" s="24" t="n"/>
    </row>
    <row r="685" customFormat="1" s="19">
      <c r="A685" s="20" t="inlineStr">
        <is>
          <t>12.00R20</t>
        </is>
      </c>
      <c r="B685" s="20" t="inlineStr">
        <is>
          <t>22PR</t>
        </is>
      </c>
      <c r="C685" s="20" t="inlineStr">
        <is>
          <t>EZ867</t>
        </is>
      </c>
      <c r="D685" s="21" t="inlineStr">
        <is>
          <t>✔</t>
        </is>
      </c>
      <c r="E685" s="28">
        <f>_xlfn.TEXTJOIN("-",TRUE,A685,B685,C685)</f>
        <v/>
      </c>
      <c r="F685" s="20" t="n"/>
      <c r="G685" s="23" t="n"/>
      <c r="H685" s="23" t="n"/>
      <c r="I685" s="24" t="n"/>
    </row>
    <row r="686" customFormat="1" s="19">
      <c r="A686" s="20" t="inlineStr">
        <is>
          <t>215/75R17.5</t>
        </is>
      </c>
      <c r="B686" s="20" t="inlineStr">
        <is>
          <t>18PR</t>
        </is>
      </c>
      <c r="C686" s="20" t="inlineStr">
        <is>
          <t>AP-7318</t>
        </is>
      </c>
      <c r="D686" s="21" t="inlineStr">
        <is>
          <t>✔</t>
        </is>
      </c>
      <c r="E686" s="28">
        <f>_xlfn.TEXTJOIN("-",TRUE,A686,B686,C686)</f>
        <v/>
      </c>
      <c r="F686" s="20" t="n"/>
      <c r="G686" s="23" t="n"/>
      <c r="H686" s="23" t="n"/>
      <c r="I686" s="24" t="n"/>
    </row>
    <row r="687" customFormat="1" s="19">
      <c r="A687" s="20" t="inlineStr">
        <is>
          <t>215/75R17.5</t>
        </is>
      </c>
      <c r="B687" s="20" t="inlineStr">
        <is>
          <t>18PR</t>
        </is>
      </c>
      <c r="C687" s="20" t="inlineStr">
        <is>
          <t>HF1 Plus</t>
        </is>
      </c>
      <c r="D687" s="21" t="inlineStr">
        <is>
          <t>✔</t>
        </is>
      </c>
      <c r="E687" s="28">
        <f>_xlfn.TEXTJOIN("-",TRUE,A687,B687,C687)</f>
        <v/>
      </c>
      <c r="F687" s="20" t="n"/>
      <c r="G687" s="23" t="n"/>
      <c r="H687" s="23" t="n"/>
      <c r="I687" s="24" t="n"/>
    </row>
    <row r="688" customFormat="1" s="19">
      <c r="A688" s="20" t="inlineStr">
        <is>
          <t>295/75R22.5</t>
        </is>
      </c>
      <c r="B688" s="20" t="inlineStr">
        <is>
          <t>16PR</t>
        </is>
      </c>
      <c r="C688" s="20" t="inlineStr">
        <is>
          <t>CR960A</t>
        </is>
      </c>
      <c r="D688" s="21" t="inlineStr">
        <is>
          <t>✔</t>
        </is>
      </c>
      <c r="E688" s="28">
        <f>_xlfn.TEXTJOIN("-",TRUE,A688,B688,C688)</f>
        <v/>
      </c>
      <c r="F688" s="20" t="n"/>
      <c r="G688" s="23" t="n"/>
      <c r="H688" s="23" t="n"/>
      <c r="I688" s="24" t="n"/>
    </row>
    <row r="689" customFormat="1" s="19">
      <c r="A689" s="20" t="inlineStr">
        <is>
          <t>295/75R22.5</t>
        </is>
      </c>
      <c r="B689" s="20" t="inlineStr">
        <is>
          <t>16PR</t>
        </is>
      </c>
      <c r="C689" s="20" t="inlineStr">
        <is>
          <t>RLINE-A1</t>
        </is>
      </c>
      <c r="D689" s="21" t="inlineStr">
        <is>
          <t>✔</t>
        </is>
      </c>
      <c r="E689" s="28">
        <f>_xlfn.TEXTJOIN("-",TRUE,A689,B689,C689)</f>
        <v/>
      </c>
      <c r="F689" s="20" t="n"/>
      <c r="G689" s="23" t="n"/>
      <c r="H689" s="23" t="n"/>
      <c r="I689" s="24" t="n"/>
    </row>
    <row r="690" customFormat="1" s="19">
      <c r="A690" s="20" t="inlineStr">
        <is>
          <t>295/75R22.5</t>
        </is>
      </c>
      <c r="B690" s="20" t="inlineStr">
        <is>
          <t>16PR</t>
        </is>
      </c>
      <c r="C690" s="20" t="inlineStr">
        <is>
          <t>AS600+</t>
        </is>
      </c>
      <c r="D690" s="21" t="inlineStr">
        <is>
          <t>✔</t>
        </is>
      </c>
      <c r="E690" s="28">
        <f>_xlfn.TEXTJOIN("-",TRUE,A690,B690,C690)</f>
        <v/>
      </c>
      <c r="F690" s="20" t="n"/>
      <c r="G690" s="23" t="n"/>
      <c r="H690" s="23" t="n"/>
      <c r="I690" s="24" t="n"/>
    </row>
    <row r="691" customFormat="1" s="19">
      <c r="A691" s="20" t="inlineStr">
        <is>
          <t>295/75R22.5</t>
        </is>
      </c>
      <c r="B691" s="20" t="inlineStr">
        <is>
          <t>16PR</t>
        </is>
      </c>
      <c r="C691" s="20" t="inlineStr">
        <is>
          <t>DA25</t>
        </is>
      </c>
      <c r="D691" s="21" t="inlineStr">
        <is>
          <t>✔</t>
        </is>
      </c>
      <c r="E691" s="28">
        <f>_xlfn.TEXTJOIN("-",TRUE,A691,B691,C691)</f>
        <v/>
      </c>
      <c r="F691" s="20" t="n"/>
      <c r="G691" s="23" t="n"/>
      <c r="H691" s="23" t="n"/>
      <c r="I691" s="24" t="n"/>
    </row>
    <row r="692" customFormat="1" s="19">
      <c r="A692" s="20" t="inlineStr">
        <is>
          <t>295/75R22.5</t>
        </is>
      </c>
      <c r="B692" s="20" t="inlineStr">
        <is>
          <t>14PR</t>
        </is>
      </c>
      <c r="C692" s="20" t="inlineStr">
        <is>
          <t>AS673</t>
        </is>
      </c>
      <c r="D692" s="21" t="inlineStr">
        <is>
          <t>✔</t>
        </is>
      </c>
      <c r="E692" s="28">
        <f>_xlfn.TEXTJOIN("-",TRUE,A692,B692,C692)</f>
        <v/>
      </c>
      <c r="F692" s="20" t="n"/>
      <c r="G692" s="23" t="n"/>
      <c r="H692" s="23" t="n"/>
      <c r="I692" s="24" t="n"/>
    </row>
    <row r="693" customFormat="1" s="19">
      <c r="A693" s="20" t="inlineStr">
        <is>
          <t>12.00R24</t>
        </is>
      </c>
      <c r="B693" s="20" t="inlineStr">
        <is>
          <t>20PR</t>
        </is>
      </c>
      <c r="C693" s="20" t="inlineStr">
        <is>
          <t>TRD-79</t>
        </is>
      </c>
      <c r="D693" s="21" t="inlineStr">
        <is>
          <t>✔</t>
        </is>
      </c>
      <c r="E693" s="28">
        <f>_xlfn.TEXTJOIN("-",TRUE,A693,B693,C693)</f>
        <v/>
      </c>
      <c r="F693" s="20" t="n"/>
      <c r="G693" s="23" t="n"/>
      <c r="H693" s="23" t="n"/>
      <c r="I693" s="24" t="n"/>
    </row>
    <row r="694" customFormat="1" s="19">
      <c r="A694" s="20" t="inlineStr">
        <is>
          <t>12.00R20</t>
        </is>
      </c>
      <c r="B694" s="20" t="inlineStr">
        <is>
          <t>22PR</t>
        </is>
      </c>
      <c r="C694" s="20" t="inlineStr">
        <is>
          <t>TRD-79</t>
        </is>
      </c>
      <c r="D694" s="21" t="inlineStr">
        <is>
          <t>✔</t>
        </is>
      </c>
      <c r="E694" s="28">
        <f>_xlfn.TEXTJOIN("-",TRUE,A694,B694,C694)</f>
        <v/>
      </c>
      <c r="F694" s="20" t="n"/>
      <c r="G694" s="23" t="n"/>
      <c r="H694" s="23" t="n"/>
      <c r="I694" s="24" t="n"/>
    </row>
    <row r="695" customFormat="1" s="19">
      <c r="A695" s="20" t="inlineStr">
        <is>
          <t>295/75R22.5</t>
        </is>
      </c>
      <c r="B695" s="20" t="inlineStr">
        <is>
          <t>14PR</t>
        </is>
      </c>
      <c r="C695" s="20" t="inlineStr">
        <is>
          <t>M-TRAC OSD</t>
        </is>
      </c>
      <c r="D695" s="21" t="inlineStr">
        <is>
          <t>✔</t>
        </is>
      </c>
      <c r="E695" s="28">
        <f>_xlfn.TEXTJOIN("-",TRUE,A695,B695,C695)</f>
        <v/>
      </c>
      <c r="F695" s="20" t="n"/>
      <c r="G695" s="23" t="n"/>
      <c r="H695" s="23" t="n"/>
      <c r="I695" s="24" t="n"/>
    </row>
    <row r="696" customFormat="1" s="19">
      <c r="A696" s="20" t="n"/>
      <c r="B696" s="20" t="n"/>
      <c r="C696" s="20" t="n"/>
      <c r="D696" s="21" t="inlineStr">
        <is>
          <t>✔</t>
        </is>
      </c>
      <c r="E696" s="28">
        <f>_xlfn.TEXTJOIN("-",TRUE,A696,B696,C696)</f>
        <v/>
      </c>
      <c r="F696" s="20" t="n"/>
      <c r="G696" s="23" t="n"/>
      <c r="H696" s="23" t="n"/>
      <c r="I696" s="24" t="n"/>
    </row>
    <row r="697" customFormat="1" s="19">
      <c r="A697" s="20" t="n"/>
      <c r="B697" s="20" t="n"/>
      <c r="C697" s="20" t="n"/>
      <c r="D697" s="21" t="inlineStr">
        <is>
          <t>✔</t>
        </is>
      </c>
      <c r="E697" s="28">
        <f>_xlfn.TEXTJOIN("-",TRUE,A697,B697,C697)</f>
        <v/>
      </c>
      <c r="F697" s="20" t="n"/>
      <c r="G697" s="23" t="n"/>
      <c r="H697" s="23" t="n"/>
      <c r="I697" s="24" t="n"/>
    </row>
    <row r="698" customFormat="1" s="19">
      <c r="A698" s="20" t="n"/>
      <c r="B698" s="20" t="n"/>
      <c r="C698" s="20" t="n"/>
      <c r="D698" s="21" t="inlineStr">
        <is>
          <t>✔</t>
        </is>
      </c>
      <c r="E698" s="28">
        <f>_xlfn.TEXTJOIN("-",TRUE,A698,B698,C698)</f>
        <v/>
      </c>
      <c r="F698" s="20" t="n"/>
      <c r="G698" s="23" t="n"/>
      <c r="H698" s="23" t="n"/>
      <c r="I698" s="24" t="n"/>
    </row>
    <row r="699" customFormat="1" s="19">
      <c r="A699" s="20" t="n"/>
      <c r="B699" s="20" t="n"/>
      <c r="C699" s="20" t="n"/>
      <c r="D699" s="21" t="n"/>
      <c r="E699" s="28">
        <f>_xlfn.TEXTJOIN("-",TRUE,A699,B699,C699)</f>
        <v/>
      </c>
      <c r="F699" s="20" t="n"/>
      <c r="G699" s="23" t="n"/>
      <c r="H699" s="23" t="n"/>
      <c r="I699" s="24" t="n"/>
    </row>
    <row r="700" customFormat="1" s="19">
      <c r="A700" s="20" t="n"/>
      <c r="B700" s="20" t="n"/>
      <c r="C700" s="20" t="n"/>
      <c r="D700" s="21" t="n"/>
      <c r="E700" s="28">
        <f>_xlfn.TEXTJOIN("-",TRUE,A700,B700,C700)</f>
        <v/>
      </c>
      <c r="F700" s="20" t="n"/>
      <c r="G700" s="23" t="n"/>
      <c r="H700" s="23" t="n"/>
      <c r="I700" s="24" t="n"/>
    </row>
    <row r="701" customFormat="1" s="19">
      <c r="A701" s="20" t="n"/>
      <c r="B701" s="20" t="n"/>
      <c r="C701" s="20" t="n"/>
      <c r="D701" s="21" t="n"/>
      <c r="E701" s="28">
        <f>_xlfn.TEXTJOIN("-",TRUE,A701,B701,C701)</f>
        <v/>
      </c>
      <c r="F701" s="20" t="n"/>
      <c r="G701" s="23" t="n"/>
      <c r="H701" s="23" t="n"/>
      <c r="I701" s="24" t="n"/>
    </row>
    <row r="702" customFormat="1" s="19">
      <c r="A702" s="20" t="n"/>
      <c r="B702" s="20" t="n"/>
      <c r="C702" s="20" t="n"/>
      <c r="D702" s="21" t="n"/>
      <c r="E702" s="28">
        <f>_xlfn.TEXTJOIN("-",TRUE,A702,B702,C702)</f>
        <v/>
      </c>
      <c r="F702" s="20" t="n"/>
      <c r="G702" s="23" t="n"/>
      <c r="H702" s="23" t="n"/>
      <c r="I702" s="24" t="n"/>
    </row>
    <row r="703" customFormat="1" s="19">
      <c r="A703" s="20" t="n"/>
      <c r="B703" s="20" t="n"/>
      <c r="C703" s="20" t="n"/>
      <c r="D703" s="21" t="n"/>
      <c r="E703" s="28">
        <f>_xlfn.TEXTJOIN("-",TRUE,A703,B703,C703)</f>
        <v/>
      </c>
      <c r="F703" s="20" t="n"/>
      <c r="G703" s="23" t="n"/>
      <c r="H703" s="23" t="n"/>
      <c r="I703" s="24" t="n"/>
    </row>
    <row r="704" customFormat="1" s="19">
      <c r="A704" s="20" t="n"/>
      <c r="B704" s="20" t="n"/>
      <c r="C704" s="20" t="n"/>
      <c r="D704" s="21" t="n"/>
      <c r="E704" s="28">
        <f>_xlfn.TEXTJOIN("-",TRUE,A704,B704,C704)</f>
        <v/>
      </c>
      <c r="F704" s="20" t="n"/>
      <c r="G704" s="23" t="n"/>
      <c r="H704" s="23" t="n"/>
      <c r="I704" s="24" t="n"/>
    </row>
    <row r="705" customFormat="1" s="19">
      <c r="A705" s="20" t="n"/>
      <c r="B705" s="20" t="n"/>
      <c r="C705" s="20" t="n"/>
      <c r="D705" s="21" t="n"/>
      <c r="E705" s="28">
        <f>_xlfn.TEXTJOIN("-",TRUE,A705,B705,C705)</f>
        <v/>
      </c>
      <c r="F705" s="20" t="n"/>
      <c r="G705" s="23" t="n"/>
      <c r="H705" s="23" t="n"/>
      <c r="I705" s="24" t="n"/>
    </row>
    <row r="706" customFormat="1" s="19">
      <c r="A706" s="20" t="n"/>
      <c r="B706" s="20" t="n"/>
      <c r="C706" s="20" t="n"/>
      <c r="D706" s="21" t="n"/>
      <c r="E706" s="28">
        <f>_xlfn.TEXTJOIN("-",TRUE,A706,B706,C706)</f>
        <v/>
      </c>
      <c r="F706" s="20" t="n"/>
      <c r="G706" s="23" t="n"/>
      <c r="H706" s="23" t="n"/>
      <c r="I706" s="24" t="n"/>
    </row>
    <row r="707" customFormat="1" s="19">
      <c r="A707" s="20" t="n"/>
      <c r="B707" s="20" t="n"/>
      <c r="C707" s="20" t="n"/>
      <c r="D707" s="21" t="n"/>
      <c r="E707" s="28">
        <f>_xlfn.TEXTJOIN("-",TRUE,A707,B707,C707)</f>
        <v/>
      </c>
      <c r="F707" s="20" t="n"/>
      <c r="G707" s="23" t="n"/>
      <c r="H707" s="23" t="n"/>
      <c r="I707" s="24" t="n"/>
    </row>
    <row r="708" customFormat="1" s="19">
      <c r="A708" s="20" t="n"/>
      <c r="B708" s="20" t="n"/>
      <c r="C708" s="20" t="n"/>
      <c r="D708" s="21" t="n"/>
      <c r="E708" s="28">
        <f>_xlfn.TEXTJOIN("-",TRUE,A708,B708,C708)</f>
        <v/>
      </c>
      <c r="F708" s="20" t="n"/>
      <c r="G708" s="23" t="n"/>
      <c r="H708" s="23" t="n"/>
      <c r="I708" s="24" t="n"/>
    </row>
    <row r="709" customFormat="1" s="19">
      <c r="A709" s="20" t="n"/>
      <c r="B709" s="20" t="n"/>
      <c r="C709" s="20" t="n"/>
      <c r="D709" s="21" t="n"/>
      <c r="E709" s="28">
        <f>_xlfn.TEXTJOIN("-",TRUE,A709,B709,C709)</f>
        <v/>
      </c>
      <c r="F709" s="20" t="n"/>
      <c r="G709" s="23" t="n"/>
      <c r="H709" s="23" t="n"/>
      <c r="I709" s="24" t="n"/>
    </row>
    <row r="710" customFormat="1" s="19">
      <c r="A710" s="20" t="n"/>
      <c r="B710" s="20" t="n"/>
      <c r="C710" s="20" t="n"/>
      <c r="D710" s="21" t="n"/>
      <c r="E710" s="28">
        <f>_xlfn.TEXTJOIN("-",TRUE,A710,B710,C710)</f>
        <v/>
      </c>
      <c r="F710" s="20" t="n"/>
      <c r="G710" s="23" t="n"/>
      <c r="H710" s="23" t="n"/>
      <c r="I710" s="24" t="n"/>
    </row>
    <row r="711" customFormat="1" s="19">
      <c r="A711" s="20" t="n"/>
      <c r="B711" s="20" t="n"/>
      <c r="C711" s="20" t="n"/>
      <c r="D711" s="21" t="n"/>
      <c r="E711" s="28">
        <f>_xlfn.TEXTJOIN("-",TRUE,A711,B711,C711)</f>
        <v/>
      </c>
      <c r="F711" s="20" t="n"/>
      <c r="G711" s="23" t="n"/>
      <c r="H711" s="23" t="n"/>
      <c r="I711" s="24" t="n"/>
    </row>
    <row r="712" customFormat="1" s="19">
      <c r="A712" s="20" t="n"/>
      <c r="B712" s="20" t="n"/>
      <c r="C712" s="20" t="n"/>
      <c r="D712" s="21" t="n"/>
      <c r="E712" s="28">
        <f>_xlfn.TEXTJOIN("-",TRUE,A712,B712,C712)</f>
        <v/>
      </c>
      <c r="F712" s="20" t="n"/>
      <c r="G712" s="23" t="n"/>
      <c r="H712" s="23" t="n"/>
      <c r="I712" s="24" t="n"/>
    </row>
    <row r="713" customFormat="1" s="19">
      <c r="A713" s="20" t="n"/>
      <c r="B713" s="20" t="n"/>
      <c r="C713" s="20" t="n"/>
      <c r="D713" s="21" t="n"/>
      <c r="E713" s="28">
        <f>_xlfn.TEXTJOIN("-",TRUE,A713,B713,C713)</f>
        <v/>
      </c>
      <c r="F713" s="20" t="n"/>
      <c r="G713" s="23" t="n"/>
      <c r="H713" s="23" t="n"/>
      <c r="I713" s="24" t="n"/>
    </row>
    <row r="714" customFormat="1" s="19">
      <c r="A714" s="20" t="n"/>
      <c r="B714" s="20" t="n"/>
      <c r="C714" s="20" t="n"/>
      <c r="D714" s="21" t="n"/>
      <c r="E714" s="28">
        <f>_xlfn.TEXTJOIN("-",TRUE,A714,B714,C714)</f>
        <v/>
      </c>
      <c r="F714" s="20" t="n"/>
      <c r="G714" s="23" t="n"/>
      <c r="H714" s="23" t="n"/>
      <c r="I714" s="24" t="n"/>
    </row>
    <row r="715" customFormat="1" s="19">
      <c r="A715" s="20" t="n"/>
      <c r="B715" s="20" t="n"/>
      <c r="C715" s="20" t="n"/>
      <c r="D715" s="21" t="n"/>
      <c r="E715" s="28">
        <f>_xlfn.TEXTJOIN("-",TRUE,A715,B715,C715)</f>
        <v/>
      </c>
      <c r="F715" s="20" t="n"/>
      <c r="G715" s="23" t="n"/>
      <c r="H715" s="23" t="n"/>
      <c r="I715" s="24" t="n"/>
    </row>
    <row r="716" customFormat="1" s="19">
      <c r="A716" s="20" t="n"/>
      <c r="B716" s="20" t="n"/>
      <c r="C716" s="20" t="n"/>
      <c r="D716" s="21" t="n"/>
      <c r="E716" s="28">
        <f>_xlfn.TEXTJOIN("-",TRUE,A716,B716,C716)</f>
        <v/>
      </c>
      <c r="F716" s="20" t="n"/>
      <c r="G716" s="23" t="n"/>
      <c r="H716" s="23" t="n"/>
      <c r="I716" s="24" t="n"/>
    </row>
    <row r="717" customFormat="1" s="19">
      <c r="A717" s="20" t="n"/>
      <c r="B717" s="20" t="n"/>
      <c r="C717" s="20" t="n"/>
      <c r="D717" s="21" t="n"/>
      <c r="E717" s="28">
        <f>_xlfn.TEXTJOIN("-",TRUE,A717,B717,C717)</f>
        <v/>
      </c>
      <c r="F717" s="20" t="n"/>
      <c r="G717" s="23" t="n"/>
      <c r="H717" s="23" t="n"/>
      <c r="I717" s="24" t="n"/>
    </row>
    <row r="718" customFormat="1" s="19">
      <c r="A718" s="20" t="n"/>
      <c r="B718" s="20" t="n"/>
      <c r="C718" s="20" t="n"/>
      <c r="D718" s="21" t="n"/>
      <c r="E718" s="28">
        <f>_xlfn.TEXTJOIN("-",TRUE,A718,B718,C718)</f>
        <v/>
      </c>
      <c r="F718" s="20" t="n"/>
      <c r="G718" s="23" t="n"/>
      <c r="H718" s="23" t="n"/>
      <c r="I718" s="24" t="n"/>
    </row>
    <row r="719" customFormat="1" s="19">
      <c r="A719" s="20" t="n"/>
      <c r="B719" s="20" t="n"/>
      <c r="C719" s="20" t="n"/>
      <c r="D719" s="21" t="n"/>
      <c r="E719" s="28">
        <f>_xlfn.TEXTJOIN("-",TRUE,A719,B719,C719)</f>
        <v/>
      </c>
      <c r="F719" s="20" t="n"/>
      <c r="G719" s="23" t="n"/>
      <c r="H719" s="23" t="n"/>
      <c r="I719" s="24" t="n"/>
    </row>
    <row r="720" customFormat="1" s="19">
      <c r="A720" s="20" t="n"/>
      <c r="B720" s="20" t="n"/>
      <c r="C720" s="20" t="n"/>
      <c r="D720" s="21" t="n"/>
      <c r="E720" s="28">
        <f>_xlfn.TEXTJOIN("-",TRUE,A720,B720,C720)</f>
        <v/>
      </c>
      <c r="F720" s="20" t="n"/>
      <c r="G720" s="23" t="n"/>
      <c r="H720" s="23" t="n"/>
      <c r="I720" s="24" t="n"/>
    </row>
    <row r="721" customFormat="1" s="19">
      <c r="A721" s="20" t="n"/>
      <c r="B721" s="20" t="n"/>
      <c r="C721" s="20" t="n"/>
      <c r="D721" s="21" t="n"/>
      <c r="E721" s="28">
        <f>_xlfn.TEXTJOIN("-",TRUE,A721,B721,C721)</f>
        <v/>
      </c>
      <c r="F721" s="20" t="n"/>
      <c r="G721" s="23" t="n"/>
      <c r="H721" s="23" t="n"/>
      <c r="I721" s="24" t="n"/>
    </row>
    <row r="722" customFormat="1" s="19">
      <c r="A722" s="20" t="n"/>
      <c r="B722" s="20" t="n"/>
      <c r="C722" s="20" t="n"/>
      <c r="D722" s="21" t="n"/>
      <c r="E722" s="28">
        <f>_xlfn.TEXTJOIN("-",TRUE,A722,B722,C722)</f>
        <v/>
      </c>
      <c r="F722" s="20" t="n"/>
      <c r="G722" s="23" t="n"/>
      <c r="H722" s="23" t="n"/>
      <c r="I722" s="24" t="n"/>
    </row>
    <row r="723" customFormat="1" s="19">
      <c r="A723" s="20" t="n"/>
      <c r="B723" s="20" t="n"/>
      <c r="C723" s="20" t="n"/>
      <c r="D723" s="21" t="n"/>
      <c r="E723" s="28">
        <f>_xlfn.TEXTJOIN("-",TRUE,A723,B723,C723)</f>
        <v/>
      </c>
      <c r="F723" s="20" t="n"/>
      <c r="G723" s="23" t="n"/>
      <c r="H723" s="23" t="n"/>
      <c r="I723" s="24" t="n"/>
    </row>
    <row r="724" customFormat="1" s="19">
      <c r="A724" s="20" t="n"/>
      <c r="B724" s="20" t="n"/>
      <c r="C724" s="20" t="n"/>
      <c r="D724" s="21" t="n"/>
      <c r="E724" s="28">
        <f>_xlfn.TEXTJOIN("-",TRUE,A724,B724,C724)</f>
        <v/>
      </c>
      <c r="F724" s="20" t="n"/>
      <c r="G724" s="23" t="n"/>
      <c r="H724" s="23" t="n"/>
      <c r="I724" s="24" t="n"/>
    </row>
    <row r="725" customFormat="1" s="19">
      <c r="A725" s="20" t="n"/>
      <c r="B725" s="20" t="n"/>
      <c r="C725" s="20" t="n"/>
      <c r="D725" s="21" t="n"/>
      <c r="E725" s="28">
        <f>_xlfn.TEXTJOIN("-",TRUE,A725,B725,C725)</f>
        <v/>
      </c>
      <c r="F725" s="20" t="n"/>
      <c r="G725" s="23" t="n"/>
      <c r="H725" s="23" t="n"/>
      <c r="I725" s="24" t="n"/>
    </row>
    <row r="726" customFormat="1" s="19">
      <c r="A726" s="20" t="n"/>
      <c r="B726" s="20" t="n"/>
      <c r="C726" s="20" t="n"/>
      <c r="D726" s="21" t="n"/>
      <c r="E726" s="28">
        <f>_xlfn.TEXTJOIN("-",TRUE,A726,B726,C726)</f>
        <v/>
      </c>
      <c r="F726" s="20" t="n"/>
      <c r="G726" s="23" t="n"/>
      <c r="H726" s="23" t="n"/>
      <c r="I726" s="24" t="n"/>
    </row>
    <row r="727" customFormat="1" s="19">
      <c r="A727" s="20" t="n"/>
      <c r="B727" s="20" t="n"/>
      <c r="C727" s="20" t="n"/>
      <c r="D727" s="21" t="n"/>
      <c r="E727" s="28">
        <f>_xlfn.TEXTJOIN("-",TRUE,A727,B727,C727)</f>
        <v/>
      </c>
      <c r="F727" s="20" t="n"/>
      <c r="G727" s="23" t="n"/>
      <c r="H727" s="23" t="n"/>
      <c r="I727" s="24" t="n"/>
    </row>
    <row r="728" customFormat="1" s="19">
      <c r="A728" s="20" t="n"/>
      <c r="B728" s="20" t="n"/>
      <c r="C728" s="20" t="n"/>
      <c r="D728" s="21" t="n"/>
      <c r="E728" s="28">
        <f>_xlfn.TEXTJOIN("-",TRUE,A728,B728,C728)</f>
        <v/>
      </c>
      <c r="F728" s="20" t="n"/>
      <c r="G728" s="23" t="n"/>
      <c r="H728" s="23" t="n"/>
      <c r="I728" s="24" t="n"/>
    </row>
    <row r="729" customFormat="1" s="19">
      <c r="A729" s="20" t="n"/>
      <c r="B729" s="20" t="n"/>
      <c r="C729" s="20" t="n"/>
      <c r="D729" s="21" t="n"/>
      <c r="E729" s="28">
        <f>_xlfn.TEXTJOIN("-",TRUE,A729,B729,C729)</f>
        <v/>
      </c>
      <c r="F729" s="20" t="n"/>
      <c r="G729" s="23" t="n"/>
      <c r="H729" s="23" t="n"/>
      <c r="I729" s="24" t="n"/>
    </row>
    <row r="730" customFormat="1" s="19">
      <c r="A730" s="20" t="n"/>
      <c r="B730" s="20" t="n"/>
      <c r="C730" s="20" t="n"/>
      <c r="D730" s="21" t="n"/>
      <c r="E730" s="28">
        <f>_xlfn.TEXTJOIN("-",TRUE,A730,B730,C730)</f>
        <v/>
      </c>
      <c r="F730" s="20" t="n"/>
      <c r="G730" s="23" t="n"/>
      <c r="H730" s="23" t="n"/>
      <c r="I730" s="24" t="n"/>
    </row>
    <row r="731" customFormat="1" s="19">
      <c r="A731" s="20" t="n"/>
      <c r="B731" s="20" t="n"/>
      <c r="C731" s="20" t="n"/>
      <c r="D731" s="21" t="n"/>
      <c r="E731" s="28">
        <f>_xlfn.TEXTJOIN("-",TRUE,A731,B731,C731)</f>
        <v/>
      </c>
      <c r="F731" s="20" t="n"/>
      <c r="G731" s="23" t="n"/>
      <c r="H731" s="23" t="n"/>
      <c r="I731" s="24" t="n"/>
    </row>
    <row r="732" customFormat="1" s="19">
      <c r="A732" s="20" t="n"/>
      <c r="B732" s="20" t="n"/>
      <c r="C732" s="20" t="n"/>
      <c r="D732" s="21" t="n"/>
      <c r="E732" s="28">
        <f>_xlfn.TEXTJOIN("-",TRUE,A732,B732,C732)</f>
        <v/>
      </c>
      <c r="F732" s="20" t="n"/>
      <c r="G732" s="23" t="n"/>
      <c r="H732" s="23" t="n"/>
      <c r="I732" s="24" t="n"/>
    </row>
    <row r="733" customFormat="1" s="19">
      <c r="A733" s="20" t="n"/>
      <c r="B733" s="20" t="n"/>
      <c r="C733" s="20" t="n"/>
      <c r="D733" s="21" t="n"/>
      <c r="E733" s="28">
        <f>_xlfn.TEXTJOIN("-",TRUE,A733,B733,C733)</f>
        <v/>
      </c>
      <c r="F733" s="20" t="n"/>
      <c r="G733" s="23" t="n"/>
      <c r="H733" s="23" t="n"/>
      <c r="I733" s="24" t="n"/>
    </row>
    <row r="734" customFormat="1" s="19">
      <c r="A734" s="20" t="n"/>
      <c r="B734" s="20" t="n"/>
      <c r="C734" s="20" t="n"/>
      <c r="D734" s="21" t="n"/>
      <c r="E734" s="28">
        <f>_xlfn.TEXTJOIN("-",TRUE,A734,B734,C734)</f>
        <v/>
      </c>
      <c r="F734" s="20" t="n"/>
      <c r="G734" s="23" t="n"/>
      <c r="H734" s="23" t="n"/>
      <c r="I734" s="24" t="n"/>
    </row>
    <row r="735" customFormat="1" s="19">
      <c r="A735" s="20" t="n"/>
      <c r="B735" s="20" t="n"/>
      <c r="C735" s="20" t="n"/>
      <c r="D735" s="21" t="n"/>
      <c r="E735" s="28">
        <f>_xlfn.TEXTJOIN("-",TRUE,A735,B735,C735)</f>
        <v/>
      </c>
      <c r="F735" s="20" t="n"/>
      <c r="G735" s="23" t="n"/>
      <c r="H735" s="23" t="n"/>
      <c r="I735" s="24" t="n"/>
    </row>
    <row r="736" customFormat="1" s="19">
      <c r="A736" s="20" t="n"/>
      <c r="B736" s="20" t="n"/>
      <c r="C736" s="20" t="n"/>
      <c r="D736" s="21" t="n"/>
      <c r="E736" s="28">
        <f>_xlfn.TEXTJOIN("-",TRUE,A736,B736,C736)</f>
        <v/>
      </c>
      <c r="F736" s="20" t="n"/>
      <c r="G736" s="23" t="n"/>
      <c r="H736" s="23" t="n"/>
      <c r="I736" s="24" t="n"/>
    </row>
    <row r="737" customFormat="1" s="19">
      <c r="A737" s="20" t="n"/>
      <c r="B737" s="20" t="n"/>
      <c r="C737" s="20" t="n"/>
      <c r="D737" s="21" t="n"/>
      <c r="E737" s="28">
        <f>_xlfn.TEXTJOIN("-",TRUE,A737,B737,C737)</f>
        <v/>
      </c>
      <c r="F737" s="20" t="n"/>
      <c r="G737" s="23" t="n"/>
      <c r="H737" s="23" t="n"/>
      <c r="I737" s="24" t="n"/>
    </row>
    <row r="738" customFormat="1" s="19">
      <c r="A738" s="20" t="n"/>
      <c r="B738" s="20" t="n"/>
      <c r="C738" s="20" t="n"/>
      <c r="D738" s="21" t="n"/>
      <c r="E738" s="28">
        <f>_xlfn.TEXTJOIN("-",TRUE,A738,B738,C738)</f>
        <v/>
      </c>
      <c r="F738" s="20" t="n"/>
      <c r="G738" s="23" t="n"/>
      <c r="H738" s="23" t="n"/>
      <c r="I738" s="24" t="n"/>
    </row>
    <row r="739" customFormat="1" s="19">
      <c r="A739" s="20" t="n"/>
      <c r="B739" s="20" t="n"/>
      <c r="C739" s="20" t="n"/>
      <c r="D739" s="21" t="n"/>
      <c r="E739" s="28">
        <f>_xlfn.TEXTJOIN("-",TRUE,A739,B739,C739)</f>
        <v/>
      </c>
      <c r="F739" s="20" t="n"/>
      <c r="G739" s="23" t="n"/>
      <c r="H739" s="23" t="n"/>
      <c r="I739" s="24" t="n"/>
    </row>
    <row r="740" customFormat="1" s="19">
      <c r="A740" s="20" t="n"/>
      <c r="B740" s="20" t="n"/>
      <c r="C740" s="20" t="n"/>
      <c r="D740" s="21" t="n"/>
      <c r="E740" s="28">
        <f>_xlfn.TEXTJOIN("-",TRUE,A740,B740,C740)</f>
        <v/>
      </c>
      <c r="F740" s="20" t="n"/>
      <c r="G740" s="23" t="n"/>
      <c r="H740" s="23" t="n"/>
      <c r="I740" s="24" t="n"/>
    </row>
    <row r="741" customFormat="1" s="19">
      <c r="A741" s="20" t="n"/>
      <c r="B741" s="20" t="n"/>
      <c r="C741" s="20" t="n"/>
      <c r="D741" s="21" t="n"/>
      <c r="E741" s="28">
        <f>_xlfn.TEXTJOIN("-",TRUE,A741,B741,C741)</f>
        <v/>
      </c>
      <c r="F741" s="20" t="n"/>
      <c r="G741" s="23" t="n"/>
      <c r="H741" s="23" t="n"/>
      <c r="I741" s="24" t="n"/>
    </row>
    <row r="742" customFormat="1" s="19">
      <c r="A742" s="20" t="n"/>
      <c r="B742" s="20" t="n"/>
      <c r="C742" s="20" t="n"/>
      <c r="D742" s="21" t="n"/>
      <c r="E742" s="28">
        <f>_xlfn.TEXTJOIN("-",TRUE,A742,B742,C742)</f>
        <v/>
      </c>
      <c r="F742" s="20" t="n"/>
      <c r="G742" s="23" t="n"/>
      <c r="H742" s="23" t="n"/>
      <c r="I742" s="24" t="n"/>
    </row>
    <row r="743" customFormat="1" s="19">
      <c r="A743" s="20" t="n"/>
      <c r="B743" s="20" t="n"/>
      <c r="C743" s="20" t="n"/>
      <c r="D743" s="21" t="n"/>
      <c r="E743" s="28">
        <f>_xlfn.TEXTJOIN("-",TRUE,A743,B743,C743)</f>
        <v/>
      </c>
      <c r="F743" s="20" t="n"/>
      <c r="G743" s="23" t="n"/>
      <c r="H743" s="23" t="n"/>
      <c r="I743" s="24" t="n"/>
    </row>
    <row r="744" customFormat="1" s="19">
      <c r="A744" s="20" t="n"/>
      <c r="B744" s="20" t="n"/>
      <c r="C744" s="20" t="n"/>
      <c r="D744" s="21" t="n"/>
      <c r="E744" s="28">
        <f>_xlfn.TEXTJOIN("-",TRUE,A744,B744,C744)</f>
        <v/>
      </c>
      <c r="F744" s="20" t="n"/>
      <c r="G744" s="23" t="n"/>
      <c r="H744" s="23" t="n"/>
      <c r="I744" s="24" t="n"/>
    </row>
    <row r="745" customFormat="1" s="19">
      <c r="A745" s="20" t="n"/>
      <c r="B745" s="20" t="n"/>
      <c r="C745" s="20" t="n"/>
      <c r="D745" s="21" t="n"/>
      <c r="E745" s="28">
        <f>_xlfn.TEXTJOIN("-",TRUE,A745,B745,C745)</f>
        <v/>
      </c>
      <c r="F745" s="20" t="n"/>
      <c r="G745" s="23" t="n"/>
      <c r="H745" s="23" t="n"/>
      <c r="I745" s="24" t="n"/>
    </row>
    <row r="746" customFormat="1" s="19">
      <c r="A746" s="20" t="n"/>
      <c r="B746" s="20" t="n"/>
      <c r="C746" s="20" t="n"/>
      <c r="D746" s="21" t="n"/>
      <c r="E746" s="28">
        <f>_xlfn.TEXTJOIN("-",TRUE,A746,B746,C746)</f>
        <v/>
      </c>
      <c r="F746" s="20" t="n"/>
      <c r="G746" s="23" t="n"/>
      <c r="H746" s="23" t="n"/>
      <c r="I746" s="24" t="n"/>
    </row>
    <row r="747" customFormat="1" s="19">
      <c r="A747" s="20" t="n"/>
      <c r="B747" s="20" t="n"/>
      <c r="C747" s="20" t="n"/>
      <c r="D747" s="21" t="n"/>
      <c r="E747" s="28">
        <f>_xlfn.TEXTJOIN("-",TRUE,A747,B747,C747)</f>
        <v/>
      </c>
      <c r="F747" s="20" t="n"/>
      <c r="G747" s="23" t="n"/>
      <c r="H747" s="23" t="n"/>
      <c r="I747" s="24" t="n"/>
    </row>
    <row r="748" customFormat="1" s="19">
      <c r="A748" s="20" t="n"/>
      <c r="B748" s="20" t="n"/>
      <c r="C748" s="20" t="n"/>
      <c r="D748" s="21" t="n"/>
      <c r="E748" s="28">
        <f>_xlfn.TEXTJOIN("-",TRUE,A748,B748,C748)</f>
        <v/>
      </c>
      <c r="F748" s="20" t="n"/>
      <c r="G748" s="23" t="n"/>
      <c r="H748" s="23" t="n"/>
      <c r="I748" s="24" t="n"/>
    </row>
    <row r="749" customFormat="1" s="19">
      <c r="A749" s="20" t="n"/>
      <c r="B749" s="20" t="n"/>
      <c r="C749" s="20" t="n"/>
      <c r="D749" s="21" t="n"/>
      <c r="E749" s="28">
        <f>_xlfn.TEXTJOIN("-",TRUE,A749,B749,C749)</f>
        <v/>
      </c>
      <c r="F749" s="20" t="n"/>
      <c r="G749" s="23" t="n"/>
      <c r="H749" s="23" t="n"/>
      <c r="I749" s="24" t="n"/>
    </row>
    <row r="750" customFormat="1" s="19">
      <c r="A750" s="20" t="n"/>
      <c r="B750" s="20" t="n"/>
      <c r="C750" s="20" t="n"/>
      <c r="D750" s="21" t="n"/>
      <c r="E750" s="28">
        <f>_xlfn.TEXTJOIN("-",TRUE,A750,B750,C750)</f>
        <v/>
      </c>
      <c r="F750" s="20" t="n"/>
      <c r="G750" s="23" t="n"/>
      <c r="H750" s="23" t="n"/>
      <c r="I750" s="24" t="n"/>
    </row>
    <row r="751" customFormat="1" s="19">
      <c r="A751" s="20" t="n"/>
      <c r="B751" s="20" t="n"/>
      <c r="C751" s="20" t="n"/>
      <c r="D751" s="21" t="n"/>
      <c r="E751" s="28">
        <f>_xlfn.TEXTJOIN("-",TRUE,A751,B751,C751)</f>
        <v/>
      </c>
      <c r="F751" s="20" t="n"/>
      <c r="G751" s="23" t="n"/>
      <c r="H751" s="23" t="n"/>
      <c r="I751" s="24" t="n"/>
    </row>
    <row r="752" customFormat="1" s="19">
      <c r="A752" s="20" t="n"/>
      <c r="B752" s="20" t="n"/>
      <c r="C752" s="20" t="n"/>
      <c r="D752" s="21" t="n"/>
      <c r="E752" s="28">
        <f>_xlfn.TEXTJOIN("-",TRUE,A752,B752,C752)</f>
        <v/>
      </c>
      <c r="F752" s="20" t="n"/>
      <c r="G752" s="23" t="n"/>
      <c r="H752" s="23" t="n"/>
      <c r="I752" s="24" t="n"/>
    </row>
    <row r="753" customFormat="1" s="19">
      <c r="A753" s="20" t="n"/>
      <c r="B753" s="20" t="n"/>
      <c r="C753" s="20" t="n"/>
      <c r="D753" s="21" t="n"/>
      <c r="E753" s="28">
        <f>_xlfn.TEXTJOIN("-",TRUE,A753,B753,C753)</f>
        <v/>
      </c>
      <c r="F753" s="20" t="n"/>
      <c r="G753" s="23" t="n"/>
      <c r="H753" s="23" t="n"/>
      <c r="I753" s="24" t="n"/>
    </row>
    <row r="754" customFormat="1" s="19">
      <c r="A754" s="20" t="n"/>
      <c r="B754" s="20" t="n"/>
      <c r="C754" s="20" t="n"/>
      <c r="D754" s="21" t="n"/>
      <c r="E754" s="28">
        <f>_xlfn.TEXTJOIN("-",TRUE,A754,B754,C754)</f>
        <v/>
      </c>
      <c r="F754" s="20" t="n"/>
      <c r="G754" s="23" t="n"/>
      <c r="H754" s="23" t="n"/>
      <c r="I754" s="24" t="n"/>
    </row>
    <row r="755" customFormat="1" s="19">
      <c r="A755" s="20" t="n"/>
      <c r="B755" s="20" t="n"/>
      <c r="C755" s="20" t="n"/>
      <c r="D755" s="21" t="n"/>
      <c r="E755" s="28">
        <f>_xlfn.TEXTJOIN("-",TRUE,A755,B755,C755)</f>
        <v/>
      </c>
      <c r="F755" s="20" t="n"/>
      <c r="G755" s="23" t="n"/>
      <c r="H755" s="23" t="n"/>
      <c r="I755" s="24" t="n"/>
    </row>
    <row r="756" customFormat="1" s="19">
      <c r="A756" s="20" t="n"/>
      <c r="B756" s="20" t="n"/>
      <c r="C756" s="20" t="n"/>
      <c r="D756" s="21" t="n"/>
      <c r="E756" s="28">
        <f>_xlfn.TEXTJOIN("-",TRUE,A756,B756,C756)</f>
        <v/>
      </c>
      <c r="F756" s="20" t="n"/>
      <c r="G756" s="23" t="n"/>
      <c r="H756" s="23" t="n"/>
      <c r="I756" s="24" t="n"/>
    </row>
    <row r="757" customFormat="1" s="19">
      <c r="A757" s="20" t="n"/>
      <c r="B757" s="20" t="n"/>
      <c r="C757" s="20" t="n"/>
      <c r="D757" s="21" t="n"/>
      <c r="E757" s="28">
        <f>_xlfn.TEXTJOIN("-",TRUE,A757,B757,C757)</f>
        <v/>
      </c>
      <c r="F757" s="20" t="n"/>
      <c r="G757" s="23" t="n"/>
      <c r="H757" s="23" t="n"/>
      <c r="I757" s="24" t="n"/>
    </row>
    <row r="758" customFormat="1" s="19">
      <c r="A758" s="20" t="n"/>
      <c r="B758" s="20" t="n"/>
      <c r="C758" s="20" t="n"/>
      <c r="D758" s="21" t="n"/>
      <c r="E758" s="28">
        <f>_xlfn.TEXTJOIN("-",TRUE,A758,B758,C758)</f>
        <v/>
      </c>
      <c r="F758" s="20" t="n"/>
      <c r="G758" s="23" t="n"/>
      <c r="H758" s="23" t="n"/>
      <c r="I758" s="24" t="n"/>
    </row>
    <row r="759" customFormat="1" s="19">
      <c r="A759" s="20" t="n"/>
      <c r="B759" s="20" t="n"/>
      <c r="C759" s="20" t="n"/>
      <c r="D759" s="21" t="n"/>
      <c r="E759" s="28">
        <f>_xlfn.TEXTJOIN("-",TRUE,A759,B759,C759)</f>
        <v/>
      </c>
      <c r="F759" s="20" t="n"/>
      <c r="G759" s="23" t="n"/>
      <c r="H759" s="23" t="n"/>
      <c r="I759" s="24" t="n"/>
    </row>
    <row r="760" customFormat="1" s="19">
      <c r="A760" s="20" t="n"/>
      <c r="B760" s="20" t="n"/>
      <c r="C760" s="20" t="n"/>
      <c r="D760" s="21" t="n"/>
      <c r="E760" s="28">
        <f>_xlfn.TEXTJOIN("-",TRUE,A760,B760,C760)</f>
        <v/>
      </c>
      <c r="F760" s="20" t="n"/>
      <c r="G760" s="23" t="n"/>
      <c r="H760" s="23" t="n"/>
      <c r="I760" s="24" t="n"/>
    </row>
    <row r="761" customFormat="1" s="19">
      <c r="A761" s="20" t="n"/>
      <c r="B761" s="20" t="n"/>
      <c r="C761" s="20" t="n"/>
      <c r="D761" s="21" t="n"/>
      <c r="E761" s="28">
        <f>_xlfn.TEXTJOIN("-",TRUE,A761,B761,C761)</f>
        <v/>
      </c>
      <c r="F761" s="20" t="n"/>
      <c r="G761" s="23" t="n"/>
      <c r="H761" s="23" t="n"/>
      <c r="I761" s="24" t="n"/>
    </row>
    <row r="762" customFormat="1" s="19">
      <c r="A762" s="20" t="n"/>
      <c r="B762" s="20" t="n"/>
      <c r="C762" s="20" t="n"/>
      <c r="D762" s="21" t="n"/>
      <c r="E762" s="28">
        <f>_xlfn.TEXTJOIN("-",TRUE,A762,B762,C762)</f>
        <v/>
      </c>
      <c r="F762" s="20" t="n"/>
      <c r="G762" s="23" t="n"/>
      <c r="H762" s="23" t="n"/>
      <c r="I762" s="24" t="n"/>
    </row>
    <row r="763" customFormat="1" s="19">
      <c r="A763" s="20" t="n"/>
      <c r="B763" s="20" t="n"/>
      <c r="C763" s="20" t="n"/>
      <c r="D763" s="21" t="n"/>
      <c r="E763" s="28">
        <f>_xlfn.TEXTJOIN("-",TRUE,A763,B763,C763)</f>
        <v/>
      </c>
      <c r="F763" s="20" t="n"/>
      <c r="G763" s="23" t="n"/>
      <c r="H763" s="23" t="n"/>
      <c r="I763" s="24" t="n"/>
    </row>
    <row r="764" customFormat="1" s="19">
      <c r="A764" s="20" t="n"/>
      <c r="B764" s="20" t="n"/>
      <c r="C764" s="20" t="n"/>
      <c r="D764" s="21" t="n"/>
      <c r="E764" s="28">
        <f>_xlfn.TEXTJOIN("-",TRUE,A764,B764,C764)</f>
        <v/>
      </c>
      <c r="F764" s="20" t="n"/>
      <c r="G764" s="23" t="n"/>
      <c r="H764" s="23" t="n"/>
      <c r="I764" s="24" t="n"/>
    </row>
    <row r="765" customFormat="1" s="19">
      <c r="A765" s="20" t="n"/>
      <c r="B765" s="20" t="n"/>
      <c r="C765" s="20" t="n"/>
      <c r="D765" s="21" t="n"/>
      <c r="E765" s="28">
        <f>_xlfn.TEXTJOIN("-",TRUE,A765,B765,C765)</f>
        <v/>
      </c>
      <c r="F765" s="20" t="n"/>
      <c r="G765" s="23" t="n"/>
      <c r="H765" s="23" t="n"/>
      <c r="I765" s="24" t="n"/>
    </row>
    <row r="766" customFormat="1" s="19">
      <c r="A766" s="20" t="n"/>
      <c r="B766" s="20" t="n"/>
      <c r="C766" s="20" t="n"/>
      <c r="D766" s="21" t="n"/>
      <c r="E766" s="28">
        <f>_xlfn.TEXTJOIN("-",TRUE,A766,B766,C766)</f>
        <v/>
      </c>
      <c r="F766" s="20" t="n"/>
      <c r="G766" s="23" t="n"/>
      <c r="H766" s="23" t="n"/>
      <c r="I766" s="24" t="n"/>
    </row>
    <row r="767" customFormat="1" s="19">
      <c r="A767" s="20" t="n"/>
      <c r="B767" s="20" t="n"/>
      <c r="C767" s="20" t="n"/>
      <c r="D767" s="21" t="n"/>
      <c r="E767" s="28">
        <f>_xlfn.TEXTJOIN("-",TRUE,A767,B767,C767)</f>
        <v/>
      </c>
      <c r="F767" s="20" t="n"/>
      <c r="G767" s="23" t="n"/>
      <c r="H767" s="23" t="n"/>
      <c r="I767" s="24" t="n"/>
    </row>
    <row r="768" customFormat="1" s="19">
      <c r="A768" s="20" t="n"/>
      <c r="B768" s="20" t="n"/>
      <c r="C768" s="20" t="n"/>
      <c r="D768" s="21" t="n"/>
      <c r="E768" s="28">
        <f>_xlfn.TEXTJOIN("-",TRUE,A768,B768,C768)</f>
        <v/>
      </c>
      <c r="F768" s="20" t="n"/>
      <c r="G768" s="23" t="n"/>
      <c r="H768" s="23" t="n"/>
      <c r="I768" s="24" t="n"/>
    </row>
    <row r="769" customFormat="1" s="19">
      <c r="A769" s="20" t="n"/>
      <c r="B769" s="20" t="n"/>
      <c r="C769" s="20" t="n"/>
      <c r="D769" s="21" t="n"/>
      <c r="E769" s="28">
        <f>_xlfn.TEXTJOIN("-",TRUE,A769,B769,C769)</f>
        <v/>
      </c>
      <c r="F769" s="20" t="n"/>
      <c r="G769" s="23" t="n"/>
      <c r="H769" s="23" t="n"/>
      <c r="I769" s="24" t="n"/>
    </row>
    <row r="770" customFormat="1" s="19">
      <c r="A770" s="20" t="n"/>
      <c r="B770" s="20" t="n"/>
      <c r="C770" s="20" t="n"/>
      <c r="D770" s="21" t="n"/>
      <c r="E770" s="28">
        <f>_xlfn.TEXTJOIN("-",TRUE,A770,B770,C770)</f>
        <v/>
      </c>
      <c r="F770" s="20" t="n"/>
      <c r="G770" s="23" t="n"/>
      <c r="H770" s="23" t="n"/>
      <c r="I770" s="24" t="n"/>
    </row>
    <row r="771" customFormat="1" s="19">
      <c r="A771" s="20" t="n"/>
      <c r="B771" s="20" t="n"/>
      <c r="C771" s="20" t="n"/>
      <c r="D771" s="21" t="n"/>
      <c r="E771" s="28">
        <f>_xlfn.TEXTJOIN("-",TRUE,A771,B771,C771)</f>
        <v/>
      </c>
      <c r="F771" s="20" t="n"/>
      <c r="G771" s="23" t="n"/>
      <c r="H771" s="23" t="n"/>
      <c r="I771" s="24" t="n"/>
    </row>
    <row r="772" customFormat="1" s="19">
      <c r="A772" s="20" t="n"/>
      <c r="B772" s="20" t="n"/>
      <c r="C772" s="20" t="n"/>
      <c r="D772" s="21" t="n"/>
      <c r="E772" s="28">
        <f>_xlfn.TEXTJOIN("-",TRUE,A772,B772,C772)</f>
        <v/>
      </c>
      <c r="F772" s="20" t="n"/>
      <c r="G772" s="23" t="n"/>
      <c r="H772" s="23" t="n"/>
      <c r="I772" s="24" t="n"/>
    </row>
    <row r="773" customFormat="1" s="19">
      <c r="A773" s="20" t="n"/>
      <c r="B773" s="20" t="n"/>
      <c r="C773" s="20" t="n"/>
      <c r="D773" s="21" t="n"/>
      <c r="E773" s="28">
        <f>_xlfn.TEXTJOIN("-",TRUE,A773,B773,C773)</f>
        <v/>
      </c>
      <c r="F773" s="20" t="n"/>
      <c r="G773" s="23" t="n"/>
      <c r="H773" s="23" t="n"/>
      <c r="I773" s="24" t="n"/>
    </row>
    <row r="774" customFormat="1" s="19">
      <c r="A774" s="20" t="n"/>
      <c r="B774" s="20" t="n"/>
      <c r="C774" s="20" t="n"/>
      <c r="D774" s="21" t="n"/>
      <c r="E774" s="28">
        <f>_xlfn.TEXTJOIN("-",TRUE,A774,B774,C774)</f>
        <v/>
      </c>
      <c r="F774" s="20" t="n"/>
      <c r="G774" s="23" t="n"/>
      <c r="H774" s="23" t="n"/>
      <c r="I774" s="24" t="n"/>
    </row>
    <row r="775" customFormat="1" s="19">
      <c r="A775" s="20" t="n"/>
      <c r="B775" s="20" t="n"/>
      <c r="C775" s="20" t="n"/>
      <c r="D775" s="21" t="n"/>
      <c r="E775" s="28">
        <f>_xlfn.TEXTJOIN("-",TRUE,A775,B775,C775)</f>
        <v/>
      </c>
      <c r="F775" s="20" t="n"/>
      <c r="G775" s="23" t="n"/>
      <c r="H775" s="23" t="n"/>
      <c r="I775" s="24" t="n"/>
    </row>
    <row r="776" customFormat="1" s="19">
      <c r="A776" s="20" t="n"/>
      <c r="B776" s="20" t="n"/>
      <c r="C776" s="20" t="n"/>
      <c r="D776" s="21" t="n"/>
      <c r="E776" s="28">
        <f>_xlfn.TEXTJOIN("-",TRUE,A776,B776,C776)</f>
        <v/>
      </c>
      <c r="F776" s="20" t="n"/>
      <c r="G776" s="23" t="n"/>
      <c r="H776" s="23" t="n"/>
      <c r="I776" s="24" t="n"/>
    </row>
    <row r="777" customFormat="1" s="19">
      <c r="A777" s="20" t="n"/>
      <c r="B777" s="20" t="n"/>
      <c r="C777" s="20" t="n"/>
      <c r="D777" s="21" t="n"/>
      <c r="E777" s="28">
        <f>_xlfn.TEXTJOIN("-",TRUE,A777,B777,C777)</f>
        <v/>
      </c>
      <c r="F777" s="20" t="n"/>
      <c r="G777" s="23" t="n"/>
      <c r="H777" s="23" t="n"/>
      <c r="I777" s="24" t="n"/>
    </row>
    <row r="778" customFormat="1" s="19">
      <c r="A778" s="20" t="n"/>
      <c r="B778" s="20" t="n"/>
      <c r="C778" s="20" t="n"/>
      <c r="D778" s="21" t="n"/>
      <c r="E778" s="28">
        <f>_xlfn.TEXTJOIN("-",TRUE,A778,B778,C778)</f>
        <v/>
      </c>
      <c r="F778" s="20" t="n"/>
      <c r="G778" s="23" t="n"/>
      <c r="H778" s="23" t="n"/>
      <c r="I778" s="24" t="n"/>
    </row>
    <row r="779" customFormat="1" s="19">
      <c r="A779" s="20" t="n"/>
      <c r="B779" s="20" t="n"/>
      <c r="C779" s="20" t="n"/>
      <c r="D779" s="21" t="n"/>
      <c r="E779" s="28">
        <f>_xlfn.TEXTJOIN("-",TRUE,A779,B779,C779)</f>
        <v/>
      </c>
      <c r="F779" s="20" t="n"/>
      <c r="G779" s="23" t="n"/>
      <c r="H779" s="23" t="n"/>
      <c r="I779" s="24" t="n"/>
    </row>
    <row r="780" customFormat="1" s="19">
      <c r="A780" s="20" t="n"/>
      <c r="B780" s="20" t="n"/>
      <c r="C780" s="20" t="n"/>
      <c r="D780" s="21" t="n"/>
      <c r="E780" s="28">
        <f>_xlfn.TEXTJOIN("-",TRUE,A780,B780,C780)</f>
        <v/>
      </c>
      <c r="F780" s="20" t="n"/>
      <c r="G780" s="23" t="n"/>
      <c r="H780" s="23" t="n"/>
      <c r="I780" s="24" t="n"/>
    </row>
    <row r="781" customFormat="1" s="19">
      <c r="A781" s="20" t="n"/>
      <c r="B781" s="20" t="n"/>
      <c r="C781" s="20" t="n"/>
      <c r="D781" s="21" t="n"/>
      <c r="E781" s="28">
        <f>_xlfn.TEXTJOIN("-",TRUE,A781,B781,C781)</f>
        <v/>
      </c>
      <c r="F781" s="20" t="n"/>
      <c r="G781" s="23" t="n"/>
      <c r="H781" s="23" t="n"/>
      <c r="I781" s="24" t="n"/>
    </row>
    <row r="782" customFormat="1" s="19">
      <c r="A782" s="20" t="n"/>
      <c r="B782" s="20" t="n"/>
      <c r="C782" s="20" t="n"/>
      <c r="D782" s="21" t="n"/>
      <c r="E782" s="28">
        <f>_xlfn.TEXTJOIN("-",TRUE,A782,B782,C782)</f>
        <v/>
      </c>
      <c r="F782" s="20" t="n"/>
      <c r="G782" s="23" t="n"/>
      <c r="H782" s="23" t="n"/>
      <c r="I782" s="24" t="n"/>
    </row>
    <row r="783" customFormat="1" s="19">
      <c r="A783" s="20" t="n"/>
      <c r="B783" s="20" t="n"/>
      <c r="C783" s="20" t="n"/>
      <c r="D783" s="21" t="n"/>
      <c r="E783" s="28">
        <f>_xlfn.TEXTJOIN("-",TRUE,A783,B783,C783)</f>
        <v/>
      </c>
      <c r="F783" s="20" t="n"/>
      <c r="G783" s="23" t="n"/>
      <c r="H783" s="23" t="n"/>
      <c r="I783" s="24" t="n"/>
    </row>
    <row r="784" customFormat="1" s="19">
      <c r="A784" s="20" t="n"/>
      <c r="B784" s="20" t="n"/>
      <c r="C784" s="20" t="n"/>
      <c r="D784" s="21" t="n"/>
      <c r="E784" s="28">
        <f>_xlfn.TEXTJOIN("-",TRUE,A784,B784,C784)</f>
        <v/>
      </c>
      <c r="F784" s="20" t="n"/>
      <c r="G784" s="23" t="n"/>
      <c r="H784" s="23" t="n"/>
      <c r="I784" s="24" t="n"/>
    </row>
    <row r="785" customFormat="1" s="19">
      <c r="A785" s="20" t="n"/>
      <c r="B785" s="20" t="n"/>
      <c r="C785" s="20" t="n"/>
      <c r="D785" s="21" t="n"/>
      <c r="E785" s="28">
        <f>_xlfn.TEXTJOIN("-",TRUE,A785,B785,C785)</f>
        <v/>
      </c>
      <c r="F785" s="20" t="n"/>
      <c r="G785" s="23" t="n"/>
      <c r="H785" s="23" t="n"/>
      <c r="I785" s="24" t="n"/>
    </row>
    <row r="786" customFormat="1" s="19">
      <c r="A786" s="20" t="n"/>
      <c r="B786" s="20" t="n"/>
      <c r="C786" s="20" t="n"/>
      <c r="D786" s="21" t="n"/>
      <c r="E786" s="28">
        <f>_xlfn.TEXTJOIN("-",TRUE,A786,B786,C786)</f>
        <v/>
      </c>
      <c r="F786" s="20" t="n"/>
      <c r="G786" s="23" t="n"/>
      <c r="H786" s="23" t="n"/>
      <c r="I786" s="24" t="n"/>
    </row>
    <row r="787" customFormat="1" s="19">
      <c r="A787" s="20" t="n"/>
      <c r="B787" s="20" t="n"/>
      <c r="C787" s="20" t="n"/>
      <c r="D787" s="21" t="n"/>
      <c r="E787" s="28">
        <f>_xlfn.TEXTJOIN("-",TRUE,A787,B787,C787)</f>
        <v/>
      </c>
      <c r="F787" s="20" t="n"/>
      <c r="G787" s="23" t="n"/>
      <c r="H787" s="23" t="n"/>
      <c r="I787" s="24" t="n"/>
    </row>
    <row r="788" customFormat="1" s="19">
      <c r="A788" s="20" t="n"/>
      <c r="B788" s="20" t="n"/>
      <c r="C788" s="20" t="n"/>
      <c r="D788" s="21" t="n"/>
      <c r="E788" s="28">
        <f>_xlfn.TEXTJOIN("-",TRUE,A788,B788,C788)</f>
        <v/>
      </c>
      <c r="F788" s="20" t="n"/>
      <c r="G788" s="23" t="n"/>
      <c r="H788" s="23" t="n"/>
      <c r="I788" s="24" t="n"/>
    </row>
    <row r="789" customFormat="1" s="19">
      <c r="A789" s="20" t="n"/>
      <c r="B789" s="20" t="n"/>
      <c r="C789" s="20" t="n"/>
      <c r="D789" s="21" t="n"/>
      <c r="E789" s="28">
        <f>_xlfn.TEXTJOIN("-",TRUE,A789,B789,C789)</f>
        <v/>
      </c>
      <c r="F789" s="20" t="n"/>
      <c r="G789" s="23" t="n"/>
      <c r="H789" s="23" t="n"/>
      <c r="I789" s="24" t="n"/>
    </row>
    <row r="790" customFormat="1" s="19">
      <c r="A790" s="20" t="n"/>
      <c r="B790" s="20" t="n"/>
      <c r="C790" s="20" t="n"/>
      <c r="D790" s="21" t="n"/>
      <c r="E790" s="28">
        <f>_xlfn.TEXTJOIN("-",TRUE,A790,B790,C790)</f>
        <v/>
      </c>
      <c r="F790" s="20" t="n"/>
      <c r="G790" s="23" t="n"/>
      <c r="H790" s="23" t="n"/>
      <c r="I790" s="24" t="n"/>
    </row>
    <row r="791" customFormat="1" s="19">
      <c r="A791" s="20" t="n"/>
      <c r="B791" s="20" t="n"/>
      <c r="C791" s="20" t="n"/>
      <c r="D791" s="21" t="n"/>
      <c r="E791" s="28">
        <f>_xlfn.TEXTJOIN("-",TRUE,A791,B791,C791)</f>
        <v/>
      </c>
      <c r="F791" s="20" t="n"/>
      <c r="G791" s="23" t="n"/>
      <c r="H791" s="23" t="n"/>
      <c r="I791" s="24" t="n"/>
    </row>
    <row r="792" customFormat="1" s="19">
      <c r="A792" s="20" t="n"/>
      <c r="B792" s="20" t="n"/>
      <c r="C792" s="20" t="n"/>
      <c r="D792" s="21" t="n"/>
      <c r="E792" s="28">
        <f>_xlfn.TEXTJOIN("-",TRUE,A792,B792,C792)</f>
        <v/>
      </c>
      <c r="F792" s="20" t="n"/>
      <c r="G792" s="23" t="n"/>
      <c r="H792" s="23" t="n"/>
      <c r="I792" s="24" t="n"/>
    </row>
    <row r="793" customFormat="1" s="19">
      <c r="A793" s="20" t="n"/>
      <c r="B793" s="20" t="n"/>
      <c r="C793" s="20" t="n"/>
      <c r="D793" s="21" t="n"/>
      <c r="E793" s="28">
        <f>_xlfn.TEXTJOIN("-",TRUE,A793,B793,C793)</f>
        <v/>
      </c>
      <c r="F793" s="20" t="n"/>
      <c r="G793" s="23" t="n"/>
      <c r="H793" s="23" t="n"/>
      <c r="I793" s="24" t="n"/>
    </row>
    <row r="794" customFormat="1" s="19">
      <c r="A794" s="20" t="n"/>
      <c r="B794" s="20" t="n"/>
      <c r="C794" s="20" t="n"/>
      <c r="D794" s="21" t="n"/>
      <c r="E794" s="28">
        <f>_xlfn.TEXTJOIN("-",TRUE,A794,B794,C794)</f>
        <v/>
      </c>
      <c r="F794" s="20" t="n"/>
      <c r="G794" s="23" t="n"/>
      <c r="H794" s="23" t="n"/>
      <c r="I794" s="24" t="n"/>
    </row>
    <row r="795" customFormat="1" s="19">
      <c r="A795" s="20" t="n"/>
      <c r="B795" s="20" t="n"/>
      <c r="C795" s="20" t="n"/>
      <c r="D795" s="21" t="n"/>
      <c r="E795" s="28">
        <f>_xlfn.TEXTJOIN("-",TRUE,A795,B795,C795)</f>
        <v/>
      </c>
      <c r="F795" s="20" t="n"/>
      <c r="G795" s="23" t="n"/>
      <c r="H795" s="23" t="n"/>
      <c r="I795" s="24" t="n"/>
    </row>
    <row r="796" customFormat="1" s="19">
      <c r="A796" s="20" t="n"/>
      <c r="B796" s="20" t="n"/>
      <c r="C796" s="20" t="n"/>
      <c r="D796" s="21" t="n"/>
      <c r="E796" s="28">
        <f>_xlfn.TEXTJOIN("-",TRUE,A796,B796,C796)</f>
        <v/>
      </c>
      <c r="F796" s="20" t="n"/>
      <c r="G796" s="23" t="n"/>
      <c r="H796" s="23" t="n"/>
      <c r="I796" s="24" t="n"/>
    </row>
    <row r="797" customFormat="1" s="19">
      <c r="A797" s="20" t="n"/>
      <c r="B797" s="20" t="n"/>
      <c r="C797" s="20" t="n"/>
      <c r="D797" s="21" t="n"/>
      <c r="E797" s="28">
        <f>_xlfn.TEXTJOIN("-",TRUE,A797,B797,C797)</f>
        <v/>
      </c>
      <c r="F797" s="20" t="n"/>
      <c r="G797" s="23" t="n"/>
      <c r="H797" s="23" t="n"/>
      <c r="I797" s="24" t="n"/>
    </row>
    <row r="798" customFormat="1" s="19">
      <c r="A798" s="20" t="n"/>
      <c r="B798" s="20" t="n"/>
      <c r="C798" s="20" t="n"/>
      <c r="D798" s="21" t="n"/>
      <c r="E798" s="28">
        <f>_xlfn.TEXTJOIN("-",TRUE,A798,B798,C798)</f>
        <v/>
      </c>
      <c r="F798" s="20" t="n"/>
      <c r="G798" s="23" t="n"/>
      <c r="H798" s="23" t="n"/>
      <c r="I798" s="24" t="n"/>
    </row>
    <row r="799" customFormat="1" s="19">
      <c r="A799" s="20" t="n"/>
      <c r="B799" s="20" t="n"/>
      <c r="C799" s="20" t="n"/>
      <c r="D799" s="21" t="n"/>
      <c r="E799" s="28">
        <f>_xlfn.TEXTJOIN("-",TRUE,A799,B799,C799)</f>
        <v/>
      </c>
      <c r="F799" s="20" t="n"/>
      <c r="G799" s="23" t="n"/>
      <c r="H799" s="23" t="n"/>
      <c r="I799" s="24" t="n"/>
    </row>
    <row r="800" customFormat="1" s="19">
      <c r="A800" s="20" t="n"/>
      <c r="B800" s="20" t="n"/>
      <c r="C800" s="20" t="n"/>
      <c r="D800" s="21" t="n"/>
      <c r="E800" s="28">
        <f>_xlfn.TEXTJOIN("-",TRUE,A800,B800,C800)</f>
        <v/>
      </c>
      <c r="F800" s="20" t="n"/>
      <c r="G800" s="23" t="n"/>
      <c r="H800" s="23" t="n"/>
      <c r="I800" s="24" t="n"/>
    </row>
    <row r="801" customFormat="1" s="19">
      <c r="A801" s="20" t="n"/>
      <c r="B801" s="20" t="n"/>
      <c r="C801" s="20" t="n"/>
      <c r="D801" s="21" t="n"/>
      <c r="E801" s="28">
        <f>_xlfn.TEXTJOIN("-",TRUE,A801,B801,C801)</f>
        <v/>
      </c>
      <c r="F801" s="20" t="n"/>
      <c r="G801" s="23" t="n"/>
      <c r="H801" s="23" t="n"/>
      <c r="I801" s="24" t="n"/>
    </row>
    <row r="802" customFormat="1" s="19">
      <c r="A802" s="20" t="n"/>
      <c r="B802" s="20" t="n"/>
      <c r="C802" s="20" t="n"/>
      <c r="D802" s="21" t="n"/>
      <c r="E802" s="28">
        <f>_xlfn.TEXTJOIN("-",TRUE,A802,B802,C802)</f>
        <v/>
      </c>
      <c r="F802" s="20" t="n"/>
      <c r="G802" s="23" t="n"/>
      <c r="H802" s="23" t="n"/>
      <c r="I802" s="24" t="n"/>
    </row>
    <row r="803" customFormat="1" s="19">
      <c r="A803" s="20" t="n"/>
      <c r="B803" s="20" t="n"/>
      <c r="C803" s="20" t="n"/>
      <c r="D803" s="21" t="n"/>
      <c r="E803" s="28">
        <f>_xlfn.TEXTJOIN("-",TRUE,A803,B803,C803)</f>
        <v/>
      </c>
      <c r="F803" s="20" t="n"/>
      <c r="G803" s="23" t="n"/>
      <c r="H803" s="23" t="n"/>
      <c r="I803" s="24" t="n"/>
    </row>
    <row r="804" customFormat="1" s="19">
      <c r="A804" s="20" t="n"/>
      <c r="B804" s="20" t="n"/>
      <c r="C804" s="20" t="n"/>
      <c r="D804" s="21" t="n"/>
      <c r="E804" s="28">
        <f>_xlfn.TEXTJOIN("-",TRUE,A804,B804,C804)</f>
        <v/>
      </c>
      <c r="F804" s="20" t="n"/>
      <c r="G804" s="23" t="n"/>
      <c r="H804" s="23" t="n"/>
      <c r="I804" s="24" t="n"/>
    </row>
    <row r="805" customFormat="1" s="19">
      <c r="A805" s="20" t="n"/>
      <c r="B805" s="20" t="n"/>
      <c r="C805" s="20" t="n"/>
      <c r="D805" s="21" t="n"/>
      <c r="E805" s="28">
        <f>_xlfn.TEXTJOIN("-",TRUE,A805,B805,C805)</f>
        <v/>
      </c>
      <c r="F805" s="20" t="n"/>
      <c r="G805" s="23" t="n"/>
      <c r="H805" s="23" t="n"/>
      <c r="I805" s="24" t="n"/>
    </row>
    <row r="806" customFormat="1" s="19">
      <c r="A806" s="20" t="n"/>
      <c r="B806" s="20" t="n"/>
      <c r="C806" s="20" t="n"/>
      <c r="D806" s="21" t="n"/>
      <c r="E806" s="28">
        <f>_xlfn.TEXTJOIN("-",TRUE,A806,B806,C806)</f>
        <v/>
      </c>
      <c r="F806" s="20" t="n"/>
      <c r="G806" s="23" t="n"/>
      <c r="H806" s="23" t="n"/>
      <c r="I806" s="24" t="n"/>
    </row>
    <row r="807" customFormat="1" s="19">
      <c r="A807" s="20" t="n"/>
      <c r="B807" s="20" t="n"/>
      <c r="C807" s="20" t="n"/>
      <c r="D807" s="21" t="n"/>
      <c r="E807" s="28">
        <f>_xlfn.TEXTJOIN("-",TRUE,A807,B807,C807)</f>
        <v/>
      </c>
      <c r="F807" s="20" t="n"/>
      <c r="G807" s="23" t="n"/>
      <c r="H807" s="23" t="n"/>
      <c r="I807" s="24" t="n"/>
    </row>
    <row r="808" customFormat="1" s="19">
      <c r="A808" s="20" t="n"/>
      <c r="B808" s="20" t="n"/>
      <c r="C808" s="20" t="n"/>
      <c r="D808" s="21" t="n"/>
      <c r="E808" s="28">
        <f>_xlfn.TEXTJOIN("-",TRUE,A808,B808,C808)</f>
        <v/>
      </c>
      <c r="F808" s="20" t="n"/>
      <c r="G808" s="23" t="n"/>
      <c r="H808" s="23" t="n"/>
      <c r="I808" s="24" t="n"/>
    </row>
    <row r="809" customFormat="1" s="19">
      <c r="A809" s="20" t="n"/>
      <c r="B809" s="20" t="n"/>
      <c r="C809" s="20" t="n"/>
      <c r="D809" s="21" t="n"/>
      <c r="E809" s="28">
        <f>_xlfn.TEXTJOIN("-",TRUE,A809,B809,C809)</f>
        <v/>
      </c>
      <c r="F809" s="20" t="n"/>
      <c r="G809" s="23" t="n"/>
      <c r="H809" s="23" t="n"/>
      <c r="I809" s="24" t="n"/>
    </row>
    <row r="810" customFormat="1" s="19">
      <c r="A810" s="20" t="n"/>
      <c r="B810" s="20" t="n"/>
      <c r="C810" s="20" t="n"/>
      <c r="D810" s="21" t="n"/>
      <c r="E810" s="28">
        <f>_xlfn.TEXTJOIN("-",TRUE,A810,B810,C810)</f>
        <v/>
      </c>
      <c r="F810" s="20" t="n"/>
      <c r="G810" s="23" t="n"/>
      <c r="H810" s="23" t="n"/>
      <c r="I810" s="24" t="n"/>
    </row>
    <row r="811" customFormat="1" s="19">
      <c r="A811" s="20" t="n"/>
      <c r="B811" s="20" t="n"/>
      <c r="C811" s="20" t="n"/>
      <c r="D811" s="21" t="n"/>
      <c r="E811" s="28">
        <f>_xlfn.TEXTJOIN("-",TRUE,A811,B811,C811)</f>
        <v/>
      </c>
      <c r="F811" s="20" t="n"/>
      <c r="G811" s="23" t="n"/>
      <c r="H811" s="23" t="n"/>
      <c r="I811" s="24" t="n"/>
    </row>
    <row r="812" customFormat="1" s="19">
      <c r="A812" s="20" t="n"/>
      <c r="B812" s="20" t="n"/>
      <c r="C812" s="20" t="n"/>
      <c r="D812" s="21" t="n"/>
      <c r="E812" s="28">
        <f>_xlfn.TEXTJOIN("-",TRUE,A812,B812,C812)</f>
        <v/>
      </c>
      <c r="F812" s="20" t="n"/>
      <c r="G812" s="23" t="n"/>
      <c r="H812" s="23" t="n"/>
      <c r="I812" s="24" t="n"/>
    </row>
    <row r="813" customFormat="1" s="19">
      <c r="A813" s="20" t="n"/>
      <c r="B813" s="20" t="n"/>
      <c r="C813" s="20" t="n"/>
      <c r="D813" s="21" t="n"/>
      <c r="E813" s="28">
        <f>_xlfn.TEXTJOIN("-",TRUE,A813,B813,C813)</f>
        <v/>
      </c>
      <c r="F813" s="20" t="n"/>
      <c r="G813" s="23" t="n"/>
      <c r="H813" s="23" t="n"/>
      <c r="I813" s="24" t="n"/>
    </row>
    <row r="814" customFormat="1" s="19">
      <c r="A814" s="20" t="n"/>
      <c r="B814" s="20" t="n"/>
      <c r="C814" s="20" t="n"/>
      <c r="D814" s="21" t="n"/>
      <c r="E814" s="28">
        <f>_xlfn.TEXTJOIN("-",TRUE,A814,B814,C814)</f>
        <v/>
      </c>
      <c r="F814" s="20" t="n"/>
      <c r="G814" s="23" t="n"/>
      <c r="H814" s="23" t="n"/>
      <c r="I814" s="24" t="n"/>
    </row>
    <row r="815" customFormat="1" s="19">
      <c r="A815" s="20" t="n"/>
      <c r="B815" s="20" t="n"/>
      <c r="C815" s="20" t="n"/>
      <c r="D815" s="21" t="n"/>
      <c r="E815" s="28">
        <f>_xlfn.TEXTJOIN("-",TRUE,A815,B815,C815)</f>
        <v/>
      </c>
      <c r="F815" s="20" t="n"/>
      <c r="G815" s="23" t="n"/>
      <c r="H815" s="23" t="n"/>
      <c r="I815" s="24" t="n"/>
    </row>
    <row r="816" customFormat="1" s="19">
      <c r="A816" s="20" t="n"/>
      <c r="B816" s="20" t="n"/>
      <c r="C816" s="20" t="n"/>
      <c r="D816" s="21" t="n"/>
      <c r="E816" s="28">
        <f>_xlfn.TEXTJOIN("-",TRUE,A816,B816,C816)</f>
        <v/>
      </c>
      <c r="F816" s="20" t="n"/>
      <c r="G816" s="23" t="n"/>
      <c r="H816" s="23" t="n"/>
      <c r="I816" s="24" t="n"/>
    </row>
    <row r="817" customFormat="1" s="19">
      <c r="A817" s="20" t="n"/>
      <c r="B817" s="20" t="n"/>
      <c r="C817" s="20" t="n"/>
      <c r="D817" s="21" t="n"/>
      <c r="E817" s="28">
        <f>_xlfn.TEXTJOIN("-",TRUE,A817,B817,C817)</f>
        <v/>
      </c>
      <c r="F817" s="20" t="n"/>
      <c r="G817" s="23" t="n"/>
      <c r="H817" s="23" t="n"/>
      <c r="I817" s="24" t="n"/>
    </row>
    <row r="818" customFormat="1" s="19">
      <c r="A818" s="20" t="n"/>
      <c r="B818" s="20" t="n"/>
      <c r="C818" s="20" t="n"/>
      <c r="D818" s="21" t="n"/>
      <c r="E818" s="28">
        <f>_xlfn.TEXTJOIN("-",TRUE,A818,B818,C818)</f>
        <v/>
      </c>
      <c r="F818" s="20" t="n"/>
      <c r="G818" s="23" t="n"/>
      <c r="H818" s="23" t="n"/>
      <c r="I818" s="24" t="n"/>
    </row>
    <row r="819" customFormat="1" s="19">
      <c r="A819" s="20" t="n"/>
      <c r="B819" s="20" t="n"/>
      <c r="C819" s="20" t="n"/>
      <c r="D819" s="21" t="n"/>
      <c r="E819" s="28">
        <f>_xlfn.TEXTJOIN("-",TRUE,A819,B819,C819)</f>
        <v/>
      </c>
      <c r="F819" s="20" t="n"/>
      <c r="G819" s="23" t="n"/>
      <c r="H819" s="23" t="n"/>
      <c r="I819" s="24" t="n"/>
    </row>
    <row r="820" customFormat="1" s="19">
      <c r="A820" s="20" t="n"/>
      <c r="B820" s="20" t="n"/>
      <c r="C820" s="20" t="n"/>
      <c r="D820" s="21" t="n"/>
      <c r="E820" s="28">
        <f>_xlfn.TEXTJOIN("-",TRUE,A820,B820,C820)</f>
        <v/>
      </c>
      <c r="F820" s="20" t="n"/>
      <c r="G820" s="23" t="n"/>
      <c r="H820" s="23" t="n"/>
      <c r="I820" s="24" t="n"/>
    </row>
    <row r="821" customFormat="1" s="19">
      <c r="A821" s="20" t="n"/>
      <c r="B821" s="20" t="n"/>
      <c r="C821" s="20" t="n"/>
      <c r="D821" s="21" t="n"/>
      <c r="E821" s="28">
        <f>_xlfn.TEXTJOIN("-",TRUE,A821,B821,C821)</f>
        <v/>
      </c>
      <c r="F821" s="20" t="n"/>
      <c r="G821" s="23" t="n"/>
      <c r="H821" s="23" t="n"/>
      <c r="I821" s="24" t="n"/>
    </row>
    <row r="822" customFormat="1" s="19">
      <c r="A822" s="20" t="n"/>
      <c r="B822" s="20" t="n"/>
      <c r="C822" s="20" t="n"/>
      <c r="D822" s="21" t="n"/>
      <c r="E822" s="28">
        <f>_xlfn.TEXTJOIN("-",TRUE,A822,B822,C822)</f>
        <v/>
      </c>
      <c r="F822" s="20" t="n"/>
      <c r="G822" s="23" t="n"/>
      <c r="H822" s="23" t="n"/>
      <c r="I822" s="24" t="n"/>
    </row>
    <row r="823" customFormat="1" s="19">
      <c r="A823" s="20" t="n"/>
      <c r="B823" s="20" t="n"/>
      <c r="C823" s="20" t="n"/>
      <c r="D823" s="21" t="n"/>
      <c r="E823" s="28">
        <f>_xlfn.TEXTJOIN("-",TRUE,A823,B823,C823)</f>
        <v/>
      </c>
      <c r="F823" s="20" t="n"/>
      <c r="G823" s="23" t="n"/>
      <c r="H823" s="23" t="n"/>
      <c r="I823" s="24" t="n"/>
    </row>
    <row r="824" customFormat="1" s="19">
      <c r="A824" s="20" t="n"/>
      <c r="B824" s="20" t="n"/>
      <c r="C824" s="20" t="n"/>
      <c r="D824" s="21" t="n"/>
      <c r="E824" s="28">
        <f>_xlfn.TEXTJOIN("-",TRUE,A824,B824,C824)</f>
        <v/>
      </c>
      <c r="F824" s="20" t="n"/>
      <c r="G824" s="23" t="n"/>
      <c r="H824" s="23" t="n"/>
      <c r="I824" s="24" t="n"/>
    </row>
    <row r="825" customFormat="1" s="19">
      <c r="A825" s="20" t="n"/>
      <c r="B825" s="20" t="n"/>
      <c r="C825" s="20" t="n"/>
      <c r="D825" s="21" t="n"/>
      <c r="E825" s="28">
        <f>_xlfn.TEXTJOIN("-",TRUE,A825,B825,C825)</f>
        <v/>
      </c>
      <c r="F825" s="20" t="n"/>
      <c r="G825" s="23" t="n"/>
      <c r="H825" s="23" t="n"/>
      <c r="I825" s="24" t="n"/>
    </row>
    <row r="826" customFormat="1" s="19">
      <c r="A826" s="20" t="n"/>
      <c r="B826" s="20" t="n"/>
      <c r="C826" s="20" t="n"/>
      <c r="D826" s="21" t="n"/>
      <c r="E826" s="28">
        <f>_xlfn.TEXTJOIN("-",TRUE,A826,B826,C826)</f>
        <v/>
      </c>
      <c r="F826" s="20" t="n"/>
      <c r="G826" s="23" t="n"/>
      <c r="H826" s="23" t="n"/>
      <c r="I826" s="24" t="n"/>
    </row>
    <row r="827" customFormat="1" s="19">
      <c r="A827" s="20" t="n"/>
      <c r="B827" s="20" t="n"/>
      <c r="C827" s="20" t="n"/>
      <c r="D827" s="21" t="n"/>
      <c r="E827" s="28">
        <f>_xlfn.TEXTJOIN("-",TRUE,A827,B827,C827)</f>
        <v/>
      </c>
      <c r="F827" s="20" t="n"/>
      <c r="G827" s="23" t="n"/>
      <c r="H827" s="23" t="n"/>
      <c r="I827" s="24" t="n"/>
    </row>
    <row r="828" customFormat="1" s="19">
      <c r="A828" s="20" t="n"/>
      <c r="B828" s="20" t="n"/>
      <c r="C828" s="20" t="n"/>
      <c r="D828" s="21" t="n"/>
      <c r="E828" s="28">
        <f>_xlfn.TEXTJOIN("-",TRUE,A828,B828,C828)</f>
        <v/>
      </c>
      <c r="F828" s="20" t="n"/>
      <c r="G828" s="23" t="n"/>
      <c r="H828" s="23" t="n"/>
      <c r="I828" s="24" t="n"/>
    </row>
    <row r="829" customFormat="1" s="19">
      <c r="A829" s="20" t="n"/>
      <c r="B829" s="20" t="n"/>
      <c r="C829" s="20" t="n"/>
      <c r="D829" s="21" t="n"/>
      <c r="E829" s="28">
        <f>_xlfn.TEXTJOIN("-",TRUE,A829,B829,C829)</f>
        <v/>
      </c>
      <c r="F829" s="20" t="n"/>
      <c r="G829" s="23" t="n"/>
      <c r="H829" s="23" t="n"/>
      <c r="I829" s="24" t="n"/>
    </row>
    <row r="830" customFormat="1" s="19">
      <c r="A830" s="20" t="n"/>
      <c r="B830" s="20" t="n"/>
      <c r="C830" s="20" t="n"/>
      <c r="D830" s="21" t="n"/>
      <c r="E830" s="28">
        <f>_xlfn.TEXTJOIN("-",TRUE,A830,B830,C830)</f>
        <v/>
      </c>
      <c r="F830" s="20" t="n"/>
      <c r="G830" s="23" t="n"/>
      <c r="H830" s="23" t="n"/>
      <c r="I830" s="24" t="n"/>
    </row>
    <row r="831" customFormat="1" s="19">
      <c r="A831" s="20" t="n"/>
      <c r="B831" s="20" t="n"/>
      <c r="C831" s="20" t="n"/>
      <c r="D831" s="21" t="n"/>
      <c r="E831" s="28">
        <f>_xlfn.TEXTJOIN("-",TRUE,A831,B831,C831)</f>
        <v/>
      </c>
      <c r="F831" s="20" t="n"/>
      <c r="G831" s="23" t="n"/>
      <c r="H831" s="23" t="n"/>
      <c r="I831" s="24" t="n"/>
    </row>
    <row r="832" customFormat="1" s="19">
      <c r="A832" s="20" t="n"/>
      <c r="B832" s="20" t="n"/>
      <c r="C832" s="20" t="n"/>
      <c r="D832" s="21" t="n"/>
      <c r="E832" s="28">
        <f>_xlfn.TEXTJOIN("-",TRUE,A832,B832,C832)</f>
        <v/>
      </c>
      <c r="F832" s="20" t="n"/>
      <c r="G832" s="23" t="n"/>
      <c r="H832" s="23" t="n"/>
      <c r="I832" s="24" t="n"/>
    </row>
  </sheetData>
  <autoFilter ref="A2:AC832"/>
  <conditionalFormatting sqref="E374">
    <cfRule type="duplicateValues" priority="1" dxfId="2"/>
  </conditionalFormatting>
  <conditionalFormatting sqref="E1:E373 E375:E65534">
    <cfRule type="duplicateValues" priority="2" dxfId="2"/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 codeName="Sheet4">
    <outlinePr summaryBelow="1" summaryRight="1"/>
    <pageSetUpPr/>
  </sheetPr>
  <dimension ref="A1:L25"/>
  <sheetViews>
    <sheetView topLeftCell="A3" workbookViewId="0">
      <selection activeCell="G188" sqref="G188"/>
    </sheetView>
  </sheetViews>
  <sheetFormatPr baseColWidth="8" defaultColWidth="8.1" defaultRowHeight="17.4"/>
  <cols>
    <col width="20.9583333333333" customWidth="1" style="1" min="1" max="1"/>
    <col width="20.9583333333333" customWidth="1" style="2" min="2" max="3"/>
    <col width="15.425" customWidth="1" style="2" min="4" max="4"/>
    <col width="64.8" customWidth="1" style="2" min="5" max="5"/>
    <col width="1.675" customWidth="1" style="3" min="6" max="6"/>
    <col width="16.8333333333333" customWidth="1" style="2" min="7" max="7"/>
    <col width="15.425" customWidth="1" style="2" min="8" max="8"/>
    <col width="35.7333333333333" customWidth="1" style="2" min="9" max="9"/>
    <col width="1.40833333333333" customWidth="1" style="3" min="10" max="10"/>
    <col width="20.1833333333333" customWidth="1" style="2" min="11" max="11"/>
    <col width="16.5833333333333" customWidth="1" style="2" min="12" max="12"/>
    <col width="8.1" customWidth="1" style="1" min="13" max="16384"/>
  </cols>
  <sheetData>
    <row r="1" ht="20.4" customHeight="1" s="428">
      <c r="A1" s="4" t="inlineStr">
        <is>
          <t>轮胎   BAN</t>
        </is>
      </c>
      <c r="I1" s="4" t="n"/>
      <c r="K1" s="5" t="inlineStr">
        <is>
          <t>内胎  BANDALAM</t>
        </is>
      </c>
      <c r="L1" s="457" t="n"/>
    </row>
    <row r="2" ht="22.2" customHeight="1" s="428">
      <c r="A2" s="6" t="inlineStr">
        <is>
          <t>TBR</t>
        </is>
      </c>
      <c r="E2" s="6" t="n"/>
      <c r="G2" s="6" t="inlineStr">
        <is>
          <t>TBB</t>
        </is>
      </c>
      <c r="I2" s="6" t="n"/>
      <c r="K2" s="7" t="inlineStr">
        <is>
          <t xml:space="preserve">规格 UKURAN </t>
        </is>
      </c>
      <c r="L2" s="7" t="inlineStr">
        <is>
          <t>箱量 JUMLAH</t>
        </is>
      </c>
    </row>
    <row r="3" ht="22.5" customHeight="1" s="428">
      <c r="A3" s="7" t="inlineStr">
        <is>
          <t xml:space="preserve">规格 UKURAN </t>
        </is>
      </c>
      <c r="B3" s="7" t="inlineStr">
        <is>
          <t>尺寸</t>
        </is>
      </c>
      <c r="C3" s="7" t="inlineStr">
        <is>
          <t>销售地</t>
        </is>
      </c>
      <c r="D3" s="7" t="inlineStr">
        <is>
          <t>箱量 JUMLAH</t>
        </is>
      </c>
      <c r="E3" s="7" t="inlineStr">
        <is>
          <t>装箱方式</t>
        </is>
      </c>
      <c r="F3" s="8" t="n"/>
      <c r="G3" s="7" t="inlineStr">
        <is>
          <t xml:space="preserve">规格 UKURAN </t>
        </is>
      </c>
      <c r="H3" s="7" t="inlineStr">
        <is>
          <t>箱量 JUMLAH</t>
        </is>
      </c>
      <c r="I3" s="7" t="inlineStr">
        <is>
          <t>装箱方式</t>
        </is>
      </c>
      <c r="K3" s="7" t="inlineStr">
        <is>
          <t>12.00R24</t>
        </is>
      </c>
      <c r="L3" s="7" t="n"/>
    </row>
    <row r="4" ht="20.4" customHeight="1" s="428">
      <c r="A4" s="9" t="inlineStr">
        <is>
          <t>325/95R24</t>
        </is>
      </c>
      <c r="B4" s="7" t="inlineStr">
        <is>
          <t>24寸</t>
        </is>
      </c>
      <c r="C4" s="7" t="inlineStr">
        <is>
          <t>埃及</t>
        </is>
      </c>
      <c r="D4" s="7" t="n">
        <v>190</v>
      </c>
      <c r="E4" s="10" t="inlineStr">
        <is>
          <t>平装，里面竖放2条，后面竖放8条，或者里面竖放4条，后面竖放6条</t>
        </is>
      </c>
      <c r="F4" s="8" t="n"/>
      <c r="G4" s="11" t="inlineStr">
        <is>
          <t>23.5-25-24</t>
        </is>
      </c>
      <c r="H4" s="12" t="n">
        <v>48</v>
      </c>
      <c r="I4" s="10" t="inlineStr">
        <is>
          <t>平装，每排边上插1条</t>
        </is>
      </c>
      <c r="K4" s="7" t="inlineStr">
        <is>
          <t>12.00R20</t>
        </is>
      </c>
      <c r="L4" s="7" t="n">
        <v>7400</v>
      </c>
    </row>
    <row r="5">
      <c r="A5" s="9" t="inlineStr">
        <is>
          <t>12.00R24</t>
        </is>
      </c>
      <c r="B5" s="7" t="inlineStr">
        <is>
          <t>24寸</t>
        </is>
      </c>
      <c r="C5" s="7" t="inlineStr">
        <is>
          <t>印尼</t>
        </is>
      </c>
      <c r="D5" s="7" t="n">
        <v>186</v>
      </c>
      <c r="E5" s="10" t="inlineStr">
        <is>
          <t>平装，里面竖放2条，后面竖放4条。</t>
        </is>
      </c>
      <c r="F5" s="8" t="n"/>
      <c r="G5" s="9" t="inlineStr">
        <is>
          <t>10.00-20-18</t>
        </is>
      </c>
      <c r="H5" s="7" t="n">
        <v>286</v>
      </c>
      <c r="I5" s="10" t="inlineStr">
        <is>
          <t>平装，每排边上插2条</t>
        </is>
      </c>
      <c r="K5" s="7" t="inlineStr">
        <is>
          <t>10.00R20</t>
        </is>
      </c>
      <c r="L5" s="7" t="n">
        <v>9000</v>
      </c>
    </row>
    <row r="6">
      <c r="A6" s="9" t="inlineStr">
        <is>
          <t>12.00R20</t>
        </is>
      </c>
      <c r="B6" s="7" t="inlineStr">
        <is>
          <t>20寸</t>
        </is>
      </c>
      <c r="C6" s="7" t="inlineStr">
        <is>
          <t>印尼</t>
        </is>
      </c>
      <c r="D6" s="7" t="n">
        <v>242</v>
      </c>
      <c r="E6" s="10" t="inlineStr">
        <is>
          <t>平装，后面竖放8条</t>
        </is>
      </c>
      <c r="F6" s="8" t="n"/>
      <c r="G6" s="9" t="inlineStr">
        <is>
          <t>7.50-16-14</t>
        </is>
      </c>
      <c r="H6" s="7" t="n">
        <v>650</v>
      </c>
      <c r="I6" s="10" t="inlineStr">
        <is>
          <t>交叉装，每排都要封顶</t>
        </is>
      </c>
    </row>
    <row r="7">
      <c r="A7" s="498" t="inlineStr">
        <is>
          <t>11.00R20</t>
        </is>
      </c>
      <c r="B7" s="7" t="inlineStr">
        <is>
          <t>20寸</t>
        </is>
      </c>
      <c r="C7" s="7" t="inlineStr">
        <is>
          <t>印尼</t>
        </is>
      </c>
      <c r="D7" s="483" t="n"/>
      <c r="E7" s="10" t="inlineStr">
        <is>
          <t>平装，里面竖放4条，每排边上插2条，最后竖放2条。</t>
        </is>
      </c>
      <c r="F7" s="8" t="n"/>
      <c r="G7" s="9" t="inlineStr">
        <is>
          <t>7.00-16-12</t>
        </is>
      </c>
      <c r="H7" s="7" t="n">
        <v>780</v>
      </c>
      <c r="I7" s="483" t="n"/>
    </row>
    <row r="8">
      <c r="A8" s="484" t="n"/>
      <c r="B8" s="484" t="n"/>
      <c r="C8" s="484" t="n"/>
      <c r="D8" s="483" t="n"/>
      <c r="E8" s="484" t="n"/>
      <c r="F8" s="8" t="n"/>
      <c r="G8" s="9" t="inlineStr">
        <is>
          <t>7.50-15-12</t>
        </is>
      </c>
      <c r="H8" s="7" t="n">
        <v>750</v>
      </c>
      <c r="I8" s="483" t="n"/>
    </row>
    <row r="9">
      <c r="A9" s="9" t="inlineStr">
        <is>
          <t>10.00R20</t>
        </is>
      </c>
      <c r="B9" s="7" t="inlineStr">
        <is>
          <t>20寸</t>
        </is>
      </c>
      <c r="C9" s="7" t="inlineStr">
        <is>
          <t>印尼</t>
        </is>
      </c>
      <c r="D9" s="484" t="n"/>
      <c r="E9" s="10" t="inlineStr">
        <is>
          <t>平装，每排边上插2条，后面竖放8条（272）或9条（273）</t>
        </is>
      </c>
      <c r="F9" s="8" t="n"/>
      <c r="G9" s="9" t="inlineStr">
        <is>
          <t>ST225/75D15</t>
        </is>
      </c>
      <c r="H9" s="7" t="n">
        <v>1100</v>
      </c>
      <c r="I9" s="483" t="n"/>
    </row>
    <row r="10">
      <c r="A10" s="9" t="inlineStr">
        <is>
          <t>11R22.5</t>
        </is>
      </c>
      <c r="B10" s="7" t="inlineStr">
        <is>
          <t>22.5寸</t>
        </is>
      </c>
      <c r="C10" s="7" t="inlineStr">
        <is>
          <t>美国</t>
        </is>
      </c>
      <c r="D10" s="7" t="n">
        <v>272</v>
      </c>
      <c r="E10" s="484" t="n"/>
      <c r="F10" s="8" t="n"/>
      <c r="G10" s="9" t="inlineStr">
        <is>
          <t>ST205/75D15</t>
        </is>
      </c>
      <c r="H10" s="7" t="n">
        <v>1250</v>
      </c>
      <c r="I10" s="483" t="n"/>
    </row>
    <row r="11">
      <c r="A11" s="9" t="inlineStr">
        <is>
          <t>295/80R22.5</t>
        </is>
      </c>
      <c r="B11" s="7" t="inlineStr">
        <is>
          <t>22.5寸</t>
        </is>
      </c>
      <c r="C11" s="7" t="inlineStr">
        <is>
          <t>美国</t>
        </is>
      </c>
      <c r="D11" s="7" t="n">
        <v>250</v>
      </c>
      <c r="E11" s="10" t="inlineStr">
        <is>
          <t>平装，后面竖放8条</t>
        </is>
      </c>
      <c r="F11" s="8" t="n"/>
      <c r="G11" s="9" t="inlineStr">
        <is>
          <t>ST175/80R13</t>
        </is>
      </c>
      <c r="H11" s="7" t="n">
        <v>1900</v>
      </c>
      <c r="I11" s="483" t="n"/>
    </row>
    <row r="12">
      <c r="A12" s="9" t="inlineStr">
        <is>
          <t>295/75R22.5</t>
        </is>
      </c>
      <c r="B12" s="7" t="inlineStr">
        <is>
          <t>22.5寸</t>
        </is>
      </c>
      <c r="C12" s="7" t="inlineStr">
        <is>
          <t>美国</t>
        </is>
      </c>
      <c r="D12" s="7" t="n">
        <v>272</v>
      </c>
      <c r="E12" s="10" t="inlineStr">
        <is>
          <t>平装，后面竖放10条</t>
        </is>
      </c>
      <c r="F12" s="8" t="n"/>
      <c r="G12" s="9" t="inlineStr">
        <is>
          <t>ST4.80-12-6</t>
        </is>
      </c>
      <c r="H12" s="7" t="n">
        <v>3800</v>
      </c>
      <c r="I12" s="484" t="n"/>
    </row>
    <row r="13">
      <c r="A13" s="9" t="inlineStr">
        <is>
          <t>275/80R22.5</t>
        </is>
      </c>
      <c r="B13" s="7" t="inlineStr">
        <is>
          <t>22.5寸</t>
        </is>
      </c>
      <c r="C13" s="7" t="inlineStr">
        <is>
          <t>美国</t>
        </is>
      </c>
      <c r="D13" s="7" t="n">
        <v>267</v>
      </c>
      <c r="E13" s="10" t="inlineStr">
        <is>
          <t>平装</t>
        </is>
      </c>
      <c r="F13" s="8" t="n"/>
      <c r="G13" s="7" t="n"/>
      <c r="H13" s="7" t="n"/>
      <c r="I13" s="7" t="n"/>
    </row>
    <row r="14">
      <c r="A14" s="9" t="inlineStr">
        <is>
          <t>7.50R16</t>
        </is>
      </c>
      <c r="B14" s="7" t="inlineStr">
        <is>
          <t>16寸</t>
        </is>
      </c>
      <c r="C14" s="7" t="inlineStr">
        <is>
          <t>印尼</t>
        </is>
      </c>
      <c r="D14" s="7" t="n">
        <v>630</v>
      </c>
      <c r="E14" s="10" t="inlineStr">
        <is>
          <t>交叉装，每排都要封顶</t>
        </is>
      </c>
      <c r="F14" s="8" t="n"/>
      <c r="G14" s="7" t="n"/>
      <c r="H14" s="7" t="n"/>
      <c r="I14" s="7" t="n"/>
    </row>
    <row r="15" ht="20.4" customHeight="1" s="428">
      <c r="A15" s="9" t="inlineStr">
        <is>
          <t>215/75R17.5</t>
        </is>
      </c>
      <c r="B15" s="7" t="inlineStr">
        <is>
          <t>17.5寸</t>
        </is>
      </c>
      <c r="C15" s="7" t="inlineStr">
        <is>
          <t>美国</t>
        </is>
      </c>
      <c r="D15" s="7" t="n">
        <v>640</v>
      </c>
      <c r="E15" s="483" t="n"/>
      <c r="F15" s="18" t="n"/>
      <c r="G15" s="7" t="n"/>
      <c r="H15" s="7" t="n"/>
      <c r="I15" s="7" t="n"/>
    </row>
    <row r="16" ht="20.4" customHeight="1" s="428">
      <c r="A16" s="9" t="inlineStr">
        <is>
          <t>235/75R17.5</t>
        </is>
      </c>
      <c r="B16" s="484" t="n"/>
      <c r="C16" s="484" t="n"/>
      <c r="D16" s="484" t="n"/>
      <c r="E16" s="483" t="n"/>
      <c r="F16" s="8" t="n"/>
      <c r="G16" s="12" t="n"/>
      <c r="H16" s="12" t="n"/>
      <c r="I16" s="12" t="n"/>
    </row>
    <row r="17">
      <c r="A17" s="9" t="inlineStr">
        <is>
          <t>225/70R19.5</t>
        </is>
      </c>
      <c r="B17" s="7" t="inlineStr">
        <is>
          <t>19.5寸</t>
        </is>
      </c>
      <c r="C17" s="7" t="inlineStr">
        <is>
          <t>美国</t>
        </is>
      </c>
      <c r="D17" s="7" t="n">
        <v>600</v>
      </c>
      <c r="E17" s="484" t="n"/>
      <c r="F17" s="8" t="n"/>
      <c r="G17" s="7" t="n"/>
      <c r="H17" s="7" t="n"/>
      <c r="I17" s="7" t="n"/>
    </row>
    <row r="20">
      <c r="B20" s="0" t="n"/>
    </row>
    <row r="21">
      <c r="B21" s="0" t="n"/>
    </row>
    <row r="22">
      <c r="B22" s="0" t="n"/>
    </row>
    <row r="23">
      <c r="B23" s="0" t="n"/>
    </row>
    <row r="24">
      <c r="B24" s="0" t="n"/>
    </row>
    <row r="25">
      <c r="B25" s="0" t="n"/>
    </row>
  </sheetData>
  <mergeCells count="15">
    <mergeCell ref="D15:D16"/>
    <mergeCell ref="E9:E10"/>
    <mergeCell ref="E14:E17"/>
    <mergeCell ref="G2:H2"/>
    <mergeCell ref="K1:L1"/>
    <mergeCell ref="C7:C8"/>
    <mergeCell ref="A7:A8"/>
    <mergeCell ref="B7:B8"/>
    <mergeCell ref="C15:C16"/>
    <mergeCell ref="D6:D9"/>
    <mergeCell ref="E7:E8"/>
    <mergeCell ref="A2:D2"/>
    <mergeCell ref="A1:H1"/>
    <mergeCell ref="I6:I12"/>
    <mergeCell ref="B15:B1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DingTalk</dc:creator>
  <dcterms:created xmlns:dcterms="http://purl.org/dc/terms/" xmlns:xsi="http://www.w3.org/2001/XMLSchema-instance" xsi:type="dcterms:W3CDTF">2025-03-30T23:42:00Z</dcterms:created>
  <dcterms:modified xmlns:dcterms="http://purl.org/dc/terms/" xmlns:xsi="http://www.w3.org/2001/XMLSchema-instance" xsi:type="dcterms:W3CDTF">2026-08-03T01:42:37Z</dcterms:modified>
  <cp:lastModifiedBy>姜朝晖</cp:lastModifiedBy>
</cp:coreProperties>
</file>

<file path=docProps/custom.xml><?xml version="1.0" encoding="utf-8"?>
<Properties xmlns="http://schemas.openxmlformats.org/officeDocument/2006/custom-properties">
  <property name="CRO" fmtid="{D5CDD505-2E9C-101B-9397-08002B2CF9AE}" pid="2">
    <vt:lpwstr xmlns:vt="http://schemas.openxmlformats.org/officeDocument/2006/docPropsVTypes">wqlLaW5nc29mdCBQREYgdG8gV1BTIDExMA</vt:lpwstr>
  </property>
  <property name="Created" fmtid="{D5CDD505-2E9C-101B-9397-08002B2CF9AE}" pid="3">
    <vt:filetime xmlns:vt="http://schemas.openxmlformats.org/officeDocument/2006/docPropsVTypes">2025-03-31T00:59:43Z</vt:filetime>
  </property>
  <property name="KSOProductBuildVer" fmtid="{D5CDD505-2E9C-101B-9397-08002B2CF9AE}" pid="4">
    <vt:lpwstr xmlns:vt="http://schemas.openxmlformats.org/officeDocument/2006/docPropsVTypes">2052-12.1.0.26375</vt:lpwstr>
  </property>
  <property name="ICV" fmtid="{D5CDD505-2E9C-101B-9397-08002B2CF9AE}" pid="5">
    <vt:lpwstr xmlns:vt="http://schemas.openxmlformats.org/officeDocument/2006/docPropsVTypes">6A6629BAB7E54E9F86DAFF4B138E77EA_13</vt:lpwstr>
  </property>
  <property name="KSOReadingLayout" fmtid="{D5CDD505-2E9C-101B-9397-08002B2CF9AE}" pid="6">
    <vt:bool xmlns:vt="http://schemas.openxmlformats.org/officeDocument/2006/docPropsVTypes">1</vt:bool>
  </property>
  <property name="CalculationRule" fmtid="{D5CDD505-2E9C-101B-9397-08002B2CF9AE}" pid="7">
    <vt:i4 xmlns:vt="http://schemas.openxmlformats.org/officeDocument/2006/docPropsVTypes">0</vt:i4>
  </property>
</Properties>
</file>