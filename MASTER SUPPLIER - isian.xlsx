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<sst xmlns="http://schemas.openxmlformats.org/spreadsheetml/2006/main" count="103" uniqueCount="83">
  <si>
    <t xml:space="preserve">MASTER SUPPLIER — MTI Purchasing Portal</t>
  </si>
  <si>
    <t xml:space="preserve">Nama Supplier</t>
  </si>
  <si>
    <t xml:space="preserve">Alamat</t>
  </si>
  <si>
    <t xml:space="preserve">Kontak (PIC)</t>
  </si>
  <si>
    <t xml:space="preserve">Telepon / Email</t>
  </si>
  <si>
    <t xml:space="preserve">Bank</t>
  </si>
  <si>
    <t xml:space="preserve">No. Rekening</t>
  </si>
  <si>
    <t xml:space="preserve">Alamat Bank</t>
  </si>
  <si>
    <t xml:space="preserve">Import?</t>
  </si>
  <si>
    <t xml:space="preserve">PKP?</t>
  </si>
  <si>
    <t xml:space="preserve">Default TOP</t>
  </si>
  <si>
    <t xml:space="preserve">Lengkap?</t>
  </si>
  <si>
    <t xml:space="preserve">PT CONTOH KARYA ABADI</t>
  </si>
  <si>
    <t xml:space="preserve">Jl. Industri Raya No. 8, Kawasan MM2100, Cikarang, Bekasi</t>
  </si>
  <si>
    <t xml:space="preserve">Bpk. Andi</t>
  </si>
  <si>
    <t xml:space="preserve">021-8990111 / andi@contoh.co.id</t>
  </si>
  <si>
    <t xml:space="preserve">BCA</t>
  </si>
  <si>
    <t xml:space="preserve">0181234567</t>
  </si>
  <si>
    <t xml:space="preserve">KCP Cikarang, Jl. Raya Cikarang No. 1</t>
  </si>
  <si>
    <t xml:space="preserve">TIDAK</t>
  </si>
  <si>
    <t xml:space="preserve">YA</t>
  </si>
  <si>
    <t xml:space="preserve">30 hari</t>
  </si>
  <si>
    <t xml:space="preserve">&lt;- BARIS CONTOH, hapus sebelum dipakai</t>
  </si>
  <si>
    <t xml:space="preserve">VAN NANG ST CO., LTD.</t>
  </si>
  <si>
    <t xml:space="preserve">GROUP 4, MINH LONG 3 QUARTER, MINH HUNG WARD, DONG NAI CITY, VIETNAM</t>
  </si>
  <si>
    <t xml:space="preserve">HOA HIEP HUNG RUBBER JOINT STOCK COMPANY</t>
  </si>
  <si>
    <t xml:space="preserve">GROUP 3, HOA DONG B HAMLET, PHUOC VINH VILLAGE, TAY NINH PROVINCE,VIETNAM</t>
  </si>
  <si>
    <t xml:space="preserve">ZHONGCE RUBBER (TIANJIN) CO.,LTD</t>
  </si>
  <si>
    <t xml:space="preserve">NO.347 HANJIANG ROAD, LINGANG ECONOMIC ZONE, BINHAI NEW DISTRICT, TIANJIN</t>
  </si>
  <si>
    <t xml:space="preserve">YIXING RONGMAO CHEMICAL CO.,LTD</t>
  </si>
  <si>
    <t xml:space="preserve">NO.336 XINGFU WEST ROAD, GUANLIN NEW MATERIALS INDUSTRIAL PARK, YIXING CITY,</t>
  </si>
  <si>
    <t xml:space="preserve">ECOPOWER (YONGXIU) NEW MATERIALS CO., LIMITED</t>
  </si>
  <si>
    <t xml:space="preserve">XINGHUO INDUSTRIAL PARK YUNSHAN ECONOMIC DEVELOPMENT ZONE, YONGXIU</t>
  </si>
  <si>
    <t xml:space="preserve">EXXONMOBIL CHEMICAL ASIA PACIFIC (A DIVISION OF EXXONMOBIL ASIA PACIFIC PTE.</t>
  </si>
  <si>
    <t xml:space="preserve">1 HARBOURFRONT PLACE, 06-00 HARBOURFRONT TOWER ONE SINGAPORE 098633</t>
  </si>
  <si>
    <t xml:space="preserve">90 hari</t>
  </si>
  <si>
    <t xml:space="preserve">BEKAERT BINJIANG STEEL CORD CO.,LTD</t>
  </si>
  <si>
    <t xml:space="preserve">358 BINJIANG EAST ROAD JIANGYIN, JIANGSU, 214434 CHINA</t>
  </si>
  <si>
    <t xml:space="preserve">SHANDONG SUNSINE CHEMICAL CO., LTD.</t>
  </si>
  <si>
    <t xml:space="preserve">ECONOMY TECHNICAL DEVELOPMENT AREA, SHANXIAN CITY, SHANDONG PROVINCE,</t>
  </si>
  <si>
    <t xml:space="preserve">Britz Networks Sdn. Bhd</t>
  </si>
  <si>
    <t xml:space="preserve">15B, Jalan Melaka Raya 13, Taman Melaka Raya, 75000 Melaka, Malaysia.</t>
  </si>
  <si>
    <t xml:space="preserve">WUXI ZHENXING CHEMISTRY CO.,LTD</t>
  </si>
  <si>
    <t xml:space="preserve">DONGGANG DONGSHENG VILLAGE IN XISHAN DISTRICT OF JIANGSU CITY OF WUXI</t>
  </si>
  <si>
    <t xml:space="preserve">HANGZHOU ZHONGCE QINGQUAN INDUSTRIAL CO.,LTD.</t>
  </si>
  <si>
    <t xml:space="preserve">NO.98, SHUANGQING ROAD, XINDENG, FUYANG, HANGZHOU, CHINA</t>
  </si>
  <si>
    <t xml:space="preserve">LI TAI RUBBER (THAILAND) CO., LTD.</t>
  </si>
  <si>
    <t xml:space="preserve">59/8 MOO 8 TAMBON BANGKAJAO. MUANGSAMUT SAKHON SAMUTSAKORN 74000</t>
  </si>
  <si>
    <t xml:space="preserve">FLEXSYS MALAYSIA SDN. BHD.</t>
  </si>
  <si>
    <t xml:space="preserve">LOT 120 / 120A, JALAN GEBENG 2/3 KAWASAN PERINDUSTRIAN GEBENG FASA 2 26080</t>
  </si>
  <si>
    <t xml:space="preserve">JIANGXI JIANBOSHI RUBBER CHEMICALS CO., LTD.</t>
  </si>
  <si>
    <t xml:space="preserve">YANSHAN INDUSTRIAL PARK, SHANGRAO, JIANGXI CHINA</t>
  </si>
  <si>
    <t xml:space="preserve">ZHONGCE RUBBER GROUP CO.,LTD</t>
  </si>
  <si>
    <t xml:space="preserve">No.1, #1 Street Qiantang Area, Hangzhou City, Zhejiang Province 310018, China.</t>
  </si>
  <si>
    <t xml:space="preserve">NIPPON SEIRO (THAILAND) CO., LTD.</t>
  </si>
  <si>
    <t xml:space="preserve">NO.700/15 MOO 7 TAMBON KHAOKHANSONG AMPHUR SRIRACHA CHONBURI 20110</t>
  </si>
  <si>
    <t xml:space="preserve">Sudah lengkap:</t>
  </si>
  <si>
    <t xml:space="preserve">CARA PAKAI</t>
  </si>
  <si>
    <t xml:space="preserve">Kolom BIRU MUDA</t>
  </si>
  <si>
    <t xml:space="preserve">Sudah terisi. Diambil dari dokumen SPPB di bundel PPKEK Anda sendiri — nama dan alamat persis seperti yang tercetak. Periksa, jangan diketik ulang.</t>
  </si>
  <si>
    <t xml:space="preserve">Kolom KUNING</t>
  </si>
  <si>
    <t xml:space="preserve">Ini yang perlu Anda isi. Portal tidak bisa menebaknya dari dokumen mana pun.</t>
  </si>
  <si>
    <t xml:space="preserve">Baris abu-abu</t>
  </si>
  <si>
    <t xml:space="preserve">Contoh supplier lokal. HAPUS baris itu sebelum mulai memakai file ini.</t>
  </si>
  <si>
    <t xml:space="preserve">Kolom Lengkap?</t>
  </si>
  <si>
    <t xml:space="preserve">Rumus otomatis. Berubah jadi OK kalau nama, alamat, bank, rekening, TOP sudah terisi (dan PKP terisi untuk supplier lokal).</t>
  </si>
  <si>
    <t xml:space="preserve">IMPORT vs PKP</t>
  </si>
  <si>
    <t xml:space="preserve">PKP itu status pajak INDONESIA. Supplier di Hangzhou atau Ho Chi Minh tidak bisa PKP, dan juga tidak tepat disebut "Non-PKP" — pertanyaannya memang tidak berlaku untuk mereka.</t>
  </si>
  <si>
    <t xml:space="preserve">Karena itu: isi Import = YA, lalu KOSONGKAN kolom PKP. Di portal, tombol Import mematikan pertanyaan PKP, bukan menjawabnya.</t>
  </si>
  <si>
    <t xml:space="preserve">Supplier import tidak pernah menerbitkan faktur pajak. PPN-nya dibayar di bea cukai dan buktinya dokumen PPKEK/PIB. Portal tidak akan lagi menagih faktur pajak untuk mereka.</t>
  </si>
  <si>
    <t xml:space="preserve">REKENING BANK</t>
  </si>
  <si>
    <t xml:space="preserve">Ambil nomor rekening dari kontrak atau invoice ASLI, bukan dari email atau chat. Penipuan pembelian yang paling umum adalah email yang mengaku "rekening kami berubah".</t>
  </si>
  <si>
    <t xml:space="preserve">Setiap rekening yang dimasukkan atau diubah masuk ANTRIAN REVIEW dulu dan belum aktif sampai disetujui. Itu memang disengaja — jangan cari cara memotongnya.</t>
  </si>
  <si>
    <t xml:space="preserve">DEFAULT TOP</t>
  </si>
  <si>
    <t xml:space="preserve">Termin pembayaran default. Ini yang dipakai portal buat menghitung tanggal jatuh tempo invoice, jadi salah di sini menggeser seluruh laporan jatuh tempo.</t>
  </si>
  <si>
    <t xml:space="preserve">Beberapa baris sudah terisi dari invoice supplier itu sendiri (mis. "PAYMENT TERMS: T/T 90 DAYS AFTER INVOICE DATE" → 90 hari). Tetap dicek.</t>
  </si>
  <si>
    <t xml:space="preserve">"Bayar di muka" = 0 hari, dibayar sebelum barang jalan.</t>
  </si>
  <si>
    <t xml:space="preserve">CARA MEMASUKKAN</t>
  </si>
  <si>
    <t xml:space="preserve">Buka portal → Master Data → tab Supplier → Add Supplier, lalu salin per kolom. Belum ada import massal untuk supplier; rekening bank sengaja lewat satu pintu yang diawasi.</t>
  </si>
  <si>
    <t xml:space="preserve">ASUMSI</t>
  </si>
  <si>
    <t xml:space="preserve">Semua 16 baris ditandai Import = YA karena alamatnya di luar Indonesia (Cina, Vietnam, Thailand, Malaysia, Singapura, Hong Kong). Kalau ada yang sebenarnya entitas lokal, ubah sendiri.</t>
  </si>
  <si>
    <t xml:space="preserve">SUMBER</t>
  </si>
  <si>
    <t xml:space="preserve">Nama dan alamat: blok "2. PENGIRIM BARANG" pada SPPB di 17 bundel PPKEK yang Anda kirim 31 Jul 2026. TOP: baris PAYMENT TERMS pada invoice supplier di bundel yang sama.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</si>
</sst>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F6368"/>
      <name val="Arial"/>
      <family val="0"/>
      <charset val="1"/>
    </font>
    <font>
      <b val="true"/>
      <sz val="9"/>
      <color rgb="FFC5221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02124"/>
      <name val="Arial"/>
      <family val="0"/>
      <charset val="1"/>
    </font>
    <font>
      <sz val="10"/>
      <color rgb="FF202124"/>
      <name val="Arial"/>
      <family val="0"/>
      <charset val="1"/>
    </font>
    <font>
      <b val="true"/>
      <sz val="10"/>
      <color rgb="FFC5221F"/>
      <name val="Arial"/>
      <family val="0"/>
      <charset val="1"/>
    </font>
    <font>
      <sz val="10"/>
      <color rgb="FFC5221F"/>
      <name val="Arial"/>
      <family val="0"/>
      <charset val="1"/>
    </font>
    <font>
      <b val="true"/>
      <sz val="9"/>
      <color rgb="FF5F6368"/>
      <name val="Arial"/>
      <family val="0"/>
      <charset val="1"/>
    </font>
    <font>
      <sz val="9"/>
      <color rgb="FF5F636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1F3F4"/>
        <bgColor rgb="FFE8F0FE"/>
      </patternFill>
    </fill>
    <fill>
      <patternFill patternType="solid">
        <fgColor rgb="FFE8F0FE"/>
        <bgColor rgb="FFF1F3F4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9C4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368"/>
      <rgbColor rgb="FF969696"/>
      <rgbColor rgb="FF1F3A5F"/>
      <rgbColor rgb="FF339966"/>
      <rgbColor rgb="FF003300"/>
      <rgbColor rgb="FF333300"/>
      <rgbColor rgb="FFC5221F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9" min="8" style="0" width="10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22.3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4" t="str">
        <f aca="false">IF(AND(A3&lt;&gt;"",B3&lt;&gt;"",E3&lt;&gt;"",F3&lt;&gt;"",J3&lt;&gt;"",OR(H3="YA",I3&lt;&gt;"")),"OK","belum")</f>
        <v>OK</v>
      </c>
      <c r="L3" s="5" t="s">
        <v>22</v>
      </c>
    </row>
    <row r="4" customFormat="false" ht="30" hidden="false" customHeight="true" outlineLevel="0" collapsed="false">
      <c r="A4" s="6" t="s">
        <v>23</v>
      </c>
      <c r="B4" s="6" t="s">
        <v>24</v>
      </c>
      <c r="C4" s="7"/>
      <c r="D4" s="7"/>
      <c r="E4" s="7"/>
      <c r="F4" s="7"/>
      <c r="G4" s="8"/>
      <c r="H4" s="9" t="s">
        <v>20</v>
      </c>
      <c r="I4" s="7"/>
      <c r="J4" s="7"/>
      <c r="K4" s="10" t="str">
        <f aca="false">IF(AND(A4&lt;&gt;"",B4&lt;&gt;"",E4&lt;&gt;"",F4&lt;&gt;"",J4&lt;&gt;"",OR(H4="YA",I4&lt;&gt;"")),"OK","belum")</f>
        <v>belum</v>
      </c>
    </row>
    <row r="5" customFormat="false" ht="30" hidden="false" customHeight="true" outlineLevel="0" collapsed="false">
      <c r="A5" s="6" t="s">
        <v>25</v>
      </c>
      <c r="B5" s="6" t="s">
        <v>26</v>
      </c>
      <c r="C5" s="7"/>
      <c r="D5" s="7"/>
      <c r="E5" s="7"/>
      <c r="F5" s="7"/>
      <c r="G5" s="8"/>
      <c r="H5" s="9" t="s">
        <v>20</v>
      </c>
      <c r="I5" s="7"/>
      <c r="J5" s="7"/>
      <c r="K5" s="10" t="str">
        <f aca="false">IF(AND(A5&lt;&gt;"",B5&lt;&gt;"",E5&lt;&gt;"",F5&lt;&gt;"",J5&lt;&gt;"",OR(H5="YA",I5&lt;&gt;"")),"OK","belum")</f>
        <v>belum</v>
      </c>
    </row>
    <row r="6" customFormat="false" ht="30" hidden="false" customHeight="true" outlineLevel="0" collapsed="false">
      <c r="A6" s="6" t="s">
        <v>27</v>
      </c>
      <c r="B6" s="6" t="s">
        <v>28</v>
      </c>
      <c r="C6" s="7"/>
      <c r="D6" s="7"/>
      <c r="E6" s="7"/>
      <c r="F6" s="7"/>
      <c r="G6" s="8"/>
      <c r="H6" s="9" t="s">
        <v>20</v>
      </c>
      <c r="I6" s="7"/>
      <c r="J6" s="7"/>
      <c r="K6" s="10" t="str">
        <f aca="false">IF(AND(A6&lt;&gt;"",B6&lt;&gt;"",E6&lt;&gt;"",F6&lt;&gt;"",J6&lt;&gt;"",OR(H6="YA",I6&lt;&gt;"")),"OK","belum")</f>
        <v>belum</v>
      </c>
    </row>
    <row r="7" customFormat="false" ht="30" hidden="false" customHeight="true" outlineLevel="0" collapsed="false">
      <c r="A7" s="6" t="s">
        <v>29</v>
      </c>
      <c r="B7" s="6" t="s">
        <v>30</v>
      </c>
      <c r="C7" s="7"/>
      <c r="D7" s="7"/>
      <c r="E7" s="7"/>
      <c r="F7" s="7"/>
      <c r="G7" s="8"/>
      <c r="H7" s="9" t="s">
        <v>20</v>
      </c>
      <c r="I7" s="7"/>
      <c r="J7" s="7"/>
      <c r="K7" s="10" t="str">
        <f aca="false">IF(AND(A7&lt;&gt;"",B7&lt;&gt;"",E7&lt;&gt;"",F7&lt;&gt;"",J7&lt;&gt;"",OR(H7="YA",I7&lt;&gt;"")),"OK","belum")</f>
        <v>belum</v>
      </c>
    </row>
    <row r="8" customFormat="false" ht="30" hidden="false" customHeight="true" outlineLevel="0" collapsed="false">
      <c r="A8" s="6" t="s">
        <v>31</v>
      </c>
      <c r="B8" s="6" t="s">
        <v>32</v>
      </c>
      <c r="C8" s="7"/>
      <c r="D8" s="7"/>
      <c r="E8" s="7"/>
      <c r="F8" s="7"/>
      <c r="G8" s="8"/>
      <c r="H8" s="9" t="s">
        <v>20</v>
      </c>
      <c r="I8" s="7"/>
      <c r="J8" s="7"/>
      <c r="K8" s="10" t="str">
        <f aca="false">IF(AND(A8&lt;&gt;"",B8&lt;&gt;"",E8&lt;&gt;"",F8&lt;&gt;"",J8&lt;&gt;"",OR(H8="YA",I8&lt;&gt;"")),"OK","belum")</f>
        <v>belum</v>
      </c>
    </row>
    <row r="9" customFormat="false" ht="30" hidden="false" customHeight="true" outlineLevel="0" collapsed="false">
      <c r="A9" s="6" t="s">
        <v>33</v>
      </c>
      <c r="B9" s="6" t="s">
        <v>34</v>
      </c>
      <c r="C9" s="7"/>
      <c r="D9" s="7"/>
      <c r="E9" s="7"/>
      <c r="F9" s="7"/>
      <c r="G9" s="8"/>
      <c r="H9" s="9" t="s">
        <v>20</v>
      </c>
      <c r="I9" s="7"/>
      <c r="J9" s="7" t="s">
        <v>35</v>
      </c>
      <c r="K9" s="10" t="str">
        <f aca="false">IF(AND(A9&lt;&gt;"",B9&lt;&gt;"",E9&lt;&gt;"",F9&lt;&gt;"",J9&lt;&gt;"",OR(H9="YA",I9&lt;&gt;"")),"OK","belum")</f>
        <v>belum</v>
      </c>
    </row>
    <row r="10" customFormat="false" ht="30" hidden="false" customHeight="true" outlineLevel="0" collapsed="false">
      <c r="A10" s="6" t="s">
        <v>36</v>
      </c>
      <c r="B10" s="6" t="s">
        <v>37</v>
      </c>
      <c r="C10" s="7"/>
      <c r="D10" s="7"/>
      <c r="E10" s="7"/>
      <c r="F10" s="7"/>
      <c r="G10" s="8"/>
      <c r="H10" s="9" t="s">
        <v>20</v>
      </c>
      <c r="I10" s="7"/>
      <c r="J10" s="7" t="s">
        <v>35</v>
      </c>
      <c r="K10" s="10" t="str">
        <f aca="false">IF(AND(A10&lt;&gt;"",B10&lt;&gt;"",E10&lt;&gt;"",F10&lt;&gt;"",J10&lt;&gt;"",OR(H10="YA",I10&lt;&gt;"")),"OK","belum")</f>
        <v>belum</v>
      </c>
    </row>
    <row r="11" customFormat="false" ht="30" hidden="false" customHeight="true" outlineLevel="0" collapsed="false">
      <c r="A11" s="6" t="s">
        <v>38</v>
      </c>
      <c r="B11" s="6" t="s">
        <v>39</v>
      </c>
      <c r="C11" s="7"/>
      <c r="D11" s="7"/>
      <c r="E11" s="7"/>
      <c r="F11" s="7"/>
      <c r="G11" s="8"/>
      <c r="H11" s="9" t="s">
        <v>20</v>
      </c>
      <c r="I11" s="7"/>
      <c r="J11" s="7"/>
      <c r="K11" s="10" t="str">
        <f aca="false">IF(AND(A11&lt;&gt;"",B11&lt;&gt;"",E11&lt;&gt;"",F11&lt;&gt;"",J11&lt;&gt;"",OR(H11="YA",I11&lt;&gt;"")),"OK","belum")</f>
        <v>belum</v>
      </c>
    </row>
    <row r="12" customFormat="false" ht="30" hidden="false" customHeight="true" outlineLevel="0" collapsed="false">
      <c r="A12" s="6" t="s">
        <v>40</v>
      </c>
      <c r="B12" s="6" t="s">
        <v>41</v>
      </c>
      <c r="C12" s="7"/>
      <c r="D12" s="7"/>
      <c r="E12" s="7"/>
      <c r="F12" s="7"/>
      <c r="G12" s="8"/>
      <c r="H12" s="9" t="s">
        <v>20</v>
      </c>
      <c r="I12" s="7"/>
      <c r="J12" s="7" t="s">
        <v>21</v>
      </c>
      <c r="K12" s="10" t="str">
        <f aca="false">IF(AND(A12&lt;&gt;"",B12&lt;&gt;"",E12&lt;&gt;"",F12&lt;&gt;"",J12&lt;&gt;"",OR(H12="YA",I12&lt;&gt;"")),"OK","belum")</f>
        <v>belum</v>
      </c>
    </row>
    <row r="13" customFormat="false" ht="30" hidden="false" customHeight="true" outlineLevel="0" collapsed="false">
      <c r="A13" s="6" t="s">
        <v>42</v>
      </c>
      <c r="B13" s="6" t="s">
        <v>43</v>
      </c>
      <c r="C13" s="7"/>
      <c r="D13" s="7"/>
      <c r="E13" s="7"/>
      <c r="F13" s="7"/>
      <c r="G13" s="8"/>
      <c r="H13" s="9" t="s">
        <v>20</v>
      </c>
      <c r="I13" s="7"/>
      <c r="J13" s="7"/>
      <c r="K13" s="10" t="str">
        <f aca="false">IF(AND(A13&lt;&gt;"",B13&lt;&gt;"",E13&lt;&gt;"",F13&lt;&gt;"",J13&lt;&gt;"",OR(H13="YA",I13&lt;&gt;"")),"OK","belum")</f>
        <v>belum</v>
      </c>
    </row>
    <row r="14" customFormat="false" ht="30" hidden="false" customHeight="true" outlineLevel="0" collapsed="false">
      <c r="A14" s="6" t="s">
        <v>44</v>
      </c>
      <c r="B14" s="6" t="s">
        <v>45</v>
      </c>
      <c r="C14" s="7"/>
      <c r="D14" s="7"/>
      <c r="E14" s="7"/>
      <c r="F14" s="7"/>
      <c r="G14" s="8"/>
      <c r="H14" s="9" t="s">
        <v>20</v>
      </c>
      <c r="I14" s="7"/>
      <c r="J14" s="7"/>
      <c r="K14" s="10" t="str">
        <f aca="false">IF(AND(A14&lt;&gt;"",B14&lt;&gt;"",E14&lt;&gt;"",F14&lt;&gt;"",J14&lt;&gt;"",OR(H14="YA",I14&lt;&gt;"")),"OK","belum")</f>
        <v>belum</v>
      </c>
    </row>
    <row r="15" customFormat="false" ht="30" hidden="false" customHeight="true" outlineLevel="0" collapsed="false">
      <c r="A15" s="6" t="s">
        <v>46</v>
      </c>
      <c r="B15" s="6" t="s">
        <v>47</v>
      </c>
      <c r="C15" s="7"/>
      <c r="D15" s="7"/>
      <c r="E15" s="7"/>
      <c r="F15" s="7"/>
      <c r="G15" s="8"/>
      <c r="H15" s="9" t="s">
        <v>20</v>
      </c>
      <c r="I15" s="7"/>
      <c r="J15" s="7"/>
      <c r="K15" s="10" t="str">
        <f aca="false">IF(AND(A15&lt;&gt;"",B15&lt;&gt;"",E15&lt;&gt;"",F15&lt;&gt;"",J15&lt;&gt;"",OR(H15="YA",I15&lt;&gt;"")),"OK","belum")</f>
        <v>belum</v>
      </c>
    </row>
    <row r="16" customFormat="false" ht="30" hidden="false" customHeight="true" outlineLevel="0" collapsed="false">
      <c r="A16" s="6" t="s">
        <v>48</v>
      </c>
      <c r="B16" s="6" t="s">
        <v>49</v>
      </c>
      <c r="C16" s="7"/>
      <c r="D16" s="7"/>
      <c r="E16" s="7"/>
      <c r="F16" s="7"/>
      <c r="G16" s="8"/>
      <c r="H16" s="9" t="s">
        <v>20</v>
      </c>
      <c r="I16" s="7"/>
      <c r="J16" s="7" t="s">
        <v>35</v>
      </c>
      <c r="K16" s="10" t="str">
        <f aca="false">IF(AND(A16&lt;&gt;"",B16&lt;&gt;"",E16&lt;&gt;"",F16&lt;&gt;"",J16&lt;&gt;"",OR(H16="YA",I16&lt;&gt;"")),"OK","belum")</f>
        <v>belum</v>
      </c>
    </row>
    <row r="17" customFormat="false" ht="30" hidden="false" customHeight="true" outlineLevel="0" collapsed="false">
      <c r="A17" s="6" t="s">
        <v>50</v>
      </c>
      <c r="B17" s="6" t="s">
        <v>51</v>
      </c>
      <c r="C17" s="7"/>
      <c r="D17" s="7"/>
      <c r="E17" s="7"/>
      <c r="F17" s="7"/>
      <c r="G17" s="8"/>
      <c r="H17" s="9" t="s">
        <v>20</v>
      </c>
      <c r="I17" s="7"/>
      <c r="J17" s="7" t="s">
        <v>35</v>
      </c>
      <c r="K17" s="10" t="str">
        <f aca="false">IF(AND(A17&lt;&gt;"",B17&lt;&gt;"",E17&lt;&gt;"",F17&lt;&gt;"",J17&lt;&gt;"",OR(H17="YA",I17&lt;&gt;"")),"OK","belum")</f>
        <v>belum</v>
      </c>
    </row>
    <row r="18" customFormat="false" ht="30" hidden="false" customHeight="true" outlineLevel="0" collapsed="false">
      <c r="A18" s="6" t="s">
        <v>52</v>
      </c>
      <c r="B18" s="6" t="s">
        <v>53</v>
      </c>
      <c r="C18" s="7"/>
      <c r="D18" s="7"/>
      <c r="E18" s="7"/>
      <c r="F18" s="7"/>
      <c r="G18" s="8"/>
      <c r="H18" s="9" t="s">
        <v>20</v>
      </c>
      <c r="I18" s="7"/>
      <c r="J18" s="7"/>
      <c r="K18" s="10" t="str">
        <f aca="false">IF(AND(A18&lt;&gt;"",B18&lt;&gt;"",E18&lt;&gt;"",F18&lt;&gt;"",J18&lt;&gt;"",OR(H18="YA",I18&lt;&gt;"")),"OK","belum")</f>
        <v>belum</v>
      </c>
    </row>
    <row r="19" customFormat="false" ht="30" hidden="false" customHeight="true" outlineLevel="0" collapsed="false">
      <c r="A19" s="6" t="s">
        <v>54</v>
      </c>
      <c r="B19" s="6" t="s">
        <v>55</v>
      </c>
      <c r="C19" s="7"/>
      <c r="D19" s="7"/>
      <c r="E19" s="7"/>
      <c r="F19" s="7"/>
      <c r="G19" s="8"/>
      <c r="H19" s="9" t="s">
        <v>20</v>
      </c>
      <c r="I19" s="7"/>
      <c r="J19" s="7"/>
      <c r="K19" s="10" t="str">
        <f aca="false">IF(AND(A19&lt;&gt;"",B19&lt;&gt;"",E19&lt;&gt;"",F19&lt;&gt;"",J19&lt;&gt;"",OR(H19="YA",I19&lt;&gt;"")),"OK","belum")</f>
        <v>belum</v>
      </c>
    </row>
    <row r="21" customFormat="false" ht="15" hidden="false" customHeight="false" outlineLevel="0" collapsed="false">
      <c r="A21" s="11" t="s">
        <v>56</v>
      </c>
      <c r="K21" s="11" t="str">
        <f aca="false">COUNTIF(K4:K19,"OK")&amp;" / 16"</f>
        <v>0 / 16</v>
      </c>
    </row>
  </sheetData>
  <mergeCells count="1">
    <mergeCell ref="A1:K1"/>
  </mergeCells>
  <dataValidations count="2">
    <dataValidation allowBlank="true" errorStyle="stop" operator="between" showDropDown="false" showErrorMessage="false" showInputMessage="false" sqref="H3:I19" type="list">
      <formula1>"YA,TIDAK"</formula1>
      <formula2>0</formula2>
    </dataValidation>
    <dataValidation allowBlank="true" errorStyle="stop" operator="between" showDropDown="false" showErrorMessage="false" showInputMessage="false" sqref="J3:J19" type="list">
      <formula1>"Bayar di muka,3 hari,14 hari,30 hari,45 hari,60 hari,90 hari"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12" t="s">
        <v>57</v>
      </c>
    </row>
    <row r="3" customFormat="false" ht="25.5" hidden="false" customHeight="true" outlineLevel="0" collapsed="false">
      <c r="A3" s="13" t="s">
        <v>58</v>
      </c>
      <c r="B3" s="14" t="s">
        <v>59</v>
      </c>
    </row>
    <row r="4" customFormat="false" ht="15" hidden="false" customHeight="true" outlineLevel="0" collapsed="false">
      <c r="A4" s="13" t="s">
        <v>60</v>
      </c>
      <c r="B4" s="14" t="s">
        <v>61</v>
      </c>
    </row>
    <row r="5" customFormat="false" ht="15" hidden="false" customHeight="true" outlineLevel="0" collapsed="false">
      <c r="A5" s="13" t="s">
        <v>62</v>
      </c>
      <c r="B5" s="14" t="s">
        <v>63</v>
      </c>
    </row>
    <row r="6" customFormat="false" ht="25.5" hidden="false" customHeight="true" outlineLevel="0" collapsed="false">
      <c r="A6" s="13" t="s">
        <v>64</v>
      </c>
      <c r="B6" s="14" t="s">
        <v>65</v>
      </c>
    </row>
    <row r="8" customFormat="false" ht="15" hidden="false" customHeight="true" outlineLevel="0" collapsed="false">
      <c r="A8" s="13" t="s">
        <v>66</v>
      </c>
      <c r="B8" s="15"/>
    </row>
    <row r="9" customFormat="false" ht="25.5" hidden="false" customHeight="true" outlineLevel="0" collapsed="false">
      <c r="A9" s="13"/>
      <c r="B9" s="14" t="s">
        <v>67</v>
      </c>
    </row>
    <row r="10" customFormat="false" ht="25.5" hidden="false" customHeight="true" outlineLevel="0" collapsed="false">
      <c r="A10" s="13"/>
      <c r="B10" s="14" t="s">
        <v>68</v>
      </c>
    </row>
    <row r="11" customFormat="false" ht="25.5" hidden="false" customHeight="true" outlineLevel="0" collapsed="false">
      <c r="A11" s="13"/>
      <c r="B11" s="14" t="s">
        <v>69</v>
      </c>
    </row>
    <row r="13" customFormat="false" ht="15" hidden="false" customHeight="true" outlineLevel="0" collapsed="false">
      <c r="A13" s="13" t="s">
        <v>70</v>
      </c>
      <c r="B13" s="15"/>
    </row>
    <row r="14" customFormat="false" ht="25.5" hidden="false" customHeight="true" outlineLevel="0" collapsed="false">
      <c r="A14" s="13"/>
      <c r="B14" s="14" t="s">
        <v>71</v>
      </c>
    </row>
    <row r="15" customFormat="false" ht="25.5" hidden="false" customHeight="true" outlineLevel="0" collapsed="false">
      <c r="A15" s="13"/>
      <c r="B15" s="14" t="s">
        <v>72</v>
      </c>
    </row>
    <row r="17" customFormat="false" ht="15" hidden="false" customHeight="true" outlineLevel="0" collapsed="false">
      <c r="A17" s="13" t="s">
        <v>73</v>
      </c>
      <c r="B17" s="15"/>
    </row>
    <row r="18" customFormat="false" ht="25.5" hidden="false" customHeight="true" outlineLevel="0" collapsed="false">
      <c r="A18" s="13"/>
      <c r="B18" s="14" t="s">
        <v>74</v>
      </c>
    </row>
    <row r="19" customFormat="false" ht="25.5" hidden="false" customHeight="true" outlineLevel="0" collapsed="false">
      <c r="A19" s="13"/>
      <c r="B19" s="14" t="s">
        <v>75</v>
      </c>
    </row>
    <row r="20" customFormat="false" ht="15" hidden="false" customHeight="true" outlineLevel="0" collapsed="false">
      <c r="A20" s="13"/>
      <c r="B20" s="14" t="s">
        <v>76</v>
      </c>
    </row>
    <row r="22" customFormat="false" ht="15" hidden="false" customHeight="true" outlineLevel="0" collapsed="false">
      <c r="A22" s="13" t="s">
        <v>77</v>
      </c>
      <c r="B22" s="15"/>
    </row>
    <row r="23" customFormat="false" ht="25.5" hidden="false" customHeight="true" outlineLevel="0" collapsed="false">
      <c r="A23" s="13"/>
      <c r="B23" s="14" t="s">
        <v>78</v>
      </c>
    </row>
    <row r="25" customFormat="false" ht="25.5" hidden="false" customHeight="true" outlineLevel="0" collapsed="false">
      <c r="A25" s="16" t="s">
        <v>79</v>
      </c>
      <c r="B25" s="17" t="s">
        <v>80</v>
      </c>
    </row>
    <row r="26" customFormat="false" ht="25.5" hidden="false" customHeight="true" outlineLevel="0" collapsed="false">
      <c r="A26" s="18" t="s">
        <v>81</v>
      </c>
      <c r="B26" s="1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2026-07-31T09:21:36Z</dcterms:created>
  <dc:creator>openpyxl</dc:creator>
  <dc:description/>
  <dc:language>en-US</dc:language>
  <cp:lastModifiedBy/>
  <dcterms:modified xsi:type="dcterms:W3CDTF">2026-07-31T09:21:36Z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